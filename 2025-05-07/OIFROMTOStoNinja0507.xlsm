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750" windowWidth="5175" windowHeight="1905"/>
  </bookViews>
  <sheets>
    <sheet name="Hoja1" sheetId="1" r:id="rId1"/>
    <sheet name="Hoja2" sheetId="2" r:id="rId2"/>
  </sheets>
  <externalReferences>
    <externalReference r:id="rId3"/>
    <externalReference r:id="rId4"/>
    <externalReference r:id="rId5"/>
  </externalReferences>
  <calcPr calcId="144525"/>
</workbook>
</file>

<file path=xl/calcChain.xml><?xml version="1.0" encoding="utf-8"?>
<calcChain xmlns="http://schemas.openxmlformats.org/spreadsheetml/2006/main">
  <c r="C83" i="1" l="1"/>
  <c r="A45" i="1" l="1"/>
  <c r="A4" i="1"/>
  <c r="A1" i="2" l="1"/>
  <c r="X136" i="2" l="1"/>
  <c r="W136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X84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B84" i="2"/>
  <c r="B136" i="2" s="1"/>
  <c r="B44" i="2"/>
  <c r="C44" i="2" s="1"/>
  <c r="C84" i="2" s="1"/>
  <c r="C136" i="2" s="1"/>
  <c r="M44" i="2"/>
  <c r="O44" i="2" s="1"/>
  <c r="M3" i="2"/>
  <c r="O3" i="2" s="1"/>
  <c r="Q3" i="2" s="1"/>
  <c r="D44" i="2" l="1"/>
  <c r="Q44" i="2"/>
  <c r="S3" i="2"/>
  <c r="E44" i="2" l="1"/>
  <c r="E84" i="2" s="1"/>
  <c r="E136" i="2" s="1"/>
  <c r="D84" i="2"/>
  <c r="D136" i="2" s="1"/>
  <c r="F44" i="2"/>
  <c r="F84" i="2" s="1"/>
  <c r="F136" i="2" s="1"/>
  <c r="S44" i="2"/>
  <c r="U3" i="2"/>
  <c r="W3" i="2" s="1"/>
  <c r="U44" i="2" l="1"/>
  <c r="G44" i="2"/>
  <c r="G84" i="2" s="1"/>
  <c r="G136" i="2" s="1"/>
  <c r="H44" i="2" l="1"/>
  <c r="H84" i="2" s="1"/>
  <c r="H136" i="2" s="1"/>
  <c r="W44" i="2"/>
  <c r="I44" i="2" l="1"/>
  <c r="I84" i="2" s="1"/>
  <c r="I136" i="2" s="1"/>
  <c r="J44" i="2" l="1"/>
  <c r="J84" i="2" s="1"/>
  <c r="J136" i="2" s="1"/>
  <c r="C3" i="2" l="1"/>
  <c r="A136" i="2"/>
  <c r="A135" i="2"/>
  <c r="A134" i="2"/>
  <c r="A133" i="2"/>
  <c r="A132" i="2"/>
  <c r="A84" i="2"/>
  <c r="A83" i="2"/>
  <c r="A82" i="2"/>
  <c r="A81" i="2"/>
  <c r="A46" i="2"/>
  <c r="A44" i="2"/>
  <c r="B43" i="2" s="1"/>
  <c r="A43" i="2"/>
  <c r="A42" i="2"/>
  <c r="A41" i="2"/>
  <c r="A40" i="2"/>
  <c r="A5" i="2"/>
  <c r="A3" i="2"/>
  <c r="B2" i="2" s="1"/>
  <c r="C2" i="2" s="1"/>
  <c r="D2" i="2" s="1"/>
  <c r="E2" i="2" s="1"/>
  <c r="F2" i="2" s="1"/>
  <c r="G2" i="2" s="1"/>
  <c r="H2" i="2" s="1"/>
  <c r="I2" i="2" s="1"/>
  <c r="J2" i="2" s="1"/>
  <c r="K2" i="2" s="1"/>
  <c r="L2" i="2" s="1"/>
  <c r="C43" i="2" l="1"/>
  <c r="N2" i="2"/>
  <c r="M2" i="2"/>
  <c r="D3" i="2"/>
  <c r="D43" i="2" l="1"/>
  <c r="P2" i="2"/>
  <c r="O2" i="2"/>
  <c r="E3" i="2"/>
  <c r="A85" i="1"/>
  <c r="A86" i="2" s="1"/>
  <c r="E43" i="2" l="1"/>
  <c r="R2" i="2"/>
  <c r="Q2" i="2"/>
  <c r="F3" i="2"/>
  <c r="A137" i="1"/>
  <c r="A138" i="2" s="1"/>
  <c r="F43" i="2" l="1"/>
  <c r="T2" i="2"/>
  <c r="S2" i="2"/>
  <c r="G3" i="2"/>
  <c r="D2" i="1"/>
  <c r="D83" i="1" s="1"/>
  <c r="D135" i="1" s="1"/>
  <c r="G43" i="2" l="1"/>
  <c r="V2" i="2"/>
  <c r="U2" i="2"/>
  <c r="H3" i="2"/>
  <c r="AZ137" i="1"/>
  <c r="AZ45" i="1"/>
  <c r="AZ4" i="1"/>
  <c r="H1" i="2" l="1"/>
  <c r="H43" i="2"/>
  <c r="X2" i="2"/>
  <c r="W2" i="2"/>
  <c r="I3" i="2"/>
  <c r="I1" i="2" s="1"/>
  <c r="C2" i="1"/>
  <c r="C135" i="1" l="1"/>
  <c r="AU134" i="1" s="1"/>
  <c r="B1" i="2"/>
  <c r="N1" i="2"/>
  <c r="O1" i="2"/>
  <c r="P1" i="2"/>
  <c r="M1" i="2"/>
  <c r="R1" i="2"/>
  <c r="S1" i="2"/>
  <c r="T1" i="2"/>
  <c r="Q1" i="2"/>
  <c r="V1" i="2"/>
  <c r="W1" i="2"/>
  <c r="X1" i="2"/>
  <c r="U1" i="2"/>
  <c r="K1" i="2"/>
  <c r="L1" i="2"/>
  <c r="C1" i="2"/>
  <c r="D1" i="2"/>
  <c r="E1" i="2"/>
  <c r="F1" i="2"/>
  <c r="G1" i="2"/>
  <c r="I43" i="2"/>
  <c r="J3" i="2"/>
  <c r="J1" i="2" s="1"/>
  <c r="A138" i="1"/>
  <c r="A139" i="2" s="1"/>
  <c r="A46" i="1"/>
  <c r="A47" i="2" s="1"/>
  <c r="J43" i="2" l="1"/>
  <c r="A139" i="1"/>
  <c r="A140" i="2" s="1"/>
  <c r="AZ138" i="1"/>
  <c r="A47" i="1"/>
  <c r="A48" i="2" s="1"/>
  <c r="AZ46" i="1"/>
  <c r="K43" i="2" l="1"/>
  <c r="A140" i="1"/>
  <c r="A141" i="2" s="1"/>
  <c r="AZ139" i="1"/>
  <c r="A48" i="1"/>
  <c r="A49" i="2" s="1"/>
  <c r="AZ47" i="1"/>
  <c r="B2" i="1"/>
  <c r="B138" i="2"/>
  <c r="B86" i="2"/>
  <c r="B5" i="2"/>
  <c r="B141" i="2"/>
  <c r="B49" i="2"/>
  <c r="B46" i="2"/>
  <c r="B140" i="2"/>
  <c r="B139" i="2"/>
  <c r="B47" i="2"/>
  <c r="B48" i="2"/>
  <c r="B42" i="2" l="1"/>
  <c r="B82" i="2" s="1"/>
  <c r="B134" i="2" s="1"/>
  <c r="M43" i="2"/>
  <c r="L43" i="2"/>
  <c r="B43" i="1"/>
  <c r="B83" i="1"/>
  <c r="B135" i="1" s="1"/>
  <c r="A141" i="1"/>
  <c r="A142" i="2" s="1"/>
  <c r="AZ140" i="1"/>
  <c r="A49" i="1"/>
  <c r="A50" i="2" s="1"/>
  <c r="AZ48" i="1"/>
  <c r="DA1" i="1"/>
  <c r="DC1" i="1" s="1"/>
  <c r="DE1" i="1" s="1"/>
  <c r="EP1" i="1"/>
  <c r="EN1" i="1"/>
  <c r="EL1" i="1"/>
  <c r="EK1" i="1"/>
  <c r="EJ43" i="1"/>
  <c r="EI43" i="1"/>
  <c r="EH43" i="1"/>
  <c r="EG43" i="1"/>
  <c r="EF43" i="1"/>
  <c r="EE43" i="1"/>
  <c r="EJ42" i="1"/>
  <c r="EI42" i="1"/>
  <c r="EH42" i="1"/>
  <c r="EG42" i="1"/>
  <c r="EF42" i="1"/>
  <c r="EE42" i="1"/>
  <c r="EQ42" i="1"/>
  <c r="EP42" i="1"/>
  <c r="EO42" i="1"/>
  <c r="EN42" i="1"/>
  <c r="EM42" i="1"/>
  <c r="EL42" i="1"/>
  <c r="C86" i="2"/>
  <c r="B50" i="2"/>
  <c r="C141" i="2"/>
  <c r="C142" i="2"/>
  <c r="C5" i="2"/>
  <c r="C140" i="2"/>
  <c r="C50" i="2"/>
  <c r="C139" i="2"/>
  <c r="C138" i="2"/>
  <c r="C46" i="2"/>
  <c r="B142" i="2"/>
  <c r="C47" i="2"/>
  <c r="C48" i="2"/>
  <c r="C49" i="2"/>
  <c r="C42" i="2" l="1"/>
  <c r="C82" i="2" s="1"/>
  <c r="C134" i="2" s="1"/>
  <c r="N43" i="2"/>
  <c r="O43" i="2"/>
  <c r="A142" i="1"/>
  <c r="A143" i="2" s="1"/>
  <c r="AZ141" i="1"/>
  <c r="A50" i="1"/>
  <c r="A51" i="2" s="1"/>
  <c r="AZ49" i="1"/>
  <c r="ES2" i="1"/>
  <c r="EQ1" i="1"/>
  <c r="EO1" i="1"/>
  <c r="EM1" i="1"/>
  <c r="EE83" i="1"/>
  <c r="D86" i="2"/>
  <c r="D50" i="2"/>
  <c r="D140" i="2"/>
  <c r="D47" i="2"/>
  <c r="C51" i="2"/>
  <c r="D139" i="2"/>
  <c r="D142" i="2"/>
  <c r="D49" i="2"/>
  <c r="C143" i="2"/>
  <c r="B143" i="2"/>
  <c r="D5" i="2"/>
  <c r="D48" i="2"/>
  <c r="D51" i="2"/>
  <c r="D46" i="2"/>
  <c r="D143" i="2"/>
  <c r="D141" i="2"/>
  <c r="D138" i="2"/>
  <c r="B51" i="2"/>
  <c r="D42" i="2" l="1"/>
  <c r="D82" i="2" s="1"/>
  <c r="D134" i="2" s="1"/>
  <c r="Q43" i="2"/>
  <c r="P43" i="2"/>
  <c r="A143" i="1"/>
  <c r="A144" i="2" s="1"/>
  <c r="AZ142" i="1"/>
  <c r="A51" i="1"/>
  <c r="A52" i="2" s="1"/>
  <c r="AZ50" i="1"/>
  <c r="EE135" i="1"/>
  <c r="EF135" i="1" s="1"/>
  <c r="EG135" i="1" s="1"/>
  <c r="EH135" i="1" s="1"/>
  <c r="EI135" i="1" s="1"/>
  <c r="EJ135" i="1" s="1"/>
  <c r="EF83" i="1"/>
  <c r="E52" i="2"/>
  <c r="E49" i="2"/>
  <c r="C144" i="2"/>
  <c r="E5" i="2"/>
  <c r="E142" i="2"/>
  <c r="C52" i="2"/>
  <c r="E46" i="2"/>
  <c r="B144" i="2"/>
  <c r="E51" i="2"/>
  <c r="E143" i="2"/>
  <c r="B52" i="2"/>
  <c r="E140" i="2"/>
  <c r="E50" i="2"/>
  <c r="E144" i="2"/>
  <c r="E139" i="2"/>
  <c r="E141" i="2"/>
  <c r="D52" i="2"/>
  <c r="E47" i="2"/>
  <c r="D144" i="2"/>
  <c r="E86" i="2"/>
  <c r="E48" i="2"/>
  <c r="E138" i="2"/>
  <c r="E42" i="2" l="1"/>
  <c r="E82" i="2" s="1"/>
  <c r="E134" i="2" s="1"/>
  <c r="R43" i="2"/>
  <c r="S43" i="2"/>
  <c r="A144" i="1"/>
  <c r="A145" i="2" s="1"/>
  <c r="AZ143" i="1"/>
  <c r="A52" i="1"/>
  <c r="A53" i="2" s="1"/>
  <c r="AZ51" i="1"/>
  <c r="EG83" i="1"/>
  <c r="F46" i="2"/>
  <c r="E53" i="2"/>
  <c r="F48" i="2"/>
  <c r="F141" i="2"/>
  <c r="E145" i="2"/>
  <c r="F86" i="2"/>
  <c r="F138" i="2"/>
  <c r="F50" i="2"/>
  <c r="D53" i="2"/>
  <c r="F143" i="2"/>
  <c r="F139" i="2"/>
  <c r="B53" i="2"/>
  <c r="F49" i="2"/>
  <c r="F47" i="2"/>
  <c r="F5" i="2"/>
  <c r="F144" i="2"/>
  <c r="F142" i="2"/>
  <c r="F145" i="2"/>
  <c r="B145" i="2"/>
  <c r="F52" i="2"/>
  <c r="C53" i="2"/>
  <c r="D145" i="2"/>
  <c r="F53" i="2"/>
  <c r="C145" i="2"/>
  <c r="F51" i="2"/>
  <c r="F140" i="2"/>
  <c r="F42" i="2" l="1"/>
  <c r="F82" i="2" s="1"/>
  <c r="F134" i="2" s="1"/>
  <c r="U43" i="2"/>
  <c r="T43" i="2"/>
  <c r="A145" i="1"/>
  <c r="A146" i="2" s="1"/>
  <c r="AZ144" i="1"/>
  <c r="A53" i="1"/>
  <c r="A54" i="2" s="1"/>
  <c r="AZ52" i="1"/>
  <c r="EH83" i="1"/>
  <c r="E82" i="1"/>
  <c r="G51" i="2"/>
  <c r="G145" i="2"/>
  <c r="D146" i="2"/>
  <c r="G48" i="2"/>
  <c r="G52" i="2"/>
  <c r="G141" i="2"/>
  <c r="E134" i="1"/>
  <c r="G142" i="2"/>
  <c r="G140" i="2"/>
  <c r="G86" i="2"/>
  <c r="D54" i="2"/>
  <c r="G5" i="2"/>
  <c r="E146" i="2"/>
  <c r="G138" i="2"/>
  <c r="G143" i="2"/>
  <c r="G46" i="2"/>
  <c r="G49" i="2"/>
  <c r="G139" i="2"/>
  <c r="F146" i="2"/>
  <c r="B54" i="2"/>
  <c r="G47" i="2"/>
  <c r="G144" i="2"/>
  <c r="G53" i="2"/>
  <c r="C146" i="2"/>
  <c r="E54" i="2"/>
  <c r="C54" i="2"/>
  <c r="G54" i="2"/>
  <c r="F54" i="2"/>
  <c r="G146" i="2"/>
  <c r="B146" i="2"/>
  <c r="G50" i="2"/>
  <c r="A136" i="1" l="1"/>
  <c r="A84" i="1"/>
  <c r="G42" i="2"/>
  <c r="G82" i="2" s="1"/>
  <c r="G134" i="2" s="1"/>
  <c r="V43" i="2"/>
  <c r="W43" i="2"/>
  <c r="A146" i="1"/>
  <c r="A147" i="2" s="1"/>
  <c r="AZ145" i="1"/>
  <c r="A54" i="1"/>
  <c r="A55" i="2" s="1"/>
  <c r="AZ53" i="1"/>
  <c r="EI83" i="1"/>
  <c r="H143" i="2"/>
  <c r="E55" i="2"/>
  <c r="H145" i="2"/>
  <c r="H144" i="2"/>
  <c r="B147" i="2"/>
  <c r="H86" i="2"/>
  <c r="H138" i="2"/>
  <c r="H52" i="2"/>
  <c r="D55" i="2"/>
  <c r="H147" i="2"/>
  <c r="H139" i="2"/>
  <c r="H47" i="2"/>
  <c r="H54" i="2"/>
  <c r="H140" i="2"/>
  <c r="H55" i="2"/>
  <c r="H50" i="2"/>
  <c r="H46" i="2"/>
  <c r="H48" i="2"/>
  <c r="H141" i="2"/>
  <c r="F55" i="2"/>
  <c r="G147" i="2"/>
  <c r="H51" i="2"/>
  <c r="H49" i="2"/>
  <c r="F147" i="2"/>
  <c r="H146" i="2"/>
  <c r="B55" i="2"/>
  <c r="C147" i="2"/>
  <c r="H5" i="2"/>
  <c r="D147" i="2"/>
  <c r="E147" i="2"/>
  <c r="C55" i="2"/>
  <c r="H53" i="2"/>
  <c r="G55" i="2"/>
  <c r="H142" i="2"/>
  <c r="H42" i="2" l="1"/>
  <c r="H82" i="2" s="1"/>
  <c r="H134" i="2" s="1"/>
  <c r="X43" i="2"/>
  <c r="A147" i="1"/>
  <c r="A148" i="2" s="1"/>
  <c r="AZ146" i="1"/>
  <c r="A55" i="1"/>
  <c r="A56" i="2" s="1"/>
  <c r="AZ54" i="1"/>
  <c r="EJ83" i="1"/>
  <c r="I139" i="2"/>
  <c r="H56" i="2"/>
  <c r="I144" i="2"/>
  <c r="I55" i="2"/>
  <c r="I147" i="2"/>
  <c r="I54" i="2"/>
  <c r="I47" i="2"/>
  <c r="D148" i="2"/>
  <c r="I141" i="2"/>
  <c r="D56" i="2"/>
  <c r="I86" i="2"/>
  <c r="E56" i="2"/>
  <c r="I140" i="2"/>
  <c r="E148" i="2"/>
  <c r="I148" i="2"/>
  <c r="G148" i="2"/>
  <c r="I46" i="2"/>
  <c r="I51" i="2"/>
  <c r="I138" i="2"/>
  <c r="C56" i="2"/>
  <c r="B148" i="2"/>
  <c r="H148" i="2"/>
  <c r="G56" i="2"/>
  <c r="F56" i="2"/>
  <c r="I56" i="2"/>
  <c r="I143" i="2"/>
  <c r="B56" i="2"/>
  <c r="I52" i="2"/>
  <c r="I146" i="2"/>
  <c r="I48" i="2"/>
  <c r="I49" i="2"/>
  <c r="C148" i="2"/>
  <c r="I53" i="2"/>
  <c r="I145" i="2"/>
  <c r="I142" i="2"/>
  <c r="I5" i="2"/>
  <c r="I50" i="2"/>
  <c r="F148" i="2"/>
  <c r="I42" i="2" l="1"/>
  <c r="I82" i="2" s="1"/>
  <c r="I134" i="2" s="1"/>
  <c r="A148" i="1"/>
  <c r="A149" i="2" s="1"/>
  <c r="AZ147" i="1"/>
  <c r="A56" i="1"/>
  <c r="A57" i="2" s="1"/>
  <c r="AZ55" i="1"/>
  <c r="BO42" i="1"/>
  <c r="BM42" i="1"/>
  <c r="BK42" i="1"/>
  <c r="BF42" i="1"/>
  <c r="BD42" i="1"/>
  <c r="BB42" i="1"/>
  <c r="E149" i="2"/>
  <c r="J142" i="2"/>
  <c r="J146" i="2"/>
  <c r="J50" i="2"/>
  <c r="H57" i="2"/>
  <c r="J149" i="2"/>
  <c r="J48" i="2"/>
  <c r="J143" i="2"/>
  <c r="J140" i="2"/>
  <c r="J55" i="2"/>
  <c r="J139" i="2"/>
  <c r="J148" i="2"/>
  <c r="B57" i="2"/>
  <c r="I57" i="2"/>
  <c r="J47" i="2"/>
  <c r="J144" i="2"/>
  <c r="J46" i="2"/>
  <c r="G57" i="2"/>
  <c r="J138" i="2"/>
  <c r="C57" i="2"/>
  <c r="B149" i="2"/>
  <c r="J145" i="2"/>
  <c r="J53" i="2"/>
  <c r="D149" i="2"/>
  <c r="J51" i="2"/>
  <c r="F57" i="2"/>
  <c r="I149" i="2"/>
  <c r="C149" i="2"/>
  <c r="J57" i="2"/>
  <c r="J56" i="2"/>
  <c r="J86" i="2"/>
  <c r="J141" i="2"/>
  <c r="G149" i="2"/>
  <c r="F149" i="2"/>
  <c r="E57" i="2"/>
  <c r="J49" i="2"/>
  <c r="H149" i="2"/>
  <c r="J54" i="2"/>
  <c r="D57" i="2"/>
  <c r="J147" i="2"/>
  <c r="J52" i="2"/>
  <c r="J5" i="2"/>
  <c r="J42" i="2" l="1"/>
  <c r="J82" i="2" s="1"/>
  <c r="J134" i="2" s="1"/>
  <c r="A149" i="1"/>
  <c r="A150" i="2" s="1"/>
  <c r="AZ148" i="1"/>
  <c r="A57" i="1"/>
  <c r="A58" i="2" s="1"/>
  <c r="AZ56" i="1"/>
  <c r="D43" i="1"/>
  <c r="AW42" i="1" s="1"/>
  <c r="C43" i="1"/>
  <c r="C58" i="2"/>
  <c r="B150" i="2"/>
  <c r="K150" i="2"/>
  <c r="K149" i="2"/>
  <c r="K47" i="2"/>
  <c r="E58" i="2"/>
  <c r="K142" i="2"/>
  <c r="J58" i="2"/>
  <c r="F150" i="2"/>
  <c r="K144" i="2"/>
  <c r="I58" i="2"/>
  <c r="K139" i="2"/>
  <c r="K57" i="2"/>
  <c r="K138" i="2"/>
  <c r="K56" i="2"/>
  <c r="K46" i="2"/>
  <c r="F58" i="2"/>
  <c r="B58" i="2"/>
  <c r="J150" i="2"/>
  <c r="K141" i="2"/>
  <c r="H150" i="2"/>
  <c r="G150" i="2"/>
  <c r="K52" i="2"/>
  <c r="K148" i="2"/>
  <c r="G58" i="2"/>
  <c r="K147" i="2"/>
  <c r="H58" i="2"/>
  <c r="K49" i="2"/>
  <c r="K55" i="2"/>
  <c r="K48" i="2"/>
  <c r="K51" i="2"/>
  <c r="E150" i="2"/>
  <c r="D58" i="2"/>
  <c r="K146" i="2"/>
  <c r="K5" i="2"/>
  <c r="K50" i="2"/>
  <c r="C150" i="2"/>
  <c r="K58" i="2"/>
  <c r="K145" i="2"/>
  <c r="I150" i="2"/>
  <c r="K54" i="2"/>
  <c r="K86" i="2"/>
  <c r="K140" i="2"/>
  <c r="K143" i="2"/>
  <c r="D150" i="2"/>
  <c r="K53" i="2"/>
  <c r="K42" i="2" l="1"/>
  <c r="K82" i="2" s="1"/>
  <c r="K134" i="2" s="1"/>
  <c r="A150" i="1"/>
  <c r="A151" i="2" s="1"/>
  <c r="AZ149" i="1"/>
  <c r="A58" i="1"/>
  <c r="A59" i="2" s="1"/>
  <c r="AZ57" i="1"/>
  <c r="AU42" i="1"/>
  <c r="BC42" i="1" s="1"/>
  <c r="AS42" i="1"/>
  <c r="BN42" i="1"/>
  <c r="BE42" i="1"/>
  <c r="L50" i="2"/>
  <c r="L51" i="2"/>
  <c r="C59" i="2"/>
  <c r="L150" i="2"/>
  <c r="K151" i="2"/>
  <c r="L59" i="2"/>
  <c r="L144" i="2"/>
  <c r="L149" i="2"/>
  <c r="L57" i="2"/>
  <c r="I151" i="2"/>
  <c r="L49" i="2"/>
  <c r="L46" i="2"/>
  <c r="F59" i="2"/>
  <c r="L47" i="2"/>
  <c r="L53" i="2"/>
  <c r="L5" i="2"/>
  <c r="L148" i="2"/>
  <c r="L55" i="2"/>
  <c r="L48" i="2"/>
  <c r="D59" i="2"/>
  <c r="L141" i="2"/>
  <c r="E151" i="2"/>
  <c r="F151" i="2"/>
  <c r="L86" i="2"/>
  <c r="L140" i="2"/>
  <c r="L58" i="2"/>
  <c r="H59" i="2"/>
  <c r="G59" i="2"/>
  <c r="E59" i="2"/>
  <c r="J59" i="2"/>
  <c r="L151" i="2"/>
  <c r="B151" i="2"/>
  <c r="C151" i="2"/>
  <c r="L52" i="2"/>
  <c r="I59" i="2"/>
  <c r="B59" i="2"/>
  <c r="L147" i="2"/>
  <c r="D151" i="2"/>
  <c r="L145" i="2"/>
  <c r="L146" i="2"/>
  <c r="H151" i="2"/>
  <c r="L54" i="2"/>
  <c r="L142" i="2"/>
  <c r="L138" i="2"/>
  <c r="K59" i="2"/>
  <c r="L56" i="2"/>
  <c r="L143" i="2"/>
  <c r="J151" i="2"/>
  <c r="G151" i="2"/>
  <c r="L139" i="2"/>
  <c r="L42" i="2" l="1"/>
  <c r="L82" i="2" s="1"/>
  <c r="L134" i="2" s="1"/>
  <c r="A151" i="1"/>
  <c r="A152" i="2" s="1"/>
  <c r="AZ150" i="1"/>
  <c r="A59" i="1"/>
  <c r="A60" i="2" s="1"/>
  <c r="AZ58" i="1"/>
  <c r="BJ42" i="1"/>
  <c r="BL42" i="1"/>
  <c r="BA42" i="1"/>
  <c r="BJ2" i="1"/>
  <c r="M5" i="2"/>
  <c r="M52" i="2"/>
  <c r="M149" i="2"/>
  <c r="B152" i="2"/>
  <c r="M143" i="2"/>
  <c r="J152" i="2"/>
  <c r="H152" i="2"/>
  <c r="M86" i="2"/>
  <c r="M54" i="2"/>
  <c r="M56" i="2"/>
  <c r="M141" i="2"/>
  <c r="M60" i="2"/>
  <c r="D152" i="2"/>
  <c r="M47" i="2"/>
  <c r="K152" i="2"/>
  <c r="I152" i="2"/>
  <c r="J60" i="2"/>
  <c r="C60" i="2"/>
  <c r="M142" i="2"/>
  <c r="G152" i="2"/>
  <c r="M151" i="2"/>
  <c r="M147" i="2"/>
  <c r="L152" i="2"/>
  <c r="M53" i="2"/>
  <c r="M46" i="2"/>
  <c r="M145" i="2"/>
  <c r="M48" i="2"/>
  <c r="M50" i="2"/>
  <c r="M139" i="2"/>
  <c r="C152" i="2"/>
  <c r="M140" i="2"/>
  <c r="G60" i="2"/>
  <c r="F60" i="2"/>
  <c r="M150" i="2"/>
  <c r="E60" i="2"/>
  <c r="M57" i="2"/>
  <c r="B60" i="2"/>
  <c r="F152" i="2"/>
  <c r="M58" i="2"/>
  <c r="K60" i="2"/>
  <c r="L60" i="2"/>
  <c r="M55" i="2"/>
  <c r="M51" i="2"/>
  <c r="I60" i="2"/>
  <c r="D60" i="2"/>
  <c r="M59" i="2"/>
  <c r="H60" i="2"/>
  <c r="M148" i="2"/>
  <c r="M138" i="2"/>
  <c r="M144" i="2"/>
  <c r="M152" i="2"/>
  <c r="M146" i="2"/>
  <c r="M49" i="2"/>
  <c r="E152" i="2"/>
  <c r="M42" i="2" l="1"/>
  <c r="M82" i="2" s="1"/>
  <c r="M134" i="2" s="1"/>
  <c r="A152" i="1"/>
  <c r="A153" i="2" s="1"/>
  <c r="AZ151" i="1"/>
  <c r="A60" i="1"/>
  <c r="A61" i="2" s="1"/>
  <c r="AZ59" i="1"/>
  <c r="CD43" i="1"/>
  <c r="CE2" i="1"/>
  <c r="N58" i="2"/>
  <c r="N56" i="2"/>
  <c r="N47" i="2"/>
  <c r="N150" i="2"/>
  <c r="C61" i="2"/>
  <c r="N61" i="2"/>
  <c r="K153" i="2"/>
  <c r="N153" i="2"/>
  <c r="N52" i="2"/>
  <c r="N49" i="2"/>
  <c r="E61" i="2"/>
  <c r="N143" i="2"/>
  <c r="B61" i="2"/>
  <c r="F61" i="2"/>
  <c r="N50" i="2"/>
  <c r="N60" i="2"/>
  <c r="N146" i="2"/>
  <c r="I153" i="2"/>
  <c r="N140" i="2"/>
  <c r="N53" i="2"/>
  <c r="N54" i="2"/>
  <c r="N86" i="2"/>
  <c r="H61" i="2"/>
  <c r="N147" i="2"/>
  <c r="K61" i="2"/>
  <c r="N148" i="2"/>
  <c r="N144" i="2"/>
  <c r="F153" i="2"/>
  <c r="G153" i="2"/>
  <c r="E153" i="2"/>
  <c r="N139" i="2"/>
  <c r="L153" i="2"/>
  <c r="J153" i="2"/>
  <c r="N46" i="2"/>
  <c r="D61" i="2"/>
  <c r="B153" i="2"/>
  <c r="N51" i="2"/>
  <c r="D153" i="2"/>
  <c r="N141" i="2"/>
  <c r="N48" i="2"/>
  <c r="L61" i="2"/>
  <c r="H153" i="2"/>
  <c r="N151" i="2"/>
  <c r="I61" i="2"/>
  <c r="J61" i="2"/>
  <c r="N5" i="2"/>
  <c r="M61" i="2"/>
  <c r="N138" i="2"/>
  <c r="N142" i="2"/>
  <c r="G61" i="2"/>
  <c r="N152" i="2"/>
  <c r="N149" i="2"/>
  <c r="M153" i="2"/>
  <c r="N145" i="2"/>
  <c r="N59" i="2"/>
  <c r="C153" i="2"/>
  <c r="N55" i="2"/>
  <c r="N57" i="2"/>
  <c r="N42" i="2" l="1"/>
  <c r="N82" i="2" s="1"/>
  <c r="N134" i="2" s="1"/>
  <c r="A153" i="1"/>
  <c r="A154" i="2" s="1"/>
  <c r="AZ152" i="1"/>
  <c r="AZ60" i="1"/>
  <c r="A61" i="1"/>
  <c r="A62" i="2" s="1"/>
  <c r="CE43" i="1"/>
  <c r="CF2" i="1"/>
  <c r="CD83" i="1"/>
  <c r="AS1" i="1"/>
  <c r="DB53" i="1"/>
  <c r="DD53" i="1"/>
  <c r="DD52" i="1"/>
  <c r="DF56" i="1"/>
  <c r="DD57" i="1"/>
  <c r="DB54" i="1"/>
  <c r="DD60" i="1"/>
  <c r="DD55" i="1"/>
  <c r="DD48" i="1"/>
  <c r="DF59" i="1"/>
  <c r="DB45" i="1"/>
  <c r="DF46" i="1"/>
  <c r="DB4" i="1"/>
  <c r="O147" i="2"/>
  <c r="O154" i="2"/>
  <c r="O150" i="2"/>
  <c r="O58" i="2"/>
  <c r="N62" i="2"/>
  <c r="H62" i="2"/>
  <c r="O139" i="2"/>
  <c r="O140" i="2"/>
  <c r="O141" i="2"/>
  <c r="O144" i="2"/>
  <c r="E62" i="2"/>
  <c r="D154" i="2"/>
  <c r="O49" i="2"/>
  <c r="O48" i="2"/>
  <c r="DF60" i="1"/>
  <c r="DF50" i="1"/>
  <c r="DB48" i="1"/>
  <c r="DD58" i="1"/>
  <c r="DD51" i="1"/>
  <c r="DB58" i="1"/>
  <c r="DF48" i="1"/>
  <c r="DF54" i="1"/>
  <c r="DF53" i="1"/>
  <c r="DF49" i="1"/>
  <c r="DB56" i="1"/>
  <c r="DB46" i="1"/>
  <c r="DF45" i="1"/>
  <c r="F62" i="2"/>
  <c r="M62" i="2"/>
  <c r="G154" i="2"/>
  <c r="C62" i="2"/>
  <c r="O51" i="2"/>
  <c r="J154" i="2"/>
  <c r="K62" i="2"/>
  <c r="F154" i="2"/>
  <c r="O53" i="2"/>
  <c r="O149" i="2"/>
  <c r="H154" i="2"/>
  <c r="O62" i="2"/>
  <c r="O46" i="2"/>
  <c r="O142" i="2"/>
  <c r="M154" i="2"/>
  <c r="O145" i="2"/>
  <c r="DD59" i="1"/>
  <c r="DD50" i="1"/>
  <c r="DD61" i="1"/>
  <c r="DF55" i="1"/>
  <c r="DD56" i="1"/>
  <c r="DD49" i="1"/>
  <c r="DB52" i="1"/>
  <c r="DF58" i="1"/>
  <c r="DB55" i="1"/>
  <c r="DF57" i="1"/>
  <c r="DF51" i="1"/>
  <c r="DF47" i="1"/>
  <c r="DD45" i="1"/>
  <c r="O146" i="2"/>
  <c r="O47" i="2"/>
  <c r="I154" i="2"/>
  <c r="J62" i="2"/>
  <c r="O60" i="2"/>
  <c r="I62" i="2"/>
  <c r="K154" i="2"/>
  <c r="O57" i="2"/>
  <c r="L62" i="2"/>
  <c r="O151" i="2"/>
  <c r="O5" i="2"/>
  <c r="E154" i="2"/>
  <c r="O143" i="2"/>
  <c r="O61" i="2"/>
  <c r="B154" i="2"/>
  <c r="O54" i="2"/>
  <c r="DD54" i="1"/>
  <c r="DB49" i="1"/>
  <c r="DB59" i="1"/>
  <c r="DF61" i="1"/>
  <c r="DB50" i="1"/>
  <c r="DF52" i="1"/>
  <c r="DB61" i="1"/>
  <c r="DB51" i="1"/>
  <c r="DB60" i="1"/>
  <c r="DB57" i="1"/>
  <c r="DB47" i="1"/>
  <c r="DD47" i="1"/>
  <c r="DD46" i="1"/>
  <c r="O55" i="2"/>
  <c r="O59" i="2"/>
  <c r="O153" i="2"/>
  <c r="O56" i="2"/>
  <c r="O50" i="2"/>
  <c r="G62" i="2"/>
  <c r="O52" i="2"/>
  <c r="O152" i="2"/>
  <c r="N154" i="2"/>
  <c r="O138" i="2"/>
  <c r="L154" i="2"/>
  <c r="D62" i="2"/>
  <c r="B62" i="2"/>
  <c r="O148" i="2"/>
  <c r="C154" i="2"/>
  <c r="O86" i="2"/>
  <c r="O42" i="2" l="1"/>
  <c r="O82" i="2" s="1"/>
  <c r="O134" i="2" s="1"/>
  <c r="A154" i="1"/>
  <c r="A155" i="2" s="1"/>
  <c r="AZ153" i="1"/>
  <c r="AZ61" i="1"/>
  <c r="A62" i="1"/>
  <c r="A63" i="2" s="1"/>
  <c r="AT1" i="1"/>
  <c r="CE83" i="1"/>
  <c r="CF83" i="1" s="1"/>
  <c r="CG83" i="1" s="1"/>
  <c r="CH83" i="1" s="1"/>
  <c r="CI83" i="1" s="1"/>
  <c r="CD135" i="1"/>
  <c r="CF43" i="1"/>
  <c r="CG2" i="1"/>
  <c r="DD62" i="1"/>
  <c r="P63" i="2"/>
  <c r="P53" i="2"/>
  <c r="P86" i="2"/>
  <c r="O155" i="2"/>
  <c r="B63" i="2"/>
  <c r="P49" i="2"/>
  <c r="N63" i="2"/>
  <c r="D155" i="2"/>
  <c r="E63" i="2"/>
  <c r="L63" i="2"/>
  <c r="P62" i="2"/>
  <c r="P57" i="2"/>
  <c r="P55" i="2"/>
  <c r="L155" i="2"/>
  <c r="P150" i="2"/>
  <c r="I155" i="2"/>
  <c r="E155" i="2"/>
  <c r="P147" i="2"/>
  <c r="N155" i="2"/>
  <c r="D63" i="2"/>
  <c r="P5" i="2"/>
  <c r="DF4" i="1"/>
  <c r="P140" i="2"/>
  <c r="P60" i="2"/>
  <c r="J63" i="2"/>
  <c r="P139" i="2"/>
  <c r="M63" i="2"/>
  <c r="P155" i="2"/>
  <c r="K63" i="2"/>
  <c r="P50" i="2"/>
  <c r="K155" i="2"/>
  <c r="P59" i="2"/>
  <c r="P143" i="2"/>
  <c r="H63" i="2"/>
  <c r="P138" i="2"/>
  <c r="P46" i="2"/>
  <c r="M155" i="2"/>
  <c r="P152" i="2"/>
  <c r="P153" i="2"/>
  <c r="H155" i="2"/>
  <c r="F155" i="2"/>
  <c r="P54" i="2"/>
  <c r="DB62" i="1"/>
  <c r="DD4" i="1"/>
  <c r="P151" i="2"/>
  <c r="O63" i="2"/>
  <c r="C63" i="2"/>
  <c r="P144" i="2"/>
  <c r="P145" i="2"/>
  <c r="P61" i="2"/>
  <c r="C155" i="2"/>
  <c r="J155" i="2"/>
  <c r="F63" i="2"/>
  <c r="P58" i="2"/>
  <c r="G63" i="2"/>
  <c r="P146" i="2"/>
  <c r="P51" i="2"/>
  <c r="P148" i="2"/>
  <c r="P47" i="2"/>
  <c r="P141" i="2"/>
  <c r="P48" i="2"/>
  <c r="G155" i="2"/>
  <c r="P142" i="2"/>
  <c r="P154" i="2"/>
  <c r="DF62" i="1"/>
  <c r="P52" i="2"/>
  <c r="P149" i="2"/>
  <c r="I63" i="2"/>
  <c r="P56" i="2"/>
  <c r="B155" i="2"/>
  <c r="P42" i="2" l="1"/>
  <c r="P82" i="2" s="1"/>
  <c r="P134" i="2" s="1"/>
  <c r="A155" i="1"/>
  <c r="A156" i="2" s="1"/>
  <c r="AZ154" i="1"/>
  <c r="AZ62" i="1"/>
  <c r="A63" i="1"/>
  <c r="A64" i="2" s="1"/>
  <c r="CG43" i="1"/>
  <c r="CH2" i="1"/>
  <c r="F134" i="1"/>
  <c r="F82" i="1"/>
  <c r="F42" i="1"/>
  <c r="BJ43" i="1"/>
  <c r="BJ83" i="1" s="1"/>
  <c r="BA1" i="1"/>
  <c r="AW1" i="1"/>
  <c r="AU1" i="1"/>
  <c r="I1" i="1"/>
  <c r="F1" i="1"/>
  <c r="G44" i="1"/>
  <c r="A44" i="1"/>
  <c r="F136" i="1"/>
  <c r="J156" i="2"/>
  <c r="F156" i="2"/>
  <c r="Q54" i="2"/>
  <c r="Q150" i="2"/>
  <c r="Q62" i="2"/>
  <c r="Q143" i="2"/>
  <c r="Q58" i="2"/>
  <c r="Q140" i="2"/>
  <c r="Q151" i="2"/>
  <c r="Q49" i="2"/>
  <c r="E156" i="2"/>
  <c r="Q47" i="2"/>
  <c r="D64" i="2"/>
  <c r="C64" i="2"/>
  <c r="Q146" i="2"/>
  <c r="I156" i="2"/>
  <c r="L156" i="2"/>
  <c r="Q61" i="2"/>
  <c r="DF63" i="1"/>
  <c r="DD63" i="1"/>
  <c r="F84" i="1"/>
  <c r="K156" i="2"/>
  <c r="Q155" i="2"/>
  <c r="Q46" i="2"/>
  <c r="Q154" i="2"/>
  <c r="Q60" i="2"/>
  <c r="Q57" i="2"/>
  <c r="D156" i="2"/>
  <c r="Q145" i="2"/>
  <c r="H156" i="2"/>
  <c r="Q153" i="2"/>
  <c r="Q147" i="2"/>
  <c r="K64" i="2"/>
  <c r="H64" i="2"/>
  <c r="Q56" i="2"/>
  <c r="I64" i="2"/>
  <c r="Q52" i="2"/>
  <c r="G156" i="2"/>
  <c r="DB63" i="1"/>
  <c r="F3" i="1"/>
  <c r="F44" i="1"/>
  <c r="Q55" i="2"/>
  <c r="C156" i="2"/>
  <c r="F64" i="2"/>
  <c r="Q53" i="2"/>
  <c r="Q144" i="2"/>
  <c r="N156" i="2"/>
  <c r="Q86" i="2"/>
  <c r="Q156" i="2"/>
  <c r="P156" i="2"/>
  <c r="Q152" i="2"/>
  <c r="Q5" i="2"/>
  <c r="Q148" i="2"/>
  <c r="M64" i="2"/>
  <c r="M156" i="2"/>
  <c r="Q64" i="2"/>
  <c r="E64" i="2"/>
  <c r="G136" i="1"/>
  <c r="A3" i="1"/>
  <c r="G84" i="1"/>
  <c r="N64" i="2"/>
  <c r="J64" i="2"/>
  <c r="P64" i="2"/>
  <c r="Q138" i="2"/>
  <c r="O156" i="2"/>
  <c r="Q59" i="2"/>
  <c r="O64" i="2"/>
  <c r="Q48" i="2"/>
  <c r="Q50" i="2"/>
  <c r="Q139" i="2"/>
  <c r="G64" i="2"/>
  <c r="Q141" i="2"/>
  <c r="Q63" i="2"/>
  <c r="Q51" i="2"/>
  <c r="Q142" i="2"/>
  <c r="B156" i="2"/>
  <c r="Q149" i="2"/>
  <c r="L64" i="2"/>
  <c r="B64" i="2"/>
  <c r="D81" i="1" l="1"/>
  <c r="Q42" i="2"/>
  <c r="Q82" i="2" s="1"/>
  <c r="Q134" i="2" s="1"/>
  <c r="A4" i="2"/>
  <c r="A45" i="2"/>
  <c r="D133" i="1"/>
  <c r="A137" i="2" s="1"/>
  <c r="DG4" i="1"/>
  <c r="DG63" i="1"/>
  <c r="DG59" i="1"/>
  <c r="DG55" i="1"/>
  <c r="DG51" i="1"/>
  <c r="DG47" i="1"/>
  <c r="DG56" i="1"/>
  <c r="DG62" i="1"/>
  <c r="DG58" i="1"/>
  <c r="DG54" i="1"/>
  <c r="DG50" i="1"/>
  <c r="DG46" i="1"/>
  <c r="DG60" i="1"/>
  <c r="DG48" i="1"/>
  <c r="DG61" i="1"/>
  <c r="DG57" i="1"/>
  <c r="DG53" i="1"/>
  <c r="DG49" i="1"/>
  <c r="DG45" i="1"/>
  <c r="DG52" i="1"/>
  <c r="A156" i="1"/>
  <c r="A157" i="2" s="1"/>
  <c r="AZ155" i="1"/>
  <c r="AZ63" i="1"/>
  <c r="A64" i="1"/>
  <c r="A65" i="2" s="1"/>
  <c r="EW4" i="1"/>
  <c r="EU4" i="1"/>
  <c r="F54" i="1"/>
  <c r="BE1" i="1"/>
  <c r="AX1" i="1"/>
  <c r="BK83" i="1"/>
  <c r="BL83" i="1" s="1"/>
  <c r="BM83" i="1" s="1"/>
  <c r="BN83" i="1" s="1"/>
  <c r="BO83" i="1" s="1"/>
  <c r="BJ135" i="1"/>
  <c r="BC1" i="1"/>
  <c r="AV1" i="1"/>
  <c r="CH43" i="1"/>
  <c r="CI2" i="1"/>
  <c r="AY1" i="1"/>
  <c r="BF1" i="1" s="1"/>
  <c r="AW82" i="1"/>
  <c r="BK2" i="1"/>
  <c r="BB54" i="1"/>
  <c r="DF64" i="1"/>
  <c r="EP54" i="1"/>
  <c r="CF54" i="1"/>
  <c r="DA54" i="1"/>
  <c r="AV54" i="1"/>
  <c r="CG54" i="1"/>
  <c r="L65" i="2"/>
  <c r="R143" i="2"/>
  <c r="E65" i="2"/>
  <c r="R63" i="2"/>
  <c r="C157" i="2"/>
  <c r="R147" i="2"/>
  <c r="R51" i="2"/>
  <c r="I65" i="2"/>
  <c r="R150" i="2"/>
  <c r="R141" i="2"/>
  <c r="G157" i="2"/>
  <c r="N65" i="2"/>
  <c r="R154" i="2"/>
  <c r="B157" i="2"/>
  <c r="R144" i="2"/>
  <c r="R54" i="2"/>
  <c r="R49" i="2"/>
  <c r="DB64" i="1"/>
  <c r="BE137" i="1"/>
  <c r="AS54" i="1"/>
  <c r="DC54" i="1"/>
  <c r="DE54" i="1"/>
  <c r="EN54" i="1"/>
  <c r="BA54" i="1"/>
  <c r="R50" i="2"/>
  <c r="R145" i="2"/>
  <c r="J65" i="2"/>
  <c r="K65" i="2"/>
  <c r="R5" i="2"/>
  <c r="R157" i="2"/>
  <c r="R60" i="2"/>
  <c r="R55" i="2"/>
  <c r="R149" i="2"/>
  <c r="M65" i="2"/>
  <c r="F157" i="2"/>
  <c r="Q157" i="2"/>
  <c r="D157" i="2"/>
  <c r="R57" i="2"/>
  <c r="D65" i="2"/>
  <c r="E157" i="2"/>
  <c r="R140" i="2"/>
  <c r="R153" i="2"/>
  <c r="J157" i="2"/>
  <c r="DD64" i="1"/>
  <c r="BC54" i="1"/>
  <c r="CH54" i="1"/>
  <c r="BD54" i="1"/>
  <c r="P157" i="2"/>
  <c r="R61" i="2"/>
  <c r="O65" i="2"/>
  <c r="R146" i="2"/>
  <c r="C65" i="2"/>
  <c r="R155" i="2"/>
  <c r="R151" i="2"/>
  <c r="I157" i="2"/>
  <c r="R142" i="2"/>
  <c r="AT54" i="1"/>
  <c r="AW54" i="1"/>
  <c r="CI54" i="1"/>
  <c r="EQ54" i="1"/>
  <c r="BE54" i="1"/>
  <c r="AX54" i="1"/>
  <c r="EO54" i="1"/>
  <c r="O157" i="2"/>
  <c r="R48" i="2"/>
  <c r="M157" i="2"/>
  <c r="L157" i="2"/>
  <c r="B65" i="2"/>
  <c r="N157" i="2"/>
  <c r="Q65" i="2"/>
  <c r="R46" i="2"/>
  <c r="R62" i="2"/>
  <c r="G65" i="2"/>
  <c r="R138" i="2"/>
  <c r="R156" i="2"/>
  <c r="R152" i="2"/>
  <c r="R52" i="2"/>
  <c r="R59" i="2"/>
  <c r="R139" i="2"/>
  <c r="R148" i="2"/>
  <c r="R64" i="2"/>
  <c r="CE54" i="1"/>
  <c r="AU54" i="1"/>
  <c r="BF54" i="1"/>
  <c r="CD54" i="1"/>
  <c r="R86" i="2"/>
  <c r="H65" i="2"/>
  <c r="R58" i="2"/>
  <c r="R65" i="2"/>
  <c r="P65" i="2"/>
  <c r="R53" i="2"/>
  <c r="K157" i="2"/>
  <c r="F65" i="2"/>
  <c r="R47" i="2"/>
  <c r="R56" i="2"/>
  <c r="H157" i="2"/>
  <c r="A85" i="2" l="1"/>
  <c r="DG64" i="1"/>
  <c r="R42" i="2"/>
  <c r="R82" i="2" s="1"/>
  <c r="R134" i="2" s="1"/>
  <c r="AZ85" i="1"/>
  <c r="A86" i="1"/>
  <c r="A87" i="2" s="1"/>
  <c r="DG85" i="1"/>
  <c r="DG154" i="1"/>
  <c r="DG150" i="1"/>
  <c r="DG146" i="1"/>
  <c r="DG142" i="1"/>
  <c r="DG138" i="1"/>
  <c r="DG153" i="1"/>
  <c r="DG149" i="1"/>
  <c r="DG145" i="1"/>
  <c r="DG141" i="1"/>
  <c r="DG137" i="1"/>
  <c r="DG151" i="1"/>
  <c r="DG143" i="1"/>
  <c r="DG156" i="1"/>
  <c r="DG152" i="1"/>
  <c r="DG148" i="1"/>
  <c r="DG144" i="1"/>
  <c r="DG140" i="1"/>
  <c r="DG155" i="1"/>
  <c r="DG147" i="1"/>
  <c r="DG139" i="1"/>
  <c r="A157" i="1"/>
  <c r="A158" i="2" s="1"/>
  <c r="AZ156" i="1"/>
  <c r="A65" i="1"/>
  <c r="AZ64" i="1"/>
  <c r="FA4" i="1"/>
  <c r="EY4" i="1"/>
  <c r="DK54" i="1"/>
  <c r="DU54" i="1"/>
  <c r="DO54" i="1"/>
  <c r="DT54" i="1"/>
  <c r="DN54" i="1"/>
  <c r="EJ54" i="1"/>
  <c r="EC54" i="1" s="1"/>
  <c r="BO54" i="1" s="1"/>
  <c r="EI54" i="1"/>
  <c r="EB54" i="1" s="1"/>
  <c r="BN54" i="1" s="1"/>
  <c r="EG54" i="1"/>
  <c r="DZ54" i="1" s="1"/>
  <c r="BL54" i="1" s="1"/>
  <c r="CS54" i="1"/>
  <c r="CU54" i="1"/>
  <c r="D54" i="1"/>
  <c r="CO54" i="1"/>
  <c r="CQ54" i="1"/>
  <c r="DI54" i="1"/>
  <c r="CM54" i="1"/>
  <c r="C54" i="1"/>
  <c r="DJ54" i="1"/>
  <c r="DH54" i="1"/>
  <c r="CK54" i="1"/>
  <c r="B54" i="1"/>
  <c r="AY54" i="1"/>
  <c r="EH54" i="1"/>
  <c r="EA54" i="1" s="1"/>
  <c r="BM54" i="1" s="1"/>
  <c r="BC134" i="1"/>
  <c r="AW134" i="1"/>
  <c r="BE134" i="1"/>
  <c r="CI43" i="1"/>
  <c r="BK43" i="1"/>
  <c r="BL2" i="1"/>
  <c r="AU82" i="1"/>
  <c r="BB65" i="1"/>
  <c r="AT55" i="1"/>
  <c r="DB65" i="1"/>
  <c r="DC55" i="1"/>
  <c r="CI65" i="1"/>
  <c r="AV55" i="1"/>
  <c r="BC55" i="1"/>
  <c r="BF65" i="1"/>
  <c r="BE65" i="1"/>
  <c r="EO65" i="1"/>
  <c r="BC65" i="1"/>
  <c r="DC65" i="1"/>
  <c r="CD55" i="1"/>
  <c r="AS55" i="1"/>
  <c r="S59" i="2"/>
  <c r="S146" i="2"/>
  <c r="N87" i="2"/>
  <c r="S140" i="2"/>
  <c r="S51" i="2"/>
  <c r="S61" i="2"/>
  <c r="S56" i="2"/>
  <c r="S154" i="2"/>
  <c r="N158" i="2"/>
  <c r="O158" i="2"/>
  <c r="R87" i="2"/>
  <c r="B87" i="2"/>
  <c r="I158" i="2"/>
  <c r="S139" i="2"/>
  <c r="S144" i="2"/>
  <c r="S142" i="2"/>
  <c r="S58" i="2"/>
  <c r="S149" i="2"/>
  <c r="M87" i="2"/>
  <c r="S147" i="2"/>
  <c r="AW137" i="1"/>
  <c r="BB55" i="1"/>
  <c r="AU55" i="1"/>
  <c r="DE65" i="1"/>
  <c r="AX137" i="1"/>
  <c r="EP55" i="1"/>
  <c r="CD65" i="1"/>
  <c r="EP65" i="1"/>
  <c r="S63" i="2"/>
  <c r="S64" i="2"/>
  <c r="S48" i="2"/>
  <c r="S158" i="2"/>
  <c r="E87" i="2"/>
  <c r="L87" i="2"/>
  <c r="S49" i="2"/>
  <c r="S156" i="2"/>
  <c r="S50" i="2"/>
  <c r="CE55" i="1"/>
  <c r="CE65" i="1"/>
  <c r="AV65" i="1"/>
  <c r="DE55" i="1"/>
  <c r="EQ65" i="1"/>
  <c r="BD65" i="1"/>
  <c r="EO55" i="1"/>
  <c r="C158" i="2"/>
  <c r="S47" i="2"/>
  <c r="S86" i="2"/>
  <c r="S60" i="2"/>
  <c r="S153" i="2"/>
  <c r="J87" i="2"/>
  <c r="S87" i="2"/>
  <c r="I87" i="2"/>
  <c r="S141" i="2"/>
  <c r="K158" i="2"/>
  <c r="AT65" i="1"/>
  <c r="DF65" i="1"/>
  <c r="DD65" i="1"/>
  <c r="BA55" i="1"/>
  <c r="AX55" i="1"/>
  <c r="EN65" i="1"/>
  <c r="CH65" i="1"/>
  <c r="CF65" i="1"/>
  <c r="AU65" i="1"/>
  <c r="DA55" i="1"/>
  <c r="AS65" i="1"/>
  <c r="CG65" i="1"/>
  <c r="EQ55" i="1"/>
  <c r="BA65" i="1"/>
  <c r="P158" i="2"/>
  <c r="M158" i="2"/>
  <c r="S5" i="2"/>
  <c r="S52" i="2"/>
  <c r="E158" i="2"/>
  <c r="O87" i="2"/>
  <c r="J158" i="2"/>
  <c r="D158" i="2"/>
  <c r="H87" i="2"/>
  <c r="K87" i="2"/>
  <c r="S150" i="2"/>
  <c r="L158" i="2"/>
  <c r="F87" i="2"/>
  <c r="S53" i="2"/>
  <c r="R158" i="2"/>
  <c r="S54" i="2"/>
  <c r="S138" i="2"/>
  <c r="C87" i="2"/>
  <c r="B158" i="2"/>
  <c r="CH55" i="1"/>
  <c r="AW65" i="1"/>
  <c r="AW55" i="1"/>
  <c r="EN55" i="1"/>
  <c r="CI55" i="1"/>
  <c r="BE55" i="1"/>
  <c r="Q87" i="2"/>
  <c r="D87" i="2"/>
  <c r="H158" i="2"/>
  <c r="G87" i="2"/>
  <c r="F158" i="2"/>
  <c r="S65" i="2"/>
  <c r="S57" i="2"/>
  <c r="S148" i="2"/>
  <c r="Q158" i="2"/>
  <c r="G158" i="2"/>
  <c r="CF55" i="1"/>
  <c r="BF55" i="1"/>
  <c r="CG55" i="1"/>
  <c r="AX65" i="1"/>
  <c r="BD55" i="1"/>
  <c r="DA65" i="1"/>
  <c r="P87" i="2"/>
  <c r="S155" i="2"/>
  <c r="S152" i="2"/>
  <c r="S62" i="2"/>
  <c r="S151" i="2"/>
  <c r="S55" i="2"/>
  <c r="S46" i="2"/>
  <c r="S143" i="2"/>
  <c r="S145" i="2"/>
  <c r="S157" i="2"/>
  <c r="DG157" i="1" l="1"/>
  <c r="A66" i="2"/>
  <c r="DG65" i="1"/>
  <c r="S42" i="2"/>
  <c r="S82" i="2" s="1"/>
  <c r="S134" i="2" s="1"/>
  <c r="A87" i="1"/>
  <c r="A88" i="2" s="1"/>
  <c r="AZ86" i="1"/>
  <c r="DG86" i="1"/>
  <c r="A158" i="1"/>
  <c r="AZ157" i="1"/>
  <c r="CQ65" i="1"/>
  <c r="CK65" i="1"/>
  <c r="B65" i="1"/>
  <c r="AY65" i="1"/>
  <c r="DK65" i="1"/>
  <c r="DO65" i="1"/>
  <c r="DI65" i="1"/>
  <c r="DH65" i="1"/>
  <c r="DN65" i="1"/>
  <c r="DJ65" i="1"/>
  <c r="EH65" i="1"/>
  <c r="EA65" i="1" s="1"/>
  <c r="BM65" i="1" s="1"/>
  <c r="EI65" i="1"/>
  <c r="EB65" i="1" s="1"/>
  <c r="BN65" i="1" s="1"/>
  <c r="EG65" i="1"/>
  <c r="DZ65" i="1" s="1"/>
  <c r="BL65" i="1" s="1"/>
  <c r="CO65" i="1"/>
  <c r="D65" i="1"/>
  <c r="CU65" i="1"/>
  <c r="CM65" i="1"/>
  <c r="C65" i="1"/>
  <c r="CS65" i="1"/>
  <c r="EJ65" i="1"/>
  <c r="EC65" i="1" s="1"/>
  <c r="BO65" i="1" s="1"/>
  <c r="A66" i="1"/>
  <c r="AZ65" i="1"/>
  <c r="DT65" i="1" s="1"/>
  <c r="F65" i="1"/>
  <c r="DV54" i="1"/>
  <c r="DW54" i="1"/>
  <c r="DK55" i="1"/>
  <c r="DN55" i="1"/>
  <c r="DU55" i="1"/>
  <c r="DO55" i="1"/>
  <c r="DT55" i="1"/>
  <c r="DS54" i="1"/>
  <c r="DL54" i="1"/>
  <c r="DP54" i="1"/>
  <c r="DM54" i="1"/>
  <c r="DQ54" i="1"/>
  <c r="CP54" i="1"/>
  <c r="CB54" i="1"/>
  <c r="BU54" i="1"/>
  <c r="E54" i="1"/>
  <c r="BZ54" i="1"/>
  <c r="BS54" i="1"/>
  <c r="EJ55" i="1"/>
  <c r="EC55" i="1" s="1"/>
  <c r="BO55" i="1" s="1"/>
  <c r="EI55" i="1"/>
  <c r="EB55" i="1" s="1"/>
  <c r="BN55" i="1" s="1"/>
  <c r="EG55" i="1"/>
  <c r="DZ55" i="1" s="1"/>
  <c r="BL55" i="1" s="1"/>
  <c r="CS55" i="1"/>
  <c r="CU55" i="1"/>
  <c r="D55" i="1"/>
  <c r="CO55" i="1"/>
  <c r="CQ55" i="1"/>
  <c r="DI55" i="1"/>
  <c r="C55" i="1"/>
  <c r="CM55" i="1"/>
  <c r="DJ55" i="1"/>
  <c r="DH55" i="1"/>
  <c r="AY55" i="1"/>
  <c r="CK55" i="1"/>
  <c r="B55" i="1"/>
  <c r="EH55" i="1"/>
  <c r="EA55" i="1" s="1"/>
  <c r="BM55" i="1" s="1"/>
  <c r="F63" i="1"/>
  <c r="F55" i="1"/>
  <c r="AS82" i="1"/>
  <c r="AS134" i="1"/>
  <c r="BA134" i="1"/>
  <c r="BM2" i="1"/>
  <c r="BL43" i="1"/>
  <c r="J66" i="2"/>
  <c r="K66" i="2"/>
  <c r="N66" i="2"/>
  <c r="Q66" i="2"/>
  <c r="I66" i="2"/>
  <c r="H66" i="2"/>
  <c r="O66" i="2"/>
  <c r="P66" i="2"/>
  <c r="R66" i="2"/>
  <c r="S66" i="2"/>
  <c r="E66" i="2"/>
  <c r="L66" i="2"/>
  <c r="G66" i="2"/>
  <c r="D66" i="2"/>
  <c r="B66" i="2"/>
  <c r="M66" i="2"/>
  <c r="C66" i="2"/>
  <c r="F66" i="2"/>
  <c r="ED54" i="1" l="1"/>
  <c r="ES54" i="1"/>
  <c r="A159" i="2"/>
  <c r="DG158" i="1"/>
  <c r="A67" i="2"/>
  <c r="DG66" i="1"/>
  <c r="T42" i="2"/>
  <c r="T82" i="2" s="1"/>
  <c r="T134" i="2" s="1"/>
  <c r="A88" i="1"/>
  <c r="A89" i="2" s="1"/>
  <c r="AZ87" i="1"/>
  <c r="DG87" i="1"/>
  <c r="BU65" i="1"/>
  <c r="A159" i="1"/>
  <c r="AZ158" i="1"/>
  <c r="DQ65" i="1"/>
  <c r="CB65" i="1"/>
  <c r="BS65" i="1"/>
  <c r="DP65" i="1"/>
  <c r="DL65" i="1"/>
  <c r="DU65" i="1"/>
  <c r="E65" i="1"/>
  <c r="BZ65" i="1"/>
  <c r="A67" i="1"/>
  <c r="AZ66" i="1"/>
  <c r="F66" i="1"/>
  <c r="DM65" i="1"/>
  <c r="DS65" i="1"/>
  <c r="CP65" i="1"/>
  <c r="DV65" i="1"/>
  <c r="DW55" i="1"/>
  <c r="DV55" i="1"/>
  <c r="DS55" i="1"/>
  <c r="DL55" i="1"/>
  <c r="DP55" i="1"/>
  <c r="DM55" i="1"/>
  <c r="DQ55" i="1"/>
  <c r="E55" i="1"/>
  <c r="CB55" i="1"/>
  <c r="CC55" i="1" s="1"/>
  <c r="BZ55" i="1"/>
  <c r="CA55" i="1" s="1"/>
  <c r="CP55" i="1"/>
  <c r="BS55" i="1"/>
  <c r="BT55" i="1" s="1"/>
  <c r="BU55" i="1"/>
  <c r="BM43" i="1"/>
  <c r="BN2" i="1"/>
  <c r="F62" i="1"/>
  <c r="ED55" i="1" l="1"/>
  <c r="DW65" i="1"/>
  <c r="ES65" i="1" s="1"/>
  <c r="ES55" i="1"/>
  <c r="A160" i="2"/>
  <c r="DG159" i="1"/>
  <c r="A68" i="2"/>
  <c r="DG67" i="1"/>
  <c r="U42" i="2"/>
  <c r="U82" i="2" s="1"/>
  <c r="U134" i="2" s="1"/>
  <c r="A89" i="1"/>
  <c r="A90" i="2" s="1"/>
  <c r="AZ88" i="1"/>
  <c r="DG88" i="1"/>
  <c r="A160" i="1"/>
  <c r="AZ159" i="1"/>
  <c r="A68" i="1"/>
  <c r="AZ67" i="1"/>
  <c r="F67" i="1"/>
  <c r="F64" i="1"/>
  <c r="BN43" i="1"/>
  <c r="BO2" i="1"/>
  <c r="F61" i="1"/>
  <c r="DB67" i="1"/>
  <c r="DF68" i="1"/>
  <c r="CE66" i="1"/>
  <c r="DF67" i="1"/>
  <c r="AT155" i="1"/>
  <c r="DB66" i="1"/>
  <c r="CI67" i="1"/>
  <c r="AS146" i="1"/>
  <c r="EN68" i="1"/>
  <c r="AT153" i="1"/>
  <c r="AS160" i="1"/>
  <c r="AU66" i="1"/>
  <c r="CH67" i="1"/>
  <c r="AT151" i="1"/>
  <c r="AT156" i="1"/>
  <c r="AS140" i="1"/>
  <c r="AS68" i="1"/>
  <c r="EQ66" i="1"/>
  <c r="AT158" i="1"/>
  <c r="AT137" i="1"/>
  <c r="AS138" i="1"/>
  <c r="AT149" i="1"/>
  <c r="AX68" i="1"/>
  <c r="AS158" i="1"/>
  <c r="BD66" i="1"/>
  <c r="DA66" i="1"/>
  <c r="AT144" i="1"/>
  <c r="DE67" i="1"/>
  <c r="AW68" i="1"/>
  <c r="AW67" i="1"/>
  <c r="AS148" i="1"/>
  <c r="AS159" i="1"/>
  <c r="DC68" i="1"/>
  <c r="DC66" i="1"/>
  <c r="O67" i="2"/>
  <c r="U56" i="2"/>
  <c r="V55" i="2"/>
  <c r="J160" i="2"/>
  <c r="U156" i="2"/>
  <c r="U151" i="2"/>
  <c r="T90" i="2"/>
  <c r="T138" i="2"/>
  <c r="J88" i="2"/>
  <c r="J90" i="2"/>
  <c r="D160" i="2"/>
  <c r="L160" i="2"/>
  <c r="V148" i="2"/>
  <c r="S67" i="2"/>
  <c r="U160" i="2"/>
  <c r="T5" i="2"/>
  <c r="D67" i="2"/>
  <c r="U159" i="2"/>
  <c r="C159" i="2"/>
  <c r="T59" i="2"/>
  <c r="P89" i="2"/>
  <c r="U64" i="2"/>
  <c r="V88" i="2"/>
  <c r="U157" i="2"/>
  <c r="T62" i="2"/>
  <c r="T160" i="2"/>
  <c r="T145" i="2"/>
  <c r="F89" i="2"/>
  <c r="U139" i="2"/>
  <c r="M159" i="2"/>
  <c r="U55" i="2"/>
  <c r="S159" i="2"/>
  <c r="T55" i="2"/>
  <c r="O89" i="2"/>
  <c r="H159" i="2"/>
  <c r="P90" i="2"/>
  <c r="T50" i="2"/>
  <c r="Q67" i="2"/>
  <c r="T65" i="2"/>
  <c r="L88" i="2"/>
  <c r="V138" i="2"/>
  <c r="T159" i="2"/>
  <c r="V155" i="2"/>
  <c r="O68" i="2"/>
  <c r="T47" i="2"/>
  <c r="U145" i="2"/>
  <c r="V68" i="2"/>
  <c r="C68" i="2"/>
  <c r="E159" i="2"/>
  <c r="V154" i="2"/>
  <c r="S160" i="2"/>
  <c r="Q68" i="2"/>
  <c r="T49" i="2"/>
  <c r="V49" i="2"/>
  <c r="I67" i="2"/>
  <c r="V66" i="2"/>
  <c r="U50" i="2"/>
  <c r="V89" i="2"/>
  <c r="M160" i="2"/>
  <c r="T158" i="2"/>
  <c r="H68" i="2"/>
  <c r="H67" i="2"/>
  <c r="B159" i="2"/>
  <c r="G68" i="2"/>
  <c r="T155" i="2"/>
  <c r="U90" i="2"/>
  <c r="K90" i="2"/>
  <c r="I88" i="2"/>
  <c r="U146" i="2"/>
  <c r="R67" i="2"/>
  <c r="V157" i="2"/>
  <c r="C160" i="2"/>
  <c r="T154" i="2"/>
  <c r="Q89" i="2"/>
  <c r="B90" i="2"/>
  <c r="C90" i="2"/>
  <c r="F68" i="2"/>
  <c r="T66" i="2"/>
  <c r="E68" i="2"/>
  <c r="S89" i="2"/>
  <c r="DD66" i="1"/>
  <c r="BB68" i="1"/>
  <c r="CE67" i="1"/>
  <c r="DD67" i="1"/>
  <c r="AT68" i="1"/>
  <c r="AT66" i="1"/>
  <c r="AS152" i="1"/>
  <c r="BF68" i="1"/>
  <c r="EP66" i="1"/>
  <c r="AS153" i="1"/>
  <c r="AS145" i="1"/>
  <c r="AS137" i="1"/>
  <c r="BA67" i="1"/>
  <c r="CG66" i="1"/>
  <c r="EQ68" i="1"/>
  <c r="AT157" i="1"/>
  <c r="AS144" i="1"/>
  <c r="AT145" i="1"/>
  <c r="EQ67" i="1"/>
  <c r="AS151" i="1"/>
  <c r="BC67" i="1"/>
  <c r="DA67" i="1"/>
  <c r="EN66" i="1"/>
  <c r="CI68" i="1"/>
  <c r="CH68" i="1"/>
  <c r="CF67" i="1"/>
  <c r="AS156" i="1"/>
  <c r="AT160" i="1"/>
  <c r="AT138" i="1"/>
  <c r="AT142" i="1"/>
  <c r="BF66" i="1"/>
  <c r="DC67" i="1"/>
  <c r="EP68" i="1"/>
  <c r="CD66" i="1"/>
  <c r="E90" i="2"/>
  <c r="V145" i="2"/>
  <c r="N90" i="2"/>
  <c r="U87" i="2"/>
  <c r="U65" i="2"/>
  <c r="F67" i="2"/>
  <c r="V160" i="2"/>
  <c r="V5" i="2"/>
  <c r="Q90" i="2"/>
  <c r="N88" i="2"/>
  <c r="T46" i="2"/>
  <c r="U89" i="2"/>
  <c r="O160" i="2"/>
  <c r="E88" i="2"/>
  <c r="V57" i="2"/>
  <c r="U143" i="2"/>
  <c r="Q88" i="2"/>
  <c r="V150" i="2"/>
  <c r="S88" i="2"/>
  <c r="K160" i="2"/>
  <c r="T57" i="2"/>
  <c r="V140" i="2"/>
  <c r="M68" i="2"/>
  <c r="H90" i="2"/>
  <c r="U60" i="2"/>
  <c r="T63" i="2"/>
  <c r="T52" i="2"/>
  <c r="F160" i="2"/>
  <c r="U47" i="2"/>
  <c r="U152" i="2"/>
  <c r="U154" i="2"/>
  <c r="H89" i="2"/>
  <c r="T144" i="2"/>
  <c r="K88" i="2"/>
  <c r="U149" i="2"/>
  <c r="U51" i="2"/>
  <c r="R68" i="2"/>
  <c r="Q160" i="2"/>
  <c r="V50" i="2"/>
  <c r="V46" i="2"/>
  <c r="U141" i="2"/>
  <c r="U52" i="2"/>
  <c r="L90" i="2"/>
  <c r="T58" i="2"/>
  <c r="M67" i="2"/>
  <c r="V58" i="2"/>
  <c r="T56" i="2"/>
  <c r="T61" i="2"/>
  <c r="J68" i="2"/>
  <c r="T48" i="2"/>
  <c r="R90" i="2"/>
  <c r="M88" i="2"/>
  <c r="U57" i="2"/>
  <c r="M90" i="2"/>
  <c r="U140" i="2"/>
  <c r="J89" i="2"/>
  <c r="U61" i="2"/>
  <c r="V90" i="2"/>
  <c r="U62" i="2"/>
  <c r="G159" i="2"/>
  <c r="V53" i="2"/>
  <c r="T142" i="2"/>
  <c r="L89" i="2"/>
  <c r="R160" i="2"/>
  <c r="D90" i="2"/>
  <c r="T146" i="2"/>
  <c r="U59" i="2"/>
  <c r="R89" i="2"/>
  <c r="T89" i="2"/>
  <c r="C67" i="2"/>
  <c r="AT150" i="1"/>
  <c r="U86" i="2"/>
  <c r="O159" i="2"/>
  <c r="T86" i="2"/>
  <c r="T64" i="2"/>
  <c r="V156" i="2"/>
  <c r="V158" i="2"/>
  <c r="R88" i="2"/>
  <c r="R159" i="2"/>
  <c r="N68" i="2"/>
  <c r="N67" i="2"/>
  <c r="V61" i="2"/>
  <c r="V65" i="2"/>
  <c r="V47" i="2"/>
  <c r="T148" i="2"/>
  <c r="T150" i="2"/>
  <c r="O88" i="2"/>
  <c r="T141" i="2"/>
  <c r="T156" i="2"/>
  <c r="T60" i="2"/>
  <c r="U144" i="2"/>
  <c r="G90" i="2"/>
  <c r="CE68" i="1"/>
  <c r="AT154" i="1"/>
  <c r="DF66" i="1"/>
  <c r="AT148" i="1"/>
  <c r="AS143" i="1"/>
  <c r="CF68" i="1"/>
  <c r="AT147" i="1"/>
  <c r="AS142" i="1"/>
  <c r="AU68" i="1"/>
  <c r="AS67" i="1"/>
  <c r="CI66" i="1"/>
  <c r="DE66" i="1"/>
  <c r="AS66" i="1"/>
  <c r="AT146" i="1"/>
  <c r="EO67" i="1"/>
  <c r="CG67" i="1"/>
  <c r="AS154" i="1"/>
  <c r="AS157" i="1"/>
  <c r="BC66" i="1"/>
  <c r="CH66" i="1"/>
  <c r="EP67" i="1"/>
  <c r="AS155" i="1"/>
  <c r="AT139" i="1"/>
  <c r="AT143" i="1"/>
  <c r="CD67" i="1"/>
  <c r="BD67" i="1"/>
  <c r="AX66" i="1"/>
  <c r="BE66" i="1"/>
  <c r="AT159" i="1"/>
  <c r="AU67" i="1"/>
  <c r="BD68" i="1"/>
  <c r="AS141" i="1"/>
  <c r="T143" i="2"/>
  <c r="B67" i="2"/>
  <c r="S68" i="2"/>
  <c r="M89" i="2"/>
  <c r="U153" i="2"/>
  <c r="U88" i="2"/>
  <c r="U147" i="2"/>
  <c r="I160" i="2"/>
  <c r="V48" i="2"/>
  <c r="U66" i="2"/>
  <c r="V86" i="2"/>
  <c r="G89" i="2"/>
  <c r="B68" i="2"/>
  <c r="U148" i="2"/>
  <c r="Q159" i="2"/>
  <c r="U46" i="2"/>
  <c r="P67" i="2"/>
  <c r="V62" i="2"/>
  <c r="V152" i="2"/>
  <c r="K68" i="2"/>
  <c r="V146" i="2"/>
  <c r="DB68" i="1"/>
  <c r="AT67" i="1"/>
  <c r="DD68" i="1"/>
  <c r="BB67" i="1"/>
  <c r="BB66" i="1"/>
  <c r="AV68" i="1"/>
  <c r="AS150" i="1"/>
  <c r="BA137" i="1"/>
  <c r="DA68" i="1"/>
  <c r="AV66" i="1"/>
  <c r="EO68" i="1"/>
  <c r="BA68" i="1"/>
  <c r="BA85" i="1"/>
  <c r="AS147" i="1"/>
  <c r="CF66" i="1"/>
  <c r="AS139" i="1"/>
  <c r="BC68" i="1"/>
  <c r="BE67" i="1"/>
  <c r="CD68" i="1"/>
  <c r="DE68" i="1"/>
  <c r="CG68" i="1"/>
  <c r="AT141" i="1"/>
  <c r="AS149" i="1"/>
  <c r="AW66" i="1"/>
  <c r="AT152" i="1"/>
  <c r="BE68" i="1"/>
  <c r="AT140" i="1"/>
  <c r="EN67" i="1"/>
  <c r="BA66" i="1"/>
  <c r="AV67" i="1"/>
  <c r="BF67" i="1"/>
  <c r="AX67" i="1"/>
  <c r="EO66" i="1"/>
  <c r="P159" i="2"/>
  <c r="U155" i="2"/>
  <c r="T153" i="2"/>
  <c r="U48" i="2"/>
  <c r="I68" i="2"/>
  <c r="V151" i="2"/>
  <c r="L159" i="2"/>
  <c r="G67" i="2"/>
  <c r="T67" i="2"/>
  <c r="L67" i="2"/>
  <c r="T157" i="2"/>
  <c r="V149" i="2"/>
  <c r="U67" i="2"/>
  <c r="K89" i="2"/>
  <c r="T54" i="2"/>
  <c r="U158" i="2"/>
  <c r="V63" i="2"/>
  <c r="V67" i="2"/>
  <c r="T87" i="2"/>
  <c r="C88" i="2"/>
  <c r="V52" i="2"/>
  <c r="F88" i="2"/>
  <c r="B89" i="2"/>
  <c r="F90" i="2"/>
  <c r="D159" i="2"/>
  <c r="T51" i="2"/>
  <c r="G88" i="2"/>
  <c r="B88" i="2"/>
  <c r="K159" i="2"/>
  <c r="D68" i="2"/>
  <c r="J159" i="2"/>
  <c r="V147" i="2"/>
  <c r="C89" i="2"/>
  <c r="V56" i="2"/>
  <c r="V51" i="2"/>
  <c r="H160" i="2"/>
  <c r="T53" i="2"/>
  <c r="K67" i="2"/>
  <c r="T152" i="2"/>
  <c r="T139" i="2"/>
  <c r="V59" i="2"/>
  <c r="V153" i="2"/>
  <c r="T88" i="2"/>
  <c r="V64" i="2"/>
  <c r="T140" i="2"/>
  <c r="D89" i="2"/>
  <c r="V139" i="2"/>
  <c r="F159" i="2"/>
  <c r="G160" i="2"/>
  <c r="I90" i="2"/>
  <c r="D88" i="2"/>
  <c r="U49" i="2"/>
  <c r="V143" i="2"/>
  <c r="T149" i="2"/>
  <c r="U63" i="2"/>
  <c r="I159" i="2"/>
  <c r="V87" i="2"/>
  <c r="V142" i="2"/>
  <c r="E67" i="2"/>
  <c r="U150" i="2"/>
  <c r="U5" i="2"/>
  <c r="N160" i="2"/>
  <c r="V144" i="2"/>
  <c r="T147" i="2"/>
  <c r="H88" i="2"/>
  <c r="P68" i="2"/>
  <c r="N159" i="2"/>
  <c r="P88" i="2"/>
  <c r="B160" i="2"/>
  <c r="T151" i="2"/>
  <c r="U53" i="2"/>
  <c r="O90" i="2"/>
  <c r="S90" i="2"/>
  <c r="V141" i="2"/>
  <c r="J67" i="2"/>
  <c r="L68" i="2"/>
  <c r="P160" i="2"/>
  <c r="E89" i="2"/>
  <c r="V54" i="2"/>
  <c r="U54" i="2"/>
  <c r="U58" i="2"/>
  <c r="U68" i="2"/>
  <c r="U138" i="2"/>
  <c r="N89" i="2"/>
  <c r="E160" i="2"/>
  <c r="I89" i="2"/>
  <c r="V159" i="2"/>
  <c r="V60" i="2"/>
  <c r="U142" i="2"/>
  <c r="T68" i="2"/>
  <c r="ED65" i="1" l="1"/>
  <c r="CU67" i="1"/>
  <c r="DK67" i="1"/>
  <c r="DO67" i="1"/>
  <c r="DI67" i="1"/>
  <c r="DN67" i="1"/>
  <c r="DH67" i="1"/>
  <c r="DJ67" i="1"/>
  <c r="EJ66" i="1"/>
  <c r="EC66" i="1" s="1"/>
  <c r="BO66" i="1" s="1"/>
  <c r="CO67" i="1"/>
  <c r="D67" i="1"/>
  <c r="EH67" i="1"/>
  <c r="EA67" i="1" s="1"/>
  <c r="BM67" i="1" s="1"/>
  <c r="DU66" i="1"/>
  <c r="EH66" i="1"/>
  <c r="EA66" i="1" s="1"/>
  <c r="BM66" i="1" s="1"/>
  <c r="CU66" i="1"/>
  <c r="DJ66" i="1"/>
  <c r="DH66" i="1"/>
  <c r="DN66" i="1"/>
  <c r="EJ67" i="1"/>
  <c r="EC67" i="1" s="1"/>
  <c r="BO67" i="1" s="1"/>
  <c r="CQ67" i="1"/>
  <c r="EI67" i="1"/>
  <c r="EB67" i="1" s="1"/>
  <c r="BN67" i="1" s="1"/>
  <c r="CK67" i="1"/>
  <c r="AY67" i="1"/>
  <c r="B67" i="1"/>
  <c r="EG66" i="1"/>
  <c r="DZ66" i="1" s="1"/>
  <c r="BL66" i="1" s="1"/>
  <c r="CM66" i="1"/>
  <c r="C66" i="1"/>
  <c r="CS66" i="1"/>
  <c r="D66" i="1"/>
  <c r="CO66" i="1"/>
  <c r="DO66" i="1"/>
  <c r="DI66" i="1"/>
  <c r="DK66" i="1"/>
  <c r="CQ66" i="1"/>
  <c r="DT66" i="1"/>
  <c r="EI66" i="1"/>
  <c r="EB66" i="1" s="1"/>
  <c r="BN66" i="1" s="1"/>
  <c r="AY66" i="1"/>
  <c r="B66" i="1"/>
  <c r="CK66" i="1"/>
  <c r="EG67" i="1"/>
  <c r="DZ67" i="1" s="1"/>
  <c r="BL67" i="1" s="1"/>
  <c r="CM67" i="1"/>
  <c r="C67" i="1"/>
  <c r="CS67" i="1"/>
  <c r="DU67" i="1"/>
  <c r="A161" i="2"/>
  <c r="DG160" i="1"/>
  <c r="A69" i="2"/>
  <c r="DG68" i="1"/>
  <c r="V42" i="2"/>
  <c r="V82" i="2" s="1"/>
  <c r="V134" i="2" s="1"/>
  <c r="A90" i="1"/>
  <c r="A91" i="2" s="1"/>
  <c r="AZ89" i="1"/>
  <c r="DG89" i="1"/>
  <c r="DT67" i="1"/>
  <c r="A161" i="1"/>
  <c r="AZ160" i="1"/>
  <c r="CQ68" i="1"/>
  <c r="DK68" i="1"/>
  <c r="DI68" i="1"/>
  <c r="DO68" i="1"/>
  <c r="CK68" i="1"/>
  <c r="B68" i="1"/>
  <c r="AY68" i="1"/>
  <c r="DN68" i="1"/>
  <c r="DJ68" i="1"/>
  <c r="DH68" i="1"/>
  <c r="CS68" i="1"/>
  <c r="CU68" i="1"/>
  <c r="CO68" i="1"/>
  <c r="D68" i="1"/>
  <c r="EG68" i="1"/>
  <c r="DZ68" i="1" s="1"/>
  <c r="BL68" i="1" s="1"/>
  <c r="EJ68" i="1"/>
  <c r="EC68" i="1" s="1"/>
  <c r="BO68" i="1" s="1"/>
  <c r="EH68" i="1"/>
  <c r="EA68" i="1" s="1"/>
  <c r="BM68" i="1" s="1"/>
  <c r="EI68" i="1"/>
  <c r="EB68" i="1" s="1"/>
  <c r="BN68" i="1" s="1"/>
  <c r="CM68" i="1"/>
  <c r="C68" i="1"/>
  <c r="A69" i="1"/>
  <c r="AZ68" i="1"/>
  <c r="DT68" i="1" s="1"/>
  <c r="F68" i="1"/>
  <c r="F160" i="1"/>
  <c r="G160" i="1"/>
  <c r="BO43" i="1"/>
  <c r="F60" i="1"/>
  <c r="DB69" i="1"/>
  <c r="BF69" i="1"/>
  <c r="BA69" i="1"/>
  <c r="EO69" i="1"/>
  <c r="CH69" i="1"/>
  <c r="EQ69" i="1"/>
  <c r="DC69" i="1"/>
  <c r="M69" i="2"/>
  <c r="P91" i="2"/>
  <c r="W159" i="2"/>
  <c r="W153" i="2"/>
  <c r="W154" i="2"/>
  <c r="W158" i="2"/>
  <c r="V69" i="2"/>
  <c r="O161" i="2"/>
  <c r="D91" i="2"/>
  <c r="G69" i="2"/>
  <c r="G91" i="2"/>
  <c r="P69" i="2"/>
  <c r="N91" i="2"/>
  <c r="N69" i="2"/>
  <c r="U69" i="2"/>
  <c r="D69" i="2"/>
  <c r="U91" i="2"/>
  <c r="H91" i="2"/>
  <c r="W150" i="2"/>
  <c r="S161" i="2"/>
  <c r="W56" i="2"/>
  <c r="BB69" i="1"/>
  <c r="CG69" i="1"/>
  <c r="BC69" i="1"/>
  <c r="AV69" i="1"/>
  <c r="AU69" i="1"/>
  <c r="AS161" i="1"/>
  <c r="CI69" i="1"/>
  <c r="W61" i="2"/>
  <c r="H161" i="2"/>
  <c r="W63" i="2"/>
  <c r="W59" i="2"/>
  <c r="J91" i="2"/>
  <c r="B91" i="2"/>
  <c r="W145" i="2"/>
  <c r="V91" i="2"/>
  <c r="K161" i="2"/>
  <c r="L69" i="2"/>
  <c r="W148" i="2"/>
  <c r="W161" i="2"/>
  <c r="W86" i="2"/>
  <c r="W157" i="2"/>
  <c r="G161" i="2"/>
  <c r="W151" i="2"/>
  <c r="F91" i="2"/>
  <c r="O69" i="2"/>
  <c r="P161" i="2"/>
  <c r="W55" i="2"/>
  <c r="W160" i="2"/>
  <c r="W49" i="2"/>
  <c r="V161" i="2"/>
  <c r="W48" i="2"/>
  <c r="C69" i="2"/>
  <c r="M161" i="2"/>
  <c r="W147" i="2"/>
  <c r="W57" i="2"/>
  <c r="Q91" i="2"/>
  <c r="W149" i="2"/>
  <c r="W152" i="2"/>
  <c r="S69" i="2"/>
  <c r="L91" i="2"/>
  <c r="W47" i="2"/>
  <c r="W142" i="2"/>
  <c r="CE69" i="1"/>
  <c r="AT69" i="1"/>
  <c r="CD69" i="1"/>
  <c r="BD69" i="1"/>
  <c r="DA69" i="1"/>
  <c r="CF69" i="1"/>
  <c r="EP69" i="1"/>
  <c r="AS69" i="1"/>
  <c r="L161" i="2"/>
  <c r="M91" i="2"/>
  <c r="W140" i="2"/>
  <c r="W141" i="2"/>
  <c r="W156" i="2"/>
  <c r="W51" i="2"/>
  <c r="W139" i="2"/>
  <c r="T161" i="2"/>
  <c r="W90" i="2"/>
  <c r="N161" i="2"/>
  <c r="C91" i="2"/>
  <c r="Q161" i="2"/>
  <c r="W54" i="2"/>
  <c r="F161" i="2"/>
  <c r="W68" i="2"/>
  <c r="D161" i="2"/>
  <c r="W5" i="2"/>
  <c r="I69" i="2"/>
  <c r="K91" i="2"/>
  <c r="B69" i="2"/>
  <c r="I91" i="2"/>
  <c r="W69" i="2"/>
  <c r="J161" i="2"/>
  <c r="R69" i="2"/>
  <c r="R91" i="2"/>
  <c r="W46" i="2"/>
  <c r="DD69" i="1"/>
  <c r="DF69" i="1"/>
  <c r="BE69" i="1"/>
  <c r="DE69" i="1"/>
  <c r="AW69" i="1"/>
  <c r="AX69" i="1"/>
  <c r="EN69" i="1"/>
  <c r="AT161" i="1"/>
  <c r="W64" i="2"/>
  <c r="R161" i="2"/>
  <c r="W62" i="2"/>
  <c r="J69" i="2"/>
  <c r="W53" i="2"/>
  <c r="W50" i="2"/>
  <c r="W89" i="2"/>
  <c r="W65" i="2"/>
  <c r="T91" i="2"/>
  <c r="T69" i="2"/>
  <c r="F69" i="2"/>
  <c r="K69" i="2"/>
  <c r="W143" i="2"/>
  <c r="W67" i="2"/>
  <c r="W52" i="2"/>
  <c r="W144" i="2"/>
  <c r="W58" i="2"/>
  <c r="I161" i="2"/>
  <c r="C161" i="2"/>
  <c r="E161" i="2"/>
  <c r="W146" i="2"/>
  <c r="H69" i="2"/>
  <c r="E69" i="2"/>
  <c r="E91" i="2"/>
  <c r="O91" i="2"/>
  <c r="W88" i="2"/>
  <c r="W87" i="2"/>
  <c r="W91" i="2"/>
  <c r="W155" i="2"/>
  <c r="S91" i="2"/>
  <c r="Q69" i="2"/>
  <c r="W138" i="2"/>
  <c r="W66" i="2"/>
  <c r="W60" i="2"/>
  <c r="U161" i="2"/>
  <c r="B161" i="2"/>
  <c r="DV66" i="1" l="1"/>
  <c r="DM66" i="1"/>
  <c r="BZ67" i="1"/>
  <c r="DW66" i="1"/>
  <c r="CP66" i="1"/>
  <c r="CP67" i="1"/>
  <c r="E66" i="1"/>
  <c r="BZ66" i="1"/>
  <c r="CA66" i="1" s="1"/>
  <c r="DV67" i="1"/>
  <c r="DM67" i="1"/>
  <c r="E67" i="1"/>
  <c r="CB67" i="1"/>
  <c r="DQ67" i="1"/>
  <c r="DP66" i="1"/>
  <c r="CB66" i="1"/>
  <c r="CC66" i="1" s="1"/>
  <c r="DP67" i="1"/>
  <c r="DL67" i="1"/>
  <c r="DW67" i="1"/>
  <c r="BU66" i="1"/>
  <c r="DS66" i="1"/>
  <c r="BS67" i="1"/>
  <c r="DL66" i="1"/>
  <c r="BS66" i="1"/>
  <c r="BT66" i="1" s="1"/>
  <c r="DS67" i="1"/>
  <c r="BU67" i="1"/>
  <c r="DQ66" i="1"/>
  <c r="A162" i="2"/>
  <c r="DG161" i="1"/>
  <c r="A70" i="2"/>
  <c r="DG69" i="1"/>
  <c r="W42" i="2"/>
  <c r="W82" i="2" s="1"/>
  <c r="W134" i="2" s="1"/>
  <c r="A91" i="1"/>
  <c r="A92" i="2" s="1"/>
  <c r="AZ90" i="1"/>
  <c r="DG90" i="1"/>
  <c r="DV68" i="1"/>
  <c r="A162" i="1"/>
  <c r="AZ161" i="1"/>
  <c r="F161" i="1"/>
  <c r="G161" i="1"/>
  <c r="DQ68" i="1"/>
  <c r="BS68" i="1"/>
  <c r="BU68" i="1"/>
  <c r="BZ68" i="1"/>
  <c r="DM68" i="1"/>
  <c r="CQ69" i="1"/>
  <c r="B69" i="1"/>
  <c r="CK69" i="1"/>
  <c r="AY69" i="1"/>
  <c r="DK69" i="1"/>
  <c r="DI69" i="1"/>
  <c r="DO69" i="1"/>
  <c r="DH69" i="1"/>
  <c r="DN69" i="1"/>
  <c r="DJ69" i="1"/>
  <c r="CM69" i="1"/>
  <c r="C69" i="1"/>
  <c r="CS69" i="1"/>
  <c r="EI69" i="1"/>
  <c r="EB69" i="1" s="1"/>
  <c r="BN69" i="1" s="1"/>
  <c r="CO69" i="1"/>
  <c r="D69" i="1"/>
  <c r="EH69" i="1"/>
  <c r="EA69" i="1" s="1"/>
  <c r="BM69" i="1" s="1"/>
  <c r="EG69" i="1"/>
  <c r="DZ69" i="1" s="1"/>
  <c r="BL69" i="1" s="1"/>
  <c r="EJ69" i="1"/>
  <c r="EC69" i="1" s="1"/>
  <c r="BO69" i="1" s="1"/>
  <c r="CU69" i="1"/>
  <c r="CP68" i="1"/>
  <c r="DU68" i="1"/>
  <c r="CB68" i="1"/>
  <c r="DL68" i="1"/>
  <c r="DP68" i="1"/>
  <c r="DS68" i="1"/>
  <c r="A70" i="1"/>
  <c r="AZ69" i="1"/>
  <c r="DU69" i="1" s="1"/>
  <c r="F69" i="1"/>
  <c r="E68" i="1"/>
  <c r="F159" i="1"/>
  <c r="G159" i="1"/>
  <c r="F59" i="1"/>
  <c r="AS162" i="1"/>
  <c r="D70" i="2"/>
  <c r="X145" i="2"/>
  <c r="O92" i="2"/>
  <c r="X87" i="2"/>
  <c r="T162" i="2"/>
  <c r="P162" i="2"/>
  <c r="X155" i="2"/>
  <c r="H92" i="2"/>
  <c r="E162" i="2"/>
  <c r="Q70" i="2"/>
  <c r="P70" i="2"/>
  <c r="V92" i="2"/>
  <c r="X161" i="2"/>
  <c r="X158" i="2"/>
  <c r="G70" i="2"/>
  <c r="J92" i="2"/>
  <c r="DD70" i="1"/>
  <c r="AT162" i="1"/>
  <c r="O162" i="2"/>
  <c r="X53" i="2"/>
  <c r="X149" i="2"/>
  <c r="G162" i="2"/>
  <c r="X67" i="2"/>
  <c r="N92" i="2"/>
  <c r="X89" i="2"/>
  <c r="N70" i="2"/>
  <c r="B162" i="2"/>
  <c r="X52" i="2"/>
  <c r="X146" i="2"/>
  <c r="M70" i="2"/>
  <c r="X147" i="2"/>
  <c r="K162" i="2"/>
  <c r="I70" i="2"/>
  <c r="S70" i="2"/>
  <c r="B70" i="2"/>
  <c r="X60" i="2"/>
  <c r="C162" i="2"/>
  <c r="O70" i="2"/>
  <c r="X46" i="2"/>
  <c r="X142" i="2"/>
  <c r="X140" i="2"/>
  <c r="C92" i="2"/>
  <c r="X64" i="2"/>
  <c r="X57" i="2"/>
  <c r="X160" i="2"/>
  <c r="X157" i="2"/>
  <c r="X47" i="2"/>
  <c r="X138" i="2"/>
  <c r="T70" i="2"/>
  <c r="DF70" i="1"/>
  <c r="H162" i="2"/>
  <c r="X51" i="2"/>
  <c r="V70" i="2"/>
  <c r="D162" i="2"/>
  <c r="M162" i="2"/>
  <c r="X61" i="2"/>
  <c r="X48" i="2"/>
  <c r="R70" i="2"/>
  <c r="X88" i="2"/>
  <c r="X86" i="2"/>
  <c r="X55" i="2"/>
  <c r="W162" i="2"/>
  <c r="Q92" i="2"/>
  <c r="E92" i="2"/>
  <c r="X143" i="2"/>
  <c r="L162" i="2"/>
  <c r="P92" i="2"/>
  <c r="S92" i="2"/>
  <c r="F70" i="2"/>
  <c r="X162" i="2"/>
  <c r="X56" i="2"/>
  <c r="X70" i="2"/>
  <c r="U162" i="2"/>
  <c r="L70" i="2"/>
  <c r="H70" i="2"/>
  <c r="M92" i="2"/>
  <c r="X65" i="2"/>
  <c r="B92" i="2"/>
  <c r="X139" i="2"/>
  <c r="X68" i="2"/>
  <c r="J70" i="2"/>
  <c r="W92" i="2"/>
  <c r="X154" i="2"/>
  <c r="N162" i="2"/>
  <c r="W70" i="2"/>
  <c r="DB70" i="1"/>
  <c r="X90" i="2"/>
  <c r="G92" i="2"/>
  <c r="X156" i="2"/>
  <c r="X148" i="2"/>
  <c r="X58" i="2"/>
  <c r="X69" i="2"/>
  <c r="Q162" i="2"/>
  <c r="X92" i="2"/>
  <c r="C70" i="2"/>
  <c r="X152" i="2"/>
  <c r="X150" i="2"/>
  <c r="R92" i="2"/>
  <c r="U70" i="2"/>
  <c r="I92" i="2"/>
  <c r="X49" i="2"/>
  <c r="F162" i="2"/>
  <c r="X54" i="2"/>
  <c r="X66" i="2"/>
  <c r="K70" i="2"/>
  <c r="X153" i="2"/>
  <c r="K92" i="2"/>
  <c r="I162" i="2"/>
  <c r="E70" i="2"/>
  <c r="R162" i="2"/>
  <c r="J162" i="2"/>
  <c r="X5" i="2"/>
  <c r="X62" i="2"/>
  <c r="U92" i="2"/>
  <c r="X50" i="2"/>
  <c r="X63" i="2"/>
  <c r="X59" i="2"/>
  <c r="L92" i="2"/>
  <c r="X141" i="2"/>
  <c r="F92" i="2"/>
  <c r="T92" i="2"/>
  <c r="X144" i="2"/>
  <c r="X91" i="2"/>
  <c r="D92" i="2"/>
  <c r="S162" i="2"/>
  <c r="V162" i="2"/>
  <c r="X159" i="2"/>
  <c r="X151" i="2"/>
  <c r="ED67" i="1" l="1"/>
  <c r="ED66" i="1"/>
  <c r="DW68" i="1"/>
  <c r="ES68" i="1" s="1"/>
  <c r="ES67" i="1"/>
  <c r="ES66" i="1"/>
  <c r="BT68" i="1"/>
  <c r="BT67" i="1"/>
  <c r="CC68" i="1"/>
  <c r="CA68" i="1"/>
  <c r="CA67" i="1"/>
  <c r="CC67" i="1"/>
  <c r="A163" i="2"/>
  <c r="DG162" i="1"/>
  <c r="A71" i="2"/>
  <c r="DG70" i="1"/>
  <c r="Y160" i="2"/>
  <c r="BG159" i="1" s="1"/>
  <c r="Y156" i="2"/>
  <c r="BG155" i="1" s="1"/>
  <c r="Y152" i="2"/>
  <c r="BG151" i="1" s="1"/>
  <c r="Y148" i="2"/>
  <c r="BG147" i="1" s="1"/>
  <c r="Y144" i="2"/>
  <c r="BG143" i="1" s="1"/>
  <c r="Y140" i="2"/>
  <c r="BG139" i="1" s="1"/>
  <c r="Y159" i="2"/>
  <c r="BG158" i="1" s="1"/>
  <c r="Y155" i="2"/>
  <c r="BG154" i="1" s="1"/>
  <c r="Y151" i="2"/>
  <c r="BG150" i="1" s="1"/>
  <c r="Y147" i="2"/>
  <c r="BG146" i="1" s="1"/>
  <c r="Y143" i="2"/>
  <c r="BG142" i="1" s="1"/>
  <c r="Y139" i="2"/>
  <c r="BG138" i="1" s="1"/>
  <c r="Y162" i="2"/>
  <c r="BG161" i="1" s="1"/>
  <c r="Y158" i="2"/>
  <c r="BG157" i="1" s="1"/>
  <c r="Y154" i="2"/>
  <c r="BG153" i="1" s="1"/>
  <c r="Y150" i="2"/>
  <c r="BG149" i="1" s="1"/>
  <c r="Y146" i="2"/>
  <c r="BG145" i="1" s="1"/>
  <c r="Y142" i="2"/>
  <c r="BG141" i="1" s="1"/>
  <c r="Y138" i="2"/>
  <c r="BG137" i="1" s="1"/>
  <c r="Y161" i="2"/>
  <c r="BG160" i="1" s="1"/>
  <c r="Y157" i="2"/>
  <c r="BG156" i="1" s="1"/>
  <c r="Y153" i="2"/>
  <c r="BG152" i="1" s="1"/>
  <c r="Y149" i="2"/>
  <c r="BG148" i="1" s="1"/>
  <c r="Y145" i="2"/>
  <c r="BG144" i="1" s="1"/>
  <c r="Y141" i="2"/>
  <c r="BG140" i="1" s="1"/>
  <c r="Y86" i="2"/>
  <c r="BG85" i="1" s="1"/>
  <c r="Y5" i="2"/>
  <c r="BG4" i="1" s="1"/>
  <c r="Y48" i="2"/>
  <c r="BG47" i="1" s="1"/>
  <c r="Y55" i="2"/>
  <c r="BG54" i="1" s="1"/>
  <c r="BH54" i="1" s="1"/>
  <c r="Y51" i="2"/>
  <c r="BG50" i="1" s="1"/>
  <c r="Y58" i="2"/>
  <c r="BG57" i="1" s="1"/>
  <c r="Y46" i="2"/>
  <c r="BG45" i="1" s="1"/>
  <c r="Y53" i="2"/>
  <c r="BG52" i="1" s="1"/>
  <c r="Y47" i="2"/>
  <c r="BG46" i="1" s="1"/>
  <c r="Y54" i="2"/>
  <c r="BG53" i="1" s="1"/>
  <c r="Y49" i="2"/>
  <c r="BG48" i="1" s="1"/>
  <c r="Y60" i="2"/>
  <c r="BG59" i="1" s="1"/>
  <c r="Y56" i="2"/>
  <c r="BG55" i="1" s="1"/>
  <c r="BH55" i="1" s="1"/>
  <c r="Y50" i="2"/>
  <c r="BG49" i="1" s="1"/>
  <c r="Y62" i="2"/>
  <c r="BG61" i="1" s="1"/>
  <c r="Y52" i="2"/>
  <c r="BG51" i="1" s="1"/>
  <c r="Y57" i="2"/>
  <c r="BG56" i="1" s="1"/>
  <c r="Y59" i="2"/>
  <c r="BG58" i="1" s="1"/>
  <c r="Y67" i="2"/>
  <c r="BG66" i="1" s="1"/>
  <c r="BH66" i="1" s="1"/>
  <c r="Y66" i="2"/>
  <c r="BG65" i="1" s="1"/>
  <c r="BH65" i="1" s="1"/>
  <c r="Y63" i="2"/>
  <c r="BG62" i="1" s="1"/>
  <c r="Y69" i="2"/>
  <c r="BG68" i="1" s="1"/>
  <c r="BH68" i="1" s="1"/>
  <c r="Y65" i="2"/>
  <c r="BG64" i="1" s="1"/>
  <c r="Y68" i="2"/>
  <c r="BG67" i="1" s="1"/>
  <c r="BH67" i="1" s="1"/>
  <c r="Y70" i="2"/>
  <c r="BG69" i="1" s="1"/>
  <c r="BH69" i="1" s="1"/>
  <c r="Y61" i="2"/>
  <c r="BG60" i="1" s="1"/>
  <c r="Y64" i="2"/>
  <c r="BG63" i="1" s="1"/>
  <c r="Y87" i="2"/>
  <c r="BG86" i="1" s="1"/>
  <c r="Y88" i="2"/>
  <c r="BG87" i="1" s="1"/>
  <c r="Y89" i="2"/>
  <c r="BG88" i="1" s="1"/>
  <c r="Y90" i="2"/>
  <c r="BG89" i="1" s="1"/>
  <c r="Y91" i="2"/>
  <c r="BG90" i="1" s="1"/>
  <c r="X42" i="2"/>
  <c r="X82" i="2" s="1"/>
  <c r="X134" i="2" s="1"/>
  <c r="Y92" i="2"/>
  <c r="BG91" i="1" s="1"/>
  <c r="A92" i="1"/>
  <c r="A93" i="2" s="1"/>
  <c r="AZ91" i="1"/>
  <c r="DG91" i="1"/>
  <c r="A163" i="1"/>
  <c r="AZ162" i="1"/>
  <c r="F162" i="1"/>
  <c r="G162" i="1"/>
  <c r="DM69" i="1"/>
  <c r="DQ69" i="1"/>
  <c r="BU69" i="1"/>
  <c r="BZ69" i="1"/>
  <c r="CA69" i="1" s="1"/>
  <c r="CB69" i="1"/>
  <c r="CC69" i="1" s="1"/>
  <c r="BS69" i="1"/>
  <c r="BT69" i="1" s="1"/>
  <c r="A71" i="1"/>
  <c r="AZ70" i="1"/>
  <c r="F70" i="1"/>
  <c r="DW69" i="1"/>
  <c r="E69" i="1"/>
  <c r="DT69" i="1"/>
  <c r="DV69" i="1" s="1"/>
  <c r="DP69" i="1"/>
  <c r="DL69" i="1"/>
  <c r="CP69" i="1"/>
  <c r="DS69" i="1"/>
  <c r="F158" i="1"/>
  <c r="G158" i="1"/>
  <c r="F58" i="1"/>
  <c r="DF71" i="1"/>
  <c r="AT163" i="1"/>
  <c r="X71" i="2"/>
  <c r="B163" i="2"/>
  <c r="K93" i="2"/>
  <c r="Q71" i="2"/>
  <c r="E93" i="2"/>
  <c r="H93" i="2"/>
  <c r="P163" i="2"/>
  <c r="L71" i="2"/>
  <c r="M93" i="2"/>
  <c r="M163" i="2"/>
  <c r="J163" i="2"/>
  <c r="J71" i="2"/>
  <c r="DB71" i="1"/>
  <c r="AS163" i="1"/>
  <c r="R93" i="2"/>
  <c r="S163" i="2"/>
  <c r="F163" i="2"/>
  <c r="J93" i="2"/>
  <c r="L163" i="2"/>
  <c r="D163" i="2"/>
  <c r="D71" i="2"/>
  <c r="R71" i="2"/>
  <c r="W163" i="2"/>
  <c r="N163" i="2"/>
  <c r="S71" i="2"/>
  <c r="F71" i="2"/>
  <c r="L93" i="2"/>
  <c r="C93" i="2"/>
  <c r="Q93" i="2"/>
  <c r="K71" i="2"/>
  <c r="B93" i="2"/>
  <c r="C163" i="2"/>
  <c r="DD71" i="1"/>
  <c r="U71" i="2"/>
  <c r="H163" i="2"/>
  <c r="O163" i="2"/>
  <c r="B71" i="2"/>
  <c r="E163" i="2"/>
  <c r="I71" i="2"/>
  <c r="R163" i="2"/>
  <c r="U163" i="2"/>
  <c r="Q163" i="2"/>
  <c r="I163" i="2"/>
  <c r="X163" i="2"/>
  <c r="D93" i="2"/>
  <c r="P93" i="2"/>
  <c r="O71" i="2"/>
  <c r="V93" i="2"/>
  <c r="C71" i="2"/>
  <c r="G163" i="2"/>
  <c r="P71" i="2"/>
  <c r="X93" i="2"/>
  <c r="H71" i="2"/>
  <c r="EQ163" i="1"/>
  <c r="G71" i="2"/>
  <c r="F93" i="2"/>
  <c r="T93" i="2"/>
  <c r="U93" i="2"/>
  <c r="K163" i="2"/>
  <c r="V163" i="2"/>
  <c r="O93" i="2"/>
  <c r="W71" i="2"/>
  <c r="W93" i="2"/>
  <c r="N71" i="2"/>
  <c r="N93" i="2"/>
  <c r="S93" i="2"/>
  <c r="G93" i="2"/>
  <c r="T71" i="2"/>
  <c r="M71" i="2"/>
  <c r="T163" i="2"/>
  <c r="I93" i="2"/>
  <c r="E71" i="2"/>
  <c r="V71" i="2"/>
  <c r="ED69" i="1" l="1"/>
  <c r="ED68" i="1"/>
  <c r="ES69" i="1"/>
  <c r="Y163" i="2"/>
  <c r="BG162" i="1" s="1"/>
  <c r="A164" i="2"/>
  <c r="DG163" i="1"/>
  <c r="Y71" i="2"/>
  <c r="BG70" i="1" s="1"/>
  <c r="A72" i="2"/>
  <c r="DG71" i="1"/>
  <c r="BI67" i="1"/>
  <c r="BI55" i="1"/>
  <c r="BI69" i="1"/>
  <c r="BI66" i="1"/>
  <c r="BI68" i="1"/>
  <c r="Y93" i="2"/>
  <c r="BG92" i="1" s="1"/>
  <c r="A93" i="1"/>
  <c r="A94" i="2" s="1"/>
  <c r="AZ92" i="1"/>
  <c r="DG92" i="1"/>
  <c r="EJ163" i="1"/>
  <c r="EC163" i="1" s="1"/>
  <c r="BO163" i="1" s="1"/>
  <c r="A164" i="1"/>
  <c r="AZ163" i="1"/>
  <c r="G163" i="1"/>
  <c r="F163" i="1"/>
  <c r="A72" i="1"/>
  <c r="AZ71" i="1"/>
  <c r="F71" i="1"/>
  <c r="F56" i="1"/>
  <c r="F157" i="1"/>
  <c r="G157" i="1"/>
  <c r="F57" i="1"/>
  <c r="DD72" i="1"/>
  <c r="U164" i="2"/>
  <c r="J94" i="2"/>
  <c r="N72" i="2"/>
  <c r="G72" i="2"/>
  <c r="G164" i="2"/>
  <c r="E72" i="2"/>
  <c r="J72" i="2"/>
  <c r="X164" i="2"/>
  <c r="S72" i="2"/>
  <c r="H164" i="2"/>
  <c r="G94" i="2"/>
  <c r="Q164" i="2"/>
  <c r="D164" i="2"/>
  <c r="I164" i="2"/>
  <c r="E164" i="2"/>
  <c r="B164" i="2"/>
  <c r="L94" i="2"/>
  <c r="T164" i="2"/>
  <c r="F72" i="2"/>
  <c r="B72" i="2"/>
  <c r="H94" i="2"/>
  <c r="M72" i="2"/>
  <c r="AT164" i="1"/>
  <c r="Q72" i="2"/>
  <c r="D72" i="2"/>
  <c r="O164" i="2"/>
  <c r="R72" i="2"/>
  <c r="N94" i="2"/>
  <c r="L72" i="2"/>
  <c r="C94" i="2"/>
  <c r="V72" i="2"/>
  <c r="O72" i="2"/>
  <c r="M164" i="2"/>
  <c r="B94" i="2"/>
  <c r="X94" i="2"/>
  <c r="P164" i="2"/>
  <c r="S94" i="2"/>
  <c r="T72" i="2"/>
  <c r="U72" i="2"/>
  <c r="T94" i="2"/>
  <c r="DB72" i="1"/>
  <c r="L164" i="2"/>
  <c r="I94" i="2"/>
  <c r="E94" i="2"/>
  <c r="W164" i="2"/>
  <c r="M94" i="2"/>
  <c r="I72" i="2"/>
  <c r="S164" i="2"/>
  <c r="R94" i="2"/>
  <c r="DF72" i="1"/>
  <c r="V94" i="2"/>
  <c r="V164" i="2"/>
  <c r="P94" i="2"/>
  <c r="X72" i="2"/>
  <c r="H72" i="2"/>
  <c r="K164" i="2"/>
  <c r="F164" i="2"/>
  <c r="R164" i="2"/>
  <c r="Q94" i="2"/>
  <c r="K72" i="2"/>
  <c r="N164" i="2"/>
  <c r="U94" i="2"/>
  <c r="K94" i="2"/>
  <c r="W94" i="2"/>
  <c r="P72" i="2"/>
  <c r="W72" i="2"/>
  <c r="C164" i="2"/>
  <c r="D94" i="2"/>
  <c r="AS164" i="1"/>
  <c r="F94" i="2"/>
  <c r="O94" i="2"/>
  <c r="J164" i="2"/>
  <c r="C72" i="2"/>
  <c r="Y164" i="2" l="1"/>
  <c r="BG163" i="1" s="1"/>
  <c r="A165" i="2"/>
  <c r="DG164" i="1"/>
  <c r="Y72" i="2"/>
  <c r="BG71" i="1" s="1"/>
  <c r="A73" i="2"/>
  <c r="DG72" i="1"/>
  <c r="Y94" i="2"/>
  <c r="BG93" i="1" s="1"/>
  <c r="AZ93" i="1"/>
  <c r="A94" i="1"/>
  <c r="A95" i="2" s="1"/>
  <c r="DG93" i="1"/>
  <c r="A165" i="1"/>
  <c r="AZ164" i="1"/>
  <c r="G164" i="1"/>
  <c r="F164" i="1"/>
  <c r="A73" i="1"/>
  <c r="AZ72" i="1"/>
  <c r="F72" i="1"/>
  <c r="F53" i="1"/>
  <c r="F156" i="1"/>
  <c r="G156" i="1"/>
  <c r="DB73" i="1"/>
  <c r="AT165" i="1"/>
  <c r="O73" i="2"/>
  <c r="J73" i="2"/>
  <c r="E73" i="2"/>
  <c r="G95" i="2"/>
  <c r="B95" i="2"/>
  <c r="P73" i="2"/>
  <c r="F165" i="2"/>
  <c r="C95" i="2"/>
  <c r="E165" i="2"/>
  <c r="J95" i="2"/>
  <c r="R73" i="2"/>
  <c r="B73" i="2"/>
  <c r="M95" i="2"/>
  <c r="M165" i="2"/>
  <c r="O95" i="2"/>
  <c r="W165" i="2"/>
  <c r="DD73" i="1"/>
  <c r="K165" i="2"/>
  <c r="D73" i="2"/>
  <c r="O165" i="2"/>
  <c r="X95" i="2"/>
  <c r="W95" i="2"/>
  <c r="R165" i="2"/>
  <c r="U165" i="2"/>
  <c r="C73" i="2"/>
  <c r="S95" i="2"/>
  <c r="N95" i="2"/>
  <c r="V73" i="2"/>
  <c r="W73" i="2"/>
  <c r="H165" i="2"/>
  <c r="T165" i="2"/>
  <c r="L95" i="2"/>
  <c r="Q73" i="2"/>
  <c r="K73" i="2"/>
  <c r="DF73" i="1"/>
  <c r="X165" i="2"/>
  <c r="T95" i="2"/>
  <c r="P95" i="2"/>
  <c r="X73" i="2"/>
  <c r="U95" i="2"/>
  <c r="L73" i="2"/>
  <c r="S73" i="2"/>
  <c r="V95" i="2"/>
  <c r="E95" i="2"/>
  <c r="H95" i="2"/>
  <c r="G73" i="2"/>
  <c r="N73" i="2"/>
  <c r="I95" i="2"/>
  <c r="B165" i="2"/>
  <c r="Q95" i="2"/>
  <c r="V165" i="2"/>
  <c r="H73" i="2"/>
  <c r="I73" i="2"/>
  <c r="AS165" i="1"/>
  <c r="G165" i="2"/>
  <c r="C165" i="2"/>
  <c r="N165" i="2"/>
  <c r="P165" i="2"/>
  <c r="M73" i="2"/>
  <c r="F95" i="2"/>
  <c r="D165" i="2"/>
  <c r="U73" i="2"/>
  <c r="D95" i="2"/>
  <c r="I165" i="2"/>
  <c r="S165" i="2"/>
  <c r="J165" i="2"/>
  <c r="F73" i="2"/>
  <c r="T73" i="2"/>
  <c r="Q165" i="2"/>
  <c r="R95" i="2"/>
  <c r="L165" i="2"/>
  <c r="K95" i="2"/>
  <c r="Y165" i="2" l="1"/>
  <c r="BG164" i="1" s="1"/>
  <c r="A166" i="2"/>
  <c r="DG165" i="1"/>
  <c r="Y73" i="2"/>
  <c r="BG72" i="1" s="1"/>
  <c r="A74" i="2"/>
  <c r="DG73" i="1"/>
  <c r="Y95" i="2"/>
  <c r="BG94" i="1" s="1"/>
  <c r="DG94" i="1"/>
  <c r="A95" i="1"/>
  <c r="A96" i="2" s="1"/>
  <c r="AZ94" i="1"/>
  <c r="A166" i="1"/>
  <c r="AZ165" i="1"/>
  <c r="F165" i="1"/>
  <c r="G165" i="1"/>
  <c r="A74" i="1"/>
  <c r="AZ73" i="1"/>
  <c r="F73" i="1"/>
  <c r="F52" i="1"/>
  <c r="F155" i="1"/>
  <c r="G155" i="1"/>
  <c r="F154" i="1"/>
  <c r="G154" i="1"/>
  <c r="F48" i="1"/>
  <c r="DD74" i="1"/>
  <c r="X166" i="2"/>
  <c r="H96" i="2"/>
  <c r="U96" i="2"/>
  <c r="X96" i="2"/>
  <c r="H166" i="2"/>
  <c r="D74" i="2"/>
  <c r="J166" i="2"/>
  <c r="R96" i="2"/>
  <c r="S74" i="2"/>
  <c r="I96" i="2"/>
  <c r="N96" i="2"/>
  <c r="W96" i="2"/>
  <c r="U74" i="2"/>
  <c r="M166" i="2"/>
  <c r="V166" i="2"/>
  <c r="J74" i="2"/>
  <c r="F74" i="2"/>
  <c r="DB74" i="1"/>
  <c r="B74" i="2"/>
  <c r="C96" i="2"/>
  <c r="O166" i="2"/>
  <c r="P166" i="2"/>
  <c r="T74" i="2"/>
  <c r="Q74" i="2"/>
  <c r="J96" i="2"/>
  <c r="Q166" i="2"/>
  <c r="L166" i="2"/>
  <c r="K166" i="2"/>
  <c r="B166" i="2"/>
  <c r="G96" i="2"/>
  <c r="D166" i="2"/>
  <c r="P74" i="2"/>
  <c r="E96" i="2"/>
  <c r="L74" i="2"/>
  <c r="I74" i="2"/>
  <c r="AT166" i="1"/>
  <c r="R166" i="2"/>
  <c r="G74" i="2"/>
  <c r="D96" i="2"/>
  <c r="N74" i="2"/>
  <c r="E166" i="2"/>
  <c r="H74" i="2"/>
  <c r="G166" i="2"/>
  <c r="V96" i="2"/>
  <c r="U166" i="2"/>
  <c r="M74" i="2"/>
  <c r="T166" i="2"/>
  <c r="B96" i="2"/>
  <c r="C74" i="2"/>
  <c r="W74" i="2"/>
  <c r="M96" i="2"/>
  <c r="O74" i="2"/>
  <c r="L96" i="2"/>
  <c r="DF74" i="1"/>
  <c r="AS166" i="1"/>
  <c r="F166" i="2"/>
  <c r="S166" i="2"/>
  <c r="S96" i="2"/>
  <c r="O96" i="2"/>
  <c r="Q96" i="2"/>
  <c r="P96" i="2"/>
  <c r="E74" i="2"/>
  <c r="F96" i="2"/>
  <c r="R74" i="2"/>
  <c r="W166" i="2"/>
  <c r="I166" i="2"/>
  <c r="X74" i="2"/>
  <c r="T96" i="2"/>
  <c r="K96" i="2"/>
  <c r="V74" i="2"/>
  <c r="C166" i="2"/>
  <c r="K74" i="2"/>
  <c r="N166" i="2"/>
  <c r="Y166" i="2" l="1"/>
  <c r="BG165" i="1" s="1"/>
  <c r="A167" i="2"/>
  <c r="DG166" i="1"/>
  <c r="Y74" i="2"/>
  <c r="BG73" i="1" s="1"/>
  <c r="A75" i="2"/>
  <c r="DG74" i="1"/>
  <c r="Y96" i="2"/>
  <c r="BG95" i="1" s="1"/>
  <c r="DG95" i="1"/>
  <c r="A96" i="1"/>
  <c r="A97" i="2" s="1"/>
  <c r="AZ95" i="1"/>
  <c r="A167" i="1"/>
  <c r="AZ166" i="1"/>
  <c r="G166" i="1"/>
  <c r="F166" i="1"/>
  <c r="A75" i="1"/>
  <c r="AZ74" i="1"/>
  <c r="F74" i="1"/>
  <c r="F51" i="1"/>
  <c r="F153" i="1"/>
  <c r="G153" i="1"/>
  <c r="F47" i="1"/>
  <c r="AT167" i="1"/>
  <c r="L97" i="2"/>
  <c r="K97" i="2"/>
  <c r="U97" i="2"/>
  <c r="W97" i="2"/>
  <c r="R167" i="2"/>
  <c r="S167" i="2"/>
  <c r="C75" i="2"/>
  <c r="V75" i="2"/>
  <c r="E167" i="2"/>
  <c r="M97" i="2"/>
  <c r="S97" i="2"/>
  <c r="G167" i="2"/>
  <c r="I167" i="2"/>
  <c r="Q167" i="2"/>
  <c r="T167" i="2"/>
  <c r="P167" i="2"/>
  <c r="J167" i="2"/>
  <c r="K75" i="2"/>
  <c r="DB75" i="1"/>
  <c r="AS167" i="1"/>
  <c r="M75" i="2"/>
  <c r="V97" i="2"/>
  <c r="D75" i="2"/>
  <c r="T97" i="2"/>
  <c r="J97" i="2"/>
  <c r="P75" i="2"/>
  <c r="L167" i="2"/>
  <c r="Q97" i="2"/>
  <c r="H167" i="2"/>
  <c r="L75" i="2"/>
  <c r="R97" i="2"/>
  <c r="W75" i="2"/>
  <c r="C167" i="2"/>
  <c r="P97" i="2"/>
  <c r="C97" i="2"/>
  <c r="J75" i="2"/>
  <c r="E97" i="2"/>
  <c r="DF75" i="1"/>
  <c r="W167" i="2"/>
  <c r="U75" i="2"/>
  <c r="B75" i="2"/>
  <c r="T75" i="2"/>
  <c r="N167" i="2"/>
  <c r="D97" i="2"/>
  <c r="F167" i="2"/>
  <c r="X97" i="2"/>
  <c r="N75" i="2"/>
  <c r="D167" i="2"/>
  <c r="F75" i="2"/>
  <c r="H75" i="2"/>
  <c r="O97" i="2"/>
  <c r="G75" i="2"/>
  <c r="N97" i="2"/>
  <c r="H97" i="2"/>
  <c r="DD75" i="1"/>
  <c r="G97" i="2"/>
  <c r="X75" i="2"/>
  <c r="B97" i="2"/>
  <c r="U167" i="2"/>
  <c r="O75" i="2"/>
  <c r="X167" i="2"/>
  <c r="F97" i="2"/>
  <c r="K167" i="2"/>
  <c r="E75" i="2"/>
  <c r="I97" i="2"/>
  <c r="O167" i="2"/>
  <c r="M167" i="2"/>
  <c r="R75" i="2"/>
  <c r="I75" i="2"/>
  <c r="B167" i="2"/>
  <c r="S75" i="2"/>
  <c r="Q75" i="2"/>
  <c r="V167" i="2"/>
  <c r="Y167" i="2" l="1"/>
  <c r="BG166" i="1" s="1"/>
  <c r="A168" i="2"/>
  <c r="DG167" i="1"/>
  <c r="Y75" i="2"/>
  <c r="BG74" i="1" s="1"/>
  <c r="A76" i="2"/>
  <c r="DG75" i="1"/>
  <c r="Y97" i="2"/>
  <c r="BG96" i="1" s="1"/>
  <c r="DG96" i="1"/>
  <c r="A97" i="1"/>
  <c r="A98" i="2" s="1"/>
  <c r="AZ96" i="1"/>
  <c r="A168" i="1"/>
  <c r="AZ167" i="1"/>
  <c r="G167" i="1"/>
  <c r="F167" i="1"/>
  <c r="A76" i="1"/>
  <c r="AZ75" i="1"/>
  <c r="F75" i="1"/>
  <c r="F50" i="1"/>
  <c r="G152" i="1"/>
  <c r="F152" i="1"/>
  <c r="F46" i="1"/>
  <c r="DF76" i="1"/>
  <c r="W168" i="2"/>
  <c r="P168" i="2"/>
  <c r="Q98" i="2"/>
  <c r="U76" i="2"/>
  <c r="G98" i="2"/>
  <c r="O76" i="2"/>
  <c r="T98" i="2"/>
  <c r="T168" i="2"/>
  <c r="P76" i="2"/>
  <c r="S98" i="2"/>
  <c r="Q168" i="2"/>
  <c r="O98" i="2"/>
  <c r="K168" i="2"/>
  <c r="N98" i="2"/>
  <c r="V168" i="2"/>
  <c r="L76" i="2"/>
  <c r="B76" i="2"/>
  <c r="C168" i="2"/>
  <c r="M98" i="2"/>
  <c r="AS168" i="1"/>
  <c r="AT168" i="1"/>
  <c r="B98" i="2"/>
  <c r="F98" i="2"/>
  <c r="Q76" i="2"/>
  <c r="I76" i="2"/>
  <c r="G168" i="2"/>
  <c r="P98" i="2"/>
  <c r="D76" i="2"/>
  <c r="N168" i="2"/>
  <c r="F168" i="2"/>
  <c r="V98" i="2"/>
  <c r="U98" i="2"/>
  <c r="X168" i="2"/>
  <c r="R168" i="2"/>
  <c r="X98" i="2"/>
  <c r="H98" i="2"/>
  <c r="W98" i="2"/>
  <c r="DB76" i="1"/>
  <c r="L98" i="2"/>
  <c r="H76" i="2"/>
  <c r="M168" i="2"/>
  <c r="W76" i="2"/>
  <c r="R98" i="2"/>
  <c r="U168" i="2"/>
  <c r="V76" i="2"/>
  <c r="N76" i="2"/>
  <c r="J168" i="2"/>
  <c r="I168" i="2"/>
  <c r="I98" i="2"/>
  <c r="F76" i="2"/>
  <c r="M76" i="2"/>
  <c r="S168" i="2"/>
  <c r="J98" i="2"/>
  <c r="D98" i="2"/>
  <c r="DD76" i="1"/>
  <c r="S76" i="2"/>
  <c r="K98" i="2"/>
  <c r="J76" i="2"/>
  <c r="B168" i="2"/>
  <c r="C76" i="2"/>
  <c r="G76" i="2"/>
  <c r="X76" i="2"/>
  <c r="T76" i="2"/>
  <c r="H168" i="2"/>
  <c r="L168" i="2"/>
  <c r="D168" i="2"/>
  <c r="E76" i="2"/>
  <c r="E168" i="2"/>
  <c r="O168" i="2"/>
  <c r="R76" i="2"/>
  <c r="E98" i="2"/>
  <c r="C98" i="2"/>
  <c r="K76" i="2"/>
  <c r="Y168" i="2" l="1"/>
  <c r="BG167" i="1" s="1"/>
  <c r="A169" i="2"/>
  <c r="DG168" i="1"/>
  <c r="Y76" i="2"/>
  <c r="BG75" i="1" s="1"/>
  <c r="A77" i="2"/>
  <c r="DG76" i="1"/>
  <c r="Y98" i="2"/>
  <c r="BG97" i="1" s="1"/>
  <c r="DG97" i="1"/>
  <c r="A98" i="1"/>
  <c r="AZ97" i="1"/>
  <c r="A169" i="1"/>
  <c r="AZ168" i="1"/>
  <c r="G168" i="1"/>
  <c r="F168" i="1"/>
  <c r="A77" i="1"/>
  <c r="AZ76" i="1"/>
  <c r="F76" i="1"/>
  <c r="F49" i="1"/>
  <c r="F151" i="1"/>
  <c r="G151" i="1"/>
  <c r="F45" i="1"/>
  <c r="DB77" i="1"/>
  <c r="P169" i="2"/>
  <c r="F169" i="2"/>
  <c r="Q169" i="2"/>
  <c r="U77" i="2"/>
  <c r="G77" i="2"/>
  <c r="H169" i="2"/>
  <c r="R169" i="2"/>
  <c r="V169" i="2"/>
  <c r="H77" i="2"/>
  <c r="C169" i="2"/>
  <c r="T77" i="2"/>
  <c r="AS169" i="1"/>
  <c r="AT169" i="1"/>
  <c r="B169" i="2"/>
  <c r="O77" i="2"/>
  <c r="X77" i="2"/>
  <c r="J169" i="2"/>
  <c r="O169" i="2"/>
  <c r="K77" i="2"/>
  <c r="S169" i="2"/>
  <c r="W77" i="2"/>
  <c r="D77" i="2"/>
  <c r="D169" i="2"/>
  <c r="W169" i="2"/>
  <c r="F77" i="2"/>
  <c r="DD77" i="1"/>
  <c r="M169" i="2"/>
  <c r="N169" i="2"/>
  <c r="J77" i="2"/>
  <c r="L169" i="2"/>
  <c r="K169" i="2"/>
  <c r="R77" i="2"/>
  <c r="S77" i="2"/>
  <c r="G169" i="2"/>
  <c r="E77" i="2"/>
  <c r="C77" i="2"/>
  <c r="X169" i="2"/>
  <c r="DF77" i="1"/>
  <c r="V77" i="2"/>
  <c r="I169" i="2"/>
  <c r="T169" i="2"/>
  <c r="I77" i="2"/>
  <c r="U169" i="2"/>
  <c r="Q77" i="2"/>
  <c r="M77" i="2"/>
  <c r="N77" i="2"/>
  <c r="B77" i="2"/>
  <c r="E169" i="2"/>
  <c r="P77" i="2"/>
  <c r="L77" i="2"/>
  <c r="Y169" i="2" l="1"/>
  <c r="BG168" i="1" s="1"/>
  <c r="A170" i="2"/>
  <c r="DG169" i="1"/>
  <c r="Y77" i="2"/>
  <c r="BG76" i="1" s="1"/>
  <c r="A78" i="2"/>
  <c r="DG77" i="1"/>
  <c r="G98" i="1"/>
  <c r="A99" i="2"/>
  <c r="DG98" i="1"/>
  <c r="AZ98" i="1"/>
  <c r="A99" i="1"/>
  <c r="A100" i="2" s="1"/>
  <c r="F98" i="1"/>
  <c r="A170" i="1"/>
  <c r="AZ169" i="1"/>
  <c r="G169" i="1"/>
  <c r="F169" i="1"/>
  <c r="A78" i="1"/>
  <c r="AZ77" i="1"/>
  <c r="F77" i="1"/>
  <c r="F97" i="1"/>
  <c r="G97" i="1"/>
  <c r="G150" i="1"/>
  <c r="F150" i="1"/>
  <c r="DF78" i="1"/>
  <c r="M99" i="2"/>
  <c r="V78" i="2"/>
  <c r="Q99" i="2"/>
  <c r="L78" i="2"/>
  <c r="B170" i="2"/>
  <c r="I100" i="2"/>
  <c r="B100" i="2"/>
  <c r="J170" i="2"/>
  <c r="I99" i="2"/>
  <c r="O100" i="2"/>
  <c r="F170" i="2"/>
  <c r="R78" i="2"/>
  <c r="U100" i="2"/>
  <c r="K170" i="2"/>
  <c r="J100" i="2"/>
  <c r="E99" i="2"/>
  <c r="X100" i="2"/>
  <c r="Q100" i="2"/>
  <c r="D99" i="2"/>
  <c r="Q170" i="2"/>
  <c r="X78" i="2"/>
  <c r="J78" i="2"/>
  <c r="I78" i="2"/>
  <c r="DD78" i="1"/>
  <c r="P170" i="2"/>
  <c r="T78" i="2"/>
  <c r="L170" i="2"/>
  <c r="Q78" i="2"/>
  <c r="F78" i="2"/>
  <c r="H78" i="2"/>
  <c r="B78" i="2"/>
  <c r="E78" i="2"/>
  <c r="O99" i="2"/>
  <c r="M170" i="2"/>
  <c r="W170" i="2"/>
  <c r="U99" i="2"/>
  <c r="R99" i="2"/>
  <c r="L99" i="2"/>
  <c r="K78" i="2"/>
  <c r="G100" i="2"/>
  <c r="R170" i="2"/>
  <c r="T99" i="2"/>
  <c r="N99" i="2"/>
  <c r="G170" i="2"/>
  <c r="I170" i="2"/>
  <c r="M78" i="2"/>
  <c r="X170" i="2"/>
  <c r="AS170" i="1"/>
  <c r="U78" i="2"/>
  <c r="F100" i="2"/>
  <c r="S170" i="2"/>
  <c r="W78" i="2"/>
  <c r="F99" i="2"/>
  <c r="S100" i="2"/>
  <c r="K99" i="2"/>
  <c r="E100" i="2"/>
  <c r="S99" i="2"/>
  <c r="K100" i="2"/>
  <c r="N170" i="2"/>
  <c r="D78" i="2"/>
  <c r="X99" i="2"/>
  <c r="S78" i="2"/>
  <c r="P78" i="2"/>
  <c r="V170" i="2"/>
  <c r="T170" i="2"/>
  <c r="T100" i="2"/>
  <c r="R100" i="2"/>
  <c r="L100" i="2"/>
  <c r="G99" i="2"/>
  <c r="B99" i="2"/>
  <c r="M100" i="2"/>
  <c r="D100" i="2"/>
  <c r="DB78" i="1"/>
  <c r="AT170" i="1"/>
  <c r="O170" i="2"/>
  <c r="H99" i="2"/>
  <c r="C100" i="2"/>
  <c r="P99" i="2"/>
  <c r="W99" i="2"/>
  <c r="O78" i="2"/>
  <c r="E170" i="2"/>
  <c r="V99" i="2"/>
  <c r="P100" i="2"/>
  <c r="W100" i="2"/>
  <c r="G78" i="2"/>
  <c r="N78" i="2"/>
  <c r="C78" i="2"/>
  <c r="V100" i="2"/>
  <c r="J99" i="2"/>
  <c r="D170" i="2"/>
  <c r="C170" i="2"/>
  <c r="C99" i="2"/>
  <c r="N100" i="2"/>
  <c r="H170" i="2"/>
  <c r="U170" i="2"/>
  <c r="H100" i="2"/>
  <c r="Y170" i="2" l="1"/>
  <c r="BG169" i="1" s="1"/>
  <c r="A171" i="2"/>
  <c r="DG170" i="1"/>
  <c r="Y78" i="2"/>
  <c r="BG77" i="1" s="1"/>
  <c r="A79" i="2"/>
  <c r="DG78" i="1"/>
  <c r="Y99" i="2"/>
  <c r="BG98" i="1" s="1"/>
  <c r="Y100" i="2"/>
  <c r="BG99" i="1" s="1"/>
  <c r="DG99" i="1"/>
  <c r="A100" i="1"/>
  <c r="A101" i="2" s="1"/>
  <c r="AZ99" i="1"/>
  <c r="G99" i="1"/>
  <c r="F99" i="1"/>
  <c r="A171" i="1"/>
  <c r="AZ170" i="1"/>
  <c r="F170" i="1"/>
  <c r="G170" i="1"/>
  <c r="A79" i="1"/>
  <c r="AZ78" i="1"/>
  <c r="F78" i="1"/>
  <c r="G96" i="1"/>
  <c r="F96" i="1"/>
  <c r="F149" i="1"/>
  <c r="G149" i="1"/>
  <c r="DD79" i="1"/>
  <c r="AT171" i="1"/>
  <c r="F79" i="2"/>
  <c r="O171" i="2"/>
  <c r="P101" i="2"/>
  <c r="N101" i="2"/>
  <c r="K171" i="2"/>
  <c r="E79" i="2"/>
  <c r="C101" i="2"/>
  <c r="V79" i="2"/>
  <c r="L101" i="2"/>
  <c r="P171" i="2"/>
  <c r="W171" i="2"/>
  <c r="X101" i="2"/>
  <c r="G79" i="2"/>
  <c r="J79" i="2"/>
  <c r="W79" i="2"/>
  <c r="T79" i="2"/>
  <c r="J171" i="2"/>
  <c r="X171" i="2"/>
  <c r="DF79" i="1"/>
  <c r="V171" i="2"/>
  <c r="H101" i="2"/>
  <c r="U79" i="2"/>
  <c r="M79" i="2"/>
  <c r="F171" i="2"/>
  <c r="K79" i="2"/>
  <c r="M171" i="2"/>
  <c r="T171" i="2"/>
  <c r="U171" i="2"/>
  <c r="V101" i="2"/>
  <c r="O79" i="2"/>
  <c r="Q171" i="2"/>
  <c r="H171" i="2"/>
  <c r="O101" i="2"/>
  <c r="U101" i="2"/>
  <c r="P79" i="2"/>
  <c r="T101" i="2"/>
  <c r="Q101" i="2"/>
  <c r="AS171" i="1"/>
  <c r="B101" i="2"/>
  <c r="G101" i="2"/>
  <c r="E101" i="2"/>
  <c r="S79" i="2"/>
  <c r="M101" i="2"/>
  <c r="N171" i="2"/>
  <c r="C79" i="2"/>
  <c r="X79" i="2"/>
  <c r="E171" i="2"/>
  <c r="R101" i="2"/>
  <c r="H79" i="2"/>
  <c r="B171" i="2"/>
  <c r="R79" i="2"/>
  <c r="S171" i="2"/>
  <c r="L79" i="2"/>
  <c r="J101" i="2"/>
  <c r="DB79" i="1"/>
  <c r="D101" i="2"/>
  <c r="D171" i="2"/>
  <c r="W101" i="2"/>
  <c r="I79" i="2"/>
  <c r="R171" i="2"/>
  <c r="I101" i="2"/>
  <c r="I171" i="2"/>
  <c r="S101" i="2"/>
  <c r="Q79" i="2"/>
  <c r="C171" i="2"/>
  <c r="D79" i="2"/>
  <c r="K101" i="2"/>
  <c r="F101" i="2"/>
  <c r="B79" i="2"/>
  <c r="L171" i="2"/>
  <c r="N79" i="2"/>
  <c r="G171" i="2"/>
  <c r="Y171" i="2" l="1"/>
  <c r="BG170" i="1" s="1"/>
  <c r="A172" i="2"/>
  <c r="DG171" i="1"/>
  <c r="Y79" i="2"/>
  <c r="BG78" i="1" s="1"/>
  <c r="A80" i="2"/>
  <c r="DG79" i="1"/>
  <c r="Y101" i="2"/>
  <c r="BG100" i="1" s="1"/>
  <c r="DG100" i="1"/>
  <c r="A101" i="1"/>
  <c r="A102" i="2" s="1"/>
  <c r="AZ100" i="1"/>
  <c r="G100" i="1"/>
  <c r="F100" i="1"/>
  <c r="A172" i="1"/>
  <c r="AZ171" i="1"/>
  <c r="F171" i="1"/>
  <c r="G171" i="1"/>
  <c r="DF44" i="1"/>
  <c r="DB44" i="1"/>
  <c r="DD44" i="1"/>
  <c r="AZ79" i="1"/>
  <c r="F79" i="1"/>
  <c r="G95" i="1"/>
  <c r="F95" i="1"/>
  <c r="F148" i="1"/>
  <c r="G148" i="1"/>
  <c r="F102" i="2"/>
  <c r="C80" i="2"/>
  <c r="F80" i="2"/>
  <c r="V172" i="2"/>
  <c r="U172" i="2"/>
  <c r="O80" i="2"/>
  <c r="J80" i="2"/>
  <c r="N102" i="2"/>
  <c r="U80" i="2"/>
  <c r="L80" i="2"/>
  <c r="G102" i="2"/>
  <c r="I102" i="2"/>
  <c r="F172" i="2"/>
  <c r="X102" i="2"/>
  <c r="N80" i="2"/>
  <c r="E172" i="2"/>
  <c r="H80" i="2"/>
  <c r="AS172" i="1"/>
  <c r="Q172" i="2"/>
  <c r="E80" i="2"/>
  <c r="J172" i="2"/>
  <c r="S80" i="2"/>
  <c r="B102" i="2"/>
  <c r="P80" i="2"/>
  <c r="D172" i="2"/>
  <c r="L102" i="2"/>
  <c r="K80" i="2"/>
  <c r="V80" i="2"/>
  <c r="R172" i="2"/>
  <c r="H172" i="2"/>
  <c r="K172" i="2"/>
  <c r="M80" i="2"/>
  <c r="Q80" i="2"/>
  <c r="S102" i="2"/>
  <c r="T102" i="2"/>
  <c r="AT172" i="1"/>
  <c r="O172" i="2"/>
  <c r="G172" i="2"/>
  <c r="X80" i="2"/>
  <c r="C172" i="2"/>
  <c r="H102" i="2"/>
  <c r="D102" i="2"/>
  <c r="R80" i="2"/>
  <c r="M172" i="2"/>
  <c r="I80" i="2"/>
  <c r="B80" i="2"/>
  <c r="W80" i="2"/>
  <c r="G80" i="2"/>
  <c r="J102" i="2"/>
  <c r="T172" i="2"/>
  <c r="P102" i="2"/>
  <c r="W102" i="2"/>
  <c r="V102" i="2"/>
  <c r="O102" i="2"/>
  <c r="X172" i="2"/>
  <c r="R102" i="2"/>
  <c r="T80" i="2"/>
  <c r="I172" i="2"/>
  <c r="P172" i="2"/>
  <c r="B172" i="2"/>
  <c r="N172" i="2"/>
  <c r="E102" i="2"/>
  <c r="W172" i="2"/>
  <c r="L172" i="2"/>
  <c r="S172" i="2"/>
  <c r="D80" i="2"/>
  <c r="U102" i="2"/>
  <c r="M102" i="2"/>
  <c r="Q102" i="2"/>
  <c r="K102" i="2"/>
  <c r="C102" i="2"/>
  <c r="Y172" i="2" l="1"/>
  <c r="BG171" i="1" s="1"/>
  <c r="A173" i="2"/>
  <c r="DG172" i="1"/>
  <c r="Y80" i="2"/>
  <c r="BG79" i="1" s="1"/>
  <c r="Y102" i="2"/>
  <c r="BG101" i="1" s="1"/>
  <c r="DG101" i="1"/>
  <c r="A102" i="1"/>
  <c r="A103" i="2" s="1"/>
  <c r="AZ101" i="1"/>
  <c r="F101" i="1"/>
  <c r="G101" i="1"/>
  <c r="A173" i="1"/>
  <c r="AZ172" i="1"/>
  <c r="G172" i="1"/>
  <c r="F172" i="1"/>
  <c r="G94" i="1"/>
  <c r="F94" i="1"/>
  <c r="F147" i="1"/>
  <c r="G147" i="1"/>
  <c r="N103" i="2"/>
  <c r="N173" i="2"/>
  <c r="G173" i="2"/>
  <c r="L173" i="2"/>
  <c r="X173" i="2"/>
  <c r="D103" i="2"/>
  <c r="G103" i="2"/>
  <c r="X103" i="2"/>
  <c r="W103" i="2"/>
  <c r="R173" i="2"/>
  <c r="M173" i="2"/>
  <c r="U103" i="2"/>
  <c r="S173" i="2"/>
  <c r="J173" i="2"/>
  <c r="O103" i="2"/>
  <c r="P173" i="2"/>
  <c r="D173" i="2"/>
  <c r="K173" i="2"/>
  <c r="V103" i="2"/>
  <c r="Q173" i="2"/>
  <c r="B173" i="2"/>
  <c r="L103" i="2"/>
  <c r="B103" i="2"/>
  <c r="E103" i="2"/>
  <c r="AS173" i="1"/>
  <c r="O173" i="2"/>
  <c r="R103" i="2"/>
  <c r="P103" i="2"/>
  <c r="E173" i="2"/>
  <c r="T173" i="2"/>
  <c r="F173" i="2"/>
  <c r="V173" i="2"/>
  <c r="H103" i="2"/>
  <c r="T103" i="2"/>
  <c r="M103" i="2"/>
  <c r="J103" i="2"/>
  <c r="AT173" i="1"/>
  <c r="H173" i="2"/>
  <c r="C103" i="2"/>
  <c r="F103" i="2"/>
  <c r="Q103" i="2"/>
  <c r="W173" i="2"/>
  <c r="C173" i="2"/>
  <c r="I103" i="2"/>
  <c r="S103" i="2"/>
  <c r="U173" i="2"/>
  <c r="I173" i="2"/>
  <c r="K103" i="2"/>
  <c r="Y173" i="2" l="1"/>
  <c r="BG172" i="1" s="1"/>
  <c r="A174" i="2"/>
  <c r="DG173" i="1"/>
  <c r="Y103" i="2"/>
  <c r="BG102" i="1" s="1"/>
  <c r="DG102" i="1"/>
  <c r="A103" i="1"/>
  <c r="A104" i="2" s="1"/>
  <c r="AZ102" i="1"/>
  <c r="F102" i="1"/>
  <c r="G102" i="1"/>
  <c r="A174" i="1"/>
  <c r="AZ173" i="1"/>
  <c r="G173" i="1"/>
  <c r="F173" i="1"/>
  <c r="G93" i="1"/>
  <c r="F93" i="1"/>
  <c r="G146" i="1"/>
  <c r="F146" i="1"/>
  <c r="E174" i="2"/>
  <c r="P174" i="2"/>
  <c r="D174" i="2"/>
  <c r="K174" i="2"/>
  <c r="U104" i="2"/>
  <c r="Q104" i="2"/>
  <c r="R104" i="2"/>
  <c r="B104" i="2"/>
  <c r="W174" i="2"/>
  <c r="P104" i="2"/>
  <c r="R174" i="2"/>
  <c r="H174" i="2"/>
  <c r="AS174" i="1"/>
  <c r="H104" i="2"/>
  <c r="S174" i="2"/>
  <c r="U174" i="2"/>
  <c r="C174" i="2"/>
  <c r="L104" i="2"/>
  <c r="V174" i="2"/>
  <c r="E104" i="2"/>
  <c r="M104" i="2"/>
  <c r="N104" i="2"/>
  <c r="G104" i="2"/>
  <c r="I104" i="2"/>
  <c r="AT174" i="1"/>
  <c r="Q174" i="2"/>
  <c r="I174" i="2"/>
  <c r="L174" i="2"/>
  <c r="F174" i="2"/>
  <c r="J104" i="2"/>
  <c r="G174" i="2"/>
  <c r="D104" i="2"/>
  <c r="B174" i="2"/>
  <c r="O104" i="2"/>
  <c r="N174" i="2"/>
  <c r="F104" i="2"/>
  <c r="V104" i="2"/>
  <c r="J174" i="2"/>
  <c r="O174" i="2"/>
  <c r="S104" i="2"/>
  <c r="T174" i="2"/>
  <c r="W104" i="2"/>
  <c r="X174" i="2"/>
  <c r="K104" i="2"/>
  <c r="M174" i="2"/>
  <c r="T104" i="2"/>
  <c r="C104" i="2"/>
  <c r="X104" i="2"/>
  <c r="Y174" i="2" l="1"/>
  <c r="BG173" i="1" s="1"/>
  <c r="A175" i="2"/>
  <c r="DG174" i="1"/>
  <c r="Y104" i="2"/>
  <c r="BG103" i="1" s="1"/>
  <c r="DG103" i="1"/>
  <c r="AZ103" i="1"/>
  <c r="A104" i="1"/>
  <c r="A105" i="2" s="1"/>
  <c r="F103" i="1"/>
  <c r="G103" i="1"/>
  <c r="A175" i="1"/>
  <c r="AZ174" i="1"/>
  <c r="F174" i="1"/>
  <c r="G174" i="1"/>
  <c r="F92" i="1"/>
  <c r="G92" i="1"/>
  <c r="F145" i="1"/>
  <c r="G145" i="1"/>
  <c r="C105" i="2"/>
  <c r="J175" i="2"/>
  <c r="N105" i="2"/>
  <c r="G175" i="2"/>
  <c r="B105" i="2"/>
  <c r="K105" i="2"/>
  <c r="O105" i="2"/>
  <c r="K175" i="2"/>
  <c r="B175" i="2"/>
  <c r="V175" i="2"/>
  <c r="L175" i="2"/>
  <c r="H175" i="2"/>
  <c r="AS175" i="1"/>
  <c r="N175" i="2"/>
  <c r="X105" i="2"/>
  <c r="C175" i="2"/>
  <c r="G105" i="2"/>
  <c r="P175" i="2"/>
  <c r="M105" i="2"/>
  <c r="R105" i="2"/>
  <c r="W105" i="2"/>
  <c r="X175" i="2"/>
  <c r="W175" i="2"/>
  <c r="V105" i="2"/>
  <c r="AT175" i="1"/>
  <c r="F175" i="2"/>
  <c r="Q175" i="2"/>
  <c r="P105" i="2"/>
  <c r="S105" i="2"/>
  <c r="U175" i="2"/>
  <c r="O175" i="2"/>
  <c r="T175" i="2"/>
  <c r="L105" i="2"/>
  <c r="E105" i="2"/>
  <c r="D105" i="2"/>
  <c r="Q105" i="2"/>
  <c r="M175" i="2"/>
  <c r="J105" i="2"/>
  <c r="H105" i="2"/>
  <c r="U105" i="2"/>
  <c r="R175" i="2"/>
  <c r="S175" i="2"/>
  <c r="I105" i="2"/>
  <c r="F105" i="2"/>
  <c r="I175" i="2"/>
  <c r="D175" i="2"/>
  <c r="E175" i="2"/>
  <c r="T105" i="2"/>
  <c r="Y175" i="2" l="1"/>
  <c r="BG174" i="1" s="1"/>
  <c r="A176" i="2"/>
  <c r="DG175" i="1"/>
  <c r="Y105" i="2"/>
  <c r="BG104" i="1" s="1"/>
  <c r="DG104" i="1"/>
  <c r="A105" i="1"/>
  <c r="A106" i="2" s="1"/>
  <c r="AZ104" i="1"/>
  <c r="G104" i="1"/>
  <c r="F104" i="1"/>
  <c r="A176" i="1"/>
  <c r="AZ175" i="1"/>
  <c r="F175" i="1"/>
  <c r="G175" i="1"/>
  <c r="G91" i="1"/>
  <c r="F91" i="1"/>
  <c r="G144" i="1"/>
  <c r="F144" i="1"/>
  <c r="W176" i="2"/>
  <c r="N106" i="2"/>
  <c r="R176" i="2"/>
  <c r="V176" i="2"/>
  <c r="V106" i="2"/>
  <c r="G176" i="2"/>
  <c r="T106" i="2"/>
  <c r="M106" i="2"/>
  <c r="F176" i="2"/>
  <c r="O106" i="2"/>
  <c r="G106" i="2"/>
  <c r="D176" i="2"/>
  <c r="AS176" i="1"/>
  <c r="Q106" i="2"/>
  <c r="Q176" i="2"/>
  <c r="R106" i="2"/>
  <c r="L106" i="2"/>
  <c r="J176" i="2"/>
  <c r="P106" i="2"/>
  <c r="X106" i="2"/>
  <c r="I176" i="2"/>
  <c r="N176" i="2"/>
  <c r="F106" i="2"/>
  <c r="X176" i="2"/>
  <c r="AT176" i="1"/>
  <c r="K176" i="2"/>
  <c r="H176" i="2"/>
  <c r="J106" i="2"/>
  <c r="S106" i="2"/>
  <c r="C176" i="2"/>
  <c r="W106" i="2"/>
  <c r="I106" i="2"/>
  <c r="T176" i="2"/>
  <c r="S176" i="2"/>
  <c r="H106" i="2"/>
  <c r="C106" i="2"/>
  <c r="D106" i="2"/>
  <c r="M176" i="2"/>
  <c r="E176" i="2"/>
  <c r="U176" i="2"/>
  <c r="L176" i="2"/>
  <c r="U106" i="2"/>
  <c r="O176" i="2"/>
  <c r="K106" i="2"/>
  <c r="B106" i="2"/>
  <c r="B176" i="2"/>
  <c r="E106" i="2"/>
  <c r="P176" i="2"/>
  <c r="Y176" i="2" l="1"/>
  <c r="BG175" i="1" s="1"/>
  <c r="A177" i="2"/>
  <c r="DG176" i="1"/>
  <c r="Y106" i="2"/>
  <c r="BG105" i="1" s="1"/>
  <c r="DG105" i="1"/>
  <c r="A106" i="1"/>
  <c r="A107" i="2" s="1"/>
  <c r="AZ105" i="1"/>
  <c r="G105" i="1"/>
  <c r="F105" i="1"/>
  <c r="A177" i="1"/>
  <c r="AZ176" i="1"/>
  <c r="F176" i="1"/>
  <c r="G176" i="1"/>
  <c r="G90" i="1"/>
  <c r="F90" i="1"/>
  <c r="F143" i="1"/>
  <c r="G143" i="1"/>
  <c r="P107" i="2"/>
  <c r="V107" i="2"/>
  <c r="X107" i="2"/>
  <c r="V177" i="2"/>
  <c r="G177" i="2"/>
  <c r="E177" i="2"/>
  <c r="M107" i="2"/>
  <c r="S107" i="2"/>
  <c r="H177" i="2"/>
  <c r="T107" i="2"/>
  <c r="T177" i="2"/>
  <c r="C107" i="2"/>
  <c r="AS177" i="1"/>
  <c r="L107" i="2"/>
  <c r="C177" i="2"/>
  <c r="W107" i="2"/>
  <c r="X177" i="2"/>
  <c r="S177" i="2"/>
  <c r="J177" i="2"/>
  <c r="L177" i="2"/>
  <c r="Q177" i="2"/>
  <c r="U107" i="2"/>
  <c r="M177" i="2"/>
  <c r="F177" i="2"/>
  <c r="AT177" i="1"/>
  <c r="Q107" i="2"/>
  <c r="G107" i="2"/>
  <c r="P177" i="2"/>
  <c r="W177" i="2"/>
  <c r="J107" i="2"/>
  <c r="K177" i="2"/>
  <c r="D177" i="2"/>
  <c r="E107" i="2"/>
  <c r="U177" i="2"/>
  <c r="O177" i="2"/>
  <c r="B177" i="2"/>
  <c r="I177" i="2"/>
  <c r="N107" i="2"/>
  <c r="O107" i="2"/>
  <c r="F107" i="2"/>
  <c r="K107" i="2"/>
  <c r="R107" i="2"/>
  <c r="N177" i="2"/>
  <c r="H107" i="2"/>
  <c r="I107" i="2"/>
  <c r="R177" i="2"/>
  <c r="D107" i="2"/>
  <c r="B107" i="2"/>
  <c r="Y177" i="2" l="1"/>
  <c r="BG176" i="1" s="1"/>
  <c r="A178" i="2"/>
  <c r="DG177" i="1"/>
  <c r="Y107" i="2"/>
  <c r="BG106" i="1" s="1"/>
  <c r="DG106" i="1"/>
  <c r="A107" i="1"/>
  <c r="A108" i="2" s="1"/>
  <c r="AZ106" i="1"/>
  <c r="G106" i="1"/>
  <c r="F106" i="1"/>
  <c r="A178" i="1"/>
  <c r="AZ177" i="1"/>
  <c r="F177" i="1"/>
  <c r="G177" i="1"/>
  <c r="G89" i="1"/>
  <c r="F89" i="1"/>
  <c r="F142" i="1"/>
  <c r="G142" i="1"/>
  <c r="C108" i="2"/>
  <c r="D178" i="2"/>
  <c r="E108" i="2"/>
  <c r="O178" i="2"/>
  <c r="M178" i="2"/>
  <c r="X108" i="2"/>
  <c r="Q178" i="2"/>
  <c r="R108" i="2"/>
  <c r="N108" i="2"/>
  <c r="J178" i="2"/>
  <c r="W178" i="2"/>
  <c r="T108" i="2"/>
  <c r="AT178" i="1"/>
  <c r="I178" i="2"/>
  <c r="I108" i="2"/>
  <c r="H108" i="2"/>
  <c r="E178" i="2"/>
  <c r="P108" i="2"/>
  <c r="P178" i="2"/>
  <c r="B178" i="2"/>
  <c r="F108" i="2"/>
  <c r="L108" i="2"/>
  <c r="D108" i="2"/>
  <c r="K178" i="2"/>
  <c r="AS178" i="1"/>
  <c r="V178" i="2"/>
  <c r="R178" i="2"/>
  <c r="Q108" i="2"/>
  <c r="N178" i="2"/>
  <c r="G108" i="2"/>
  <c r="C178" i="2"/>
  <c r="F178" i="2"/>
  <c r="K108" i="2"/>
  <c r="S178" i="2"/>
  <c r="M108" i="2"/>
  <c r="X178" i="2"/>
  <c r="U108" i="2"/>
  <c r="J108" i="2"/>
  <c r="H178" i="2"/>
  <c r="G178" i="2"/>
  <c r="B108" i="2"/>
  <c r="O108" i="2"/>
  <c r="V108" i="2"/>
  <c r="L178" i="2"/>
  <c r="U178" i="2"/>
  <c r="W108" i="2"/>
  <c r="S108" i="2"/>
  <c r="T178" i="2"/>
  <c r="Y178" i="2" l="1"/>
  <c r="BG177" i="1" s="1"/>
  <c r="A179" i="2"/>
  <c r="DG178" i="1"/>
  <c r="Y108" i="2"/>
  <c r="BG107" i="1" s="1"/>
  <c r="DG107" i="1"/>
  <c r="A108" i="1"/>
  <c r="A109" i="2" s="1"/>
  <c r="F107" i="1"/>
  <c r="AZ107" i="1"/>
  <c r="G107" i="1"/>
  <c r="A179" i="1"/>
  <c r="AZ178" i="1"/>
  <c r="G178" i="1"/>
  <c r="F178" i="1"/>
  <c r="F88" i="1"/>
  <c r="G88" i="1"/>
  <c r="G141" i="1"/>
  <c r="F141" i="1"/>
  <c r="E109" i="2"/>
  <c r="Q179" i="2"/>
  <c r="J179" i="2"/>
  <c r="T109" i="2"/>
  <c r="T179" i="2"/>
  <c r="F179" i="2"/>
  <c r="I109" i="2"/>
  <c r="L179" i="2"/>
  <c r="F109" i="2"/>
  <c r="S109" i="2"/>
  <c r="Q109" i="2"/>
  <c r="P109" i="2"/>
  <c r="AT179" i="1"/>
  <c r="O109" i="2"/>
  <c r="E179" i="2"/>
  <c r="H179" i="2"/>
  <c r="S179" i="2"/>
  <c r="D179" i="2"/>
  <c r="D109" i="2"/>
  <c r="C179" i="2"/>
  <c r="B109" i="2"/>
  <c r="W179" i="2"/>
  <c r="K109" i="2"/>
  <c r="K179" i="2"/>
  <c r="AS179" i="1"/>
  <c r="J109" i="2"/>
  <c r="V109" i="2"/>
  <c r="X109" i="2"/>
  <c r="V179" i="2"/>
  <c r="O179" i="2"/>
  <c r="H109" i="2"/>
  <c r="C109" i="2"/>
  <c r="N109" i="2"/>
  <c r="M179" i="2"/>
  <c r="G179" i="2"/>
  <c r="X179" i="2"/>
  <c r="W109" i="2"/>
  <c r="P179" i="2"/>
  <c r="M109" i="2"/>
  <c r="N179" i="2"/>
  <c r="U109" i="2"/>
  <c r="R179" i="2"/>
  <c r="G109" i="2"/>
  <c r="U179" i="2"/>
  <c r="R109" i="2"/>
  <c r="L109" i="2"/>
  <c r="B179" i="2"/>
  <c r="I179" i="2"/>
  <c r="Y179" i="2" l="1"/>
  <c r="BG178" i="1" s="1"/>
  <c r="A180" i="2"/>
  <c r="DG179" i="1"/>
  <c r="Y109" i="2"/>
  <c r="BG108" i="1" s="1"/>
  <c r="DG108" i="1"/>
  <c r="G108" i="1"/>
  <c r="F108" i="1"/>
  <c r="A109" i="1"/>
  <c r="A110" i="2" s="1"/>
  <c r="AZ108" i="1"/>
  <c r="A180" i="1"/>
  <c r="AZ179" i="1"/>
  <c r="G179" i="1"/>
  <c r="F179" i="1"/>
  <c r="F87" i="1"/>
  <c r="G87" i="1"/>
  <c r="G140" i="1"/>
  <c r="F140" i="1"/>
  <c r="T180" i="2"/>
  <c r="C180" i="2"/>
  <c r="R180" i="2"/>
  <c r="D110" i="2"/>
  <c r="D180" i="2"/>
  <c r="K180" i="2"/>
  <c r="E110" i="2"/>
  <c r="B110" i="2"/>
  <c r="L180" i="2"/>
  <c r="P110" i="2"/>
  <c r="X180" i="2"/>
  <c r="AS180" i="1"/>
  <c r="H180" i="2"/>
  <c r="N110" i="2"/>
  <c r="N180" i="2"/>
  <c r="Q110" i="2"/>
  <c r="E180" i="2"/>
  <c r="V110" i="2"/>
  <c r="V180" i="2"/>
  <c r="X110" i="2"/>
  <c r="I110" i="2"/>
  <c r="R110" i="2"/>
  <c r="M180" i="2"/>
  <c r="H110" i="2"/>
  <c r="AT180" i="1"/>
  <c r="U110" i="2"/>
  <c r="K110" i="2"/>
  <c r="P180" i="2"/>
  <c r="I180" i="2"/>
  <c r="T110" i="2"/>
  <c r="O180" i="2"/>
  <c r="Q180" i="2"/>
  <c r="S110" i="2"/>
  <c r="G180" i="2"/>
  <c r="S180" i="2"/>
  <c r="J180" i="2"/>
  <c r="C110" i="2"/>
  <c r="G110" i="2"/>
  <c r="F110" i="2"/>
  <c r="B180" i="2"/>
  <c r="F180" i="2"/>
  <c r="U180" i="2"/>
  <c r="W180" i="2"/>
  <c r="W110" i="2"/>
  <c r="J110" i="2"/>
  <c r="L110" i="2"/>
  <c r="M110" i="2"/>
  <c r="O110" i="2"/>
  <c r="Y180" i="2" l="1"/>
  <c r="BG179" i="1" s="1"/>
  <c r="A181" i="2"/>
  <c r="DG180" i="1"/>
  <c r="Y110" i="2"/>
  <c r="BG109" i="1" s="1"/>
  <c r="DG109" i="1"/>
  <c r="AZ109" i="1"/>
  <c r="G109" i="1"/>
  <c r="F109" i="1"/>
  <c r="A110" i="1"/>
  <c r="A111" i="2" s="1"/>
  <c r="A181" i="1"/>
  <c r="AZ180" i="1"/>
  <c r="G180" i="1"/>
  <c r="F180" i="1"/>
  <c r="F86" i="1"/>
  <c r="G86" i="1"/>
  <c r="F139" i="1"/>
  <c r="G139" i="1"/>
  <c r="V181" i="2"/>
  <c r="P181" i="2"/>
  <c r="L181" i="2"/>
  <c r="X111" i="2"/>
  <c r="M181" i="2"/>
  <c r="M111" i="2"/>
  <c r="J111" i="2"/>
  <c r="N181" i="2"/>
  <c r="F181" i="2"/>
  <c r="R111" i="2"/>
  <c r="D181" i="2"/>
  <c r="C181" i="2"/>
  <c r="U111" i="2"/>
  <c r="AS181" i="1"/>
  <c r="D111" i="2"/>
  <c r="Q181" i="2"/>
  <c r="B181" i="2"/>
  <c r="B111" i="2"/>
  <c r="V111" i="2"/>
  <c r="G181" i="2"/>
  <c r="O111" i="2"/>
  <c r="E181" i="2"/>
  <c r="J181" i="2"/>
  <c r="AT181" i="1"/>
  <c r="C111" i="2"/>
  <c r="O181" i="2"/>
  <c r="K181" i="2"/>
  <c r="I181" i="2"/>
  <c r="Q111" i="2"/>
  <c r="L111" i="2"/>
  <c r="T111" i="2"/>
  <c r="H181" i="2"/>
  <c r="H111" i="2"/>
  <c r="R181" i="2"/>
  <c r="N111" i="2"/>
  <c r="G111" i="2"/>
  <c r="F111" i="2"/>
  <c r="K111" i="2"/>
  <c r="E111" i="2"/>
  <c r="S181" i="2"/>
  <c r="P111" i="2"/>
  <c r="X181" i="2"/>
  <c r="T181" i="2"/>
  <c r="W181" i="2"/>
  <c r="S111" i="2"/>
  <c r="I111" i="2"/>
  <c r="W111" i="2"/>
  <c r="U181" i="2"/>
  <c r="Y181" i="2" l="1"/>
  <c r="BG180" i="1" s="1"/>
  <c r="A182" i="2"/>
  <c r="DG181" i="1"/>
  <c r="Y111" i="2"/>
  <c r="BG110" i="1" s="1"/>
  <c r="DG110" i="1"/>
  <c r="AZ110" i="1"/>
  <c r="F110" i="1"/>
  <c r="G110" i="1"/>
  <c r="A111" i="1"/>
  <c r="A112" i="2" s="1"/>
  <c r="A182" i="1"/>
  <c r="AZ181" i="1"/>
  <c r="G181" i="1"/>
  <c r="F181" i="1"/>
  <c r="G85" i="1"/>
  <c r="F85" i="1"/>
  <c r="G138" i="1"/>
  <c r="F138" i="1"/>
  <c r="X112" i="2"/>
  <c r="H182" i="2"/>
  <c r="W112" i="2"/>
  <c r="K182" i="2"/>
  <c r="Q112" i="2"/>
  <c r="U182" i="2"/>
  <c r="U112" i="2"/>
  <c r="G112" i="2"/>
  <c r="L112" i="2"/>
  <c r="O112" i="2"/>
  <c r="M182" i="2"/>
  <c r="C182" i="2"/>
  <c r="AS182" i="1"/>
  <c r="M112" i="2"/>
  <c r="N182" i="2"/>
  <c r="L182" i="2"/>
  <c r="E182" i="2"/>
  <c r="S182" i="2"/>
  <c r="G182" i="2"/>
  <c r="W182" i="2"/>
  <c r="P112" i="2"/>
  <c r="K112" i="2"/>
  <c r="O182" i="2"/>
  <c r="AT182" i="1"/>
  <c r="R112" i="2"/>
  <c r="T112" i="2"/>
  <c r="I112" i="2"/>
  <c r="V182" i="2"/>
  <c r="P182" i="2"/>
  <c r="F112" i="2"/>
  <c r="H112" i="2"/>
  <c r="J112" i="2"/>
  <c r="I182" i="2"/>
  <c r="F182" i="2"/>
  <c r="B112" i="2"/>
  <c r="S112" i="2"/>
  <c r="N112" i="2"/>
  <c r="Q182" i="2"/>
  <c r="B182" i="2"/>
  <c r="D182" i="2"/>
  <c r="X182" i="2"/>
  <c r="J182" i="2"/>
  <c r="T182" i="2"/>
  <c r="D112" i="2"/>
  <c r="E112" i="2"/>
  <c r="V112" i="2"/>
  <c r="R182" i="2"/>
  <c r="C112" i="2"/>
  <c r="Y182" i="2" l="1"/>
  <c r="BG181" i="1" s="1"/>
  <c r="A183" i="2"/>
  <c r="DG182" i="1"/>
  <c r="Y112" i="2"/>
  <c r="BG111" i="1" s="1"/>
  <c r="DG111" i="1"/>
  <c r="AZ111" i="1"/>
  <c r="F111" i="1"/>
  <c r="G111" i="1"/>
  <c r="A112" i="1"/>
  <c r="A113" i="2" s="1"/>
  <c r="A183" i="1"/>
  <c r="AZ182" i="1"/>
  <c r="G182" i="1"/>
  <c r="F182" i="1"/>
  <c r="G137" i="1"/>
  <c r="F137" i="1"/>
  <c r="AT183" i="1"/>
  <c r="C183" i="2"/>
  <c r="V183" i="2"/>
  <c r="K113" i="2"/>
  <c r="O113" i="2"/>
  <c r="J113" i="2"/>
  <c r="B113" i="2"/>
  <c r="K183" i="2"/>
  <c r="E113" i="2"/>
  <c r="N113" i="2"/>
  <c r="U183" i="2"/>
  <c r="S183" i="2"/>
  <c r="B183" i="2"/>
  <c r="O183" i="2"/>
  <c r="G113" i="2"/>
  <c r="U113" i="2"/>
  <c r="H113" i="2"/>
  <c r="F113" i="2"/>
  <c r="N183" i="2"/>
  <c r="I113" i="2"/>
  <c r="P183" i="2"/>
  <c r="R113" i="2"/>
  <c r="D113" i="2"/>
  <c r="H183" i="2"/>
  <c r="L183" i="2"/>
  <c r="D183" i="2"/>
  <c r="Q113" i="2"/>
  <c r="F183" i="2"/>
  <c r="T113" i="2"/>
  <c r="G183" i="2"/>
  <c r="X183" i="2"/>
  <c r="V113" i="2"/>
  <c r="M113" i="2"/>
  <c r="L113" i="2"/>
  <c r="S113" i="2"/>
  <c r="E183" i="2"/>
  <c r="AS183" i="1"/>
  <c r="I183" i="2"/>
  <c r="J183" i="2"/>
  <c r="T183" i="2"/>
  <c r="W183" i="2"/>
  <c r="Q183" i="2"/>
  <c r="W113" i="2"/>
  <c r="M183" i="2"/>
  <c r="R183" i="2"/>
  <c r="P113" i="2"/>
  <c r="C113" i="2"/>
  <c r="X113" i="2"/>
  <c r="Y183" i="2" l="1"/>
  <c r="BG182" i="1" s="1"/>
  <c r="A184" i="2"/>
  <c r="DG183" i="1"/>
  <c r="Y113" i="2"/>
  <c r="BG112" i="1" s="1"/>
  <c r="DG112" i="1"/>
  <c r="AZ112" i="1"/>
  <c r="G112" i="1"/>
  <c r="F112" i="1"/>
  <c r="A113" i="1"/>
  <c r="A114" i="2" s="1"/>
  <c r="A184" i="1"/>
  <c r="AZ183" i="1"/>
  <c r="F183" i="1"/>
  <c r="G183" i="1"/>
  <c r="CT84" i="1"/>
  <c r="J114" i="2"/>
  <c r="R114" i="2"/>
  <c r="N184" i="2"/>
  <c r="B184" i="2"/>
  <c r="K184" i="2"/>
  <c r="E114" i="2"/>
  <c r="Q114" i="2"/>
  <c r="W184" i="2"/>
  <c r="O184" i="2"/>
  <c r="L114" i="2"/>
  <c r="K114" i="2"/>
  <c r="F184" i="2"/>
  <c r="T184" i="2"/>
  <c r="I184" i="2"/>
  <c r="Q184" i="2"/>
  <c r="P184" i="2"/>
  <c r="G114" i="2"/>
  <c r="L184" i="2"/>
  <c r="E184" i="2"/>
  <c r="V114" i="2"/>
  <c r="C114" i="2"/>
  <c r="W114" i="2"/>
  <c r="O114" i="2"/>
  <c r="H114" i="2"/>
  <c r="M114" i="2"/>
  <c r="S114" i="2"/>
  <c r="AS184" i="1"/>
  <c r="N114" i="2"/>
  <c r="X184" i="2"/>
  <c r="B114" i="2"/>
  <c r="G184" i="2"/>
  <c r="D114" i="2"/>
  <c r="X114" i="2"/>
  <c r="S184" i="2"/>
  <c r="T114" i="2"/>
  <c r="F114" i="2"/>
  <c r="M184" i="2"/>
  <c r="AT184" i="1"/>
  <c r="J184" i="2"/>
  <c r="H184" i="2"/>
  <c r="C184" i="2"/>
  <c r="D184" i="2"/>
  <c r="U114" i="2"/>
  <c r="U184" i="2"/>
  <c r="R184" i="2"/>
  <c r="P114" i="2"/>
  <c r="I114" i="2"/>
  <c r="V184" i="2"/>
  <c r="Y184" i="2" l="1"/>
  <c r="BG183" i="1" s="1"/>
  <c r="A185" i="2"/>
  <c r="DG184" i="1"/>
  <c r="Y114" i="2"/>
  <c r="BG113" i="1" s="1"/>
  <c r="DG113" i="1"/>
  <c r="F113" i="1"/>
  <c r="A114" i="1"/>
  <c r="A115" i="2" s="1"/>
  <c r="AZ113" i="1"/>
  <c r="G113" i="1"/>
  <c r="A185" i="1"/>
  <c r="AZ184" i="1"/>
  <c r="G184" i="1"/>
  <c r="F184" i="1"/>
  <c r="E115" i="2"/>
  <c r="C115" i="2"/>
  <c r="L185" i="2"/>
  <c r="S115" i="2"/>
  <c r="U185" i="2"/>
  <c r="O185" i="2"/>
  <c r="T185" i="2"/>
  <c r="F115" i="2"/>
  <c r="K115" i="2"/>
  <c r="M115" i="2"/>
  <c r="AT185" i="1"/>
  <c r="O115" i="2"/>
  <c r="S185" i="2"/>
  <c r="B185" i="2"/>
  <c r="V115" i="2"/>
  <c r="N115" i="2"/>
  <c r="I115" i="2"/>
  <c r="D185" i="2"/>
  <c r="F185" i="2"/>
  <c r="G115" i="2"/>
  <c r="Q115" i="2"/>
  <c r="U115" i="2"/>
  <c r="X185" i="2"/>
  <c r="V185" i="2"/>
  <c r="AS185" i="1"/>
  <c r="Q185" i="2"/>
  <c r="G185" i="2"/>
  <c r="P185" i="2"/>
  <c r="X115" i="2"/>
  <c r="M185" i="2"/>
  <c r="H185" i="2"/>
  <c r="R185" i="2"/>
  <c r="K185" i="2"/>
  <c r="N185" i="2"/>
  <c r="C185" i="2"/>
  <c r="R115" i="2"/>
  <c r="J185" i="2"/>
  <c r="I185" i="2"/>
  <c r="P115" i="2"/>
  <c r="J115" i="2"/>
  <c r="W185" i="2"/>
  <c r="B115" i="2"/>
  <c r="T115" i="2"/>
  <c r="L115" i="2"/>
  <c r="E185" i="2"/>
  <c r="H115" i="2"/>
  <c r="D115" i="2"/>
  <c r="W115" i="2"/>
  <c r="Y185" i="2" l="1"/>
  <c r="BG184" i="1" s="1"/>
  <c r="A186" i="2"/>
  <c r="DG185" i="1"/>
  <c r="Y115" i="2"/>
  <c r="BG114" i="1" s="1"/>
  <c r="DG114" i="1"/>
  <c r="F114" i="1"/>
  <c r="G114" i="1"/>
  <c r="A115" i="1"/>
  <c r="A116" i="2" s="1"/>
  <c r="AZ114" i="1"/>
  <c r="A186" i="1"/>
  <c r="AZ185" i="1"/>
  <c r="G185" i="1"/>
  <c r="F185" i="1"/>
  <c r="BK135" i="1"/>
  <c r="BL135" i="1" s="1"/>
  <c r="BM135" i="1" s="1"/>
  <c r="BN135" i="1" s="1"/>
  <c r="BO135" i="1" s="1"/>
  <c r="K116" i="2"/>
  <c r="K186" i="2"/>
  <c r="H116" i="2"/>
  <c r="Q116" i="2"/>
  <c r="I186" i="2"/>
  <c r="P186" i="2"/>
  <c r="T186" i="2"/>
  <c r="G186" i="2"/>
  <c r="Q186" i="2"/>
  <c r="S116" i="2"/>
  <c r="E186" i="2"/>
  <c r="X186" i="2"/>
  <c r="O186" i="2"/>
  <c r="P116" i="2"/>
  <c r="L186" i="2"/>
  <c r="C186" i="2"/>
  <c r="L116" i="2"/>
  <c r="N116" i="2"/>
  <c r="F186" i="2"/>
  <c r="O116" i="2"/>
  <c r="U186" i="2"/>
  <c r="V186" i="2"/>
  <c r="N186" i="2"/>
  <c r="T116" i="2"/>
  <c r="AT186" i="1"/>
  <c r="W116" i="2"/>
  <c r="B116" i="2"/>
  <c r="H186" i="2"/>
  <c r="M186" i="2"/>
  <c r="J186" i="2"/>
  <c r="U116" i="2"/>
  <c r="I116" i="2"/>
  <c r="B186" i="2"/>
  <c r="M116" i="2"/>
  <c r="J116" i="2"/>
  <c r="D116" i="2"/>
  <c r="AS186" i="1"/>
  <c r="F116" i="2"/>
  <c r="R186" i="2"/>
  <c r="W186" i="2"/>
  <c r="V116" i="2"/>
  <c r="E116" i="2"/>
  <c r="D186" i="2"/>
  <c r="X116" i="2"/>
  <c r="R116" i="2"/>
  <c r="G116" i="2"/>
  <c r="S186" i="2"/>
  <c r="C116" i="2"/>
  <c r="Y186" i="2" l="1"/>
  <c r="BG185" i="1" s="1"/>
  <c r="A187" i="2"/>
  <c r="DG186" i="1"/>
  <c r="Y116" i="2"/>
  <c r="BG115" i="1" s="1"/>
  <c r="DG115" i="1"/>
  <c r="AZ115" i="1"/>
  <c r="G115" i="1"/>
  <c r="F115" i="1"/>
  <c r="A116" i="1"/>
  <c r="A117" i="2" s="1"/>
  <c r="A187" i="1"/>
  <c r="AZ186" i="1"/>
  <c r="F186" i="1"/>
  <c r="G186" i="1"/>
  <c r="CE135" i="1"/>
  <c r="CF135" i="1" s="1"/>
  <c r="CG135" i="1" s="1"/>
  <c r="CH135" i="1" s="1"/>
  <c r="CI135" i="1" s="1"/>
  <c r="E117" i="2"/>
  <c r="X117" i="2"/>
  <c r="M187" i="2"/>
  <c r="Q187" i="2"/>
  <c r="G187" i="2"/>
  <c r="M117" i="2"/>
  <c r="K117" i="2"/>
  <c r="R187" i="2"/>
  <c r="B117" i="2"/>
  <c r="T187" i="2"/>
  <c r="R117" i="2"/>
  <c r="E187" i="2"/>
  <c r="P187" i="2"/>
  <c r="N117" i="2"/>
  <c r="P117" i="2"/>
  <c r="U117" i="2"/>
  <c r="U187" i="2"/>
  <c r="D187" i="2"/>
  <c r="W117" i="2"/>
  <c r="G117" i="2"/>
  <c r="L117" i="2"/>
  <c r="S117" i="2"/>
  <c r="O187" i="2"/>
  <c r="N187" i="2"/>
  <c r="AT187" i="1"/>
  <c r="S187" i="2"/>
  <c r="B187" i="2"/>
  <c r="H117" i="2"/>
  <c r="F187" i="2"/>
  <c r="D117" i="2"/>
  <c r="K187" i="2"/>
  <c r="O117" i="2"/>
  <c r="H187" i="2"/>
  <c r="Q117" i="2"/>
  <c r="V117" i="2"/>
  <c r="J187" i="2"/>
  <c r="AS187" i="1"/>
  <c r="T117" i="2"/>
  <c r="F117" i="2"/>
  <c r="V187" i="2"/>
  <c r="C187" i="2"/>
  <c r="C117" i="2"/>
  <c r="J117" i="2"/>
  <c r="I187" i="2"/>
  <c r="W187" i="2"/>
  <c r="X187" i="2"/>
  <c r="L187" i="2"/>
  <c r="I117" i="2"/>
  <c r="Y187" i="2" l="1"/>
  <c r="BG186" i="1" s="1"/>
  <c r="A188" i="2"/>
  <c r="DG187" i="1"/>
  <c r="Y117" i="2"/>
  <c r="BG116" i="1" s="1"/>
  <c r="DG116" i="1"/>
  <c r="AZ116" i="1"/>
  <c r="F116" i="1"/>
  <c r="G116" i="1"/>
  <c r="A117" i="1"/>
  <c r="A118" i="2" s="1"/>
  <c r="A188" i="1"/>
  <c r="AZ187" i="1"/>
  <c r="G187" i="1"/>
  <c r="F187" i="1"/>
  <c r="T118" i="2"/>
  <c r="X188" i="2"/>
  <c r="V118" i="2"/>
  <c r="H118" i="2"/>
  <c r="W188" i="2"/>
  <c r="R188" i="2"/>
  <c r="F188" i="2"/>
  <c r="E118" i="2"/>
  <c r="O118" i="2"/>
  <c r="H188" i="2"/>
  <c r="W118" i="2"/>
  <c r="U118" i="2"/>
  <c r="I118" i="2"/>
  <c r="AT188" i="1"/>
  <c r="K188" i="2"/>
  <c r="O188" i="2"/>
  <c r="F118" i="2"/>
  <c r="J118" i="2"/>
  <c r="J188" i="2"/>
  <c r="S188" i="2"/>
  <c r="B118" i="2"/>
  <c r="N188" i="2"/>
  <c r="L118" i="2"/>
  <c r="AS188" i="1"/>
  <c r="G188" i="2"/>
  <c r="M118" i="2"/>
  <c r="P188" i="2"/>
  <c r="Q118" i="2"/>
  <c r="N118" i="2"/>
  <c r="D118" i="2"/>
  <c r="Q188" i="2"/>
  <c r="K118" i="2"/>
  <c r="M188" i="2"/>
  <c r="R118" i="2"/>
  <c r="B188" i="2"/>
  <c r="I188" i="2"/>
  <c r="G118" i="2"/>
  <c r="C188" i="2"/>
  <c r="T188" i="2"/>
  <c r="E188" i="2"/>
  <c r="S118" i="2"/>
  <c r="X118" i="2"/>
  <c r="C118" i="2"/>
  <c r="V188" i="2"/>
  <c r="U188" i="2"/>
  <c r="D188" i="2"/>
  <c r="P118" i="2"/>
  <c r="L188" i="2"/>
  <c r="Y188" i="2" l="1"/>
  <c r="BG187" i="1" s="1"/>
  <c r="A189" i="2"/>
  <c r="DG188" i="1"/>
  <c r="Y118" i="2"/>
  <c r="BG117" i="1" s="1"/>
  <c r="DG117" i="1"/>
  <c r="A118" i="1"/>
  <c r="A119" i="2" s="1"/>
  <c r="AZ117" i="1"/>
  <c r="F117" i="1"/>
  <c r="G117" i="1"/>
  <c r="A189" i="1"/>
  <c r="AZ188" i="1"/>
  <c r="F188" i="1"/>
  <c r="G188" i="1"/>
  <c r="AS189" i="1"/>
  <c r="G119" i="2"/>
  <c r="I189" i="2"/>
  <c r="R189" i="2"/>
  <c r="Q119" i="2"/>
  <c r="F189" i="2"/>
  <c r="J189" i="2"/>
  <c r="O189" i="2"/>
  <c r="P189" i="2"/>
  <c r="I119" i="2"/>
  <c r="H119" i="2"/>
  <c r="DD189" i="1"/>
  <c r="D189" i="2"/>
  <c r="B189" i="2"/>
  <c r="N119" i="2"/>
  <c r="E189" i="2"/>
  <c r="S119" i="2"/>
  <c r="Q189" i="2"/>
  <c r="R119" i="2"/>
  <c r="W189" i="2"/>
  <c r="H189" i="2"/>
  <c r="U119" i="2"/>
  <c r="X119" i="2"/>
  <c r="T119" i="2"/>
  <c r="AT189" i="1"/>
  <c r="K119" i="2"/>
  <c r="B119" i="2"/>
  <c r="K189" i="2"/>
  <c r="G189" i="2"/>
  <c r="L119" i="2"/>
  <c r="O119" i="2"/>
  <c r="P119" i="2"/>
  <c r="M119" i="2"/>
  <c r="J119" i="2"/>
  <c r="U189" i="2"/>
  <c r="N189" i="2"/>
  <c r="DC189" i="1"/>
  <c r="C189" i="2"/>
  <c r="V119" i="2"/>
  <c r="L189" i="2"/>
  <c r="T189" i="2"/>
  <c r="C119" i="2"/>
  <c r="V189" i="2"/>
  <c r="W119" i="2"/>
  <c r="M189" i="2"/>
  <c r="X189" i="2"/>
  <c r="F119" i="2"/>
  <c r="D119" i="2"/>
  <c r="E119" i="2"/>
  <c r="S189" i="2"/>
  <c r="Y189" i="2" l="1"/>
  <c r="BG188" i="1" s="1"/>
  <c r="A190" i="2"/>
  <c r="DG189" i="1"/>
  <c r="Y119" i="2"/>
  <c r="BG118" i="1" s="1"/>
  <c r="DG118" i="1"/>
  <c r="A119" i="1"/>
  <c r="A120" i="2" s="1"/>
  <c r="AZ118" i="1"/>
  <c r="G118" i="1"/>
  <c r="F118" i="1"/>
  <c r="AZ189" i="1"/>
  <c r="F189" i="1"/>
  <c r="G189" i="1"/>
  <c r="EL43" i="1"/>
  <c r="EL67" i="1"/>
  <c r="S190" i="2"/>
  <c r="K120" i="2"/>
  <c r="G120" i="2"/>
  <c r="T190" i="2"/>
  <c r="V120" i="2"/>
  <c r="I190" i="2"/>
  <c r="C190" i="2"/>
  <c r="Q190" i="2"/>
  <c r="W120" i="2"/>
  <c r="R190" i="2"/>
  <c r="L190" i="2"/>
  <c r="N190" i="2"/>
  <c r="EL69" i="1"/>
  <c r="EL68" i="1"/>
  <c r="H190" i="2"/>
  <c r="F120" i="2"/>
  <c r="M120" i="2"/>
  <c r="L120" i="2"/>
  <c r="E120" i="2"/>
  <c r="D120" i="2"/>
  <c r="B120" i="2"/>
  <c r="R120" i="2"/>
  <c r="P120" i="2"/>
  <c r="T120" i="2"/>
  <c r="D190" i="2"/>
  <c r="EL65" i="1"/>
  <c r="EL54" i="1"/>
  <c r="S120" i="2"/>
  <c r="M190" i="2"/>
  <c r="U120" i="2"/>
  <c r="P190" i="2"/>
  <c r="F190" i="2"/>
  <c r="I120" i="2"/>
  <c r="U190" i="2"/>
  <c r="O190" i="2"/>
  <c r="V190" i="2"/>
  <c r="G190" i="2"/>
  <c r="H120" i="2"/>
  <c r="EL66" i="1"/>
  <c r="EL55" i="1"/>
  <c r="Q120" i="2"/>
  <c r="C120" i="2"/>
  <c r="X120" i="2"/>
  <c r="O120" i="2"/>
  <c r="B190" i="2"/>
  <c r="J190" i="2"/>
  <c r="N120" i="2"/>
  <c r="J120" i="2"/>
  <c r="K190" i="2"/>
  <c r="X190" i="2"/>
  <c r="E190" i="2"/>
  <c r="W190" i="2"/>
  <c r="Y190" i="2" l="1"/>
  <c r="BG189" i="1" s="1"/>
  <c r="Y120" i="2"/>
  <c r="BG119" i="1" s="1"/>
  <c r="DG119" i="1"/>
  <c r="A120" i="1"/>
  <c r="A121" i="2" s="1"/>
  <c r="AZ119" i="1"/>
  <c r="G119" i="1"/>
  <c r="F119" i="1"/>
  <c r="EE54" i="1"/>
  <c r="DX54" i="1" s="1"/>
  <c r="BJ54" i="1" s="1"/>
  <c r="EE65" i="1"/>
  <c r="DX65" i="1" s="1"/>
  <c r="BJ65" i="1" s="1"/>
  <c r="EE55" i="1"/>
  <c r="DX55" i="1" s="1"/>
  <c r="BJ55" i="1" s="1"/>
  <c r="EE66" i="1"/>
  <c r="DX66" i="1" s="1"/>
  <c r="BJ66" i="1" s="1"/>
  <c r="EE67" i="1"/>
  <c r="DX67" i="1" s="1"/>
  <c r="BJ67" i="1" s="1"/>
  <c r="EE68" i="1"/>
  <c r="DX68" i="1" s="1"/>
  <c r="BJ68" i="1" s="1"/>
  <c r="EE69" i="1"/>
  <c r="DX69" i="1" s="1"/>
  <c r="BJ69" i="1" s="1"/>
  <c r="EL83" i="1"/>
  <c r="EM43" i="1"/>
  <c r="EM65" i="1"/>
  <c r="EM55" i="1"/>
  <c r="P121" i="2"/>
  <c r="X121" i="2"/>
  <c r="M121" i="2"/>
  <c r="B121" i="2"/>
  <c r="EM67" i="1"/>
  <c r="EM54" i="1"/>
  <c r="I121" i="2"/>
  <c r="K121" i="2"/>
  <c r="O121" i="2"/>
  <c r="C121" i="2"/>
  <c r="EM68" i="1"/>
  <c r="EM66" i="1"/>
  <c r="W121" i="2"/>
  <c r="U121" i="2"/>
  <c r="L121" i="2"/>
  <c r="T121" i="2"/>
  <c r="G121" i="2"/>
  <c r="J121" i="2"/>
  <c r="H121" i="2"/>
  <c r="F121" i="2"/>
  <c r="EM69" i="1"/>
  <c r="R121" i="2"/>
  <c r="S121" i="2"/>
  <c r="Q121" i="2"/>
  <c r="N121" i="2"/>
  <c r="V121" i="2"/>
  <c r="D121" i="2"/>
  <c r="E121" i="2"/>
  <c r="Y121" i="2" l="1"/>
  <c r="BG120" i="1" s="1"/>
  <c r="DG120" i="1"/>
  <c r="A121" i="1"/>
  <c r="A122" i="2" s="1"/>
  <c r="AZ120" i="1"/>
  <c r="F120" i="1"/>
  <c r="G120" i="1"/>
  <c r="EF54" i="1"/>
  <c r="DY54" i="1" s="1"/>
  <c r="BK54" i="1" s="1"/>
  <c r="BQ54" i="1" s="1"/>
  <c r="EF65" i="1"/>
  <c r="DY65" i="1" s="1"/>
  <c r="BK65" i="1" s="1"/>
  <c r="DR65" i="1" s="1"/>
  <c r="EF55" i="1"/>
  <c r="DY55" i="1" s="1"/>
  <c r="BK55" i="1" s="1"/>
  <c r="BX55" i="1" s="1"/>
  <c r="EF66" i="1"/>
  <c r="DY66" i="1" s="1"/>
  <c r="BK66" i="1" s="1"/>
  <c r="BQ66" i="1" s="1"/>
  <c r="EF67" i="1"/>
  <c r="DY67" i="1" s="1"/>
  <c r="BK67" i="1" s="1"/>
  <c r="BQ67" i="1" s="1"/>
  <c r="EF68" i="1"/>
  <c r="DY68" i="1" s="1"/>
  <c r="BK68" i="1" s="1"/>
  <c r="BQ68" i="1" s="1"/>
  <c r="EF69" i="1"/>
  <c r="DY69" i="1" s="1"/>
  <c r="BK69" i="1" s="1"/>
  <c r="DR69" i="1" s="1"/>
  <c r="EL135" i="1"/>
  <c r="EM135" i="1" s="1"/>
  <c r="EN135" i="1" s="1"/>
  <c r="EO135" i="1" s="1"/>
  <c r="EP135" i="1" s="1"/>
  <c r="EQ135" i="1" s="1"/>
  <c r="EM83" i="1"/>
  <c r="EN43" i="1"/>
  <c r="H122" i="2"/>
  <c r="L122" i="2"/>
  <c r="U122" i="2"/>
  <c r="W122" i="2"/>
  <c r="G122" i="2"/>
  <c r="I122" i="2"/>
  <c r="M122" i="2"/>
  <c r="B122" i="2"/>
  <c r="O122" i="2"/>
  <c r="V122" i="2"/>
  <c r="Q122" i="2"/>
  <c r="S122" i="2"/>
  <c r="J122" i="2"/>
  <c r="F122" i="2"/>
  <c r="K122" i="2"/>
  <c r="R122" i="2"/>
  <c r="T122" i="2"/>
  <c r="P122" i="2"/>
  <c r="E122" i="2"/>
  <c r="D122" i="2"/>
  <c r="N122" i="2"/>
  <c r="X122" i="2"/>
  <c r="C122" i="2"/>
  <c r="CW68" i="1" l="1"/>
  <c r="BR68" i="1"/>
  <c r="CW67" i="1"/>
  <c r="BR67" i="1"/>
  <c r="CW54" i="1"/>
  <c r="CW66" i="1"/>
  <c r="Y122" i="2"/>
  <c r="BG121" i="1" s="1"/>
  <c r="DG121" i="1"/>
  <c r="G121" i="1"/>
  <c r="A122" i="1"/>
  <c r="A123" i="2" s="1"/>
  <c r="AZ121" i="1"/>
  <c r="F121" i="1"/>
  <c r="BQ65" i="1"/>
  <c r="BR66" i="1" s="1"/>
  <c r="BX67" i="1"/>
  <c r="CY67" i="1" s="1"/>
  <c r="BX54" i="1"/>
  <c r="CY54" i="1" s="1"/>
  <c r="BX68" i="1"/>
  <c r="CY68" i="1" s="1"/>
  <c r="DR54" i="1"/>
  <c r="DR67" i="1"/>
  <c r="BX65" i="1"/>
  <c r="CY65" i="1" s="1"/>
  <c r="DR66" i="1"/>
  <c r="BX66" i="1"/>
  <c r="ET66" i="1" s="1"/>
  <c r="DR55" i="1"/>
  <c r="BQ69" i="1"/>
  <c r="BX69" i="1"/>
  <c r="BQ55" i="1"/>
  <c r="DR68" i="1"/>
  <c r="CY55" i="1"/>
  <c r="EN83" i="1"/>
  <c r="EO43" i="1"/>
  <c r="T123" i="2"/>
  <c r="I123" i="2"/>
  <c r="C123" i="2"/>
  <c r="H123" i="2"/>
  <c r="B123" i="2"/>
  <c r="D123" i="2"/>
  <c r="Q123" i="2"/>
  <c r="K123" i="2"/>
  <c r="N123" i="2"/>
  <c r="W123" i="2"/>
  <c r="F123" i="2"/>
  <c r="M123" i="2"/>
  <c r="X123" i="2"/>
  <c r="G123" i="2"/>
  <c r="P123" i="2"/>
  <c r="V123" i="2"/>
  <c r="J123" i="2"/>
  <c r="R123" i="2"/>
  <c r="S123" i="2"/>
  <c r="E123" i="2"/>
  <c r="L123" i="2"/>
  <c r="U123" i="2"/>
  <c r="O123" i="2"/>
  <c r="CW55" i="1" l="1"/>
  <c r="BR55" i="1"/>
  <c r="CW65" i="1"/>
  <c r="CW69" i="1"/>
  <c r="BR69" i="1"/>
  <c r="ET55" i="1"/>
  <c r="Y123" i="2"/>
  <c r="BG122" i="1" s="1"/>
  <c r="DG122" i="1"/>
  <c r="F122" i="1"/>
  <c r="A123" i="1"/>
  <c r="A124" i="2" s="1"/>
  <c r="AZ122" i="1"/>
  <c r="G122" i="1"/>
  <c r="ET54" i="1"/>
  <c r="BY69" i="1"/>
  <c r="BY55" i="1"/>
  <c r="ET67" i="1"/>
  <c r="BY66" i="1"/>
  <c r="BY68" i="1"/>
  <c r="BY67" i="1"/>
  <c r="CY66" i="1"/>
  <c r="CZ67" i="1" s="1"/>
  <c r="ET68" i="1"/>
  <c r="ET65" i="1"/>
  <c r="CZ55" i="1"/>
  <c r="ET69" i="1"/>
  <c r="CY69" i="1"/>
  <c r="CZ69" i="1" s="1"/>
  <c r="CZ68" i="1"/>
  <c r="EO83" i="1"/>
  <c r="EP43" i="1"/>
  <c r="Q124" i="2"/>
  <c r="D124" i="2"/>
  <c r="H124" i="2"/>
  <c r="M124" i="2"/>
  <c r="X124" i="2"/>
  <c r="W124" i="2"/>
  <c r="E124" i="2"/>
  <c r="P124" i="2"/>
  <c r="J124" i="2"/>
  <c r="L124" i="2"/>
  <c r="N124" i="2"/>
  <c r="I124" i="2"/>
  <c r="G124" i="2"/>
  <c r="S124" i="2"/>
  <c r="U124" i="2"/>
  <c r="F124" i="2"/>
  <c r="K124" i="2"/>
  <c r="V124" i="2"/>
  <c r="B124" i="2"/>
  <c r="R124" i="2"/>
  <c r="T124" i="2"/>
  <c r="O124" i="2"/>
  <c r="C124" i="2"/>
  <c r="Y124" i="2" l="1"/>
  <c r="BG123" i="1" s="1"/>
  <c r="DG123" i="1"/>
  <c r="A124" i="1"/>
  <c r="A125" i="2" s="1"/>
  <c r="AZ123" i="1"/>
  <c r="F123" i="1"/>
  <c r="G123" i="1"/>
  <c r="CZ66" i="1"/>
  <c r="EQ43" i="1"/>
  <c r="EP83" i="1"/>
  <c r="X125" i="2"/>
  <c r="K125" i="2"/>
  <c r="P125" i="2"/>
  <c r="G125" i="2"/>
  <c r="S125" i="2"/>
  <c r="E125" i="2"/>
  <c r="N125" i="2"/>
  <c r="V125" i="2"/>
  <c r="Q125" i="2"/>
  <c r="B125" i="2"/>
  <c r="C125" i="2"/>
  <c r="T125" i="2"/>
  <c r="U125" i="2"/>
  <c r="M125" i="2"/>
  <c r="I125" i="2"/>
  <c r="L125" i="2"/>
  <c r="H125" i="2"/>
  <c r="O125" i="2"/>
  <c r="J125" i="2"/>
  <c r="W125" i="2"/>
  <c r="D125" i="2"/>
  <c r="R125" i="2"/>
  <c r="F125" i="2"/>
  <c r="Y125" i="2" l="1"/>
  <c r="BG124" i="1" s="1"/>
  <c r="DG124" i="1"/>
  <c r="A125" i="1"/>
  <c r="A126" i="2" s="1"/>
  <c r="AZ124" i="1"/>
  <c r="F124" i="1"/>
  <c r="G124" i="1"/>
  <c r="EQ83" i="1"/>
  <c r="D126" i="2"/>
  <c r="N126" i="2"/>
  <c r="M126" i="2"/>
  <c r="K126" i="2"/>
  <c r="V126" i="2"/>
  <c r="E126" i="2"/>
  <c r="F126" i="2"/>
  <c r="Q126" i="2"/>
  <c r="T126" i="2"/>
  <c r="R126" i="2"/>
  <c r="L126" i="2"/>
  <c r="I126" i="2"/>
  <c r="W126" i="2"/>
  <c r="S126" i="2"/>
  <c r="P126" i="2"/>
  <c r="G126" i="2"/>
  <c r="X126" i="2"/>
  <c r="U126" i="2"/>
  <c r="H126" i="2"/>
  <c r="B126" i="2"/>
  <c r="O126" i="2"/>
  <c r="J126" i="2"/>
  <c r="C126" i="2"/>
  <c r="Y126" i="2" l="1"/>
  <c r="BG125" i="1" s="1"/>
  <c r="DG125" i="1"/>
  <c r="A126" i="1"/>
  <c r="A127" i="2" s="1"/>
  <c r="AZ125" i="1"/>
  <c r="G125" i="1"/>
  <c r="F125" i="1"/>
  <c r="F4" i="1"/>
  <c r="E127" i="2"/>
  <c r="B127" i="2"/>
  <c r="L127" i="2"/>
  <c r="X127" i="2"/>
  <c r="O127" i="2"/>
  <c r="V127" i="2"/>
  <c r="K127" i="2"/>
  <c r="I127" i="2"/>
  <c r="P127" i="2"/>
  <c r="F127" i="2"/>
  <c r="H127" i="2"/>
  <c r="Q127" i="2"/>
  <c r="C127" i="2"/>
  <c r="G127" i="2"/>
  <c r="D127" i="2"/>
  <c r="R127" i="2"/>
  <c r="N127" i="2"/>
  <c r="U127" i="2"/>
  <c r="T127" i="2"/>
  <c r="S127" i="2"/>
  <c r="W127" i="2"/>
  <c r="M127" i="2"/>
  <c r="J127" i="2"/>
  <c r="Y127" i="2" l="1"/>
  <c r="BG126" i="1" s="1"/>
  <c r="DG126" i="1"/>
  <c r="A127" i="1"/>
  <c r="A128" i="2" s="1"/>
  <c r="AZ126" i="1"/>
  <c r="F126" i="1"/>
  <c r="G126" i="1"/>
  <c r="A5" i="1"/>
  <c r="J128" i="2"/>
  <c r="X128" i="2"/>
  <c r="K128" i="2"/>
  <c r="R128" i="2"/>
  <c r="N128" i="2"/>
  <c r="I128" i="2"/>
  <c r="D128" i="2"/>
  <c r="S128" i="2"/>
  <c r="O128" i="2"/>
  <c r="C128" i="2"/>
  <c r="H128" i="2"/>
  <c r="L128" i="2"/>
  <c r="F128" i="2"/>
  <c r="B128" i="2"/>
  <c r="T128" i="2"/>
  <c r="P128" i="2"/>
  <c r="W128" i="2"/>
  <c r="G128" i="2"/>
  <c r="V128" i="2"/>
  <c r="Q128" i="2"/>
  <c r="M128" i="2"/>
  <c r="E128" i="2"/>
  <c r="U128" i="2"/>
  <c r="AZ5" i="1" l="1"/>
  <c r="A6" i="2"/>
  <c r="DG5" i="1"/>
  <c r="Y128" i="2"/>
  <c r="BG127" i="1" s="1"/>
  <c r="DG127" i="1"/>
  <c r="G127" i="1"/>
  <c r="A128" i="1"/>
  <c r="A129" i="2" s="1"/>
  <c r="AZ127" i="1"/>
  <c r="F127" i="1"/>
  <c r="D137" i="1"/>
  <c r="DT85" i="1"/>
  <c r="F5" i="1"/>
  <c r="A6" i="1"/>
  <c r="D6" i="2"/>
  <c r="N6" i="2"/>
  <c r="J129" i="2"/>
  <c r="K129" i="2"/>
  <c r="L129" i="2"/>
  <c r="S129" i="2"/>
  <c r="L6" i="2"/>
  <c r="M129" i="2"/>
  <c r="D129" i="2"/>
  <c r="B6" i="2"/>
  <c r="F6" i="2"/>
  <c r="X129" i="2"/>
  <c r="T6" i="2"/>
  <c r="G6" i="2"/>
  <c r="C6" i="2"/>
  <c r="V129" i="2"/>
  <c r="E6" i="2"/>
  <c r="W129" i="2"/>
  <c r="O129" i="2"/>
  <c r="X6" i="2"/>
  <c r="K6" i="2"/>
  <c r="I129" i="2"/>
  <c r="O6" i="2"/>
  <c r="P6" i="2"/>
  <c r="C129" i="2"/>
  <c r="Q6" i="2"/>
  <c r="I6" i="2"/>
  <c r="M6" i="2"/>
  <c r="U129" i="2"/>
  <c r="H129" i="2"/>
  <c r="R6" i="2"/>
  <c r="T129" i="2"/>
  <c r="B129" i="2"/>
  <c r="W6" i="2"/>
  <c r="S6" i="2"/>
  <c r="J6" i="2"/>
  <c r="Q129" i="2"/>
  <c r="H6" i="2"/>
  <c r="U6" i="2"/>
  <c r="R129" i="2"/>
  <c r="V6" i="2"/>
  <c r="F129" i="2"/>
  <c r="G129" i="2"/>
  <c r="P129" i="2"/>
  <c r="N129" i="2"/>
  <c r="E129" i="2"/>
  <c r="Y6" i="2" l="1"/>
  <c r="BG5" i="1" s="1"/>
  <c r="AZ6" i="1"/>
  <c r="A7" i="2"/>
  <c r="DG6" i="1"/>
  <c r="Y129" i="2"/>
  <c r="BG128" i="1" s="1"/>
  <c r="DG128" i="1"/>
  <c r="G128" i="1"/>
  <c r="A129" i="1"/>
  <c r="A130" i="2" s="1"/>
  <c r="AZ128" i="1"/>
  <c r="F128" i="1"/>
  <c r="B168" i="1"/>
  <c r="B163" i="1"/>
  <c r="F6" i="1"/>
  <c r="A7" i="1"/>
  <c r="D130" i="2"/>
  <c r="D7" i="2"/>
  <c r="E7" i="2"/>
  <c r="J7" i="2"/>
  <c r="N7" i="2"/>
  <c r="S7" i="2"/>
  <c r="B7" i="2"/>
  <c r="F130" i="2"/>
  <c r="O130" i="2"/>
  <c r="N130" i="2"/>
  <c r="U130" i="2"/>
  <c r="X7" i="2"/>
  <c r="G130" i="2"/>
  <c r="C7" i="2"/>
  <c r="T7" i="2"/>
  <c r="H7" i="2"/>
  <c r="S130" i="2"/>
  <c r="K130" i="2"/>
  <c r="I130" i="2"/>
  <c r="M130" i="2"/>
  <c r="U7" i="2"/>
  <c r="B130" i="2"/>
  <c r="H130" i="2"/>
  <c r="V130" i="2"/>
  <c r="W130" i="2"/>
  <c r="V7" i="2"/>
  <c r="G7" i="2"/>
  <c r="I7" i="2"/>
  <c r="M7" i="2"/>
  <c r="K7" i="2"/>
  <c r="W7" i="2"/>
  <c r="L7" i="2"/>
  <c r="E130" i="2"/>
  <c r="C130" i="2"/>
  <c r="F7" i="2"/>
  <c r="L130" i="2"/>
  <c r="J130" i="2"/>
  <c r="O7" i="2"/>
  <c r="P7" i="2"/>
  <c r="Q7" i="2"/>
  <c r="P130" i="2"/>
  <c r="X130" i="2"/>
  <c r="Q130" i="2"/>
  <c r="T130" i="2"/>
  <c r="R7" i="2"/>
  <c r="R130" i="2"/>
  <c r="Y7" i="2" l="1"/>
  <c r="BG6" i="1" s="1"/>
  <c r="AZ7" i="1"/>
  <c r="A8" i="2"/>
  <c r="DG7" i="1"/>
  <c r="Y130" i="2"/>
  <c r="BG129" i="1" s="1"/>
  <c r="DG129" i="1"/>
  <c r="G129" i="1"/>
  <c r="A130" i="1"/>
  <c r="A131" i="2" s="1"/>
  <c r="AZ129" i="1"/>
  <c r="F129" i="1"/>
  <c r="F7" i="1"/>
  <c r="A8" i="1"/>
  <c r="BA130" i="1"/>
  <c r="D131" i="2"/>
  <c r="I8" i="2"/>
  <c r="P131" i="2"/>
  <c r="H131" i="2"/>
  <c r="O8" i="2"/>
  <c r="V8" i="2"/>
  <c r="R131" i="2"/>
  <c r="Q131" i="2"/>
  <c r="M131" i="2"/>
  <c r="B8" i="2"/>
  <c r="X8" i="2"/>
  <c r="N131" i="2"/>
  <c r="H8" i="2"/>
  <c r="K131" i="2"/>
  <c r="S8" i="2"/>
  <c r="D8" i="2"/>
  <c r="G131" i="2"/>
  <c r="F8" i="2"/>
  <c r="E8" i="2"/>
  <c r="B131" i="2"/>
  <c r="O131" i="2"/>
  <c r="Q8" i="2"/>
  <c r="C131" i="2"/>
  <c r="R8" i="2"/>
  <c r="P8" i="2"/>
  <c r="M8" i="2"/>
  <c r="C8" i="2"/>
  <c r="G8" i="2"/>
  <c r="U131" i="2"/>
  <c r="S131" i="2"/>
  <c r="N8" i="2"/>
  <c r="E131" i="2"/>
  <c r="X131" i="2"/>
  <c r="L8" i="2"/>
  <c r="J131" i="2"/>
  <c r="U8" i="2"/>
  <c r="W131" i="2"/>
  <c r="T8" i="2"/>
  <c r="F131" i="2"/>
  <c r="W8" i="2"/>
  <c r="L131" i="2"/>
  <c r="V131" i="2"/>
  <c r="T131" i="2"/>
  <c r="J8" i="2"/>
  <c r="K8" i="2"/>
  <c r="I131" i="2"/>
  <c r="Y8" i="2" l="1"/>
  <c r="BG7" i="1" s="1"/>
  <c r="AZ8" i="1"/>
  <c r="A9" i="2"/>
  <c r="DG8" i="1"/>
  <c r="Y131" i="2"/>
  <c r="BG130" i="1" s="1"/>
  <c r="DG130" i="1"/>
  <c r="AZ130" i="1"/>
  <c r="DT130" i="1" s="1"/>
  <c r="F130" i="1"/>
  <c r="G130" i="1"/>
  <c r="F8" i="1"/>
  <c r="A9" i="1"/>
  <c r="S9" i="2"/>
  <c r="F9" i="2"/>
  <c r="V9" i="2"/>
  <c r="X9" i="2"/>
  <c r="L9" i="2"/>
  <c r="D9" i="2"/>
  <c r="M9" i="2"/>
  <c r="C9" i="2"/>
  <c r="Q9" i="2"/>
  <c r="G9" i="2"/>
  <c r="I9" i="2"/>
  <c r="T9" i="2"/>
  <c r="H9" i="2"/>
  <c r="K9" i="2"/>
  <c r="O9" i="2"/>
  <c r="E9" i="2"/>
  <c r="J9" i="2"/>
  <c r="B9" i="2"/>
  <c r="N9" i="2"/>
  <c r="R9" i="2"/>
  <c r="U9" i="2"/>
  <c r="W9" i="2"/>
  <c r="P9" i="2"/>
  <c r="Y9" i="2" l="1"/>
  <c r="BG8" i="1" s="1"/>
  <c r="AZ9" i="1"/>
  <c r="A10" i="2"/>
  <c r="DG9" i="1"/>
  <c r="F9" i="1"/>
  <c r="A10" i="1"/>
  <c r="W10" i="2"/>
  <c r="D10" i="2"/>
  <c r="Q10" i="2"/>
  <c r="X10" i="2"/>
  <c r="S10" i="2"/>
  <c r="I10" i="2"/>
  <c r="M10" i="2"/>
  <c r="U10" i="2"/>
  <c r="K10" i="2"/>
  <c r="R10" i="2"/>
  <c r="T10" i="2"/>
  <c r="H10" i="2"/>
  <c r="J10" i="2"/>
  <c r="E10" i="2"/>
  <c r="B10" i="2"/>
  <c r="P10" i="2"/>
  <c r="V10" i="2"/>
  <c r="C10" i="2"/>
  <c r="G10" i="2"/>
  <c r="L10" i="2"/>
  <c r="F10" i="2"/>
  <c r="N10" i="2"/>
  <c r="O10" i="2"/>
  <c r="Y10" i="2" l="1"/>
  <c r="BG9" i="1" s="1"/>
  <c r="AZ10" i="1"/>
  <c r="A11" i="2"/>
  <c r="DG10" i="1"/>
  <c r="F10" i="1"/>
  <c r="A11" i="1"/>
  <c r="J11" i="2"/>
  <c r="N11" i="2"/>
  <c r="B11" i="2"/>
  <c r="V11" i="2"/>
  <c r="U11" i="2"/>
  <c r="O11" i="2"/>
  <c r="G11" i="2"/>
  <c r="X11" i="2"/>
  <c r="W11" i="2"/>
  <c r="T11" i="2"/>
  <c r="P11" i="2"/>
  <c r="M11" i="2"/>
  <c r="H11" i="2"/>
  <c r="I11" i="2"/>
  <c r="F11" i="2"/>
  <c r="S11" i="2"/>
  <c r="E11" i="2"/>
  <c r="R11" i="2"/>
  <c r="Q11" i="2"/>
  <c r="D11" i="2"/>
  <c r="C11" i="2"/>
  <c r="K11" i="2"/>
  <c r="L11" i="2"/>
  <c r="Y11" i="2" l="1"/>
  <c r="BG10" i="1" s="1"/>
  <c r="AZ11" i="1"/>
  <c r="A12" i="2"/>
  <c r="DG11" i="1"/>
  <c r="F11" i="1"/>
  <c r="A12" i="1"/>
  <c r="V12" i="2"/>
  <c r="I12" i="2"/>
  <c r="H12" i="2"/>
  <c r="J12" i="2"/>
  <c r="P12" i="2"/>
  <c r="R12" i="2"/>
  <c r="S12" i="2"/>
  <c r="K12" i="2"/>
  <c r="T12" i="2"/>
  <c r="X12" i="2"/>
  <c r="M12" i="2"/>
  <c r="U12" i="2"/>
  <c r="E12" i="2"/>
  <c r="O12" i="2"/>
  <c r="D12" i="2"/>
  <c r="Q12" i="2"/>
  <c r="G12" i="2"/>
  <c r="L12" i="2"/>
  <c r="B12" i="2"/>
  <c r="C12" i="2"/>
  <c r="N12" i="2"/>
  <c r="F12" i="2"/>
  <c r="W12" i="2"/>
  <c r="Y12" i="2" l="1"/>
  <c r="BG11" i="1" s="1"/>
  <c r="AZ12" i="1"/>
  <c r="A13" i="2"/>
  <c r="DG12" i="1"/>
  <c r="F12" i="1"/>
  <c r="A13" i="1"/>
  <c r="O13" i="2"/>
  <c r="M13" i="2"/>
  <c r="Q13" i="2"/>
  <c r="T13" i="2"/>
  <c r="N13" i="2"/>
  <c r="P13" i="2"/>
  <c r="F13" i="2"/>
  <c r="X13" i="2"/>
  <c r="C13" i="2"/>
  <c r="B13" i="2"/>
  <c r="R13" i="2"/>
  <c r="E13" i="2"/>
  <c r="J13" i="2"/>
  <c r="L13" i="2"/>
  <c r="G13" i="2"/>
  <c r="V13" i="2"/>
  <c r="D13" i="2"/>
  <c r="W13" i="2"/>
  <c r="I13" i="2"/>
  <c r="S13" i="2"/>
  <c r="U13" i="2"/>
  <c r="H13" i="2"/>
  <c r="K13" i="2"/>
  <c r="Y13" i="2" l="1"/>
  <c r="BG12" i="1" s="1"/>
  <c r="AZ13" i="1"/>
  <c r="A14" i="2"/>
  <c r="DG13" i="1"/>
  <c r="F13" i="1"/>
  <c r="A14" i="1"/>
  <c r="W14" i="2"/>
  <c r="F14" i="2"/>
  <c r="B14" i="2"/>
  <c r="C14" i="2"/>
  <c r="I14" i="2"/>
  <c r="R14" i="2"/>
  <c r="S14" i="2"/>
  <c r="O14" i="2"/>
  <c r="T14" i="2"/>
  <c r="X14" i="2"/>
  <c r="Q14" i="2"/>
  <c r="U14" i="2"/>
  <c r="M14" i="2"/>
  <c r="N14" i="2"/>
  <c r="P14" i="2"/>
  <c r="J14" i="2"/>
  <c r="L14" i="2"/>
  <c r="E14" i="2"/>
  <c r="H14" i="2"/>
  <c r="K14" i="2"/>
  <c r="G14" i="2"/>
  <c r="V14" i="2"/>
  <c r="D14" i="2"/>
  <c r="Y14" i="2" l="1"/>
  <c r="BG13" i="1" s="1"/>
  <c r="AZ14" i="1"/>
  <c r="A15" i="2"/>
  <c r="DG14" i="1"/>
  <c r="F14" i="1"/>
  <c r="A15" i="1"/>
  <c r="E15" i="2"/>
  <c r="T15" i="2"/>
  <c r="C15" i="2"/>
  <c r="X15" i="2"/>
  <c r="F15" i="2"/>
  <c r="R15" i="2"/>
  <c r="S15" i="2"/>
  <c r="Q15" i="2"/>
  <c r="N15" i="2"/>
  <c r="K15" i="2"/>
  <c r="U15" i="2"/>
  <c r="L15" i="2"/>
  <c r="I15" i="2"/>
  <c r="B15" i="2"/>
  <c r="W15" i="2"/>
  <c r="P15" i="2"/>
  <c r="H15" i="2"/>
  <c r="J15" i="2"/>
  <c r="V15" i="2"/>
  <c r="D15" i="2"/>
  <c r="O15" i="2"/>
  <c r="G15" i="2"/>
  <c r="M15" i="2"/>
  <c r="Y15" i="2" l="1"/>
  <c r="BG14" i="1" s="1"/>
  <c r="AZ15" i="1"/>
  <c r="A16" i="2"/>
  <c r="DG15" i="1"/>
  <c r="F15" i="1"/>
  <c r="A16" i="1"/>
  <c r="X16" i="2"/>
  <c r="M16" i="2"/>
  <c r="L16" i="2"/>
  <c r="F16" i="2"/>
  <c r="N16" i="2"/>
  <c r="W16" i="2"/>
  <c r="V16" i="2"/>
  <c r="J16" i="2"/>
  <c r="B16" i="2"/>
  <c r="K16" i="2"/>
  <c r="H16" i="2"/>
  <c r="C16" i="2"/>
  <c r="O16" i="2"/>
  <c r="E16" i="2"/>
  <c r="I16" i="2"/>
  <c r="U16" i="2"/>
  <c r="G16" i="2"/>
  <c r="D16" i="2"/>
  <c r="P16" i="2"/>
  <c r="Q16" i="2"/>
  <c r="R16" i="2"/>
  <c r="S16" i="2"/>
  <c r="T16" i="2"/>
  <c r="Y16" i="2" l="1"/>
  <c r="BG15" i="1" s="1"/>
  <c r="AZ16" i="1"/>
  <c r="A17" i="2"/>
  <c r="DG16" i="1"/>
  <c r="F16" i="1"/>
  <c r="A17" i="1"/>
  <c r="C17" i="2"/>
  <c r="G17" i="2"/>
  <c r="E17" i="2"/>
  <c r="V17" i="2"/>
  <c r="B17" i="2"/>
  <c r="Q17" i="2"/>
  <c r="F17" i="2"/>
  <c r="J17" i="2"/>
  <c r="S17" i="2"/>
  <c r="N17" i="2"/>
  <c r="D17" i="2"/>
  <c r="T17" i="2"/>
  <c r="M17" i="2"/>
  <c r="O17" i="2"/>
  <c r="H17" i="2"/>
  <c r="U17" i="2"/>
  <c r="X17" i="2"/>
  <c r="W17" i="2"/>
  <c r="K17" i="2"/>
  <c r="P17" i="2"/>
  <c r="R17" i="2"/>
  <c r="L17" i="2"/>
  <c r="I17" i="2"/>
  <c r="Y17" i="2" l="1"/>
  <c r="BG16" i="1" s="1"/>
  <c r="AZ17" i="1"/>
  <c r="A18" i="2"/>
  <c r="DG17" i="1"/>
  <c r="F17" i="1"/>
  <c r="A18" i="1"/>
  <c r="T18" i="2"/>
  <c r="M18" i="2"/>
  <c r="U18" i="2"/>
  <c r="X18" i="2"/>
  <c r="G18" i="2"/>
  <c r="Q18" i="2"/>
  <c r="K18" i="2"/>
  <c r="I18" i="2"/>
  <c r="N18" i="2"/>
  <c r="E18" i="2"/>
  <c r="L18" i="2"/>
  <c r="J18" i="2"/>
  <c r="O18" i="2"/>
  <c r="B18" i="2"/>
  <c r="D18" i="2"/>
  <c r="W18" i="2"/>
  <c r="R18" i="2"/>
  <c r="P18" i="2"/>
  <c r="C18" i="2"/>
  <c r="V18" i="2"/>
  <c r="H18" i="2"/>
  <c r="F18" i="2"/>
  <c r="S18" i="2"/>
  <c r="Y18" i="2" l="1"/>
  <c r="BG17" i="1" s="1"/>
  <c r="AZ18" i="1"/>
  <c r="A19" i="2"/>
  <c r="DG18" i="1"/>
  <c r="F18" i="1"/>
  <c r="A19" i="1"/>
  <c r="D19" i="2"/>
  <c r="U19" i="2"/>
  <c r="R19" i="2"/>
  <c r="P19" i="2"/>
  <c r="X19" i="2"/>
  <c r="W19" i="2"/>
  <c r="L19" i="2"/>
  <c r="G19" i="2"/>
  <c r="H19" i="2"/>
  <c r="V19" i="2"/>
  <c r="M19" i="2"/>
  <c r="S19" i="2"/>
  <c r="J19" i="2"/>
  <c r="B19" i="2"/>
  <c r="F19" i="2"/>
  <c r="E19" i="2"/>
  <c r="Q19" i="2"/>
  <c r="N19" i="2"/>
  <c r="I19" i="2"/>
  <c r="C19" i="2"/>
  <c r="K19" i="2"/>
  <c r="T19" i="2"/>
  <c r="O19" i="2"/>
  <c r="Y19" i="2" l="1"/>
  <c r="BG18" i="1" s="1"/>
  <c r="AZ19" i="1"/>
  <c r="A20" i="2"/>
  <c r="DG19" i="1"/>
  <c r="F19" i="1"/>
  <c r="A20" i="1"/>
  <c r="F20" i="2"/>
  <c r="U20" i="2"/>
  <c r="S20" i="2"/>
  <c r="T20" i="2"/>
  <c r="E20" i="2"/>
  <c r="D20" i="2"/>
  <c r="N20" i="2"/>
  <c r="W20" i="2"/>
  <c r="B20" i="2"/>
  <c r="X20" i="2"/>
  <c r="Q20" i="2"/>
  <c r="R20" i="2"/>
  <c r="L20" i="2"/>
  <c r="K20" i="2"/>
  <c r="I20" i="2"/>
  <c r="P20" i="2"/>
  <c r="H20" i="2"/>
  <c r="J20" i="2"/>
  <c r="C20" i="2"/>
  <c r="M20" i="2"/>
  <c r="V20" i="2"/>
  <c r="G20" i="2"/>
  <c r="O20" i="2"/>
  <c r="Y20" i="2" l="1"/>
  <c r="BG19" i="1" s="1"/>
  <c r="AZ20" i="1"/>
  <c r="A21" i="2"/>
  <c r="DG20" i="1"/>
  <c r="F20" i="1"/>
  <c r="A21" i="1"/>
  <c r="S21" i="2"/>
  <c r="C21" i="2"/>
  <c r="T21" i="2"/>
  <c r="I21" i="2"/>
  <c r="J21" i="2"/>
  <c r="L21" i="2"/>
  <c r="M21" i="2"/>
  <c r="P21" i="2"/>
  <c r="F21" i="2"/>
  <c r="E21" i="2"/>
  <c r="R21" i="2"/>
  <c r="H21" i="2"/>
  <c r="B21" i="2"/>
  <c r="O21" i="2"/>
  <c r="X21" i="2"/>
  <c r="V21" i="2"/>
  <c r="Q21" i="2"/>
  <c r="W21" i="2"/>
  <c r="K21" i="2"/>
  <c r="N21" i="2"/>
  <c r="D21" i="2"/>
  <c r="U21" i="2"/>
  <c r="G21" i="2"/>
  <c r="Y21" i="2" l="1"/>
  <c r="BG20" i="1" s="1"/>
  <c r="AZ21" i="1"/>
  <c r="A22" i="2"/>
  <c r="DG21" i="1"/>
  <c r="F21" i="1"/>
  <c r="A22" i="1"/>
  <c r="F22" i="2"/>
  <c r="Q22" i="2"/>
  <c r="X22" i="2"/>
  <c r="G22" i="2"/>
  <c r="E22" i="2"/>
  <c r="L22" i="2"/>
  <c r="D22" i="2"/>
  <c r="H22" i="2"/>
  <c r="T22" i="2"/>
  <c r="N22" i="2"/>
  <c r="S22" i="2"/>
  <c r="J22" i="2"/>
  <c r="P22" i="2"/>
  <c r="U22" i="2"/>
  <c r="I22" i="2"/>
  <c r="B22" i="2"/>
  <c r="V22" i="2"/>
  <c r="C22" i="2"/>
  <c r="K22" i="2"/>
  <c r="W22" i="2"/>
  <c r="M22" i="2"/>
  <c r="R22" i="2"/>
  <c r="O22" i="2"/>
  <c r="Y22" i="2" l="1"/>
  <c r="BG21" i="1" s="1"/>
  <c r="AZ22" i="1"/>
  <c r="A23" i="2"/>
  <c r="DG22" i="1"/>
  <c r="F22" i="1"/>
  <c r="A23" i="1"/>
  <c r="I23" i="2"/>
  <c r="N23" i="2"/>
  <c r="S23" i="2"/>
  <c r="D23" i="2"/>
  <c r="X23" i="2"/>
  <c r="U23" i="2"/>
  <c r="K23" i="2"/>
  <c r="T23" i="2"/>
  <c r="G23" i="2"/>
  <c r="O23" i="2"/>
  <c r="M23" i="2"/>
  <c r="H23" i="2"/>
  <c r="R23" i="2"/>
  <c r="J23" i="2"/>
  <c r="E23" i="2"/>
  <c r="P23" i="2"/>
  <c r="W23" i="2"/>
  <c r="C23" i="2"/>
  <c r="F23" i="2"/>
  <c r="B23" i="2"/>
  <c r="L23" i="2"/>
  <c r="V23" i="2"/>
  <c r="Q23" i="2"/>
  <c r="Y23" i="2" l="1"/>
  <c r="BG22" i="1" s="1"/>
  <c r="AZ23" i="1"/>
  <c r="A24" i="2"/>
  <c r="DG23" i="1"/>
  <c r="F23" i="1"/>
  <c r="A24" i="1"/>
  <c r="V24" i="2"/>
  <c r="R24" i="2"/>
  <c r="P24" i="2"/>
  <c r="M24" i="2"/>
  <c r="U24" i="2"/>
  <c r="C24" i="2"/>
  <c r="I24" i="2"/>
  <c r="G24" i="2"/>
  <c r="D24" i="2"/>
  <c r="F24" i="2"/>
  <c r="X24" i="2"/>
  <c r="T24" i="2"/>
  <c r="K24" i="2"/>
  <c r="E24" i="2"/>
  <c r="W24" i="2"/>
  <c r="L24" i="2"/>
  <c r="O24" i="2"/>
  <c r="B24" i="2"/>
  <c r="N24" i="2"/>
  <c r="S24" i="2"/>
  <c r="J24" i="2"/>
  <c r="Q24" i="2"/>
  <c r="H24" i="2"/>
  <c r="Y24" i="2" l="1"/>
  <c r="BG23" i="1" s="1"/>
  <c r="AZ24" i="1"/>
  <c r="A25" i="2"/>
  <c r="DG24" i="1"/>
  <c r="F24" i="1"/>
  <c r="A25" i="1"/>
  <c r="W25" i="2"/>
  <c r="M25" i="2"/>
  <c r="E25" i="2"/>
  <c r="O25" i="2"/>
  <c r="H25" i="2"/>
  <c r="P25" i="2"/>
  <c r="I25" i="2"/>
  <c r="V25" i="2"/>
  <c r="L25" i="2"/>
  <c r="S25" i="2"/>
  <c r="N25" i="2"/>
  <c r="K25" i="2"/>
  <c r="J25" i="2"/>
  <c r="B25" i="2"/>
  <c r="D25" i="2"/>
  <c r="R25" i="2"/>
  <c r="C25" i="2"/>
  <c r="T25" i="2"/>
  <c r="Q25" i="2"/>
  <c r="G25" i="2"/>
  <c r="F25" i="2"/>
  <c r="U25" i="2"/>
  <c r="X25" i="2"/>
  <c r="Y25" i="2" l="1"/>
  <c r="BG24" i="1" s="1"/>
  <c r="AZ25" i="1"/>
  <c r="A26" i="2"/>
  <c r="DG25" i="1"/>
  <c r="F25" i="1"/>
  <c r="A26" i="1"/>
  <c r="BA117" i="1"/>
  <c r="BC107" i="1"/>
  <c r="BB91" i="1"/>
  <c r="BC99" i="1"/>
  <c r="BB87" i="1"/>
  <c r="BC95" i="1"/>
  <c r="BC100" i="1"/>
  <c r="BC93" i="1"/>
  <c r="BA125" i="1"/>
  <c r="BC97" i="1"/>
  <c r="BB90" i="1"/>
  <c r="BA115" i="1"/>
  <c r="BA112" i="1"/>
  <c r="AV156" i="1"/>
  <c r="BB117" i="1"/>
  <c r="EN179" i="1"/>
  <c r="AV147" i="1"/>
  <c r="BB99" i="1"/>
  <c r="AV143" i="1"/>
  <c r="BA106" i="1"/>
  <c r="BC92" i="1"/>
  <c r="EN181" i="1"/>
  <c r="BB118" i="1"/>
  <c r="BC122" i="1"/>
  <c r="BB119" i="1"/>
  <c r="CD162" i="1"/>
  <c r="AV154" i="1"/>
  <c r="BC91" i="1"/>
  <c r="BA107" i="1"/>
  <c r="BC126" i="1"/>
  <c r="AV152" i="1"/>
  <c r="CD165" i="1"/>
  <c r="AX169" i="1"/>
  <c r="AU179" i="1"/>
  <c r="BC121" i="1"/>
  <c r="AU139" i="1"/>
  <c r="BB127" i="1"/>
  <c r="BB101" i="1"/>
  <c r="BD85" i="1"/>
  <c r="EN188" i="1"/>
  <c r="BC113" i="1"/>
  <c r="BA97" i="1"/>
  <c r="AU177" i="1"/>
  <c r="EO172" i="1"/>
  <c r="BB96" i="1"/>
  <c r="EO157" i="1"/>
  <c r="AU183" i="1"/>
  <c r="AU184" i="1"/>
  <c r="AU182" i="1"/>
  <c r="BB107" i="1"/>
  <c r="AV151" i="1"/>
  <c r="EO149" i="1"/>
  <c r="BA98" i="1"/>
  <c r="BB97" i="1"/>
  <c r="X26" i="2"/>
  <c r="H26" i="2"/>
  <c r="BC105" i="1"/>
  <c r="BA126" i="1"/>
  <c r="CD168" i="1"/>
  <c r="BA123" i="1"/>
  <c r="BC94" i="1"/>
  <c r="BC102" i="1"/>
  <c r="BB85" i="1"/>
  <c r="BA110" i="1"/>
  <c r="BC109" i="1"/>
  <c r="BA118" i="1"/>
  <c r="BA120" i="1"/>
  <c r="BA108" i="1"/>
  <c r="BA109" i="1"/>
  <c r="AU178" i="1"/>
  <c r="BA103" i="1"/>
  <c r="EO156" i="1"/>
  <c r="EN184" i="1"/>
  <c r="BA99" i="1"/>
  <c r="AV148" i="1"/>
  <c r="BB113" i="1"/>
  <c r="EO143" i="1"/>
  <c r="BB112" i="1"/>
  <c r="BB106" i="1"/>
  <c r="BA94" i="1"/>
  <c r="BB126" i="1"/>
  <c r="BC116" i="1"/>
  <c r="BA93" i="1"/>
  <c r="EO146" i="1"/>
  <c r="BB124" i="1"/>
  <c r="AU180" i="1"/>
  <c r="AV149" i="1"/>
  <c r="BB102" i="1"/>
  <c r="AU185" i="1"/>
  <c r="BC118" i="1"/>
  <c r="BC117" i="1"/>
  <c r="BD92" i="1"/>
  <c r="BB115" i="1"/>
  <c r="EO154" i="1"/>
  <c r="BB95" i="1"/>
  <c r="CD161" i="1"/>
  <c r="BC124" i="1"/>
  <c r="AV144" i="1"/>
  <c r="BF163" i="1"/>
  <c r="AV145" i="1"/>
  <c r="BB125" i="1"/>
  <c r="CD163" i="1"/>
  <c r="EN138" i="1"/>
  <c r="BB121" i="1"/>
  <c r="BB98" i="1"/>
  <c r="AV141" i="1"/>
  <c r="EN177" i="1"/>
  <c r="BC130" i="1"/>
  <c r="BA163" i="1"/>
  <c r="EN139" i="1"/>
  <c r="B26" i="2"/>
  <c r="D26" i="2"/>
  <c r="N26" i="2"/>
  <c r="O26" i="2"/>
  <c r="T26" i="2"/>
  <c r="M26" i="2"/>
  <c r="L26" i="2"/>
  <c r="S26" i="2"/>
  <c r="K26" i="2"/>
  <c r="BC103" i="1"/>
  <c r="BA127" i="1"/>
  <c r="BA113" i="1"/>
  <c r="BA119" i="1"/>
  <c r="BC112" i="1"/>
  <c r="BC111" i="1"/>
  <c r="BB92" i="1"/>
  <c r="BA114" i="1"/>
  <c r="BB89" i="1"/>
  <c r="BC108" i="1"/>
  <c r="BA129" i="1"/>
  <c r="BA124" i="1"/>
  <c r="BC96" i="1"/>
  <c r="EO141" i="1"/>
  <c r="AU140" i="1"/>
  <c r="CD164" i="1"/>
  <c r="EO151" i="1"/>
  <c r="AX175" i="1"/>
  <c r="AU187" i="1"/>
  <c r="BA100" i="1"/>
  <c r="BC128" i="1"/>
  <c r="EO147" i="1"/>
  <c r="BA102" i="1"/>
  <c r="BB109" i="1"/>
  <c r="EN137" i="1"/>
  <c r="AV150" i="1"/>
  <c r="EN187" i="1"/>
  <c r="EO173" i="1"/>
  <c r="EN140" i="1"/>
  <c r="BA95" i="1"/>
  <c r="BD86" i="1"/>
  <c r="AV155" i="1"/>
  <c r="BB123" i="1"/>
  <c r="BC125" i="1"/>
  <c r="BA96" i="1"/>
  <c r="EN183" i="1"/>
  <c r="BD88" i="1"/>
  <c r="EO148" i="1"/>
  <c r="EO155" i="1"/>
  <c r="AX170" i="1"/>
  <c r="AX176" i="1"/>
  <c r="BA105" i="1"/>
  <c r="BC120" i="1"/>
  <c r="BB110" i="1"/>
  <c r="EO152" i="1"/>
  <c r="BB100" i="1"/>
  <c r="BA104" i="1"/>
  <c r="BB108" i="1"/>
  <c r="BB93" i="1"/>
  <c r="BC123" i="1"/>
  <c r="BD89" i="1"/>
  <c r="BC129" i="1"/>
  <c r="BC127" i="1"/>
  <c r="AU181" i="1"/>
  <c r="BD91" i="1"/>
  <c r="R26" i="2"/>
  <c r="V26" i="2"/>
  <c r="U26" i="2"/>
  <c r="J26" i="2"/>
  <c r="F26" i="2"/>
  <c r="G26" i="2"/>
  <c r="C26" i="2"/>
  <c r="E26" i="2"/>
  <c r="W26" i="2"/>
  <c r="BA121" i="1"/>
  <c r="BB88" i="1"/>
  <c r="BC106" i="1"/>
  <c r="BC110" i="1"/>
  <c r="BC98" i="1"/>
  <c r="BA116" i="1"/>
  <c r="BA111" i="1"/>
  <c r="BB86" i="1"/>
  <c r="BA168" i="1"/>
  <c r="BA122" i="1"/>
  <c r="BC101" i="1"/>
  <c r="BC104" i="1"/>
  <c r="BA128" i="1"/>
  <c r="AX171" i="1"/>
  <c r="EN182" i="1"/>
  <c r="EN180" i="1"/>
  <c r="AV153" i="1"/>
  <c r="BB111" i="1"/>
  <c r="BF168" i="1"/>
  <c r="BB105" i="1"/>
  <c r="AV172" i="1"/>
  <c r="AX173" i="1"/>
  <c r="BB104" i="1"/>
  <c r="AV157" i="1"/>
  <c r="EO150" i="1"/>
  <c r="BC115" i="1"/>
  <c r="BB94" i="1"/>
  <c r="AV146" i="1"/>
  <c r="BB116" i="1"/>
  <c r="BB130" i="1"/>
  <c r="EN186" i="1"/>
  <c r="BA101" i="1"/>
  <c r="EN178" i="1"/>
  <c r="BC119" i="1"/>
  <c r="BB120" i="1"/>
  <c r="BD87" i="1"/>
  <c r="BB114" i="1"/>
  <c r="BB122" i="1"/>
  <c r="AU186" i="1"/>
  <c r="BD90" i="1"/>
  <c r="EO142" i="1"/>
  <c r="AX174" i="1"/>
  <c r="BB103" i="1"/>
  <c r="AX172" i="1"/>
  <c r="AV142" i="1"/>
  <c r="AV173" i="1"/>
  <c r="EO153" i="1"/>
  <c r="EN185" i="1"/>
  <c r="BC114" i="1"/>
  <c r="EN189" i="1"/>
  <c r="BB129" i="1"/>
  <c r="EO144" i="1"/>
  <c r="BB128" i="1"/>
  <c r="EO145" i="1"/>
  <c r="Q26" i="2"/>
  <c r="P26" i="2"/>
  <c r="I26" i="2"/>
  <c r="Y26" i="2" l="1"/>
  <c r="BG25" i="1" s="1"/>
  <c r="AZ26" i="1"/>
  <c r="A27" i="2"/>
  <c r="DG26" i="1"/>
  <c r="DU105" i="1"/>
  <c r="DU124" i="1"/>
  <c r="EG189" i="1"/>
  <c r="DZ189" i="1" s="1"/>
  <c r="BL189" i="1" s="1"/>
  <c r="DU89" i="1"/>
  <c r="DU113" i="1"/>
  <c r="DT124" i="1"/>
  <c r="CQ124" i="1"/>
  <c r="DU97" i="1"/>
  <c r="DT103" i="1"/>
  <c r="CQ103" i="1"/>
  <c r="DU106" i="1"/>
  <c r="DU87" i="1"/>
  <c r="CQ121" i="1"/>
  <c r="DT121" i="1"/>
  <c r="CQ118" i="1"/>
  <c r="DT118" i="1"/>
  <c r="EH147" i="1"/>
  <c r="EA147" i="1" s="1"/>
  <c r="BM147" i="1" s="1"/>
  <c r="EH145" i="1"/>
  <c r="EA145" i="1" s="1"/>
  <c r="BM145" i="1" s="1"/>
  <c r="EG185" i="1"/>
  <c r="DZ185" i="1" s="1"/>
  <c r="BL185" i="1" s="1"/>
  <c r="DU108" i="1"/>
  <c r="DT107" i="1"/>
  <c r="CQ107" i="1"/>
  <c r="CQ111" i="1"/>
  <c r="DT111" i="1"/>
  <c r="EG183" i="1"/>
  <c r="DZ183" i="1" s="1"/>
  <c r="BL183" i="1" s="1"/>
  <c r="EH151" i="1"/>
  <c r="EA151" i="1" s="1"/>
  <c r="BM151" i="1" s="1"/>
  <c r="DU126" i="1"/>
  <c r="DU107" i="1"/>
  <c r="DU92" i="1"/>
  <c r="DT127" i="1"/>
  <c r="CQ127" i="1"/>
  <c r="DU91" i="1"/>
  <c r="CQ125" i="1"/>
  <c r="DT125" i="1"/>
  <c r="DU86" i="1"/>
  <c r="DT105" i="1"/>
  <c r="CQ105" i="1"/>
  <c r="DT120" i="1"/>
  <c r="CQ120" i="1"/>
  <c r="EG178" i="1"/>
  <c r="DZ178" i="1" s="1"/>
  <c r="BL178" i="1" s="1"/>
  <c r="DU98" i="1"/>
  <c r="EG138" i="1"/>
  <c r="DZ138" i="1" s="1"/>
  <c r="BL138" i="1" s="1"/>
  <c r="EH172" i="1"/>
  <c r="EA172" i="1" s="1"/>
  <c r="BM172" i="1" s="1"/>
  <c r="DU88" i="1"/>
  <c r="EH157" i="1"/>
  <c r="EA157" i="1" s="1"/>
  <c r="BM157" i="1" s="1"/>
  <c r="CS92" i="1"/>
  <c r="EH148" i="1"/>
  <c r="EA148" i="1" s="1"/>
  <c r="BM148" i="1" s="1"/>
  <c r="DU117" i="1"/>
  <c r="CQ106" i="1"/>
  <c r="DT106" i="1"/>
  <c r="CS91" i="1"/>
  <c r="DT110" i="1"/>
  <c r="CQ110" i="1"/>
  <c r="DT123" i="1"/>
  <c r="CQ123" i="1"/>
  <c r="EH150" i="1"/>
  <c r="EA150" i="1" s="1"/>
  <c r="BM150" i="1" s="1"/>
  <c r="EG187" i="1"/>
  <c r="DZ187" i="1" s="1"/>
  <c r="BL187" i="1" s="1"/>
  <c r="EG180" i="1"/>
  <c r="DZ180" i="1" s="1"/>
  <c r="BL180" i="1" s="1"/>
  <c r="DU93" i="1"/>
  <c r="DU130" i="1"/>
  <c r="CQ130" i="1"/>
  <c r="DU127" i="1"/>
  <c r="DU102" i="1"/>
  <c r="DU110" i="1"/>
  <c r="CQ122" i="1"/>
  <c r="DT122" i="1"/>
  <c r="DT94" i="1"/>
  <c r="CQ94" i="1"/>
  <c r="EG188" i="1"/>
  <c r="DZ188" i="1" s="1"/>
  <c r="BL188" i="1" s="1"/>
  <c r="DU104" i="1"/>
  <c r="DT168" i="1"/>
  <c r="EH142" i="1"/>
  <c r="EA142" i="1" s="1"/>
  <c r="BM142" i="1" s="1"/>
  <c r="EG177" i="1"/>
  <c r="DZ177" i="1" s="1"/>
  <c r="BL177" i="1" s="1"/>
  <c r="DU128" i="1"/>
  <c r="DU103" i="1"/>
  <c r="DT114" i="1"/>
  <c r="CQ114" i="1"/>
  <c r="EG137" i="1"/>
  <c r="DZ137" i="1" s="1"/>
  <c r="BL137" i="1" s="1"/>
  <c r="CQ95" i="1"/>
  <c r="DT95" i="1"/>
  <c r="DU95" i="1"/>
  <c r="EH173" i="1"/>
  <c r="EA173" i="1" s="1"/>
  <c r="BM173" i="1" s="1"/>
  <c r="CQ119" i="1"/>
  <c r="DT119" i="1"/>
  <c r="DT101" i="1"/>
  <c r="CQ101" i="1"/>
  <c r="DU129" i="1"/>
  <c r="CQ108" i="1"/>
  <c r="DT108" i="1"/>
  <c r="DU94" i="1"/>
  <c r="DT117" i="1"/>
  <c r="CQ117" i="1"/>
  <c r="DU119" i="1"/>
  <c r="DU90" i="1"/>
  <c r="DU125" i="1"/>
  <c r="DU118" i="1"/>
  <c r="DT112" i="1"/>
  <c r="CQ112" i="1"/>
  <c r="EH141" i="1"/>
  <c r="EA141" i="1" s="1"/>
  <c r="BM141" i="1" s="1"/>
  <c r="DT113" i="1"/>
  <c r="CQ113" i="1"/>
  <c r="EG182" i="1"/>
  <c r="DZ182" i="1" s="1"/>
  <c r="BL182" i="1" s="1"/>
  <c r="DU121" i="1"/>
  <c r="CQ93" i="1"/>
  <c r="DT93" i="1"/>
  <c r="EG181" i="1"/>
  <c r="DZ181" i="1" s="1"/>
  <c r="BL181" i="1" s="1"/>
  <c r="EG140" i="1"/>
  <c r="DZ140" i="1" s="1"/>
  <c r="BL140" i="1" s="1"/>
  <c r="DU123" i="1"/>
  <c r="DU100" i="1"/>
  <c r="DU122" i="1"/>
  <c r="DU115" i="1"/>
  <c r="DU109" i="1"/>
  <c r="CQ99" i="1"/>
  <c r="DT99" i="1"/>
  <c r="EH146" i="1"/>
  <c r="EA146" i="1" s="1"/>
  <c r="BM146" i="1" s="1"/>
  <c r="DT128" i="1"/>
  <c r="CQ128" i="1"/>
  <c r="EH153" i="1"/>
  <c r="EA153" i="1" s="1"/>
  <c r="BM153" i="1" s="1"/>
  <c r="EH152" i="1"/>
  <c r="EA152" i="1" s="1"/>
  <c r="BM152" i="1" s="1"/>
  <c r="EH144" i="1"/>
  <c r="EA144" i="1" s="1"/>
  <c r="BM144" i="1" s="1"/>
  <c r="DU112" i="1"/>
  <c r="DU114" i="1"/>
  <c r="DU99" i="1"/>
  <c r="DU120" i="1"/>
  <c r="EG179" i="1"/>
  <c r="DZ179" i="1" s="1"/>
  <c r="BL179" i="1" s="1"/>
  <c r="EH143" i="1"/>
  <c r="EA143" i="1" s="1"/>
  <c r="BM143" i="1" s="1"/>
  <c r="DU111" i="1"/>
  <c r="BB84" i="1"/>
  <c r="CQ85" i="1"/>
  <c r="DU85" i="1"/>
  <c r="BB132" i="1"/>
  <c r="DT104" i="1"/>
  <c r="CQ104" i="1"/>
  <c r="EG184" i="1"/>
  <c r="DZ184" i="1" s="1"/>
  <c r="BL184" i="1" s="1"/>
  <c r="EH155" i="1"/>
  <c r="EA155" i="1" s="1"/>
  <c r="BM155" i="1" s="1"/>
  <c r="DT100" i="1"/>
  <c r="CQ100" i="1"/>
  <c r="CQ109" i="1"/>
  <c r="DT109" i="1"/>
  <c r="EG186" i="1"/>
  <c r="DZ186" i="1" s="1"/>
  <c r="BL186" i="1" s="1"/>
  <c r="DU116" i="1"/>
  <c r="EH156" i="1"/>
  <c r="EA156" i="1" s="1"/>
  <c r="BM156" i="1" s="1"/>
  <c r="DT97" i="1"/>
  <c r="CQ97" i="1"/>
  <c r="DT163" i="1"/>
  <c r="DU101" i="1"/>
  <c r="DT116" i="1"/>
  <c r="CQ116" i="1"/>
  <c r="DT102" i="1"/>
  <c r="CQ102" i="1"/>
  <c r="EG139" i="1"/>
  <c r="DZ139" i="1" s="1"/>
  <c r="BL139" i="1" s="1"/>
  <c r="EH149" i="1"/>
  <c r="EA149" i="1" s="1"/>
  <c r="BM149" i="1" s="1"/>
  <c r="CQ126" i="1"/>
  <c r="DT126" i="1"/>
  <c r="DU96" i="1"/>
  <c r="DT115" i="1"/>
  <c r="CQ115" i="1"/>
  <c r="CQ96" i="1"/>
  <c r="DT96" i="1"/>
  <c r="DT129" i="1"/>
  <c r="CQ129" i="1"/>
  <c r="DT98" i="1"/>
  <c r="CQ98" i="1"/>
  <c r="EH154" i="1"/>
  <c r="EA154" i="1" s="1"/>
  <c r="BM154" i="1" s="1"/>
  <c r="F26" i="1"/>
  <c r="A27" i="1"/>
  <c r="M27" i="2"/>
  <c r="T27" i="2"/>
  <c r="B27" i="2"/>
  <c r="P27" i="2"/>
  <c r="O27" i="2"/>
  <c r="J27" i="2"/>
  <c r="Q27" i="2"/>
  <c r="H27" i="2"/>
  <c r="V27" i="2"/>
  <c r="D27" i="2"/>
  <c r="W27" i="2"/>
  <c r="S27" i="2"/>
  <c r="I27" i="2"/>
  <c r="N27" i="2"/>
  <c r="R27" i="2"/>
  <c r="L27" i="2"/>
  <c r="U27" i="2"/>
  <c r="G27" i="2"/>
  <c r="C27" i="2"/>
  <c r="K27" i="2"/>
  <c r="F27" i="2"/>
  <c r="E27" i="2"/>
  <c r="X27" i="2"/>
  <c r="Y27" i="2" l="1"/>
  <c r="BG26" i="1" s="1"/>
  <c r="AZ27" i="1"/>
  <c r="A28" i="2"/>
  <c r="DG27" i="1"/>
  <c r="F27" i="1"/>
  <c r="A28" i="1"/>
  <c r="EO162" i="1"/>
  <c r="EO164" i="1"/>
  <c r="EN172" i="1"/>
  <c r="EN170" i="1"/>
  <c r="EN163" i="1"/>
  <c r="EN158" i="1"/>
  <c r="EO174" i="1"/>
  <c r="EN168" i="1"/>
  <c r="EO176" i="1"/>
  <c r="J28" i="2"/>
  <c r="X28" i="2"/>
  <c r="N28" i="2"/>
  <c r="O28" i="2"/>
  <c r="T28" i="2"/>
  <c r="R28" i="2"/>
  <c r="H28" i="2"/>
  <c r="EO160" i="1"/>
  <c r="EO163" i="1"/>
  <c r="EN175" i="1"/>
  <c r="EN167" i="1"/>
  <c r="EN162" i="1"/>
  <c r="EO167" i="1"/>
  <c r="EO165" i="1"/>
  <c r="EO168" i="1"/>
  <c r="EN160" i="1"/>
  <c r="EN169" i="1"/>
  <c r="EN174" i="1"/>
  <c r="EN159" i="1"/>
  <c r="BE163" i="1"/>
  <c r="EN171" i="1"/>
  <c r="Q28" i="2"/>
  <c r="E28" i="2"/>
  <c r="U28" i="2"/>
  <c r="W28" i="2"/>
  <c r="G28" i="2"/>
  <c r="EO159" i="1"/>
  <c r="EN173" i="1"/>
  <c r="EN166" i="1"/>
  <c r="EO169" i="1"/>
  <c r="S28" i="2"/>
  <c r="M28" i="2"/>
  <c r="B28" i="2"/>
  <c r="EO161" i="1"/>
  <c r="EO158" i="1"/>
  <c r="EO166" i="1"/>
  <c r="EN176" i="1"/>
  <c r="EO170" i="1"/>
  <c r="EO171" i="1"/>
  <c r="BE168" i="1"/>
  <c r="EN165" i="1"/>
  <c r="EN164" i="1"/>
  <c r="EN161" i="1"/>
  <c r="I28" i="2"/>
  <c r="V28" i="2"/>
  <c r="D28" i="2"/>
  <c r="C28" i="2"/>
  <c r="F28" i="2"/>
  <c r="K28" i="2"/>
  <c r="EO175" i="1"/>
  <c r="L28" i="2"/>
  <c r="P28" i="2"/>
  <c r="Y28" i="2" l="1"/>
  <c r="BG27" i="1" s="1"/>
  <c r="AZ28" i="1"/>
  <c r="A29" i="2"/>
  <c r="DG28" i="1"/>
  <c r="EG169" i="1"/>
  <c r="DZ169" i="1" s="1"/>
  <c r="BL169" i="1" s="1"/>
  <c r="EG174" i="1"/>
  <c r="DZ174" i="1" s="1"/>
  <c r="BL174" i="1" s="1"/>
  <c r="EG159" i="1"/>
  <c r="DZ159" i="1" s="1"/>
  <c r="BL159" i="1" s="1"/>
  <c r="EG171" i="1"/>
  <c r="DZ171" i="1" s="1"/>
  <c r="BL171" i="1" s="1"/>
  <c r="EG167" i="1"/>
  <c r="DZ167" i="1" s="1"/>
  <c r="BL167" i="1" s="1"/>
  <c r="CU168" i="1"/>
  <c r="EG168" i="1"/>
  <c r="DZ168" i="1" s="1"/>
  <c r="BL168" i="1" s="1"/>
  <c r="EH175" i="1"/>
  <c r="EA175" i="1" s="1"/>
  <c r="BM175" i="1" s="1"/>
  <c r="EH161" i="1"/>
  <c r="EA161" i="1" s="1"/>
  <c r="BM161" i="1" s="1"/>
  <c r="EH162" i="1"/>
  <c r="EA162" i="1" s="1"/>
  <c r="BM162" i="1" s="1"/>
  <c r="EH158" i="1"/>
  <c r="EA158" i="1" s="1"/>
  <c r="BM158" i="1" s="1"/>
  <c r="EH159" i="1"/>
  <c r="EA159" i="1" s="1"/>
  <c r="BM159" i="1" s="1"/>
  <c r="EH165" i="1"/>
  <c r="EA165" i="1" s="1"/>
  <c r="BM165" i="1" s="1"/>
  <c r="EG170" i="1"/>
  <c r="DZ170" i="1" s="1"/>
  <c r="BL170" i="1" s="1"/>
  <c r="EG158" i="1"/>
  <c r="DZ158" i="1" s="1"/>
  <c r="BL158" i="1" s="1"/>
  <c r="EG160" i="1"/>
  <c r="DZ160" i="1" s="1"/>
  <c r="BL160" i="1" s="1"/>
  <c r="EH176" i="1"/>
  <c r="EA176" i="1" s="1"/>
  <c r="BM176" i="1" s="1"/>
  <c r="EH174" i="1"/>
  <c r="EA174" i="1" s="1"/>
  <c r="BM174" i="1" s="1"/>
  <c r="EH163" i="1"/>
  <c r="EA163" i="1" s="1"/>
  <c r="BM163" i="1" s="1"/>
  <c r="EH170" i="1"/>
  <c r="EA170" i="1" s="1"/>
  <c r="BM170" i="1" s="1"/>
  <c r="EH168" i="1"/>
  <c r="EA168" i="1" s="1"/>
  <c r="BM168" i="1" s="1"/>
  <c r="EG161" i="1"/>
  <c r="DZ161" i="1" s="1"/>
  <c r="BL161" i="1" s="1"/>
  <c r="EG176" i="1"/>
  <c r="DZ176" i="1" s="1"/>
  <c r="BL176" i="1" s="1"/>
  <c r="EG173" i="1"/>
  <c r="DZ173" i="1" s="1"/>
  <c r="BL173" i="1" s="1"/>
  <c r="EG175" i="1"/>
  <c r="DZ175" i="1" s="1"/>
  <c r="BL175" i="1" s="1"/>
  <c r="EG172" i="1"/>
  <c r="DZ172" i="1" s="1"/>
  <c r="BL172" i="1" s="1"/>
  <c r="EH167" i="1"/>
  <c r="EA167" i="1" s="1"/>
  <c r="BM167" i="1" s="1"/>
  <c r="EG163" i="1"/>
  <c r="DZ163" i="1" s="1"/>
  <c r="BL163" i="1" s="1"/>
  <c r="EH169" i="1"/>
  <c r="EA169" i="1" s="1"/>
  <c r="BM169" i="1" s="1"/>
  <c r="EH160" i="1"/>
  <c r="EA160" i="1" s="1"/>
  <c r="BM160" i="1" s="1"/>
  <c r="EG165" i="1"/>
  <c r="DZ165" i="1" s="1"/>
  <c r="BL165" i="1" s="1"/>
  <c r="EG162" i="1"/>
  <c r="DZ162" i="1" s="1"/>
  <c r="BL162" i="1" s="1"/>
  <c r="CU163" i="1"/>
  <c r="EH166" i="1"/>
  <c r="EA166" i="1" s="1"/>
  <c r="BM166" i="1" s="1"/>
  <c r="EH164" i="1"/>
  <c r="EA164" i="1" s="1"/>
  <c r="BM164" i="1" s="1"/>
  <c r="EG164" i="1"/>
  <c r="DZ164" i="1" s="1"/>
  <c r="BL164" i="1" s="1"/>
  <c r="EG166" i="1"/>
  <c r="DZ166" i="1" s="1"/>
  <c r="BL166" i="1" s="1"/>
  <c r="EH171" i="1"/>
  <c r="EA171" i="1" s="1"/>
  <c r="BM171" i="1" s="1"/>
  <c r="F28" i="1"/>
  <c r="A29" i="1"/>
  <c r="AZ29" i="1" l="1"/>
  <c r="A30" i="2"/>
  <c r="DG29" i="1"/>
  <c r="F29" i="1"/>
  <c r="A30" i="1"/>
  <c r="AZ30" i="1" l="1"/>
  <c r="A31" i="2"/>
  <c r="DG30" i="1"/>
  <c r="F30" i="1"/>
  <c r="A31" i="1"/>
  <c r="AZ31" i="1" l="1"/>
  <c r="A32" i="2"/>
  <c r="DG31" i="1"/>
  <c r="F31" i="1"/>
  <c r="A32" i="1"/>
  <c r="AZ32" i="1" l="1"/>
  <c r="A33" i="2"/>
  <c r="DG32" i="1"/>
  <c r="F32" i="1"/>
  <c r="A33" i="1"/>
  <c r="EQ148" i="1"/>
  <c r="AU101" i="1"/>
  <c r="AU112" i="1"/>
  <c r="CF95" i="1"/>
  <c r="AW139" i="1"/>
  <c r="AS115" i="1"/>
  <c r="DB188" i="1"/>
  <c r="DA123" i="1"/>
  <c r="DE118" i="1"/>
  <c r="DD88" i="1"/>
  <c r="AS112" i="1"/>
  <c r="DC108" i="1"/>
  <c r="DC182" i="1"/>
  <c r="DE109" i="1"/>
  <c r="DA125" i="1"/>
  <c r="DE175" i="1"/>
  <c r="DD154" i="1"/>
  <c r="AX153" i="1"/>
  <c r="AU98" i="1"/>
  <c r="AU106" i="1"/>
  <c r="CF109" i="1"/>
  <c r="CG161" i="1"/>
  <c r="AU108" i="1"/>
  <c r="AT56" i="1"/>
  <c r="DF86" i="1"/>
  <c r="DF148" i="1"/>
  <c r="CD119" i="1"/>
  <c r="AT53" i="1"/>
  <c r="AS110" i="1"/>
  <c r="AS108" i="1"/>
  <c r="DC123" i="1"/>
  <c r="DA174" i="1"/>
  <c r="DE182" i="1"/>
  <c r="CD113" i="1"/>
  <c r="DF87" i="1"/>
  <c r="DC172" i="1"/>
  <c r="AT52" i="1"/>
  <c r="DC122" i="1"/>
  <c r="DE123" i="1"/>
  <c r="AX149" i="1"/>
  <c r="AU100" i="1"/>
  <c r="EP175" i="1"/>
  <c r="EQ188" i="1"/>
  <c r="AX155" i="1"/>
  <c r="EQ189" i="1"/>
  <c r="AS117" i="1"/>
  <c r="CD116" i="1"/>
  <c r="CD123" i="1"/>
  <c r="DF155" i="1"/>
  <c r="AT64" i="1"/>
  <c r="BB64" i="1"/>
  <c r="DC114" i="1"/>
  <c r="DE112" i="1"/>
  <c r="DA113" i="1"/>
  <c r="DB92" i="1"/>
  <c r="DE168" i="1"/>
  <c r="DB87" i="1"/>
  <c r="DE143" i="1"/>
  <c r="DC169" i="1"/>
  <c r="BB51" i="1"/>
  <c r="CG163" i="1"/>
  <c r="AV163" i="1"/>
  <c r="AU103" i="1"/>
  <c r="CF108" i="1"/>
  <c r="AX154" i="1"/>
  <c r="AX188" i="1"/>
  <c r="CE86" i="1"/>
  <c r="DA127" i="1"/>
  <c r="DD188" i="1"/>
  <c r="AS127" i="1"/>
  <c r="DC129" i="1"/>
  <c r="AS130" i="1"/>
  <c r="AT51" i="1"/>
  <c r="DA182" i="1"/>
  <c r="DB154" i="1"/>
  <c r="EM52" i="1"/>
  <c r="DE115" i="1"/>
  <c r="DC126" i="1"/>
  <c r="CD120" i="1"/>
  <c r="DC112" i="1"/>
  <c r="BB52" i="1"/>
  <c r="DC128" i="1"/>
  <c r="AU157" i="1"/>
  <c r="AX100" i="1"/>
  <c r="AV123" i="1"/>
  <c r="CG91" i="1"/>
  <c r="CH107" i="1"/>
  <c r="AV92" i="1"/>
  <c r="AX163" i="1"/>
  <c r="AV49" i="1"/>
  <c r="AV91" i="1"/>
  <c r="EO70" i="1"/>
  <c r="CF118" i="1"/>
  <c r="BC64" i="1"/>
  <c r="EQ138" i="1"/>
  <c r="CG111" i="1"/>
  <c r="BF125" i="1"/>
  <c r="BF118" i="1"/>
  <c r="CF124" i="1"/>
  <c r="CH163" i="1"/>
  <c r="BE103" i="1"/>
  <c r="EO77" i="1"/>
  <c r="AW102" i="1"/>
  <c r="AV122" i="1"/>
  <c r="BE100" i="1"/>
  <c r="EO76" i="1"/>
  <c r="AX91" i="1"/>
  <c r="AW49" i="1"/>
  <c r="AX125" i="1"/>
  <c r="EN51" i="1"/>
  <c r="EN47" i="1"/>
  <c r="BF129" i="1"/>
  <c r="AV95" i="1"/>
  <c r="EO64" i="1"/>
  <c r="EO184" i="1"/>
  <c r="CF161" i="1"/>
  <c r="CG113" i="1"/>
  <c r="BF89" i="1"/>
  <c r="BF101" i="1"/>
  <c r="CG122" i="1"/>
  <c r="AX117" i="1"/>
  <c r="BE115" i="1"/>
  <c r="EO45" i="1"/>
  <c r="EO53" i="1"/>
  <c r="CI64" i="1"/>
  <c r="AU125" i="1"/>
  <c r="EN147" i="1"/>
  <c r="AU96" i="1"/>
  <c r="EQ155" i="1"/>
  <c r="BD163" i="1"/>
  <c r="AV164" i="1"/>
  <c r="CF107" i="1"/>
  <c r="EP179" i="1"/>
  <c r="CE62" i="1"/>
  <c r="AT87" i="1"/>
  <c r="DF154" i="1"/>
  <c r="DE172" i="1"/>
  <c r="AS116" i="1"/>
  <c r="AT92" i="1"/>
  <c r="AT86" i="1"/>
  <c r="AT90" i="1"/>
  <c r="CD122" i="1"/>
  <c r="DA114" i="1"/>
  <c r="DA122" i="1"/>
  <c r="AU95" i="1"/>
  <c r="AW175" i="1"/>
  <c r="AU94" i="1"/>
  <c r="AU109" i="1"/>
  <c r="AV160" i="1"/>
  <c r="CF96" i="1"/>
  <c r="DD90" i="1"/>
  <c r="DA173" i="1"/>
  <c r="DE124" i="1"/>
  <c r="DE110" i="1"/>
  <c r="CF105" i="1"/>
  <c r="CD130" i="1"/>
  <c r="CF94" i="1"/>
  <c r="DE126" i="1"/>
  <c r="DA109" i="1"/>
  <c r="CD128" i="1"/>
  <c r="DF89" i="1"/>
  <c r="DC113" i="1"/>
  <c r="CE71" i="1"/>
  <c r="DB86" i="1"/>
  <c r="CE53" i="1"/>
  <c r="DC168" i="1"/>
  <c r="DE170" i="1"/>
  <c r="AU110" i="1"/>
  <c r="CG165" i="1"/>
  <c r="AW179" i="1"/>
  <c r="AX151" i="1"/>
  <c r="AV158" i="1"/>
  <c r="AW172" i="1"/>
  <c r="EM50" i="1"/>
  <c r="DA110" i="1"/>
  <c r="DC116" i="1"/>
  <c r="AS113" i="1"/>
  <c r="DA117" i="1"/>
  <c r="AS125" i="1"/>
  <c r="DC121" i="1"/>
  <c r="DC173" i="1"/>
  <c r="BB50" i="1"/>
  <c r="CD126" i="1"/>
  <c r="DA111" i="1"/>
  <c r="CE49" i="1"/>
  <c r="DC119" i="1"/>
  <c r="DC125" i="1"/>
  <c r="CD124" i="1"/>
  <c r="EP176" i="1"/>
  <c r="AV165" i="1"/>
  <c r="AX152" i="1"/>
  <c r="AU105" i="1"/>
  <c r="AW174" i="1"/>
  <c r="AS129" i="1"/>
  <c r="BB49" i="1"/>
  <c r="AS128" i="1"/>
  <c r="DA119" i="1"/>
  <c r="DC118" i="1"/>
  <c r="CE90" i="1"/>
  <c r="DE113" i="1"/>
  <c r="DC109" i="1"/>
  <c r="EM53" i="1"/>
  <c r="DE128" i="1"/>
  <c r="DA130" i="1"/>
  <c r="DE117" i="1"/>
  <c r="DE129" i="1"/>
  <c r="DA143" i="1"/>
  <c r="DA120" i="1"/>
  <c r="CE50" i="1"/>
  <c r="AV116" i="1"/>
  <c r="AW188" i="1"/>
  <c r="AV115" i="1"/>
  <c r="AW85" i="1"/>
  <c r="AV100" i="1"/>
  <c r="EP150" i="1"/>
  <c r="AU123" i="1"/>
  <c r="CI62" i="1"/>
  <c r="AV88" i="1"/>
  <c r="CI112" i="1"/>
  <c r="AU161" i="1"/>
  <c r="EP166" i="1"/>
  <c r="CF51" i="1"/>
  <c r="BD118" i="1"/>
  <c r="EO78" i="1"/>
  <c r="BC86" i="1"/>
  <c r="AV183" i="1"/>
  <c r="EQ72" i="1"/>
  <c r="CH53" i="1"/>
  <c r="AW150" i="1"/>
  <c r="BE91" i="1"/>
  <c r="AU149" i="1"/>
  <c r="BD96" i="1"/>
  <c r="BC50" i="1"/>
  <c r="AX180" i="1"/>
  <c r="EQ141" i="1"/>
  <c r="EQ178" i="1"/>
  <c r="EN152" i="1"/>
  <c r="EO188" i="1"/>
  <c r="BE121" i="1"/>
  <c r="EP70" i="1"/>
  <c r="EN146" i="1"/>
  <c r="BD99" i="1"/>
  <c r="EP71" i="1"/>
  <c r="AX145" i="1"/>
  <c r="CI164" i="1"/>
  <c r="AW92" i="1"/>
  <c r="EP171" i="1"/>
  <c r="EQ157" i="1"/>
  <c r="AV99" i="1"/>
  <c r="BF102" i="1"/>
  <c r="BD93" i="1"/>
  <c r="BF117" i="1"/>
  <c r="AW101" i="1"/>
  <c r="EQ57" i="1"/>
  <c r="AU107" i="1"/>
  <c r="AU93" i="1"/>
  <c r="EP177" i="1"/>
  <c r="CF101" i="1"/>
  <c r="AV159" i="1"/>
  <c r="EP173" i="1"/>
  <c r="AS123" i="1"/>
  <c r="AS118" i="1"/>
  <c r="DA126" i="1"/>
  <c r="AT89" i="1"/>
  <c r="CE85" i="1"/>
  <c r="CE52" i="1"/>
  <c r="AS124" i="1"/>
  <c r="DA121" i="1"/>
  <c r="DE116" i="1"/>
  <c r="CD109" i="1"/>
  <c r="DF88" i="1"/>
  <c r="EQ153" i="1"/>
  <c r="EP139" i="1"/>
  <c r="EP137" i="1"/>
  <c r="CF100" i="1"/>
  <c r="CF93" i="1"/>
  <c r="CF98" i="1"/>
  <c r="DF188" i="1"/>
  <c r="DD85" i="1"/>
  <c r="DB89" i="1"/>
  <c r="CE56" i="1"/>
  <c r="AS121" i="1"/>
  <c r="CD129" i="1"/>
  <c r="DA112" i="1"/>
  <c r="DE108" i="1"/>
  <c r="DD92" i="1"/>
  <c r="DA169" i="1"/>
  <c r="DA170" i="1"/>
  <c r="DE122" i="1"/>
  <c r="AT49" i="1"/>
  <c r="DD87" i="1"/>
  <c r="DA175" i="1"/>
  <c r="BB56" i="1"/>
  <c r="DD91" i="1"/>
  <c r="AX189" i="1"/>
  <c r="AW176" i="1"/>
  <c r="EQ152" i="1"/>
  <c r="AU104" i="1"/>
  <c r="AW138" i="1"/>
  <c r="CG162" i="1"/>
  <c r="DF92" i="1"/>
  <c r="DC127" i="1"/>
  <c r="DA124" i="1"/>
  <c r="DE114" i="1"/>
  <c r="AT91" i="1"/>
  <c r="AS122" i="1"/>
  <c r="CE91" i="1"/>
  <c r="DC115" i="1"/>
  <c r="DC124" i="1"/>
  <c r="CE51" i="1"/>
  <c r="DB90" i="1"/>
  <c r="DC117" i="1"/>
  <c r="DE127" i="1"/>
  <c r="DD155" i="1"/>
  <c r="AU99" i="1"/>
  <c r="AW177" i="1"/>
  <c r="AV167" i="1"/>
  <c r="CG164" i="1"/>
  <c r="AX148" i="1"/>
  <c r="AX150" i="1"/>
  <c r="AT70" i="1"/>
  <c r="AS120" i="1"/>
  <c r="DD89" i="1"/>
  <c r="CE88" i="1"/>
  <c r="CE89" i="1"/>
  <c r="CE92" i="1"/>
  <c r="AT50" i="1"/>
  <c r="CE87" i="1"/>
  <c r="CE70" i="1"/>
  <c r="DC175" i="1"/>
  <c r="DE171" i="1"/>
  <c r="DE111" i="1"/>
  <c r="DB148" i="1"/>
  <c r="DC143" i="1"/>
  <c r="DD148" i="1"/>
  <c r="CE64" i="1"/>
  <c r="AV94" i="1"/>
  <c r="BE130" i="1"/>
  <c r="AV86" i="1"/>
  <c r="BD113" i="1"/>
  <c r="EN60" i="1"/>
  <c r="EP162" i="1"/>
  <c r="AV52" i="1"/>
  <c r="EO182" i="1"/>
  <c r="BF100" i="1"/>
  <c r="EO139" i="1"/>
  <c r="BF106" i="1"/>
  <c r="AW162" i="1"/>
  <c r="BF109" i="1"/>
  <c r="AX53" i="1"/>
  <c r="CG90" i="1"/>
  <c r="AV130" i="1"/>
  <c r="EQ143" i="1"/>
  <c r="AU160" i="1"/>
  <c r="CG124" i="1"/>
  <c r="EO137" i="1"/>
  <c r="CG97" i="1"/>
  <c r="EO46" i="1"/>
  <c r="CI94" i="1"/>
  <c r="EP187" i="1"/>
  <c r="AW93" i="1"/>
  <c r="EQ78" i="1"/>
  <c r="CG93" i="1"/>
  <c r="CG108" i="1"/>
  <c r="AX94" i="1"/>
  <c r="AW129" i="1"/>
  <c r="EP142" i="1"/>
  <c r="BF96" i="1"/>
  <c r="AV97" i="1"/>
  <c r="AV103" i="1"/>
  <c r="AW56" i="1"/>
  <c r="CF121" i="1"/>
  <c r="AV89" i="1"/>
  <c r="EN62" i="1"/>
  <c r="AU159" i="1"/>
  <c r="CF162" i="1"/>
  <c r="AU102" i="1"/>
  <c r="EQ151" i="1"/>
  <c r="EP174" i="1"/>
  <c r="CF102" i="1"/>
  <c r="CF111" i="1"/>
  <c r="AV162" i="1"/>
  <c r="DA115" i="1"/>
  <c r="DF91" i="1"/>
  <c r="DA129" i="1"/>
  <c r="DC183" i="1"/>
  <c r="DA172" i="1"/>
  <c r="DB155" i="1"/>
  <c r="DF90" i="1"/>
  <c r="CD112" i="1"/>
  <c r="DA168" i="1"/>
  <c r="CD111" i="1"/>
  <c r="CD127" i="1"/>
  <c r="AU97" i="1"/>
  <c r="EQ154" i="1"/>
  <c r="EP178" i="1"/>
  <c r="CF106" i="1"/>
  <c r="AW173" i="1"/>
  <c r="CF112" i="1"/>
  <c r="AS109" i="1"/>
  <c r="AS114" i="1"/>
  <c r="AS119" i="1"/>
  <c r="DE173" i="1"/>
  <c r="EM56" i="1"/>
  <c r="DB91" i="1"/>
  <c r="DA116" i="1"/>
  <c r="CD117" i="1"/>
  <c r="DE119" i="1"/>
  <c r="EM51" i="1"/>
  <c r="CD115" i="1"/>
  <c r="DE130" i="1"/>
  <c r="DE121" i="1"/>
  <c r="DA183" i="1"/>
  <c r="DE169" i="1"/>
  <c r="CD114" i="1"/>
  <c r="EP172" i="1"/>
  <c r="AW178" i="1"/>
  <c r="AV166" i="1"/>
  <c r="EP138" i="1"/>
  <c r="AV161" i="1"/>
  <c r="AU111" i="1"/>
  <c r="DC171" i="1"/>
  <c r="DA118" i="1"/>
  <c r="CD118" i="1"/>
  <c r="AS111" i="1"/>
  <c r="CF110" i="1"/>
  <c r="DA108" i="1"/>
  <c r="BB53" i="1"/>
  <c r="DE174" i="1"/>
  <c r="CD108" i="1"/>
  <c r="DC174" i="1"/>
  <c r="CE63" i="1"/>
  <c r="EM49" i="1"/>
  <c r="CD121" i="1"/>
  <c r="DB85" i="1"/>
  <c r="DC111" i="1"/>
  <c r="EQ150" i="1"/>
  <c r="EQ149" i="1"/>
  <c r="CF103" i="1"/>
  <c r="CF99" i="1"/>
  <c r="CF97" i="1"/>
  <c r="CF104" i="1"/>
  <c r="AS126" i="1"/>
  <c r="CD125" i="1"/>
  <c r="DC130" i="1"/>
  <c r="DE125" i="1"/>
  <c r="CD110" i="1"/>
  <c r="DD86" i="1"/>
  <c r="AT88" i="1"/>
  <c r="DA128" i="1"/>
  <c r="DF85" i="1"/>
  <c r="DE120" i="1"/>
  <c r="DC110" i="1"/>
  <c r="DE183" i="1"/>
  <c r="DB88" i="1"/>
  <c r="DA171" i="1"/>
  <c r="DC120" i="1"/>
  <c r="DC170" i="1"/>
  <c r="AU158" i="1"/>
  <c r="EP184" i="1"/>
  <c r="AX127" i="1"/>
  <c r="AX143" i="1"/>
  <c r="EQ159" i="1"/>
  <c r="AU129" i="1"/>
  <c r="CI49" i="1"/>
  <c r="AV124" i="1"/>
  <c r="AX110" i="1"/>
  <c r="AX144" i="1"/>
  <c r="AX185" i="1"/>
  <c r="AW86" i="1"/>
  <c r="AX118" i="1"/>
  <c r="AW126" i="1"/>
  <c r="EQ142" i="1"/>
  <c r="CH106" i="1"/>
  <c r="EP181" i="1"/>
  <c r="EP144" i="1"/>
  <c r="AX101" i="1"/>
  <c r="AU130" i="1"/>
  <c r="EP152" i="1"/>
  <c r="AX111" i="1"/>
  <c r="CF165" i="1"/>
  <c r="AV51" i="1"/>
  <c r="EO187" i="1"/>
  <c r="AV187" i="1"/>
  <c r="EQ171" i="1"/>
  <c r="BF120" i="1"/>
  <c r="EP143" i="1"/>
  <c r="BD128" i="1"/>
  <c r="BC90" i="1"/>
  <c r="BE119" i="1"/>
  <c r="EP169" i="1"/>
  <c r="AV106" i="1"/>
  <c r="AX102" i="1"/>
  <c r="BD108" i="1"/>
  <c r="EN48" i="1"/>
  <c r="BD111" i="1"/>
  <c r="BC163" i="1"/>
  <c r="EO47" i="1"/>
  <c r="EQ166" i="1"/>
  <c r="EQ140" i="1"/>
  <c r="BE108" i="1"/>
  <c r="BE90" i="1"/>
  <c r="AW184" i="1"/>
  <c r="BC49" i="1"/>
  <c r="AW142" i="1"/>
  <c r="AW153" i="1"/>
  <c r="EQ165" i="1"/>
  <c r="AW161" i="1"/>
  <c r="BE129" i="1"/>
  <c r="AU114" i="1"/>
  <c r="EQ185" i="1"/>
  <c r="AV117" i="1"/>
  <c r="CI95" i="1"/>
  <c r="EN79" i="1"/>
  <c r="BE107" i="1"/>
  <c r="AV140" i="1"/>
  <c r="BD94" i="1"/>
  <c r="CI96" i="1"/>
  <c r="AU118" i="1"/>
  <c r="CH94" i="1"/>
  <c r="AU52" i="1"/>
  <c r="AW149" i="1"/>
  <c r="AU156" i="1"/>
  <c r="CI105" i="1"/>
  <c r="AX89" i="1"/>
  <c r="AU122" i="1"/>
  <c r="BD102" i="1"/>
  <c r="EP189" i="1"/>
  <c r="CI89" i="1"/>
  <c r="AX97" i="1"/>
  <c r="AX122" i="1"/>
  <c r="AV102" i="1"/>
  <c r="CI162" i="1"/>
  <c r="BF113" i="1"/>
  <c r="EQ180" i="1"/>
  <c r="BF52" i="1"/>
  <c r="BF98" i="1"/>
  <c r="EO58" i="1"/>
  <c r="EO178" i="1"/>
  <c r="EN71" i="1"/>
  <c r="CG115" i="1"/>
  <c r="AW167" i="1"/>
  <c r="CF122" i="1"/>
  <c r="AV175" i="1"/>
  <c r="EO57" i="1"/>
  <c r="AV125" i="1"/>
  <c r="AU119" i="1"/>
  <c r="BD127" i="1"/>
  <c r="AW91" i="1"/>
  <c r="AW187" i="1"/>
  <c r="CI117" i="1"/>
  <c r="BF97" i="1"/>
  <c r="AV108" i="1"/>
  <c r="AX104" i="1"/>
  <c r="AW160" i="1"/>
  <c r="CF91" i="1"/>
  <c r="BD123" i="1"/>
  <c r="EQ172" i="1"/>
  <c r="AV184" i="1"/>
  <c r="AV180" i="1"/>
  <c r="AX49" i="1"/>
  <c r="BE64" i="1"/>
  <c r="EP186" i="1"/>
  <c r="BF87" i="1"/>
  <c r="BD50" i="1"/>
  <c r="AX119" i="1"/>
  <c r="AX105" i="1"/>
  <c r="BF90" i="1"/>
  <c r="CI114" i="1"/>
  <c r="BD95" i="1"/>
  <c r="AU50" i="1"/>
  <c r="AW116" i="1"/>
  <c r="BF88" i="1"/>
  <c r="CH127" i="1"/>
  <c r="CI110" i="1"/>
  <c r="CH87" i="1"/>
  <c r="AX166" i="1"/>
  <c r="EQ77" i="1"/>
  <c r="AU56" i="1"/>
  <c r="EP146" i="1"/>
  <c r="BD53" i="1"/>
  <c r="CG107" i="1"/>
  <c r="EQ62" i="1"/>
  <c r="EO183" i="1"/>
  <c r="AX96" i="1"/>
  <c r="AV70" i="1"/>
  <c r="BE102" i="1"/>
  <c r="EP140" i="1"/>
  <c r="AU144" i="1"/>
  <c r="EP151" i="1"/>
  <c r="CG119" i="1"/>
  <c r="EP45" i="1"/>
  <c r="CG110" i="1"/>
  <c r="DE59" i="1"/>
  <c r="BA56" i="1"/>
  <c r="DA146" i="1"/>
  <c r="DB127" i="1"/>
  <c r="DC64" i="1"/>
  <c r="AX160" i="1"/>
  <c r="DF5" i="1"/>
  <c r="AT108" i="1"/>
  <c r="DD103" i="1"/>
  <c r="CG98" i="1"/>
  <c r="BE109" i="1"/>
  <c r="AU63" i="1"/>
  <c r="AW151" i="1"/>
  <c r="EO71" i="1"/>
  <c r="BF115" i="1"/>
  <c r="CH164" i="1"/>
  <c r="AV50" i="1"/>
  <c r="BF114" i="1"/>
  <c r="AX106" i="1"/>
  <c r="AU150" i="1"/>
  <c r="BF51" i="1"/>
  <c r="BD130" i="1"/>
  <c r="AW87" i="1"/>
  <c r="BD114" i="1"/>
  <c r="AW186" i="1"/>
  <c r="BE85" i="1"/>
  <c r="AX146" i="1"/>
  <c r="CF163" i="1"/>
  <c r="BD117" i="1"/>
  <c r="AU91" i="1"/>
  <c r="CG89" i="1"/>
  <c r="EO177" i="1"/>
  <c r="AW88" i="1"/>
  <c r="CG92" i="1"/>
  <c r="AW90" i="1"/>
  <c r="AU175" i="1"/>
  <c r="AW182" i="1"/>
  <c r="AX129" i="1"/>
  <c r="EO181" i="1"/>
  <c r="EP62" i="1"/>
  <c r="BD112" i="1"/>
  <c r="AU120" i="1"/>
  <c r="AX108" i="1"/>
  <c r="BC51" i="1"/>
  <c r="EP64" i="1"/>
  <c r="BF130" i="1"/>
  <c r="CF164" i="1"/>
  <c r="BD115" i="1"/>
  <c r="CH124" i="1"/>
  <c r="AX142" i="1"/>
  <c r="BE56" i="1"/>
  <c r="EQ47" i="1"/>
  <c r="BE128" i="1"/>
  <c r="BF94" i="1"/>
  <c r="AW180" i="1"/>
  <c r="EP49" i="1"/>
  <c r="CI71" i="1"/>
  <c r="EP164" i="1"/>
  <c r="CH123" i="1"/>
  <c r="BD110" i="1"/>
  <c r="AV178" i="1"/>
  <c r="AX159" i="1"/>
  <c r="EP183" i="1"/>
  <c r="CH93" i="1"/>
  <c r="BF105" i="1"/>
  <c r="CI93" i="1"/>
  <c r="EQ46" i="1"/>
  <c r="BD129" i="1"/>
  <c r="CF127" i="1"/>
  <c r="CH105" i="1"/>
  <c r="AV120" i="1"/>
  <c r="CH129" i="1"/>
  <c r="EO138" i="1"/>
  <c r="EQ173" i="1"/>
  <c r="AX130" i="1"/>
  <c r="AX123" i="1"/>
  <c r="CG87" i="1"/>
  <c r="BD120" i="1"/>
  <c r="AV114" i="1"/>
  <c r="EQ74" i="1"/>
  <c r="EQ182" i="1"/>
  <c r="AU141" i="1"/>
  <c r="EN76" i="1"/>
  <c r="BD107" i="1"/>
  <c r="AV119" i="1"/>
  <c r="CH99" i="1"/>
  <c r="CF116" i="1"/>
  <c r="CG99" i="1"/>
  <c r="CH95" i="1"/>
  <c r="BF111" i="1"/>
  <c r="CG103" i="1"/>
  <c r="CF126" i="1"/>
  <c r="CI108" i="1"/>
  <c r="BF128" i="1"/>
  <c r="EP75" i="1"/>
  <c r="CG116" i="1"/>
  <c r="EN151" i="1"/>
  <c r="AW51" i="1"/>
  <c r="AU87" i="1"/>
  <c r="BD104" i="1"/>
  <c r="CI87" i="1"/>
  <c r="BE52" i="1"/>
  <c r="AW155" i="1"/>
  <c r="CF62" i="1"/>
  <c r="AV87" i="1"/>
  <c r="BE50" i="1"/>
  <c r="EQ160" i="1"/>
  <c r="EP74" i="1"/>
  <c r="BD100" i="1"/>
  <c r="EN63" i="1"/>
  <c r="AU162" i="1"/>
  <c r="AX87" i="1"/>
  <c r="CF114" i="1"/>
  <c r="CI126" i="1"/>
  <c r="EN157" i="1"/>
  <c r="CH112" i="1"/>
  <c r="BD52" i="1"/>
  <c r="BD168" i="1"/>
  <c r="CG129" i="1"/>
  <c r="EP185" i="1"/>
  <c r="AW100" i="1"/>
  <c r="AU124" i="1"/>
  <c r="AV129" i="1"/>
  <c r="AU51" i="1"/>
  <c r="BD97" i="1"/>
  <c r="CG96" i="1"/>
  <c r="EO75" i="1"/>
  <c r="AW171" i="1"/>
  <c r="CG56" i="1"/>
  <c r="AX103" i="1"/>
  <c r="CG49" i="1"/>
  <c r="CI168" i="1"/>
  <c r="BE101" i="1"/>
  <c r="CH118" i="1"/>
  <c r="CH71" i="1"/>
  <c r="AV126" i="1"/>
  <c r="CG105" i="1"/>
  <c r="EQ187" i="1"/>
  <c r="AW168" i="1"/>
  <c r="AW157" i="1"/>
  <c r="CI102" i="1"/>
  <c r="AV98" i="1"/>
  <c r="CF63" i="1"/>
  <c r="EN49" i="1"/>
  <c r="CI113" i="1"/>
  <c r="AV63" i="1"/>
  <c r="EN73" i="1"/>
  <c r="CH161" i="1"/>
  <c r="AU155" i="1"/>
  <c r="CH51" i="1"/>
  <c r="AX114" i="1"/>
  <c r="CI63" i="1"/>
  <c r="AV104" i="1"/>
  <c r="AW99" i="1"/>
  <c r="EO52" i="1"/>
  <c r="EO186" i="1"/>
  <c r="AW103" i="1"/>
  <c r="CH90" i="1"/>
  <c r="CG71" i="1"/>
  <c r="AX112" i="1"/>
  <c r="EP72" i="1"/>
  <c r="AV90" i="1"/>
  <c r="AW109" i="1"/>
  <c r="EP145" i="1"/>
  <c r="BF123" i="1"/>
  <c r="EQ51" i="1"/>
  <c r="EP168" i="1"/>
  <c r="AX120" i="1"/>
  <c r="BF116" i="1"/>
  <c r="BF99" i="1"/>
  <c r="CF53" i="1"/>
  <c r="BE106" i="1"/>
  <c r="CH100" i="1"/>
  <c r="EO60" i="1"/>
  <c r="BE87" i="1"/>
  <c r="AV171" i="1"/>
  <c r="BF108" i="1"/>
  <c r="CG118" i="1"/>
  <c r="AU163" i="1"/>
  <c r="AX181" i="1"/>
  <c r="BE113" i="1"/>
  <c r="AX140" i="1"/>
  <c r="BE117" i="1"/>
  <c r="EP180" i="1"/>
  <c r="BE124" i="1"/>
  <c r="AX147" i="1"/>
  <c r="EN56" i="1"/>
  <c r="AW108" i="1"/>
  <c r="AV105" i="1"/>
  <c r="AX126" i="1"/>
  <c r="EQ144" i="1"/>
  <c r="EO63" i="1"/>
  <c r="BD109" i="1"/>
  <c r="CG88" i="1"/>
  <c r="EN144" i="1"/>
  <c r="BD116" i="1"/>
  <c r="CF168" i="1"/>
  <c r="BD103" i="1"/>
  <c r="AV169" i="1"/>
  <c r="EP153" i="1"/>
  <c r="AX98" i="1"/>
  <c r="AU49" i="1"/>
  <c r="CH101" i="1"/>
  <c r="AW50" i="1"/>
  <c r="CG126" i="1"/>
  <c r="BE49" i="1"/>
  <c r="AW114" i="1"/>
  <c r="EO59" i="1"/>
  <c r="AW97" i="1"/>
  <c r="BF85" i="1"/>
  <c r="AX121" i="1"/>
  <c r="BE53" i="1"/>
  <c r="AX161" i="1"/>
  <c r="EO48" i="1"/>
  <c r="BE86" i="1"/>
  <c r="EN77" i="1"/>
  <c r="EP52" i="1"/>
  <c r="AX183" i="1"/>
  <c r="EO56" i="1"/>
  <c r="AW130" i="1"/>
  <c r="CF125" i="1"/>
  <c r="AU153" i="1"/>
  <c r="CI163" i="1"/>
  <c r="AW105" i="1"/>
  <c r="BE125" i="1"/>
  <c r="AW106" i="1"/>
  <c r="AV177" i="1"/>
  <c r="AW124" i="1"/>
  <c r="CG109" i="1"/>
  <c r="EQ161" i="1"/>
  <c r="CF85" i="1"/>
  <c r="DD142" i="1"/>
  <c r="DC47" i="1"/>
  <c r="DB115" i="1"/>
  <c r="CI90" i="1"/>
  <c r="AW170" i="1"/>
  <c r="AV168" i="1"/>
  <c r="BF121" i="1"/>
  <c r="EQ63" i="1"/>
  <c r="BE112" i="1"/>
  <c r="AV186" i="1"/>
  <c r="CG130" i="1"/>
  <c r="EN155" i="1"/>
  <c r="CG51" i="1"/>
  <c r="AW125" i="1"/>
  <c r="BD56" i="1"/>
  <c r="CI52" i="1"/>
  <c r="CH117" i="1"/>
  <c r="CF86" i="1"/>
  <c r="AW185" i="1"/>
  <c r="CF119" i="1"/>
  <c r="EQ146" i="1"/>
  <c r="BF126" i="1"/>
  <c r="AU121" i="1"/>
  <c r="CH50" i="1"/>
  <c r="BD49" i="1"/>
  <c r="EN74" i="1"/>
  <c r="AX113" i="1"/>
  <c r="AU116" i="1"/>
  <c r="AV128" i="1"/>
  <c r="CI109" i="1"/>
  <c r="BF110" i="1"/>
  <c r="CI70" i="1"/>
  <c r="EQ156" i="1"/>
  <c r="EP47" i="1"/>
  <c r="AV127" i="1"/>
  <c r="EO49" i="1"/>
  <c r="AW169" i="1"/>
  <c r="EP170" i="1"/>
  <c r="AU148" i="1"/>
  <c r="EP161" i="1"/>
  <c r="CI92" i="1"/>
  <c r="AU113" i="1"/>
  <c r="BE93" i="1"/>
  <c r="AU115" i="1"/>
  <c r="AW96" i="1"/>
  <c r="AX70" i="1"/>
  <c r="BD126" i="1"/>
  <c r="EN148" i="1"/>
  <c r="AV182" i="1"/>
  <c r="AU126" i="1"/>
  <c r="CG168" i="1"/>
  <c r="BD106" i="1"/>
  <c r="EQ184" i="1"/>
  <c r="EO189" i="1"/>
  <c r="CH126" i="1"/>
  <c r="BD121" i="1"/>
  <c r="BC88" i="1"/>
  <c r="AV181" i="1"/>
  <c r="BE110" i="1"/>
  <c r="CI91" i="1"/>
  <c r="AU167" i="1"/>
  <c r="EQ70" i="1"/>
  <c r="EP163" i="1"/>
  <c r="EO74" i="1"/>
  <c r="AW118" i="1"/>
  <c r="EO79" i="1"/>
  <c r="EN72" i="1"/>
  <c r="CH104" i="1"/>
  <c r="EQ158" i="1"/>
  <c r="AU88" i="1"/>
  <c r="BD122" i="1"/>
  <c r="AV170" i="1"/>
  <c r="EO73" i="1"/>
  <c r="AV107" i="1"/>
  <c r="CH97" i="1"/>
  <c r="BD98" i="1"/>
  <c r="EQ186" i="1"/>
  <c r="AX184" i="1"/>
  <c r="CH64" i="1"/>
  <c r="AV112" i="1"/>
  <c r="AV111" i="1"/>
  <c r="BE98" i="1"/>
  <c r="EO51" i="1"/>
  <c r="BF122" i="1"/>
  <c r="CH56" i="1"/>
  <c r="AX56" i="1"/>
  <c r="EQ52" i="1"/>
  <c r="BC53" i="1"/>
  <c r="CF64" i="1"/>
  <c r="AX90" i="1"/>
  <c r="EN150" i="1"/>
  <c r="CI53" i="1"/>
  <c r="CI124" i="1"/>
  <c r="CI123" i="1"/>
  <c r="EP48" i="1"/>
  <c r="AX167" i="1"/>
  <c r="AX168" i="1"/>
  <c r="CF130" i="1"/>
  <c r="AW64" i="1"/>
  <c r="AW166" i="1"/>
  <c r="CF56" i="1"/>
  <c r="AU172" i="1"/>
  <c r="CH115" i="1"/>
  <c r="CH98" i="1"/>
  <c r="AU128" i="1"/>
  <c r="CH128" i="1"/>
  <c r="EQ76" i="1"/>
  <c r="EP149" i="1"/>
  <c r="AV85" i="1"/>
  <c r="CH108" i="1"/>
  <c r="CI85" i="1"/>
  <c r="EQ181" i="1"/>
  <c r="AT116" i="1"/>
  <c r="DE91" i="1"/>
  <c r="DF144" i="1"/>
  <c r="DB119" i="1"/>
  <c r="AS56" i="1"/>
  <c r="EL49" i="1"/>
  <c r="DA106" i="1"/>
  <c r="DF119" i="1"/>
  <c r="DF125" i="1"/>
  <c r="AU176" i="1"/>
  <c r="AX116" i="1"/>
  <c r="CH165" i="1"/>
  <c r="AX99" i="1"/>
  <c r="AX157" i="1"/>
  <c r="CH96" i="1"/>
  <c r="AU146" i="1"/>
  <c r="BF93" i="1"/>
  <c r="BF112" i="1"/>
  <c r="EO179" i="1"/>
  <c r="DE178" i="1"/>
  <c r="CE113" i="1"/>
  <c r="DC141" i="1"/>
  <c r="CH86" i="1"/>
  <c r="CI129" i="1"/>
  <c r="BC85" i="1"/>
  <c r="AW94" i="1"/>
  <c r="EQ164" i="1"/>
  <c r="CH168" i="1"/>
  <c r="BF53" i="1"/>
  <c r="EP167" i="1"/>
  <c r="AX139" i="1"/>
  <c r="EO61" i="1"/>
  <c r="AX182" i="1"/>
  <c r="BD101" i="1"/>
  <c r="AX109" i="1"/>
  <c r="EO72" i="1"/>
  <c r="EP188" i="1"/>
  <c r="AW183" i="1"/>
  <c r="AW189" i="1"/>
  <c r="AX128" i="1"/>
  <c r="CH122" i="1"/>
  <c r="EQ169" i="1"/>
  <c r="AX179" i="1"/>
  <c r="AU173" i="1"/>
  <c r="AU151" i="1"/>
  <c r="BC87" i="1"/>
  <c r="DC78" i="1"/>
  <c r="DA150" i="1"/>
  <c r="DE155" i="1"/>
  <c r="DD167" i="1"/>
  <c r="DB113" i="1"/>
  <c r="AU165" i="1"/>
  <c r="EP141" i="1"/>
  <c r="EQ174" i="1"/>
  <c r="AU117" i="1"/>
  <c r="EP60" i="1"/>
  <c r="AW104" i="1"/>
  <c r="EQ56" i="1"/>
  <c r="EN141" i="1"/>
  <c r="CH63" i="1"/>
  <c r="CF50" i="1"/>
  <c r="CI50" i="1"/>
  <c r="CF90" i="1"/>
  <c r="EQ147" i="1"/>
  <c r="AX177" i="1"/>
  <c r="BE118" i="1"/>
  <c r="EO140" i="1"/>
  <c r="AV113" i="1"/>
  <c r="BE94" i="1"/>
  <c r="AU164" i="1"/>
  <c r="CI99" i="1"/>
  <c r="CI107" i="1"/>
  <c r="EQ137" i="1"/>
  <c r="AX92" i="1"/>
  <c r="BD105" i="1"/>
  <c r="EQ73" i="1"/>
  <c r="AU143" i="1"/>
  <c r="AV109" i="1"/>
  <c r="BE104" i="1"/>
  <c r="AW112" i="1"/>
  <c r="CG125" i="1"/>
  <c r="AU171" i="1"/>
  <c r="CI116" i="1"/>
  <c r="CI118" i="1"/>
  <c r="BE111" i="1"/>
  <c r="BE99" i="1"/>
  <c r="EP51" i="1"/>
  <c r="EP61" i="1"/>
  <c r="AU145" i="1"/>
  <c r="CH125" i="1"/>
  <c r="AX158" i="1"/>
  <c r="AX50" i="1"/>
  <c r="AV53" i="1"/>
  <c r="AW111" i="1"/>
  <c r="BF119" i="1"/>
  <c r="CG100" i="1"/>
  <c r="AU64" i="1"/>
  <c r="AX164" i="1"/>
  <c r="EN75" i="1"/>
  <c r="EQ79" i="1"/>
  <c r="CI121" i="1"/>
  <c r="AV121" i="1"/>
  <c r="AW144" i="1"/>
  <c r="BE114" i="1"/>
  <c r="CI104" i="1"/>
  <c r="EL51" i="1"/>
  <c r="BA86" i="1"/>
  <c r="DC72" i="1"/>
  <c r="AS96" i="1"/>
  <c r="DD97" i="1"/>
  <c r="CE129" i="1"/>
  <c r="EL52" i="1"/>
  <c r="CE104" i="1"/>
  <c r="DB152" i="1"/>
  <c r="BF86" i="1"/>
  <c r="BB168" i="1"/>
  <c r="DC52" i="1"/>
  <c r="DD127" i="1"/>
  <c r="DD140" i="1"/>
  <c r="DC62" i="1"/>
  <c r="CF70" i="1"/>
  <c r="DE85" i="1"/>
  <c r="AS88" i="1"/>
  <c r="DC187" i="1"/>
  <c r="DA57" i="1"/>
  <c r="DD115" i="1"/>
  <c r="DD178" i="1"/>
  <c r="DE161" i="1"/>
  <c r="CE110" i="1"/>
  <c r="DE94" i="1"/>
  <c r="DF96" i="1"/>
  <c r="DD120" i="1"/>
  <c r="DF123" i="1"/>
  <c r="DD111" i="1"/>
  <c r="DD158" i="1"/>
  <c r="DA60" i="1"/>
  <c r="DF138" i="1"/>
  <c r="CE126" i="1"/>
  <c r="DD146" i="1"/>
  <c r="DF164" i="1"/>
  <c r="DC138" i="1"/>
  <c r="DF182" i="1"/>
  <c r="CE119" i="1"/>
  <c r="DD117" i="1"/>
  <c r="DE188" i="1"/>
  <c r="AU86" i="1"/>
  <c r="DC57" i="1"/>
  <c r="AS106" i="1"/>
  <c r="CD71" i="1"/>
  <c r="AU70" i="1"/>
  <c r="CI130" i="1"/>
  <c r="EN78" i="1"/>
  <c r="AX86" i="1"/>
  <c r="CI86" i="1"/>
  <c r="AX141" i="1"/>
  <c r="CF52" i="1"/>
  <c r="CG86" i="1"/>
  <c r="EQ175" i="1"/>
  <c r="AW119" i="1"/>
  <c r="AW113" i="1"/>
  <c r="EQ49" i="1"/>
  <c r="EN70" i="1"/>
  <c r="CI120" i="1"/>
  <c r="EP78" i="1"/>
  <c r="BF104" i="1"/>
  <c r="AU170" i="1"/>
  <c r="EQ45" i="1"/>
  <c r="CH62" i="1"/>
  <c r="AX178" i="1"/>
  <c r="AW127" i="1"/>
  <c r="CG101" i="1"/>
  <c r="CI122" i="1"/>
  <c r="CG114" i="1"/>
  <c r="DF174" i="1"/>
  <c r="CD91" i="1"/>
  <c r="CD100" i="1"/>
  <c r="BA90" i="1"/>
  <c r="CH102" i="1"/>
  <c r="CG85" i="1"/>
  <c r="BC168" i="1"/>
  <c r="BE127" i="1"/>
  <c r="AU142" i="1"/>
  <c r="EP46" i="1"/>
  <c r="CG102" i="1"/>
  <c r="AX162" i="1"/>
  <c r="EN52" i="1"/>
  <c r="AV110" i="1"/>
  <c r="AX138" i="1"/>
  <c r="AW181" i="1"/>
  <c r="AX85" i="1"/>
  <c r="CG95" i="1"/>
  <c r="EP154" i="1"/>
  <c r="CG112" i="1"/>
  <c r="AW163" i="1"/>
  <c r="AW159" i="1"/>
  <c r="AW121" i="1"/>
  <c r="CI119" i="1"/>
  <c r="CG106" i="1"/>
  <c r="CI128" i="1"/>
  <c r="CF115" i="1"/>
  <c r="AX107" i="1"/>
  <c r="BD119" i="1"/>
  <c r="EN59" i="1"/>
  <c r="BF107" i="1"/>
  <c r="EO50" i="1"/>
  <c r="EP63" i="1"/>
  <c r="AX95" i="1"/>
  <c r="DD185" i="1"/>
  <c r="AW115" i="1"/>
  <c r="CE163" i="1"/>
  <c r="EO62" i="1"/>
  <c r="CH85" i="1"/>
  <c r="EP182" i="1"/>
  <c r="AX187" i="1"/>
  <c r="EP58" i="1"/>
  <c r="BE123" i="1"/>
  <c r="EP77" i="1"/>
  <c r="EQ75" i="1"/>
  <c r="CG123" i="1"/>
  <c r="EQ177" i="1"/>
  <c r="BE92" i="1"/>
  <c r="EN61" i="1"/>
  <c r="AW110" i="1"/>
  <c r="AW117" i="1"/>
  <c r="CF117" i="1"/>
  <c r="EP160" i="1"/>
  <c r="EQ60" i="1"/>
  <c r="EQ170" i="1"/>
  <c r="AW89" i="1"/>
  <c r="AV56" i="1"/>
  <c r="AX124" i="1"/>
  <c r="EN142" i="1"/>
  <c r="EQ71" i="1"/>
  <c r="EQ168" i="1"/>
  <c r="DD118" i="1"/>
  <c r="DE63" i="1"/>
  <c r="CE97" i="1"/>
  <c r="DB117" i="1"/>
  <c r="EQ59" i="1"/>
  <c r="EQ48" i="1"/>
  <c r="EP148" i="1"/>
  <c r="AW122" i="1"/>
  <c r="AW154" i="1"/>
  <c r="AU127" i="1"/>
  <c r="AX88" i="1"/>
  <c r="EN156" i="1"/>
  <c r="CI115" i="1"/>
  <c r="EP159" i="1"/>
  <c r="CH130" i="1"/>
  <c r="AW120" i="1"/>
  <c r="CI51" i="1"/>
  <c r="EQ64" i="1"/>
  <c r="CG120" i="1"/>
  <c r="BE97" i="1"/>
  <c r="CH116" i="1"/>
  <c r="BF50" i="1"/>
  <c r="AW146" i="1"/>
  <c r="AW98" i="1"/>
  <c r="EN149" i="1"/>
  <c r="CF92" i="1"/>
  <c r="CH88" i="1"/>
  <c r="EN50" i="1"/>
  <c r="EQ53" i="1"/>
  <c r="EP158" i="1"/>
  <c r="AW148" i="1"/>
  <c r="CH103" i="1"/>
  <c r="AW107" i="1"/>
  <c r="BE120" i="1"/>
  <c r="AW158" i="1"/>
  <c r="EN153" i="1"/>
  <c r="EQ145" i="1"/>
  <c r="CI125" i="1"/>
  <c r="BD51" i="1"/>
  <c r="BE96" i="1"/>
  <c r="CI106" i="1"/>
  <c r="EQ167" i="1"/>
  <c r="CH109" i="1"/>
  <c r="CI127" i="1"/>
  <c r="CI101" i="1"/>
  <c r="BF49" i="1"/>
  <c r="EN58" i="1"/>
  <c r="EQ61" i="1"/>
  <c r="CI100" i="1"/>
  <c r="BF95" i="1"/>
  <c r="EQ183" i="1"/>
  <c r="CH119" i="1"/>
  <c r="CG128" i="1"/>
  <c r="AX165" i="1"/>
  <c r="AX51" i="1"/>
  <c r="EN154" i="1"/>
  <c r="CF120" i="1"/>
  <c r="BD64" i="1"/>
  <c r="AW145" i="1"/>
  <c r="CD86" i="1"/>
  <c r="DC154" i="1"/>
  <c r="CI165" i="1"/>
  <c r="DF170" i="1"/>
  <c r="DB103" i="1"/>
  <c r="DD179" i="1"/>
  <c r="CD104" i="1"/>
  <c r="DC95" i="1"/>
  <c r="AX186" i="1"/>
  <c r="DC79" i="1"/>
  <c r="DD168" i="1"/>
  <c r="DC61" i="1"/>
  <c r="DD124" i="1"/>
  <c r="DE90" i="1"/>
  <c r="DE147" i="1"/>
  <c r="DE49" i="1"/>
  <c r="CE111" i="1"/>
  <c r="DC152" i="1"/>
  <c r="DA151" i="1"/>
  <c r="DE70" i="1"/>
  <c r="DC159" i="1"/>
  <c r="DF147" i="1"/>
  <c r="DB93" i="1"/>
  <c r="DD112" i="1"/>
  <c r="DD126" i="1"/>
  <c r="CD98" i="1"/>
  <c r="BA52" i="1"/>
  <c r="DF159" i="1"/>
  <c r="CE130" i="1"/>
  <c r="DF116" i="1"/>
  <c r="DE137" i="1"/>
  <c r="DF113" i="1"/>
  <c r="DB182" i="1"/>
  <c r="DA161" i="1"/>
  <c r="DA187" i="1"/>
  <c r="DF153" i="1"/>
  <c r="DE146" i="1"/>
  <c r="DC185" i="1"/>
  <c r="DE61" i="1"/>
  <c r="DA103" i="1"/>
  <c r="AT112" i="1"/>
  <c r="EL50" i="1"/>
  <c r="EN45" i="1"/>
  <c r="CI56" i="1"/>
  <c r="BE126" i="1"/>
  <c r="CF123" i="1"/>
  <c r="CI111" i="1"/>
  <c r="AW52" i="1"/>
  <c r="CH49" i="1"/>
  <c r="EP156" i="1"/>
  <c r="AU85" i="1"/>
  <c r="CG70" i="1"/>
  <c r="AW140" i="1"/>
  <c r="CH113" i="1"/>
  <c r="AW147" i="1"/>
  <c r="AU154" i="1"/>
  <c r="CF71" i="1"/>
  <c r="CI97" i="1"/>
  <c r="AW164" i="1"/>
  <c r="BC52" i="1"/>
  <c r="AX156" i="1"/>
  <c r="EP59" i="1"/>
  <c r="BE51" i="1"/>
  <c r="CG53" i="1"/>
  <c r="EO180" i="1"/>
  <c r="BE95" i="1"/>
  <c r="DC178" i="1"/>
  <c r="DD159" i="1"/>
  <c r="DE46" i="1"/>
  <c r="DB101" i="1"/>
  <c r="CI88" i="1"/>
  <c r="AV174" i="1"/>
  <c r="CG94" i="1"/>
  <c r="AV118" i="1"/>
  <c r="AV179" i="1"/>
  <c r="AV96" i="1"/>
  <c r="CI98" i="1"/>
  <c r="BE116" i="1"/>
  <c r="AU168" i="1"/>
  <c r="AW53" i="1"/>
  <c r="BC56" i="1"/>
  <c r="EN53" i="1"/>
  <c r="EQ58" i="1"/>
  <c r="BF64" i="1"/>
  <c r="AU169" i="1"/>
  <c r="EP57" i="1"/>
  <c r="EO185" i="1"/>
  <c r="CF128" i="1"/>
  <c r="CG104" i="1"/>
  <c r="BF127" i="1"/>
  <c r="BE88" i="1"/>
  <c r="BF91" i="1"/>
  <c r="EP73" i="1"/>
  <c r="CH162" i="1"/>
  <c r="AX93" i="1"/>
  <c r="CH92" i="1"/>
  <c r="CF49" i="1"/>
  <c r="EN145" i="1"/>
  <c r="CH121" i="1"/>
  <c r="EP165" i="1"/>
  <c r="CH91" i="1"/>
  <c r="AW128" i="1"/>
  <c r="EQ139" i="1"/>
  <c r="AU174" i="1"/>
  <c r="AU147" i="1"/>
  <c r="EN143" i="1"/>
  <c r="EP79" i="1"/>
  <c r="CG52" i="1"/>
  <c r="AW143" i="1"/>
  <c r="AV176" i="1"/>
  <c r="BE105" i="1"/>
  <c r="BF56" i="1"/>
  <c r="EP53" i="1"/>
  <c r="AV64" i="1"/>
  <c r="AX52" i="1"/>
  <c r="EN64" i="1"/>
  <c r="AW141" i="1"/>
  <c r="CG117" i="1"/>
  <c r="AW95" i="1"/>
  <c r="CH89" i="1"/>
  <c r="CF87" i="1"/>
  <c r="AX63" i="1"/>
  <c r="BE122" i="1"/>
  <c r="AU92" i="1"/>
  <c r="AW156" i="1"/>
  <c r="DC90" i="1"/>
  <c r="DB179" i="1"/>
  <c r="EQ179" i="1"/>
  <c r="DE102" i="1"/>
  <c r="DA74" i="1"/>
  <c r="AS87" i="1"/>
  <c r="DD163" i="1"/>
  <c r="DA78" i="1"/>
  <c r="CH111" i="1"/>
  <c r="DA107" i="1"/>
  <c r="CE164" i="1"/>
  <c r="DD113" i="1"/>
  <c r="DB185" i="1"/>
  <c r="AS94" i="1"/>
  <c r="CH110" i="1"/>
  <c r="DF103" i="1"/>
  <c r="DC148" i="1"/>
  <c r="DC186" i="1"/>
  <c r="AT113" i="1"/>
  <c r="DC96" i="1"/>
  <c r="AT114" i="1"/>
  <c r="CE124" i="1"/>
  <c r="DA184" i="1"/>
  <c r="DE144" i="1"/>
  <c r="DF146" i="1"/>
  <c r="DE106" i="1"/>
  <c r="DE99" i="1"/>
  <c r="DD137" i="1"/>
  <c r="DF142" i="1"/>
  <c r="DB125" i="1"/>
  <c r="DE98" i="1"/>
  <c r="DA164" i="1"/>
  <c r="DD104" i="1"/>
  <c r="DB98" i="1"/>
  <c r="DC94" i="1"/>
  <c r="CD97" i="1"/>
  <c r="DD144" i="1"/>
  <c r="DD108" i="1"/>
  <c r="DD161" i="1"/>
  <c r="DE156" i="1"/>
  <c r="DA70" i="1"/>
  <c r="DF178" i="1"/>
  <c r="DC151" i="1"/>
  <c r="DD157" i="1"/>
  <c r="DA167" i="1"/>
  <c r="DE158" i="1"/>
  <c r="CE115" i="1"/>
  <c r="DD138" i="1"/>
  <c r="DD151" i="1"/>
  <c r="CE100" i="1"/>
  <c r="DA94" i="1"/>
  <c r="AS103" i="1"/>
  <c r="DC73" i="1"/>
  <c r="DC184" i="1"/>
  <c r="BF124" i="1"/>
  <c r="BF103" i="1"/>
  <c r="CG50" i="1"/>
  <c r="CH52" i="1"/>
  <c r="EP157" i="1"/>
  <c r="EP155" i="1"/>
  <c r="AU152" i="1"/>
  <c r="AT107" i="1"/>
  <c r="DA178" i="1"/>
  <c r="DD171" i="1"/>
  <c r="DD123" i="1"/>
  <c r="DC85" i="1"/>
  <c r="DB174" i="1"/>
  <c r="CE116" i="1"/>
  <c r="DB150" i="1"/>
  <c r="DB105" i="1"/>
  <c r="DE96" i="1"/>
  <c r="DA156" i="1"/>
  <c r="DD165" i="1"/>
  <c r="DD101" i="1"/>
  <c r="CE105" i="1"/>
  <c r="DF126" i="1"/>
  <c r="DE152" i="1"/>
  <c r="DA155" i="1"/>
  <c r="DC161" i="1"/>
  <c r="DB144" i="1"/>
  <c r="DF162" i="1"/>
  <c r="CD52" i="1"/>
  <c r="CD103" i="1"/>
  <c r="AT124" i="1"/>
  <c r="CD85" i="1"/>
  <c r="DB122" i="1"/>
  <c r="DB104" i="1"/>
  <c r="AU89" i="1"/>
  <c r="DE50" i="1"/>
  <c r="DD164" i="1"/>
  <c r="AS52" i="1"/>
  <c r="DE56" i="1"/>
  <c r="EN57" i="1"/>
  <c r="DB168" i="1"/>
  <c r="DE57" i="1"/>
  <c r="DC76" i="1"/>
  <c r="AT93" i="1"/>
  <c r="DB118" i="1"/>
  <c r="CE161" i="1"/>
  <c r="DD109" i="1"/>
  <c r="DE162" i="1"/>
  <c r="DA51" i="1"/>
  <c r="CD63" i="1"/>
  <c r="DB161" i="1"/>
  <c r="DB164" i="1"/>
  <c r="DD122" i="1"/>
  <c r="DF128" i="1"/>
  <c r="DB109" i="1"/>
  <c r="DB173" i="1"/>
  <c r="DA147" i="1"/>
  <c r="DC164" i="1"/>
  <c r="DB187" i="1"/>
  <c r="AS105" i="1"/>
  <c r="DF139" i="1"/>
  <c r="DD141" i="1"/>
  <c r="DF102" i="1"/>
  <c r="DF160" i="1"/>
  <c r="DF151" i="1"/>
  <c r="DA101" i="1"/>
  <c r="DD125" i="1"/>
  <c r="CD49" i="1"/>
  <c r="DF172" i="1"/>
  <c r="DE104" i="1"/>
  <c r="DC100" i="1"/>
  <c r="DB163" i="1"/>
  <c r="DB123" i="1"/>
  <c r="DD166" i="1"/>
  <c r="CE106" i="1"/>
  <c r="CF89" i="1"/>
  <c r="CD50" i="1"/>
  <c r="DD93" i="1"/>
  <c r="AT96" i="1"/>
  <c r="DD182" i="1"/>
  <c r="DE73" i="1"/>
  <c r="DE58" i="1"/>
  <c r="EP76" i="1"/>
  <c r="DF165" i="1"/>
  <c r="DC91" i="1"/>
  <c r="DB124" i="1"/>
  <c r="AT120" i="1"/>
  <c r="DB177" i="1"/>
  <c r="EP50" i="1"/>
  <c r="AT123" i="1"/>
  <c r="AS49" i="1"/>
  <c r="BA91" i="1"/>
  <c r="DC180" i="1"/>
  <c r="DE72" i="1"/>
  <c r="DB166" i="1"/>
  <c r="DD100" i="1"/>
  <c r="DA153" i="1"/>
  <c r="CE107" i="1"/>
  <c r="DE186" i="1"/>
  <c r="DE87" i="1"/>
  <c r="DF149" i="1"/>
  <c r="DE189" i="1"/>
  <c r="DC97" i="1"/>
  <c r="DC88" i="1"/>
  <c r="DF97" i="1"/>
  <c r="DB121" i="1"/>
  <c r="CE96" i="1"/>
  <c r="AT119" i="1"/>
  <c r="AS50" i="1"/>
  <c r="DF94" i="1"/>
  <c r="DF99" i="1"/>
  <c r="CI103" i="1"/>
  <c r="DA144" i="1"/>
  <c r="DB120" i="1"/>
  <c r="AT109" i="1"/>
  <c r="DC53" i="1"/>
  <c r="CF129" i="1"/>
  <c r="DB156" i="1"/>
  <c r="CE162" i="1"/>
  <c r="DC98" i="1"/>
  <c r="DB175" i="1"/>
  <c r="DA45" i="1"/>
  <c r="BD125" i="1"/>
  <c r="AS91" i="1"/>
  <c r="DE185" i="1"/>
  <c r="DB141" i="1"/>
  <c r="BA87" i="1"/>
  <c r="DC103" i="1"/>
  <c r="DA46" i="1"/>
  <c r="DD6" i="1"/>
  <c r="DF112" i="1"/>
  <c r="DF150" i="1"/>
  <c r="DC166" i="1"/>
  <c r="CI161" i="1"/>
  <c r="AU53" i="1"/>
  <c r="AW165" i="1"/>
  <c r="EN46" i="1"/>
  <c r="BF92" i="1"/>
  <c r="CG121" i="1"/>
  <c r="EP147" i="1"/>
  <c r="DE74" i="1"/>
  <c r="AS99" i="1"/>
  <c r="CD62" i="1"/>
  <c r="AS97" i="1"/>
  <c r="DF109" i="1"/>
  <c r="CE123" i="1"/>
  <c r="DA185" i="1"/>
  <c r="DF171" i="1"/>
  <c r="DB142" i="1"/>
  <c r="CE128" i="1"/>
  <c r="DA100" i="1"/>
  <c r="DF6" i="1"/>
  <c r="DA102" i="1"/>
  <c r="DB107" i="1"/>
  <c r="BA51" i="1"/>
  <c r="DF98" i="1"/>
  <c r="DC177" i="1"/>
  <c r="DE53" i="1"/>
  <c r="AX115" i="1"/>
  <c r="DC99" i="1"/>
  <c r="CE99" i="1"/>
  <c r="CG127" i="1"/>
  <c r="DC51" i="1"/>
  <c r="DC59" i="1"/>
  <c r="CE98" i="1"/>
  <c r="AT115" i="1"/>
  <c r="DA61" i="1"/>
  <c r="AS102" i="1"/>
  <c r="CE94" i="1"/>
  <c r="DC145" i="1"/>
  <c r="DE160" i="1"/>
  <c r="DC56" i="1"/>
  <c r="DF110" i="1"/>
  <c r="AT103" i="1"/>
  <c r="DB106" i="1"/>
  <c r="DD102" i="1"/>
  <c r="DC75" i="1"/>
  <c r="AS100" i="1"/>
  <c r="DD129" i="1"/>
  <c r="DD180" i="1"/>
  <c r="DB143" i="1"/>
  <c r="DD116" i="1"/>
  <c r="DB94" i="1"/>
  <c r="DA71" i="1"/>
  <c r="DF100" i="1"/>
  <c r="CD105" i="1"/>
  <c r="DC155" i="1"/>
  <c r="DB137" i="1"/>
  <c r="DD119" i="1"/>
  <c r="DA99" i="1"/>
  <c r="DE71" i="1"/>
  <c r="DE153" i="1"/>
  <c r="DF120" i="1"/>
  <c r="DA163" i="1"/>
  <c r="CE121" i="1"/>
  <c r="DB189" i="1"/>
  <c r="DA77" i="1"/>
  <c r="DA148" i="1"/>
  <c r="DD152" i="1"/>
  <c r="DA141" i="1"/>
  <c r="DA180" i="1"/>
  <c r="DA166" i="1"/>
  <c r="DF141" i="1"/>
  <c r="DE187" i="1"/>
  <c r="DC92" i="1"/>
  <c r="DB108" i="1"/>
  <c r="DB183" i="1"/>
  <c r="CE168" i="1"/>
  <c r="DD173" i="1"/>
  <c r="BA49" i="1"/>
  <c r="DA75" i="1"/>
  <c r="CE120" i="1"/>
  <c r="DE150" i="1"/>
  <c r="DB153" i="1"/>
  <c r="AT128" i="1"/>
  <c r="CD101" i="1"/>
  <c r="DD177" i="1"/>
  <c r="DC77" i="1"/>
  <c r="DE48" i="1"/>
  <c r="DE45" i="1"/>
  <c r="CG64" i="1"/>
  <c r="DD156" i="1"/>
  <c r="AS101" i="1"/>
  <c r="AT125" i="1"/>
  <c r="DF180" i="1"/>
  <c r="DD175" i="1"/>
  <c r="DC150" i="1"/>
  <c r="DA89" i="1"/>
  <c r="DB151" i="1"/>
  <c r="DF137" i="1"/>
  <c r="DD160" i="1"/>
  <c r="DF158" i="1"/>
  <c r="DA186" i="1"/>
  <c r="CD107" i="1"/>
  <c r="DA64" i="1"/>
  <c r="DE176" i="1"/>
  <c r="DA188" i="1"/>
  <c r="DF157" i="1"/>
  <c r="AS98" i="1"/>
  <c r="DC70" i="1"/>
  <c r="DA159" i="1"/>
  <c r="DA62" i="1"/>
  <c r="DA86" i="1"/>
  <c r="DE52" i="1"/>
  <c r="BB163" i="1"/>
  <c r="DA87" i="1"/>
  <c r="DE51" i="1"/>
  <c r="DE145" i="1"/>
  <c r="DA176" i="1"/>
  <c r="DC163" i="1"/>
  <c r="AS90" i="1"/>
  <c r="AT118" i="1"/>
  <c r="DF106" i="1"/>
  <c r="DF101" i="1"/>
  <c r="AX64" i="1"/>
  <c r="AS53" i="1"/>
  <c r="AS63" i="1"/>
  <c r="CE103" i="1"/>
  <c r="CD106" i="1"/>
  <c r="DC48" i="1"/>
  <c r="DD121" i="1"/>
  <c r="DF108" i="1"/>
  <c r="DC86" i="1"/>
  <c r="DE166" i="1"/>
  <c r="DA56" i="1"/>
  <c r="DC93" i="1"/>
  <c r="EQ176" i="1"/>
  <c r="CG62" i="1"/>
  <c r="AV101" i="1"/>
  <c r="CH120" i="1"/>
  <c r="BD124" i="1"/>
  <c r="AU90" i="1"/>
  <c r="BA53" i="1"/>
  <c r="DE78" i="1"/>
  <c r="DF163" i="1"/>
  <c r="DE47" i="1"/>
  <c r="DF107" i="1"/>
  <c r="AS89" i="1"/>
  <c r="DA160" i="1"/>
  <c r="DB129" i="1"/>
  <c r="CE112" i="1"/>
  <c r="DF169" i="1"/>
  <c r="DB172" i="1"/>
  <c r="DC137" i="1"/>
  <c r="DF175" i="1"/>
  <c r="DD153" i="1"/>
  <c r="DA165" i="1"/>
  <c r="DB97" i="1"/>
  <c r="DB171" i="1"/>
  <c r="DE138" i="1"/>
  <c r="DE177" i="1"/>
  <c r="AW152" i="1"/>
  <c r="DA85" i="1"/>
  <c r="DB95" i="1"/>
  <c r="BC89" i="1"/>
  <c r="AT106" i="1"/>
  <c r="DC71" i="1"/>
  <c r="DF168" i="1"/>
  <c r="DF127" i="1"/>
  <c r="DB138" i="1"/>
  <c r="CD64" i="1"/>
  <c r="AT94" i="1"/>
  <c r="DB145" i="1"/>
  <c r="DC157" i="1"/>
  <c r="DE62" i="1"/>
  <c r="BA92" i="1"/>
  <c r="DB181" i="1"/>
  <c r="DB112" i="1"/>
  <c r="AT126" i="1"/>
  <c r="CD51" i="1"/>
  <c r="DD96" i="1"/>
  <c r="CE118" i="1"/>
  <c r="DD106" i="1"/>
  <c r="DD183" i="1"/>
  <c r="DA47" i="1"/>
  <c r="CD94" i="1"/>
  <c r="DE181" i="1"/>
  <c r="DF166" i="1"/>
  <c r="DA154" i="1"/>
  <c r="DD128" i="1"/>
  <c r="DC176" i="1"/>
  <c r="DE184" i="1"/>
  <c r="AS93" i="1"/>
  <c r="DF152" i="1"/>
  <c r="DD150" i="1"/>
  <c r="DE95" i="1"/>
  <c r="DF143" i="1"/>
  <c r="AT110" i="1"/>
  <c r="DC140" i="1"/>
  <c r="DA88" i="1"/>
  <c r="DF111" i="1"/>
  <c r="CE114" i="1"/>
  <c r="DD99" i="1"/>
  <c r="CE108" i="1"/>
  <c r="DF179" i="1"/>
  <c r="DE140" i="1"/>
  <c r="CD56" i="1"/>
  <c r="DC146" i="1"/>
  <c r="DF177" i="1"/>
  <c r="DE148" i="1"/>
  <c r="DF122" i="1"/>
  <c r="DD174" i="1"/>
  <c r="CF113" i="1"/>
  <c r="DD172" i="1"/>
  <c r="CD89" i="1"/>
  <c r="DB149" i="1"/>
  <c r="AS104" i="1"/>
  <c r="AT102" i="1"/>
  <c r="AS86" i="1"/>
  <c r="DC89" i="1"/>
  <c r="AS92" i="1"/>
  <c r="DB100" i="1"/>
  <c r="CE165" i="1"/>
  <c r="AT104" i="1"/>
  <c r="DC139" i="1"/>
  <c r="DB116" i="1"/>
  <c r="DA73" i="1"/>
  <c r="DD107" i="1"/>
  <c r="DB186" i="1"/>
  <c r="DA96" i="1"/>
  <c r="DA104" i="1"/>
  <c r="DE165" i="1"/>
  <c r="DB160" i="1"/>
  <c r="DC160" i="1"/>
  <c r="DB99" i="1"/>
  <c r="DF104" i="1"/>
  <c r="DB114" i="1"/>
  <c r="CD93" i="1"/>
  <c r="DC158" i="1"/>
  <c r="DF118" i="1"/>
  <c r="DE89" i="1"/>
  <c r="DF161" i="1"/>
  <c r="DD147" i="1"/>
  <c r="AT129" i="1"/>
  <c r="CE101" i="1"/>
  <c r="DD139" i="1"/>
  <c r="DE76" i="1"/>
  <c r="AT99" i="1"/>
  <c r="DC63" i="1"/>
  <c r="DB157" i="1"/>
  <c r="DB170" i="1"/>
  <c r="DA49" i="1"/>
  <c r="AT117" i="1"/>
  <c r="DC46" i="1"/>
  <c r="DB176" i="1"/>
  <c r="CD92" i="1"/>
  <c r="DA52" i="1"/>
  <c r="CG63" i="1"/>
  <c r="DC153" i="1"/>
  <c r="DC102" i="1"/>
  <c r="DE92" i="1"/>
  <c r="DE105" i="1"/>
  <c r="DE79" i="1"/>
  <c r="CH70" i="1"/>
  <c r="AV185" i="1"/>
  <c r="AV93" i="1"/>
  <c r="AU166" i="1"/>
  <c r="CH114" i="1"/>
  <c r="EP56" i="1"/>
  <c r="BA88" i="1"/>
  <c r="AT111" i="1"/>
  <c r="AT122" i="1"/>
  <c r="DE139" i="1"/>
  <c r="DC60" i="1"/>
  <c r="DF187" i="1"/>
  <c r="DE86" i="1"/>
  <c r="DA158" i="1"/>
  <c r="DF115" i="1"/>
  <c r="DF130" i="1"/>
  <c r="DF181" i="1"/>
  <c r="DA162" i="1"/>
  <c r="CD102" i="1"/>
  <c r="DF129" i="1"/>
  <c r="DA50" i="1"/>
  <c r="DA152" i="1"/>
  <c r="DB169" i="1"/>
  <c r="DD114" i="1"/>
  <c r="DC156" i="1"/>
  <c r="DC49" i="1"/>
  <c r="DC50" i="1"/>
  <c r="DD94" i="1"/>
  <c r="DE60" i="1"/>
  <c r="DC144" i="1"/>
  <c r="AT121" i="1"/>
  <c r="CE93" i="1"/>
  <c r="EQ162" i="1"/>
  <c r="DC101" i="1"/>
  <c r="DC74" i="1"/>
  <c r="CD88" i="1"/>
  <c r="DF156" i="1"/>
  <c r="DD169" i="1"/>
  <c r="DE101" i="1"/>
  <c r="DA137" i="1"/>
  <c r="DE159" i="1"/>
  <c r="AS51" i="1"/>
  <c r="DD105" i="1"/>
  <c r="AT98" i="1"/>
  <c r="CD95" i="1"/>
  <c r="DD170" i="1"/>
  <c r="CE109" i="1"/>
  <c r="DE151" i="1"/>
  <c r="DA177" i="1"/>
  <c r="DA181" i="1"/>
  <c r="DA59" i="1"/>
  <c r="DE163" i="1"/>
  <c r="DB102" i="1"/>
  <c r="AT97" i="1"/>
  <c r="DA79" i="1"/>
  <c r="DB96" i="1"/>
  <c r="DF184" i="1"/>
  <c r="DB130" i="1"/>
  <c r="DE93" i="1"/>
  <c r="DA140" i="1"/>
  <c r="DF114" i="1"/>
  <c r="DC147" i="1"/>
  <c r="DD5" i="1"/>
  <c r="BA50" i="1"/>
  <c r="DF105" i="1"/>
  <c r="DD98" i="1"/>
  <c r="DF140" i="1"/>
  <c r="DF93" i="1"/>
  <c r="DA98" i="1"/>
  <c r="DB110" i="1"/>
  <c r="DE154" i="1"/>
  <c r="CE95" i="1"/>
  <c r="DA63" i="1"/>
  <c r="DB178" i="1"/>
  <c r="DA189" i="1"/>
  <c r="AT130" i="1"/>
  <c r="EQ50" i="1"/>
  <c r="AS107" i="1"/>
  <c r="AT100" i="1"/>
  <c r="AT95" i="1"/>
  <c r="DF124" i="1"/>
  <c r="CD96" i="1"/>
  <c r="EL53" i="1"/>
  <c r="DF95" i="1"/>
  <c r="DD184" i="1"/>
  <c r="AT127" i="1"/>
  <c r="DE149" i="1"/>
  <c r="DC58" i="1"/>
  <c r="DE88" i="1"/>
  <c r="DD130" i="1"/>
  <c r="DE75" i="1"/>
  <c r="EL56" i="1"/>
  <c r="DA105" i="1"/>
  <c r="DF145" i="1"/>
  <c r="CE127" i="1"/>
  <c r="DA58" i="1"/>
  <c r="DA142" i="1"/>
  <c r="DA97" i="1"/>
  <c r="DC106" i="1"/>
  <c r="CD99" i="1"/>
  <c r="DA92" i="1"/>
  <c r="DF167" i="1"/>
  <c r="CE125" i="1"/>
  <c r="DC162" i="1"/>
  <c r="DB159" i="1"/>
  <c r="CF88" i="1"/>
  <c r="CD87" i="1"/>
  <c r="DE180" i="1"/>
  <c r="CD90" i="1"/>
  <c r="BE89" i="1"/>
  <c r="BA89" i="1"/>
  <c r="DD181" i="1"/>
  <c r="DE167" i="1"/>
  <c r="DE77" i="1"/>
  <c r="AW123" i="1"/>
  <c r="AT105" i="1"/>
  <c r="DD149" i="1"/>
  <c r="DE141" i="1"/>
  <c r="AT101" i="1"/>
  <c r="AS64" i="1"/>
  <c r="DC188" i="1"/>
  <c r="AS95" i="1"/>
  <c r="DA157" i="1"/>
  <c r="DC179" i="1"/>
  <c r="DE64" i="1"/>
  <c r="CD53" i="1"/>
  <c r="DE103" i="1"/>
  <c r="DE97" i="1"/>
  <c r="DE142" i="1"/>
  <c r="DA48" i="1"/>
  <c r="BA64" i="1"/>
  <c r="DF183" i="1"/>
  <c r="DA95" i="1"/>
  <c r="DA138" i="1"/>
  <c r="DA76" i="1"/>
  <c r="DE107" i="1"/>
  <c r="DA179" i="1"/>
  <c r="DC167" i="1"/>
  <c r="DC107" i="1"/>
  <c r="DB165" i="1"/>
  <c r="DB139" i="1"/>
  <c r="DC142" i="1"/>
  <c r="DB158" i="1"/>
  <c r="DD162" i="1"/>
  <c r="DC165" i="1"/>
  <c r="DD186" i="1"/>
  <c r="DB6" i="1"/>
  <c r="D30" i="2"/>
  <c r="F31" i="2"/>
  <c r="C31" i="2"/>
  <c r="G30" i="2"/>
  <c r="D32" i="2"/>
  <c r="K30" i="2"/>
  <c r="P29" i="2"/>
  <c r="G31" i="2"/>
  <c r="T32" i="2"/>
  <c r="H30" i="2"/>
  <c r="J32" i="2"/>
  <c r="Q32" i="2"/>
  <c r="K29" i="2"/>
  <c r="Q31" i="2"/>
  <c r="G29" i="2"/>
  <c r="V30" i="2"/>
  <c r="S32" i="2"/>
  <c r="B29" i="2"/>
  <c r="F32" i="2"/>
  <c r="V29" i="2"/>
  <c r="DF185" i="1"/>
  <c r="DA53" i="1"/>
  <c r="DE179" i="1"/>
  <c r="DB167" i="1"/>
  <c r="DC105" i="1"/>
  <c r="DA149" i="1"/>
  <c r="DE164" i="1"/>
  <c r="DD176" i="1"/>
  <c r="DF176" i="1"/>
  <c r="DC104" i="1"/>
  <c r="DC45" i="1"/>
  <c r="CE122" i="1"/>
  <c r="DF189" i="1"/>
  <c r="DF173" i="1"/>
  <c r="DC149" i="1"/>
  <c r="DB5" i="1"/>
  <c r="W29" i="2"/>
  <c r="M31" i="2"/>
  <c r="I30" i="2"/>
  <c r="I32" i="2"/>
  <c r="E29" i="2"/>
  <c r="L29" i="2"/>
  <c r="N31" i="2"/>
  <c r="N30" i="2"/>
  <c r="S31" i="2"/>
  <c r="V32" i="2"/>
  <c r="D31" i="2"/>
  <c r="J30" i="2"/>
  <c r="C32" i="2"/>
  <c r="W30" i="2"/>
  <c r="I29" i="2"/>
  <c r="M29" i="2"/>
  <c r="W32" i="2"/>
  <c r="P32" i="2"/>
  <c r="X29" i="2"/>
  <c r="J31" i="2"/>
  <c r="O31" i="2"/>
  <c r="H31" i="2"/>
  <c r="CE117" i="1"/>
  <c r="DB128" i="1"/>
  <c r="DA93" i="1"/>
  <c r="DF186" i="1"/>
  <c r="DB126" i="1"/>
  <c r="DD187" i="1"/>
  <c r="DC181" i="1"/>
  <c r="DB140" i="1"/>
  <c r="DA139" i="1"/>
  <c r="DB111" i="1"/>
  <c r="DD95" i="1"/>
  <c r="DB184" i="1"/>
  <c r="DC87" i="1"/>
  <c r="DA145" i="1"/>
  <c r="DD110" i="1"/>
  <c r="B32" i="2"/>
  <c r="J29" i="2"/>
  <c r="P30" i="2"/>
  <c r="R30" i="2"/>
  <c r="C29" i="2"/>
  <c r="V31" i="2"/>
  <c r="T31" i="2"/>
  <c r="D29" i="2"/>
  <c r="S30" i="2"/>
  <c r="X32" i="2"/>
  <c r="L30" i="2"/>
  <c r="N29" i="2"/>
  <c r="M30" i="2"/>
  <c r="E32" i="2"/>
  <c r="M32" i="2"/>
  <c r="U31" i="2"/>
  <c r="F30" i="2"/>
  <c r="B30" i="2"/>
  <c r="O30" i="2"/>
  <c r="T29" i="2"/>
  <c r="G32" i="2"/>
  <c r="I31" i="2"/>
  <c r="DB180" i="1"/>
  <c r="DF121" i="1"/>
  <c r="DA72" i="1"/>
  <c r="DB147" i="1"/>
  <c r="CD70" i="1"/>
  <c r="DF117" i="1"/>
  <c r="DE157" i="1"/>
  <c r="DB162" i="1"/>
  <c r="DD143" i="1"/>
  <c r="DD145" i="1"/>
  <c r="CE102" i="1"/>
  <c r="DB146" i="1"/>
  <c r="DA90" i="1"/>
  <c r="DE100" i="1"/>
  <c r="DA91" i="1"/>
  <c r="T30" i="2"/>
  <c r="E30" i="2"/>
  <c r="B31" i="2"/>
  <c r="R31" i="2"/>
  <c r="U30" i="2"/>
  <c r="P31" i="2"/>
  <c r="O29" i="2"/>
  <c r="X30" i="2"/>
  <c r="O32" i="2"/>
  <c r="E31" i="2"/>
  <c r="U32" i="2"/>
  <c r="F29" i="2"/>
  <c r="R32" i="2"/>
  <c r="K31" i="2"/>
  <c r="L31" i="2"/>
  <c r="U29" i="2"/>
  <c r="K32" i="2"/>
  <c r="H32" i="2"/>
  <c r="N32" i="2"/>
  <c r="S29" i="2"/>
  <c r="H29" i="2"/>
  <c r="L32" i="2"/>
  <c r="C30" i="2"/>
  <c r="W31" i="2"/>
  <c r="R29" i="2"/>
  <c r="Q30" i="2"/>
  <c r="X31" i="2"/>
  <c r="Q29" i="2"/>
  <c r="Q33" i="2"/>
  <c r="S33" i="2"/>
  <c r="N33" i="2"/>
  <c r="H33" i="2"/>
  <c r="I33" i="2"/>
  <c r="B33" i="2"/>
  <c r="U33" i="2"/>
  <c r="G33" i="2"/>
  <c r="D33" i="2"/>
  <c r="F33" i="2"/>
  <c r="O33" i="2"/>
  <c r="X33" i="2"/>
  <c r="R33" i="2"/>
  <c r="M33" i="2"/>
  <c r="P33" i="2"/>
  <c r="T33" i="2"/>
  <c r="V33" i="2"/>
  <c r="K33" i="2"/>
  <c r="W33" i="2"/>
  <c r="C33" i="2"/>
  <c r="J33" i="2"/>
  <c r="L33" i="2"/>
  <c r="E33" i="2"/>
  <c r="Y31" i="2" l="1"/>
  <c r="BG30" i="1" s="1"/>
  <c r="DH91" i="1"/>
  <c r="DN91" i="1"/>
  <c r="DJ91" i="1"/>
  <c r="DJ90" i="1"/>
  <c r="DH90" i="1"/>
  <c r="DN90" i="1"/>
  <c r="Y30" i="2"/>
  <c r="BG29" i="1" s="1"/>
  <c r="Y32" i="2"/>
  <c r="BG31" i="1" s="1"/>
  <c r="DO111" i="1"/>
  <c r="DW111" i="1" s="1"/>
  <c r="DI111" i="1"/>
  <c r="DK111" i="1"/>
  <c r="DO126" i="1"/>
  <c r="DW126" i="1" s="1"/>
  <c r="DI126" i="1"/>
  <c r="DK126" i="1"/>
  <c r="DJ93" i="1"/>
  <c r="DN93" i="1"/>
  <c r="DV93" i="1" s="1"/>
  <c r="DH93" i="1"/>
  <c r="DK128" i="1"/>
  <c r="DO128" i="1"/>
  <c r="DW128" i="1" s="1"/>
  <c r="DI128" i="1"/>
  <c r="DC44" i="1"/>
  <c r="DJ53" i="1"/>
  <c r="DH53" i="1"/>
  <c r="DN53" i="1"/>
  <c r="Y29" i="2"/>
  <c r="BG28" i="1" s="1"/>
  <c r="DJ95" i="1"/>
  <c r="DN95" i="1"/>
  <c r="DV95" i="1" s="1"/>
  <c r="DH95" i="1"/>
  <c r="DT64" i="1"/>
  <c r="BH64" i="1"/>
  <c r="BI65" i="1" s="1"/>
  <c r="CQ64" i="1"/>
  <c r="AY95" i="1"/>
  <c r="B95" i="1"/>
  <c r="CK95" i="1"/>
  <c r="AY64" i="1"/>
  <c r="B64" i="1"/>
  <c r="CK64" i="1"/>
  <c r="D123" i="1"/>
  <c r="CO123" i="1"/>
  <c r="BH89" i="1"/>
  <c r="CQ89" i="1"/>
  <c r="DT89" i="1"/>
  <c r="CU89" i="1"/>
  <c r="DJ92" i="1"/>
  <c r="DH92" i="1"/>
  <c r="DN92" i="1"/>
  <c r="DN97" i="1"/>
  <c r="DV97" i="1" s="1"/>
  <c r="DJ97" i="1"/>
  <c r="DH97" i="1"/>
  <c r="DJ105" i="1"/>
  <c r="DH105" i="1"/>
  <c r="DN105" i="1"/>
  <c r="DV105" i="1" s="1"/>
  <c r="EE56" i="1"/>
  <c r="DX56" i="1" s="1"/>
  <c r="BJ56" i="1" s="1"/>
  <c r="EE53" i="1"/>
  <c r="DX53" i="1" s="1"/>
  <c r="BJ53" i="1" s="1"/>
  <c r="CK107" i="1"/>
  <c r="B107" i="1"/>
  <c r="AY107" i="1"/>
  <c r="EJ50" i="1"/>
  <c r="EC50" i="1" s="1"/>
  <c r="BO50" i="1" s="1"/>
  <c r="DO110" i="1"/>
  <c r="DW110" i="1" s="1"/>
  <c r="DK110" i="1"/>
  <c r="DI110" i="1"/>
  <c r="DJ98" i="1"/>
  <c r="DN98" i="1"/>
  <c r="DV98" i="1" s="1"/>
  <c r="DH98" i="1"/>
  <c r="BH50" i="1"/>
  <c r="DT50" i="1"/>
  <c r="CQ50" i="1"/>
  <c r="DK130" i="1"/>
  <c r="DO130" i="1"/>
  <c r="DW130" i="1" s="1"/>
  <c r="DI130" i="1"/>
  <c r="DI96" i="1"/>
  <c r="DK96" i="1"/>
  <c r="DO96" i="1"/>
  <c r="DW96" i="1" s="1"/>
  <c r="DO102" i="1"/>
  <c r="DW102" i="1" s="1"/>
  <c r="DK102" i="1"/>
  <c r="DI102" i="1"/>
  <c r="B51" i="1"/>
  <c r="CK51" i="1"/>
  <c r="AY51" i="1"/>
  <c r="DA136" i="1"/>
  <c r="EJ162" i="1"/>
  <c r="EC162" i="1" s="1"/>
  <c r="BO162" i="1" s="1"/>
  <c r="DH50" i="1"/>
  <c r="DN50" i="1"/>
  <c r="DV50" i="1" s="1"/>
  <c r="DJ50" i="1"/>
  <c r="DT88" i="1"/>
  <c r="BH88" i="1"/>
  <c r="CQ88" i="1"/>
  <c r="EI56" i="1"/>
  <c r="EB56" i="1" s="1"/>
  <c r="BN56" i="1" s="1"/>
  <c r="BS166" i="1"/>
  <c r="C166" i="1"/>
  <c r="C185" i="1"/>
  <c r="DN52" i="1"/>
  <c r="DH52" i="1"/>
  <c r="DJ52" i="1"/>
  <c r="DH49" i="1"/>
  <c r="DN49" i="1"/>
  <c r="DJ49" i="1"/>
  <c r="DK114" i="1"/>
  <c r="DO114" i="1"/>
  <c r="DW114" i="1" s="1"/>
  <c r="DI114" i="1"/>
  <c r="DO99" i="1"/>
  <c r="DW99" i="1" s="1"/>
  <c r="DK99" i="1"/>
  <c r="DI99" i="1"/>
  <c r="DN104" i="1"/>
  <c r="DV104" i="1" s="1"/>
  <c r="DJ104" i="1"/>
  <c r="DH104" i="1"/>
  <c r="DJ96" i="1"/>
  <c r="DH96" i="1"/>
  <c r="DN96" i="1"/>
  <c r="DV96" i="1" s="1"/>
  <c r="DO116" i="1"/>
  <c r="DW116" i="1" s="1"/>
  <c r="DI116" i="1"/>
  <c r="DK116" i="1"/>
  <c r="DK100" i="1"/>
  <c r="DI100" i="1"/>
  <c r="DO100" i="1"/>
  <c r="DW100" i="1" s="1"/>
  <c r="CK92" i="1"/>
  <c r="B92" i="1"/>
  <c r="AY92" i="1"/>
  <c r="AY86" i="1"/>
  <c r="CK86" i="1"/>
  <c r="B86" i="1"/>
  <c r="AY104" i="1"/>
  <c r="B104" i="1"/>
  <c r="CK104" i="1"/>
  <c r="DJ88" i="1"/>
  <c r="DH88" i="1"/>
  <c r="DN88" i="1"/>
  <c r="AY93" i="1"/>
  <c r="CK93" i="1"/>
  <c r="B93" i="1"/>
  <c r="DI112" i="1"/>
  <c r="DO112" i="1"/>
  <c r="DW112" i="1" s="1"/>
  <c r="DK112" i="1"/>
  <c r="DT92" i="1"/>
  <c r="BH92" i="1"/>
  <c r="CQ92" i="1"/>
  <c r="CS89" i="1"/>
  <c r="DI95" i="1"/>
  <c r="DK95" i="1"/>
  <c r="DO95" i="1"/>
  <c r="DW95" i="1" s="1"/>
  <c r="DA84" i="1"/>
  <c r="DN85" i="1"/>
  <c r="DV85" i="1" s="1"/>
  <c r="DH85" i="1"/>
  <c r="DJ85" i="1"/>
  <c r="D152" i="1"/>
  <c r="DI97" i="1"/>
  <c r="DO97" i="1"/>
  <c r="DW97" i="1" s="1"/>
  <c r="DK97" i="1"/>
  <c r="DC136" i="1"/>
  <c r="DO129" i="1"/>
  <c r="DW129" i="1" s="1"/>
  <c r="DK129" i="1"/>
  <c r="DI129" i="1"/>
  <c r="B89" i="1"/>
  <c r="CK89" i="1"/>
  <c r="AY89" i="1"/>
  <c r="DT53" i="1"/>
  <c r="CQ53" i="1"/>
  <c r="BH53" i="1"/>
  <c r="BI54" i="1" s="1"/>
  <c r="CM90" i="1"/>
  <c r="C90" i="1"/>
  <c r="CS124" i="1"/>
  <c r="BH124" i="1"/>
  <c r="EJ176" i="1"/>
  <c r="EC176" i="1" s="1"/>
  <c r="BO176" i="1" s="1"/>
  <c r="DJ56" i="1"/>
  <c r="DN56" i="1"/>
  <c r="DH56" i="1"/>
  <c r="B53" i="1"/>
  <c r="CK53" i="1"/>
  <c r="AY53" i="1"/>
  <c r="CK90" i="1"/>
  <c r="AY90" i="1"/>
  <c r="B90" i="1"/>
  <c r="DH87" i="1"/>
  <c r="DJ87" i="1"/>
  <c r="DN87" i="1"/>
  <c r="CQ163" i="1"/>
  <c r="BH163" i="1"/>
  <c r="DU163" i="1"/>
  <c r="DN86" i="1"/>
  <c r="DH86" i="1"/>
  <c r="DJ86" i="1"/>
  <c r="B98" i="1"/>
  <c r="CK98" i="1"/>
  <c r="AY98" i="1"/>
  <c r="DN64" i="1"/>
  <c r="DJ64" i="1"/>
  <c r="DH64" i="1"/>
  <c r="DF136" i="1"/>
  <c r="DN89" i="1"/>
  <c r="DJ89" i="1"/>
  <c r="DH89" i="1"/>
  <c r="CK101" i="1"/>
  <c r="AY101" i="1"/>
  <c r="B101" i="1"/>
  <c r="DE44" i="1"/>
  <c r="BH49" i="1"/>
  <c r="DT49" i="1"/>
  <c r="CQ49" i="1"/>
  <c r="CK168" i="1"/>
  <c r="DK108" i="1"/>
  <c r="DO108" i="1"/>
  <c r="DW108" i="1" s="1"/>
  <c r="DI108" i="1"/>
  <c r="DJ163" i="1"/>
  <c r="DN163" i="1"/>
  <c r="DV163" i="1" s="1"/>
  <c r="DH163" i="1"/>
  <c r="DN99" i="1"/>
  <c r="DV99" i="1" s="1"/>
  <c r="DJ99" i="1"/>
  <c r="DH99" i="1"/>
  <c r="DB136" i="1"/>
  <c r="DI94" i="1"/>
  <c r="DK94" i="1"/>
  <c r="DO94" i="1"/>
  <c r="DW94" i="1" s="1"/>
  <c r="AY100" i="1"/>
  <c r="B100" i="1"/>
  <c r="CK100" i="1"/>
  <c r="DO106" i="1"/>
  <c r="DW106" i="1" s="1"/>
  <c r="DI106" i="1"/>
  <c r="DK106" i="1"/>
  <c r="AY102" i="1"/>
  <c r="CK102" i="1"/>
  <c r="B102" i="1"/>
  <c r="CQ51" i="1"/>
  <c r="DT51" i="1"/>
  <c r="BH51" i="1"/>
  <c r="DK107" i="1"/>
  <c r="DI107" i="1"/>
  <c r="DO107" i="1"/>
  <c r="DW107" i="1" s="1"/>
  <c r="DH102" i="1"/>
  <c r="DN102" i="1"/>
  <c r="DV102" i="1" s="1"/>
  <c r="DJ102" i="1"/>
  <c r="DJ100" i="1"/>
  <c r="DN100" i="1"/>
  <c r="DV100" i="1" s="1"/>
  <c r="DH100" i="1"/>
  <c r="AY97" i="1"/>
  <c r="B97" i="1"/>
  <c r="CK97" i="1"/>
  <c r="B99" i="1"/>
  <c r="AY99" i="1"/>
  <c r="CK99" i="1"/>
  <c r="EI147" i="1"/>
  <c r="EB147" i="1" s="1"/>
  <c r="BN147" i="1" s="1"/>
  <c r="EG46" i="1"/>
  <c r="DZ46" i="1" s="1"/>
  <c r="BL46" i="1" s="1"/>
  <c r="D165" i="1"/>
  <c r="CO165" i="1"/>
  <c r="C53" i="1"/>
  <c r="CM53" i="1"/>
  <c r="BH87" i="1"/>
  <c r="BI88" i="1" s="1"/>
  <c r="CQ87" i="1"/>
  <c r="DT87" i="1"/>
  <c r="AY91" i="1"/>
  <c r="B91" i="1"/>
  <c r="CK91" i="1"/>
  <c r="CS125" i="1"/>
  <c r="BH125" i="1"/>
  <c r="DA44" i="1"/>
  <c r="DI120" i="1"/>
  <c r="DK120" i="1"/>
  <c r="DO120" i="1"/>
  <c r="DW120" i="1" s="1"/>
  <c r="CK50" i="1"/>
  <c r="AY50" i="1"/>
  <c r="B50" i="1"/>
  <c r="DK121" i="1"/>
  <c r="DI121" i="1"/>
  <c r="DO121" i="1"/>
  <c r="DW121" i="1" s="1"/>
  <c r="DT91" i="1"/>
  <c r="BH91" i="1"/>
  <c r="CQ91" i="1"/>
  <c r="CK49" i="1"/>
  <c r="B49" i="1"/>
  <c r="AY49" i="1"/>
  <c r="EI50" i="1"/>
  <c r="EB50" i="1" s="1"/>
  <c r="BN50" i="1" s="1"/>
  <c r="CB50" i="1" s="1"/>
  <c r="DI124" i="1"/>
  <c r="DO124" i="1"/>
  <c r="DW124" i="1" s="1"/>
  <c r="DK124" i="1"/>
  <c r="EI76" i="1"/>
  <c r="EB76" i="1" s="1"/>
  <c r="BN76" i="1" s="1"/>
  <c r="DK123" i="1"/>
  <c r="DO123" i="1"/>
  <c r="DW123" i="1" s="1"/>
  <c r="DI123" i="1"/>
  <c r="DO163" i="1"/>
  <c r="DK163" i="1"/>
  <c r="DI163" i="1"/>
  <c r="DN101" i="1"/>
  <c r="DV101" i="1" s="1"/>
  <c r="DH101" i="1"/>
  <c r="DJ101" i="1"/>
  <c r="B105" i="1"/>
  <c r="CK105" i="1"/>
  <c r="AY105" i="1"/>
  <c r="DO109" i="1"/>
  <c r="DW109" i="1" s="1"/>
  <c r="DI109" i="1"/>
  <c r="DK109" i="1"/>
  <c r="DJ51" i="1"/>
  <c r="DH51" i="1"/>
  <c r="DN51" i="1"/>
  <c r="DI118" i="1"/>
  <c r="DO118" i="1"/>
  <c r="DW118" i="1" s="1"/>
  <c r="DK118" i="1"/>
  <c r="DO168" i="1"/>
  <c r="DI168" i="1"/>
  <c r="DK168" i="1"/>
  <c r="EG57" i="1"/>
  <c r="DZ57" i="1" s="1"/>
  <c r="BL57" i="1" s="1"/>
  <c r="CK52" i="1"/>
  <c r="B52" i="1"/>
  <c r="AY52" i="1"/>
  <c r="C89" i="1"/>
  <c r="CM89" i="1"/>
  <c r="DO104" i="1"/>
  <c r="DW104" i="1" s="1"/>
  <c r="DK104" i="1"/>
  <c r="DI104" i="1"/>
  <c r="DK122" i="1"/>
  <c r="DI122" i="1"/>
  <c r="DO122" i="1"/>
  <c r="DW122" i="1" s="1"/>
  <c r="CD84" i="1"/>
  <c r="DK105" i="1"/>
  <c r="DI105" i="1"/>
  <c r="DO105" i="1"/>
  <c r="DW105" i="1" s="1"/>
  <c r="DC84" i="1"/>
  <c r="C152" i="1"/>
  <c r="EI155" i="1"/>
  <c r="EB155" i="1" s="1"/>
  <c r="BN155" i="1" s="1"/>
  <c r="EI157" i="1"/>
  <c r="EB157" i="1" s="1"/>
  <c r="BN157" i="1" s="1"/>
  <c r="CK103" i="1"/>
  <c r="AY103" i="1"/>
  <c r="B103" i="1"/>
  <c r="DN94" i="1"/>
  <c r="DV94" i="1" s="1"/>
  <c r="DH94" i="1"/>
  <c r="DJ94" i="1"/>
  <c r="DO98" i="1"/>
  <c r="DW98" i="1" s="1"/>
  <c r="DK98" i="1"/>
  <c r="DI98" i="1"/>
  <c r="DI125" i="1"/>
  <c r="DK125" i="1"/>
  <c r="DO125" i="1"/>
  <c r="DW125" i="1" s="1"/>
  <c r="DD136" i="1"/>
  <c r="AY94" i="1"/>
  <c r="B94" i="1"/>
  <c r="CK94" i="1"/>
  <c r="DN107" i="1"/>
  <c r="DV107" i="1" s="1"/>
  <c r="DJ107" i="1"/>
  <c r="DH107" i="1"/>
  <c r="CK87" i="1"/>
  <c r="AY87" i="1"/>
  <c r="B87" i="1"/>
  <c r="EJ179" i="1"/>
  <c r="EC179" i="1" s="1"/>
  <c r="BO179" i="1" s="1"/>
  <c r="D156" i="1"/>
  <c r="CM92" i="1"/>
  <c r="C92" i="1"/>
  <c r="CU122" i="1"/>
  <c r="D95" i="1"/>
  <c r="CO95" i="1"/>
  <c r="D141" i="1"/>
  <c r="EG64" i="1"/>
  <c r="DZ64" i="1" s="1"/>
  <c r="BL64" i="1" s="1"/>
  <c r="EI53" i="1"/>
  <c r="EB53" i="1" s="1"/>
  <c r="BN53" i="1" s="1"/>
  <c r="CU105" i="1"/>
  <c r="D143" i="1"/>
  <c r="EI79" i="1"/>
  <c r="EB79" i="1" s="1"/>
  <c r="BN79" i="1" s="1"/>
  <c r="EG143" i="1"/>
  <c r="DZ143" i="1" s="1"/>
  <c r="BL143" i="1" s="1"/>
  <c r="BS143" i="1" s="1"/>
  <c r="C147" i="1"/>
  <c r="BS174" i="1"/>
  <c r="C174" i="1"/>
  <c r="EJ139" i="1"/>
  <c r="EC139" i="1" s="1"/>
  <c r="BO139" i="1" s="1"/>
  <c r="CO128" i="1"/>
  <c r="D128" i="1"/>
  <c r="EI165" i="1"/>
  <c r="EB165" i="1" s="1"/>
  <c r="BN165" i="1" s="1"/>
  <c r="EG145" i="1"/>
  <c r="DZ145" i="1" s="1"/>
  <c r="BL145" i="1" s="1"/>
  <c r="BS145" i="1" s="1"/>
  <c r="EI73" i="1"/>
  <c r="EB73" i="1" s="1"/>
  <c r="BN73" i="1" s="1"/>
  <c r="CU88" i="1"/>
  <c r="EH185" i="1"/>
  <c r="EA185" i="1" s="1"/>
  <c r="BM185" i="1" s="1"/>
  <c r="BS185" i="1" s="1"/>
  <c r="EI57" i="1"/>
  <c r="EB57" i="1" s="1"/>
  <c r="BN57" i="1" s="1"/>
  <c r="BS169" i="1"/>
  <c r="C169" i="1"/>
  <c r="EJ58" i="1"/>
  <c r="EC58" i="1" s="1"/>
  <c r="BO58" i="1" s="1"/>
  <c r="EG53" i="1"/>
  <c r="DZ53" i="1" s="1"/>
  <c r="BL53" i="1" s="1"/>
  <c r="CS56" i="1"/>
  <c r="D53" i="1"/>
  <c r="CO53" i="1"/>
  <c r="CM168" i="1"/>
  <c r="C168" i="1"/>
  <c r="BS168" i="1"/>
  <c r="AY168" i="1"/>
  <c r="CU116" i="1"/>
  <c r="C179" i="1"/>
  <c r="DK101" i="1"/>
  <c r="DI101" i="1"/>
  <c r="DO101" i="1"/>
  <c r="DW101" i="1" s="1"/>
  <c r="CU95" i="1"/>
  <c r="EH180" i="1"/>
  <c r="EA180" i="1" s="1"/>
  <c r="BM180" i="1" s="1"/>
  <c r="BS180" i="1" s="1"/>
  <c r="CU51" i="1"/>
  <c r="EI59" i="1"/>
  <c r="EB59" i="1" s="1"/>
  <c r="BN59" i="1" s="1"/>
  <c r="CS52" i="1"/>
  <c r="CO164" i="1"/>
  <c r="D164" i="1"/>
  <c r="C154" i="1"/>
  <c r="D147" i="1"/>
  <c r="D140" i="1"/>
  <c r="CM85" i="1"/>
  <c r="AU84" i="1"/>
  <c r="C85" i="1"/>
  <c r="EI156" i="1"/>
  <c r="EB156" i="1" s="1"/>
  <c r="BN156" i="1" s="1"/>
  <c r="D52" i="1"/>
  <c r="CO52" i="1"/>
  <c r="CU126" i="1"/>
  <c r="EG45" i="1"/>
  <c r="DZ45" i="1" s="1"/>
  <c r="BL45" i="1" s="1"/>
  <c r="EN44" i="1"/>
  <c r="EE50" i="1"/>
  <c r="DX50" i="1" s="1"/>
  <c r="BJ50" i="1" s="1"/>
  <c r="DN103" i="1"/>
  <c r="DV103" i="1" s="1"/>
  <c r="DH103" i="1"/>
  <c r="DJ103" i="1"/>
  <c r="DE136" i="1"/>
  <c r="BH52" i="1"/>
  <c r="DT52" i="1"/>
  <c r="CQ52" i="1"/>
  <c r="DO93" i="1"/>
  <c r="DW93" i="1" s="1"/>
  <c r="DI93" i="1"/>
  <c r="DK93" i="1"/>
  <c r="DK103" i="1"/>
  <c r="DI103" i="1"/>
  <c r="DO103" i="1"/>
  <c r="DW103" i="1" s="1"/>
  <c r="D145" i="1"/>
  <c r="EG154" i="1"/>
  <c r="DZ154" i="1" s="1"/>
  <c r="BL154" i="1" s="1"/>
  <c r="BS154" i="1" s="1"/>
  <c r="EJ183" i="1"/>
  <c r="EC183" i="1" s="1"/>
  <c r="BO183" i="1" s="1"/>
  <c r="EJ61" i="1"/>
  <c r="EC61" i="1" s="1"/>
  <c r="BO61" i="1" s="1"/>
  <c r="EG58" i="1"/>
  <c r="DZ58" i="1" s="1"/>
  <c r="BL58" i="1" s="1"/>
  <c r="EJ167" i="1"/>
  <c r="EC167" i="1" s="1"/>
  <c r="BO167" i="1" s="1"/>
  <c r="CU96" i="1"/>
  <c r="EJ145" i="1"/>
  <c r="EC145" i="1" s="1"/>
  <c r="BO145" i="1" s="1"/>
  <c r="EG153" i="1"/>
  <c r="DZ153" i="1" s="1"/>
  <c r="BL153" i="1" s="1"/>
  <c r="BS153" i="1" s="1"/>
  <c r="D158" i="1"/>
  <c r="CU120" i="1"/>
  <c r="D107" i="1"/>
  <c r="CO107" i="1"/>
  <c r="D148" i="1"/>
  <c r="EI158" i="1"/>
  <c r="EB158" i="1" s="1"/>
  <c r="BN158" i="1" s="1"/>
  <c r="EJ53" i="1"/>
  <c r="EC53" i="1" s="1"/>
  <c r="BO53" i="1" s="1"/>
  <c r="EG50" i="1"/>
  <c r="DZ50" i="1" s="1"/>
  <c r="BL50" i="1" s="1"/>
  <c r="EG149" i="1"/>
  <c r="DZ149" i="1" s="1"/>
  <c r="BL149" i="1" s="1"/>
  <c r="BS149" i="1" s="1"/>
  <c r="CO98" i="1"/>
  <c r="D98" i="1"/>
  <c r="D146" i="1"/>
  <c r="CU97" i="1"/>
  <c r="EJ64" i="1"/>
  <c r="EC64" i="1" s="1"/>
  <c r="BO64" i="1" s="1"/>
  <c r="CO120" i="1"/>
  <c r="D120" i="1"/>
  <c r="EI159" i="1"/>
  <c r="EB159" i="1" s="1"/>
  <c r="BN159" i="1" s="1"/>
  <c r="EG156" i="1"/>
  <c r="DZ156" i="1" s="1"/>
  <c r="BL156" i="1" s="1"/>
  <c r="BS156" i="1" s="1"/>
  <c r="C127" i="1"/>
  <c r="CM127" i="1"/>
  <c r="D154" i="1"/>
  <c r="CO122" i="1"/>
  <c r="D122" i="1"/>
  <c r="EI148" i="1"/>
  <c r="EB148" i="1" s="1"/>
  <c r="BN148" i="1" s="1"/>
  <c r="EJ48" i="1"/>
  <c r="EC48" i="1" s="1"/>
  <c r="BO48" i="1" s="1"/>
  <c r="EJ59" i="1"/>
  <c r="EC59" i="1" s="1"/>
  <c r="BO59" i="1" s="1"/>
  <c r="DK117" i="1"/>
  <c r="DO117" i="1"/>
  <c r="DW117" i="1" s="1"/>
  <c r="DI117" i="1"/>
  <c r="EJ168" i="1"/>
  <c r="EC168" i="1" s="1"/>
  <c r="BO168" i="1" s="1"/>
  <c r="EJ71" i="1"/>
  <c r="EC71" i="1" s="1"/>
  <c r="BO71" i="1" s="1"/>
  <c r="EG142" i="1"/>
  <c r="CO89" i="1"/>
  <c r="D89" i="1"/>
  <c r="EJ170" i="1"/>
  <c r="EC170" i="1" s="1"/>
  <c r="BO170" i="1" s="1"/>
  <c r="EJ60" i="1"/>
  <c r="EC60" i="1" s="1"/>
  <c r="BO60" i="1" s="1"/>
  <c r="EI160" i="1"/>
  <c r="EB160" i="1" s="1"/>
  <c r="BN160" i="1" s="1"/>
  <c r="D117" i="1"/>
  <c r="CO117" i="1"/>
  <c r="D110" i="1"/>
  <c r="CO110" i="1"/>
  <c r="EG61" i="1"/>
  <c r="DZ61" i="1" s="1"/>
  <c r="BL61" i="1" s="1"/>
  <c r="CU92" i="1"/>
  <c r="EJ177" i="1"/>
  <c r="EC177" i="1" s="1"/>
  <c r="BO177" i="1" s="1"/>
  <c r="EJ75" i="1"/>
  <c r="EC75" i="1" s="1"/>
  <c r="BO75" i="1" s="1"/>
  <c r="EI77" i="1"/>
  <c r="EB77" i="1" s="1"/>
  <c r="BN77" i="1" s="1"/>
  <c r="CU123" i="1"/>
  <c r="EI58" i="1"/>
  <c r="EB58" i="1" s="1"/>
  <c r="BN58" i="1" s="1"/>
  <c r="EI182" i="1"/>
  <c r="EB182" i="1" s="1"/>
  <c r="BN182" i="1" s="1"/>
  <c r="CH84" i="1"/>
  <c r="EH62" i="1"/>
  <c r="EA62" i="1" s="1"/>
  <c r="BM62" i="1" s="1"/>
  <c r="CK163" i="1"/>
  <c r="D115" i="1"/>
  <c r="CO115" i="1"/>
  <c r="EI63" i="1"/>
  <c r="EB63" i="1" s="1"/>
  <c r="BN63" i="1" s="1"/>
  <c r="EH50" i="1"/>
  <c r="EA50" i="1" s="1"/>
  <c r="BM50" i="1" s="1"/>
  <c r="EG59" i="1"/>
  <c r="DZ59" i="1" s="1"/>
  <c r="BL59" i="1" s="1"/>
  <c r="BH119" i="1"/>
  <c r="CS119" i="1"/>
  <c r="D121" i="1"/>
  <c r="CO121" i="1"/>
  <c r="D159" i="1"/>
  <c r="CO163" i="1"/>
  <c r="D163" i="1"/>
  <c r="EI154" i="1"/>
  <c r="EB154" i="1" s="1"/>
  <c r="BN154" i="1" s="1"/>
  <c r="AX84" i="1"/>
  <c r="D181" i="1"/>
  <c r="AX136" i="1"/>
  <c r="EG52" i="1"/>
  <c r="DZ52" i="1" s="1"/>
  <c r="BL52" i="1" s="1"/>
  <c r="EI46" i="1"/>
  <c r="EB46" i="1" s="1"/>
  <c r="BN46" i="1" s="1"/>
  <c r="C142" i="1"/>
  <c r="CU127" i="1"/>
  <c r="CS168" i="1"/>
  <c r="BZ168" i="1"/>
  <c r="CG84" i="1"/>
  <c r="CQ90" i="1"/>
  <c r="DT90" i="1"/>
  <c r="BH90" i="1"/>
  <c r="BI90" i="1" s="1"/>
  <c r="D127" i="1"/>
  <c r="CO127" i="1"/>
  <c r="EJ45" i="1"/>
  <c r="EC45" i="1" s="1"/>
  <c r="BO45" i="1" s="1"/>
  <c r="EQ44" i="1"/>
  <c r="C170" i="1"/>
  <c r="BS170" i="1"/>
  <c r="EI78" i="1"/>
  <c r="EB78" i="1" s="1"/>
  <c r="BN78" i="1" s="1"/>
  <c r="EG70" i="1"/>
  <c r="DZ70" i="1" s="1"/>
  <c r="BL70" i="1" s="1"/>
  <c r="EJ49" i="1"/>
  <c r="EC49" i="1" s="1"/>
  <c r="BO49" i="1" s="1"/>
  <c r="CO113" i="1"/>
  <c r="D113" i="1"/>
  <c r="D119" i="1"/>
  <c r="CO119" i="1"/>
  <c r="EJ175" i="1"/>
  <c r="EC175" i="1" s="1"/>
  <c r="BO175" i="1" s="1"/>
  <c r="EG78" i="1"/>
  <c r="DZ78" i="1" s="1"/>
  <c r="BL78" i="1" s="1"/>
  <c r="C70" i="1"/>
  <c r="CM70" i="1"/>
  <c r="B106" i="1"/>
  <c r="AY106" i="1"/>
  <c r="CK106" i="1"/>
  <c r="CM86" i="1"/>
  <c r="C86" i="1"/>
  <c r="AY88" i="1"/>
  <c r="B88" i="1"/>
  <c r="CK88" i="1"/>
  <c r="DE84" i="1"/>
  <c r="BH168" i="1"/>
  <c r="CQ168" i="1"/>
  <c r="DU168" i="1"/>
  <c r="EE52" i="1"/>
  <c r="DX52" i="1" s="1"/>
  <c r="BJ52" i="1" s="1"/>
  <c r="CK96" i="1"/>
  <c r="AY96" i="1"/>
  <c r="B96" i="1"/>
  <c r="BA84" i="1"/>
  <c r="CQ86" i="1"/>
  <c r="BH86" i="1"/>
  <c r="BI87" i="1" s="1"/>
  <c r="BA132" i="1"/>
  <c r="DT86" i="1"/>
  <c r="EE51" i="1"/>
  <c r="DX51" i="1" s="1"/>
  <c r="BJ51" i="1" s="1"/>
  <c r="CU114" i="1"/>
  <c r="D144" i="1"/>
  <c r="EJ79" i="1"/>
  <c r="EC79" i="1" s="1"/>
  <c r="BO79" i="1" s="1"/>
  <c r="EG75" i="1"/>
  <c r="DZ75" i="1" s="1"/>
  <c r="BL75" i="1" s="1"/>
  <c r="C64" i="1"/>
  <c r="CM64" i="1"/>
  <c r="CO111" i="1"/>
  <c r="D111" i="1"/>
  <c r="C145" i="1"/>
  <c r="EI61" i="1"/>
  <c r="EB61" i="1" s="1"/>
  <c r="BN61" i="1" s="1"/>
  <c r="EI51" i="1"/>
  <c r="EB51" i="1" s="1"/>
  <c r="BN51" i="1" s="1"/>
  <c r="CU99" i="1"/>
  <c r="CU111" i="1"/>
  <c r="C171" i="1"/>
  <c r="BS171" i="1"/>
  <c r="CO112" i="1"/>
  <c r="D112" i="1"/>
  <c r="CU104" i="1"/>
  <c r="C143" i="1"/>
  <c r="EJ73" i="1"/>
  <c r="EC73" i="1" s="1"/>
  <c r="BO73" i="1" s="1"/>
  <c r="CS105" i="1"/>
  <c r="BH105" i="1"/>
  <c r="EJ137" i="1"/>
  <c r="EC137" i="1" s="1"/>
  <c r="BO137" i="1" s="1"/>
  <c r="EQ136" i="1"/>
  <c r="CM164" i="1"/>
  <c r="C164" i="1"/>
  <c r="BS164" i="1"/>
  <c r="CU94" i="1"/>
  <c r="EH140" i="1"/>
  <c r="EA140" i="1" s="1"/>
  <c r="BM140" i="1" s="1"/>
  <c r="BS140" i="1" s="1"/>
  <c r="CU118" i="1"/>
  <c r="EJ147" i="1"/>
  <c r="EC147" i="1" s="1"/>
  <c r="BO147" i="1" s="1"/>
  <c r="EN136" i="1"/>
  <c r="EG141" i="1"/>
  <c r="DZ141" i="1" s="1"/>
  <c r="BL141" i="1" s="1"/>
  <c r="BS141" i="1" s="1"/>
  <c r="BT141" i="1" s="1"/>
  <c r="EJ56" i="1"/>
  <c r="EC56" i="1" s="1"/>
  <c r="BO56" i="1" s="1"/>
  <c r="CB56" i="1" s="1"/>
  <c r="CC56" i="1" s="1"/>
  <c r="CO104" i="1"/>
  <c r="D104" i="1"/>
  <c r="EI60" i="1"/>
  <c r="EB60" i="1" s="1"/>
  <c r="BN60" i="1" s="1"/>
  <c r="CM117" i="1"/>
  <c r="C117" i="1"/>
  <c r="EJ174" i="1"/>
  <c r="EC174" i="1" s="1"/>
  <c r="BO174" i="1" s="1"/>
  <c r="EI141" i="1"/>
  <c r="EB141" i="1" s="1"/>
  <c r="BN141" i="1" s="1"/>
  <c r="CM165" i="1"/>
  <c r="BS165" i="1"/>
  <c r="C165" i="1"/>
  <c r="DI113" i="1"/>
  <c r="DK113" i="1"/>
  <c r="DO113" i="1"/>
  <c r="DW113" i="1" s="1"/>
  <c r="CS87" i="1"/>
  <c r="C151" i="1"/>
  <c r="BS173" i="1"/>
  <c r="BT174" i="1" s="1"/>
  <c r="C173" i="1"/>
  <c r="EJ169" i="1"/>
  <c r="EC169" i="1" s="1"/>
  <c r="BO169" i="1" s="1"/>
  <c r="D189" i="1"/>
  <c r="D183" i="1"/>
  <c r="EI188" i="1"/>
  <c r="EB188" i="1" s="1"/>
  <c r="BN188" i="1" s="1"/>
  <c r="EH72" i="1"/>
  <c r="EA72" i="1" s="1"/>
  <c r="BM72" i="1" s="1"/>
  <c r="CS101" i="1"/>
  <c r="BH101" i="1"/>
  <c r="EH61" i="1"/>
  <c r="EA61" i="1" s="1"/>
  <c r="BM61" i="1" s="1"/>
  <c r="EI167" i="1"/>
  <c r="EB167" i="1" s="1"/>
  <c r="BN167" i="1" s="1"/>
  <c r="EJ164" i="1"/>
  <c r="EC164" i="1" s="1"/>
  <c r="BO164" i="1" s="1"/>
  <c r="CO94" i="1"/>
  <c r="D94" i="1"/>
  <c r="BH85" i="1"/>
  <c r="CS85" i="1"/>
  <c r="BC84" i="1"/>
  <c r="BC132" i="1"/>
  <c r="EH179" i="1"/>
  <c r="EA179" i="1" s="1"/>
  <c r="BM179" i="1" s="1"/>
  <c r="BS179" i="1" s="1"/>
  <c r="C146" i="1"/>
  <c r="C176" i="1"/>
  <c r="BS176" i="1"/>
  <c r="DJ106" i="1"/>
  <c r="DN106" i="1"/>
  <c r="DV106" i="1" s="1"/>
  <c r="DH106" i="1"/>
  <c r="EE49" i="1"/>
  <c r="DX49" i="1" s="1"/>
  <c r="BJ49" i="1" s="1"/>
  <c r="CK56" i="1"/>
  <c r="AY56" i="1"/>
  <c r="B56" i="1"/>
  <c r="DI119" i="1"/>
  <c r="DK119" i="1"/>
  <c r="DO119" i="1"/>
  <c r="DW119" i="1" s="1"/>
  <c r="EJ181" i="1"/>
  <c r="EC181" i="1" s="1"/>
  <c r="BO181" i="1" s="1"/>
  <c r="CI84" i="1"/>
  <c r="AV84" i="1"/>
  <c r="EI149" i="1"/>
  <c r="EB149" i="1" s="1"/>
  <c r="BN149" i="1" s="1"/>
  <c r="EJ76" i="1"/>
  <c r="EC76" i="1" s="1"/>
  <c r="BO76" i="1" s="1"/>
  <c r="C128" i="1"/>
  <c r="CM128" i="1"/>
  <c r="C172" i="1"/>
  <c r="BS172" i="1"/>
  <c r="D166" i="1"/>
  <c r="D64" i="1"/>
  <c r="CO64" i="1"/>
  <c r="EI48" i="1"/>
  <c r="EB48" i="1" s="1"/>
  <c r="BN48" i="1" s="1"/>
  <c r="EG150" i="1"/>
  <c r="DZ150" i="1" s="1"/>
  <c r="BL150" i="1" s="1"/>
  <c r="BS150" i="1" s="1"/>
  <c r="CS53" i="1"/>
  <c r="EJ52" i="1"/>
  <c r="EC52" i="1" s="1"/>
  <c r="BO52" i="1" s="1"/>
  <c r="EH51" i="1"/>
  <c r="EA51" i="1" s="1"/>
  <c r="BM51" i="1" s="1"/>
  <c r="CU98" i="1"/>
  <c r="EJ186" i="1"/>
  <c r="EC186" i="1" s="1"/>
  <c r="BO186" i="1" s="1"/>
  <c r="CS98" i="1"/>
  <c r="BH98" i="1"/>
  <c r="EH73" i="1"/>
  <c r="EA73" i="1" s="1"/>
  <c r="BM73" i="1" s="1"/>
  <c r="BH122" i="1"/>
  <c r="CS122" i="1"/>
  <c r="CM88" i="1"/>
  <c r="C88" i="1"/>
  <c r="EJ158" i="1"/>
  <c r="EC158" i="1" s="1"/>
  <c r="BO158" i="1" s="1"/>
  <c r="EG72" i="1"/>
  <c r="DZ72" i="1" s="1"/>
  <c r="BL72" i="1" s="1"/>
  <c r="EH79" i="1"/>
  <c r="EA79" i="1" s="1"/>
  <c r="BM79" i="1" s="1"/>
  <c r="CO118" i="1"/>
  <c r="D118" i="1"/>
  <c r="EH74" i="1"/>
  <c r="EA74" i="1" s="1"/>
  <c r="BM74" i="1" s="1"/>
  <c r="EI163" i="1"/>
  <c r="EB163" i="1" s="1"/>
  <c r="BN163" i="1" s="1"/>
  <c r="BU163" i="1" s="1"/>
  <c r="EJ70" i="1"/>
  <c r="EC70" i="1" s="1"/>
  <c r="BO70" i="1" s="1"/>
  <c r="C167" i="1"/>
  <c r="BS167" i="1"/>
  <c r="BT167" i="1" s="1"/>
  <c r="CU110" i="1"/>
  <c r="C181" i="1"/>
  <c r="CS88" i="1"/>
  <c r="BH121" i="1"/>
  <c r="CS121" i="1"/>
  <c r="EH189" i="1"/>
  <c r="EA189" i="1" s="1"/>
  <c r="BM189" i="1" s="1"/>
  <c r="EJ184" i="1"/>
  <c r="EC184" i="1" s="1"/>
  <c r="BO184" i="1" s="1"/>
  <c r="BH106" i="1"/>
  <c r="CS106" i="1"/>
  <c r="CM126" i="1"/>
  <c r="C126" i="1"/>
  <c r="C182" i="1"/>
  <c r="EG148" i="1"/>
  <c r="DZ148" i="1" s="1"/>
  <c r="BL148" i="1" s="1"/>
  <c r="BS148" i="1" s="1"/>
  <c r="CS126" i="1"/>
  <c r="BH126" i="1"/>
  <c r="CO96" i="1"/>
  <c r="D96" i="1"/>
  <c r="CM115" i="1"/>
  <c r="C115" i="1"/>
  <c r="CU93" i="1"/>
  <c r="C113" i="1"/>
  <c r="CM113" i="1"/>
  <c r="EI161" i="1"/>
  <c r="EB161" i="1" s="1"/>
  <c r="BN161" i="1" s="1"/>
  <c r="C148" i="1"/>
  <c r="EI170" i="1"/>
  <c r="EB170" i="1" s="1"/>
  <c r="BN170" i="1" s="1"/>
  <c r="BU170" i="1" s="1"/>
  <c r="D169" i="1"/>
  <c r="EH49" i="1"/>
  <c r="EA49" i="1" s="1"/>
  <c r="BM49" i="1" s="1"/>
  <c r="EI47" i="1"/>
  <c r="EB47" i="1" s="1"/>
  <c r="BN47" i="1" s="1"/>
  <c r="EJ156" i="1"/>
  <c r="EC156" i="1" s="1"/>
  <c r="BO156" i="1" s="1"/>
  <c r="BU156" i="1" s="1"/>
  <c r="C116" i="1"/>
  <c r="CM116" i="1"/>
  <c r="EG74" i="1"/>
  <c r="DZ74" i="1" s="1"/>
  <c r="BL74" i="1" s="1"/>
  <c r="CM121" i="1"/>
  <c r="C121" i="1"/>
  <c r="EJ146" i="1"/>
  <c r="EC146" i="1" s="1"/>
  <c r="BO146" i="1" s="1"/>
  <c r="D185" i="1"/>
  <c r="CO125" i="1"/>
  <c r="D125" i="1"/>
  <c r="EG155" i="1"/>
  <c r="DZ155" i="1" s="1"/>
  <c r="BL155" i="1" s="1"/>
  <c r="BS155" i="1" s="1"/>
  <c r="C186" i="1"/>
  <c r="CU112" i="1"/>
  <c r="EJ63" i="1"/>
  <c r="EC63" i="1" s="1"/>
  <c r="BO63" i="1" s="1"/>
  <c r="D170" i="1"/>
  <c r="DI115" i="1"/>
  <c r="DO115" i="1"/>
  <c r="DW115" i="1" s="1"/>
  <c r="DK115" i="1"/>
  <c r="CF84" i="1"/>
  <c r="EJ161" i="1"/>
  <c r="EC161" i="1" s="1"/>
  <c r="BO161" i="1" s="1"/>
  <c r="D124" i="1"/>
  <c r="CO124" i="1"/>
  <c r="C177" i="1"/>
  <c r="D106" i="1"/>
  <c r="CO106" i="1"/>
  <c r="CU125" i="1"/>
  <c r="CO105" i="1"/>
  <c r="D105" i="1"/>
  <c r="C153" i="1"/>
  <c r="D130" i="1"/>
  <c r="CO130" i="1"/>
  <c r="EH56" i="1"/>
  <c r="EA56" i="1" s="1"/>
  <c r="BM56" i="1" s="1"/>
  <c r="EI52" i="1"/>
  <c r="EB52" i="1" s="1"/>
  <c r="BN52" i="1" s="1"/>
  <c r="EG77" i="1"/>
  <c r="DZ77" i="1" s="1"/>
  <c r="BL77" i="1" s="1"/>
  <c r="CU86" i="1"/>
  <c r="EH48" i="1"/>
  <c r="EA48" i="1" s="1"/>
  <c r="BM48" i="1" s="1"/>
  <c r="CU53" i="1"/>
  <c r="BF84" i="1"/>
  <c r="BF132" i="1"/>
  <c r="D97" i="1"/>
  <c r="CO97" i="1"/>
  <c r="EH59" i="1"/>
  <c r="EA59" i="1" s="1"/>
  <c r="BM59" i="1" s="1"/>
  <c r="D114" i="1"/>
  <c r="CO114" i="1"/>
  <c r="CU49" i="1"/>
  <c r="CO50" i="1"/>
  <c r="D50" i="1"/>
  <c r="C49" i="1"/>
  <c r="CM49" i="1"/>
  <c r="EI153" i="1"/>
  <c r="EB153" i="1" s="1"/>
  <c r="BN153" i="1" s="1"/>
  <c r="CS103" i="1"/>
  <c r="BH103" i="1"/>
  <c r="CS116" i="1"/>
  <c r="BH116" i="1"/>
  <c r="EG144" i="1"/>
  <c r="DZ144" i="1" s="1"/>
  <c r="BL144" i="1" s="1"/>
  <c r="BS144" i="1" s="1"/>
  <c r="BH109" i="1"/>
  <c r="CS109" i="1"/>
  <c r="EH63" i="1"/>
  <c r="EA63" i="1" s="1"/>
  <c r="BM63" i="1" s="1"/>
  <c r="EJ144" i="1"/>
  <c r="EC144" i="1" s="1"/>
  <c r="BO144" i="1" s="1"/>
  <c r="D108" i="1"/>
  <c r="CO108" i="1"/>
  <c r="EG56" i="1"/>
  <c r="DZ56" i="1" s="1"/>
  <c r="BL56" i="1" s="1"/>
  <c r="CU124" i="1"/>
  <c r="EI180" i="1"/>
  <c r="EB180" i="1" s="1"/>
  <c r="BN180" i="1" s="1"/>
  <c r="CU117" i="1"/>
  <c r="CU113" i="1"/>
  <c r="BS163" i="1"/>
  <c r="CM163" i="1"/>
  <c r="AY163" i="1"/>
  <c r="C163" i="1"/>
  <c r="CU87" i="1"/>
  <c r="EH60" i="1"/>
  <c r="EA60" i="1" s="1"/>
  <c r="BM60" i="1" s="1"/>
  <c r="CU106" i="1"/>
  <c r="EI168" i="1"/>
  <c r="EB168" i="1" s="1"/>
  <c r="BN168" i="1" s="1"/>
  <c r="EJ51" i="1"/>
  <c r="EC51" i="1" s="1"/>
  <c r="BO51" i="1" s="1"/>
  <c r="EI145" i="1"/>
  <c r="EB145" i="1" s="1"/>
  <c r="BN145" i="1" s="1"/>
  <c r="CO109" i="1"/>
  <c r="D109" i="1"/>
  <c r="EI72" i="1"/>
  <c r="EB72" i="1" s="1"/>
  <c r="BN72" i="1" s="1"/>
  <c r="CO103" i="1"/>
  <c r="D103" i="1"/>
  <c r="EH186" i="1"/>
  <c r="EA186" i="1" s="1"/>
  <c r="BM186" i="1" s="1"/>
  <c r="BS186" i="1" s="1"/>
  <c r="EH52" i="1"/>
  <c r="EA52" i="1" s="1"/>
  <c r="BM52" i="1" s="1"/>
  <c r="D99" i="1"/>
  <c r="CO99" i="1"/>
  <c r="C155" i="1"/>
  <c r="EG73" i="1"/>
  <c r="DZ73" i="1" s="1"/>
  <c r="BL73" i="1" s="1"/>
  <c r="EG49" i="1"/>
  <c r="DZ49" i="1" s="1"/>
  <c r="BL49" i="1" s="1"/>
  <c r="D157" i="1"/>
  <c r="CO168" i="1"/>
  <c r="D168" i="1"/>
  <c r="EJ187" i="1"/>
  <c r="EC187" i="1" s="1"/>
  <c r="BO187" i="1" s="1"/>
  <c r="CU101" i="1"/>
  <c r="D171" i="1"/>
  <c r="EH75" i="1"/>
  <c r="EA75" i="1" s="1"/>
  <c r="BM75" i="1" s="1"/>
  <c r="CS97" i="1"/>
  <c r="BH97" i="1"/>
  <c r="C51" i="1"/>
  <c r="CM51" i="1"/>
  <c r="C124" i="1"/>
  <c r="CM124" i="1"/>
  <c r="CO100" i="1"/>
  <c r="D100" i="1"/>
  <c r="EI185" i="1"/>
  <c r="EB185" i="1" s="1"/>
  <c r="BN185" i="1" s="1"/>
  <c r="EG157" i="1"/>
  <c r="DZ157" i="1" s="1"/>
  <c r="BL157" i="1" s="1"/>
  <c r="BS157" i="1" s="1"/>
  <c r="CM162" i="1"/>
  <c r="C162" i="1"/>
  <c r="BS162" i="1"/>
  <c r="EG63" i="1"/>
  <c r="DZ63" i="1" s="1"/>
  <c r="BL63" i="1" s="1"/>
  <c r="CS100" i="1"/>
  <c r="BH100" i="1"/>
  <c r="EI74" i="1"/>
  <c r="EB74" i="1" s="1"/>
  <c r="BN74" i="1" s="1"/>
  <c r="EJ160" i="1"/>
  <c r="EC160" i="1" s="1"/>
  <c r="BO160" i="1" s="1"/>
  <c r="BU160" i="1" s="1"/>
  <c r="CU50" i="1"/>
  <c r="D155" i="1"/>
  <c r="CU52" i="1"/>
  <c r="CS104" i="1"/>
  <c r="BH104" i="1"/>
  <c r="C87" i="1"/>
  <c r="CM87" i="1"/>
  <c r="CO51" i="1"/>
  <c r="D51" i="1"/>
  <c r="EG151" i="1"/>
  <c r="DZ151" i="1" s="1"/>
  <c r="BL151" i="1" s="1"/>
  <c r="BS151" i="1" s="1"/>
  <c r="EI75" i="1"/>
  <c r="EB75" i="1" s="1"/>
  <c r="BN75" i="1" s="1"/>
  <c r="CS107" i="1"/>
  <c r="BH107" i="1"/>
  <c r="EG76" i="1"/>
  <c r="DZ76" i="1" s="1"/>
  <c r="BL76" i="1" s="1"/>
  <c r="C141" i="1"/>
  <c r="EJ182" i="1"/>
  <c r="EC182" i="1" s="1"/>
  <c r="BO182" i="1" s="1"/>
  <c r="EJ74" i="1"/>
  <c r="EC74" i="1" s="1"/>
  <c r="BO74" i="1" s="1"/>
  <c r="BH120" i="1"/>
  <c r="BI120" i="1" s="1"/>
  <c r="CS120" i="1"/>
  <c r="EJ173" i="1"/>
  <c r="EC173" i="1" s="1"/>
  <c r="BO173" i="1" s="1"/>
  <c r="EH138" i="1"/>
  <c r="EA138" i="1" s="1"/>
  <c r="BM138" i="1" s="1"/>
  <c r="BH129" i="1"/>
  <c r="CS129" i="1"/>
  <c r="EJ46" i="1"/>
  <c r="EC46" i="1" s="1"/>
  <c r="BO46" i="1" s="1"/>
  <c r="EI183" i="1"/>
  <c r="EB183" i="1" s="1"/>
  <c r="BN183" i="1" s="1"/>
  <c r="C178" i="1"/>
  <c r="CS110" i="1"/>
  <c r="BH110" i="1"/>
  <c r="EI164" i="1"/>
  <c r="EB164" i="1" s="1"/>
  <c r="BN164" i="1" s="1"/>
  <c r="EI49" i="1"/>
  <c r="EB49" i="1" s="1"/>
  <c r="BN49" i="1" s="1"/>
  <c r="D180" i="1"/>
  <c r="CU128" i="1"/>
  <c r="EJ47" i="1"/>
  <c r="EC47" i="1" s="1"/>
  <c r="BO47" i="1" s="1"/>
  <c r="CU56" i="1"/>
  <c r="BH115" i="1"/>
  <c r="CS115" i="1"/>
  <c r="EI64" i="1"/>
  <c r="EB64" i="1" s="1"/>
  <c r="BN64" i="1" s="1"/>
  <c r="CS51" i="1"/>
  <c r="C120" i="1"/>
  <c r="CM120" i="1"/>
  <c r="BH112" i="1"/>
  <c r="CS112" i="1"/>
  <c r="EI62" i="1"/>
  <c r="EB62" i="1" s="1"/>
  <c r="BN62" i="1" s="1"/>
  <c r="EH181" i="1"/>
  <c r="D182" i="1"/>
  <c r="BS175" i="1"/>
  <c r="BT176" i="1" s="1"/>
  <c r="C175" i="1"/>
  <c r="CO90" i="1"/>
  <c r="CP90" i="1" s="1"/>
  <c r="D90" i="1"/>
  <c r="D88" i="1"/>
  <c r="CO88" i="1"/>
  <c r="EH177" i="1"/>
  <c r="EA177" i="1" s="1"/>
  <c r="BM177" i="1" s="1"/>
  <c r="BS177" i="1" s="1"/>
  <c r="BT177" i="1" s="1"/>
  <c r="CM91" i="1"/>
  <c r="C91" i="1"/>
  <c r="BH117" i="1"/>
  <c r="CS117" i="1"/>
  <c r="BE84" i="1"/>
  <c r="BE132" i="1"/>
  <c r="CU85" i="1"/>
  <c r="D186" i="1"/>
  <c r="CS114" i="1"/>
  <c r="BH114" i="1"/>
  <c r="CO87" i="1"/>
  <c r="D87" i="1"/>
  <c r="CS130" i="1"/>
  <c r="BH130" i="1"/>
  <c r="C150" i="1"/>
  <c r="EH71" i="1"/>
  <c r="EA71" i="1" s="1"/>
  <c r="BM71" i="1" s="1"/>
  <c r="D151" i="1"/>
  <c r="CM63" i="1"/>
  <c r="C63" i="1"/>
  <c r="CU109" i="1"/>
  <c r="DO127" i="1"/>
  <c r="DW127" i="1" s="1"/>
  <c r="DI127" i="1"/>
  <c r="DK127" i="1"/>
  <c r="DT56" i="1"/>
  <c r="CQ56" i="1"/>
  <c r="BH56" i="1"/>
  <c r="BI56" i="1" s="1"/>
  <c r="EP44" i="1"/>
  <c r="EI45" i="1"/>
  <c r="EB45" i="1" s="1"/>
  <c r="BN45" i="1" s="1"/>
  <c r="EI151" i="1"/>
  <c r="EB151" i="1" s="1"/>
  <c r="BN151" i="1" s="1"/>
  <c r="C144" i="1"/>
  <c r="EI140" i="1"/>
  <c r="EB140" i="1" s="1"/>
  <c r="BN140" i="1" s="1"/>
  <c r="CU102" i="1"/>
  <c r="EH183" i="1"/>
  <c r="EA183" i="1" s="1"/>
  <c r="BM183" i="1" s="1"/>
  <c r="BS183" i="1" s="1"/>
  <c r="EJ62" i="1"/>
  <c r="EC62" i="1" s="1"/>
  <c r="BO62" i="1" s="1"/>
  <c r="EI146" i="1"/>
  <c r="EB146" i="1" s="1"/>
  <c r="BN146" i="1" s="1"/>
  <c r="C56" i="1"/>
  <c r="CM56" i="1"/>
  <c r="EJ77" i="1"/>
  <c r="EC77" i="1" s="1"/>
  <c r="BO77" i="1" s="1"/>
  <c r="CO116" i="1"/>
  <c r="D116" i="1"/>
  <c r="CM50" i="1"/>
  <c r="C50" i="1"/>
  <c r="CS95" i="1"/>
  <c r="BH95" i="1"/>
  <c r="EI186" i="1"/>
  <c r="EB186" i="1" s="1"/>
  <c r="BN186" i="1" s="1"/>
  <c r="BU186" i="1" s="1"/>
  <c r="CU64" i="1"/>
  <c r="C180" i="1"/>
  <c r="C184" i="1"/>
  <c r="EJ172" i="1"/>
  <c r="EC172" i="1" s="1"/>
  <c r="BO172" i="1" s="1"/>
  <c r="BH123" i="1"/>
  <c r="BI123" i="1" s="1"/>
  <c r="CS123" i="1"/>
  <c r="D160" i="1"/>
  <c r="D187" i="1"/>
  <c r="CO91" i="1"/>
  <c r="D91" i="1"/>
  <c r="CS127" i="1"/>
  <c r="BH127" i="1"/>
  <c r="CM119" i="1"/>
  <c r="C119" i="1"/>
  <c r="EH57" i="1"/>
  <c r="EA57" i="1" s="1"/>
  <c r="BM57" i="1" s="1"/>
  <c r="D167" i="1"/>
  <c r="EG71" i="1"/>
  <c r="DZ71" i="1" s="1"/>
  <c r="BL71" i="1" s="1"/>
  <c r="EH178" i="1"/>
  <c r="EA178" i="1" s="1"/>
  <c r="BM178" i="1" s="1"/>
  <c r="BS178" i="1" s="1"/>
  <c r="EH58" i="1"/>
  <c r="EA58" i="1" s="1"/>
  <c r="BM58" i="1" s="1"/>
  <c r="EJ180" i="1"/>
  <c r="EC180" i="1" s="1"/>
  <c r="BO180" i="1" s="1"/>
  <c r="EI189" i="1"/>
  <c r="EB189" i="1" s="1"/>
  <c r="BN189" i="1" s="1"/>
  <c r="BH102" i="1"/>
  <c r="CS102" i="1"/>
  <c r="C122" i="1"/>
  <c r="CM122" i="1"/>
  <c r="C156" i="1"/>
  <c r="D149" i="1"/>
  <c r="CM52" i="1"/>
  <c r="C52" i="1"/>
  <c r="CM118" i="1"/>
  <c r="C118" i="1"/>
  <c r="CS94" i="1"/>
  <c r="BH94" i="1"/>
  <c r="C140" i="1"/>
  <c r="CU107" i="1"/>
  <c r="EG79" i="1"/>
  <c r="DZ79" i="1" s="1"/>
  <c r="BL79" i="1" s="1"/>
  <c r="EJ185" i="1"/>
  <c r="EC185" i="1" s="1"/>
  <c r="BO185" i="1" s="1"/>
  <c r="CM114" i="1"/>
  <c r="C114" i="1"/>
  <c r="CU129" i="1"/>
  <c r="D161" i="1"/>
  <c r="CO161" i="1"/>
  <c r="EJ165" i="1"/>
  <c r="EC165" i="1" s="1"/>
  <c r="BO165" i="1" s="1"/>
  <c r="BU165" i="1" s="1"/>
  <c r="D153" i="1"/>
  <c r="D142" i="1"/>
  <c r="CS49" i="1"/>
  <c r="D184" i="1"/>
  <c r="CU90" i="1"/>
  <c r="CU108" i="1"/>
  <c r="EJ140" i="1"/>
  <c r="EC140" i="1" s="1"/>
  <c r="BO140" i="1" s="1"/>
  <c r="EJ166" i="1"/>
  <c r="EC166" i="1" s="1"/>
  <c r="BO166" i="1" s="1"/>
  <c r="EH47" i="1"/>
  <c r="EA47" i="1" s="1"/>
  <c r="BM47" i="1" s="1"/>
  <c r="CS163" i="1"/>
  <c r="BZ163" i="1"/>
  <c r="BH111" i="1"/>
  <c r="BI111" i="1" s="1"/>
  <c r="CS111" i="1"/>
  <c r="EG48" i="1"/>
  <c r="DZ48" i="1" s="1"/>
  <c r="BL48" i="1" s="1"/>
  <c r="CS108" i="1"/>
  <c r="BH108" i="1"/>
  <c r="EI169" i="1"/>
  <c r="EB169" i="1" s="1"/>
  <c r="BN169" i="1" s="1"/>
  <c r="CU119" i="1"/>
  <c r="CS90" i="1"/>
  <c r="BH128" i="1"/>
  <c r="CS128" i="1"/>
  <c r="EI143" i="1"/>
  <c r="EB143" i="1" s="1"/>
  <c r="BN143" i="1" s="1"/>
  <c r="EJ171" i="1"/>
  <c r="EC171" i="1" s="1"/>
  <c r="BO171" i="1" s="1"/>
  <c r="C187" i="1"/>
  <c r="EH187" i="1"/>
  <c r="EA187" i="1" s="1"/>
  <c r="BM187" i="1" s="1"/>
  <c r="BS187" i="1" s="1"/>
  <c r="EI152" i="1"/>
  <c r="EB152" i="1" s="1"/>
  <c r="BN152" i="1" s="1"/>
  <c r="CM130" i="1"/>
  <c r="C130" i="1"/>
  <c r="EI144" i="1"/>
  <c r="EB144" i="1" s="1"/>
  <c r="BN144" i="1" s="1"/>
  <c r="BU144" i="1" s="1"/>
  <c r="EI181" i="1"/>
  <c r="EB181" i="1" s="1"/>
  <c r="BN181" i="1" s="1"/>
  <c r="EJ142" i="1"/>
  <c r="EC142" i="1" s="1"/>
  <c r="BO142" i="1" s="1"/>
  <c r="CO126" i="1"/>
  <c r="CP126" i="1" s="1"/>
  <c r="D126" i="1"/>
  <c r="D86" i="1"/>
  <c r="E86" i="1" s="1"/>
  <c r="CO86" i="1"/>
  <c r="CP86" i="1" s="1"/>
  <c r="CM129" i="1"/>
  <c r="C129" i="1"/>
  <c r="EJ159" i="1"/>
  <c r="EC159" i="1" s="1"/>
  <c r="BO159" i="1" s="1"/>
  <c r="BU159" i="1" s="1"/>
  <c r="EI184" i="1"/>
  <c r="EB184" i="1" s="1"/>
  <c r="BN184" i="1" s="1"/>
  <c r="BS158" i="1"/>
  <c r="BT158" i="1" s="1"/>
  <c r="C158" i="1"/>
  <c r="DO88" i="1"/>
  <c r="DW88" i="1" s="1"/>
  <c r="DI88" i="1"/>
  <c r="DK88" i="1"/>
  <c r="DF84" i="1"/>
  <c r="DH128" i="1"/>
  <c r="DJ128" i="1"/>
  <c r="DN128" i="1"/>
  <c r="DV128" i="1" s="1"/>
  <c r="B126" i="1"/>
  <c r="AY126" i="1"/>
  <c r="CK126" i="1"/>
  <c r="EJ149" i="1"/>
  <c r="EC149" i="1" s="1"/>
  <c r="BO149" i="1" s="1"/>
  <c r="EJ150" i="1"/>
  <c r="EC150" i="1" s="1"/>
  <c r="BO150" i="1" s="1"/>
  <c r="DI85" i="1"/>
  <c r="DK85" i="1"/>
  <c r="DB84" i="1"/>
  <c r="DO85" i="1"/>
  <c r="DW85" i="1" s="1"/>
  <c r="EF49" i="1"/>
  <c r="DY49" i="1" s="1"/>
  <c r="BK49" i="1" s="1"/>
  <c r="BX49" i="1" s="1"/>
  <c r="DK53" i="1"/>
  <c r="DQ53" i="1" s="1"/>
  <c r="DI53" i="1"/>
  <c r="DP53" i="1" s="1"/>
  <c r="DU53" i="1"/>
  <c r="DO53" i="1"/>
  <c r="DW53" i="1" s="1"/>
  <c r="DH108" i="1"/>
  <c r="DJ108" i="1"/>
  <c r="DN108" i="1"/>
  <c r="DV108" i="1" s="1"/>
  <c r="AY111" i="1"/>
  <c r="B111" i="1"/>
  <c r="CK111" i="1"/>
  <c r="DN118" i="1"/>
  <c r="DV118" i="1" s="1"/>
  <c r="DH118" i="1"/>
  <c r="DJ118" i="1"/>
  <c r="C111" i="1"/>
  <c r="CM111" i="1"/>
  <c r="EI138" i="1"/>
  <c r="EB138" i="1" s="1"/>
  <c r="BN138" i="1" s="1"/>
  <c r="D178" i="1"/>
  <c r="EI172" i="1"/>
  <c r="EB172" i="1" s="1"/>
  <c r="BN172" i="1" s="1"/>
  <c r="EF51" i="1"/>
  <c r="DY51" i="1" s="1"/>
  <c r="BK51" i="1" s="1"/>
  <c r="BX51" i="1" s="1"/>
  <c r="DN116" i="1"/>
  <c r="DV116" i="1" s="1"/>
  <c r="DJ116" i="1"/>
  <c r="DH116" i="1"/>
  <c r="DI91" i="1"/>
  <c r="DK91" i="1"/>
  <c r="DO91" i="1"/>
  <c r="DW91" i="1" s="1"/>
  <c r="EF56" i="1"/>
  <c r="DY56" i="1" s="1"/>
  <c r="BK56" i="1" s="1"/>
  <c r="BX56" i="1" s="1"/>
  <c r="BY56" i="1" s="1"/>
  <c r="B119" i="1"/>
  <c r="CK119" i="1"/>
  <c r="AY119" i="1"/>
  <c r="B114" i="1"/>
  <c r="AY114" i="1"/>
  <c r="CK114" i="1"/>
  <c r="CK109" i="1"/>
  <c r="B109" i="1"/>
  <c r="AY109" i="1"/>
  <c r="D173" i="1"/>
  <c r="EI178" i="1"/>
  <c r="EB178" i="1" s="1"/>
  <c r="BN178" i="1" s="1"/>
  <c r="EJ154" i="1"/>
  <c r="EC154" i="1" s="1"/>
  <c r="BO154" i="1" s="1"/>
  <c r="BU154" i="1" s="1"/>
  <c r="CM97" i="1"/>
  <c r="C97" i="1"/>
  <c r="DH168" i="1"/>
  <c r="DN168" i="1"/>
  <c r="DV168" i="1" s="1"/>
  <c r="DJ168" i="1"/>
  <c r="DN129" i="1"/>
  <c r="DV129" i="1" s="1"/>
  <c r="DH129" i="1"/>
  <c r="DJ129" i="1"/>
  <c r="DH115" i="1"/>
  <c r="DJ115" i="1"/>
  <c r="DN115" i="1"/>
  <c r="DV115" i="1" s="1"/>
  <c r="EI174" i="1"/>
  <c r="EB174" i="1" s="1"/>
  <c r="BN174" i="1" s="1"/>
  <c r="BU174" i="1" s="1"/>
  <c r="EJ151" i="1"/>
  <c r="EC151" i="1" s="1"/>
  <c r="BO151" i="1" s="1"/>
  <c r="CM102" i="1"/>
  <c r="C102" i="1"/>
  <c r="C159" i="1"/>
  <c r="BS159" i="1"/>
  <c r="EG62" i="1"/>
  <c r="DZ62" i="1" s="1"/>
  <c r="BL62" i="1" s="1"/>
  <c r="D56" i="1"/>
  <c r="CO56" i="1"/>
  <c r="EI142" i="1"/>
  <c r="EB142" i="1" s="1"/>
  <c r="BN142" i="1" s="1"/>
  <c r="D129" i="1"/>
  <c r="CO129" i="1"/>
  <c r="EJ78" i="1"/>
  <c r="EC78" i="1" s="1"/>
  <c r="BO78" i="1" s="1"/>
  <c r="CO93" i="1"/>
  <c r="D93" i="1"/>
  <c r="EI187" i="1"/>
  <c r="EB187" i="1" s="1"/>
  <c r="BN187" i="1" s="1"/>
  <c r="BU187" i="1" s="1"/>
  <c r="EH46" i="1"/>
  <c r="EA46" i="1" s="1"/>
  <c r="BM46" i="1" s="1"/>
  <c r="EO136" i="1"/>
  <c r="EH137" i="1"/>
  <c r="EA137" i="1" s="1"/>
  <c r="BM137" i="1" s="1"/>
  <c r="BS160" i="1"/>
  <c r="C160" i="1"/>
  <c r="EJ143" i="1"/>
  <c r="EC143" i="1" s="1"/>
  <c r="BO143" i="1" s="1"/>
  <c r="D162" i="1"/>
  <c r="CO162" i="1"/>
  <c r="EH139" i="1"/>
  <c r="EA139" i="1" s="1"/>
  <c r="BM139" i="1" s="1"/>
  <c r="EH182" i="1"/>
  <c r="EA182" i="1" s="1"/>
  <c r="BM182" i="1" s="1"/>
  <c r="BS182" i="1" s="1"/>
  <c r="BT183" i="1" s="1"/>
  <c r="EI162" i="1"/>
  <c r="EB162" i="1" s="1"/>
  <c r="BN162" i="1" s="1"/>
  <c r="BU162" i="1" s="1"/>
  <c r="EG60" i="1"/>
  <c r="DZ60" i="1" s="1"/>
  <c r="BL60" i="1" s="1"/>
  <c r="BH113" i="1"/>
  <c r="CS113" i="1"/>
  <c r="CU130" i="1"/>
  <c r="B120" i="1"/>
  <c r="CK120" i="1"/>
  <c r="AY120" i="1"/>
  <c r="D177" i="1"/>
  <c r="C99" i="1"/>
  <c r="E99" i="1" s="1"/>
  <c r="CM99" i="1"/>
  <c r="CP99" i="1" s="1"/>
  <c r="DK90" i="1"/>
  <c r="DI90" i="1"/>
  <c r="DO90" i="1"/>
  <c r="DW90" i="1" s="1"/>
  <c r="CK122" i="1"/>
  <c r="AY122" i="1"/>
  <c r="B122" i="1"/>
  <c r="DH124" i="1"/>
  <c r="DJ124" i="1"/>
  <c r="DN124" i="1"/>
  <c r="DV124" i="1" s="1"/>
  <c r="D138" i="1"/>
  <c r="AW136" i="1"/>
  <c r="C104" i="1"/>
  <c r="E104" i="1" s="1"/>
  <c r="CM104" i="1"/>
  <c r="EJ152" i="1"/>
  <c r="EC152" i="1" s="1"/>
  <c r="BO152" i="1" s="1"/>
  <c r="D176" i="1"/>
  <c r="DI56" i="1"/>
  <c r="DL56" i="1" s="1"/>
  <c r="DU56" i="1"/>
  <c r="DO56" i="1"/>
  <c r="DW56" i="1" s="1"/>
  <c r="DK56" i="1"/>
  <c r="DM56" i="1" s="1"/>
  <c r="DH112" i="1"/>
  <c r="DJ112" i="1"/>
  <c r="DN112" i="1"/>
  <c r="DV112" i="1" s="1"/>
  <c r="AY121" i="1"/>
  <c r="B121" i="1"/>
  <c r="CK121" i="1"/>
  <c r="DO89" i="1"/>
  <c r="DW89" i="1" s="1"/>
  <c r="DI89" i="1"/>
  <c r="DK89" i="1"/>
  <c r="DD84" i="1"/>
  <c r="EP136" i="1"/>
  <c r="EI137" i="1"/>
  <c r="EB137" i="1" s="1"/>
  <c r="BN137" i="1" s="1"/>
  <c r="BU137" i="1" s="1"/>
  <c r="EI139" i="1"/>
  <c r="EB139" i="1" s="1"/>
  <c r="BN139" i="1" s="1"/>
  <c r="EJ153" i="1"/>
  <c r="EC153" i="1" s="1"/>
  <c r="BO153" i="1" s="1"/>
  <c r="BU153" i="1" s="1"/>
  <c r="DH121" i="1"/>
  <c r="DJ121" i="1"/>
  <c r="DN121" i="1"/>
  <c r="DV121" i="1" s="1"/>
  <c r="CK124" i="1"/>
  <c r="AY124" i="1"/>
  <c r="B124" i="1"/>
  <c r="CE84" i="1"/>
  <c r="DH126" i="1"/>
  <c r="DJ126" i="1"/>
  <c r="DN126" i="1"/>
  <c r="DV126" i="1" s="1"/>
  <c r="CK118" i="1"/>
  <c r="B118" i="1"/>
  <c r="AY118" i="1"/>
  <c r="B123" i="1"/>
  <c r="AY123" i="1"/>
  <c r="CK123" i="1"/>
  <c r="EI173" i="1"/>
  <c r="EB173" i="1" s="1"/>
  <c r="BN173" i="1" s="1"/>
  <c r="EI177" i="1"/>
  <c r="EB177" i="1" s="1"/>
  <c r="BN177" i="1" s="1"/>
  <c r="BU177" i="1" s="1"/>
  <c r="C93" i="1"/>
  <c r="CM93" i="1"/>
  <c r="CM107" i="1"/>
  <c r="CP107" i="1" s="1"/>
  <c r="C107" i="1"/>
  <c r="EJ57" i="1"/>
  <c r="EC57" i="1" s="1"/>
  <c r="BO57" i="1" s="1"/>
  <c r="CO101" i="1"/>
  <c r="D101" i="1"/>
  <c r="CS93" i="1"/>
  <c r="BD132" i="1"/>
  <c r="BD84" i="1"/>
  <c r="BH93" i="1"/>
  <c r="BI94" i="1" s="1"/>
  <c r="EJ157" i="1"/>
  <c r="EC157" i="1" s="1"/>
  <c r="BO157" i="1" s="1"/>
  <c r="EI171" i="1"/>
  <c r="EB171" i="1" s="1"/>
  <c r="BN171" i="1" s="1"/>
  <c r="CO92" i="1"/>
  <c r="D92" i="1"/>
  <c r="E92" i="1" s="1"/>
  <c r="EI71" i="1"/>
  <c r="EB71" i="1" s="1"/>
  <c r="BN71" i="1" s="1"/>
  <c r="CS99" i="1"/>
  <c r="BH99" i="1"/>
  <c r="EG146" i="1"/>
  <c r="DZ146" i="1" s="1"/>
  <c r="BL146" i="1" s="1"/>
  <c r="BS146" i="1" s="1"/>
  <c r="EI70" i="1"/>
  <c r="EB70" i="1" s="1"/>
  <c r="BN70" i="1" s="1"/>
  <c r="CU121" i="1"/>
  <c r="EH188" i="1"/>
  <c r="EA188" i="1" s="1"/>
  <c r="BM188" i="1" s="1"/>
  <c r="EG152" i="1"/>
  <c r="DZ152" i="1" s="1"/>
  <c r="BL152" i="1" s="1"/>
  <c r="BS152" i="1" s="1"/>
  <c r="BT152" i="1" s="1"/>
  <c r="EJ178" i="1"/>
  <c r="EC178" i="1" s="1"/>
  <c r="BO178" i="1" s="1"/>
  <c r="EJ141" i="1"/>
  <c r="EC141" i="1" s="1"/>
  <c r="BO141" i="1" s="1"/>
  <c r="CS50" i="1"/>
  <c r="BH96" i="1"/>
  <c r="CS96" i="1"/>
  <c r="C149" i="1"/>
  <c r="CU91" i="1"/>
  <c r="D150" i="1"/>
  <c r="EJ72" i="1"/>
  <c r="EC72" i="1" s="1"/>
  <c r="BO72" i="1" s="1"/>
  <c r="C183" i="1"/>
  <c r="CS86" i="1"/>
  <c r="EH78" i="1"/>
  <c r="EA78" i="1" s="1"/>
  <c r="BM78" i="1" s="1"/>
  <c r="BH118" i="1"/>
  <c r="BI119" i="1" s="1"/>
  <c r="CS118" i="1"/>
  <c r="EI166" i="1"/>
  <c r="EB166" i="1" s="1"/>
  <c r="BN166" i="1" s="1"/>
  <c r="BS161" i="1"/>
  <c r="C161" i="1"/>
  <c r="CM161" i="1"/>
  <c r="CM123" i="1"/>
  <c r="C123" i="1"/>
  <c r="E123" i="1" s="1"/>
  <c r="EI150" i="1"/>
  <c r="EB150" i="1" s="1"/>
  <c r="BN150" i="1" s="1"/>
  <c r="CO85" i="1"/>
  <c r="D85" i="1"/>
  <c r="AW84" i="1"/>
  <c r="D188" i="1"/>
  <c r="DN120" i="1"/>
  <c r="DV120" i="1" s="1"/>
  <c r="DJ120" i="1"/>
  <c r="DH120" i="1"/>
  <c r="DH130" i="1"/>
  <c r="DN130" i="1"/>
  <c r="DV130" i="1" s="1"/>
  <c r="DJ130" i="1"/>
  <c r="EF53" i="1"/>
  <c r="DY53" i="1" s="1"/>
  <c r="BK53" i="1" s="1"/>
  <c r="DH119" i="1"/>
  <c r="DJ119" i="1"/>
  <c r="DN119" i="1"/>
  <c r="DV119" i="1" s="1"/>
  <c r="AY128" i="1"/>
  <c r="B128" i="1"/>
  <c r="CK128" i="1"/>
  <c r="DK49" i="1"/>
  <c r="DQ49" i="1" s="1"/>
  <c r="DI49" i="1"/>
  <c r="DO49" i="1"/>
  <c r="DW49" i="1" s="1"/>
  <c r="DU49" i="1"/>
  <c r="B129" i="1"/>
  <c r="CK129" i="1"/>
  <c r="AY129" i="1"/>
  <c r="D174" i="1"/>
  <c r="CM105" i="1"/>
  <c r="CP105" i="1" s="1"/>
  <c r="C105" i="1"/>
  <c r="EI176" i="1"/>
  <c r="EB176" i="1" s="1"/>
  <c r="BN176" i="1" s="1"/>
  <c r="DH111" i="1"/>
  <c r="DJ111" i="1"/>
  <c r="DN111" i="1"/>
  <c r="DV111" i="1" s="1"/>
  <c r="ED111" i="1" s="1"/>
  <c r="DI50" i="1"/>
  <c r="DU50" i="1"/>
  <c r="DO50" i="1"/>
  <c r="DW50" i="1" s="1"/>
  <c r="DK50" i="1"/>
  <c r="DQ50" i="1" s="1"/>
  <c r="B125" i="1"/>
  <c r="CK125" i="1"/>
  <c r="AY125" i="1"/>
  <c r="DN117" i="1"/>
  <c r="DV117" i="1" s="1"/>
  <c r="ES117" i="1" s="1"/>
  <c r="DJ117" i="1"/>
  <c r="DH117" i="1"/>
  <c r="CK113" i="1"/>
  <c r="B113" i="1"/>
  <c r="E113" i="1" s="1"/>
  <c r="AY113" i="1"/>
  <c r="DJ110" i="1"/>
  <c r="DN110" i="1"/>
  <c r="DV110" i="1" s="1"/>
  <c r="ED110" i="1" s="1"/>
  <c r="DH110" i="1"/>
  <c r="EF50" i="1"/>
  <c r="DY50" i="1" s="1"/>
  <c r="BK50" i="1" s="1"/>
  <c r="BX50" i="1" s="1"/>
  <c r="D172" i="1"/>
  <c r="D179" i="1"/>
  <c r="C110" i="1"/>
  <c r="CM110" i="1"/>
  <c r="DI86" i="1"/>
  <c r="DO86" i="1"/>
  <c r="DW86" i="1" s="1"/>
  <c r="DK86" i="1"/>
  <c r="DN109" i="1"/>
  <c r="DV109" i="1" s="1"/>
  <c r="ES109" i="1" s="1"/>
  <c r="DH109" i="1"/>
  <c r="DJ109" i="1"/>
  <c r="C109" i="1"/>
  <c r="E109" i="1" s="1"/>
  <c r="CM109" i="1"/>
  <c r="C94" i="1"/>
  <c r="E94" i="1" s="1"/>
  <c r="CM94" i="1"/>
  <c r="D175" i="1"/>
  <c r="CM95" i="1"/>
  <c r="C95" i="1"/>
  <c r="DH122" i="1"/>
  <c r="DJ122" i="1"/>
  <c r="DN122" i="1"/>
  <c r="DV122" i="1" s="1"/>
  <c r="DJ114" i="1"/>
  <c r="DH114" i="1"/>
  <c r="DN114" i="1"/>
  <c r="DV114" i="1" s="1"/>
  <c r="ED114" i="1" s="1"/>
  <c r="B116" i="1"/>
  <c r="CK116" i="1"/>
  <c r="AY116" i="1"/>
  <c r="EI179" i="1"/>
  <c r="EB179" i="1" s="1"/>
  <c r="BN179" i="1" s="1"/>
  <c r="BU179" i="1" s="1"/>
  <c r="EJ155" i="1"/>
  <c r="EC155" i="1" s="1"/>
  <c r="BO155" i="1" s="1"/>
  <c r="BU155" i="1" s="1"/>
  <c r="C96" i="1"/>
  <c r="E96" i="1" s="1"/>
  <c r="CM96" i="1"/>
  <c r="EG147" i="1"/>
  <c r="DZ147" i="1" s="1"/>
  <c r="BL147" i="1" s="1"/>
  <c r="BS147" i="1" s="1"/>
  <c r="C125" i="1"/>
  <c r="E125" i="1" s="1"/>
  <c r="CM125" i="1"/>
  <c r="EH53" i="1"/>
  <c r="EA53" i="1" s="1"/>
  <c r="BM53" i="1" s="1"/>
  <c r="EH45" i="1"/>
  <c r="EA45" i="1" s="1"/>
  <c r="BM45" i="1" s="1"/>
  <c r="EO44" i="1"/>
  <c r="CU115" i="1"/>
  <c r="EH184" i="1"/>
  <c r="EA184" i="1" s="1"/>
  <c r="BM184" i="1" s="1"/>
  <c r="BS184" i="1" s="1"/>
  <c r="BT185" i="1" s="1"/>
  <c r="EH64" i="1"/>
  <c r="EA64" i="1" s="1"/>
  <c r="BM64" i="1" s="1"/>
  <c r="BZ64" i="1" s="1"/>
  <c r="CA65" i="1" s="1"/>
  <c r="EG47" i="1"/>
  <c r="DZ47" i="1" s="1"/>
  <c r="BL47" i="1" s="1"/>
  <c r="EG51" i="1"/>
  <c r="DZ51" i="1" s="1"/>
  <c r="BL51" i="1" s="1"/>
  <c r="BS51" i="1" s="1"/>
  <c r="CO49" i="1"/>
  <c r="D49" i="1"/>
  <c r="EH76" i="1"/>
  <c r="EA76" i="1" s="1"/>
  <c r="BM76" i="1" s="1"/>
  <c r="CU100" i="1"/>
  <c r="CO102" i="1"/>
  <c r="D102" i="1"/>
  <c r="EH77" i="1"/>
  <c r="EA77" i="1" s="1"/>
  <c r="BM77" i="1" s="1"/>
  <c r="CU103" i="1"/>
  <c r="EJ138" i="1"/>
  <c r="EC138" i="1" s="1"/>
  <c r="BO138" i="1" s="1"/>
  <c r="CS64" i="1"/>
  <c r="EH70" i="1"/>
  <c r="EA70" i="1" s="1"/>
  <c r="BM70" i="1" s="1"/>
  <c r="BS70" i="1" s="1"/>
  <c r="BT70" i="1" s="1"/>
  <c r="C157" i="1"/>
  <c r="DK52" i="1"/>
  <c r="DQ52" i="1" s="1"/>
  <c r="DU52" i="1"/>
  <c r="DI52" i="1"/>
  <c r="DL52" i="1" s="1"/>
  <c r="DO52" i="1"/>
  <c r="DW52" i="1" s="1"/>
  <c r="EF52" i="1"/>
  <c r="DY52" i="1" s="1"/>
  <c r="BK52" i="1" s="1"/>
  <c r="BQ52" i="1" s="1"/>
  <c r="B130" i="1"/>
  <c r="AY130" i="1"/>
  <c r="CK130" i="1"/>
  <c r="CK127" i="1"/>
  <c r="AY127" i="1"/>
  <c r="B127" i="1"/>
  <c r="DJ127" i="1"/>
  <c r="DN127" i="1"/>
  <c r="DV127" i="1" s="1"/>
  <c r="ED127" i="1" s="1"/>
  <c r="DH127" i="1"/>
  <c r="DL127" i="1" s="1"/>
  <c r="C103" i="1"/>
  <c r="CM103" i="1"/>
  <c r="DU51" i="1"/>
  <c r="DO51" i="1"/>
  <c r="DW51" i="1" s="1"/>
  <c r="DK51" i="1"/>
  <c r="DQ51" i="1" s="1"/>
  <c r="DI51" i="1"/>
  <c r="DO87" i="1"/>
  <c r="DW87" i="1" s="1"/>
  <c r="DK87" i="1"/>
  <c r="DM87" i="1" s="1"/>
  <c r="DI87" i="1"/>
  <c r="DK92" i="1"/>
  <c r="DO92" i="1"/>
  <c r="DW92" i="1" s="1"/>
  <c r="DI92" i="1"/>
  <c r="DP92" i="1" s="1"/>
  <c r="DN113" i="1"/>
  <c r="DV113" i="1" s="1"/>
  <c r="ES113" i="1" s="1"/>
  <c r="DH113" i="1"/>
  <c r="DJ113" i="1"/>
  <c r="DO64" i="1"/>
  <c r="DI64" i="1"/>
  <c r="DU64" i="1"/>
  <c r="DK64" i="1"/>
  <c r="DS64" i="1" s="1"/>
  <c r="CK117" i="1"/>
  <c r="B117" i="1"/>
  <c r="AY117" i="1"/>
  <c r="EJ189" i="1"/>
  <c r="EC189" i="1" s="1"/>
  <c r="BO189" i="1" s="1"/>
  <c r="EJ188" i="1"/>
  <c r="EC188" i="1" s="1"/>
  <c r="BO188" i="1" s="1"/>
  <c r="BU188" i="1" s="1"/>
  <c r="EI175" i="1"/>
  <c r="EB175" i="1" s="1"/>
  <c r="BN175" i="1" s="1"/>
  <c r="BU175" i="1" s="1"/>
  <c r="CM100" i="1"/>
  <c r="C100" i="1"/>
  <c r="B108" i="1"/>
  <c r="AY108" i="1"/>
  <c r="CK108" i="1"/>
  <c r="CK110" i="1"/>
  <c r="B110" i="1"/>
  <c r="AY110" i="1"/>
  <c r="C108" i="1"/>
  <c r="CM108" i="1"/>
  <c r="C106" i="1"/>
  <c r="CM106" i="1"/>
  <c r="CM98" i="1"/>
  <c r="C98" i="1"/>
  <c r="DN125" i="1"/>
  <c r="DV125" i="1" s="1"/>
  <c r="ES125" i="1" s="1"/>
  <c r="DJ125" i="1"/>
  <c r="DM125" i="1" s="1"/>
  <c r="DH125" i="1"/>
  <c r="CK112" i="1"/>
  <c r="B112" i="1"/>
  <c r="AY112" i="1"/>
  <c r="DJ123" i="1"/>
  <c r="DH123" i="1"/>
  <c r="DN123" i="1"/>
  <c r="DV123" i="1" s="1"/>
  <c r="ED123" i="1" s="1"/>
  <c r="B115" i="1"/>
  <c r="AY115" i="1"/>
  <c r="CK115" i="1"/>
  <c r="D139" i="1"/>
  <c r="CM112" i="1"/>
  <c r="CP112" i="1" s="1"/>
  <c r="C112" i="1"/>
  <c r="CM101" i="1"/>
  <c r="CP101" i="1" s="1"/>
  <c r="C101" i="1"/>
  <c r="E101" i="1" s="1"/>
  <c r="EJ148" i="1"/>
  <c r="EC148" i="1" s="1"/>
  <c r="BO148" i="1" s="1"/>
  <c r="BU148" i="1" s="1"/>
  <c r="ED105" i="1"/>
  <c r="ED100" i="1"/>
  <c r="ED102" i="1"/>
  <c r="ED124" i="1"/>
  <c r="ED104" i="1"/>
  <c r="ED112" i="1"/>
  <c r="ED98" i="1"/>
  <c r="ED108" i="1"/>
  <c r="ED116" i="1"/>
  <c r="ED107" i="1"/>
  <c r="ED113" i="1"/>
  <c r="ED120" i="1"/>
  <c r="ED101" i="1"/>
  <c r="ED128" i="1"/>
  <c r="ED126" i="1"/>
  <c r="ED121" i="1"/>
  <c r="ED115" i="1"/>
  <c r="ED122" i="1"/>
  <c r="ED106" i="1"/>
  <c r="ED93" i="1"/>
  <c r="ED130" i="1"/>
  <c r="ED96" i="1"/>
  <c r="ED119" i="1"/>
  <c r="ED118" i="1"/>
  <c r="ED94" i="1"/>
  <c r="ED103" i="1"/>
  <c r="ED95" i="1"/>
  <c r="ED99" i="1"/>
  <c r="ED109" i="1"/>
  <c r="ED97" i="1"/>
  <c r="ED129" i="1"/>
  <c r="ED85" i="1"/>
  <c r="DQ114" i="1"/>
  <c r="BT187" i="1"/>
  <c r="ES115" i="1"/>
  <c r="ES100" i="1"/>
  <c r="ES110" i="1"/>
  <c r="ES102" i="1"/>
  <c r="ES119" i="1"/>
  <c r="ES118" i="1"/>
  <c r="ES122" i="1"/>
  <c r="ES104" i="1"/>
  <c r="ES121" i="1"/>
  <c r="ES101" i="1"/>
  <c r="ES98" i="1"/>
  <c r="ES126" i="1"/>
  <c r="ES93" i="1"/>
  <c r="ES130" i="1"/>
  <c r="ES96" i="1"/>
  <c r="ES120" i="1"/>
  <c r="ES94" i="1"/>
  <c r="ES128" i="1"/>
  <c r="ES127" i="1"/>
  <c r="ES85" i="1"/>
  <c r="ES95" i="1"/>
  <c r="ES99" i="1"/>
  <c r="ES124" i="1"/>
  <c r="ES97" i="1"/>
  <c r="ES129" i="1"/>
  <c r="ES108" i="1"/>
  <c r="ES114" i="1"/>
  <c r="ES116" i="1"/>
  <c r="ES107" i="1"/>
  <c r="ES105" i="1"/>
  <c r="ES112" i="1"/>
  <c r="ES106" i="1"/>
  <c r="ES103" i="1"/>
  <c r="BT155" i="1"/>
  <c r="BT164" i="1"/>
  <c r="BT151" i="1"/>
  <c r="BT180" i="1"/>
  <c r="BT165" i="1"/>
  <c r="BT175" i="1"/>
  <c r="BT150" i="1"/>
  <c r="BT154" i="1"/>
  <c r="BT166" i="1"/>
  <c r="BT171" i="1"/>
  <c r="BT186" i="1"/>
  <c r="DP98" i="1"/>
  <c r="DV52" i="1"/>
  <c r="DS129" i="1"/>
  <c r="DM116" i="1"/>
  <c r="DS95" i="1"/>
  <c r="DL123" i="1"/>
  <c r="DQ115" i="1"/>
  <c r="DQ122" i="1"/>
  <c r="DP88" i="1"/>
  <c r="DS90" i="1"/>
  <c r="DQ90" i="1"/>
  <c r="DW168" i="1"/>
  <c r="ES168" i="1" s="1"/>
  <c r="DV64" i="1"/>
  <c r="DW163" i="1"/>
  <c r="ES163" i="1" s="1"/>
  <c r="DV49" i="1"/>
  <c r="DV51" i="1"/>
  <c r="DV53" i="1"/>
  <c r="DV56" i="1"/>
  <c r="E50" i="1"/>
  <c r="DQ117" i="1"/>
  <c r="DQ163" i="1"/>
  <c r="DP90" i="1"/>
  <c r="DP130" i="1"/>
  <c r="DP106" i="1"/>
  <c r="DV86" i="1"/>
  <c r="ED86" i="1" s="1"/>
  <c r="DV88" i="1"/>
  <c r="ED88" i="1" s="1"/>
  <c r="DH131" i="1"/>
  <c r="DI84" i="1"/>
  <c r="DV89" i="1"/>
  <c r="ED89" i="1" s="1"/>
  <c r="DI132" i="1"/>
  <c r="DM114" i="1"/>
  <c r="DQ110" i="1"/>
  <c r="DP105" i="1"/>
  <c r="DM107" i="1"/>
  <c r="DL96" i="1"/>
  <c r="DL121" i="1"/>
  <c r="DL126" i="1"/>
  <c r="DP86" i="1"/>
  <c r="DP122" i="1"/>
  <c r="DL89" i="1"/>
  <c r="CP113" i="1"/>
  <c r="DV87" i="1"/>
  <c r="ED87" i="1" s="1"/>
  <c r="DM93" i="1"/>
  <c r="DS96" i="1"/>
  <c r="DQ93" i="1"/>
  <c r="DS93" i="1"/>
  <c r="DP104" i="1"/>
  <c r="DQ118" i="1"/>
  <c r="DL110" i="1"/>
  <c r="DH84" i="1"/>
  <c r="DL130" i="1"/>
  <c r="CP122" i="1"/>
  <c r="CP127" i="1"/>
  <c r="DM108" i="1"/>
  <c r="DQ120" i="1"/>
  <c r="DM97" i="1"/>
  <c r="DM86" i="1"/>
  <c r="DL115" i="1"/>
  <c r="DS97" i="1"/>
  <c r="DP85" i="1"/>
  <c r="CP89" i="1"/>
  <c r="CP104" i="1"/>
  <c r="CP100" i="1"/>
  <c r="DV91" i="1"/>
  <c r="ED91" i="1" s="1"/>
  <c r="DP125" i="1"/>
  <c r="DS127" i="1"/>
  <c r="CP53" i="1"/>
  <c r="DM127" i="1"/>
  <c r="E51" i="1"/>
  <c r="CP163" i="1"/>
  <c r="DV90" i="1"/>
  <c r="ED90" i="1" s="1"/>
  <c r="DQ130" i="1"/>
  <c r="DM109" i="1"/>
  <c r="DS114" i="1"/>
  <c r="DL112" i="1"/>
  <c r="DM101" i="1"/>
  <c r="D136" i="1"/>
  <c r="DL128" i="1"/>
  <c r="DM92" i="1"/>
  <c r="DM123" i="1"/>
  <c r="DQ89" i="1"/>
  <c r="DS99" i="1"/>
  <c r="E119" i="1"/>
  <c r="DL100" i="1"/>
  <c r="DP113" i="1"/>
  <c r="DQ96" i="1"/>
  <c r="DP89" i="1"/>
  <c r="DQ91" i="1"/>
  <c r="DQ129" i="1"/>
  <c r="DL122" i="1"/>
  <c r="DQ95" i="1"/>
  <c r="DP107" i="1"/>
  <c r="DS102" i="1"/>
  <c r="DP109" i="1"/>
  <c r="DS104" i="1"/>
  <c r="DS128" i="1"/>
  <c r="E64" i="1"/>
  <c r="E115" i="1"/>
  <c r="E121" i="1"/>
  <c r="DQ109" i="1"/>
  <c r="CP91" i="1"/>
  <c r="DM102" i="1"/>
  <c r="DS109" i="1"/>
  <c r="DQ101" i="1"/>
  <c r="E100" i="1"/>
  <c r="DM96" i="1"/>
  <c r="DL106" i="1"/>
  <c r="CP87" i="1"/>
  <c r="DP102" i="1"/>
  <c r="DQ94" i="1"/>
  <c r="DS118" i="1"/>
  <c r="DP123" i="1"/>
  <c r="DM129" i="1"/>
  <c r="DM94" i="1"/>
  <c r="DM95" i="1"/>
  <c r="DL86" i="1"/>
  <c r="DS94" i="1"/>
  <c r="DV92" i="1"/>
  <c r="ED92" i="1" s="1"/>
  <c r="DL107" i="1"/>
  <c r="DL114" i="1"/>
  <c r="DP108" i="1"/>
  <c r="DQ107" i="1"/>
  <c r="DQ112" i="1"/>
  <c r="DM98" i="1"/>
  <c r="DL95" i="1"/>
  <c r="DS111" i="1"/>
  <c r="DP95" i="1"/>
  <c r="BU50" i="1"/>
  <c r="DQ99" i="1"/>
  <c r="DS106" i="1"/>
  <c r="DM113" i="1"/>
  <c r="DL87" i="1"/>
  <c r="DM89" i="1"/>
  <c r="DP96" i="1"/>
  <c r="DS91" i="1"/>
  <c r="DL118" i="1"/>
  <c r="DL105" i="1"/>
  <c r="DP114" i="1"/>
  <c r="BI126" i="1"/>
  <c r="DL97" i="1"/>
  <c r="DQ127" i="1"/>
  <c r="E126" i="1"/>
  <c r="DP101" i="1"/>
  <c r="DM110" i="1"/>
  <c r="DP126" i="1"/>
  <c r="DS103" i="1"/>
  <c r="DS120" i="1"/>
  <c r="DS110" i="1"/>
  <c r="DQ108" i="1"/>
  <c r="DS101" i="1"/>
  <c r="DP128" i="1"/>
  <c r="CQ84" i="1"/>
  <c r="DS119" i="1"/>
  <c r="CP168" i="1"/>
  <c r="BI117" i="1"/>
  <c r="E122" i="1"/>
  <c r="CP93" i="1"/>
  <c r="E90" i="1"/>
  <c r="BI130" i="1"/>
  <c r="CP111" i="1"/>
  <c r="E128" i="1"/>
  <c r="CP130" i="1"/>
  <c r="DP94" i="1"/>
  <c r="DM112" i="1"/>
  <c r="DM91" i="1"/>
  <c r="DS112" i="1"/>
  <c r="DQ87" i="1"/>
  <c r="DS116" i="1"/>
  <c r="DQ106" i="1"/>
  <c r="DL94" i="1"/>
  <c r="DL117" i="1"/>
  <c r="DQ126" i="1"/>
  <c r="DM111" i="1"/>
  <c r="DP129" i="1"/>
  <c r="DP93" i="1"/>
  <c r="DS121" i="1"/>
  <c r="DL99" i="1"/>
  <c r="DP87" i="1"/>
  <c r="DS168" i="1"/>
  <c r="DQ124" i="1"/>
  <c r="DL108" i="1"/>
  <c r="DM118" i="1"/>
  <c r="DQ92" i="1"/>
  <c r="DK131" i="1"/>
  <c r="DL109" i="1"/>
  <c r="DL111" i="1"/>
  <c r="DL113" i="1"/>
  <c r="DQ97" i="1"/>
  <c r="DS122" i="1"/>
  <c r="DQ102" i="1"/>
  <c r="DQ98" i="1"/>
  <c r="DS107" i="1"/>
  <c r="DS98" i="1"/>
  <c r="DZ142" i="1"/>
  <c r="BL142" i="1" s="1"/>
  <c r="BS142" i="1" s="1"/>
  <c r="BT142" i="1" s="1"/>
  <c r="DS126" i="1"/>
  <c r="DL92" i="1"/>
  <c r="DP99" i="1"/>
  <c r="DM130" i="1"/>
  <c r="DS130" i="1"/>
  <c r="DK84" i="1"/>
  <c r="DM119" i="1"/>
  <c r="DS86" i="1"/>
  <c r="DQ86" i="1"/>
  <c r="DS100" i="1"/>
  <c r="DM100" i="1"/>
  <c r="DQ105" i="1"/>
  <c r="DM105" i="1"/>
  <c r="EA181" i="1"/>
  <c r="BM181" i="1" s="1"/>
  <c r="BS181" i="1" s="1"/>
  <c r="BT181" i="1" s="1"/>
  <c r="EH136" i="1"/>
  <c r="DL168" i="1"/>
  <c r="DP168" i="1"/>
  <c r="DJ84" i="1"/>
  <c r="DM126" i="1"/>
  <c r="DL93" i="1"/>
  <c r="DL129" i="1"/>
  <c r="CR82" i="1"/>
  <c r="DS117" i="1"/>
  <c r="DQ123" i="1"/>
  <c r="DS123" i="1"/>
  <c r="DM99" i="1"/>
  <c r="BI107" i="1"/>
  <c r="DL104" i="1"/>
  <c r="DL88" i="1"/>
  <c r="DP117" i="1"/>
  <c r="DS89" i="1"/>
  <c r="DM120" i="1"/>
  <c r="DL85" i="1"/>
  <c r="DM163" i="1"/>
  <c r="DL125" i="1"/>
  <c r="DM124" i="1"/>
  <c r="CS82" i="1"/>
  <c r="DP110" i="1"/>
  <c r="DP97" i="1"/>
  <c r="DQ111" i="1"/>
  <c r="DP118" i="1"/>
  <c r="DM85" i="1"/>
  <c r="DP119" i="1"/>
  <c r="DL124" i="1"/>
  <c r="DP124" i="1"/>
  <c r="DS88" i="1"/>
  <c r="DQ88" i="1"/>
  <c r="DQ168" i="1"/>
  <c r="DS163" i="1"/>
  <c r="DP112" i="1"/>
  <c r="DP115" i="1"/>
  <c r="DS115" i="1"/>
  <c r="DM115" i="1"/>
  <c r="DS113" i="1"/>
  <c r="DQ113" i="1"/>
  <c r="DP91" i="1"/>
  <c r="DL91" i="1"/>
  <c r="DM104" i="1"/>
  <c r="DQ104" i="1"/>
  <c r="DM122" i="1"/>
  <c r="BI127" i="1"/>
  <c r="DL90" i="1"/>
  <c r="DH132" i="1"/>
  <c r="DS105" i="1"/>
  <c r="DS92" i="1"/>
  <c r="DL98" i="1"/>
  <c r="DL119" i="1"/>
  <c r="DL101" i="1"/>
  <c r="DP121" i="1"/>
  <c r="DQ100" i="1"/>
  <c r="DQ103" i="1"/>
  <c r="DM117" i="1"/>
  <c r="DL102" i="1"/>
  <c r="DM103" i="1"/>
  <c r="DQ121" i="1"/>
  <c r="DS124" i="1"/>
  <c r="DM88" i="1"/>
  <c r="DM106" i="1"/>
  <c r="DM168" i="1"/>
  <c r="DS108" i="1"/>
  <c r="DP100" i="1"/>
  <c r="DJ132" i="1"/>
  <c r="DP111" i="1"/>
  <c r="DM121" i="1"/>
  <c r="E168" i="1"/>
  <c r="BU51" i="1"/>
  <c r="DQ116" i="1"/>
  <c r="BU167" i="1"/>
  <c r="E52" i="1"/>
  <c r="CB51" i="1"/>
  <c r="BU147" i="1"/>
  <c r="DQ119" i="1"/>
  <c r="CP52" i="1"/>
  <c r="BS52" i="1"/>
  <c r="BI50" i="1"/>
  <c r="BI51" i="1"/>
  <c r="BS50" i="1"/>
  <c r="BZ52" i="1"/>
  <c r="BU169" i="1"/>
  <c r="BZ50" i="1"/>
  <c r="DM128" i="1"/>
  <c r="BU151" i="1"/>
  <c r="DQ85" i="1"/>
  <c r="E163" i="1"/>
  <c r="DP163" i="1"/>
  <c r="DL163" i="1"/>
  <c r="DL103" i="1"/>
  <c r="DP103" i="1"/>
  <c r="E88" i="1"/>
  <c r="DS125" i="1"/>
  <c r="DS85" i="1"/>
  <c r="DL116" i="1"/>
  <c r="DP116" i="1"/>
  <c r="DQ128" i="1"/>
  <c r="E129" i="1"/>
  <c r="DP120" i="1"/>
  <c r="DL120" i="1"/>
  <c r="DM90" i="1"/>
  <c r="Y33" i="2"/>
  <c r="BG32" i="1" s="1"/>
  <c r="AZ33" i="1"/>
  <c r="A34" i="2"/>
  <c r="DG33" i="1"/>
  <c r="F33" i="1"/>
  <c r="A34" i="1"/>
  <c r="W34" i="2"/>
  <c r="F34" i="2"/>
  <c r="R34" i="2"/>
  <c r="E34" i="2"/>
  <c r="B34" i="2"/>
  <c r="U34" i="2"/>
  <c r="V34" i="2"/>
  <c r="N34" i="2"/>
  <c r="C34" i="2"/>
  <c r="D34" i="2"/>
  <c r="I34" i="2"/>
  <c r="P34" i="2"/>
  <c r="Q34" i="2"/>
  <c r="G34" i="2"/>
  <c r="M34" i="2"/>
  <c r="S34" i="2"/>
  <c r="H34" i="2"/>
  <c r="J34" i="2"/>
  <c r="X34" i="2"/>
  <c r="T34" i="2"/>
  <c r="K34" i="2"/>
  <c r="O34" i="2"/>
  <c r="L34" i="2"/>
  <c r="CP121" i="1" l="1"/>
  <c r="BQ51" i="1"/>
  <c r="CP119" i="1"/>
  <c r="E89" i="1"/>
  <c r="CP95" i="1"/>
  <c r="CP117" i="1"/>
  <c r="EG136" i="1"/>
  <c r="ES123" i="1"/>
  <c r="ED117" i="1"/>
  <c r="DI131" i="1"/>
  <c r="CP110" i="1"/>
  <c r="CP118" i="1"/>
  <c r="DJ131" i="1"/>
  <c r="E110" i="1"/>
  <c r="DS49" i="1"/>
  <c r="DM49" i="1"/>
  <c r="BU143" i="1"/>
  <c r="BV144" i="1" s="1"/>
  <c r="BQ49" i="1"/>
  <c r="BI124" i="1"/>
  <c r="BU182" i="1"/>
  <c r="BT149" i="1"/>
  <c r="BU184" i="1"/>
  <c r="BT179" i="1"/>
  <c r="BU146" i="1"/>
  <c r="BV147" i="1" s="1"/>
  <c r="BU189" i="1"/>
  <c r="BV189" i="1" s="1"/>
  <c r="BI100" i="1"/>
  <c r="DK132" i="1"/>
  <c r="DP127" i="1"/>
  <c r="EJ136" i="1"/>
  <c r="EI136" i="1"/>
  <c r="DQ125" i="1"/>
  <c r="DQ132" i="1" s="1"/>
  <c r="DS87" i="1"/>
  <c r="ES111" i="1"/>
  <c r="E130" i="1"/>
  <c r="E116" i="1"/>
  <c r="CP120" i="1"/>
  <c r="CP114" i="1"/>
  <c r="CP116" i="1"/>
  <c r="E120" i="1"/>
  <c r="E111" i="1"/>
  <c r="E91" i="1"/>
  <c r="DR49" i="1"/>
  <c r="DQ64" i="1"/>
  <c r="BS56" i="1"/>
  <c r="BT56" i="1" s="1"/>
  <c r="BU161" i="1"/>
  <c r="BV161" i="1" s="1"/>
  <c r="BI125" i="1"/>
  <c r="BU185" i="1"/>
  <c r="BV186" i="1" s="1"/>
  <c r="BU164" i="1"/>
  <c r="BV165" i="1" s="1"/>
  <c r="BT156" i="1"/>
  <c r="BT145" i="1"/>
  <c r="BT144" i="1"/>
  <c r="BU152" i="1"/>
  <c r="BV153" i="1" s="1"/>
  <c r="D84" i="1"/>
  <c r="BZ56" i="1"/>
  <c r="CA56" i="1" s="1"/>
  <c r="E112" i="1"/>
  <c r="CP98" i="1"/>
  <c r="E108" i="1"/>
  <c r="CP103" i="1"/>
  <c r="E95" i="1"/>
  <c r="BU141" i="1"/>
  <c r="E114" i="1"/>
  <c r="E118" i="1"/>
  <c r="BI118" i="1"/>
  <c r="BI91" i="1"/>
  <c r="BU138" i="1"/>
  <c r="CP102" i="1"/>
  <c r="CP96" i="1"/>
  <c r="CP124" i="1"/>
  <c r="DL53" i="1"/>
  <c r="DM64" i="1"/>
  <c r="E107" i="1"/>
  <c r="BU56" i="1"/>
  <c r="EI44" i="1"/>
  <c r="BU149" i="1"/>
  <c r="BV149" i="1" s="1"/>
  <c r="BT157" i="1"/>
  <c r="BS64" i="1"/>
  <c r="BT65" i="1" s="1"/>
  <c r="BI113" i="1"/>
  <c r="E87" i="1"/>
  <c r="BU150" i="1"/>
  <c r="BV151" i="1" s="1"/>
  <c r="BI116" i="1"/>
  <c r="BT163" i="1"/>
  <c r="BS49" i="1"/>
  <c r="BT50" i="1" s="1"/>
  <c r="BI104" i="1"/>
  <c r="DM51" i="1"/>
  <c r="E56" i="1"/>
  <c r="E124" i="1"/>
  <c r="CP125" i="1"/>
  <c r="CP128" i="1"/>
  <c r="BU178" i="1"/>
  <c r="BV179" i="1" s="1"/>
  <c r="BU142" i="1"/>
  <c r="BI103" i="1"/>
  <c r="BT168" i="1"/>
  <c r="E49" i="1"/>
  <c r="BZ51" i="1"/>
  <c r="CA52" i="1" s="1"/>
  <c r="BI115" i="1"/>
  <c r="BT159" i="1"/>
  <c r="CP123" i="1"/>
  <c r="BT184" i="1"/>
  <c r="E93" i="1"/>
  <c r="DM50" i="1"/>
  <c r="BX52" i="1"/>
  <c r="BY52" i="1" s="1"/>
  <c r="CP56" i="1"/>
  <c r="CP129" i="1"/>
  <c r="CP94" i="1"/>
  <c r="E127" i="1"/>
  <c r="E98" i="1"/>
  <c r="CP115" i="1"/>
  <c r="E117" i="1"/>
  <c r="DP52" i="1"/>
  <c r="BU171" i="1"/>
  <c r="BV171" i="1" s="1"/>
  <c r="BI109" i="1"/>
  <c r="CP88" i="1"/>
  <c r="CP92" i="1"/>
  <c r="CP108" i="1"/>
  <c r="CP97" i="1"/>
  <c r="BT172" i="1"/>
  <c r="BT160" i="1"/>
  <c r="BZ49" i="1"/>
  <c r="CA50" i="1" s="1"/>
  <c r="E97" i="1"/>
  <c r="BI122" i="1"/>
  <c r="BI89" i="1"/>
  <c r="CS84" i="1"/>
  <c r="BI110" i="1"/>
  <c r="BO44" i="1"/>
  <c r="CP109" i="1"/>
  <c r="BI98" i="1"/>
  <c r="BI101" i="1"/>
  <c r="CP64" i="1"/>
  <c r="CU84" i="1"/>
  <c r="CB53" i="1"/>
  <c r="CC54" i="1" s="1"/>
  <c r="BU145" i="1"/>
  <c r="BV145" i="1" s="1"/>
  <c r="DL51" i="1"/>
  <c r="CP49" i="1"/>
  <c r="DL64" i="1"/>
  <c r="E53" i="1"/>
  <c r="BH84" i="1"/>
  <c r="BU140" i="1"/>
  <c r="BU180" i="1"/>
  <c r="BV180" i="1" s="1"/>
  <c r="BI82" i="1"/>
  <c r="BU168" i="1"/>
  <c r="BV169" i="1" s="1"/>
  <c r="BU64" i="1"/>
  <c r="BU158" i="1"/>
  <c r="BV159" i="1" s="1"/>
  <c r="BU183" i="1"/>
  <c r="DR50" i="1"/>
  <c r="C84" i="1"/>
  <c r="BS53" i="1"/>
  <c r="BT53" i="1" s="1"/>
  <c r="BU157" i="1"/>
  <c r="BV157" i="1" s="1"/>
  <c r="DS51" i="1"/>
  <c r="CP50" i="1"/>
  <c r="DP56" i="1"/>
  <c r="DM52" i="1"/>
  <c r="DP50" i="1"/>
  <c r="CP51" i="1"/>
  <c r="DR53" i="1"/>
  <c r="DS53" i="1"/>
  <c r="DP51" i="1"/>
  <c r="BI112" i="1"/>
  <c r="BQ50" i="1"/>
  <c r="BR50" i="1" s="1"/>
  <c r="BZ53" i="1"/>
  <c r="CA54" i="1" s="1"/>
  <c r="EJ44" i="1"/>
  <c r="DQ56" i="1"/>
  <c r="DM53" i="1"/>
  <c r="BI93" i="1"/>
  <c r="CM84" i="1"/>
  <c r="CM131" i="1" s="1"/>
  <c r="CO84" i="1"/>
  <c r="CO132" i="1" s="1"/>
  <c r="DP64" i="1"/>
  <c r="BI121" i="1"/>
  <c r="E106" i="1"/>
  <c r="DW64" i="1"/>
  <c r="ES64" i="1" s="1"/>
  <c r="E102" i="1"/>
  <c r="E105" i="1"/>
  <c r="DP49" i="1"/>
  <c r="BQ53" i="1"/>
  <c r="BR54" i="1" s="1"/>
  <c r="BT146" i="1"/>
  <c r="BU53" i="1"/>
  <c r="BT173" i="1"/>
  <c r="CP106" i="1"/>
  <c r="E103" i="1"/>
  <c r="DR52" i="1"/>
  <c r="CB64" i="1"/>
  <c r="CC65" i="1" s="1"/>
  <c r="CB168" i="1"/>
  <c r="DR51" i="1"/>
  <c r="EG44" i="1"/>
  <c r="DS56" i="1"/>
  <c r="DL50" i="1"/>
  <c r="DS52" i="1"/>
  <c r="DL49" i="1"/>
  <c r="CB52" i="1"/>
  <c r="CC52" i="1" s="1"/>
  <c r="BI131" i="1"/>
  <c r="DS50" i="1"/>
  <c r="EH44" i="1"/>
  <c r="BX53" i="1"/>
  <c r="BY54" i="1" s="1"/>
  <c r="BN136" i="1"/>
  <c r="BI114" i="1"/>
  <c r="BM44" i="1"/>
  <c r="DR56" i="1"/>
  <c r="BU172" i="1"/>
  <c r="BI128" i="1"/>
  <c r="BU166" i="1"/>
  <c r="BV167" i="1" s="1"/>
  <c r="BI95" i="1"/>
  <c r="BN44" i="1"/>
  <c r="BT178" i="1"/>
  <c r="BU173" i="1"/>
  <c r="BV174" i="1" s="1"/>
  <c r="BS63" i="1"/>
  <c r="BT64" i="1" s="1"/>
  <c r="BI97" i="1"/>
  <c r="BI99" i="1"/>
  <c r="BU181" i="1"/>
  <c r="BI102" i="1"/>
  <c r="BI106" i="1"/>
  <c r="CB49" i="1"/>
  <c r="CC50" i="1" s="1"/>
  <c r="BI52" i="1"/>
  <c r="BT170" i="1"/>
  <c r="BH82" i="1"/>
  <c r="BU176" i="1"/>
  <c r="BV177" i="1" s="1"/>
  <c r="BQ56" i="1"/>
  <c r="BR56" i="1" s="1"/>
  <c r="BO136" i="1"/>
  <c r="BU139" i="1"/>
  <c r="BV140" i="1" s="1"/>
  <c r="BU49" i="1"/>
  <c r="CW49" i="1" s="1"/>
  <c r="BI108" i="1"/>
  <c r="BV164" i="1"/>
  <c r="BT169" i="1"/>
  <c r="BI129" i="1"/>
  <c r="BI92" i="1"/>
  <c r="BI105" i="1"/>
  <c r="BI53" i="1"/>
  <c r="BT148" i="1"/>
  <c r="BT161" i="1"/>
  <c r="BI96" i="1"/>
  <c r="CB163" i="1"/>
  <c r="BH131" i="1"/>
  <c r="BU52" i="1"/>
  <c r="CW52" i="1" s="1"/>
  <c r="BL44" i="1"/>
  <c r="BT153" i="1"/>
  <c r="BT147" i="1"/>
  <c r="BT162" i="1"/>
  <c r="ED125" i="1"/>
  <c r="ED131" i="1" s="1"/>
  <c r="ED56" i="1"/>
  <c r="ED168" i="1"/>
  <c r="ED163" i="1"/>
  <c r="ED53" i="1"/>
  <c r="ED49" i="1"/>
  <c r="ED50" i="1"/>
  <c r="ED52" i="1"/>
  <c r="ED51" i="1"/>
  <c r="ES91" i="1"/>
  <c r="ES86" i="1"/>
  <c r="ES90" i="1"/>
  <c r="ES87" i="1"/>
  <c r="ES89" i="1"/>
  <c r="ES88" i="1"/>
  <c r="ES92" i="1"/>
  <c r="BT52" i="1"/>
  <c r="ES56" i="1"/>
  <c r="ES53" i="1"/>
  <c r="ES49" i="1"/>
  <c r="ES51" i="1"/>
  <c r="ES50" i="1"/>
  <c r="ES52" i="1"/>
  <c r="BT51" i="1"/>
  <c r="BR52" i="1"/>
  <c r="BV187" i="1"/>
  <c r="BV160" i="1"/>
  <c r="BV175" i="1"/>
  <c r="BV188" i="1"/>
  <c r="BV163" i="1"/>
  <c r="BV154" i="1"/>
  <c r="BV155" i="1"/>
  <c r="BV148" i="1"/>
  <c r="BV138" i="1"/>
  <c r="BV156" i="1"/>
  <c r="BV170" i="1"/>
  <c r="BT143" i="1"/>
  <c r="BT182" i="1"/>
  <c r="DP131" i="1"/>
  <c r="DL132" i="1"/>
  <c r="DP84" i="1"/>
  <c r="DP132" i="1"/>
  <c r="CQ82" i="1"/>
  <c r="BM136" i="1"/>
  <c r="BL136" i="1"/>
  <c r="DS132" i="1"/>
  <c r="DL84" i="1"/>
  <c r="DL131" i="1"/>
  <c r="DM131" i="1"/>
  <c r="DQ131" i="1"/>
  <c r="DQ84" i="1"/>
  <c r="CW51" i="1"/>
  <c r="DM132" i="1"/>
  <c r="CC51" i="1"/>
  <c r="ET51" i="1"/>
  <c r="CY50" i="1"/>
  <c r="DS84" i="1"/>
  <c r="DS131" i="1"/>
  <c r="DM84" i="1"/>
  <c r="BY51" i="1"/>
  <c r="BY50" i="1"/>
  <c r="Y34" i="2"/>
  <c r="BG33" i="1" s="1"/>
  <c r="AZ34" i="1"/>
  <c r="A35" i="2"/>
  <c r="DG34" i="1"/>
  <c r="F34" i="1"/>
  <c r="A35" i="1"/>
  <c r="B35" i="2"/>
  <c r="K35" i="2"/>
  <c r="N35" i="2"/>
  <c r="Q35" i="2"/>
  <c r="R35" i="2"/>
  <c r="M35" i="2"/>
  <c r="J35" i="2"/>
  <c r="S35" i="2"/>
  <c r="V35" i="2"/>
  <c r="D35" i="2"/>
  <c r="H35" i="2"/>
  <c r="X35" i="2"/>
  <c r="C35" i="2"/>
  <c r="U35" i="2"/>
  <c r="F35" i="2"/>
  <c r="T35" i="2"/>
  <c r="O35" i="2"/>
  <c r="I35" i="2"/>
  <c r="G35" i="2"/>
  <c r="P35" i="2"/>
  <c r="L35" i="2"/>
  <c r="W35" i="2"/>
  <c r="E35" i="2"/>
  <c r="BV162" i="1" l="1"/>
  <c r="BV178" i="1"/>
  <c r="ED132" i="1"/>
  <c r="DN132" i="1" s="1"/>
  <c r="BV143" i="1"/>
  <c r="BV183" i="1"/>
  <c r="CY56" i="1"/>
  <c r="CZ56" i="1" s="1"/>
  <c r="ED64" i="1"/>
  <c r="BV152" i="1"/>
  <c r="BV168" i="1"/>
  <c r="CM132" i="1"/>
  <c r="BV185" i="1"/>
  <c r="BV141" i="1"/>
  <c r="CA51" i="1"/>
  <c r="CY51" i="1"/>
  <c r="CZ51" i="1" s="1"/>
  <c r="BV150" i="1"/>
  <c r="BV142" i="1"/>
  <c r="BY53" i="1"/>
  <c r="CY52" i="1"/>
  <c r="CZ52" i="1" s="1"/>
  <c r="BT54" i="1"/>
  <c r="BR53" i="1"/>
  <c r="BV184" i="1"/>
  <c r="BV158" i="1"/>
  <c r="ET49" i="1"/>
  <c r="BV172" i="1"/>
  <c r="CO131" i="1"/>
  <c r="CW50" i="1"/>
  <c r="CC53" i="1"/>
  <c r="BV176" i="1"/>
  <c r="BV181" i="1"/>
  <c r="CW53" i="1"/>
  <c r="ET56" i="1"/>
  <c r="BV182" i="1"/>
  <c r="ET53" i="1"/>
  <c r="BV146" i="1"/>
  <c r="BV166" i="1"/>
  <c r="ET52" i="1"/>
  <c r="CA53" i="1"/>
  <c r="CW56" i="1"/>
  <c r="CY53" i="1"/>
  <c r="CZ54" i="1" s="1"/>
  <c r="ET50" i="1"/>
  <c r="BR51" i="1"/>
  <c r="BU136" i="1"/>
  <c r="BU191" i="1" s="1"/>
  <c r="CY49" i="1"/>
  <c r="CZ50" i="1" s="1"/>
  <c r="BV173" i="1"/>
  <c r="BV139" i="1"/>
  <c r="Y35" i="2"/>
  <c r="BG34" i="1" s="1"/>
  <c r="AZ35" i="1"/>
  <c r="A36" i="2"/>
  <c r="DG35" i="1"/>
  <c r="F35" i="1"/>
  <c r="A36" i="1"/>
  <c r="T36" i="2"/>
  <c r="D36" i="2"/>
  <c r="F36" i="2"/>
  <c r="U36" i="2"/>
  <c r="W36" i="2"/>
  <c r="N36" i="2"/>
  <c r="V36" i="2"/>
  <c r="Q36" i="2"/>
  <c r="K36" i="2"/>
  <c r="M36" i="2"/>
  <c r="H36" i="2"/>
  <c r="X36" i="2"/>
  <c r="L36" i="2"/>
  <c r="R36" i="2"/>
  <c r="O36" i="2"/>
  <c r="I36" i="2"/>
  <c r="C36" i="2"/>
  <c r="G36" i="2"/>
  <c r="P36" i="2"/>
  <c r="B36" i="2"/>
  <c r="S36" i="2"/>
  <c r="E36" i="2"/>
  <c r="J36" i="2"/>
  <c r="CZ53" i="1" l="1"/>
  <c r="BU190" i="1"/>
  <c r="Y36" i="2"/>
  <c r="BG35" i="1" s="1"/>
  <c r="AZ36" i="1"/>
  <c r="A37" i="2"/>
  <c r="DG36" i="1"/>
  <c r="F36" i="1"/>
  <c r="A37" i="1"/>
  <c r="W37" i="2"/>
  <c r="Q37" i="2"/>
  <c r="X37" i="2"/>
  <c r="E37" i="2"/>
  <c r="R37" i="2"/>
  <c r="F37" i="2"/>
  <c r="N37" i="2"/>
  <c r="T37" i="2"/>
  <c r="K37" i="2"/>
  <c r="L37" i="2"/>
  <c r="I37" i="2"/>
  <c r="D37" i="2"/>
  <c r="O37" i="2"/>
  <c r="G37" i="2"/>
  <c r="J37" i="2"/>
  <c r="P37" i="2"/>
  <c r="B37" i="2"/>
  <c r="M37" i="2"/>
  <c r="V37" i="2"/>
  <c r="S37" i="2"/>
  <c r="H37" i="2"/>
  <c r="U37" i="2"/>
  <c r="C37" i="2"/>
  <c r="Y37" i="2" l="1"/>
  <c r="BG36" i="1" s="1"/>
  <c r="AZ37" i="1"/>
  <c r="A38" i="2"/>
  <c r="DG37" i="1"/>
  <c r="F37" i="1"/>
  <c r="A38" i="1"/>
  <c r="L38" i="2"/>
  <c r="T38" i="2"/>
  <c r="E38" i="2"/>
  <c r="P38" i="2"/>
  <c r="I38" i="2"/>
  <c r="N38" i="2"/>
  <c r="U38" i="2"/>
  <c r="M38" i="2"/>
  <c r="V38" i="2"/>
  <c r="H38" i="2"/>
  <c r="X38" i="2"/>
  <c r="G38" i="2"/>
  <c r="W38" i="2"/>
  <c r="S38" i="2"/>
  <c r="O38" i="2"/>
  <c r="J38" i="2"/>
  <c r="R38" i="2"/>
  <c r="F38" i="2"/>
  <c r="Q38" i="2"/>
  <c r="C38" i="2"/>
  <c r="K38" i="2"/>
  <c r="B38" i="2"/>
  <c r="D38" i="2"/>
  <c r="Y38" i="2" l="1"/>
  <c r="BG37" i="1" s="1"/>
  <c r="AZ38" i="1"/>
  <c r="A39" i="2"/>
  <c r="DG38" i="1"/>
  <c r="F38" i="1"/>
  <c r="K39" i="2"/>
  <c r="E39" i="2"/>
  <c r="U39" i="2"/>
  <c r="I39" i="2"/>
  <c r="W39" i="2"/>
  <c r="B39" i="2"/>
  <c r="F39" i="2"/>
  <c r="T39" i="2"/>
  <c r="M39" i="2"/>
  <c r="Q39" i="2"/>
  <c r="V39" i="2"/>
  <c r="C39" i="2"/>
  <c r="L39" i="2"/>
  <c r="D39" i="2"/>
  <c r="H39" i="2"/>
  <c r="G39" i="2"/>
  <c r="J39" i="2"/>
  <c r="P39" i="2"/>
  <c r="O39" i="2"/>
  <c r="R39" i="2"/>
  <c r="S39" i="2"/>
  <c r="N39" i="2"/>
  <c r="X39" i="2"/>
  <c r="Y39" i="2" l="1"/>
  <c r="BG38" i="1" s="1"/>
  <c r="DH137" i="1"/>
  <c r="DT137" i="1"/>
  <c r="DN137" i="1"/>
  <c r="DJ137" i="1"/>
  <c r="DV137" i="1" l="1"/>
  <c r="B188" i="1"/>
  <c r="AY178" i="1"/>
  <c r="B178" i="1"/>
  <c r="E178" i="1" s="1"/>
  <c r="AY182" i="1"/>
  <c r="B182" i="1"/>
  <c r="E182" i="1" s="1"/>
  <c r="AY162" i="1"/>
  <c r="B162" i="1"/>
  <c r="E162" i="1" s="1"/>
  <c r="CK162" i="1"/>
  <c r="CP162" i="1" s="1"/>
  <c r="AY151" i="1"/>
  <c r="B151" i="1"/>
  <c r="E151" i="1" s="1"/>
  <c r="B187" i="1"/>
  <c r="E187" i="1" s="1"/>
  <c r="AY187" i="1"/>
  <c r="B137" i="1"/>
  <c r="AS136" i="1"/>
  <c r="B184" i="1"/>
  <c r="E184" i="1" s="1"/>
  <c r="AY184" i="1"/>
  <c r="AY140" i="1"/>
  <c r="B140" i="1"/>
  <c r="E140" i="1" s="1"/>
  <c r="B139" i="1"/>
  <c r="AY155" i="1"/>
  <c r="B155" i="1"/>
  <c r="E155" i="1" s="1"/>
  <c r="AY173" i="1"/>
  <c r="B173" i="1"/>
  <c r="E173" i="1" s="1"/>
  <c r="AY147" i="1"/>
  <c r="B147" i="1"/>
  <c r="E147" i="1" s="1"/>
  <c r="B148" i="1"/>
  <c r="E148" i="1" s="1"/>
  <c r="AY148" i="1"/>
  <c r="AY161" i="1"/>
  <c r="B161" i="1"/>
  <c r="E161" i="1" s="1"/>
  <c r="CK161" i="1"/>
  <c r="CP161" i="1" s="1"/>
  <c r="B159" i="1"/>
  <c r="E159" i="1" s="1"/>
  <c r="AY159" i="1"/>
  <c r="B167" i="1"/>
  <c r="E167" i="1" s="1"/>
  <c r="AY167" i="1"/>
  <c r="AY141" i="1"/>
  <c r="B141" i="1"/>
  <c r="E141" i="1" s="1"/>
  <c r="B176" i="1"/>
  <c r="E176" i="1" s="1"/>
  <c r="AY176" i="1"/>
  <c r="AY160" i="1"/>
  <c r="B160" i="1"/>
  <c r="E160" i="1" s="1"/>
  <c r="B170" i="1"/>
  <c r="E170" i="1" s="1"/>
  <c r="AY170" i="1"/>
  <c r="B186" i="1"/>
  <c r="E186" i="1" s="1"/>
  <c r="AY186" i="1"/>
  <c r="B174" i="1"/>
  <c r="E174" i="1" s="1"/>
  <c r="AY174" i="1"/>
  <c r="B164" i="1"/>
  <c r="E164" i="1" s="1"/>
  <c r="AY164" i="1"/>
  <c r="CK164" i="1"/>
  <c r="CP164" i="1" s="1"/>
  <c r="AY166" i="1"/>
  <c r="B166" i="1"/>
  <c r="E166" i="1" s="1"/>
  <c r="B185" i="1"/>
  <c r="E185" i="1" s="1"/>
  <c r="AY185" i="1"/>
  <c r="AY183" i="1"/>
  <c r="B183" i="1"/>
  <c r="E183" i="1" s="1"/>
  <c r="AY143" i="1"/>
  <c r="B143" i="1"/>
  <c r="E143" i="1" s="1"/>
  <c r="B157" i="1"/>
  <c r="E157" i="1" s="1"/>
  <c r="AY157" i="1"/>
  <c r="AY149" i="1"/>
  <c r="B149" i="1"/>
  <c r="E149" i="1" s="1"/>
  <c r="AT136" i="1"/>
  <c r="B177" i="1"/>
  <c r="E177" i="1" s="1"/>
  <c r="AY177" i="1"/>
  <c r="AY150" i="1"/>
  <c r="B150" i="1"/>
  <c r="E150" i="1" s="1"/>
  <c r="AY153" i="1"/>
  <c r="B153" i="1"/>
  <c r="E153" i="1" s="1"/>
  <c r="B138" i="1"/>
  <c r="B144" i="1"/>
  <c r="E144" i="1" s="1"/>
  <c r="AY144" i="1"/>
  <c r="B145" i="1"/>
  <c r="E145" i="1" s="1"/>
  <c r="AY145" i="1"/>
  <c r="B152" i="1"/>
  <c r="E152" i="1" s="1"/>
  <c r="AY152" i="1"/>
  <c r="B171" i="1"/>
  <c r="E171" i="1" s="1"/>
  <c r="AY171" i="1"/>
  <c r="AY165" i="1"/>
  <c r="CK165" i="1"/>
  <c r="CP165" i="1" s="1"/>
  <c r="B165" i="1"/>
  <c r="E165" i="1" s="1"/>
  <c r="AY154" i="1"/>
  <c r="B154" i="1"/>
  <c r="E154" i="1" s="1"/>
  <c r="B181" i="1"/>
  <c r="E181" i="1" s="1"/>
  <c r="AY181" i="1"/>
  <c r="B175" i="1"/>
  <c r="E175" i="1" s="1"/>
  <c r="AY175" i="1"/>
  <c r="AY158" i="1"/>
  <c r="B158" i="1"/>
  <c r="E158" i="1" s="1"/>
  <c r="B156" i="1"/>
  <c r="E156" i="1" s="1"/>
  <c r="AY156" i="1"/>
  <c r="B179" i="1"/>
  <c r="E179" i="1" s="1"/>
  <c r="AY179" i="1"/>
  <c r="B142" i="1"/>
  <c r="E142" i="1" s="1"/>
  <c r="AY142" i="1"/>
  <c r="AY169" i="1"/>
  <c r="B169" i="1"/>
  <c r="E169" i="1" s="1"/>
  <c r="B189" i="1"/>
  <c r="AY172" i="1"/>
  <c r="B172" i="1"/>
  <c r="E172" i="1" s="1"/>
  <c r="B146" i="1"/>
  <c r="E146" i="1" s="1"/>
  <c r="AY146" i="1"/>
  <c r="AY180" i="1"/>
  <c r="B180" i="1"/>
  <c r="E180" i="1" s="1"/>
  <c r="B136" i="1" l="1"/>
  <c r="DN131" i="1" l="1"/>
  <c r="EL166" i="1"/>
  <c r="EL165" i="1"/>
  <c r="CG157" i="1"/>
  <c r="BD157" i="1"/>
  <c r="BD154" i="1"/>
  <c r="BC180" i="1"/>
  <c r="BE156" i="1"/>
  <c r="BF174" i="1"/>
  <c r="BE154" i="1"/>
  <c r="BF175" i="1"/>
  <c r="BA164" i="1"/>
  <c r="BD155" i="1"/>
  <c r="BF169" i="1"/>
  <c r="BE159" i="1"/>
  <c r="EL168" i="1"/>
  <c r="BE153" i="1"/>
  <c r="CF179" i="1"/>
  <c r="BD156" i="1"/>
  <c r="CF184" i="1"/>
  <c r="EL160" i="1"/>
  <c r="BF170" i="1"/>
  <c r="BA167" i="1"/>
  <c r="CG152" i="1"/>
  <c r="BC179" i="1"/>
  <c r="BD150" i="1"/>
  <c r="BF173" i="1"/>
  <c r="EL164" i="1"/>
  <c r="EL167" i="1"/>
  <c r="EL159" i="1"/>
  <c r="BA166" i="1"/>
  <c r="CG154" i="1"/>
  <c r="CG150" i="1"/>
  <c r="CG149" i="1"/>
  <c r="CF181" i="1"/>
  <c r="CG155" i="1"/>
  <c r="BD152" i="1"/>
  <c r="CG156" i="1"/>
  <c r="BD149" i="1"/>
  <c r="CF182" i="1"/>
  <c r="EL163" i="1"/>
  <c r="CF180" i="1"/>
  <c r="BE155" i="1"/>
  <c r="BF176" i="1"/>
  <c r="BD153" i="1"/>
  <c r="BD151" i="1"/>
  <c r="BE157" i="1"/>
  <c r="CG153" i="1"/>
  <c r="BF171" i="1"/>
  <c r="BE160" i="1"/>
  <c r="BA165" i="1"/>
  <c r="BA162" i="1"/>
  <c r="EL161" i="1"/>
  <c r="BA161" i="1"/>
  <c r="BE158" i="1"/>
  <c r="CG151" i="1"/>
  <c r="CF183" i="1"/>
  <c r="EL162" i="1"/>
  <c r="EE165" i="1" l="1"/>
  <c r="DX165" i="1" s="1"/>
  <c r="BJ165" i="1" s="1"/>
  <c r="EE168" i="1"/>
  <c r="DX168" i="1" s="1"/>
  <c r="BJ168" i="1" s="1"/>
  <c r="EE167" i="1"/>
  <c r="DX167" i="1" s="1"/>
  <c r="BJ167" i="1" s="1"/>
  <c r="DJ166" i="1"/>
  <c r="DH166" i="1"/>
  <c r="DT166" i="1"/>
  <c r="DN166" i="1"/>
  <c r="DN165" i="1"/>
  <c r="DJ165" i="1"/>
  <c r="DH165" i="1"/>
  <c r="DT165" i="1"/>
  <c r="EE163" i="1"/>
  <c r="DX163" i="1" s="1"/>
  <c r="BJ163" i="1" s="1"/>
  <c r="DN167" i="1"/>
  <c r="DH167" i="1"/>
  <c r="DT167" i="1"/>
  <c r="DJ167" i="1"/>
  <c r="EE159" i="1"/>
  <c r="DX159" i="1" s="1"/>
  <c r="BJ159" i="1" s="1"/>
  <c r="DH162" i="1"/>
  <c r="DJ162" i="1"/>
  <c r="DN162" i="1"/>
  <c r="DT162" i="1"/>
  <c r="DJ161" i="1"/>
  <c r="DT161" i="1"/>
  <c r="DN161" i="1"/>
  <c r="DH161" i="1"/>
  <c r="EE166" i="1"/>
  <c r="DX166" i="1" s="1"/>
  <c r="BJ166" i="1" s="1"/>
  <c r="EE164" i="1"/>
  <c r="DX164" i="1" s="1"/>
  <c r="BJ164" i="1" s="1"/>
  <c r="DJ164" i="1"/>
  <c r="DT164" i="1"/>
  <c r="DN164" i="1"/>
  <c r="DH164" i="1"/>
  <c r="EE160" i="1"/>
  <c r="DX160" i="1" s="1"/>
  <c r="BJ160" i="1" s="1"/>
  <c r="EE161" i="1"/>
  <c r="DX161" i="1" s="1"/>
  <c r="BJ161" i="1" s="1"/>
  <c r="EE162" i="1"/>
  <c r="DX162" i="1" s="1"/>
  <c r="BJ162" i="1" s="1"/>
  <c r="BF151" i="1"/>
  <c r="BF152" i="1"/>
  <c r="EL143" i="1"/>
  <c r="BE150" i="1"/>
  <c r="EM143" i="1"/>
  <c r="EM181" i="1"/>
  <c r="BE170" i="1"/>
  <c r="EL181" i="1"/>
  <c r="BF167" i="1"/>
  <c r="EM179" i="1"/>
  <c r="BE171" i="1"/>
  <c r="BE165" i="1"/>
  <c r="BE149" i="1"/>
  <c r="BE151" i="1"/>
  <c r="BE152" i="1"/>
  <c r="EM178" i="1"/>
  <c r="EL142" i="1"/>
  <c r="EL182" i="1"/>
  <c r="BF165" i="1"/>
  <c r="EM137" i="1"/>
  <c r="EM182" i="1"/>
  <c r="EL140" i="1"/>
  <c r="EM144" i="1"/>
  <c r="BE173" i="1"/>
  <c r="BE174" i="1"/>
  <c r="BE175" i="1"/>
  <c r="EM142" i="1"/>
  <c r="EL144" i="1"/>
  <c r="BE162" i="1"/>
  <c r="BF161" i="1"/>
  <c r="EM180" i="1"/>
  <c r="EL184" i="1"/>
  <c r="BE189" i="1"/>
  <c r="EM141" i="1"/>
  <c r="EM183" i="1"/>
  <c r="EM177" i="1"/>
  <c r="EL177" i="1"/>
  <c r="BE176" i="1"/>
  <c r="BF172" i="1"/>
  <c r="EL178" i="1"/>
  <c r="EM138" i="1"/>
  <c r="EL138" i="1"/>
  <c r="BF150" i="1"/>
  <c r="BE172" i="1"/>
  <c r="EL183" i="1"/>
  <c r="BF149" i="1"/>
  <c r="EL137" i="1"/>
  <c r="BE169" i="1"/>
  <c r="BE164" i="1"/>
  <c r="EL141" i="1"/>
  <c r="EL179" i="1"/>
  <c r="BE161" i="1"/>
  <c r="BF166" i="1"/>
  <c r="BE166" i="1"/>
  <c r="BE167" i="1"/>
  <c r="EM184" i="1"/>
  <c r="EL139" i="1"/>
  <c r="EM140" i="1"/>
  <c r="BF162" i="1"/>
  <c r="BF189" i="1"/>
  <c r="BF164" i="1"/>
  <c r="EM139" i="1"/>
  <c r="EL180" i="1"/>
  <c r="EE138" i="1" l="1"/>
  <c r="DX138" i="1" s="1"/>
  <c r="BJ138" i="1" s="1"/>
  <c r="CU165" i="1"/>
  <c r="CB165" i="1"/>
  <c r="CB162" i="1"/>
  <c r="CC163" i="1" s="1"/>
  <c r="CU162" i="1"/>
  <c r="EE144" i="1"/>
  <c r="DX144" i="1" s="1"/>
  <c r="BJ144" i="1" s="1"/>
  <c r="EE137" i="1"/>
  <c r="DX137" i="1" s="1"/>
  <c r="BJ137" i="1" s="1"/>
  <c r="EE181" i="1"/>
  <c r="DX181" i="1" s="1"/>
  <c r="BJ181" i="1" s="1"/>
  <c r="CB170" i="1"/>
  <c r="CU170" i="1"/>
  <c r="CU161" i="1"/>
  <c r="CB161" i="1"/>
  <c r="EE182" i="1"/>
  <c r="DX182" i="1" s="1"/>
  <c r="BJ182" i="1" s="1"/>
  <c r="EF180" i="1"/>
  <c r="DY180" i="1" s="1"/>
  <c r="BK180" i="1" s="1"/>
  <c r="EF138" i="1"/>
  <c r="DY138" i="1" s="1"/>
  <c r="BK138" i="1" s="1"/>
  <c r="EF141" i="1"/>
  <c r="DY141" i="1" s="1"/>
  <c r="BK141" i="1" s="1"/>
  <c r="EF144" i="1"/>
  <c r="DY144" i="1" s="1"/>
  <c r="BK144" i="1" s="1"/>
  <c r="EF139" i="1"/>
  <c r="DY139" i="1" s="1"/>
  <c r="BK139" i="1" s="1"/>
  <c r="CB176" i="1"/>
  <c r="CU176" i="1"/>
  <c r="CU169" i="1"/>
  <c r="CB169" i="1"/>
  <c r="CC169" i="1" s="1"/>
  <c r="CB172" i="1"/>
  <c r="CU172" i="1"/>
  <c r="CU164" i="1"/>
  <c r="CB164" i="1"/>
  <c r="EE143" i="1"/>
  <c r="DX143" i="1" s="1"/>
  <c r="BJ143" i="1" s="1"/>
  <c r="CU166" i="1"/>
  <c r="CB166" i="1"/>
  <c r="EF137" i="1"/>
  <c r="EF142" i="1"/>
  <c r="DY142" i="1" s="1"/>
  <c r="BK142" i="1" s="1"/>
  <c r="CU150" i="1"/>
  <c r="CB150" i="1"/>
  <c r="EF177" i="1"/>
  <c r="DY177" i="1" s="1"/>
  <c r="BK177" i="1" s="1"/>
  <c r="CU189" i="1"/>
  <c r="CB189" i="1"/>
  <c r="CU149" i="1"/>
  <c r="CB149" i="1"/>
  <c r="EF143" i="1"/>
  <c r="DY143" i="1" s="1"/>
  <c r="BK143" i="1" s="1"/>
  <c r="EE184" i="1"/>
  <c r="DX184" i="1" s="1"/>
  <c r="BJ184" i="1" s="1"/>
  <c r="EF182" i="1"/>
  <c r="DY182" i="1" s="1"/>
  <c r="BK182" i="1" s="1"/>
  <c r="EF181" i="1"/>
  <c r="DY181" i="1" s="1"/>
  <c r="BK181" i="1" s="1"/>
  <c r="EF179" i="1"/>
  <c r="DY179" i="1" s="1"/>
  <c r="BK179" i="1" s="1"/>
  <c r="EF140" i="1"/>
  <c r="DY140" i="1" s="1"/>
  <c r="BK140" i="1" s="1"/>
  <c r="EE180" i="1"/>
  <c r="DX180" i="1" s="1"/>
  <c r="BJ180" i="1" s="1"/>
  <c r="EE179" i="1"/>
  <c r="DX179" i="1" s="1"/>
  <c r="BJ179" i="1" s="1"/>
  <c r="CU151" i="1"/>
  <c r="CB151" i="1"/>
  <c r="EF184" i="1"/>
  <c r="DY184" i="1" s="1"/>
  <c r="BK184" i="1" s="1"/>
  <c r="CB174" i="1"/>
  <c r="CU174" i="1"/>
  <c r="CU171" i="1"/>
  <c r="CB171" i="1"/>
  <c r="EE142" i="1"/>
  <c r="DX142" i="1" s="1"/>
  <c r="BJ142" i="1" s="1"/>
  <c r="EE183" i="1"/>
  <c r="DX183" i="1" s="1"/>
  <c r="BJ183" i="1" s="1"/>
  <c r="EE139" i="1"/>
  <c r="DX139" i="1" s="1"/>
  <c r="BJ139" i="1" s="1"/>
  <c r="EE141" i="1"/>
  <c r="DX141" i="1" s="1"/>
  <c r="BJ141" i="1" s="1"/>
  <c r="EE140" i="1"/>
  <c r="DX140" i="1" s="1"/>
  <c r="BJ140" i="1" s="1"/>
  <c r="CU175" i="1"/>
  <c r="CB175" i="1"/>
  <c r="CU173" i="1"/>
  <c r="CB173" i="1"/>
  <c r="CU167" i="1"/>
  <c r="CB167" i="1"/>
  <c r="CC168" i="1" s="1"/>
  <c r="EE178" i="1"/>
  <c r="DX178" i="1" s="1"/>
  <c r="BJ178" i="1" s="1"/>
  <c r="EE177" i="1"/>
  <c r="DX177" i="1" s="1"/>
  <c r="BJ177" i="1" s="1"/>
  <c r="CB152" i="1"/>
  <c r="CU152" i="1"/>
  <c r="EF183" i="1"/>
  <c r="DY183" i="1" s="1"/>
  <c r="BK183" i="1" s="1"/>
  <c r="EF178" i="1"/>
  <c r="DY178" i="1" s="1"/>
  <c r="BK178" i="1" s="1"/>
  <c r="DV164" i="1"/>
  <c r="DV165" i="1"/>
  <c r="DV166" i="1"/>
  <c r="DV161" i="1"/>
  <c r="DV167" i="1"/>
  <c r="DV162" i="1"/>
  <c r="BQ140" i="1" l="1"/>
  <c r="CC175" i="1"/>
  <c r="CC171" i="1"/>
  <c r="BQ177" i="1"/>
  <c r="BQ138" i="1"/>
  <c r="CC166" i="1"/>
  <c r="CC152" i="1"/>
  <c r="CC150" i="1"/>
  <c r="CC170" i="1"/>
  <c r="BQ139" i="1"/>
  <c r="BQ141" i="1"/>
  <c r="BQ184" i="1"/>
  <c r="CC162" i="1"/>
  <c r="BQ179" i="1"/>
  <c r="CC172" i="1"/>
  <c r="BQ144" i="1"/>
  <c r="DY137" i="1"/>
  <c r="BK137" i="1" s="1"/>
  <c r="CC174" i="1"/>
  <c r="BQ182" i="1"/>
  <c r="CC176" i="1"/>
  <c r="BQ181" i="1"/>
  <c r="BQ142" i="1"/>
  <c r="CC151" i="1"/>
  <c r="BQ143" i="1"/>
  <c r="CC164" i="1"/>
  <c r="CC165" i="1"/>
  <c r="CC167" i="1"/>
  <c r="CC173" i="1"/>
  <c r="BQ183" i="1"/>
  <c r="BQ180" i="1"/>
  <c r="BQ178" i="1"/>
  <c r="CW183" i="1" l="1"/>
  <c r="BR183" i="1"/>
  <c r="CW143" i="1"/>
  <c r="BR143" i="1"/>
  <c r="CW144" i="1"/>
  <c r="BR144" i="1"/>
  <c r="CW184" i="1"/>
  <c r="BR184" i="1"/>
  <c r="CW177" i="1"/>
  <c r="CW178" i="1"/>
  <c r="BR178" i="1"/>
  <c r="CW182" i="1"/>
  <c r="BR182" i="1"/>
  <c r="CW141" i="1"/>
  <c r="BR141" i="1"/>
  <c r="CW181" i="1"/>
  <c r="BR181" i="1"/>
  <c r="CW180" i="1"/>
  <c r="BR180" i="1"/>
  <c r="CW142" i="1"/>
  <c r="BR142" i="1"/>
  <c r="CW179" i="1"/>
  <c r="BR179" i="1"/>
  <c r="BR139" i="1"/>
  <c r="CW140" i="1"/>
  <c r="BR140" i="1"/>
  <c r="BQ137" i="1"/>
  <c r="BR138" i="1" s="1"/>
  <c r="DJ72" i="1" l="1"/>
  <c r="DK165" i="1"/>
  <c r="DQ165" i="1" s="1"/>
  <c r="DJ160" i="1"/>
  <c r="DK151" i="1"/>
  <c r="DJ78" i="1"/>
  <c r="DK166" i="1"/>
  <c r="DM166" i="1" s="1"/>
  <c r="ET183" i="1"/>
  <c r="ET182" i="1"/>
  <c r="ET179" i="1"/>
  <c r="ET142" i="1"/>
  <c r="ET178" i="1"/>
  <c r="ET143" i="1"/>
  <c r="ET140" i="1"/>
  <c r="ET181" i="1"/>
  <c r="ET144" i="1"/>
  <c r="ET141" i="1"/>
  <c r="ET177" i="1"/>
  <c r="ET180" i="1"/>
  <c r="ET184" i="1"/>
  <c r="CG160" i="1"/>
  <c r="EN103" i="1"/>
  <c r="EL116" i="1"/>
  <c r="BF154" i="1"/>
  <c r="EL172" i="1"/>
  <c r="BE178" i="1"/>
  <c r="EL109" i="1"/>
  <c r="CE155" i="1"/>
  <c r="EL129" i="1"/>
  <c r="BB78" i="1"/>
  <c r="EM154" i="1"/>
  <c r="AT62" i="1"/>
  <c r="BB60" i="1"/>
  <c r="BE138" i="1"/>
  <c r="EN112" i="1"/>
  <c r="AT77" i="1"/>
  <c r="CE76" i="1"/>
  <c r="EL120" i="1"/>
  <c r="EL125" i="1"/>
  <c r="AT57" i="1"/>
  <c r="EM155" i="1"/>
  <c r="BB62" i="1"/>
  <c r="EM74" i="1"/>
  <c r="CD171" i="1"/>
  <c r="EL123" i="1"/>
  <c r="BB70" i="1"/>
  <c r="CH174" i="1"/>
  <c r="CH178" i="1"/>
  <c r="BD158" i="1"/>
  <c r="CI153" i="1"/>
  <c r="EN97" i="1"/>
  <c r="EL115" i="1"/>
  <c r="AT48" i="1"/>
  <c r="EM79" i="1"/>
  <c r="EL174" i="1"/>
  <c r="EM87" i="1"/>
  <c r="BB71" i="1"/>
  <c r="EM64" i="1"/>
  <c r="BF188" i="1"/>
  <c r="EN96" i="1"/>
  <c r="BE179" i="1"/>
  <c r="BD160" i="1"/>
  <c r="CI189" i="1"/>
  <c r="EN102" i="1"/>
  <c r="BA171" i="1"/>
  <c r="AT78" i="1"/>
  <c r="AT58" i="1"/>
  <c r="EL170" i="1"/>
  <c r="CE60" i="1"/>
  <c r="BB48" i="1"/>
  <c r="CE73" i="1"/>
  <c r="BF62" i="1"/>
  <c r="EN25" i="1"/>
  <c r="BF23" i="1"/>
  <c r="BD18" i="1"/>
  <c r="AV19" i="1"/>
  <c r="AW38" i="1"/>
  <c r="BD74" i="1"/>
  <c r="BD62" i="1"/>
  <c r="CG182" i="1"/>
  <c r="BD21" i="1"/>
  <c r="CH184" i="1"/>
  <c r="AX38" i="1"/>
  <c r="BD24" i="1"/>
  <c r="CH36" i="1"/>
  <c r="BC173" i="1"/>
  <c r="AW27" i="1"/>
  <c r="EQ104" i="1"/>
  <c r="CG32" i="1"/>
  <c r="CI182" i="1"/>
  <c r="BC29" i="1"/>
  <c r="CI24" i="1"/>
  <c r="AW71" i="1"/>
  <c r="EO22" i="1"/>
  <c r="CG4" i="1"/>
  <c r="AV9" i="1"/>
  <c r="CH13" i="1"/>
  <c r="EO108" i="1"/>
  <c r="BF33" i="1"/>
  <c r="EN30" i="1"/>
  <c r="CF178" i="1"/>
  <c r="CG144" i="1"/>
  <c r="BC72" i="1"/>
  <c r="CF141" i="1"/>
  <c r="AW58" i="1"/>
  <c r="BE25" i="1"/>
  <c r="BF19" i="1"/>
  <c r="EQ8" i="1"/>
  <c r="BC26" i="1"/>
  <c r="BD146" i="1"/>
  <c r="CI139" i="1"/>
  <c r="CG148" i="1"/>
  <c r="CF23" i="1"/>
  <c r="BC46" i="1"/>
  <c r="AV31" i="1"/>
  <c r="BD72" i="1"/>
  <c r="CI176" i="1"/>
  <c r="BF160" i="1"/>
  <c r="AX47" i="1"/>
  <c r="BF25" i="1"/>
  <c r="CG58" i="1"/>
  <c r="EP124" i="1"/>
  <c r="EO12" i="1"/>
  <c r="CI138" i="1"/>
  <c r="EO87" i="1"/>
  <c r="BD61" i="1"/>
  <c r="EP12" i="1"/>
  <c r="CG17" i="1"/>
  <c r="BE7" i="1"/>
  <c r="AV15" i="1"/>
  <c r="EQ27" i="1"/>
  <c r="BF34" i="1"/>
  <c r="EQ92" i="1"/>
  <c r="CG173" i="1"/>
  <c r="AX11" i="1"/>
  <c r="CF189" i="1"/>
  <c r="EN33" i="1"/>
  <c r="EO117" i="1"/>
  <c r="BF63" i="1"/>
  <c r="EQ25" i="1"/>
  <c r="CF76" i="1"/>
  <c r="CF160" i="1"/>
  <c r="CF47" i="1"/>
  <c r="CG142" i="1"/>
  <c r="EP35" i="1"/>
  <c r="CG75" i="1"/>
  <c r="BD175" i="1"/>
  <c r="EO92" i="1"/>
  <c r="AU13" i="1"/>
  <c r="AW29" i="1"/>
  <c r="EN35" i="1"/>
  <c r="CG146" i="1"/>
  <c r="BE6" i="1"/>
  <c r="EQ12" i="1"/>
  <c r="CG60" i="1"/>
  <c r="AV17" i="1"/>
  <c r="EO126" i="1"/>
  <c r="CF30" i="1"/>
  <c r="CI34" i="1"/>
  <c r="EN37" i="1"/>
  <c r="BC57" i="1"/>
  <c r="BE34" i="1"/>
  <c r="EO116" i="1"/>
  <c r="BE21" i="1"/>
  <c r="CH155" i="1"/>
  <c r="BD180" i="1"/>
  <c r="EO29" i="1"/>
  <c r="BE76" i="1"/>
  <c r="BF76" i="1"/>
  <c r="BE12" i="1"/>
  <c r="CF166" i="1"/>
  <c r="CI6" i="1"/>
  <c r="CI144" i="1"/>
  <c r="CF148" i="1"/>
  <c r="CF144" i="1"/>
  <c r="EO18" i="1"/>
  <c r="EQ26" i="1"/>
  <c r="BD59" i="1"/>
  <c r="BE183" i="1"/>
  <c r="AV62" i="1"/>
  <c r="EO6" i="1"/>
  <c r="CG12" i="1"/>
  <c r="CH23" i="1"/>
  <c r="CI32" i="1"/>
  <c r="EN22" i="1"/>
  <c r="BC167" i="1"/>
  <c r="EQ14" i="1"/>
  <c r="EO94" i="1"/>
  <c r="CI31" i="1"/>
  <c r="CH16" i="1"/>
  <c r="BC71" i="1"/>
  <c r="BC60" i="1"/>
  <c r="CG10" i="1"/>
  <c r="BD37" i="1"/>
  <c r="EQ118" i="1"/>
  <c r="BC158" i="1"/>
  <c r="CF25" i="1"/>
  <c r="CH6" i="1"/>
  <c r="EO113" i="1"/>
  <c r="CG183" i="1"/>
  <c r="CF4" i="1"/>
  <c r="CH25" i="1"/>
  <c r="BC157" i="1"/>
  <c r="EO31" i="1"/>
  <c r="CG172" i="1"/>
  <c r="CF156" i="1"/>
  <c r="EQ125" i="1"/>
  <c r="EP130" i="1"/>
  <c r="EP94" i="1"/>
  <c r="BE79" i="1"/>
  <c r="BE140" i="1"/>
  <c r="BF183" i="1"/>
  <c r="CE173" i="1"/>
  <c r="EL64" i="1"/>
  <c r="AS18" i="1"/>
  <c r="EN11" i="1"/>
  <c r="AU38" i="1"/>
  <c r="CH12" i="1"/>
  <c r="BF72" i="1"/>
  <c r="CH142" i="1"/>
  <c r="AV21" i="1"/>
  <c r="BD184" i="1"/>
  <c r="EP34" i="1"/>
  <c r="EN34" i="1"/>
  <c r="BD28" i="1"/>
  <c r="CG29" i="1"/>
  <c r="CH186" i="1"/>
  <c r="EL30" i="1"/>
  <c r="BB175" i="1"/>
  <c r="DC4" i="1"/>
  <c r="BF20" i="1"/>
  <c r="CG38" i="1"/>
  <c r="AU37" i="1"/>
  <c r="CH8" i="1"/>
  <c r="CH147" i="1"/>
  <c r="CG15" i="1"/>
  <c r="BD58" i="1"/>
  <c r="AV11" i="1"/>
  <c r="AU23" i="1"/>
  <c r="AU75" i="1"/>
  <c r="AU4" i="1"/>
  <c r="EO9" i="1"/>
  <c r="BE74" i="1"/>
  <c r="BB165" i="1"/>
  <c r="AS32" i="1"/>
  <c r="CD38" i="1"/>
  <c r="EN126" i="1"/>
  <c r="AW11" i="1"/>
  <c r="BC186" i="1"/>
  <c r="EP15" i="1"/>
  <c r="AU46" i="1"/>
  <c r="BD31" i="1"/>
  <c r="CH4" i="1"/>
  <c r="BC155" i="1"/>
  <c r="CH58" i="1"/>
  <c r="BF60" i="1"/>
  <c r="EQ21" i="1"/>
  <c r="BA76" i="1"/>
  <c r="CE46" i="1"/>
  <c r="BA78" i="1"/>
  <c r="AS25" i="1"/>
  <c r="DC29" i="1"/>
  <c r="EL152" i="1"/>
  <c r="EM106" i="1"/>
  <c r="BA187" i="1"/>
  <c r="CE30" i="1"/>
  <c r="BD167" i="1"/>
  <c r="BD161" i="1"/>
  <c r="BA169" i="1"/>
  <c r="BA143" i="1"/>
  <c r="CE48" i="1"/>
  <c r="CD143" i="1"/>
  <c r="EM78" i="1"/>
  <c r="CE77" i="1"/>
  <c r="BB59" i="1"/>
  <c r="EM73" i="1"/>
  <c r="BB75" i="1"/>
  <c r="EL108" i="1"/>
  <c r="BB148" i="1"/>
  <c r="CH137" i="1"/>
  <c r="EN94" i="1"/>
  <c r="BD165" i="1"/>
  <c r="AT76" i="1"/>
  <c r="CH175" i="1"/>
  <c r="EL173" i="1"/>
  <c r="EM70" i="1"/>
  <c r="EL169" i="1"/>
  <c r="CE154" i="1"/>
  <c r="EM92" i="1"/>
  <c r="CE74" i="1"/>
  <c r="EL122" i="1"/>
  <c r="CI152" i="1"/>
  <c r="EN106" i="1"/>
  <c r="CI148" i="1"/>
  <c r="EN109" i="1"/>
  <c r="CI188" i="1"/>
  <c r="EN98" i="1"/>
  <c r="EM72" i="1"/>
  <c r="EM63" i="1"/>
  <c r="EL128" i="1"/>
  <c r="AT59" i="1"/>
  <c r="CE79" i="1"/>
  <c r="AT74" i="1"/>
  <c r="CD183" i="1"/>
  <c r="EN93" i="1"/>
  <c r="CH172" i="1"/>
  <c r="BB76" i="1"/>
  <c r="BD166" i="1"/>
  <c r="BA182" i="1"/>
  <c r="EL118" i="1"/>
  <c r="EL111" i="1"/>
  <c r="EL124" i="1"/>
  <c r="BA170" i="1"/>
  <c r="CE75" i="1"/>
  <c r="BB79" i="1"/>
  <c r="CE72" i="1"/>
  <c r="EL110" i="1"/>
  <c r="EO7" i="1"/>
  <c r="CG138" i="1"/>
  <c r="BE78" i="1"/>
  <c r="AV35" i="1"/>
  <c r="CH157" i="1"/>
  <c r="BC28" i="1"/>
  <c r="CH75" i="1"/>
  <c r="AV22" i="1"/>
  <c r="BF159" i="1"/>
  <c r="AW70" i="1"/>
  <c r="EN116" i="1"/>
  <c r="BF157" i="1"/>
  <c r="EO5" i="1"/>
  <c r="CG177" i="1"/>
  <c r="BF186" i="1"/>
  <c r="BD73" i="1"/>
  <c r="AU73" i="1"/>
  <c r="CI77" i="1"/>
  <c r="BD143" i="1"/>
  <c r="EO19" i="1"/>
  <c r="EN16" i="1"/>
  <c r="BE148" i="1"/>
  <c r="EQ112" i="1"/>
  <c r="AU62" i="1"/>
  <c r="BF37" i="1"/>
  <c r="CH47" i="1"/>
  <c r="EO17" i="1"/>
  <c r="EQ37" i="1"/>
  <c r="EO11" i="1"/>
  <c r="EO89" i="1"/>
  <c r="CI185" i="1"/>
  <c r="BC151" i="1"/>
  <c r="AW72" i="1"/>
  <c r="BF144" i="1"/>
  <c r="CF145" i="1"/>
  <c r="BF35" i="1"/>
  <c r="CG185" i="1"/>
  <c r="EN4" i="1"/>
  <c r="BD29" i="1"/>
  <c r="AX75" i="1"/>
  <c r="AU17" i="1"/>
  <c r="AX48" i="1"/>
  <c r="EN36" i="1"/>
  <c r="BD173" i="1"/>
  <c r="BE38" i="1"/>
  <c r="CF169" i="1"/>
  <c r="CH22" i="1"/>
  <c r="EO93" i="1"/>
  <c r="EO10" i="1"/>
  <c r="EN19" i="1"/>
  <c r="BD12" i="1"/>
  <c r="BE63" i="1"/>
  <c r="EP33" i="1"/>
  <c r="BE70" i="1"/>
  <c r="AV139" i="1"/>
  <c r="BD76" i="1"/>
  <c r="EN21" i="1"/>
  <c r="BF24" i="1"/>
  <c r="AX8" i="1"/>
  <c r="BC176" i="1"/>
  <c r="EP117" i="1"/>
  <c r="CF35" i="1"/>
  <c r="CI181" i="1"/>
  <c r="BF29" i="1"/>
  <c r="BC62" i="1"/>
  <c r="EN7" i="1"/>
  <c r="BD10" i="1"/>
  <c r="CH35" i="1"/>
  <c r="CH188" i="1"/>
  <c r="BF38" i="1"/>
  <c r="EO95" i="1"/>
  <c r="AW17" i="1"/>
  <c r="BE13" i="1"/>
  <c r="EN14" i="1"/>
  <c r="BE5" i="1"/>
  <c r="CF38" i="1"/>
  <c r="CF6" i="1"/>
  <c r="EQ20" i="1"/>
  <c r="CH74" i="1"/>
  <c r="EO129" i="1"/>
  <c r="EP119" i="1"/>
  <c r="AW22" i="1"/>
  <c r="CI29" i="1"/>
  <c r="EO88" i="1"/>
  <c r="CG57" i="1"/>
  <c r="CF16" i="1"/>
  <c r="BD140" i="1"/>
  <c r="AV12" i="1"/>
  <c r="BF12" i="1"/>
  <c r="CG20" i="1"/>
  <c r="BF8" i="1"/>
  <c r="BD77" i="1"/>
  <c r="EQ24" i="1"/>
  <c r="AW23" i="1"/>
  <c r="EO24" i="1"/>
  <c r="EQ127" i="1"/>
  <c r="CG21" i="1"/>
  <c r="BC45" i="1"/>
  <c r="BF9" i="1"/>
  <c r="BE184" i="1"/>
  <c r="EN87" i="1"/>
  <c r="BC142" i="1"/>
  <c r="CI171" i="1"/>
  <c r="BF178" i="1"/>
  <c r="AV57" i="1"/>
  <c r="AX16" i="1"/>
  <c r="BC153" i="1"/>
  <c r="BC13" i="1"/>
  <c r="EO32" i="1"/>
  <c r="CF147" i="1"/>
  <c r="EP123" i="1"/>
  <c r="BD177" i="1"/>
  <c r="CF188" i="1"/>
  <c r="EP27" i="1"/>
  <c r="BF5" i="1"/>
  <c r="BD139" i="1"/>
  <c r="AV16" i="1"/>
  <c r="CI175" i="1"/>
  <c r="CG31" i="1"/>
  <c r="EQ103" i="1"/>
  <c r="CF149" i="1"/>
  <c r="EQ123" i="1"/>
  <c r="AX9" i="1"/>
  <c r="BD186" i="1"/>
  <c r="AV34" i="1"/>
  <c r="CF60" i="1"/>
  <c r="BC10" i="1"/>
  <c r="CG189" i="1"/>
  <c r="AV138" i="1"/>
  <c r="CI159" i="1"/>
  <c r="BE48" i="1"/>
  <c r="EO114" i="1"/>
  <c r="AW77" i="1"/>
  <c r="BE10" i="1"/>
  <c r="BC73" i="1"/>
  <c r="AW74" i="1"/>
  <c r="BC170" i="1"/>
  <c r="CH182" i="1"/>
  <c r="CI59" i="1"/>
  <c r="CI47" i="1"/>
  <c r="BE142" i="1"/>
  <c r="AS34" i="1"/>
  <c r="BB6" i="1"/>
  <c r="EM125" i="1"/>
  <c r="CF61" i="1"/>
  <c r="BC181" i="1"/>
  <c r="CG141" i="1"/>
  <c r="CF137" i="1"/>
  <c r="CH170" i="1"/>
  <c r="BF48" i="1"/>
  <c r="AV58" i="1"/>
  <c r="EP19" i="1"/>
  <c r="CH180" i="1"/>
  <c r="EP6" i="1"/>
  <c r="CH31" i="1"/>
  <c r="AU12" i="1"/>
  <c r="DF24" i="1"/>
  <c r="EM176" i="1"/>
  <c r="DC32" i="1"/>
  <c r="BE47" i="1"/>
  <c r="EP25" i="1"/>
  <c r="BD5" i="1"/>
  <c r="BC63" i="1"/>
  <c r="EN9" i="1"/>
  <c r="EO16" i="1"/>
  <c r="BE144" i="1"/>
  <c r="AV71" i="1"/>
  <c r="EP30" i="1"/>
  <c r="CF5" i="1"/>
  <c r="CF77" i="1"/>
  <c r="CI21" i="1"/>
  <c r="AS16" i="1"/>
  <c r="AS71" i="1"/>
  <c r="EL76" i="1"/>
  <c r="BA189" i="1"/>
  <c r="AV20" i="1"/>
  <c r="BE4" i="1"/>
  <c r="EN90" i="1"/>
  <c r="EO23" i="1"/>
  <c r="CH189" i="1"/>
  <c r="AW59" i="1"/>
  <c r="CF171" i="1"/>
  <c r="BC15" i="1"/>
  <c r="CI78" i="1"/>
  <c r="BC16" i="1"/>
  <c r="BE29" i="1"/>
  <c r="EM129" i="1"/>
  <c r="BA16" i="1"/>
  <c r="DC9" i="1"/>
  <c r="EL106" i="1"/>
  <c r="CI150" i="1"/>
  <c r="CI149" i="1"/>
  <c r="EL127" i="1"/>
  <c r="BB61" i="1"/>
  <c r="EN101" i="1"/>
  <c r="EL112" i="1"/>
  <c r="EM48" i="1"/>
  <c r="EL175" i="1"/>
  <c r="CE57" i="1"/>
  <c r="EL119" i="1"/>
  <c r="AT75" i="1"/>
  <c r="CE59" i="1"/>
  <c r="BF148" i="1"/>
  <c r="BF155" i="1"/>
  <c r="BF153" i="1"/>
  <c r="BE139" i="1"/>
  <c r="EN107" i="1"/>
  <c r="BE177" i="1"/>
  <c r="EM58" i="1"/>
  <c r="EM77" i="1"/>
  <c r="EM85" i="1"/>
  <c r="AT60" i="1"/>
  <c r="BB63" i="1"/>
  <c r="EM76" i="1"/>
  <c r="CE148" i="1"/>
  <c r="EN100" i="1"/>
  <c r="EN110" i="1"/>
  <c r="AT63" i="1"/>
  <c r="CH176" i="1"/>
  <c r="EL126" i="1"/>
  <c r="EN104" i="1"/>
  <c r="CD172" i="1"/>
  <c r="BB72" i="1"/>
  <c r="BB73" i="1"/>
  <c r="BB58" i="1"/>
  <c r="EM188" i="1"/>
  <c r="EM75" i="1"/>
  <c r="BB57" i="1"/>
  <c r="CH179" i="1"/>
  <c r="CG167" i="1"/>
  <c r="CE61" i="1"/>
  <c r="EL171" i="1"/>
  <c r="EN111" i="1"/>
  <c r="EM90" i="1"/>
  <c r="CE58" i="1"/>
  <c r="EM61" i="1"/>
  <c r="BA174" i="1"/>
  <c r="EL114" i="1"/>
  <c r="EM148" i="1"/>
  <c r="EL117" i="1"/>
  <c r="CD175" i="1"/>
  <c r="BD181" i="1"/>
  <c r="EQ117" i="1"/>
  <c r="CI140" i="1"/>
  <c r="EQ29" i="1"/>
  <c r="BF16" i="1"/>
  <c r="AW48" i="1"/>
  <c r="AW32" i="1"/>
  <c r="BD71" i="1"/>
  <c r="EP112" i="1"/>
  <c r="CH11" i="1"/>
  <c r="BC19" i="1"/>
  <c r="CI166" i="1"/>
  <c r="BD4" i="1"/>
  <c r="BC184" i="1"/>
  <c r="EO91" i="1"/>
  <c r="CG178" i="1"/>
  <c r="EP99" i="1"/>
  <c r="BF179" i="1"/>
  <c r="EQ9" i="1"/>
  <c r="EQ88" i="1"/>
  <c r="AX23" i="1"/>
  <c r="AW60" i="1"/>
  <c r="EN6" i="1"/>
  <c r="CF7" i="1"/>
  <c r="AX71" i="1"/>
  <c r="CI75" i="1"/>
  <c r="CF14" i="1"/>
  <c r="CI7" i="1"/>
  <c r="EQ36" i="1"/>
  <c r="BF137" i="1"/>
  <c r="AW76" i="1"/>
  <c r="BE22" i="1"/>
  <c r="BD15" i="1"/>
  <c r="BC48" i="1"/>
  <c r="BD78" i="1"/>
  <c r="CG13" i="1"/>
  <c r="BF141" i="1"/>
  <c r="CH181" i="1"/>
  <c r="CI46" i="1"/>
  <c r="BC137" i="1"/>
  <c r="BE59" i="1"/>
  <c r="CG18" i="1"/>
  <c r="CF24" i="1"/>
  <c r="EN117" i="1"/>
  <c r="CF18" i="1"/>
  <c r="BD79" i="1"/>
  <c r="AV14" i="1"/>
  <c r="AW15" i="1"/>
  <c r="CH156" i="1"/>
  <c r="EQ38" i="1"/>
  <c r="EP106" i="1"/>
  <c r="AX22" i="1"/>
  <c r="EO28" i="1"/>
  <c r="AW10" i="1"/>
  <c r="CG6" i="1"/>
  <c r="CI45" i="1"/>
  <c r="CH73" i="1"/>
  <c r="AW62" i="1"/>
  <c r="BF26" i="1"/>
  <c r="BC47" i="1"/>
  <c r="BF7" i="1"/>
  <c r="BF138" i="1"/>
  <c r="EQ126" i="1"/>
  <c r="CH72" i="1"/>
  <c r="CH166" i="1"/>
  <c r="BD185" i="1"/>
  <c r="BD75" i="1"/>
  <c r="CF32" i="1"/>
  <c r="BC36" i="1"/>
  <c r="BC77" i="1"/>
  <c r="CH183" i="1"/>
  <c r="EN113" i="1"/>
  <c r="AU24" i="1"/>
  <c r="AU29" i="1"/>
  <c r="CF20" i="1"/>
  <c r="AV6" i="1"/>
  <c r="CI167" i="1"/>
  <c r="AW16" i="1"/>
  <c r="AW9" i="1"/>
  <c r="BD46" i="1"/>
  <c r="BE17" i="1"/>
  <c r="BC76" i="1"/>
  <c r="CI186" i="1"/>
  <c r="CH171" i="1"/>
  <c r="EN5" i="1"/>
  <c r="BD16" i="1"/>
  <c r="CI37" i="1"/>
  <c r="CF12" i="1"/>
  <c r="BD32" i="1"/>
  <c r="CI12" i="1"/>
  <c r="AV47" i="1"/>
  <c r="BF32" i="1"/>
  <c r="AX10" i="1"/>
  <c r="CI16" i="1"/>
  <c r="EO86" i="1"/>
  <c r="EO122" i="1"/>
  <c r="BD8" i="1"/>
  <c r="BE57" i="1"/>
  <c r="BD182" i="1"/>
  <c r="EN24" i="1"/>
  <c r="AW79" i="1"/>
  <c r="BE28" i="1"/>
  <c r="BE31" i="1"/>
  <c r="BE180" i="1"/>
  <c r="CF75" i="1"/>
  <c r="CF57" i="1"/>
  <c r="BD63" i="1"/>
  <c r="EQ95" i="1"/>
  <c r="CI145" i="1"/>
  <c r="AX34" i="1"/>
  <c r="CF74" i="1"/>
  <c r="CH45" i="1"/>
  <c r="BC174" i="1"/>
  <c r="CF175" i="1"/>
  <c r="BC144" i="1"/>
  <c r="EQ106" i="1"/>
  <c r="BE24" i="1"/>
  <c r="CH160" i="1"/>
  <c r="AU61" i="1"/>
  <c r="EQ16" i="1"/>
  <c r="AU59" i="1"/>
  <c r="BF31" i="1"/>
  <c r="AW19" i="1"/>
  <c r="EQ98" i="1"/>
  <c r="BC33" i="1"/>
  <c r="CI169" i="1"/>
  <c r="AV60" i="1"/>
  <c r="AX45" i="1"/>
  <c r="CI146" i="1"/>
  <c r="CI170" i="1"/>
  <c r="BD169" i="1"/>
  <c r="EQ128" i="1"/>
  <c r="EN32" i="1"/>
  <c r="BC182" i="1"/>
  <c r="EQ6" i="1"/>
  <c r="CI18" i="1"/>
  <c r="EO21" i="1"/>
  <c r="BF139" i="1"/>
  <c r="BC24" i="1"/>
  <c r="BD27" i="1"/>
  <c r="BF4" i="1"/>
  <c r="EL21" i="1"/>
  <c r="AS62" i="1"/>
  <c r="DC6" i="1"/>
  <c r="BD148" i="1"/>
  <c r="AU188" i="1"/>
  <c r="BD48" i="1"/>
  <c r="AV30" i="1"/>
  <c r="AW37" i="1"/>
  <c r="EP87" i="1"/>
  <c r="EQ114" i="1"/>
  <c r="CF31" i="1"/>
  <c r="CG179" i="1"/>
  <c r="BE16" i="1"/>
  <c r="AX26" i="1"/>
  <c r="CE160" i="1"/>
  <c r="BA149" i="1"/>
  <c r="BB186" i="1"/>
  <c r="BB161" i="1"/>
  <c r="BF70" i="1"/>
  <c r="EQ109" i="1"/>
  <c r="AW20" i="1"/>
  <c r="AV72" i="1"/>
  <c r="EP91" i="1"/>
  <c r="CF170" i="1"/>
  <c r="AV28" i="1"/>
  <c r="CH154" i="1"/>
  <c r="BF71" i="1"/>
  <c r="CH59" i="1"/>
  <c r="CG30" i="1"/>
  <c r="BF30" i="1"/>
  <c r="CE175" i="1"/>
  <c r="DE35" i="1"/>
  <c r="EM115" i="1"/>
  <c r="DC23" i="1"/>
  <c r="EO30" i="1"/>
  <c r="BD22" i="1"/>
  <c r="CI79" i="1"/>
  <c r="CF172" i="1"/>
  <c r="EQ102" i="1"/>
  <c r="EN31" i="1"/>
  <c r="CH146" i="1"/>
  <c r="AX18" i="1"/>
  <c r="EQ113" i="1"/>
  <c r="CH169" i="1"/>
  <c r="CH5" i="1"/>
  <c r="EM157" i="1"/>
  <c r="BB178" i="1"/>
  <c r="CD27" i="1"/>
  <c r="DE16" i="1"/>
  <c r="EM186" i="1"/>
  <c r="DF13" i="1"/>
  <c r="AS24" i="1"/>
  <c r="BB22" i="1"/>
  <c r="BB149" i="1"/>
  <c r="DE6" i="1"/>
  <c r="BE61" i="1"/>
  <c r="AW61" i="1"/>
  <c r="CH24" i="1"/>
  <c r="EN125" i="1"/>
  <c r="BE27" i="1"/>
  <c r="BC8" i="1"/>
  <c r="EP98" i="1"/>
  <c r="BC20" i="1"/>
  <c r="BD164" i="1"/>
  <c r="EN108" i="1"/>
  <c r="CG166" i="1"/>
  <c r="CH138" i="1"/>
  <c r="EN95" i="1"/>
  <c r="BD159" i="1"/>
  <c r="BB188" i="1"/>
  <c r="AT73" i="1"/>
  <c r="EM91" i="1"/>
  <c r="BA175" i="1"/>
  <c r="CE78" i="1"/>
  <c r="CD182" i="1"/>
  <c r="CD169" i="1"/>
  <c r="CH139" i="1"/>
  <c r="EN105" i="1"/>
  <c r="AT85" i="1"/>
  <c r="CH173" i="1"/>
  <c r="EM89" i="1"/>
  <c r="CH177" i="1"/>
  <c r="AT72" i="1"/>
  <c r="BA172" i="1"/>
  <c r="EL121" i="1"/>
  <c r="EM59" i="1"/>
  <c r="EM60" i="1"/>
  <c r="AT71" i="1"/>
  <c r="BB154" i="1"/>
  <c r="CI151" i="1"/>
  <c r="EN99" i="1"/>
  <c r="EM86" i="1"/>
  <c r="EL130" i="1"/>
  <c r="EM88" i="1"/>
  <c r="BA183" i="1"/>
  <c r="CD174" i="1"/>
  <c r="BB155" i="1"/>
  <c r="EM71" i="1"/>
  <c r="EL113" i="1"/>
  <c r="EM62" i="1"/>
  <c r="EM57" i="1"/>
  <c r="BB77" i="1"/>
  <c r="CI154" i="1"/>
  <c r="BD162" i="1"/>
  <c r="CI155" i="1"/>
  <c r="CG159" i="1"/>
  <c r="CG158" i="1"/>
  <c r="CE188" i="1"/>
  <c r="BA173" i="1"/>
  <c r="AT61" i="1"/>
  <c r="CD173" i="1"/>
  <c r="CD170" i="1"/>
  <c r="BB74" i="1"/>
  <c r="AT79" i="1"/>
  <c r="EO118" i="1"/>
  <c r="CH57" i="1"/>
  <c r="CG180" i="1"/>
  <c r="BC59" i="1"/>
  <c r="AW25" i="1"/>
  <c r="CH28" i="1"/>
  <c r="CF13" i="1"/>
  <c r="EO119" i="1"/>
  <c r="BF36" i="1"/>
  <c r="CG170" i="1"/>
  <c r="CI23" i="1"/>
  <c r="EQ101" i="1"/>
  <c r="CG143" i="1"/>
  <c r="BD144" i="1"/>
  <c r="BC145" i="1"/>
  <c r="CH17" i="1"/>
  <c r="EP23" i="1"/>
  <c r="AU77" i="1"/>
  <c r="CF27" i="1"/>
  <c r="EO109" i="1"/>
  <c r="BD25" i="1"/>
  <c r="BD172" i="1"/>
  <c r="BC172" i="1"/>
  <c r="EO128" i="1"/>
  <c r="BC25" i="1"/>
  <c r="CG48" i="1"/>
  <c r="EN122" i="1"/>
  <c r="CG186" i="1"/>
  <c r="CG73" i="1"/>
  <c r="EO97" i="1"/>
  <c r="EQ110" i="1"/>
  <c r="AU16" i="1"/>
  <c r="BF180" i="1"/>
  <c r="AV27" i="1"/>
  <c r="CH79" i="1"/>
  <c r="EN92" i="1"/>
  <c r="EO103" i="1"/>
  <c r="BC79" i="1"/>
  <c r="CF9" i="1"/>
  <c r="AX31" i="1"/>
  <c r="CI141" i="1"/>
  <c r="CG137" i="1"/>
  <c r="BF145" i="1"/>
  <c r="CG36" i="1"/>
  <c r="BE46" i="1"/>
  <c r="AX30" i="1"/>
  <c r="EO33" i="1"/>
  <c r="BC35" i="1"/>
  <c r="EN121" i="1"/>
  <c r="EP115" i="1"/>
  <c r="EO104" i="1"/>
  <c r="CF158" i="1"/>
  <c r="BC165" i="1"/>
  <c r="AU78" i="1"/>
  <c r="EP85" i="1"/>
  <c r="BE187" i="1"/>
  <c r="CH145" i="1"/>
  <c r="EN18" i="1"/>
  <c r="CH143" i="1"/>
  <c r="BD183" i="1"/>
  <c r="AU36" i="1"/>
  <c r="CI184" i="1"/>
  <c r="AU76" i="1"/>
  <c r="AW75" i="1"/>
  <c r="BE11" i="1"/>
  <c r="BD35" i="1"/>
  <c r="EO101" i="1"/>
  <c r="AV189" i="1"/>
  <c r="BE72" i="1"/>
  <c r="AU48" i="1"/>
  <c r="CI17" i="1"/>
  <c r="BE18" i="1"/>
  <c r="CG176" i="1"/>
  <c r="BF15" i="1"/>
  <c r="CF185" i="1"/>
  <c r="BC154" i="1"/>
  <c r="BF74" i="1"/>
  <c r="AX29" i="1"/>
  <c r="CI158" i="1"/>
  <c r="CF159" i="1"/>
  <c r="BF147" i="1"/>
  <c r="BC175" i="1"/>
  <c r="CF140" i="1"/>
  <c r="AV13" i="1"/>
  <c r="BC159" i="1"/>
  <c r="CI61" i="1"/>
  <c r="AW4" i="1"/>
  <c r="BD142" i="1"/>
  <c r="BC70" i="1"/>
  <c r="EP32" i="1"/>
  <c r="CF29" i="1"/>
  <c r="CF73" i="1"/>
  <c r="CH9" i="1"/>
  <c r="BD9" i="1"/>
  <c r="AU137" i="1"/>
  <c r="EP122" i="1"/>
  <c r="AW24" i="1"/>
  <c r="EQ91" i="1"/>
  <c r="CI33" i="1"/>
  <c r="EO36" i="1"/>
  <c r="CI137" i="1"/>
  <c r="CH76" i="1"/>
  <c r="BE20" i="1"/>
  <c r="EO96" i="1"/>
  <c r="EQ121" i="1"/>
  <c r="BD174" i="1"/>
  <c r="AX59" i="1"/>
  <c r="EN86" i="1"/>
  <c r="AV73" i="1"/>
  <c r="AV46" i="1"/>
  <c r="AX6" i="1"/>
  <c r="EQ100" i="1"/>
  <c r="EN123" i="1"/>
  <c r="CG72" i="1"/>
  <c r="BF77" i="1"/>
  <c r="EQ120" i="1"/>
  <c r="EP31" i="1"/>
  <c r="CF15" i="1"/>
  <c r="AX61" i="1"/>
  <c r="CH150" i="1"/>
  <c r="EO107" i="1"/>
  <c r="EQ115" i="1"/>
  <c r="BC140" i="1"/>
  <c r="AV79" i="1"/>
  <c r="EQ116" i="1"/>
  <c r="BE186" i="1"/>
  <c r="BE141" i="1"/>
  <c r="CH159" i="1"/>
  <c r="AV24" i="1"/>
  <c r="BF17" i="1"/>
  <c r="CI15" i="1"/>
  <c r="EN85" i="1"/>
  <c r="BC156" i="1"/>
  <c r="EO111" i="1"/>
  <c r="AU26" i="1"/>
  <c r="BD34" i="1"/>
  <c r="AV38" i="1"/>
  <c r="AX20" i="1"/>
  <c r="BF182" i="1"/>
  <c r="BE30" i="1"/>
  <c r="AV18" i="1"/>
  <c r="AW18" i="1"/>
  <c r="AS7" i="1"/>
  <c r="AS13" i="1"/>
  <c r="CD186" i="1"/>
  <c r="CI30" i="1"/>
  <c r="CI157" i="1"/>
  <c r="AX57" i="1"/>
  <c r="CF36" i="1"/>
  <c r="BD147" i="1"/>
  <c r="EP125" i="1"/>
  <c r="EP18" i="1"/>
  <c r="BC12" i="1"/>
  <c r="AV36" i="1"/>
  <c r="AX46" i="1"/>
  <c r="EN88" i="1"/>
  <c r="CE28" i="1"/>
  <c r="EL72" i="1"/>
  <c r="EL62" i="1"/>
  <c r="EL187" i="1"/>
  <c r="EN20" i="1"/>
  <c r="CI74" i="1"/>
  <c r="BF46" i="1"/>
  <c r="EO100" i="1"/>
  <c r="EQ7" i="1"/>
  <c r="AU47" i="1"/>
  <c r="BE181" i="1"/>
  <c r="EN127" i="1"/>
  <c r="BF22" i="1"/>
  <c r="EN12" i="1"/>
  <c r="EO15" i="1"/>
  <c r="CF152" i="1"/>
  <c r="DC24" i="1"/>
  <c r="DF25" i="1"/>
  <c r="CE181" i="1"/>
  <c r="CE32" i="1"/>
  <c r="EP17" i="1"/>
  <c r="CH30" i="1"/>
  <c r="AX77" i="1"/>
  <c r="CH46" i="1"/>
  <c r="BD13" i="1"/>
  <c r="EQ11" i="1"/>
  <c r="CI177" i="1"/>
  <c r="CI13" i="1"/>
  <c r="AW36" i="1"/>
  <c r="CI35" i="1"/>
  <c r="BC37" i="1"/>
  <c r="EM114" i="1"/>
  <c r="CD176" i="1"/>
  <c r="BB177" i="1"/>
  <c r="DC11" i="1"/>
  <c r="EL105" i="1"/>
  <c r="CD189" i="1"/>
  <c r="EM162" i="1"/>
  <c r="CD7" i="1"/>
  <c r="EM30" i="1"/>
  <c r="BB7" i="1"/>
  <c r="BF61" i="1"/>
  <c r="BC14" i="1"/>
  <c r="EP116" i="1"/>
  <c r="EO99" i="1"/>
  <c r="BD60" i="1"/>
  <c r="BE14" i="1"/>
  <c r="CG33" i="1"/>
  <c r="AX15" i="1"/>
  <c r="CH60" i="1"/>
  <c r="EL9" i="1"/>
  <c r="DC25" i="1"/>
  <c r="AS8" i="1"/>
  <c r="CG169" i="1"/>
  <c r="EP89" i="1"/>
  <c r="CI9" i="1"/>
  <c r="CF155" i="1"/>
  <c r="EQ108" i="1"/>
  <c r="EM171" i="1"/>
  <c r="DD9" i="1"/>
  <c r="BC30" i="1"/>
  <c r="CG145" i="1"/>
  <c r="EP121" i="1"/>
  <c r="BF143" i="1"/>
  <c r="CI58" i="1"/>
  <c r="EL17" i="1"/>
  <c r="EL93" i="1"/>
  <c r="CD139" i="1"/>
  <c r="EP93" i="1"/>
  <c r="AW14" i="1"/>
  <c r="BF177" i="1"/>
  <c r="EP127" i="1"/>
  <c r="EO27" i="1"/>
  <c r="CG74" i="1"/>
  <c r="CF8" i="1"/>
  <c r="CG26" i="1"/>
  <c r="EN124" i="1"/>
  <c r="AW57" i="1"/>
  <c r="CE14" i="1"/>
  <c r="CE180" i="1"/>
  <c r="BB166" i="1"/>
  <c r="CH7" i="1"/>
  <c r="BF45" i="1"/>
  <c r="CF79" i="1"/>
  <c r="CI28" i="1"/>
  <c r="AV75" i="1"/>
  <c r="BD189" i="1"/>
  <c r="BF156" i="1"/>
  <c r="EP29" i="1"/>
  <c r="BF47" i="1"/>
  <c r="EQ34" i="1"/>
  <c r="CF186" i="1"/>
  <c r="AS58" i="1"/>
  <c r="BB16" i="1"/>
  <c r="CE189" i="1"/>
  <c r="EQ96" i="1"/>
  <c r="EQ122" i="1"/>
  <c r="CH21" i="1"/>
  <c r="BC75" i="1"/>
  <c r="CI20" i="1"/>
  <c r="EQ105" i="1"/>
  <c r="BE71" i="1"/>
  <c r="BE8" i="1"/>
  <c r="CH77" i="1"/>
  <c r="EQ90" i="1"/>
  <c r="EP4" i="1"/>
  <c r="EQ30" i="1"/>
  <c r="BB182" i="1"/>
  <c r="EL36" i="1"/>
  <c r="BB36" i="1"/>
  <c r="DC19" i="1"/>
  <c r="EL47" i="1"/>
  <c r="AS33" i="1"/>
  <c r="BA146" i="1"/>
  <c r="CD74" i="1"/>
  <c r="DD25" i="1"/>
  <c r="EM172" i="1"/>
  <c r="AX79" i="1"/>
  <c r="EN27" i="1"/>
  <c r="CG139" i="1"/>
  <c r="CH185" i="1"/>
  <c r="AV59" i="1"/>
  <c r="BE75" i="1"/>
  <c r="EQ94" i="1"/>
  <c r="EP128" i="1"/>
  <c r="CF11" i="1"/>
  <c r="EM98" i="1"/>
  <c r="BB180" i="1"/>
  <c r="CE34" i="1"/>
  <c r="CF142" i="1"/>
  <c r="CG22" i="1"/>
  <c r="AX17" i="1"/>
  <c r="EQ17" i="1"/>
  <c r="EO115" i="1"/>
  <c r="CG184" i="1"/>
  <c r="AX33" i="1"/>
  <c r="CF21" i="1"/>
  <c r="BC152" i="1"/>
  <c r="EO4" i="1"/>
  <c r="AU18" i="1"/>
  <c r="AU57" i="1"/>
  <c r="EM127" i="1"/>
  <c r="EM8" i="1"/>
  <c r="AT38" i="1"/>
  <c r="BF146" i="1"/>
  <c r="EQ130" i="1"/>
  <c r="BC150" i="1"/>
  <c r="AW31" i="1"/>
  <c r="BD45" i="1"/>
  <c r="BF58" i="1"/>
  <c r="CF176" i="1"/>
  <c r="BE62" i="1"/>
  <c r="BC22" i="1"/>
  <c r="EP113" i="1"/>
  <c r="CG28" i="1"/>
  <c r="AU28" i="1"/>
  <c r="EP110" i="1"/>
  <c r="CI178" i="1"/>
  <c r="CH18" i="1"/>
  <c r="AW5" i="1"/>
  <c r="EP118" i="1"/>
  <c r="CH148" i="1"/>
  <c r="CI38" i="1"/>
  <c r="CD150" i="1"/>
  <c r="EM103" i="1"/>
  <c r="DE25" i="1"/>
  <c r="CG187" i="1"/>
  <c r="CF177" i="1"/>
  <c r="CF174" i="1"/>
  <c r="BF13" i="1"/>
  <c r="EP38" i="1"/>
  <c r="BE19" i="1"/>
  <c r="EP129" i="1"/>
  <c r="AX25" i="1"/>
  <c r="CH15" i="1"/>
  <c r="AW34" i="1"/>
  <c r="AV4" i="1"/>
  <c r="EL10" i="1"/>
  <c r="EM4" i="1"/>
  <c r="DE13" i="1"/>
  <c r="BD187" i="1"/>
  <c r="BD20" i="1"/>
  <c r="AX28" i="1"/>
  <c r="CI187" i="1"/>
  <c r="CH10" i="1"/>
  <c r="CI26" i="1"/>
  <c r="EP5" i="1"/>
  <c r="CI180" i="1"/>
  <c r="BD170" i="1"/>
  <c r="CF153" i="1"/>
  <c r="CE18" i="1"/>
  <c r="EP103" i="1"/>
  <c r="CF167" i="1"/>
  <c r="CI73" i="1"/>
  <c r="AU30" i="1"/>
  <c r="CG45" i="1"/>
  <c r="BF181" i="1"/>
  <c r="AT20" i="1"/>
  <c r="DC21" i="1"/>
  <c r="EL157" i="1"/>
  <c r="BA159" i="1"/>
  <c r="AT15" i="1"/>
  <c r="CE143" i="1"/>
  <c r="CD167" i="1"/>
  <c r="DE33" i="1"/>
  <c r="AS19" i="1"/>
  <c r="BA24" i="1"/>
  <c r="EM118" i="1"/>
  <c r="DD19" i="1"/>
  <c r="CD9" i="1"/>
  <c r="CD188" i="1"/>
  <c r="EM167" i="1"/>
  <c r="BA27" i="1"/>
  <c r="BB8" i="1"/>
  <c r="CD58" i="1"/>
  <c r="DF11" i="1"/>
  <c r="CD144" i="1"/>
  <c r="EL90" i="1"/>
  <c r="CE4" i="1"/>
  <c r="EM7" i="1"/>
  <c r="CE25" i="1"/>
  <c r="EL99" i="1"/>
  <c r="EL16" i="1"/>
  <c r="EM94" i="1"/>
  <c r="BA71" i="1"/>
  <c r="BB185" i="1"/>
  <c r="EM147" i="1"/>
  <c r="AT22" i="1"/>
  <c r="BA46" i="1"/>
  <c r="EL79" i="1"/>
  <c r="BB189" i="1"/>
  <c r="EM25" i="1"/>
  <c r="CD179" i="1"/>
  <c r="EL58" i="1"/>
  <c r="CD145" i="1"/>
  <c r="DC12" i="1"/>
  <c r="EM18" i="1"/>
  <c r="CE11" i="1"/>
  <c r="BA7" i="1"/>
  <c r="CE6" i="1"/>
  <c r="EL23" i="1"/>
  <c r="AS28" i="1"/>
  <c r="CD77" i="1"/>
  <c r="CE140" i="1"/>
  <c r="EM38" i="1"/>
  <c r="EL85" i="1"/>
  <c r="CE176" i="1"/>
  <c r="CD184" i="1"/>
  <c r="BF79" i="1"/>
  <c r="AU10" i="1"/>
  <c r="EL12" i="1"/>
  <c r="CF48" i="1"/>
  <c r="EQ89" i="1"/>
  <c r="CI156" i="1"/>
  <c r="EO121" i="1"/>
  <c r="CH38" i="1"/>
  <c r="CG8" i="1"/>
  <c r="EM173" i="1"/>
  <c r="DC28" i="1"/>
  <c r="EL28" i="1"/>
  <c r="BA77" i="1"/>
  <c r="AT25" i="1"/>
  <c r="BB15" i="1"/>
  <c r="BB140" i="1"/>
  <c r="BB14" i="1"/>
  <c r="DD16" i="1"/>
  <c r="DC38" i="1"/>
  <c r="DD12" i="1"/>
  <c r="AS79" i="1"/>
  <c r="DE21" i="1"/>
  <c r="EM163" i="1"/>
  <c r="EM16" i="1"/>
  <c r="DF19" i="1"/>
  <c r="CE16" i="1"/>
  <c r="EL59" i="1"/>
  <c r="DC18" i="1"/>
  <c r="BB187" i="1"/>
  <c r="CE45" i="1"/>
  <c r="CE146" i="1"/>
  <c r="BB28" i="1"/>
  <c r="BB160" i="1"/>
  <c r="BA45" i="1"/>
  <c r="CE157" i="1"/>
  <c r="BB162" i="1"/>
  <c r="BA19" i="1"/>
  <c r="DC37" i="1"/>
  <c r="DE18" i="1"/>
  <c r="EL19" i="1"/>
  <c r="CD187" i="1"/>
  <c r="BA61" i="1"/>
  <c r="CD15" i="1"/>
  <c r="BE185" i="1"/>
  <c r="CI143" i="1"/>
  <c r="BA79" i="1"/>
  <c r="BF185" i="1"/>
  <c r="EP14" i="1"/>
  <c r="EN115" i="1"/>
  <c r="BC162" i="1"/>
  <c r="EP36" i="1"/>
  <c r="AV29" i="1"/>
  <c r="BA70" i="1"/>
  <c r="AS48" i="1"/>
  <c r="DE12" i="1"/>
  <c r="AS47" i="1"/>
  <c r="EM20" i="1"/>
  <c r="EM21" i="1"/>
  <c r="EM46" i="1"/>
  <c r="AS36" i="1"/>
  <c r="CD25" i="1"/>
  <c r="CD48" i="1"/>
  <c r="CD75" i="1"/>
  <c r="CD6" i="1"/>
  <c r="BB25" i="1"/>
  <c r="EM153" i="1"/>
  <c r="CD21" i="1"/>
  <c r="BA18" i="1"/>
  <c r="CF37" i="1"/>
  <c r="AU45" i="1"/>
  <c r="EO90" i="1"/>
  <c r="BE58" i="1"/>
  <c r="EQ31" i="1"/>
  <c r="CD45" i="1"/>
  <c r="EM12" i="1"/>
  <c r="BD179" i="1"/>
  <c r="EP26" i="1"/>
  <c r="CF173" i="1"/>
  <c r="AX37" i="1"/>
  <c r="CH153" i="1"/>
  <c r="CG188" i="1"/>
  <c r="CG27" i="1"/>
  <c r="CI72" i="1"/>
  <c r="BE37" i="1"/>
  <c r="BE33" i="1"/>
  <c r="CG35" i="1"/>
  <c r="AS15" i="1"/>
  <c r="EL63" i="1"/>
  <c r="DE5" i="1"/>
  <c r="BE147" i="1"/>
  <c r="EO130" i="1"/>
  <c r="AW78" i="1"/>
  <c r="EP92" i="1"/>
  <c r="BF78" i="1"/>
  <c r="CI27" i="1"/>
  <c r="EP126" i="1"/>
  <c r="BC78" i="1"/>
  <c r="EP10" i="1"/>
  <c r="BE145" i="1"/>
  <c r="BC146" i="1"/>
  <c r="AS37" i="1"/>
  <c r="DF37" i="1"/>
  <c r="AS76" i="1"/>
  <c r="EP7" i="1"/>
  <c r="CF146" i="1"/>
  <c r="BC17" i="1"/>
  <c r="EP107" i="1"/>
  <c r="AW6" i="1"/>
  <c r="EN17" i="1"/>
  <c r="BD26" i="1"/>
  <c r="BC139" i="1"/>
  <c r="AV10" i="1"/>
  <c r="CG7" i="1"/>
  <c r="EP37" i="1"/>
  <c r="EQ85" i="1"/>
  <c r="BA10" i="1"/>
  <c r="AT26" i="1"/>
  <c r="DC36" i="1"/>
  <c r="EL96" i="1"/>
  <c r="AS17" i="1"/>
  <c r="EL150" i="1"/>
  <c r="AT36" i="1"/>
  <c r="DF17" i="1"/>
  <c r="BB31" i="1"/>
  <c r="EM169" i="1"/>
  <c r="EP97" i="1"/>
  <c r="BE23" i="1"/>
  <c r="CF143" i="1"/>
  <c r="BC27" i="1"/>
  <c r="BF11" i="1"/>
  <c r="CF59" i="1"/>
  <c r="EN91" i="1"/>
  <c r="CI76" i="1"/>
  <c r="AW73" i="1"/>
  <c r="EL32" i="1"/>
  <c r="AS11" i="1"/>
  <c r="EL13" i="1"/>
  <c r="EO13" i="1"/>
  <c r="CF34" i="1"/>
  <c r="EN38" i="1"/>
  <c r="BC143" i="1"/>
  <c r="CI10" i="1"/>
  <c r="EO20" i="1"/>
  <c r="AX27" i="1"/>
  <c r="BC32" i="1"/>
  <c r="EN28" i="1"/>
  <c r="CH167" i="1"/>
  <c r="EP21" i="1"/>
  <c r="BF140" i="1"/>
  <c r="DC14" i="1"/>
  <c r="CE183" i="1"/>
  <c r="EM101" i="1"/>
  <c r="EO110" i="1"/>
  <c r="BF142" i="1"/>
  <c r="BD14" i="1"/>
  <c r="BE182" i="1"/>
  <c r="AX24" i="1"/>
  <c r="AU32" i="1"/>
  <c r="CG147" i="1"/>
  <c r="EP96" i="1"/>
  <c r="EP114" i="1"/>
  <c r="EO26" i="1"/>
  <c r="EQ10" i="1"/>
  <c r="BD141" i="1"/>
  <c r="CF45" i="1"/>
  <c r="AU19" i="1"/>
  <c r="AX78" i="1"/>
  <c r="AX62" i="1"/>
  <c r="CI14" i="1"/>
  <c r="BF75" i="1"/>
  <c r="CI160" i="1"/>
  <c r="EM122" i="1"/>
  <c r="BA181" i="1"/>
  <c r="BC166" i="1"/>
  <c r="AW28" i="1"/>
  <c r="CF150" i="1"/>
  <c r="EN23" i="1"/>
  <c r="CI172" i="1"/>
  <c r="BD171" i="1"/>
  <c r="CH158" i="1"/>
  <c r="EN119" i="1"/>
  <c r="BF6" i="1"/>
  <c r="EP8" i="1"/>
  <c r="BC188" i="1"/>
  <c r="AU14" i="1"/>
  <c r="EL57" i="1"/>
  <c r="BB174" i="1"/>
  <c r="DE15" i="1"/>
  <c r="AV26" i="1"/>
  <c r="AW7" i="1"/>
  <c r="CH19" i="1"/>
  <c r="BC187" i="1"/>
  <c r="CG11" i="1"/>
  <c r="EN13" i="1"/>
  <c r="BC148" i="1"/>
  <c r="CH20" i="1"/>
  <c r="BD33" i="1"/>
  <c r="EL146" i="1"/>
  <c r="BA26" i="1"/>
  <c r="BD138" i="1"/>
  <c r="CG78" i="1"/>
  <c r="AX72" i="1"/>
  <c r="BD176" i="1"/>
  <c r="EP105" i="1"/>
  <c r="BF184" i="1"/>
  <c r="EM32" i="1"/>
  <c r="CE186" i="1"/>
  <c r="EM151" i="1"/>
  <c r="AT6" i="1"/>
  <c r="DF32" i="1"/>
  <c r="CD14" i="1"/>
  <c r="DE37" i="1"/>
  <c r="BB138" i="1"/>
  <c r="BB18" i="1"/>
  <c r="BA48" i="1"/>
  <c r="EL86" i="1"/>
  <c r="AS6" i="1"/>
  <c r="CE7" i="1"/>
  <c r="AS85" i="1"/>
  <c r="AT34" i="1"/>
  <c r="CE152" i="1"/>
  <c r="BA142" i="1"/>
  <c r="CD37" i="1"/>
  <c r="DF35" i="1"/>
  <c r="DC34" i="1"/>
  <c r="BA147" i="1"/>
  <c r="AT19" i="1"/>
  <c r="AT24" i="1"/>
  <c r="BB156" i="1"/>
  <c r="EM27" i="1"/>
  <c r="CD11" i="1"/>
  <c r="EL155" i="1"/>
  <c r="AT29" i="1"/>
  <c r="DE38" i="1"/>
  <c r="DF26" i="1"/>
  <c r="EL33" i="1"/>
  <c r="DF36" i="1"/>
  <c r="BB143" i="1"/>
  <c r="DD18" i="1"/>
  <c r="AS22" i="1"/>
  <c r="AT9" i="1"/>
  <c r="BB181" i="1"/>
  <c r="EL14" i="1"/>
  <c r="CE22" i="1"/>
  <c r="CE37" i="1"/>
  <c r="DF28" i="1"/>
  <c r="CD13" i="1"/>
  <c r="DE4" i="1"/>
  <c r="AT27" i="1"/>
  <c r="AT23" i="1"/>
  <c r="AT14" i="1"/>
  <c r="BA138" i="1"/>
  <c r="BB17" i="1"/>
  <c r="CD160" i="1"/>
  <c r="BB173" i="1"/>
  <c r="DC27" i="1"/>
  <c r="EN26" i="1"/>
  <c r="AU6" i="1"/>
  <c r="CE153" i="1"/>
  <c r="BC11" i="1"/>
  <c r="AW35" i="1"/>
  <c r="CI183" i="1"/>
  <c r="BD17" i="1"/>
  <c r="EO25" i="1"/>
  <c r="CH34" i="1"/>
  <c r="DD32" i="1"/>
  <c r="BA63" i="1"/>
  <c r="AT13" i="1"/>
  <c r="CE151" i="1"/>
  <c r="BA25" i="1"/>
  <c r="EL37" i="1"/>
  <c r="EM26" i="1"/>
  <c r="DE7" i="1"/>
  <c r="DE20" i="1"/>
  <c r="CE177" i="1"/>
  <c r="EM19" i="1"/>
  <c r="CE9" i="1"/>
  <c r="EL46" i="1"/>
  <c r="CD23" i="1"/>
  <c r="BB9" i="1"/>
  <c r="DD35" i="1"/>
  <c r="EM112" i="1"/>
  <c r="EM121" i="1"/>
  <c r="EM165" i="1"/>
  <c r="DD23" i="1"/>
  <c r="CD24" i="1"/>
  <c r="DF33" i="1"/>
  <c r="EL91" i="1"/>
  <c r="CE13" i="1"/>
  <c r="CD47" i="1"/>
  <c r="BB157" i="1"/>
  <c r="BA156" i="1"/>
  <c r="DF15" i="1"/>
  <c r="EM187" i="1"/>
  <c r="CD33" i="1"/>
  <c r="DD31" i="1"/>
  <c r="EM10" i="1"/>
  <c r="CD177" i="1"/>
  <c r="EL100" i="1"/>
  <c r="CF78" i="1"/>
  <c r="CE178" i="1"/>
  <c r="BA144" i="1"/>
  <c r="AX7" i="1"/>
  <c r="EP13" i="1"/>
  <c r="EP109" i="1"/>
  <c r="CF58" i="1"/>
  <c r="EQ15" i="1"/>
  <c r="EP20" i="1"/>
  <c r="EL92" i="1"/>
  <c r="BB11" i="1"/>
  <c r="EL74" i="1"/>
  <c r="BB10" i="1"/>
  <c r="BB38" i="1"/>
  <c r="DF20" i="1"/>
  <c r="CE24" i="1"/>
  <c r="CD154" i="1"/>
  <c r="CD156" i="1"/>
  <c r="AS70" i="1"/>
  <c r="DC7" i="1"/>
  <c r="BA6" i="1"/>
  <c r="BA9" i="1"/>
  <c r="EM113" i="1"/>
  <c r="EM107" i="1"/>
  <c r="CG9" i="1"/>
  <c r="CI147" i="1"/>
  <c r="CG34" i="1"/>
  <c r="AX12" i="1"/>
  <c r="DE9" i="1"/>
  <c r="AT46" i="1"/>
  <c r="CE159" i="1"/>
  <c r="EQ124" i="1"/>
  <c r="AU79" i="1"/>
  <c r="CG47" i="1"/>
  <c r="BC161" i="1"/>
  <c r="CI142" i="1"/>
  <c r="BD36" i="1"/>
  <c r="EN128" i="1"/>
  <c r="AV137" i="1"/>
  <c r="EQ13" i="1"/>
  <c r="AW8" i="1"/>
  <c r="EM102" i="1"/>
  <c r="CD151" i="1"/>
  <c r="BB172" i="1"/>
  <c r="AW45" i="1"/>
  <c r="BE32" i="1"/>
  <c r="EO102" i="1"/>
  <c r="BE36" i="1"/>
  <c r="AX5" i="1"/>
  <c r="BD11" i="1"/>
  <c r="AV61" i="1"/>
  <c r="BE60" i="1"/>
  <c r="CG25" i="1"/>
  <c r="AU5" i="1"/>
  <c r="CI179" i="1"/>
  <c r="EN15" i="1"/>
  <c r="CD138" i="1"/>
  <c r="DE32" i="1"/>
  <c r="CE149" i="1"/>
  <c r="EQ97" i="1"/>
  <c r="AW63" i="1"/>
  <c r="EP24" i="1"/>
  <c r="CI8" i="1"/>
  <c r="BC5" i="1"/>
  <c r="BF27" i="1"/>
  <c r="CI174" i="1"/>
  <c r="BC169" i="1"/>
  <c r="AU72" i="1"/>
  <c r="EQ107" i="1"/>
  <c r="AU20" i="1"/>
  <c r="BF21" i="1"/>
  <c r="DE19" i="1"/>
  <c r="EM95" i="1"/>
  <c r="DC13" i="1"/>
  <c r="EL27" i="1"/>
  <c r="CE147" i="1"/>
  <c r="BA62" i="1"/>
  <c r="BA139" i="1"/>
  <c r="CE8" i="1"/>
  <c r="CD178" i="1"/>
  <c r="BB4" i="1"/>
  <c r="AV76" i="1"/>
  <c r="CF72" i="1"/>
  <c r="BC18" i="1"/>
  <c r="CG5" i="1"/>
  <c r="CG19" i="1"/>
  <c r="EQ19" i="1"/>
  <c r="EP9" i="1"/>
  <c r="EN130" i="1"/>
  <c r="CF19" i="1"/>
  <c r="EM116" i="1"/>
  <c r="DD20" i="1"/>
  <c r="BB176" i="1"/>
  <c r="AV32" i="1"/>
  <c r="CH32" i="1"/>
  <c r="AX73" i="1"/>
  <c r="CG175" i="1"/>
  <c r="BC74" i="1"/>
  <c r="CH26" i="1"/>
  <c r="CH151" i="1"/>
  <c r="BC183" i="1"/>
  <c r="BE45" i="1"/>
  <c r="CF33" i="1"/>
  <c r="BF59" i="1"/>
  <c r="AW30" i="1"/>
  <c r="CE174" i="1"/>
  <c r="AS35" i="1"/>
  <c r="BA34" i="1"/>
  <c r="AV48" i="1"/>
  <c r="CH33" i="1"/>
  <c r="AW12" i="1"/>
  <c r="AV33" i="1"/>
  <c r="BE146" i="1"/>
  <c r="BF10" i="1"/>
  <c r="CG16" i="1"/>
  <c r="AV77" i="1"/>
  <c r="AV74" i="1"/>
  <c r="BC21" i="1"/>
  <c r="AX60" i="1"/>
  <c r="EO8" i="1"/>
  <c r="EQ33" i="1"/>
  <c r="EO123" i="1"/>
  <c r="EP28" i="1"/>
  <c r="AV25" i="1"/>
  <c r="EP88" i="1"/>
  <c r="EQ119" i="1"/>
  <c r="BB164" i="1"/>
  <c r="CD19" i="1"/>
  <c r="AS12" i="1"/>
  <c r="BD47" i="1"/>
  <c r="AU27" i="1"/>
  <c r="BC6" i="1"/>
  <c r="AU138" i="1"/>
  <c r="EP102" i="1"/>
  <c r="BD23" i="1"/>
  <c r="BC160" i="1"/>
  <c r="EO125" i="1"/>
  <c r="CH141" i="1"/>
  <c r="EO14" i="1"/>
  <c r="EO98" i="1"/>
  <c r="BC189" i="1"/>
  <c r="DE29" i="1"/>
  <c r="EL38" i="1"/>
  <c r="EM117" i="1"/>
  <c r="BD70" i="1"/>
  <c r="CG59" i="1"/>
  <c r="EQ22" i="1"/>
  <c r="EO37" i="1"/>
  <c r="BF14" i="1"/>
  <c r="EN114" i="1"/>
  <c r="BD188" i="1"/>
  <c r="EP11" i="1"/>
  <c r="AU35" i="1"/>
  <c r="DE23" i="1"/>
  <c r="CE138" i="1"/>
  <c r="CI22" i="1"/>
  <c r="EO127" i="1"/>
  <c r="EN118" i="1"/>
  <c r="CF187" i="1"/>
  <c r="EN8" i="1"/>
  <c r="CI11" i="1"/>
  <c r="CD148" i="1"/>
  <c r="EM96" i="1"/>
  <c r="CD158" i="1"/>
  <c r="BA74" i="1"/>
  <c r="CE23" i="1"/>
  <c r="BB159" i="1"/>
  <c r="CD30" i="1"/>
  <c r="DD37" i="1"/>
  <c r="EM170" i="1"/>
  <c r="EM124" i="1"/>
  <c r="CE26" i="1"/>
  <c r="CE141" i="1"/>
  <c r="AT28" i="1"/>
  <c r="EL95" i="1"/>
  <c r="BA17" i="1"/>
  <c r="BB151" i="1"/>
  <c r="DF21" i="1"/>
  <c r="CE47" i="1"/>
  <c r="AT18" i="1"/>
  <c r="EM110" i="1"/>
  <c r="BB153" i="1"/>
  <c r="CE35" i="1"/>
  <c r="CE12" i="1"/>
  <c r="BB33" i="1"/>
  <c r="CD31" i="1"/>
  <c r="BB30" i="1"/>
  <c r="DE10" i="1"/>
  <c r="DE26" i="1"/>
  <c r="EM145" i="1"/>
  <c r="EM28" i="1"/>
  <c r="BA160" i="1"/>
  <c r="BB20" i="1"/>
  <c r="CE19" i="1"/>
  <c r="DF27" i="1"/>
  <c r="CD16" i="1"/>
  <c r="DD36" i="1"/>
  <c r="CD149" i="1"/>
  <c r="AS74" i="1"/>
  <c r="BA35" i="1"/>
  <c r="DD34" i="1"/>
  <c r="EM146" i="1"/>
  <c r="BB35" i="1"/>
  <c r="CD4" i="1"/>
  <c r="CD12" i="1"/>
  <c r="EL35" i="1"/>
  <c r="CE171" i="1"/>
  <c r="EL188" i="1"/>
  <c r="CE142" i="1"/>
  <c r="BA153" i="1"/>
  <c r="CD166" i="1"/>
  <c r="EM159" i="1"/>
  <c r="EQ5" i="1"/>
  <c r="BA75" i="1"/>
  <c r="EP95" i="1"/>
  <c r="EP86" i="1"/>
  <c r="AX32" i="1"/>
  <c r="CF154" i="1"/>
  <c r="BC149" i="1"/>
  <c r="BC31" i="1"/>
  <c r="DC22" i="1"/>
  <c r="BA148" i="1"/>
  <c r="EM160" i="1"/>
  <c r="DC8" i="1"/>
  <c r="BB13" i="1"/>
  <c r="CD22" i="1"/>
  <c r="CE179" i="1"/>
  <c r="BB170" i="1"/>
  <c r="BB152" i="1"/>
  <c r="BB142" i="1"/>
  <c r="CD17" i="1"/>
  <c r="AT35" i="1"/>
  <c r="DE22" i="1"/>
  <c r="CE29" i="1"/>
  <c r="BA178" i="1"/>
  <c r="EM152" i="1"/>
  <c r="AS38" i="1"/>
  <c r="DE14" i="1"/>
  <c r="EL22" i="1"/>
  <c r="DC26" i="1"/>
  <c r="EM189" i="1"/>
  <c r="EL8" i="1"/>
  <c r="BB150" i="1"/>
  <c r="CE144" i="1"/>
  <c r="AT33" i="1"/>
  <c r="CD28" i="1"/>
  <c r="DE36" i="1"/>
  <c r="CE5" i="1"/>
  <c r="CD147" i="1"/>
  <c r="AS23" i="1"/>
  <c r="CD137" i="1"/>
  <c r="BA14" i="1"/>
  <c r="CD36" i="1"/>
  <c r="BB21" i="1"/>
  <c r="AW46" i="1"/>
  <c r="BD137" i="1"/>
  <c r="BA180" i="1"/>
  <c r="EL107" i="1"/>
  <c r="BC177" i="1"/>
  <c r="CG46" i="1"/>
  <c r="DD30" i="1"/>
  <c r="BC138" i="1"/>
  <c r="BD145" i="1"/>
  <c r="BF57" i="1"/>
  <c r="AV45" i="1"/>
  <c r="CH48" i="1"/>
  <c r="EL24" i="1"/>
  <c r="EL7" i="1"/>
  <c r="BB137" i="1"/>
  <c r="EQ111" i="1"/>
  <c r="EP120" i="1"/>
  <c r="CG14" i="1"/>
  <c r="EQ4" i="1"/>
  <c r="AV78" i="1"/>
  <c r="AU11" i="1"/>
  <c r="BC178" i="1"/>
  <c r="CG181" i="1"/>
  <c r="BC23" i="1"/>
  <c r="BC34" i="1"/>
  <c r="AS75" i="1"/>
  <c r="AS29" i="1"/>
  <c r="EL153" i="1"/>
  <c r="BE26" i="1"/>
  <c r="AW21" i="1"/>
  <c r="CI57" i="1"/>
  <c r="EO106" i="1"/>
  <c r="BD19" i="1"/>
  <c r="AW47" i="1"/>
  <c r="AV7" i="1"/>
  <c r="AU21" i="1"/>
  <c r="EP90" i="1"/>
  <c r="AU33" i="1"/>
  <c r="AU60" i="1"/>
  <c r="EQ93" i="1"/>
  <c r="EM100" i="1"/>
  <c r="DE8" i="1"/>
  <c r="EL34" i="1"/>
  <c r="EO112" i="1"/>
  <c r="BE9" i="1"/>
  <c r="CH144" i="1"/>
  <c r="CF46" i="1"/>
  <c r="AW26" i="1"/>
  <c r="BD6" i="1"/>
  <c r="CH14" i="1"/>
  <c r="AW13" i="1"/>
  <c r="AU25" i="1"/>
  <c r="CH29" i="1"/>
  <c r="CF139" i="1"/>
  <c r="EN89" i="1"/>
  <c r="CD152" i="1"/>
  <c r="AS5" i="1"/>
  <c r="CE187" i="1"/>
  <c r="BB146" i="1"/>
  <c r="EM126" i="1"/>
  <c r="BA73" i="1"/>
  <c r="BB147" i="1"/>
  <c r="BA60" i="1"/>
  <c r="BB24" i="1"/>
  <c r="CE166" i="1"/>
  <c r="BD38" i="1"/>
  <c r="EQ99" i="1"/>
  <c r="AX4" i="1"/>
  <c r="EO120" i="1"/>
  <c r="BC141" i="1"/>
  <c r="CG61" i="1"/>
  <c r="CH152" i="1"/>
  <c r="CF157" i="1"/>
  <c r="CI48" i="1"/>
  <c r="CD35" i="1"/>
  <c r="AS45" i="1"/>
  <c r="BA32" i="1"/>
  <c r="CG171" i="1"/>
  <c r="CH149" i="1"/>
  <c r="BC164" i="1"/>
  <c r="CG76" i="1"/>
  <c r="BE188" i="1"/>
  <c r="BD30" i="1"/>
  <c r="EQ23" i="1"/>
  <c r="BE77" i="1"/>
  <c r="CI4" i="1"/>
  <c r="EO85" i="1"/>
  <c r="BE15" i="1"/>
  <c r="CD142" i="1"/>
  <c r="BA150" i="1"/>
  <c r="EM119" i="1"/>
  <c r="BA72" i="1"/>
  <c r="BF73" i="1"/>
  <c r="BE143" i="1"/>
  <c r="AX58" i="1"/>
  <c r="CI60" i="1"/>
  <c r="CG174" i="1"/>
  <c r="BC4" i="1"/>
  <c r="BD178" i="1"/>
  <c r="BD7" i="1"/>
  <c r="BF18" i="1"/>
  <c r="CG140" i="1"/>
  <c r="AV5" i="1"/>
  <c r="BC171" i="1"/>
  <c r="AX35" i="1"/>
  <c r="AX21" i="1"/>
  <c r="EQ28" i="1"/>
  <c r="AU7" i="1"/>
  <c r="AX76" i="1"/>
  <c r="CI19" i="1"/>
  <c r="CD5" i="1"/>
  <c r="EL5" i="1"/>
  <c r="CE185" i="1"/>
  <c r="BF187" i="1"/>
  <c r="BC58" i="1"/>
  <c r="BC9" i="1"/>
  <c r="EO35" i="1"/>
  <c r="EP108" i="1"/>
  <c r="BE73" i="1"/>
  <c r="AU74" i="1"/>
  <c r="BC7" i="1"/>
  <c r="EQ32" i="1"/>
  <c r="CG37" i="1"/>
  <c r="AV37" i="1"/>
  <c r="CH78" i="1"/>
  <c r="CD78" i="1"/>
  <c r="EM164" i="1"/>
  <c r="EP104" i="1"/>
  <c r="AU9" i="1"/>
  <c r="CF28" i="1"/>
  <c r="AU22" i="1"/>
  <c r="AX19" i="1"/>
  <c r="EO105" i="1"/>
  <c r="AW33" i="1"/>
  <c r="AV188" i="1"/>
  <c r="AX14" i="1"/>
  <c r="CF22" i="1"/>
  <c r="BA29" i="1"/>
  <c r="CF10" i="1"/>
  <c r="AX74" i="1"/>
  <c r="BC185" i="1"/>
  <c r="BC61" i="1"/>
  <c r="EQ87" i="1"/>
  <c r="EP100" i="1"/>
  <c r="EM108" i="1"/>
  <c r="EL11" i="1"/>
  <c r="CD8" i="1"/>
  <c r="BA177" i="1"/>
  <c r="AT4" i="1"/>
  <c r="BA185" i="1"/>
  <c r="DD17" i="1"/>
  <c r="EM9" i="1"/>
  <c r="EL26" i="1"/>
  <c r="DC17" i="1"/>
  <c r="BA30" i="1"/>
  <c r="BA33" i="1"/>
  <c r="CE10" i="1"/>
  <c r="EM13" i="1"/>
  <c r="BA179" i="1"/>
  <c r="CD79" i="1"/>
  <c r="EM111" i="1"/>
  <c r="EL77" i="1"/>
  <c r="EL145" i="1"/>
  <c r="CD76" i="1"/>
  <c r="DE30" i="1"/>
  <c r="DF34" i="1"/>
  <c r="BA47" i="1"/>
  <c r="EM150" i="1"/>
  <c r="AS10" i="1"/>
  <c r="DC30" i="1"/>
  <c r="EM99" i="1"/>
  <c r="EL48" i="1"/>
  <c r="DD28" i="1"/>
  <c r="EL78" i="1"/>
  <c r="CD32" i="1"/>
  <c r="EL75" i="1"/>
  <c r="DF30" i="1"/>
  <c r="CD59" i="1"/>
  <c r="EM120" i="1"/>
  <c r="BA5" i="1"/>
  <c r="BB47" i="1"/>
  <c r="BB169" i="1"/>
  <c r="DE28" i="1"/>
  <c r="AS14" i="1"/>
  <c r="AT10" i="1"/>
  <c r="BA57" i="1"/>
  <c r="BA186" i="1"/>
  <c r="EL29" i="1"/>
  <c r="EL149" i="1"/>
  <c r="EL70" i="1"/>
  <c r="AT45" i="1"/>
  <c r="AS72" i="1"/>
  <c r="BA23" i="1"/>
  <c r="EL15" i="1"/>
  <c r="DF8" i="1"/>
  <c r="AU8" i="1"/>
  <c r="EQ86" i="1"/>
  <c r="BA28" i="1"/>
  <c r="CH61" i="1"/>
  <c r="EQ129" i="1"/>
  <c r="CF138" i="1"/>
  <c r="AV8" i="1"/>
  <c r="BC38" i="1"/>
  <c r="CH187" i="1"/>
  <c r="EM130" i="1"/>
  <c r="AS9" i="1"/>
  <c r="BA58" i="1"/>
  <c r="EL71" i="1"/>
  <c r="CD73" i="1"/>
  <c r="DC20" i="1"/>
  <c r="BB141" i="1"/>
  <c r="CE167" i="1"/>
  <c r="CE139" i="1"/>
  <c r="CE182" i="1"/>
  <c r="BA157" i="1"/>
  <c r="DD10" i="1"/>
  <c r="CD29" i="1"/>
  <c r="AT30" i="1"/>
  <c r="DE34" i="1"/>
  <c r="AT5" i="1"/>
  <c r="EM161" i="1"/>
  <c r="EM29" i="1"/>
  <c r="CE158" i="1"/>
  <c r="DC5" i="1"/>
  <c r="AS26" i="1"/>
  <c r="EM35" i="1"/>
  <c r="EL185" i="1"/>
  <c r="CE169" i="1"/>
  <c r="EL158" i="1"/>
  <c r="AT31" i="1"/>
  <c r="BB184" i="1"/>
  <c r="DD27" i="1"/>
  <c r="EM156" i="1"/>
  <c r="EM45" i="1"/>
  <c r="BB46" i="1"/>
  <c r="DF18" i="1"/>
  <c r="AS20" i="1"/>
  <c r="AS60" i="1"/>
  <c r="EO124" i="1"/>
  <c r="EN120" i="1"/>
  <c r="CD185" i="1"/>
  <c r="BA140" i="1"/>
  <c r="AU34" i="1"/>
  <c r="EQ18" i="1"/>
  <c r="CI5" i="1"/>
  <c r="CF17" i="1"/>
  <c r="CG24" i="1"/>
  <c r="BA152" i="1"/>
  <c r="BB139" i="1"/>
  <c r="BA20" i="1"/>
  <c r="AS61" i="1"/>
  <c r="AT21" i="1"/>
  <c r="EL101" i="1"/>
  <c r="DF9" i="1"/>
  <c r="CD146" i="1"/>
  <c r="DC33" i="1"/>
  <c r="AS21" i="1"/>
  <c r="AS30" i="1"/>
  <c r="DD26" i="1"/>
  <c r="AT16" i="1"/>
  <c r="CD18" i="1"/>
  <c r="DD21" i="1"/>
  <c r="BB5" i="1"/>
  <c r="BA176" i="1"/>
  <c r="EM93" i="1"/>
  <c r="EL97" i="1"/>
  <c r="CD61" i="1"/>
  <c r="EM6" i="1"/>
  <c r="EL31" i="1"/>
  <c r="DD22" i="1"/>
  <c r="BA59" i="1"/>
  <c r="EM5" i="1"/>
  <c r="BA22" i="1"/>
  <c r="EP101" i="1"/>
  <c r="AU71" i="1"/>
  <c r="EM185" i="1"/>
  <c r="BE35" i="1"/>
  <c r="AX36" i="1"/>
  <c r="CH27" i="1"/>
  <c r="EN10" i="1"/>
  <c r="EL45" i="1"/>
  <c r="DE31" i="1"/>
  <c r="EL189" i="1"/>
  <c r="BA15" i="1"/>
  <c r="EM11" i="1"/>
  <c r="EM166" i="1"/>
  <c r="BB158" i="1"/>
  <c r="EM23" i="1"/>
  <c r="EL94" i="1"/>
  <c r="EM33" i="1"/>
  <c r="AS78" i="1"/>
  <c r="EL6" i="1"/>
  <c r="BA38" i="1"/>
  <c r="CH37" i="1"/>
  <c r="BA151" i="1"/>
  <c r="CG23" i="1"/>
  <c r="AU31" i="1"/>
  <c r="EO34" i="1"/>
  <c r="AU15" i="1"/>
  <c r="CG77" i="1"/>
  <c r="CD141" i="1"/>
  <c r="EL186" i="1"/>
  <c r="BB32" i="1"/>
  <c r="CE31" i="1"/>
  <c r="AS57" i="1"/>
  <c r="BB37" i="1"/>
  <c r="BA158" i="1"/>
  <c r="BB45" i="1"/>
  <c r="EL4" i="1"/>
  <c r="AS77" i="1"/>
  <c r="EM175" i="1"/>
  <c r="CE20" i="1"/>
  <c r="DF10" i="1"/>
  <c r="CE36" i="1"/>
  <c r="DD29" i="1"/>
  <c r="BB144" i="1"/>
  <c r="EL20" i="1"/>
  <c r="BB23" i="1"/>
  <c r="CE156" i="1"/>
  <c r="BA188" i="1"/>
  <c r="CE21" i="1"/>
  <c r="DF38" i="1"/>
  <c r="BA8" i="1"/>
  <c r="BB26" i="1"/>
  <c r="DD7" i="1"/>
  <c r="BA36" i="1"/>
  <c r="EM15" i="1"/>
  <c r="AT32" i="1"/>
  <c r="DA10" i="1"/>
  <c r="DB14" i="1"/>
  <c r="DB19" i="1"/>
  <c r="DB23" i="1"/>
  <c r="DA25" i="1"/>
  <c r="DB33" i="1"/>
  <c r="DA38" i="1"/>
  <c r="DA30" i="1"/>
  <c r="DB26" i="1"/>
  <c r="DB13" i="1"/>
  <c r="DB30" i="1"/>
  <c r="DA11" i="1"/>
  <c r="DA24" i="1"/>
  <c r="DB25" i="1"/>
  <c r="DA19" i="1"/>
  <c r="DA27" i="1"/>
  <c r="DA33" i="1"/>
  <c r="EN29" i="1"/>
  <c r="EM104" i="1"/>
  <c r="CD26" i="1"/>
  <c r="BB167" i="1"/>
  <c r="EM14" i="1"/>
  <c r="CD60" i="1"/>
  <c r="DF22" i="1"/>
  <c r="BB34" i="1"/>
  <c r="AS46" i="1"/>
  <c r="BB183" i="1"/>
  <c r="CE145" i="1"/>
  <c r="BA184" i="1"/>
  <c r="EL102" i="1"/>
  <c r="CI173" i="1"/>
  <c r="CF26" i="1"/>
  <c r="EL18" i="1"/>
  <c r="EP22" i="1"/>
  <c r="CI25" i="1"/>
  <c r="AV23" i="1"/>
  <c r="EP111" i="1"/>
  <c r="CI36" i="1"/>
  <c r="EL103" i="1"/>
  <c r="EL73" i="1"/>
  <c r="EM22" i="1"/>
  <c r="CE15" i="1"/>
  <c r="BA12" i="1"/>
  <c r="EM128" i="1"/>
  <c r="CD10" i="1"/>
  <c r="DC35" i="1"/>
  <c r="DD33" i="1"/>
  <c r="EL104" i="1"/>
  <c r="EM37" i="1"/>
  <c r="DD13" i="1"/>
  <c r="DD11" i="1"/>
  <c r="EM168" i="1"/>
  <c r="CE33" i="1"/>
  <c r="BB19" i="1"/>
  <c r="EL151" i="1"/>
  <c r="DF12" i="1"/>
  <c r="DC16" i="1"/>
  <c r="CE170" i="1"/>
  <c r="AT11" i="1"/>
  <c r="CD72" i="1"/>
  <c r="DD38" i="1"/>
  <c r="AT8" i="1"/>
  <c r="EM149" i="1"/>
  <c r="EM109" i="1"/>
  <c r="EM97" i="1"/>
  <c r="DA6" i="1"/>
  <c r="DA8" i="1"/>
  <c r="DB20" i="1"/>
  <c r="DA20" i="1"/>
  <c r="DA36" i="1"/>
  <c r="DB21" i="1"/>
  <c r="DB9" i="1"/>
  <c r="DB37" i="1"/>
  <c r="DB32" i="1"/>
  <c r="DB29" i="1"/>
  <c r="DA17" i="1"/>
  <c r="DA32" i="1"/>
  <c r="DB31" i="1"/>
  <c r="CH140" i="1"/>
  <c r="BB171" i="1"/>
  <c r="EM105" i="1"/>
  <c r="DF14" i="1"/>
  <c r="BA11" i="1"/>
  <c r="EL154" i="1"/>
  <c r="AS27" i="1"/>
  <c r="CD157" i="1"/>
  <c r="DF23" i="1"/>
  <c r="EM34" i="1"/>
  <c r="CD34" i="1"/>
  <c r="CE137" i="1"/>
  <c r="DD8" i="1"/>
  <c r="EN129" i="1"/>
  <c r="EM174" i="1"/>
  <c r="EM36" i="1"/>
  <c r="AU189" i="1"/>
  <c r="AX13" i="1"/>
  <c r="EQ35" i="1"/>
  <c r="CG79" i="1"/>
  <c r="AS31" i="1"/>
  <c r="AS4" i="1"/>
  <c r="AT17" i="1"/>
  <c r="DC15" i="1"/>
  <c r="CE150" i="1"/>
  <c r="EL147" i="1"/>
  <c r="DE27" i="1"/>
  <c r="CE38" i="1"/>
  <c r="BB29" i="1"/>
  <c r="CD159" i="1"/>
  <c r="BB12" i="1"/>
  <c r="AT12" i="1"/>
  <c r="CD153" i="1"/>
  <c r="EL87" i="1"/>
  <c r="BB145" i="1"/>
  <c r="BA21" i="1"/>
  <c r="EM24" i="1"/>
  <c r="BA141" i="1"/>
  <c r="DC10" i="1"/>
  <c r="EL25" i="1"/>
  <c r="AS59" i="1"/>
  <c r="CD57" i="1"/>
  <c r="CD155" i="1"/>
  <c r="CE172" i="1"/>
  <c r="DF16" i="1"/>
  <c r="AT47" i="1"/>
  <c r="BA145" i="1"/>
  <c r="BA4" i="1"/>
  <c r="DA5" i="1"/>
  <c r="DA37" i="1"/>
  <c r="DA12" i="1"/>
  <c r="DB28" i="1"/>
  <c r="DB18" i="1"/>
  <c r="DB38" i="1"/>
  <c r="DB16" i="1"/>
  <c r="DB12" i="1"/>
  <c r="DA35" i="1"/>
  <c r="DB36" i="1"/>
  <c r="DB24" i="1"/>
  <c r="DB34" i="1"/>
  <c r="DA28" i="1"/>
  <c r="DB27" i="1"/>
  <c r="BD57" i="1"/>
  <c r="EL89" i="1"/>
  <c r="EL98" i="1"/>
  <c r="BB27" i="1"/>
  <c r="CD181" i="1"/>
  <c r="AT37" i="1"/>
  <c r="CE27" i="1"/>
  <c r="DD14" i="1"/>
  <c r="AT7" i="1"/>
  <c r="EM17" i="1"/>
  <c r="CD46" i="1"/>
  <c r="EL156" i="1"/>
  <c r="BA37" i="1"/>
  <c r="BF28" i="1"/>
  <c r="CD140" i="1"/>
  <c r="CF151" i="1"/>
  <c r="EP16" i="1"/>
  <c r="EO38" i="1"/>
  <c r="BF158" i="1"/>
  <c r="BC147" i="1"/>
  <c r="DE17" i="1"/>
  <c r="DC31" i="1"/>
  <c r="CD180" i="1"/>
  <c r="EL61" i="1"/>
  <c r="DF7" i="1"/>
  <c r="EL88" i="1"/>
  <c r="BA13" i="1"/>
  <c r="EM123" i="1"/>
  <c r="DE11" i="1"/>
  <c r="EM158" i="1"/>
  <c r="BA155" i="1"/>
  <c r="DD24" i="1"/>
  <c r="EM31" i="1"/>
  <c r="CD20" i="1"/>
  <c r="BA31" i="1"/>
  <c r="DF29" i="1"/>
  <c r="EL148" i="1"/>
  <c r="EM47" i="1"/>
  <c r="BB179" i="1"/>
  <c r="CE17" i="1"/>
  <c r="DD15" i="1"/>
  <c r="AS73" i="1"/>
  <c r="CE184" i="1"/>
  <c r="EL176" i="1"/>
  <c r="DF31" i="1"/>
  <c r="BA154" i="1"/>
  <c r="DE24" i="1"/>
  <c r="EL60" i="1"/>
  <c r="DA34" i="1"/>
  <c r="DA4" i="1"/>
  <c r="DA13" i="1"/>
  <c r="DA29" i="1"/>
  <c r="DA9" i="1"/>
  <c r="DA16" i="1"/>
  <c r="DA26" i="1"/>
  <c r="DB17" i="1"/>
  <c r="DA31" i="1"/>
  <c r="DA21" i="1"/>
  <c r="DB22" i="1"/>
  <c r="DA14" i="1"/>
  <c r="DA18" i="1"/>
  <c r="DB11" i="1"/>
  <c r="DA22" i="1"/>
  <c r="DB8" i="1"/>
  <c r="DB15" i="1"/>
  <c r="DA15" i="1"/>
  <c r="DB7" i="1"/>
  <c r="DA7" i="1"/>
  <c r="DB35" i="1"/>
  <c r="DB10" i="1"/>
  <c r="DA23" i="1"/>
  <c r="DH23" i="1" l="1"/>
  <c r="DN23" i="1"/>
  <c r="DJ23" i="1"/>
  <c r="DK10" i="1"/>
  <c r="DO10" i="1"/>
  <c r="DI10" i="1"/>
  <c r="DO35" i="1"/>
  <c r="DI35" i="1"/>
  <c r="DK35" i="1"/>
  <c r="DJ7" i="1"/>
  <c r="DN7" i="1"/>
  <c r="DV7" i="1" s="1"/>
  <c r="DH7" i="1"/>
  <c r="DB3" i="1"/>
  <c r="DO7" i="1"/>
  <c r="DK7" i="1"/>
  <c r="DI7" i="1"/>
  <c r="DN15" i="1"/>
  <c r="DH15" i="1"/>
  <c r="DJ15" i="1"/>
  <c r="DO15" i="1"/>
  <c r="DW15" i="1" s="1"/>
  <c r="DK15" i="1"/>
  <c r="DI15" i="1"/>
  <c r="DO8" i="1"/>
  <c r="DW8" i="1" s="1"/>
  <c r="DK8" i="1"/>
  <c r="DI8" i="1"/>
  <c r="DJ22" i="1"/>
  <c r="DN22" i="1"/>
  <c r="DV22" i="1" s="1"/>
  <c r="DH22" i="1"/>
  <c r="DI11" i="1"/>
  <c r="DO11" i="1"/>
  <c r="DK11" i="1"/>
  <c r="DN18" i="1"/>
  <c r="DV18" i="1" s="1"/>
  <c r="DJ18" i="1"/>
  <c r="DH18" i="1"/>
  <c r="DH14" i="1"/>
  <c r="DJ14" i="1"/>
  <c r="DN14" i="1"/>
  <c r="DI22" i="1"/>
  <c r="DO22" i="1"/>
  <c r="DK22" i="1"/>
  <c r="DJ21" i="1"/>
  <c r="DN21" i="1"/>
  <c r="DH21" i="1"/>
  <c r="DJ31" i="1"/>
  <c r="DH31" i="1"/>
  <c r="DN31" i="1"/>
  <c r="DI17" i="1"/>
  <c r="DK17" i="1"/>
  <c r="DO17" i="1"/>
  <c r="DN26" i="1"/>
  <c r="DH26" i="1"/>
  <c r="DJ26" i="1"/>
  <c r="DH16" i="1"/>
  <c r="DJ16" i="1"/>
  <c r="DN16" i="1"/>
  <c r="DV16" i="1" s="1"/>
  <c r="DJ9" i="1"/>
  <c r="DH9" i="1"/>
  <c r="DN9" i="1"/>
  <c r="DJ29" i="1"/>
  <c r="DH29" i="1"/>
  <c r="DN29" i="1"/>
  <c r="DN13" i="1"/>
  <c r="DH13" i="1"/>
  <c r="DJ13" i="1"/>
  <c r="DH4" i="1"/>
  <c r="DJ4" i="1"/>
  <c r="DN4" i="1"/>
  <c r="DV4" i="1" s="1"/>
  <c r="DA3" i="1"/>
  <c r="DH34" i="1"/>
  <c r="DJ34" i="1"/>
  <c r="DN34" i="1"/>
  <c r="EE60" i="1"/>
  <c r="DX60" i="1" s="1"/>
  <c r="BJ60" i="1" s="1"/>
  <c r="DT154" i="1"/>
  <c r="CQ154" i="1"/>
  <c r="BH154" i="1"/>
  <c r="DH154" i="1"/>
  <c r="DJ154" i="1"/>
  <c r="DN154" i="1"/>
  <c r="EE176" i="1"/>
  <c r="DX176" i="1" s="1"/>
  <c r="BJ176" i="1" s="1"/>
  <c r="AY73" i="1"/>
  <c r="B73" i="1"/>
  <c r="CK73" i="1"/>
  <c r="DU179" i="1"/>
  <c r="DI179" i="1"/>
  <c r="DO179" i="1"/>
  <c r="DK179" i="1"/>
  <c r="EF47" i="1"/>
  <c r="DY47" i="1" s="1"/>
  <c r="BK47" i="1" s="1"/>
  <c r="EE148" i="1"/>
  <c r="DX148" i="1" s="1"/>
  <c r="BJ148" i="1" s="1"/>
  <c r="BH31" i="1"/>
  <c r="DT31" i="1"/>
  <c r="CQ31" i="1"/>
  <c r="EF31" i="1"/>
  <c r="DY31" i="1" s="1"/>
  <c r="BK31" i="1" s="1"/>
  <c r="DJ155" i="1"/>
  <c r="BH155" i="1"/>
  <c r="DT155" i="1"/>
  <c r="DN155" i="1"/>
  <c r="CQ155" i="1"/>
  <c r="DH155" i="1"/>
  <c r="EF158" i="1"/>
  <c r="DY158" i="1" s="1"/>
  <c r="BK158" i="1" s="1"/>
  <c r="EF123" i="1"/>
  <c r="DY123" i="1" s="1"/>
  <c r="BK123" i="1" s="1"/>
  <c r="CQ13" i="1"/>
  <c r="BH13" i="1"/>
  <c r="DT13" i="1"/>
  <c r="EE88" i="1"/>
  <c r="DX88" i="1" s="1"/>
  <c r="BJ88" i="1" s="1"/>
  <c r="DF3" i="1"/>
  <c r="EE61" i="1"/>
  <c r="DX61" i="1" s="1"/>
  <c r="BJ61" i="1" s="1"/>
  <c r="CK180" i="1"/>
  <c r="BZ147" i="1"/>
  <c r="CS147" i="1"/>
  <c r="CB158" i="1"/>
  <c r="CU158" i="1"/>
  <c r="EH38" i="1"/>
  <c r="EA38" i="1" s="1"/>
  <c r="BM38" i="1" s="1"/>
  <c r="EI16" i="1"/>
  <c r="EB16" i="1" s="1"/>
  <c r="BN16" i="1" s="1"/>
  <c r="CM151" i="1"/>
  <c r="CK140" i="1"/>
  <c r="BH37" i="1"/>
  <c r="DT37" i="1"/>
  <c r="CQ37" i="1"/>
  <c r="EE156" i="1"/>
  <c r="DX156" i="1" s="1"/>
  <c r="BJ156" i="1" s="1"/>
  <c r="EF17" i="1"/>
  <c r="DY17" i="1" s="1"/>
  <c r="BK17" i="1" s="1"/>
  <c r="CK181" i="1"/>
  <c r="DU27" i="1"/>
  <c r="EE98" i="1"/>
  <c r="DX98" i="1" s="1"/>
  <c r="BJ98" i="1" s="1"/>
  <c r="EE89" i="1"/>
  <c r="DX89" i="1" s="1"/>
  <c r="BJ89" i="1" s="1"/>
  <c r="DI27" i="1"/>
  <c r="DK27" i="1"/>
  <c r="DO27" i="1"/>
  <c r="DN28" i="1"/>
  <c r="DV28" i="1" s="1"/>
  <c r="DJ28" i="1"/>
  <c r="DH28" i="1"/>
  <c r="DI34" i="1"/>
  <c r="DP34" i="1" s="1"/>
  <c r="DK34" i="1"/>
  <c r="DQ34" i="1" s="1"/>
  <c r="DO34" i="1"/>
  <c r="DK24" i="1"/>
  <c r="DO24" i="1"/>
  <c r="DI24" i="1"/>
  <c r="DK36" i="1"/>
  <c r="DO36" i="1"/>
  <c r="DI36" i="1"/>
  <c r="DN35" i="1"/>
  <c r="DJ35" i="1"/>
  <c r="DH35" i="1"/>
  <c r="DI12" i="1"/>
  <c r="DO12" i="1"/>
  <c r="DW12" i="1" s="1"/>
  <c r="DK12" i="1"/>
  <c r="DI16" i="1"/>
  <c r="DO16" i="1"/>
  <c r="DW16" i="1" s="1"/>
  <c r="DK16" i="1"/>
  <c r="DQ16" i="1" s="1"/>
  <c r="DK38" i="1"/>
  <c r="DO38" i="1"/>
  <c r="DI38" i="1"/>
  <c r="DI18" i="1"/>
  <c r="DL18" i="1" s="1"/>
  <c r="DK18" i="1"/>
  <c r="DO18" i="1"/>
  <c r="DW18" i="1" s="1"/>
  <c r="DK28" i="1"/>
  <c r="DI28" i="1"/>
  <c r="DO28" i="1"/>
  <c r="DN12" i="1"/>
  <c r="DH12" i="1"/>
  <c r="DJ12" i="1"/>
  <c r="DH37" i="1"/>
  <c r="DN37" i="1"/>
  <c r="DJ37" i="1"/>
  <c r="DH5" i="1"/>
  <c r="DN5" i="1"/>
  <c r="DJ5" i="1"/>
  <c r="BH4" i="1"/>
  <c r="CQ4" i="1"/>
  <c r="DT4" i="1"/>
  <c r="BA3" i="1"/>
  <c r="DJ145" i="1"/>
  <c r="BH145" i="1"/>
  <c r="DN145" i="1"/>
  <c r="DT145" i="1"/>
  <c r="DH145" i="1"/>
  <c r="CQ145" i="1"/>
  <c r="CK155" i="1"/>
  <c r="CK59" i="1"/>
  <c r="AY59" i="1"/>
  <c r="B59" i="1"/>
  <c r="EE25" i="1"/>
  <c r="DX25" i="1" s="1"/>
  <c r="BJ25" i="1" s="1"/>
  <c r="DH141" i="1"/>
  <c r="DJ141" i="1"/>
  <c r="BH141" i="1"/>
  <c r="BX141" i="1"/>
  <c r="DT141" i="1"/>
  <c r="DN141" i="1"/>
  <c r="CQ141" i="1"/>
  <c r="EF24" i="1"/>
  <c r="DY24" i="1" s="1"/>
  <c r="BK24" i="1" s="1"/>
  <c r="CQ21" i="1"/>
  <c r="BH21" i="1"/>
  <c r="DT21" i="1"/>
  <c r="DU145" i="1"/>
  <c r="DO145" i="1"/>
  <c r="DW145" i="1" s="1"/>
  <c r="DK145" i="1"/>
  <c r="DI145" i="1"/>
  <c r="EE87" i="1"/>
  <c r="DX87" i="1" s="1"/>
  <c r="BJ87" i="1" s="1"/>
  <c r="CK153" i="1"/>
  <c r="DU12" i="1"/>
  <c r="CK159" i="1"/>
  <c r="DU29" i="1"/>
  <c r="EE147" i="1"/>
  <c r="DX147" i="1" s="1"/>
  <c r="BJ147" i="1" s="1"/>
  <c r="CK4" i="1"/>
  <c r="AY4" i="1"/>
  <c r="AS3" i="1"/>
  <c r="B4" i="1"/>
  <c r="CK31" i="1"/>
  <c r="B31" i="1"/>
  <c r="AY31" i="1"/>
  <c r="EJ35" i="1"/>
  <c r="EC35" i="1" s="1"/>
  <c r="BO35" i="1" s="1"/>
  <c r="C189" i="1"/>
  <c r="E189" i="1" s="1"/>
  <c r="AY189" i="1"/>
  <c r="BS189" i="1"/>
  <c r="CM189" i="1"/>
  <c r="EF36" i="1"/>
  <c r="DY36" i="1" s="1"/>
  <c r="BK36" i="1" s="1"/>
  <c r="EF174" i="1"/>
  <c r="DY174" i="1" s="1"/>
  <c r="BK174" i="1" s="1"/>
  <c r="EG129" i="1"/>
  <c r="DZ129" i="1" s="1"/>
  <c r="BL129" i="1" s="1"/>
  <c r="EF34" i="1"/>
  <c r="DY34" i="1" s="1"/>
  <c r="BK34" i="1" s="1"/>
  <c r="CK157" i="1"/>
  <c r="CK27" i="1"/>
  <c r="AY27" i="1"/>
  <c r="B27" i="1"/>
  <c r="EE154" i="1"/>
  <c r="DX154" i="1" s="1"/>
  <c r="BJ154" i="1" s="1"/>
  <c r="DT11" i="1"/>
  <c r="BH11" i="1"/>
  <c r="CQ11" i="1"/>
  <c r="EF105" i="1"/>
  <c r="DY105" i="1" s="1"/>
  <c r="BK105" i="1" s="1"/>
  <c r="DO171" i="1"/>
  <c r="DI171" i="1"/>
  <c r="DU171" i="1"/>
  <c r="DK171" i="1"/>
  <c r="CO140" i="1"/>
  <c r="DI31" i="1"/>
  <c r="DK31" i="1"/>
  <c r="DO31" i="1"/>
  <c r="DW31" i="1" s="1"/>
  <c r="DJ32" i="1"/>
  <c r="DH32" i="1"/>
  <c r="DN32" i="1"/>
  <c r="DJ17" i="1"/>
  <c r="DN17" i="1"/>
  <c r="DV17" i="1" s="1"/>
  <c r="DH17" i="1"/>
  <c r="DI29" i="1"/>
  <c r="DO29" i="1"/>
  <c r="DW29" i="1" s="1"/>
  <c r="DK29" i="1"/>
  <c r="DQ29" i="1" s="1"/>
  <c r="DI32" i="1"/>
  <c r="DO32" i="1"/>
  <c r="DK32" i="1"/>
  <c r="DO37" i="1"/>
  <c r="DW37" i="1" s="1"/>
  <c r="DI37" i="1"/>
  <c r="DK37" i="1"/>
  <c r="DO9" i="1"/>
  <c r="DW9" i="1" s="1"/>
  <c r="DK9" i="1"/>
  <c r="DI9" i="1"/>
  <c r="DO21" i="1"/>
  <c r="DK21" i="1"/>
  <c r="DM21" i="1" s="1"/>
  <c r="DI21" i="1"/>
  <c r="DJ36" i="1"/>
  <c r="DN36" i="1"/>
  <c r="DH36" i="1"/>
  <c r="DL36" i="1" s="1"/>
  <c r="DJ20" i="1"/>
  <c r="DH20" i="1"/>
  <c r="DN20" i="1"/>
  <c r="DK20" i="1"/>
  <c r="DI20" i="1"/>
  <c r="DO20" i="1"/>
  <c r="DJ8" i="1"/>
  <c r="DH8" i="1"/>
  <c r="DP8" i="1" s="1"/>
  <c r="DN8" i="1"/>
  <c r="DV8" i="1" s="1"/>
  <c r="DH6" i="1"/>
  <c r="DJ6" i="1"/>
  <c r="DN6" i="1"/>
  <c r="DV6" i="1" s="1"/>
  <c r="EF97" i="1"/>
  <c r="DY97" i="1" s="1"/>
  <c r="BK97" i="1" s="1"/>
  <c r="EF109" i="1"/>
  <c r="DY109" i="1" s="1"/>
  <c r="BK109" i="1" s="1"/>
  <c r="EF149" i="1"/>
  <c r="DY149" i="1" s="1"/>
  <c r="BK149" i="1" s="1"/>
  <c r="EE151" i="1"/>
  <c r="DX151" i="1" s="1"/>
  <c r="BJ151" i="1" s="1"/>
  <c r="DU19" i="1"/>
  <c r="EF168" i="1"/>
  <c r="DY168" i="1" s="1"/>
  <c r="BK168" i="1" s="1"/>
  <c r="DR168" i="1" s="1"/>
  <c r="EF37" i="1"/>
  <c r="DY37" i="1" s="1"/>
  <c r="BK37" i="1" s="1"/>
  <c r="EE104" i="1"/>
  <c r="DX104" i="1" s="1"/>
  <c r="BJ104" i="1" s="1"/>
  <c r="EF128" i="1"/>
  <c r="DY128" i="1" s="1"/>
  <c r="BK128" i="1" s="1"/>
  <c r="CQ12" i="1"/>
  <c r="BH12" i="1"/>
  <c r="DT12" i="1"/>
  <c r="DV12" i="1" s="1"/>
  <c r="EF22" i="1"/>
  <c r="DY22" i="1" s="1"/>
  <c r="BK22" i="1" s="1"/>
  <c r="EE73" i="1"/>
  <c r="DX73" i="1" s="1"/>
  <c r="BJ73" i="1" s="1"/>
  <c r="EE103" i="1"/>
  <c r="DX103" i="1" s="1"/>
  <c r="BJ103" i="1" s="1"/>
  <c r="EI111" i="1"/>
  <c r="EB111" i="1" s="1"/>
  <c r="BN111" i="1" s="1"/>
  <c r="EI22" i="1"/>
  <c r="EB22" i="1" s="1"/>
  <c r="BN22" i="1" s="1"/>
  <c r="EE18" i="1"/>
  <c r="DX18" i="1" s="1"/>
  <c r="BJ18" i="1" s="1"/>
  <c r="EE102" i="1"/>
  <c r="DX102" i="1" s="1"/>
  <c r="BJ102" i="1" s="1"/>
  <c r="DH184" i="1"/>
  <c r="DJ184" i="1"/>
  <c r="BX184" i="1"/>
  <c r="DT184" i="1"/>
  <c r="DN184" i="1"/>
  <c r="DV184" i="1" s="1"/>
  <c r="BH184" i="1"/>
  <c r="CQ184" i="1"/>
  <c r="DI183" i="1"/>
  <c r="DO183" i="1"/>
  <c r="DU183" i="1"/>
  <c r="DK183" i="1"/>
  <c r="CK46" i="1"/>
  <c r="AY46" i="1"/>
  <c r="B46" i="1"/>
  <c r="DU34" i="1"/>
  <c r="EF14" i="1"/>
  <c r="DY14" i="1" s="1"/>
  <c r="BK14" i="1" s="1"/>
  <c r="DK167" i="1"/>
  <c r="DQ167" i="1" s="1"/>
  <c r="DO167" i="1"/>
  <c r="BH167" i="1"/>
  <c r="BI168" i="1" s="1"/>
  <c r="CQ167" i="1"/>
  <c r="DU167" i="1"/>
  <c r="DI167" i="1"/>
  <c r="DP167" i="1" s="1"/>
  <c r="EF104" i="1"/>
  <c r="DY104" i="1" s="1"/>
  <c r="BK104" i="1" s="1"/>
  <c r="EG29" i="1"/>
  <c r="DZ29" i="1" s="1"/>
  <c r="BL29" i="1" s="1"/>
  <c r="DH33" i="1"/>
  <c r="DN33" i="1"/>
  <c r="DV33" i="1" s="1"/>
  <c r="DJ33" i="1"/>
  <c r="DN27" i="1"/>
  <c r="DJ27" i="1"/>
  <c r="DH27" i="1"/>
  <c r="DH19" i="1"/>
  <c r="DN19" i="1"/>
  <c r="DJ19" i="1"/>
  <c r="DK25" i="1"/>
  <c r="DI25" i="1"/>
  <c r="DO25" i="1"/>
  <c r="DJ24" i="1"/>
  <c r="DM24" i="1" s="1"/>
  <c r="DN24" i="1"/>
  <c r="DH24" i="1"/>
  <c r="DN11" i="1"/>
  <c r="DH11" i="1"/>
  <c r="DJ11" i="1"/>
  <c r="DI30" i="1"/>
  <c r="DK30" i="1"/>
  <c r="DO30" i="1"/>
  <c r="DW30" i="1" s="1"/>
  <c r="DI13" i="1"/>
  <c r="DK13" i="1"/>
  <c r="DO13" i="1"/>
  <c r="DI26" i="1"/>
  <c r="DO26" i="1"/>
  <c r="DK26" i="1"/>
  <c r="DN30" i="1"/>
  <c r="DH30" i="1"/>
  <c r="DJ30" i="1"/>
  <c r="DH38" i="1"/>
  <c r="DJ38" i="1"/>
  <c r="DN38" i="1"/>
  <c r="DV38" i="1" s="1"/>
  <c r="DK33" i="1"/>
  <c r="DO33" i="1"/>
  <c r="DI33" i="1"/>
  <c r="DN25" i="1"/>
  <c r="DH25" i="1"/>
  <c r="DJ25" i="1"/>
  <c r="DK23" i="1"/>
  <c r="DI23" i="1"/>
  <c r="DP23" i="1" s="1"/>
  <c r="DO23" i="1"/>
  <c r="DK19" i="1"/>
  <c r="DI19" i="1"/>
  <c r="DO19" i="1"/>
  <c r="DW19" i="1" s="1"/>
  <c r="DI14" i="1"/>
  <c r="DK14" i="1"/>
  <c r="DO14" i="1"/>
  <c r="DJ10" i="1"/>
  <c r="DN10" i="1"/>
  <c r="DV10" i="1" s="1"/>
  <c r="DH10" i="1"/>
  <c r="EF15" i="1"/>
  <c r="DY15" i="1" s="1"/>
  <c r="BK15" i="1" s="1"/>
  <c r="DT36" i="1"/>
  <c r="BH36" i="1"/>
  <c r="CQ36" i="1"/>
  <c r="DD3" i="1"/>
  <c r="DU26" i="1"/>
  <c r="BH8" i="1"/>
  <c r="CQ8" i="1"/>
  <c r="DT8" i="1"/>
  <c r="DH188" i="1"/>
  <c r="DT188" i="1"/>
  <c r="CQ188" i="1"/>
  <c r="DJ188" i="1"/>
  <c r="DN188" i="1"/>
  <c r="DV188" i="1" s="1"/>
  <c r="BH188" i="1"/>
  <c r="DU23" i="1"/>
  <c r="EE20" i="1"/>
  <c r="DX20" i="1" s="1"/>
  <c r="BJ20" i="1" s="1"/>
  <c r="DU144" i="1"/>
  <c r="DK144" i="1"/>
  <c r="DO144" i="1"/>
  <c r="DW144" i="1" s="1"/>
  <c r="DI144" i="1"/>
  <c r="EF175" i="1"/>
  <c r="DY175" i="1" s="1"/>
  <c r="BK175" i="1" s="1"/>
  <c r="CK77" i="1"/>
  <c r="B77" i="1"/>
  <c r="AY77" i="1"/>
  <c r="EL3" i="1"/>
  <c r="EE4" i="1"/>
  <c r="DO45" i="1"/>
  <c r="DK45" i="1"/>
  <c r="DU45" i="1"/>
  <c r="DI45" i="1"/>
  <c r="BB44" i="1"/>
  <c r="CQ158" i="1"/>
  <c r="DT158" i="1"/>
  <c r="DH158" i="1"/>
  <c r="DJ158" i="1"/>
  <c r="BH158" i="1"/>
  <c r="DN158" i="1"/>
  <c r="DU37" i="1"/>
  <c r="B57" i="1"/>
  <c r="CK57" i="1"/>
  <c r="AY57" i="1"/>
  <c r="DU32" i="1"/>
  <c r="EE186" i="1"/>
  <c r="DX186" i="1" s="1"/>
  <c r="BJ186" i="1" s="1"/>
  <c r="CK141" i="1"/>
  <c r="CM15" i="1"/>
  <c r="C15" i="1"/>
  <c r="EH34" i="1"/>
  <c r="EA34" i="1" s="1"/>
  <c r="BM34" i="1" s="1"/>
  <c r="C31" i="1"/>
  <c r="CM31" i="1"/>
  <c r="BH151" i="1"/>
  <c r="CQ151" i="1"/>
  <c r="DJ151" i="1"/>
  <c r="DN151" i="1"/>
  <c r="DT151" i="1"/>
  <c r="DH151" i="1"/>
  <c r="DT38" i="1"/>
  <c r="CQ38" i="1"/>
  <c r="BH38" i="1"/>
  <c r="BI38" i="1" s="1"/>
  <c r="EE6" i="1"/>
  <c r="DX6" i="1" s="1"/>
  <c r="BJ6" i="1" s="1"/>
  <c r="CK78" i="1"/>
  <c r="AY78" i="1"/>
  <c r="B78" i="1"/>
  <c r="EF33" i="1"/>
  <c r="DY33" i="1" s="1"/>
  <c r="BK33" i="1" s="1"/>
  <c r="EE94" i="1"/>
  <c r="DX94" i="1" s="1"/>
  <c r="BJ94" i="1" s="1"/>
  <c r="EF23" i="1"/>
  <c r="DY23" i="1" s="1"/>
  <c r="BK23" i="1" s="1"/>
  <c r="DK158" i="1"/>
  <c r="DU158" i="1"/>
  <c r="DO158" i="1"/>
  <c r="DI158" i="1"/>
  <c r="EF166" i="1"/>
  <c r="DY166" i="1" s="1"/>
  <c r="BK166" i="1" s="1"/>
  <c r="EF11" i="1"/>
  <c r="DY11" i="1" s="1"/>
  <c r="BK11" i="1" s="1"/>
  <c r="CQ15" i="1"/>
  <c r="DT15" i="1"/>
  <c r="BH15" i="1"/>
  <c r="EE189" i="1"/>
  <c r="DX189" i="1" s="1"/>
  <c r="BJ189" i="1" s="1"/>
  <c r="EL44" i="1"/>
  <c r="EE45" i="1"/>
  <c r="DX45" i="1" s="1"/>
  <c r="BJ45" i="1" s="1"/>
  <c r="EG10" i="1"/>
  <c r="DZ10" i="1" s="1"/>
  <c r="BL10" i="1" s="1"/>
  <c r="CU35" i="1"/>
  <c r="EF185" i="1"/>
  <c r="DY185" i="1" s="1"/>
  <c r="BK185" i="1" s="1"/>
  <c r="BS71" i="1"/>
  <c r="BT71" i="1" s="1"/>
  <c r="CM71" i="1"/>
  <c r="C71" i="1"/>
  <c r="EI101" i="1"/>
  <c r="EB101" i="1" s="1"/>
  <c r="BN101" i="1" s="1"/>
  <c r="CQ22" i="1"/>
  <c r="DT22" i="1"/>
  <c r="BH22" i="1"/>
  <c r="EF5" i="1"/>
  <c r="DY5" i="1" s="1"/>
  <c r="BK5" i="1" s="1"/>
  <c r="DJ59" i="1"/>
  <c r="CQ59" i="1"/>
  <c r="DN59" i="1"/>
  <c r="DH59" i="1"/>
  <c r="DT59" i="1"/>
  <c r="BH59" i="1"/>
  <c r="EE31" i="1"/>
  <c r="DX31" i="1" s="1"/>
  <c r="BJ31" i="1" s="1"/>
  <c r="EF6" i="1"/>
  <c r="DY6" i="1" s="1"/>
  <c r="BK6" i="1" s="1"/>
  <c r="EE97" i="1"/>
  <c r="DX97" i="1" s="1"/>
  <c r="BJ97" i="1" s="1"/>
  <c r="EF93" i="1"/>
  <c r="DY93" i="1" s="1"/>
  <c r="BK93" i="1" s="1"/>
  <c r="DH176" i="1"/>
  <c r="DJ176" i="1"/>
  <c r="DT176" i="1"/>
  <c r="DN176" i="1"/>
  <c r="DV176" i="1" s="1"/>
  <c r="CQ176" i="1"/>
  <c r="BH176" i="1"/>
  <c r="DK5" i="1"/>
  <c r="DI5" i="1"/>
  <c r="DU5" i="1"/>
  <c r="DO5" i="1"/>
  <c r="B30" i="1"/>
  <c r="AY30" i="1"/>
  <c r="CK30" i="1"/>
  <c r="B21" i="1"/>
  <c r="AY21" i="1"/>
  <c r="CK21" i="1"/>
  <c r="CK146" i="1"/>
  <c r="EE101" i="1"/>
  <c r="DX101" i="1" s="1"/>
  <c r="BJ101" i="1" s="1"/>
  <c r="AY61" i="1"/>
  <c r="CK61" i="1"/>
  <c r="B61" i="1"/>
  <c r="BH20" i="1"/>
  <c r="DT20" i="1"/>
  <c r="DV20" i="1" s="1"/>
  <c r="CQ20" i="1"/>
  <c r="DU139" i="1"/>
  <c r="DI139" i="1"/>
  <c r="DK139" i="1"/>
  <c r="DO139" i="1"/>
  <c r="DW139" i="1" s="1"/>
  <c r="DT152" i="1"/>
  <c r="DH152" i="1"/>
  <c r="DJ152" i="1"/>
  <c r="CQ152" i="1"/>
  <c r="DN152" i="1"/>
  <c r="BH152" i="1"/>
  <c r="EJ18" i="1"/>
  <c r="EC18" i="1" s="1"/>
  <c r="BO18" i="1" s="1"/>
  <c r="CM34" i="1"/>
  <c r="C34" i="1"/>
  <c r="BH140" i="1"/>
  <c r="BX140" i="1"/>
  <c r="DT140" i="1"/>
  <c r="DJ140" i="1"/>
  <c r="DN140" i="1"/>
  <c r="CQ140" i="1"/>
  <c r="DH140" i="1"/>
  <c r="CK185" i="1"/>
  <c r="EG120" i="1"/>
  <c r="DZ120" i="1" s="1"/>
  <c r="BL120" i="1" s="1"/>
  <c r="EH124" i="1"/>
  <c r="EA124" i="1" s="1"/>
  <c r="BM124" i="1" s="1"/>
  <c r="AY60" i="1"/>
  <c r="B60" i="1"/>
  <c r="CK60" i="1"/>
  <c r="AY20" i="1"/>
  <c r="B20" i="1"/>
  <c r="CK20" i="1"/>
  <c r="DO46" i="1"/>
  <c r="DK46" i="1"/>
  <c r="DI46" i="1"/>
  <c r="DU46" i="1"/>
  <c r="EM44" i="1"/>
  <c r="EF45" i="1"/>
  <c r="DY45" i="1" s="1"/>
  <c r="BK45" i="1" s="1"/>
  <c r="EF156" i="1"/>
  <c r="DY156" i="1" s="1"/>
  <c r="BK156" i="1" s="1"/>
  <c r="BQ156" i="1" s="1"/>
  <c r="CW156" i="1" s="1"/>
  <c r="DI184" i="1"/>
  <c r="DK184" i="1"/>
  <c r="DO184" i="1"/>
  <c r="DU184" i="1"/>
  <c r="EE158" i="1"/>
  <c r="DX158" i="1" s="1"/>
  <c r="BJ158" i="1" s="1"/>
  <c r="EE185" i="1"/>
  <c r="DX185" i="1" s="1"/>
  <c r="BJ185" i="1" s="1"/>
  <c r="EF35" i="1"/>
  <c r="DY35" i="1" s="1"/>
  <c r="BK35" i="1" s="1"/>
  <c r="B26" i="1"/>
  <c r="CK26" i="1"/>
  <c r="AY26" i="1"/>
  <c r="EF29" i="1"/>
  <c r="DY29" i="1" s="1"/>
  <c r="BK29" i="1" s="1"/>
  <c r="EF161" i="1"/>
  <c r="DY161" i="1" s="1"/>
  <c r="BK161" i="1" s="1"/>
  <c r="CQ157" i="1"/>
  <c r="DN157" i="1"/>
  <c r="DJ157" i="1"/>
  <c r="BH157" i="1"/>
  <c r="DH157" i="1"/>
  <c r="DT157" i="1"/>
  <c r="DU141" i="1"/>
  <c r="DI141" i="1"/>
  <c r="DK141" i="1"/>
  <c r="DO141" i="1"/>
  <c r="DW141" i="1" s="1"/>
  <c r="EE71" i="1"/>
  <c r="DX71" i="1" s="1"/>
  <c r="BJ71" i="1" s="1"/>
  <c r="BH58" i="1"/>
  <c r="DH58" i="1"/>
  <c r="DN58" i="1"/>
  <c r="CQ58" i="1"/>
  <c r="DT58" i="1"/>
  <c r="DJ58" i="1"/>
  <c r="CK9" i="1"/>
  <c r="AY9" i="1"/>
  <c r="B9" i="1"/>
  <c r="EF130" i="1"/>
  <c r="DY130" i="1" s="1"/>
  <c r="BK130" i="1" s="1"/>
  <c r="CO187" i="1"/>
  <c r="CS38" i="1"/>
  <c r="EJ129" i="1"/>
  <c r="EC129" i="1" s="1"/>
  <c r="BO129" i="1" s="1"/>
  <c r="CQ28" i="1"/>
  <c r="BH28" i="1"/>
  <c r="DT28" i="1"/>
  <c r="EJ86" i="1"/>
  <c r="EC86" i="1" s="1"/>
  <c r="BO86" i="1" s="1"/>
  <c r="CM8" i="1"/>
  <c r="C8" i="1"/>
  <c r="EE15" i="1"/>
  <c r="DX15" i="1" s="1"/>
  <c r="BJ15" i="1" s="1"/>
  <c r="BQ15" i="1" s="1"/>
  <c r="CQ23" i="1"/>
  <c r="DT23" i="1"/>
  <c r="BH23" i="1"/>
  <c r="CK72" i="1"/>
  <c r="B72" i="1"/>
  <c r="AY72" i="1"/>
  <c r="AT44" i="1"/>
  <c r="EE70" i="1"/>
  <c r="DX70" i="1" s="1"/>
  <c r="BJ70" i="1" s="1"/>
  <c r="EE149" i="1"/>
  <c r="DX149" i="1" s="1"/>
  <c r="BJ149" i="1" s="1"/>
  <c r="EE29" i="1"/>
  <c r="DX29" i="1" s="1"/>
  <c r="BJ29" i="1" s="1"/>
  <c r="BH186" i="1"/>
  <c r="DJ186" i="1"/>
  <c r="DH186" i="1"/>
  <c r="CQ186" i="1"/>
  <c r="DN186" i="1"/>
  <c r="DT186" i="1"/>
  <c r="BH57" i="1"/>
  <c r="BI57" i="1" s="1"/>
  <c r="DJ57" i="1"/>
  <c r="DT57" i="1"/>
  <c r="DN57" i="1"/>
  <c r="DV57" i="1" s="1"/>
  <c r="CQ57" i="1"/>
  <c r="DH57" i="1"/>
  <c r="B14" i="1"/>
  <c r="AY14" i="1"/>
  <c r="CK14" i="1"/>
  <c r="DU169" i="1"/>
  <c r="DO169" i="1"/>
  <c r="DK169" i="1"/>
  <c r="DI169" i="1"/>
  <c r="DO47" i="1"/>
  <c r="DK47" i="1"/>
  <c r="DU47" i="1"/>
  <c r="DI47" i="1"/>
  <c r="CQ5" i="1"/>
  <c r="BH5" i="1"/>
  <c r="DT5" i="1"/>
  <c r="EF120" i="1"/>
  <c r="DY120" i="1" s="1"/>
  <c r="BK120" i="1" s="1"/>
  <c r="EE75" i="1"/>
  <c r="DX75" i="1" s="1"/>
  <c r="BJ75" i="1" s="1"/>
  <c r="EE78" i="1"/>
  <c r="DX78" i="1" s="1"/>
  <c r="BJ78" i="1" s="1"/>
  <c r="EE48" i="1"/>
  <c r="DX48" i="1" s="1"/>
  <c r="BJ48" i="1" s="1"/>
  <c r="EF99" i="1"/>
  <c r="DY99" i="1" s="1"/>
  <c r="BK99" i="1" s="1"/>
  <c r="AY10" i="1"/>
  <c r="B10" i="1"/>
  <c r="CK10" i="1"/>
  <c r="EF150" i="1"/>
  <c r="DY150" i="1" s="1"/>
  <c r="BK150" i="1" s="1"/>
  <c r="DH47" i="1"/>
  <c r="CQ47" i="1"/>
  <c r="BH47" i="1"/>
  <c r="DN47" i="1"/>
  <c r="DV47" i="1" s="1"/>
  <c r="DJ47" i="1"/>
  <c r="DT47" i="1"/>
  <c r="EE145" i="1"/>
  <c r="DX145" i="1" s="1"/>
  <c r="BJ145" i="1" s="1"/>
  <c r="EL136" i="1"/>
  <c r="EE77" i="1"/>
  <c r="DX77" i="1" s="1"/>
  <c r="BJ77" i="1" s="1"/>
  <c r="EF111" i="1"/>
  <c r="DY111" i="1" s="1"/>
  <c r="BK111" i="1" s="1"/>
  <c r="BX179" i="1"/>
  <c r="DH179" i="1"/>
  <c r="DT179" i="1"/>
  <c r="BH179" i="1"/>
  <c r="DN179" i="1"/>
  <c r="DV179" i="1" s="1"/>
  <c r="CQ179" i="1"/>
  <c r="DJ179" i="1"/>
  <c r="DM179" i="1" s="1"/>
  <c r="EF13" i="1"/>
  <c r="DY13" i="1" s="1"/>
  <c r="BK13" i="1" s="1"/>
  <c r="CQ33" i="1"/>
  <c r="BH33" i="1"/>
  <c r="DT33" i="1"/>
  <c r="DT30" i="1"/>
  <c r="BH30" i="1"/>
  <c r="CQ30" i="1"/>
  <c r="EE26" i="1"/>
  <c r="DX26" i="1" s="1"/>
  <c r="BJ26" i="1" s="1"/>
  <c r="EF9" i="1"/>
  <c r="DY9" i="1" s="1"/>
  <c r="BK9" i="1" s="1"/>
  <c r="DN185" i="1"/>
  <c r="DV185" i="1" s="1"/>
  <c r="BH185" i="1"/>
  <c r="BI185" i="1" s="1"/>
  <c r="DH185" i="1"/>
  <c r="CQ185" i="1"/>
  <c r="DJ185" i="1"/>
  <c r="DT185" i="1"/>
  <c r="AT3" i="1"/>
  <c r="DN177" i="1"/>
  <c r="DT177" i="1"/>
  <c r="BH177" i="1"/>
  <c r="DH177" i="1"/>
  <c r="BX177" i="1"/>
  <c r="CQ177" i="1"/>
  <c r="DJ177" i="1"/>
  <c r="EE11" i="1"/>
  <c r="DX11" i="1" s="1"/>
  <c r="BJ11" i="1" s="1"/>
  <c r="BQ11" i="1" s="1"/>
  <c r="EF108" i="1"/>
  <c r="DY108" i="1" s="1"/>
  <c r="BK108" i="1" s="1"/>
  <c r="EI100" i="1"/>
  <c r="EB100" i="1" s="1"/>
  <c r="BN100" i="1" s="1"/>
  <c r="EJ87" i="1"/>
  <c r="EC87" i="1" s="1"/>
  <c r="BO87" i="1" s="1"/>
  <c r="CS61" i="1"/>
  <c r="BZ61" i="1"/>
  <c r="CS185" i="1"/>
  <c r="BZ185" i="1"/>
  <c r="DT29" i="1"/>
  <c r="BH29" i="1"/>
  <c r="CQ29" i="1"/>
  <c r="CO33" i="1"/>
  <c r="D33" i="1"/>
  <c r="EH105" i="1"/>
  <c r="EA105" i="1" s="1"/>
  <c r="BM105" i="1" s="1"/>
  <c r="C22" i="1"/>
  <c r="CM22" i="1"/>
  <c r="C9" i="1"/>
  <c r="CM9" i="1"/>
  <c r="EI104" i="1"/>
  <c r="EB104" i="1" s="1"/>
  <c r="BN104" i="1" s="1"/>
  <c r="EF164" i="1"/>
  <c r="DY164" i="1" s="1"/>
  <c r="BK164" i="1" s="1"/>
  <c r="EJ32" i="1"/>
  <c r="EC32" i="1" s="1"/>
  <c r="BO32" i="1" s="1"/>
  <c r="CS7" i="1"/>
  <c r="BS74" i="1"/>
  <c r="CM74" i="1"/>
  <c r="C74" i="1"/>
  <c r="CU73" i="1"/>
  <c r="CB73" i="1"/>
  <c r="EI108" i="1"/>
  <c r="EB108" i="1" s="1"/>
  <c r="BN108" i="1" s="1"/>
  <c r="EH35" i="1"/>
  <c r="EA35" i="1" s="1"/>
  <c r="BM35" i="1" s="1"/>
  <c r="CS9" i="1"/>
  <c r="BZ58" i="1"/>
  <c r="CS58" i="1"/>
  <c r="EE5" i="1"/>
  <c r="DX5" i="1" s="1"/>
  <c r="BJ5" i="1" s="1"/>
  <c r="C7" i="1"/>
  <c r="CM7" i="1"/>
  <c r="EJ28" i="1"/>
  <c r="EC28" i="1" s="1"/>
  <c r="BO28" i="1" s="1"/>
  <c r="CS171" i="1"/>
  <c r="BZ171" i="1"/>
  <c r="CS4" i="1"/>
  <c r="BC3" i="1"/>
  <c r="CU143" i="1"/>
  <c r="CB143" i="1"/>
  <c r="BH72" i="1"/>
  <c r="CQ72" i="1"/>
  <c r="DT72" i="1"/>
  <c r="DH72" i="1"/>
  <c r="DN72" i="1"/>
  <c r="DV72" i="1" s="1"/>
  <c r="EF119" i="1"/>
  <c r="DY119" i="1" s="1"/>
  <c r="BK119" i="1" s="1"/>
  <c r="BH150" i="1"/>
  <c r="DT150" i="1"/>
  <c r="DH150" i="1"/>
  <c r="DJ150" i="1"/>
  <c r="DN150" i="1"/>
  <c r="CQ150" i="1"/>
  <c r="CK142" i="1"/>
  <c r="CU15" i="1"/>
  <c r="EO84" i="1"/>
  <c r="EH85" i="1"/>
  <c r="EA85" i="1" s="1"/>
  <c r="BM85" i="1" s="1"/>
  <c r="CI3" i="1"/>
  <c r="CU77" i="1"/>
  <c r="CB77" i="1"/>
  <c r="EJ23" i="1"/>
  <c r="EC23" i="1" s="1"/>
  <c r="BO23" i="1" s="1"/>
  <c r="CB188" i="1"/>
  <c r="CU188" i="1"/>
  <c r="BZ164" i="1"/>
  <c r="CA164" i="1" s="1"/>
  <c r="CS164" i="1"/>
  <c r="CO149" i="1"/>
  <c r="CQ32" i="1"/>
  <c r="BH32" i="1"/>
  <c r="BI32" i="1" s="1"/>
  <c r="DT32" i="1"/>
  <c r="AY45" i="1"/>
  <c r="CK45" i="1"/>
  <c r="B45" i="1"/>
  <c r="AS44" i="1"/>
  <c r="B44" i="1" s="1"/>
  <c r="CM157" i="1"/>
  <c r="CO152" i="1"/>
  <c r="BZ141" i="1"/>
  <c r="CS141" i="1"/>
  <c r="EH120" i="1"/>
  <c r="EA120" i="1" s="1"/>
  <c r="BM120" i="1" s="1"/>
  <c r="AX3" i="1"/>
  <c r="EJ99" i="1"/>
  <c r="EC99" i="1" s="1"/>
  <c r="BO99" i="1" s="1"/>
  <c r="DU24" i="1"/>
  <c r="CQ60" i="1"/>
  <c r="DH60" i="1"/>
  <c r="DN60" i="1"/>
  <c r="BH60" i="1"/>
  <c r="DT60" i="1"/>
  <c r="DJ60" i="1"/>
  <c r="DI147" i="1"/>
  <c r="DO147" i="1"/>
  <c r="DK147" i="1"/>
  <c r="DU147" i="1"/>
  <c r="DJ73" i="1"/>
  <c r="DN73" i="1"/>
  <c r="BH73" i="1"/>
  <c r="DH73" i="1"/>
  <c r="DT73" i="1"/>
  <c r="CQ73" i="1"/>
  <c r="EF126" i="1"/>
  <c r="DY126" i="1" s="1"/>
  <c r="BK126" i="1" s="1"/>
  <c r="DO146" i="1"/>
  <c r="DW146" i="1" s="1"/>
  <c r="DU146" i="1"/>
  <c r="DI146" i="1"/>
  <c r="DK146" i="1"/>
  <c r="B5" i="1"/>
  <c r="CK5" i="1"/>
  <c r="AY5" i="1"/>
  <c r="CK152" i="1"/>
  <c r="EG89" i="1"/>
  <c r="DZ89" i="1" s="1"/>
  <c r="BL89" i="1" s="1"/>
  <c r="CM139" i="1"/>
  <c r="CM25" i="1"/>
  <c r="C25" i="1"/>
  <c r="CO13" i="1"/>
  <c r="D13" i="1"/>
  <c r="CO26" i="1"/>
  <c r="D26" i="1"/>
  <c r="CO144" i="1"/>
  <c r="CU9" i="1"/>
  <c r="EH112" i="1"/>
  <c r="EA112" i="1" s="1"/>
  <c r="BM112" i="1" s="1"/>
  <c r="EE34" i="1"/>
  <c r="DX34" i="1" s="1"/>
  <c r="BJ34" i="1" s="1"/>
  <c r="EF100" i="1"/>
  <c r="DY100" i="1" s="1"/>
  <c r="BK100" i="1" s="1"/>
  <c r="EJ93" i="1"/>
  <c r="EC93" i="1" s="1"/>
  <c r="BO93" i="1" s="1"/>
  <c r="C60" i="1"/>
  <c r="BS60" i="1"/>
  <c r="CM60" i="1"/>
  <c r="CM33" i="1"/>
  <c r="C33" i="1"/>
  <c r="EI90" i="1"/>
  <c r="EB90" i="1" s="1"/>
  <c r="BN90" i="1" s="1"/>
  <c r="C21" i="1"/>
  <c r="CM21" i="1"/>
  <c r="BU47" i="1"/>
  <c r="D47" i="1"/>
  <c r="CO47" i="1"/>
  <c r="EH106" i="1"/>
  <c r="EA106" i="1" s="1"/>
  <c r="BM106" i="1" s="1"/>
  <c r="CO21" i="1"/>
  <c r="D21" i="1"/>
  <c r="CU26" i="1"/>
  <c r="EE153" i="1"/>
  <c r="DX153" i="1" s="1"/>
  <c r="BJ153" i="1" s="1"/>
  <c r="B29" i="1"/>
  <c r="CK29" i="1"/>
  <c r="AY29" i="1"/>
  <c r="B75" i="1"/>
  <c r="CK75" i="1"/>
  <c r="AY75" i="1"/>
  <c r="CS34" i="1"/>
  <c r="CS23" i="1"/>
  <c r="CM181" i="1"/>
  <c r="BZ178" i="1"/>
  <c r="CS178" i="1"/>
  <c r="CM11" i="1"/>
  <c r="C11" i="1"/>
  <c r="EQ3" i="1"/>
  <c r="EJ4" i="1"/>
  <c r="EC4" i="1" s="1"/>
  <c r="BO4" i="1" s="1"/>
  <c r="EI120" i="1"/>
  <c r="EB120" i="1" s="1"/>
  <c r="BN120" i="1" s="1"/>
  <c r="EJ111" i="1"/>
  <c r="EC111" i="1" s="1"/>
  <c r="BO111" i="1" s="1"/>
  <c r="DI137" i="1"/>
  <c r="DL137" i="1" s="1"/>
  <c r="CQ137" i="1"/>
  <c r="BH137" i="1"/>
  <c r="BB136" i="1"/>
  <c r="DK137" i="1"/>
  <c r="DR137" i="1" s="1"/>
  <c r="BX137" i="1"/>
  <c r="DU137" i="1"/>
  <c r="DO137" i="1"/>
  <c r="DW137" i="1" s="1"/>
  <c r="ED137" i="1" s="1"/>
  <c r="EE7" i="1"/>
  <c r="DX7" i="1" s="1"/>
  <c r="BJ7" i="1" s="1"/>
  <c r="EE24" i="1"/>
  <c r="DX24" i="1" s="1"/>
  <c r="BJ24" i="1" s="1"/>
  <c r="AV44" i="1"/>
  <c r="BZ138" i="1"/>
  <c r="CS138" i="1"/>
  <c r="BZ177" i="1"/>
  <c r="CS177" i="1"/>
  <c r="EE107" i="1"/>
  <c r="DX107" i="1" s="1"/>
  <c r="BJ107" i="1" s="1"/>
  <c r="BH180" i="1"/>
  <c r="CQ180" i="1"/>
  <c r="DN180" i="1"/>
  <c r="DV180" i="1" s="1"/>
  <c r="DJ180" i="1"/>
  <c r="DH180" i="1"/>
  <c r="DT180" i="1"/>
  <c r="BX180" i="1"/>
  <c r="BD136" i="1"/>
  <c r="CO46" i="1"/>
  <c r="D46" i="1"/>
  <c r="BU46" i="1"/>
  <c r="DU21" i="1"/>
  <c r="DT14" i="1"/>
  <c r="DV14" i="1" s="1"/>
  <c r="CQ14" i="1"/>
  <c r="BH14" i="1"/>
  <c r="BI14" i="1" s="1"/>
  <c r="CK137" i="1"/>
  <c r="B23" i="1"/>
  <c r="AY23" i="1"/>
  <c r="CK23" i="1"/>
  <c r="CK147" i="1"/>
  <c r="DU150" i="1"/>
  <c r="DI150" i="1"/>
  <c r="DO150" i="1"/>
  <c r="DW150" i="1" s="1"/>
  <c r="DK150" i="1"/>
  <c r="EE8" i="1"/>
  <c r="DX8" i="1" s="1"/>
  <c r="BJ8" i="1" s="1"/>
  <c r="EF189" i="1"/>
  <c r="DY189" i="1" s="1"/>
  <c r="BK189" i="1" s="1"/>
  <c r="EE22" i="1"/>
  <c r="DX22" i="1" s="1"/>
  <c r="BJ22" i="1" s="1"/>
  <c r="AY38" i="1"/>
  <c r="B38" i="1"/>
  <c r="CK38" i="1"/>
  <c r="EF152" i="1"/>
  <c r="DY152" i="1" s="1"/>
  <c r="BK152" i="1" s="1"/>
  <c r="DN178" i="1"/>
  <c r="DV178" i="1" s="1"/>
  <c r="BH178" i="1"/>
  <c r="CQ178" i="1"/>
  <c r="BX178" i="1"/>
  <c r="DJ178" i="1"/>
  <c r="DT178" i="1"/>
  <c r="DH178" i="1"/>
  <c r="DU142" i="1"/>
  <c r="DI142" i="1"/>
  <c r="DK142" i="1"/>
  <c r="DO142" i="1"/>
  <c r="DW142" i="1" s="1"/>
  <c r="DU152" i="1"/>
  <c r="DO152" i="1"/>
  <c r="DW152" i="1" s="1"/>
  <c r="DK152" i="1"/>
  <c r="DI152" i="1"/>
  <c r="DI170" i="1"/>
  <c r="DO170" i="1"/>
  <c r="DU170" i="1"/>
  <c r="DK170" i="1"/>
  <c r="DU13" i="1"/>
  <c r="EF160" i="1"/>
  <c r="DY160" i="1" s="1"/>
  <c r="BK160" i="1" s="1"/>
  <c r="DH148" i="1"/>
  <c r="DN148" i="1"/>
  <c r="CQ148" i="1"/>
  <c r="DJ148" i="1"/>
  <c r="DT148" i="1"/>
  <c r="BH148" i="1"/>
  <c r="CS31" i="1"/>
  <c r="BZ149" i="1"/>
  <c r="CS149" i="1"/>
  <c r="CF136" i="1"/>
  <c r="CM154" i="1"/>
  <c r="EI86" i="1"/>
  <c r="EB86" i="1" s="1"/>
  <c r="BN86" i="1" s="1"/>
  <c r="EI95" i="1"/>
  <c r="EB95" i="1" s="1"/>
  <c r="BN95" i="1" s="1"/>
  <c r="DJ75" i="1"/>
  <c r="DT75" i="1"/>
  <c r="CQ75" i="1"/>
  <c r="DN75" i="1"/>
  <c r="DV75" i="1" s="1"/>
  <c r="DH75" i="1"/>
  <c r="BH75" i="1"/>
  <c r="EJ5" i="1"/>
  <c r="EC5" i="1" s="1"/>
  <c r="BO5" i="1" s="1"/>
  <c r="EF159" i="1"/>
  <c r="DY159" i="1" s="1"/>
  <c r="BK159" i="1" s="1"/>
  <c r="BX159" i="1" s="1"/>
  <c r="CK166" i="1"/>
  <c r="DJ153" i="1"/>
  <c r="DH153" i="1"/>
  <c r="CQ153" i="1"/>
  <c r="DT153" i="1"/>
  <c r="BH153" i="1"/>
  <c r="DN153" i="1"/>
  <c r="EE188" i="1"/>
  <c r="DX188" i="1" s="1"/>
  <c r="BJ188" i="1" s="1"/>
  <c r="EE35" i="1"/>
  <c r="DX35" i="1" s="1"/>
  <c r="BJ35" i="1" s="1"/>
  <c r="CD3" i="1"/>
  <c r="DU35" i="1"/>
  <c r="EF146" i="1"/>
  <c r="DY146" i="1" s="1"/>
  <c r="BK146" i="1" s="1"/>
  <c r="DT35" i="1"/>
  <c r="CQ35" i="1"/>
  <c r="BH35" i="1"/>
  <c r="B74" i="1"/>
  <c r="AY74" i="1"/>
  <c r="CK74" i="1"/>
  <c r="CK149" i="1"/>
  <c r="DU20" i="1"/>
  <c r="DH160" i="1"/>
  <c r="BH160" i="1"/>
  <c r="DT160" i="1"/>
  <c r="DN160" i="1"/>
  <c r="CQ160" i="1"/>
  <c r="EF28" i="1"/>
  <c r="DY28" i="1" s="1"/>
  <c r="BK28" i="1" s="1"/>
  <c r="EM136" i="1"/>
  <c r="EF145" i="1"/>
  <c r="DY145" i="1" s="1"/>
  <c r="BK145" i="1" s="1"/>
  <c r="DU30" i="1"/>
  <c r="DU33" i="1"/>
  <c r="DK153" i="1"/>
  <c r="DI153" i="1"/>
  <c r="DO153" i="1"/>
  <c r="DU153" i="1"/>
  <c r="EF110" i="1"/>
  <c r="DY110" i="1" s="1"/>
  <c r="BK110" i="1" s="1"/>
  <c r="DI151" i="1"/>
  <c r="DO151" i="1"/>
  <c r="DU151" i="1"/>
  <c r="BH17" i="1"/>
  <c r="CQ17" i="1"/>
  <c r="DT17" i="1"/>
  <c r="EE95" i="1"/>
  <c r="DX95" i="1" s="1"/>
  <c r="BJ95" i="1" s="1"/>
  <c r="EF124" i="1"/>
  <c r="DY124" i="1" s="1"/>
  <c r="BK124" i="1" s="1"/>
  <c r="EF170" i="1"/>
  <c r="DY170" i="1" s="1"/>
  <c r="BK170" i="1" s="1"/>
  <c r="DI159" i="1"/>
  <c r="DU159" i="1"/>
  <c r="DO159" i="1"/>
  <c r="DK159" i="1"/>
  <c r="DT74" i="1"/>
  <c r="DH74" i="1"/>
  <c r="DJ74" i="1"/>
  <c r="DN74" i="1"/>
  <c r="DV74" i="1" s="1"/>
  <c r="BH74" i="1"/>
  <c r="CQ74" i="1"/>
  <c r="CK158" i="1"/>
  <c r="EF96" i="1"/>
  <c r="DY96" i="1" s="1"/>
  <c r="BK96" i="1" s="1"/>
  <c r="CK148" i="1"/>
  <c r="EG8" i="1"/>
  <c r="DZ8" i="1" s="1"/>
  <c r="BL8" i="1" s="1"/>
  <c r="CM187" i="1"/>
  <c r="EG118" i="1"/>
  <c r="DZ118" i="1" s="1"/>
  <c r="BL118" i="1" s="1"/>
  <c r="EH127" i="1"/>
  <c r="EA127" i="1" s="1"/>
  <c r="BM127" i="1" s="1"/>
  <c r="C35" i="1"/>
  <c r="CM35" i="1"/>
  <c r="EI11" i="1"/>
  <c r="EB11" i="1" s="1"/>
  <c r="BN11" i="1" s="1"/>
  <c r="EG114" i="1"/>
  <c r="DZ114" i="1" s="1"/>
  <c r="BL114" i="1" s="1"/>
  <c r="EH37" i="1"/>
  <c r="EA37" i="1" s="1"/>
  <c r="BM37" i="1" s="1"/>
  <c r="EJ22" i="1"/>
  <c r="EC22" i="1" s="1"/>
  <c r="BO22" i="1" s="1"/>
  <c r="EF117" i="1"/>
  <c r="DY117" i="1" s="1"/>
  <c r="BK117" i="1" s="1"/>
  <c r="EE38" i="1"/>
  <c r="DX38" i="1" s="1"/>
  <c r="BJ38" i="1" s="1"/>
  <c r="CS189" i="1"/>
  <c r="BZ189" i="1"/>
  <c r="EH98" i="1"/>
  <c r="EA98" i="1" s="1"/>
  <c r="BM98" i="1" s="1"/>
  <c r="EH14" i="1"/>
  <c r="EA14" i="1" s="1"/>
  <c r="BM14" i="1" s="1"/>
  <c r="CO141" i="1"/>
  <c r="EH125" i="1"/>
  <c r="EA125" i="1" s="1"/>
  <c r="BM125" i="1" s="1"/>
  <c r="BZ160" i="1"/>
  <c r="CS160" i="1"/>
  <c r="EI102" i="1"/>
  <c r="EB102" i="1" s="1"/>
  <c r="BN102" i="1" s="1"/>
  <c r="BS138" i="1"/>
  <c r="CW138" i="1" s="1"/>
  <c r="AY138" i="1"/>
  <c r="C138" i="1"/>
  <c r="E138" i="1" s="1"/>
  <c r="CM138" i="1"/>
  <c r="CS6" i="1"/>
  <c r="CM27" i="1"/>
  <c r="C27" i="1"/>
  <c r="AY12" i="1"/>
  <c r="CK12" i="1"/>
  <c r="B12" i="1"/>
  <c r="DU164" i="1"/>
  <c r="DO164" i="1"/>
  <c r="DI164" i="1"/>
  <c r="DP164" i="1" s="1"/>
  <c r="BH164" i="1"/>
  <c r="DK164" i="1"/>
  <c r="DS164" i="1" s="1"/>
  <c r="CQ164" i="1"/>
  <c r="EJ119" i="1"/>
  <c r="EC119" i="1" s="1"/>
  <c r="BO119" i="1" s="1"/>
  <c r="EI88" i="1"/>
  <c r="EB88" i="1" s="1"/>
  <c r="BN88" i="1" s="1"/>
  <c r="EI28" i="1"/>
  <c r="EB28" i="1" s="1"/>
  <c r="BN28" i="1" s="1"/>
  <c r="EH123" i="1"/>
  <c r="EA123" i="1" s="1"/>
  <c r="BM123" i="1" s="1"/>
  <c r="EJ33" i="1"/>
  <c r="EC33" i="1" s="1"/>
  <c r="BO33" i="1" s="1"/>
  <c r="EH8" i="1"/>
  <c r="EA8" i="1" s="1"/>
  <c r="BM8" i="1" s="1"/>
  <c r="CS21" i="1"/>
  <c r="CU146" i="1"/>
  <c r="CB146" i="1"/>
  <c r="CO12" i="1"/>
  <c r="D12" i="1"/>
  <c r="DT34" i="1"/>
  <c r="BH34" i="1"/>
  <c r="CQ34" i="1"/>
  <c r="CK35" i="1"/>
  <c r="AY35" i="1"/>
  <c r="B35" i="1"/>
  <c r="CO30" i="1"/>
  <c r="D30" i="1"/>
  <c r="BE44" i="1"/>
  <c r="CU45" i="1"/>
  <c r="CB45" i="1"/>
  <c r="CS183" i="1"/>
  <c r="BZ183" i="1"/>
  <c r="CO151" i="1"/>
  <c r="CS74" i="1"/>
  <c r="BZ74" i="1"/>
  <c r="DO176" i="1"/>
  <c r="DU176" i="1"/>
  <c r="DK176" i="1"/>
  <c r="DI176" i="1"/>
  <c r="EF116" i="1"/>
  <c r="DY116" i="1" s="1"/>
  <c r="BK116" i="1" s="1"/>
  <c r="EG130" i="1"/>
  <c r="DZ130" i="1" s="1"/>
  <c r="BL130" i="1" s="1"/>
  <c r="EI9" i="1"/>
  <c r="EB9" i="1" s="1"/>
  <c r="BN9" i="1" s="1"/>
  <c r="EJ19" i="1"/>
  <c r="EC19" i="1" s="1"/>
  <c r="BO19" i="1" s="1"/>
  <c r="CS18" i="1"/>
  <c r="DO4" i="1"/>
  <c r="BB3" i="1"/>
  <c r="DU4" i="1"/>
  <c r="DK4" i="1"/>
  <c r="DI4" i="1"/>
  <c r="CK178" i="1"/>
  <c r="DH139" i="1"/>
  <c r="BH139" i="1"/>
  <c r="CQ139" i="1"/>
  <c r="DT139" i="1"/>
  <c r="BX139" i="1"/>
  <c r="DN139" i="1"/>
  <c r="DJ139" i="1"/>
  <c r="DT62" i="1"/>
  <c r="BH62" i="1"/>
  <c r="CQ62" i="1"/>
  <c r="DN62" i="1"/>
  <c r="DJ62" i="1"/>
  <c r="DH62" i="1"/>
  <c r="EE27" i="1"/>
  <c r="DX27" i="1" s="1"/>
  <c r="BJ27" i="1" s="1"/>
  <c r="EF95" i="1"/>
  <c r="DY95" i="1" s="1"/>
  <c r="BK95" i="1" s="1"/>
  <c r="CM20" i="1"/>
  <c r="C20" i="1"/>
  <c r="EJ107" i="1"/>
  <c r="EC107" i="1" s="1"/>
  <c r="BO107" i="1" s="1"/>
  <c r="CM72" i="1"/>
  <c r="BS72" i="1"/>
  <c r="BT72" i="1" s="1"/>
  <c r="C72" i="1"/>
  <c r="BZ169" i="1"/>
  <c r="CA169" i="1" s="1"/>
  <c r="CS169" i="1"/>
  <c r="CS5" i="1"/>
  <c r="EI24" i="1"/>
  <c r="EB24" i="1" s="1"/>
  <c r="BN24" i="1" s="1"/>
  <c r="BU63" i="1"/>
  <c r="D63" i="1"/>
  <c r="CO63" i="1"/>
  <c r="EJ97" i="1"/>
  <c r="EC97" i="1" s="1"/>
  <c r="BO97" i="1" s="1"/>
  <c r="CK138" i="1"/>
  <c r="EG15" i="1"/>
  <c r="DZ15" i="1" s="1"/>
  <c r="BL15" i="1" s="1"/>
  <c r="CM5" i="1"/>
  <c r="C5" i="1"/>
  <c r="CU60" i="1"/>
  <c r="CB60" i="1"/>
  <c r="CU36" i="1"/>
  <c r="EH102" i="1"/>
  <c r="CU32" i="1"/>
  <c r="AW44" i="1"/>
  <c r="BU45" i="1"/>
  <c r="D45" i="1"/>
  <c r="CO45" i="1"/>
  <c r="DU172" i="1"/>
  <c r="DI172" i="1"/>
  <c r="DK172" i="1"/>
  <c r="DO172" i="1"/>
  <c r="CK151" i="1"/>
  <c r="EF102" i="1"/>
  <c r="DY102" i="1" s="1"/>
  <c r="BK102" i="1" s="1"/>
  <c r="D8" i="1"/>
  <c r="CO8" i="1"/>
  <c r="EJ13" i="1"/>
  <c r="EC13" i="1" s="1"/>
  <c r="BO13" i="1" s="1"/>
  <c r="AV136" i="1"/>
  <c r="EG128" i="1"/>
  <c r="DZ128" i="1" s="1"/>
  <c r="BL128" i="1" s="1"/>
  <c r="CS161" i="1"/>
  <c r="BZ161" i="1"/>
  <c r="BS79" i="1"/>
  <c r="CM79" i="1"/>
  <c r="C79" i="1"/>
  <c r="EJ124" i="1"/>
  <c r="EC124" i="1" s="1"/>
  <c r="BO124" i="1" s="1"/>
  <c r="EF107" i="1"/>
  <c r="DY107" i="1" s="1"/>
  <c r="BK107" i="1" s="1"/>
  <c r="EF113" i="1"/>
  <c r="DY113" i="1" s="1"/>
  <c r="BK113" i="1" s="1"/>
  <c r="DT9" i="1"/>
  <c r="BH9" i="1"/>
  <c r="CQ9" i="1"/>
  <c r="CQ6" i="1"/>
  <c r="DT6" i="1"/>
  <c r="BH6" i="1"/>
  <c r="AY70" i="1"/>
  <c r="CK70" i="1"/>
  <c r="B70" i="1"/>
  <c r="CK156" i="1"/>
  <c r="CK154" i="1"/>
  <c r="CD136" i="1"/>
  <c r="DU38" i="1"/>
  <c r="DU10" i="1"/>
  <c r="EE74" i="1"/>
  <c r="DX74" i="1" s="1"/>
  <c r="BJ74" i="1" s="1"/>
  <c r="DU11" i="1"/>
  <c r="EE92" i="1"/>
  <c r="DX92" i="1" s="1"/>
  <c r="BJ92" i="1" s="1"/>
  <c r="EI20" i="1"/>
  <c r="EB20" i="1" s="1"/>
  <c r="BN20" i="1" s="1"/>
  <c r="EJ15" i="1"/>
  <c r="EC15" i="1" s="1"/>
  <c r="BO15" i="1" s="1"/>
  <c r="CM58" i="1"/>
  <c r="EI109" i="1"/>
  <c r="EB109" i="1" s="1"/>
  <c r="BN109" i="1" s="1"/>
  <c r="EI13" i="1"/>
  <c r="EB13" i="1" s="1"/>
  <c r="BN13" i="1" s="1"/>
  <c r="BX144" i="1"/>
  <c r="CQ144" i="1"/>
  <c r="DN144" i="1"/>
  <c r="BH144" i="1"/>
  <c r="DH144" i="1"/>
  <c r="DT144" i="1"/>
  <c r="DJ144" i="1"/>
  <c r="EE100" i="1"/>
  <c r="DX100" i="1" s="1"/>
  <c r="BJ100" i="1" s="1"/>
  <c r="CK177" i="1"/>
  <c r="EF10" i="1"/>
  <c r="DY10" i="1" s="1"/>
  <c r="BK10" i="1" s="1"/>
  <c r="EF187" i="1"/>
  <c r="DY187" i="1" s="1"/>
  <c r="BK187" i="1" s="1"/>
  <c r="BH156" i="1"/>
  <c r="CQ156" i="1"/>
  <c r="DJ156" i="1"/>
  <c r="DT156" i="1"/>
  <c r="DH156" i="1"/>
  <c r="DN156" i="1"/>
  <c r="DU157" i="1"/>
  <c r="DO157" i="1"/>
  <c r="DI157" i="1"/>
  <c r="DK157" i="1"/>
  <c r="EE91" i="1"/>
  <c r="DX91" i="1" s="1"/>
  <c r="BJ91" i="1" s="1"/>
  <c r="EF165" i="1"/>
  <c r="DY165" i="1" s="1"/>
  <c r="BK165" i="1" s="1"/>
  <c r="BX165" i="1" s="1"/>
  <c r="EF121" i="1"/>
  <c r="DY121" i="1" s="1"/>
  <c r="BK121" i="1" s="1"/>
  <c r="EF112" i="1"/>
  <c r="DY112" i="1" s="1"/>
  <c r="BK112" i="1" s="1"/>
  <c r="DU9" i="1"/>
  <c r="EE46" i="1"/>
  <c r="DX46" i="1" s="1"/>
  <c r="BJ46" i="1" s="1"/>
  <c r="EF19" i="1"/>
  <c r="DY19" i="1" s="1"/>
  <c r="BK19" i="1" s="1"/>
  <c r="EF26" i="1"/>
  <c r="DY26" i="1" s="1"/>
  <c r="BK26" i="1" s="1"/>
  <c r="EE37" i="1"/>
  <c r="DX37" i="1" s="1"/>
  <c r="BJ37" i="1" s="1"/>
  <c r="DR37" i="1" s="1"/>
  <c r="BH25" i="1"/>
  <c r="CQ25" i="1"/>
  <c r="DT25" i="1"/>
  <c r="DH63" i="1"/>
  <c r="CQ63" i="1"/>
  <c r="DJ63" i="1"/>
  <c r="BH63" i="1"/>
  <c r="BI64" i="1" s="1"/>
  <c r="DN63" i="1"/>
  <c r="DT63" i="1"/>
  <c r="EH25" i="1"/>
  <c r="EA25" i="1" s="1"/>
  <c r="BM25" i="1" s="1"/>
  <c r="D35" i="1"/>
  <c r="E35" i="1" s="1"/>
  <c r="CO35" i="1"/>
  <c r="CS11" i="1"/>
  <c r="C6" i="1"/>
  <c r="CM6" i="1"/>
  <c r="EG26" i="1"/>
  <c r="DZ26" i="1" s="1"/>
  <c r="BL26" i="1" s="1"/>
  <c r="DK173" i="1"/>
  <c r="DI173" i="1"/>
  <c r="DU173" i="1"/>
  <c r="DO173" i="1"/>
  <c r="CK160" i="1"/>
  <c r="DU17" i="1"/>
  <c r="CQ138" i="1"/>
  <c r="DT138" i="1"/>
  <c r="BH138" i="1"/>
  <c r="DH138" i="1"/>
  <c r="BA136" i="1"/>
  <c r="DN138" i="1"/>
  <c r="BX138" i="1"/>
  <c r="DJ138" i="1"/>
  <c r="DE3" i="1"/>
  <c r="EE14" i="1"/>
  <c r="DX14" i="1" s="1"/>
  <c r="BJ14" i="1" s="1"/>
  <c r="DU181" i="1"/>
  <c r="DI181" i="1"/>
  <c r="DO181" i="1"/>
  <c r="DK181" i="1"/>
  <c r="CK22" i="1"/>
  <c r="B22" i="1"/>
  <c r="AY22" i="1"/>
  <c r="DK143" i="1"/>
  <c r="DO143" i="1"/>
  <c r="DI143" i="1"/>
  <c r="DU143" i="1"/>
  <c r="EE33" i="1"/>
  <c r="DX33" i="1" s="1"/>
  <c r="BJ33" i="1" s="1"/>
  <c r="EE155" i="1"/>
  <c r="DX155" i="1" s="1"/>
  <c r="BJ155" i="1" s="1"/>
  <c r="EF27" i="1"/>
  <c r="DY27" i="1" s="1"/>
  <c r="BK27" i="1" s="1"/>
  <c r="DK156" i="1"/>
  <c r="DI156" i="1"/>
  <c r="DU156" i="1"/>
  <c r="DO156" i="1"/>
  <c r="DJ147" i="1"/>
  <c r="DN147" i="1"/>
  <c r="CQ147" i="1"/>
  <c r="BH147" i="1"/>
  <c r="DH147" i="1"/>
  <c r="DT147" i="1"/>
  <c r="BH142" i="1"/>
  <c r="DH142" i="1"/>
  <c r="DJ142" i="1"/>
  <c r="DT142" i="1"/>
  <c r="CQ142" i="1"/>
  <c r="BX142" i="1"/>
  <c r="DN142" i="1"/>
  <c r="CK85" i="1"/>
  <c r="CK84" i="1" s="1"/>
  <c r="CK132" i="1" s="1"/>
  <c r="CJ132" i="1" s="1"/>
  <c r="AY85" i="1"/>
  <c r="AY84" i="1" s="1"/>
  <c r="B85" i="1"/>
  <c r="E85" i="1" s="1"/>
  <c r="AS84" i="1"/>
  <c r="B6" i="1"/>
  <c r="CK6" i="1"/>
  <c r="AY6" i="1"/>
  <c r="EE86" i="1"/>
  <c r="DX86" i="1" s="1"/>
  <c r="BJ86" i="1" s="1"/>
  <c r="DH48" i="1"/>
  <c r="DJ48" i="1"/>
  <c r="CQ48" i="1"/>
  <c r="DT48" i="1"/>
  <c r="DN48" i="1"/>
  <c r="DV48" i="1" s="1"/>
  <c r="BH48" i="1"/>
  <c r="BI49" i="1" s="1"/>
  <c r="DU18" i="1"/>
  <c r="DU138" i="1"/>
  <c r="DK138" i="1"/>
  <c r="DO138" i="1"/>
  <c r="DW138" i="1" s="1"/>
  <c r="DI138" i="1"/>
  <c r="EF151" i="1"/>
  <c r="DY151" i="1" s="1"/>
  <c r="BK151" i="1" s="1"/>
  <c r="EF32" i="1"/>
  <c r="DY32" i="1" s="1"/>
  <c r="BK32" i="1" s="1"/>
  <c r="EI105" i="1"/>
  <c r="EB105" i="1" s="1"/>
  <c r="BN105" i="1" s="1"/>
  <c r="BH26" i="1"/>
  <c r="CQ26" i="1"/>
  <c r="DT26" i="1"/>
  <c r="DV26" i="1" s="1"/>
  <c r="EE146" i="1"/>
  <c r="DX146" i="1" s="1"/>
  <c r="BJ146" i="1" s="1"/>
  <c r="BQ146" i="1" s="1"/>
  <c r="ET146" i="1" s="1"/>
  <c r="BZ148" i="1"/>
  <c r="CS148" i="1"/>
  <c r="EG13" i="1"/>
  <c r="DZ13" i="1" s="1"/>
  <c r="BL13" i="1" s="1"/>
  <c r="BZ187" i="1"/>
  <c r="CS187" i="1"/>
  <c r="D7" i="1"/>
  <c r="CO7" i="1"/>
  <c r="DK174" i="1"/>
  <c r="DU174" i="1"/>
  <c r="DO174" i="1"/>
  <c r="DI174" i="1"/>
  <c r="EE57" i="1"/>
  <c r="DX57" i="1" s="1"/>
  <c r="BJ57" i="1" s="1"/>
  <c r="C14" i="1"/>
  <c r="CM14" i="1"/>
  <c r="BZ188" i="1"/>
  <c r="CS188" i="1"/>
  <c r="EI8" i="1"/>
  <c r="EB8" i="1" s="1"/>
  <c r="BN8" i="1" s="1"/>
  <c r="EG119" i="1"/>
  <c r="DZ119" i="1" s="1"/>
  <c r="BL119" i="1" s="1"/>
  <c r="CO158" i="1"/>
  <c r="EG23" i="1"/>
  <c r="DZ23" i="1" s="1"/>
  <c r="BL23" i="1" s="1"/>
  <c r="CM150" i="1"/>
  <c r="CO28" i="1"/>
  <c r="D28" i="1"/>
  <c r="CS166" i="1"/>
  <c r="BZ166" i="1"/>
  <c r="DT181" i="1"/>
  <c r="CQ181" i="1"/>
  <c r="BX181" i="1"/>
  <c r="BH181" i="1"/>
  <c r="DH181" i="1"/>
  <c r="DN181" i="1"/>
  <c r="DV181" i="1" s="1"/>
  <c r="DJ181" i="1"/>
  <c r="EF122" i="1"/>
  <c r="DY122" i="1" s="1"/>
  <c r="BK122" i="1" s="1"/>
  <c r="C19" i="1"/>
  <c r="CM19" i="1"/>
  <c r="CF44" i="1"/>
  <c r="EJ10" i="1"/>
  <c r="EC10" i="1" s="1"/>
  <c r="BO10" i="1" s="1"/>
  <c r="EH26" i="1"/>
  <c r="EA26" i="1" s="1"/>
  <c r="BM26" i="1" s="1"/>
  <c r="EI114" i="1"/>
  <c r="EB114" i="1" s="1"/>
  <c r="BN114" i="1" s="1"/>
  <c r="EI96" i="1"/>
  <c r="EB96" i="1" s="1"/>
  <c r="BN96" i="1" s="1"/>
  <c r="CM32" i="1"/>
  <c r="C32" i="1"/>
  <c r="CB182" i="1"/>
  <c r="CU182" i="1"/>
  <c r="EH110" i="1"/>
  <c r="EA110" i="1" s="1"/>
  <c r="BM110" i="1" s="1"/>
  <c r="EF101" i="1"/>
  <c r="DY101" i="1" s="1"/>
  <c r="BK101" i="1" s="1"/>
  <c r="EI21" i="1"/>
  <c r="EB21" i="1" s="1"/>
  <c r="BN21" i="1" s="1"/>
  <c r="CO167" i="1"/>
  <c r="EG28" i="1"/>
  <c r="DZ28" i="1" s="1"/>
  <c r="BL28" i="1" s="1"/>
  <c r="CS32" i="1"/>
  <c r="EH20" i="1"/>
  <c r="EA20" i="1" s="1"/>
  <c r="BM20" i="1" s="1"/>
  <c r="CS143" i="1"/>
  <c r="BZ143" i="1"/>
  <c r="EG38" i="1"/>
  <c r="DZ38" i="1" s="1"/>
  <c r="BL38" i="1" s="1"/>
  <c r="EH13" i="1"/>
  <c r="EA13" i="1" s="1"/>
  <c r="BM13" i="1" s="1"/>
  <c r="EE13" i="1"/>
  <c r="DX13" i="1" s="1"/>
  <c r="BJ13" i="1" s="1"/>
  <c r="CK11" i="1"/>
  <c r="AY11" i="1"/>
  <c r="B11" i="1"/>
  <c r="EE32" i="1"/>
  <c r="DX32" i="1" s="1"/>
  <c r="BJ32" i="1" s="1"/>
  <c r="D73" i="1"/>
  <c r="CO73" i="1"/>
  <c r="BU73" i="1"/>
  <c r="EG91" i="1"/>
  <c r="DZ91" i="1" s="1"/>
  <c r="BL91" i="1" s="1"/>
  <c r="CS27" i="1"/>
  <c r="CM143" i="1"/>
  <c r="CU23" i="1"/>
  <c r="EI97" i="1"/>
  <c r="EB97" i="1" s="1"/>
  <c r="BN97" i="1" s="1"/>
  <c r="EF169" i="1"/>
  <c r="DY169" i="1" s="1"/>
  <c r="BK169" i="1" s="1"/>
  <c r="DU31" i="1"/>
  <c r="EE150" i="1"/>
  <c r="DX150" i="1" s="1"/>
  <c r="BJ150" i="1" s="1"/>
  <c r="BQ150" i="1" s="1"/>
  <c r="CW150" i="1" s="1"/>
  <c r="AY17" i="1"/>
  <c r="B17" i="1"/>
  <c r="CK17" i="1"/>
  <c r="EE96" i="1"/>
  <c r="DX96" i="1" s="1"/>
  <c r="BJ96" i="1" s="1"/>
  <c r="DT10" i="1"/>
  <c r="CQ10" i="1"/>
  <c r="BH10" i="1"/>
  <c r="EJ85" i="1"/>
  <c r="EC85" i="1" s="1"/>
  <c r="BO85" i="1" s="1"/>
  <c r="EQ84" i="1"/>
  <c r="EI37" i="1"/>
  <c r="EB37" i="1" s="1"/>
  <c r="BN37" i="1" s="1"/>
  <c r="BZ139" i="1"/>
  <c r="CS139" i="1"/>
  <c r="EG17" i="1"/>
  <c r="DZ17" i="1" s="1"/>
  <c r="BL17" i="1" s="1"/>
  <c r="D6" i="1"/>
  <c r="CO6" i="1"/>
  <c r="EI107" i="1"/>
  <c r="EB107" i="1" s="1"/>
  <c r="BN107" i="1" s="1"/>
  <c r="CS17" i="1"/>
  <c r="CM146" i="1"/>
  <c r="EI7" i="1"/>
  <c r="EB7" i="1" s="1"/>
  <c r="BN7" i="1" s="1"/>
  <c r="AY76" i="1"/>
  <c r="CK76" i="1"/>
  <c r="B76" i="1"/>
  <c r="CK37" i="1"/>
  <c r="AY37" i="1"/>
  <c r="B37" i="1"/>
  <c r="CS146" i="1"/>
  <c r="BZ146" i="1"/>
  <c r="CU145" i="1"/>
  <c r="CB145" i="1"/>
  <c r="EI10" i="1"/>
  <c r="EB10" i="1" s="1"/>
  <c r="BN10" i="1" s="1"/>
  <c r="BZ78" i="1"/>
  <c r="CS78" i="1"/>
  <c r="EI126" i="1"/>
  <c r="EB126" i="1" s="1"/>
  <c r="BN126" i="1" s="1"/>
  <c r="EI92" i="1"/>
  <c r="EB92" i="1" s="1"/>
  <c r="BN92" i="1" s="1"/>
  <c r="D78" i="1"/>
  <c r="CO78" i="1"/>
  <c r="BU78" i="1"/>
  <c r="EH130" i="1"/>
  <c r="EA130" i="1" s="1"/>
  <c r="BM130" i="1" s="1"/>
  <c r="CU147" i="1"/>
  <c r="CB147" i="1"/>
  <c r="EE63" i="1"/>
  <c r="DX63" i="1" s="1"/>
  <c r="BJ63" i="1" s="1"/>
  <c r="B15" i="1"/>
  <c r="CK15" i="1"/>
  <c r="AY15" i="1"/>
  <c r="CU33" i="1"/>
  <c r="CU37" i="1"/>
  <c r="CO153" i="1"/>
  <c r="CM173" i="1"/>
  <c r="EI26" i="1"/>
  <c r="EB26" i="1" s="1"/>
  <c r="BN26" i="1" s="1"/>
  <c r="CS179" i="1"/>
  <c r="BZ179" i="1"/>
  <c r="CA179" i="1" s="1"/>
  <c r="EF12" i="1"/>
  <c r="CD44" i="1"/>
  <c r="EJ31" i="1"/>
  <c r="EC31" i="1" s="1"/>
  <c r="BO31" i="1" s="1"/>
  <c r="CB58" i="1"/>
  <c r="CU58" i="1"/>
  <c r="EH90" i="1"/>
  <c r="EA90" i="1" s="1"/>
  <c r="BM90" i="1" s="1"/>
  <c r="BS45" i="1"/>
  <c r="CM45" i="1"/>
  <c r="AU44" i="1"/>
  <c r="C45" i="1"/>
  <c r="BH18" i="1"/>
  <c r="CQ18" i="1"/>
  <c r="DT18" i="1"/>
  <c r="EF153" i="1"/>
  <c r="DY153" i="1" s="1"/>
  <c r="BK153" i="1" s="1"/>
  <c r="DU25" i="1"/>
  <c r="AY36" i="1"/>
  <c r="CK36" i="1"/>
  <c r="B36" i="1"/>
  <c r="EF46" i="1"/>
  <c r="DY46" i="1" s="1"/>
  <c r="BK46" i="1" s="1"/>
  <c r="EF21" i="1"/>
  <c r="DY21" i="1" s="1"/>
  <c r="BK21" i="1" s="1"/>
  <c r="EF20" i="1"/>
  <c r="DY20" i="1" s="1"/>
  <c r="BK20" i="1" s="1"/>
  <c r="BQ20" i="1" s="1"/>
  <c r="AY47" i="1"/>
  <c r="B47" i="1"/>
  <c r="CK47" i="1"/>
  <c r="AY48" i="1"/>
  <c r="CK48" i="1"/>
  <c r="B48" i="1"/>
  <c r="BH70" i="1"/>
  <c r="BI70" i="1" s="1"/>
  <c r="CQ70" i="1"/>
  <c r="DH70" i="1"/>
  <c r="DT70" i="1"/>
  <c r="DN70" i="1"/>
  <c r="DV70" i="1" s="1"/>
  <c r="DJ70" i="1"/>
  <c r="EI36" i="1"/>
  <c r="EB36" i="1" s="1"/>
  <c r="BN36" i="1" s="1"/>
  <c r="BZ162" i="1"/>
  <c r="CA163" i="1" s="1"/>
  <c r="CS162" i="1"/>
  <c r="EG115" i="1"/>
  <c r="DZ115" i="1" s="1"/>
  <c r="BL115" i="1" s="1"/>
  <c r="EI14" i="1"/>
  <c r="EB14" i="1" s="1"/>
  <c r="BN14" i="1" s="1"/>
  <c r="DH79" i="1"/>
  <c r="DT79" i="1"/>
  <c r="BH79" i="1"/>
  <c r="DJ79" i="1"/>
  <c r="CQ79" i="1"/>
  <c r="DN79" i="1"/>
  <c r="DV79" i="1" s="1"/>
  <c r="CU185" i="1"/>
  <c r="CB185" i="1"/>
  <c r="BH61" i="1"/>
  <c r="DN61" i="1"/>
  <c r="DH61" i="1"/>
  <c r="DT61" i="1"/>
  <c r="DJ61" i="1"/>
  <c r="CQ61" i="1"/>
  <c r="CK187" i="1"/>
  <c r="EE19" i="1"/>
  <c r="DX19" i="1" s="1"/>
  <c r="BJ19" i="1" s="1"/>
  <c r="BH19" i="1"/>
  <c r="CQ19" i="1"/>
  <c r="DT19" i="1"/>
  <c r="DV19" i="1" s="1"/>
  <c r="DO162" i="1"/>
  <c r="DK162" i="1"/>
  <c r="DU162" i="1"/>
  <c r="DI162" i="1"/>
  <c r="DL162" i="1" s="1"/>
  <c r="BH162" i="1"/>
  <c r="BI163" i="1" s="1"/>
  <c r="CQ162" i="1"/>
  <c r="BA44" i="1"/>
  <c r="DJ45" i="1"/>
  <c r="DH45" i="1"/>
  <c r="DN45" i="1"/>
  <c r="CQ45" i="1"/>
  <c r="DT45" i="1"/>
  <c r="BH45" i="1"/>
  <c r="DI160" i="1"/>
  <c r="DL160" i="1" s="1"/>
  <c r="DK160" i="1"/>
  <c r="DO160" i="1"/>
  <c r="DU160" i="1"/>
  <c r="DU28" i="1"/>
  <c r="CE44" i="1"/>
  <c r="DO187" i="1"/>
  <c r="DU187" i="1"/>
  <c r="DI187" i="1"/>
  <c r="DK187" i="1"/>
  <c r="EE59" i="1"/>
  <c r="DX59" i="1" s="1"/>
  <c r="BJ59" i="1" s="1"/>
  <c r="EF16" i="1"/>
  <c r="DY16" i="1" s="1"/>
  <c r="BK16" i="1" s="1"/>
  <c r="EF163" i="1"/>
  <c r="DY163" i="1" s="1"/>
  <c r="BK163" i="1" s="1"/>
  <c r="AY79" i="1"/>
  <c r="CK79" i="1"/>
  <c r="B79" i="1"/>
  <c r="DU14" i="1"/>
  <c r="DK140" i="1"/>
  <c r="DI140" i="1"/>
  <c r="DO140" i="1"/>
  <c r="DW140" i="1" s="1"/>
  <c r="DU140" i="1"/>
  <c r="DU15" i="1"/>
  <c r="CQ77" i="1"/>
  <c r="DT77" i="1"/>
  <c r="DN77" i="1"/>
  <c r="DH77" i="1"/>
  <c r="DJ77" i="1"/>
  <c r="BH77" i="1"/>
  <c r="EE28" i="1"/>
  <c r="DX28" i="1" s="1"/>
  <c r="BJ28" i="1" s="1"/>
  <c r="EF173" i="1"/>
  <c r="DY173" i="1" s="1"/>
  <c r="BK173" i="1" s="1"/>
  <c r="EH121" i="1"/>
  <c r="EA121" i="1" s="1"/>
  <c r="BM121" i="1" s="1"/>
  <c r="EJ89" i="1"/>
  <c r="EC89" i="1" s="1"/>
  <c r="BO89" i="1" s="1"/>
  <c r="EE12" i="1"/>
  <c r="DX12" i="1" s="1"/>
  <c r="BJ12" i="1" s="1"/>
  <c r="C10" i="1"/>
  <c r="CM10" i="1"/>
  <c r="CK184" i="1"/>
  <c r="EL84" i="1"/>
  <c r="EE85" i="1"/>
  <c r="DX85" i="1" s="1"/>
  <c r="BJ85" i="1" s="1"/>
  <c r="BJ84" i="1" s="1"/>
  <c r="EF38" i="1"/>
  <c r="DY38" i="1" s="1"/>
  <c r="BK38" i="1" s="1"/>
  <c r="AY28" i="1"/>
  <c r="CK28" i="1"/>
  <c r="B28" i="1"/>
  <c r="EE23" i="1"/>
  <c r="DX23" i="1" s="1"/>
  <c r="BJ23" i="1" s="1"/>
  <c r="BX23" i="1" s="1"/>
  <c r="DT7" i="1"/>
  <c r="BH7" i="1"/>
  <c r="CQ7" i="1"/>
  <c r="EF18" i="1"/>
  <c r="DY18" i="1" s="1"/>
  <c r="BK18" i="1" s="1"/>
  <c r="CK145" i="1"/>
  <c r="EE58" i="1"/>
  <c r="DX58" i="1" s="1"/>
  <c r="BJ58" i="1" s="1"/>
  <c r="CK179" i="1"/>
  <c r="DS179" i="1"/>
  <c r="EF25" i="1"/>
  <c r="DY25" i="1" s="1"/>
  <c r="BK25" i="1" s="1"/>
  <c r="BQ25" i="1" s="1"/>
  <c r="DK189" i="1"/>
  <c r="DI189" i="1"/>
  <c r="DO189" i="1"/>
  <c r="DU189" i="1"/>
  <c r="EE79" i="1"/>
  <c r="DX79" i="1" s="1"/>
  <c r="BJ79" i="1" s="1"/>
  <c r="DN46" i="1"/>
  <c r="DV46" i="1" s="1"/>
  <c r="DT46" i="1"/>
  <c r="BH46" i="1"/>
  <c r="BI46" i="1" s="1"/>
  <c r="CQ46" i="1"/>
  <c r="DJ46" i="1"/>
  <c r="DH46" i="1"/>
  <c r="EF147" i="1"/>
  <c r="DY147" i="1" s="1"/>
  <c r="BK147" i="1" s="1"/>
  <c r="BQ147" i="1" s="1"/>
  <c r="CW147" i="1" s="1"/>
  <c r="DI185" i="1"/>
  <c r="DK185" i="1"/>
  <c r="DU185" i="1"/>
  <c r="DO185" i="1"/>
  <c r="DH71" i="1"/>
  <c r="BH71" i="1"/>
  <c r="BI71" i="1" s="1"/>
  <c r="CQ71" i="1"/>
  <c r="DT71" i="1"/>
  <c r="DJ71" i="1"/>
  <c r="DN71" i="1"/>
  <c r="DV71" i="1" s="1"/>
  <c r="EF94" i="1"/>
  <c r="DY94" i="1" s="1"/>
  <c r="BK94" i="1" s="1"/>
  <c r="EE16" i="1"/>
  <c r="DX16" i="1" s="1"/>
  <c r="BJ16" i="1" s="1"/>
  <c r="DR16" i="1" s="1"/>
  <c r="EE99" i="1"/>
  <c r="DX99" i="1" s="1"/>
  <c r="BJ99" i="1" s="1"/>
  <c r="EF7" i="1"/>
  <c r="DY7" i="1" s="1"/>
  <c r="BK7" i="1" s="1"/>
  <c r="BQ7" i="1" s="1"/>
  <c r="CE3" i="1"/>
  <c r="EE90" i="1"/>
  <c r="DX90" i="1" s="1"/>
  <c r="BJ90" i="1" s="1"/>
  <c r="CK144" i="1"/>
  <c r="DU8" i="1"/>
  <c r="CQ27" i="1"/>
  <c r="BH27" i="1"/>
  <c r="DT27" i="1"/>
  <c r="EF167" i="1"/>
  <c r="DY167" i="1" s="1"/>
  <c r="BK167" i="1" s="1"/>
  <c r="DR167" i="1" s="1"/>
  <c r="CK188" i="1"/>
  <c r="EF118" i="1"/>
  <c r="DY118" i="1" s="1"/>
  <c r="BK118" i="1" s="1"/>
  <c r="DT24" i="1"/>
  <c r="BH24" i="1"/>
  <c r="CQ24" i="1"/>
  <c r="CK19" i="1"/>
  <c r="AY19" i="1"/>
  <c r="B19" i="1"/>
  <c r="CK167" i="1"/>
  <c r="DJ159" i="1"/>
  <c r="DN159" i="1"/>
  <c r="DH159" i="1"/>
  <c r="BH159" i="1"/>
  <c r="CQ159" i="1"/>
  <c r="DT159" i="1"/>
  <c r="EE157" i="1"/>
  <c r="DX157" i="1" s="1"/>
  <c r="BJ157" i="1" s="1"/>
  <c r="CG44" i="1"/>
  <c r="C30" i="1"/>
  <c r="CM30" i="1"/>
  <c r="CM167" i="1"/>
  <c r="EI103" i="1"/>
  <c r="EB103" i="1" s="1"/>
  <c r="BN103" i="1" s="1"/>
  <c r="CM153" i="1"/>
  <c r="EI5" i="1"/>
  <c r="EB5" i="1" s="1"/>
  <c r="BN5" i="1" s="1"/>
  <c r="EM3" i="1"/>
  <c r="EF4" i="1"/>
  <c r="DY4" i="1" s="1"/>
  <c r="BK4" i="1" s="1"/>
  <c r="BK3" i="1" s="1"/>
  <c r="EE10" i="1"/>
  <c r="DX10" i="1" s="1"/>
  <c r="BJ10" i="1" s="1"/>
  <c r="AV3" i="1"/>
  <c r="CO34" i="1"/>
  <c r="D34" i="1"/>
  <c r="EI129" i="1"/>
  <c r="EB129" i="1" s="1"/>
  <c r="BN129" i="1" s="1"/>
  <c r="CU19" i="1"/>
  <c r="EI38" i="1"/>
  <c r="EB38" i="1" s="1"/>
  <c r="BN38" i="1" s="1"/>
  <c r="CM174" i="1"/>
  <c r="CM177" i="1"/>
  <c r="EF103" i="1"/>
  <c r="DY103" i="1" s="1"/>
  <c r="BK103" i="1" s="1"/>
  <c r="CK150" i="1"/>
  <c r="CO148" i="1"/>
  <c r="EI118" i="1"/>
  <c r="EB118" i="1" s="1"/>
  <c r="BN118" i="1" s="1"/>
  <c r="CO5" i="1"/>
  <c r="D5" i="1"/>
  <c r="EI110" i="1"/>
  <c r="EB110" i="1" s="1"/>
  <c r="BN110" i="1" s="1"/>
  <c r="C28" i="1"/>
  <c r="CM28" i="1"/>
  <c r="EI113" i="1"/>
  <c r="EB113" i="1" s="1"/>
  <c r="BN113" i="1" s="1"/>
  <c r="CS22" i="1"/>
  <c r="CB62" i="1"/>
  <c r="CU62" i="1"/>
  <c r="CM176" i="1"/>
  <c r="BD44" i="1"/>
  <c r="CO31" i="1"/>
  <c r="D31" i="1"/>
  <c r="CS150" i="1"/>
  <c r="BZ150" i="1"/>
  <c r="EJ130" i="1"/>
  <c r="EC130" i="1" s="1"/>
  <c r="BO130" i="1" s="1"/>
  <c r="EF8" i="1"/>
  <c r="DY8" i="1" s="1"/>
  <c r="BK8" i="1" s="1"/>
  <c r="EF127" i="1"/>
  <c r="DY127" i="1" s="1"/>
  <c r="BK127" i="1" s="1"/>
  <c r="CM57" i="1"/>
  <c r="BS57" i="1"/>
  <c r="BT57" i="1" s="1"/>
  <c r="C57" i="1"/>
  <c r="C18" i="1"/>
  <c r="CM18" i="1"/>
  <c r="EH4" i="1"/>
  <c r="EA4" i="1" s="1"/>
  <c r="BM4" i="1" s="1"/>
  <c r="EO3" i="1"/>
  <c r="BZ152" i="1"/>
  <c r="CS152" i="1"/>
  <c r="CM184" i="1"/>
  <c r="EH115" i="1"/>
  <c r="EA115" i="1" s="1"/>
  <c r="BM115" i="1" s="1"/>
  <c r="EJ17" i="1"/>
  <c r="EC17" i="1" s="1"/>
  <c r="BO17" i="1" s="1"/>
  <c r="CM142" i="1"/>
  <c r="DK180" i="1"/>
  <c r="DI180" i="1"/>
  <c r="DU180" i="1"/>
  <c r="DO180" i="1"/>
  <c r="EF98" i="1"/>
  <c r="DY98" i="1" s="1"/>
  <c r="BK98" i="1" s="1"/>
  <c r="DR98" i="1" s="1"/>
  <c r="EI128" i="1"/>
  <c r="EB128" i="1" s="1"/>
  <c r="BN128" i="1" s="1"/>
  <c r="EJ94" i="1"/>
  <c r="EC94" i="1" s="1"/>
  <c r="BO94" i="1" s="1"/>
  <c r="CB75" i="1"/>
  <c r="CU75" i="1"/>
  <c r="CO185" i="1"/>
  <c r="EG27" i="1"/>
  <c r="DZ27" i="1" s="1"/>
  <c r="BL27" i="1" s="1"/>
  <c r="EF172" i="1"/>
  <c r="DY172" i="1" s="1"/>
  <c r="BK172" i="1" s="1"/>
  <c r="DT146" i="1"/>
  <c r="CQ146" i="1"/>
  <c r="DJ146" i="1"/>
  <c r="DH146" i="1"/>
  <c r="DN146" i="1"/>
  <c r="BH146" i="1"/>
  <c r="AY33" i="1"/>
  <c r="CK33" i="1"/>
  <c r="CP33" i="1" s="1"/>
  <c r="B33" i="1"/>
  <c r="EE47" i="1"/>
  <c r="DX47" i="1" s="1"/>
  <c r="BJ47" i="1" s="1"/>
  <c r="DU36" i="1"/>
  <c r="EE36" i="1"/>
  <c r="DX36" i="1" s="1"/>
  <c r="BJ36" i="1" s="1"/>
  <c r="DK182" i="1"/>
  <c r="DU182" i="1"/>
  <c r="DI182" i="1"/>
  <c r="DO182" i="1"/>
  <c r="EJ30" i="1"/>
  <c r="EC30" i="1" s="1"/>
  <c r="BO30" i="1" s="1"/>
  <c r="EP3" i="1"/>
  <c r="EI4" i="1"/>
  <c r="EJ90" i="1"/>
  <c r="EC90" i="1" s="1"/>
  <c r="BO90" i="1" s="1"/>
  <c r="CU8" i="1"/>
  <c r="CB71" i="1"/>
  <c r="CU71" i="1"/>
  <c r="EJ105" i="1"/>
  <c r="EC105" i="1" s="1"/>
  <c r="BO105" i="1" s="1"/>
  <c r="BZ75" i="1"/>
  <c r="CS75" i="1"/>
  <c r="EJ122" i="1"/>
  <c r="EC122" i="1" s="1"/>
  <c r="BO122" i="1" s="1"/>
  <c r="EJ96" i="1"/>
  <c r="EC96" i="1" s="1"/>
  <c r="BO96" i="1" s="1"/>
  <c r="DU16" i="1"/>
  <c r="B58" i="1"/>
  <c r="CK58" i="1"/>
  <c r="AY58" i="1"/>
  <c r="CM186" i="1"/>
  <c r="EJ34" i="1"/>
  <c r="EC34" i="1" s="1"/>
  <c r="BO34" i="1" s="1"/>
  <c r="EI29" i="1"/>
  <c r="EB29" i="1" s="1"/>
  <c r="BN29" i="1" s="1"/>
  <c r="CU156" i="1"/>
  <c r="CB156" i="1"/>
  <c r="BF44" i="1"/>
  <c r="BH166" i="1"/>
  <c r="CQ166" i="1"/>
  <c r="DI166" i="1"/>
  <c r="DL166" i="1" s="1"/>
  <c r="DU166" i="1"/>
  <c r="DO166" i="1"/>
  <c r="BU57" i="1"/>
  <c r="CO57" i="1"/>
  <c r="D57" i="1"/>
  <c r="E57" i="1" s="1"/>
  <c r="EG124" i="1"/>
  <c r="DZ124" i="1" s="1"/>
  <c r="BL124" i="1" s="1"/>
  <c r="BZ124" i="1" s="1"/>
  <c r="EH27" i="1"/>
  <c r="EA27" i="1" s="1"/>
  <c r="BM27" i="1" s="1"/>
  <c r="EI127" i="1"/>
  <c r="EB127" i="1" s="1"/>
  <c r="BN127" i="1" s="1"/>
  <c r="D14" i="1"/>
  <c r="CO14" i="1"/>
  <c r="EI93" i="1"/>
  <c r="EB93" i="1" s="1"/>
  <c r="BN93" i="1" s="1"/>
  <c r="CK139" i="1"/>
  <c r="EE93" i="1"/>
  <c r="DX93" i="1" s="1"/>
  <c r="BJ93" i="1" s="1"/>
  <c r="EE17" i="1"/>
  <c r="DX17" i="1" s="1"/>
  <c r="BJ17" i="1" s="1"/>
  <c r="EI121" i="1"/>
  <c r="EB121" i="1" s="1"/>
  <c r="BN121" i="1" s="1"/>
  <c r="CS30" i="1"/>
  <c r="EF171" i="1"/>
  <c r="DY171" i="1" s="1"/>
  <c r="BK171" i="1" s="1"/>
  <c r="EJ108" i="1"/>
  <c r="EC108" i="1" s="1"/>
  <c r="BO108" i="1" s="1"/>
  <c r="CM155" i="1"/>
  <c r="EI89" i="1"/>
  <c r="EB89" i="1" s="1"/>
  <c r="BN89" i="1" s="1"/>
  <c r="BU89" i="1" s="1"/>
  <c r="AY8" i="1"/>
  <c r="CK8" i="1"/>
  <c r="B8" i="1"/>
  <c r="E8" i="1" s="1"/>
  <c r="EE9" i="1"/>
  <c r="DX9" i="1" s="1"/>
  <c r="BJ9" i="1" s="1"/>
  <c r="CU14" i="1"/>
  <c r="EH99" i="1"/>
  <c r="EA99" i="1" s="1"/>
  <c r="BM99" i="1" s="1"/>
  <c r="EI116" i="1"/>
  <c r="EB116" i="1" s="1"/>
  <c r="BN116" i="1" s="1"/>
  <c r="CS14" i="1"/>
  <c r="DU7" i="1"/>
  <c r="EF30" i="1"/>
  <c r="DY30" i="1" s="1"/>
  <c r="BK30" i="1" s="1"/>
  <c r="EF162" i="1"/>
  <c r="DY162" i="1" s="1"/>
  <c r="BK162" i="1" s="1"/>
  <c r="CK189" i="1"/>
  <c r="EE105" i="1"/>
  <c r="DX105" i="1" s="1"/>
  <c r="BJ105" i="1" s="1"/>
  <c r="DI177" i="1"/>
  <c r="DK177" i="1"/>
  <c r="DU177" i="1"/>
  <c r="DO177" i="1"/>
  <c r="CK176" i="1"/>
  <c r="EF114" i="1"/>
  <c r="DY114" i="1" s="1"/>
  <c r="BK114" i="1" s="1"/>
  <c r="CS37" i="1"/>
  <c r="D36" i="1"/>
  <c r="CO36" i="1"/>
  <c r="EJ11" i="1"/>
  <c r="EC11" i="1" s="1"/>
  <c r="BO11" i="1" s="1"/>
  <c r="EI17" i="1"/>
  <c r="EB17" i="1" s="1"/>
  <c r="BN17" i="1" s="1"/>
  <c r="CB17" i="1" s="1"/>
  <c r="CM152" i="1"/>
  <c r="EH15" i="1"/>
  <c r="EA15" i="1" s="1"/>
  <c r="BM15" i="1" s="1"/>
  <c r="EG12" i="1"/>
  <c r="DZ12" i="1" s="1"/>
  <c r="BL12" i="1" s="1"/>
  <c r="EG127" i="1"/>
  <c r="DZ127" i="1" s="1"/>
  <c r="BL127" i="1" s="1"/>
  <c r="CB181" i="1"/>
  <c r="CU181" i="1"/>
  <c r="CM47" i="1"/>
  <c r="BS47" i="1"/>
  <c r="C47" i="1"/>
  <c r="EJ7" i="1"/>
  <c r="EC7" i="1" s="1"/>
  <c r="BO7" i="1" s="1"/>
  <c r="BU7" i="1" s="1"/>
  <c r="EH100" i="1"/>
  <c r="EA100" i="1" s="1"/>
  <c r="BM100" i="1" s="1"/>
  <c r="EG20" i="1"/>
  <c r="DZ20" i="1" s="1"/>
  <c r="BL20" i="1" s="1"/>
  <c r="EE187" i="1"/>
  <c r="DX187" i="1" s="1"/>
  <c r="BJ187" i="1" s="1"/>
  <c r="EE62" i="1"/>
  <c r="DX62" i="1" s="1"/>
  <c r="BJ62" i="1" s="1"/>
  <c r="EE72" i="1"/>
  <c r="DX72" i="1" s="1"/>
  <c r="BJ72" i="1" s="1"/>
  <c r="EG88" i="1"/>
  <c r="DZ88" i="1" s="1"/>
  <c r="BL88" i="1" s="1"/>
  <c r="CS12" i="1"/>
  <c r="EI18" i="1"/>
  <c r="EB18" i="1" s="1"/>
  <c r="BN18" i="1" s="1"/>
  <c r="BU18" i="1" s="1"/>
  <c r="EI125" i="1"/>
  <c r="EB125" i="1" s="1"/>
  <c r="BN125" i="1" s="1"/>
  <c r="CK186" i="1"/>
  <c r="B13" i="1"/>
  <c r="CK13" i="1"/>
  <c r="AY13" i="1"/>
  <c r="CK7" i="1"/>
  <c r="B7" i="1"/>
  <c r="AY7" i="1"/>
  <c r="D18" i="1"/>
  <c r="CO18" i="1"/>
  <c r="CU30" i="1"/>
  <c r="C26" i="1"/>
  <c r="CM26" i="1"/>
  <c r="CP26" i="1" s="1"/>
  <c r="EH111" i="1"/>
  <c r="EA111" i="1" s="1"/>
  <c r="BM111" i="1" s="1"/>
  <c r="CS156" i="1"/>
  <c r="BZ156" i="1"/>
  <c r="EG85" i="1"/>
  <c r="DZ85" i="1" s="1"/>
  <c r="BL85" i="1" s="1"/>
  <c r="BS85" i="1" s="1"/>
  <c r="EN84" i="1"/>
  <c r="CO159" i="1"/>
  <c r="CU141" i="1"/>
  <c r="CB141" i="1"/>
  <c r="CB186" i="1"/>
  <c r="CC186" i="1" s="1"/>
  <c r="CU186" i="1"/>
  <c r="EJ116" i="1"/>
  <c r="EC116" i="1" s="1"/>
  <c r="BO116" i="1" s="1"/>
  <c r="CS140" i="1"/>
  <c r="BZ140" i="1"/>
  <c r="CA141" i="1" s="1"/>
  <c r="EJ115" i="1"/>
  <c r="EC115" i="1" s="1"/>
  <c r="BO115" i="1" s="1"/>
  <c r="EH107" i="1"/>
  <c r="EA107" i="1" s="1"/>
  <c r="BM107" i="1" s="1"/>
  <c r="CO150" i="1"/>
  <c r="EI31" i="1"/>
  <c r="EB31" i="1" s="1"/>
  <c r="BN31" i="1" s="1"/>
  <c r="EJ120" i="1"/>
  <c r="EC120" i="1" s="1"/>
  <c r="BO120" i="1" s="1"/>
  <c r="EG123" i="1"/>
  <c r="DZ123" i="1" s="1"/>
  <c r="BL123" i="1" s="1"/>
  <c r="EJ100" i="1"/>
  <c r="EC100" i="1" s="1"/>
  <c r="BO100" i="1" s="1"/>
  <c r="CB100" i="1" s="1"/>
  <c r="EG86" i="1"/>
  <c r="DZ86" i="1" s="1"/>
  <c r="BL86" i="1" s="1"/>
  <c r="EJ121" i="1"/>
  <c r="EC121" i="1" s="1"/>
  <c r="BO121" i="1" s="1"/>
  <c r="EH96" i="1"/>
  <c r="EA96" i="1" s="1"/>
  <c r="BM96" i="1" s="1"/>
  <c r="CU20" i="1"/>
  <c r="EH36" i="1"/>
  <c r="EA36" i="1" s="1"/>
  <c r="BM36" i="1" s="1"/>
  <c r="EJ91" i="1"/>
  <c r="EC91" i="1" s="1"/>
  <c r="BO91" i="1" s="1"/>
  <c r="D24" i="1"/>
  <c r="CO24" i="1"/>
  <c r="EI122" i="1"/>
  <c r="EB122" i="1" s="1"/>
  <c r="BN122" i="1" s="1"/>
  <c r="AY137" i="1"/>
  <c r="BS137" i="1"/>
  <c r="CM137" i="1"/>
  <c r="C137" i="1"/>
  <c r="E137" i="1" s="1"/>
  <c r="AU136" i="1"/>
  <c r="EI32" i="1"/>
  <c r="EB32" i="1" s="1"/>
  <c r="BN32" i="1" s="1"/>
  <c r="CS70" i="1"/>
  <c r="BZ70" i="1"/>
  <c r="CA70" i="1" s="1"/>
  <c r="AW3" i="1"/>
  <c r="CO4" i="1"/>
  <c r="D4" i="1"/>
  <c r="CS159" i="1"/>
  <c r="BZ159" i="1"/>
  <c r="CM140" i="1"/>
  <c r="CS175" i="1"/>
  <c r="BZ175" i="1"/>
  <c r="CM159" i="1"/>
  <c r="CS154" i="1"/>
  <c r="BZ154" i="1"/>
  <c r="CM185" i="1"/>
  <c r="CU18" i="1"/>
  <c r="C48" i="1"/>
  <c r="CM48" i="1"/>
  <c r="BS48" i="1"/>
  <c r="BT49" i="1" s="1"/>
  <c r="CB72" i="1"/>
  <c r="CU72" i="1"/>
  <c r="EH101" i="1"/>
  <c r="EA101" i="1" s="1"/>
  <c r="BM101" i="1" s="1"/>
  <c r="CU11" i="1"/>
  <c r="CV11" i="1" s="1"/>
  <c r="BU75" i="1"/>
  <c r="CO75" i="1"/>
  <c r="D75" i="1"/>
  <c r="C76" i="1"/>
  <c r="CM76" i="1"/>
  <c r="BS76" i="1"/>
  <c r="C36" i="1"/>
  <c r="CM36" i="1"/>
  <c r="CO143" i="1"/>
  <c r="EG18" i="1"/>
  <c r="DZ18" i="1" s="1"/>
  <c r="BL18" i="1" s="1"/>
  <c r="CO145" i="1"/>
  <c r="CB187" i="1"/>
  <c r="CC187" i="1" s="1"/>
  <c r="CU187" i="1"/>
  <c r="EI85" i="1"/>
  <c r="EB85" i="1" s="1"/>
  <c r="BN85" i="1" s="1"/>
  <c r="EP84" i="1"/>
  <c r="C78" i="1"/>
  <c r="BS78" i="1"/>
  <c r="CM78" i="1"/>
  <c r="BZ165" i="1"/>
  <c r="CS165" i="1"/>
  <c r="CM158" i="1"/>
  <c r="EH104" i="1"/>
  <c r="EA104" i="1" s="1"/>
  <c r="BM104" i="1" s="1"/>
  <c r="EI115" i="1"/>
  <c r="EB115" i="1" s="1"/>
  <c r="BN115" i="1" s="1"/>
  <c r="EG121" i="1"/>
  <c r="DZ121" i="1" s="1"/>
  <c r="BL121" i="1" s="1"/>
  <c r="CS35" i="1"/>
  <c r="EH33" i="1"/>
  <c r="EA33" i="1" s="1"/>
  <c r="BM33" i="1" s="1"/>
  <c r="CB46" i="1"/>
  <c r="CU46" i="1"/>
  <c r="BZ79" i="1"/>
  <c r="CS79" i="1"/>
  <c r="EH103" i="1"/>
  <c r="EA103" i="1" s="1"/>
  <c r="BM103" i="1" s="1"/>
  <c r="EG92" i="1"/>
  <c r="DZ92" i="1" s="1"/>
  <c r="BL92" i="1" s="1"/>
  <c r="CM16" i="1"/>
  <c r="C16" i="1"/>
  <c r="EJ110" i="1"/>
  <c r="EC110" i="1" s="1"/>
  <c r="BO110" i="1" s="1"/>
  <c r="EH97" i="1"/>
  <c r="EA97" i="1" s="1"/>
  <c r="BM97" i="1" s="1"/>
  <c r="EG122" i="1"/>
  <c r="DZ122" i="1" s="1"/>
  <c r="BL122" i="1" s="1"/>
  <c r="CS25" i="1"/>
  <c r="EH128" i="1"/>
  <c r="EA128" i="1" s="1"/>
  <c r="BM128" i="1" s="1"/>
  <c r="BZ172" i="1"/>
  <c r="CA172" i="1" s="1"/>
  <c r="CS172" i="1"/>
  <c r="EH109" i="1"/>
  <c r="EA109" i="1" s="1"/>
  <c r="BM109" i="1" s="1"/>
  <c r="CM77" i="1"/>
  <c r="C77" i="1"/>
  <c r="BS77" i="1"/>
  <c r="EI23" i="1"/>
  <c r="EB23" i="1" s="1"/>
  <c r="BN23" i="1" s="1"/>
  <c r="BZ145" i="1"/>
  <c r="CS145" i="1"/>
  <c r="EJ101" i="1"/>
  <c r="EC101" i="1" s="1"/>
  <c r="BO101" i="1" s="1"/>
  <c r="CB101" i="1" s="1"/>
  <c r="EH119" i="1"/>
  <c r="EA119" i="1" s="1"/>
  <c r="BM119" i="1" s="1"/>
  <c r="D25" i="1"/>
  <c r="CO25" i="1"/>
  <c r="CS59" i="1"/>
  <c r="BZ59" i="1"/>
  <c r="CA59" i="1" s="1"/>
  <c r="CM180" i="1"/>
  <c r="EH118" i="1"/>
  <c r="EA118" i="1" s="1"/>
  <c r="BM118" i="1" s="1"/>
  <c r="DI74" i="1"/>
  <c r="DU74" i="1"/>
  <c r="DK74" i="1"/>
  <c r="DO74" i="1"/>
  <c r="CK170" i="1"/>
  <c r="CK173" i="1"/>
  <c r="CQ173" i="1"/>
  <c r="DT173" i="1"/>
  <c r="DN173" i="1"/>
  <c r="DH173" i="1"/>
  <c r="BH173" i="1"/>
  <c r="DJ173" i="1"/>
  <c r="DM173" i="1" s="1"/>
  <c r="CG136" i="1"/>
  <c r="CI136" i="1"/>
  <c r="DK77" i="1"/>
  <c r="DO77" i="1"/>
  <c r="DW77" i="1" s="1"/>
  <c r="DI77" i="1"/>
  <c r="DU77" i="1"/>
  <c r="EF57" i="1"/>
  <c r="DY57" i="1" s="1"/>
  <c r="BK57" i="1" s="1"/>
  <c r="EF62" i="1"/>
  <c r="DY62" i="1" s="1"/>
  <c r="BK62" i="1" s="1"/>
  <c r="EE113" i="1"/>
  <c r="DX113" i="1" s="1"/>
  <c r="BJ113" i="1" s="1"/>
  <c r="EF71" i="1"/>
  <c r="DY71" i="1" s="1"/>
  <c r="BK71" i="1" s="1"/>
  <c r="BQ71" i="1" s="1"/>
  <c r="DU155" i="1"/>
  <c r="DO155" i="1"/>
  <c r="DI155" i="1"/>
  <c r="DK155" i="1"/>
  <c r="CK174" i="1"/>
  <c r="DJ183" i="1"/>
  <c r="DH183" i="1"/>
  <c r="DT183" i="1"/>
  <c r="BX183" i="1"/>
  <c r="CQ183" i="1"/>
  <c r="BH183" i="1"/>
  <c r="DN183" i="1"/>
  <c r="DV183" i="1" s="1"/>
  <c r="EF88" i="1"/>
  <c r="DY88" i="1" s="1"/>
  <c r="BK88" i="1" s="1"/>
  <c r="EE130" i="1"/>
  <c r="DX130" i="1" s="1"/>
  <c r="BJ130" i="1" s="1"/>
  <c r="DR130" i="1" s="1"/>
  <c r="EF86" i="1"/>
  <c r="DY86" i="1" s="1"/>
  <c r="BK86" i="1" s="1"/>
  <c r="EG99" i="1"/>
  <c r="DZ99" i="1" s="1"/>
  <c r="BL99" i="1" s="1"/>
  <c r="BS99" i="1" s="1"/>
  <c r="DO154" i="1"/>
  <c r="DW154" i="1" s="1"/>
  <c r="DI154" i="1"/>
  <c r="DU154" i="1"/>
  <c r="DK154" i="1"/>
  <c r="EF60" i="1"/>
  <c r="DY60" i="1" s="1"/>
  <c r="BK60" i="1" s="1"/>
  <c r="EF59" i="1"/>
  <c r="DY59" i="1" s="1"/>
  <c r="BK59" i="1" s="1"/>
  <c r="EE121" i="1"/>
  <c r="DX121" i="1" s="1"/>
  <c r="BJ121" i="1" s="1"/>
  <c r="DR121" i="1" s="1"/>
  <c r="DN172" i="1"/>
  <c r="DH172" i="1"/>
  <c r="DT172" i="1"/>
  <c r="BH172" i="1"/>
  <c r="DJ172" i="1"/>
  <c r="CQ172" i="1"/>
  <c r="CO177" i="1"/>
  <c r="EF89" i="1"/>
  <c r="DY89" i="1" s="1"/>
  <c r="BK89" i="1" s="1"/>
  <c r="CO173" i="1"/>
  <c r="AT84" i="1"/>
  <c r="B84" i="1" s="1"/>
  <c r="EG105" i="1"/>
  <c r="DZ105" i="1" s="1"/>
  <c r="BL105" i="1" s="1"/>
  <c r="BZ105" i="1" s="1"/>
  <c r="CO139" i="1"/>
  <c r="CK169" i="1"/>
  <c r="CK182" i="1"/>
  <c r="BH175" i="1"/>
  <c r="BI176" i="1" s="1"/>
  <c r="DN175" i="1"/>
  <c r="DT175" i="1"/>
  <c r="DH175" i="1"/>
  <c r="DJ175" i="1"/>
  <c r="CQ175" i="1"/>
  <c r="EF91" i="1"/>
  <c r="DY91" i="1" s="1"/>
  <c r="BK91" i="1" s="1"/>
  <c r="DO188" i="1"/>
  <c r="DI188" i="1"/>
  <c r="DK188" i="1"/>
  <c r="DU188" i="1"/>
  <c r="EG95" i="1"/>
  <c r="CO138" i="1"/>
  <c r="EG108" i="1"/>
  <c r="DZ108" i="1" s="1"/>
  <c r="BL108" i="1" s="1"/>
  <c r="CS20" i="1"/>
  <c r="EI98" i="1"/>
  <c r="EB98" i="1" s="1"/>
  <c r="BN98" i="1" s="1"/>
  <c r="CS8" i="1"/>
  <c r="CU27" i="1"/>
  <c r="EG125" i="1"/>
  <c r="DZ125" i="1" s="1"/>
  <c r="BL125" i="1" s="1"/>
  <c r="D61" i="1"/>
  <c r="BU61" i="1"/>
  <c r="CO61" i="1"/>
  <c r="CU61" i="1"/>
  <c r="CB61" i="1"/>
  <c r="DK149" i="1"/>
  <c r="DI149" i="1"/>
  <c r="DO149" i="1"/>
  <c r="DW149" i="1" s="1"/>
  <c r="DU149" i="1"/>
  <c r="DU22" i="1"/>
  <c r="B24" i="1"/>
  <c r="CK24" i="1"/>
  <c r="AY24" i="1"/>
  <c r="EF186" i="1"/>
  <c r="DY186" i="1" s="1"/>
  <c r="BK186" i="1" s="1"/>
  <c r="BX186" i="1" s="1"/>
  <c r="DK178" i="1"/>
  <c r="DU178" i="1"/>
  <c r="DI178" i="1"/>
  <c r="DO178" i="1"/>
  <c r="EF157" i="1"/>
  <c r="DY157" i="1" s="1"/>
  <c r="BK157" i="1" s="1"/>
  <c r="CO169" i="1"/>
  <c r="EJ113" i="1"/>
  <c r="EC113" i="1" s="1"/>
  <c r="BO113" i="1" s="1"/>
  <c r="CO146" i="1"/>
  <c r="EG31" i="1"/>
  <c r="DZ31" i="1" s="1"/>
  <c r="BL31" i="1" s="1"/>
  <c r="EJ102" i="1"/>
  <c r="EC102" i="1" s="1"/>
  <c r="BO102" i="1" s="1"/>
  <c r="CM172" i="1"/>
  <c r="EH30" i="1"/>
  <c r="EA30" i="1" s="1"/>
  <c r="BM30" i="1" s="1"/>
  <c r="EF115" i="1"/>
  <c r="DY115" i="1" s="1"/>
  <c r="BK115" i="1" s="1"/>
  <c r="CO154" i="1"/>
  <c r="CH136" i="1"/>
  <c r="CM170" i="1"/>
  <c r="EI91" i="1"/>
  <c r="EB91" i="1" s="1"/>
  <c r="BN91" i="1" s="1"/>
  <c r="D20" i="1"/>
  <c r="CO20" i="1"/>
  <c r="EJ109" i="1"/>
  <c r="EC109" i="1" s="1"/>
  <c r="BO109" i="1" s="1"/>
  <c r="DI161" i="1"/>
  <c r="DL161" i="1" s="1"/>
  <c r="DO161" i="1"/>
  <c r="DU161" i="1"/>
  <c r="BH161" i="1"/>
  <c r="BI161" i="1" s="1"/>
  <c r="CQ161" i="1"/>
  <c r="DK161" i="1"/>
  <c r="DS161" i="1" s="1"/>
  <c r="DU186" i="1"/>
  <c r="DI186" i="1"/>
  <c r="DK186" i="1"/>
  <c r="DO186" i="1"/>
  <c r="DH149" i="1"/>
  <c r="DN149" i="1"/>
  <c r="CQ149" i="1"/>
  <c r="DT149" i="1"/>
  <c r="DJ149" i="1"/>
  <c r="BH149" i="1"/>
  <c r="BI150" i="1" s="1"/>
  <c r="CU16" i="1"/>
  <c r="CM179" i="1"/>
  <c r="EJ114" i="1"/>
  <c r="EC114" i="1" s="1"/>
  <c r="BO114" i="1" s="1"/>
  <c r="EI87" i="1"/>
  <c r="EB87" i="1" s="1"/>
  <c r="BN87" i="1" s="1"/>
  <c r="D37" i="1"/>
  <c r="CO37" i="1"/>
  <c r="AY188" i="1"/>
  <c r="C188" i="1"/>
  <c r="E188" i="1" s="1"/>
  <c r="CM188" i="1"/>
  <c r="BS188" i="1"/>
  <c r="BT188" i="1" s="1"/>
  <c r="AY62" i="1"/>
  <c r="B62" i="1"/>
  <c r="CK62" i="1"/>
  <c r="EE21" i="1"/>
  <c r="DX21" i="1" s="1"/>
  <c r="BJ21" i="1" s="1"/>
  <c r="BF3" i="1"/>
  <c r="CS24" i="1"/>
  <c r="EH21" i="1"/>
  <c r="EA21" i="1" s="1"/>
  <c r="BM21" i="1" s="1"/>
  <c r="EJ6" i="1"/>
  <c r="EC6" i="1" s="1"/>
  <c r="BO6" i="1" s="1"/>
  <c r="BZ182" i="1"/>
  <c r="CS182" i="1"/>
  <c r="EG32" i="1"/>
  <c r="DZ32" i="1" s="1"/>
  <c r="BL32" i="1" s="1"/>
  <c r="EJ128" i="1"/>
  <c r="EC128" i="1" s="1"/>
  <c r="BO128" i="1" s="1"/>
  <c r="AX44" i="1"/>
  <c r="CS33" i="1"/>
  <c r="EJ98" i="1"/>
  <c r="EC98" i="1" s="1"/>
  <c r="BO98" i="1" s="1"/>
  <c r="D19" i="1"/>
  <c r="CO19" i="1"/>
  <c r="BS59" i="1"/>
  <c r="CM59" i="1"/>
  <c r="C59" i="1"/>
  <c r="EJ16" i="1"/>
  <c r="EC16" i="1" s="1"/>
  <c r="BO16" i="1" s="1"/>
  <c r="BS61" i="1"/>
  <c r="BT61" i="1" s="1"/>
  <c r="CM61" i="1"/>
  <c r="C61" i="1"/>
  <c r="CO160" i="1"/>
  <c r="CU24" i="1"/>
  <c r="EJ106" i="1"/>
  <c r="EC106" i="1" s="1"/>
  <c r="BO106" i="1" s="1"/>
  <c r="CS144" i="1"/>
  <c r="BZ144" i="1"/>
  <c r="CM175" i="1"/>
  <c r="CS174" i="1"/>
  <c r="BZ174" i="1"/>
  <c r="CH44" i="1"/>
  <c r="EJ95" i="1"/>
  <c r="EC95" i="1" s="1"/>
  <c r="BO95" i="1" s="1"/>
  <c r="CB180" i="1"/>
  <c r="CU180" i="1"/>
  <c r="CU31" i="1"/>
  <c r="CU28" i="1"/>
  <c r="CO79" i="1"/>
  <c r="BU79" i="1"/>
  <c r="D79" i="1"/>
  <c r="EG24" i="1"/>
  <c r="DZ24" i="1" s="1"/>
  <c r="BL24" i="1" s="1"/>
  <c r="CB57" i="1"/>
  <c r="CC57" i="1" s="1"/>
  <c r="CU57" i="1"/>
  <c r="EH122" i="1"/>
  <c r="EA122" i="1" s="1"/>
  <c r="BM122" i="1" s="1"/>
  <c r="EH86" i="1"/>
  <c r="EA86" i="1" s="1"/>
  <c r="BM86" i="1" s="1"/>
  <c r="EG5" i="1"/>
  <c r="DZ5" i="1" s="1"/>
  <c r="BL5" i="1" s="1"/>
  <c r="CO171" i="1"/>
  <c r="BZ76" i="1"/>
  <c r="CS76" i="1"/>
  <c r="CU17" i="1"/>
  <c r="CO9" i="1"/>
  <c r="CP9" i="1" s="1"/>
  <c r="D9" i="1"/>
  <c r="CO16" i="1"/>
  <c r="D16" i="1"/>
  <c r="CM29" i="1"/>
  <c r="C29" i="1"/>
  <c r="CM24" i="1"/>
  <c r="C24" i="1"/>
  <c r="EG113" i="1"/>
  <c r="DZ113" i="1" s="1"/>
  <c r="BL113" i="1" s="1"/>
  <c r="CO183" i="1"/>
  <c r="BZ77" i="1"/>
  <c r="CS77" i="1"/>
  <c r="CS36" i="1"/>
  <c r="CV36" i="1" s="1"/>
  <c r="CO166" i="1"/>
  <c r="EJ126" i="1"/>
  <c r="EC126" i="1" s="1"/>
  <c r="BO126" i="1" s="1"/>
  <c r="CS47" i="1"/>
  <c r="BZ47" i="1"/>
  <c r="CO62" i="1"/>
  <c r="D62" i="1"/>
  <c r="BU62" i="1"/>
  <c r="CI44" i="1"/>
  <c r="CO10" i="1"/>
  <c r="D10" i="1"/>
  <c r="EH28" i="1"/>
  <c r="EA28" i="1" s="1"/>
  <c r="BM28" i="1" s="1"/>
  <c r="BZ28" i="1" s="1"/>
  <c r="EI106" i="1"/>
  <c r="EB106" i="1" s="1"/>
  <c r="BN106" i="1" s="1"/>
  <c r="EJ38" i="1"/>
  <c r="EC38" i="1" s="1"/>
  <c r="BO38" i="1" s="1"/>
  <c r="CB38" i="1" s="1"/>
  <c r="CO156" i="1"/>
  <c r="D15" i="1"/>
  <c r="CO15" i="1"/>
  <c r="EG117" i="1"/>
  <c r="DZ117" i="1" s="1"/>
  <c r="BL117" i="1" s="1"/>
  <c r="CB59" i="1"/>
  <c r="CC60" i="1" s="1"/>
  <c r="CU59" i="1"/>
  <c r="BC136" i="1"/>
  <c r="CS137" i="1"/>
  <c r="BZ137" i="1"/>
  <c r="CA138" i="1" s="1"/>
  <c r="CO181" i="1"/>
  <c r="BZ48" i="1"/>
  <c r="CA49" i="1" s="1"/>
  <c r="CS48" i="1"/>
  <c r="CU22" i="1"/>
  <c r="D76" i="1"/>
  <c r="BU76" i="1"/>
  <c r="CO76" i="1"/>
  <c r="CU137" i="1"/>
  <c r="BF136" i="1"/>
  <c r="CB137" i="1"/>
  <c r="EJ36" i="1"/>
  <c r="EC36" i="1" s="1"/>
  <c r="BO36" i="1" s="1"/>
  <c r="EG6" i="1"/>
  <c r="DZ6" i="1" s="1"/>
  <c r="BL6" i="1" s="1"/>
  <c r="BU60" i="1"/>
  <c r="D60" i="1"/>
  <c r="E60" i="1" s="1"/>
  <c r="CO60" i="1"/>
  <c r="EJ88" i="1"/>
  <c r="EC88" i="1" s="1"/>
  <c r="BO88" i="1" s="1"/>
  <c r="EJ9" i="1"/>
  <c r="EC9" i="1" s="1"/>
  <c r="BO9" i="1" s="1"/>
  <c r="EI99" i="1"/>
  <c r="EB99" i="1" s="1"/>
  <c r="BN99" i="1" s="1"/>
  <c r="EH91" i="1"/>
  <c r="EA91" i="1" s="1"/>
  <c r="BM91" i="1" s="1"/>
  <c r="BZ184" i="1"/>
  <c r="CA184" i="1" s="1"/>
  <c r="CS184" i="1"/>
  <c r="BD3" i="1"/>
  <c r="CS19" i="1"/>
  <c r="EI112" i="1"/>
  <c r="EB112" i="1" s="1"/>
  <c r="BN112" i="1" s="1"/>
  <c r="CO32" i="1"/>
  <c r="D32" i="1"/>
  <c r="CO48" i="1"/>
  <c r="D48" i="1"/>
  <c r="BU48" i="1"/>
  <c r="EJ29" i="1"/>
  <c r="EC29" i="1" s="1"/>
  <c r="BO29" i="1" s="1"/>
  <c r="EJ117" i="1"/>
  <c r="EC117" i="1" s="1"/>
  <c r="BO117" i="1" s="1"/>
  <c r="CK175" i="1"/>
  <c r="EE117" i="1"/>
  <c r="DX117" i="1" s="1"/>
  <c r="BJ117" i="1" s="1"/>
  <c r="EF148" i="1"/>
  <c r="DY148" i="1" s="1"/>
  <c r="BK148" i="1" s="1"/>
  <c r="EE114" i="1"/>
  <c r="DX114" i="1" s="1"/>
  <c r="BJ114" i="1" s="1"/>
  <c r="DT174" i="1"/>
  <c r="BH174" i="1"/>
  <c r="CQ174" i="1"/>
  <c r="DJ174" i="1"/>
  <c r="DN174" i="1"/>
  <c r="DV174" i="1" s="1"/>
  <c r="DH174" i="1"/>
  <c r="EF61" i="1"/>
  <c r="DY61" i="1" s="1"/>
  <c r="BK61" i="1" s="1"/>
  <c r="BQ61" i="1" s="1"/>
  <c r="EF90" i="1"/>
  <c r="DY90" i="1" s="1"/>
  <c r="BK90" i="1" s="1"/>
  <c r="EG111" i="1"/>
  <c r="DZ111" i="1" s="1"/>
  <c r="BL111" i="1" s="1"/>
  <c r="BZ111" i="1" s="1"/>
  <c r="EE171" i="1"/>
  <c r="DX171" i="1" s="1"/>
  <c r="BJ171" i="1" s="1"/>
  <c r="CO179" i="1"/>
  <c r="DI57" i="1"/>
  <c r="DK57" i="1"/>
  <c r="DQ57" i="1" s="1"/>
  <c r="DU57" i="1"/>
  <c r="DO57" i="1"/>
  <c r="DW57" i="1" s="1"/>
  <c r="EF75" i="1"/>
  <c r="DY75" i="1" s="1"/>
  <c r="BK75" i="1" s="1"/>
  <c r="EF188" i="1"/>
  <c r="DY188" i="1" s="1"/>
  <c r="BK188" i="1" s="1"/>
  <c r="BX188" i="1" s="1"/>
  <c r="DK58" i="1"/>
  <c r="DQ58" i="1" s="1"/>
  <c r="DO58" i="1"/>
  <c r="DW58" i="1" s="1"/>
  <c r="DU58" i="1"/>
  <c r="DI58" i="1"/>
  <c r="DP58" i="1" s="1"/>
  <c r="DU73" i="1"/>
  <c r="DK73" i="1"/>
  <c r="DO73" i="1"/>
  <c r="DW73" i="1" s="1"/>
  <c r="DI73" i="1"/>
  <c r="DK72" i="1"/>
  <c r="DQ72" i="1" s="1"/>
  <c r="DO72" i="1"/>
  <c r="DI72" i="1"/>
  <c r="DU72" i="1"/>
  <c r="CK172" i="1"/>
  <c r="EG104" i="1"/>
  <c r="DZ104" i="1" s="1"/>
  <c r="BL104" i="1" s="1"/>
  <c r="BS104" i="1" s="1"/>
  <c r="EE126" i="1"/>
  <c r="DX126" i="1" s="1"/>
  <c r="BJ126" i="1" s="1"/>
  <c r="BQ126" i="1" s="1"/>
  <c r="CO176" i="1"/>
  <c r="B63" i="1"/>
  <c r="AY63" i="1"/>
  <c r="CK63" i="1"/>
  <c r="CP63" i="1" s="1"/>
  <c r="EG110" i="1"/>
  <c r="DZ110" i="1" s="1"/>
  <c r="BL110" i="1" s="1"/>
  <c r="EG100" i="1"/>
  <c r="DZ100" i="1" s="1"/>
  <c r="BL100" i="1" s="1"/>
  <c r="EF76" i="1"/>
  <c r="DY76" i="1" s="1"/>
  <c r="BK76" i="1" s="1"/>
  <c r="DK63" i="1"/>
  <c r="DI63" i="1"/>
  <c r="DU63" i="1"/>
  <c r="DO63" i="1"/>
  <c r="EF85" i="1"/>
  <c r="DY85" i="1" s="1"/>
  <c r="BK85" i="1" s="1"/>
  <c r="BX85" i="1" s="1"/>
  <c r="EM84" i="1"/>
  <c r="EF77" i="1"/>
  <c r="DY77" i="1" s="1"/>
  <c r="BK77" i="1" s="1"/>
  <c r="EF58" i="1"/>
  <c r="DY58" i="1" s="1"/>
  <c r="BK58" i="1" s="1"/>
  <c r="CU177" i="1"/>
  <c r="CB177" i="1"/>
  <c r="CC177" i="1" s="1"/>
  <c r="EG107" i="1"/>
  <c r="DZ107" i="1" s="1"/>
  <c r="BL107" i="1" s="1"/>
  <c r="CB139" i="1"/>
  <c r="CU139" i="1"/>
  <c r="CU153" i="1"/>
  <c r="CB153" i="1"/>
  <c r="CC153" i="1" s="1"/>
  <c r="CB155" i="1"/>
  <c r="CU155" i="1"/>
  <c r="EE119" i="1"/>
  <c r="DX119" i="1" s="1"/>
  <c r="BJ119" i="1" s="1"/>
  <c r="EE175" i="1"/>
  <c r="DX175" i="1" s="1"/>
  <c r="BJ175" i="1" s="1"/>
  <c r="EF48" i="1"/>
  <c r="DY48" i="1" s="1"/>
  <c r="BK48" i="1" s="1"/>
  <c r="EE112" i="1"/>
  <c r="DX112" i="1" s="1"/>
  <c r="BJ112" i="1" s="1"/>
  <c r="EG101" i="1"/>
  <c r="DZ101" i="1" s="1"/>
  <c r="BL101" i="1" s="1"/>
  <c r="DU61" i="1"/>
  <c r="DO61" i="1"/>
  <c r="DW61" i="1" s="1"/>
  <c r="DK61" i="1"/>
  <c r="DI61" i="1"/>
  <c r="EE127" i="1"/>
  <c r="DX127" i="1" s="1"/>
  <c r="BJ127" i="1" s="1"/>
  <c r="EE106" i="1"/>
  <c r="DX106" i="1" s="1"/>
  <c r="BJ106" i="1" s="1"/>
  <c r="CQ16" i="1"/>
  <c r="BH16" i="1"/>
  <c r="BI17" i="1" s="1"/>
  <c r="DT16" i="1"/>
  <c r="EF129" i="1"/>
  <c r="DY129" i="1" s="1"/>
  <c r="BK129" i="1" s="1"/>
  <c r="CU29" i="1"/>
  <c r="CS16" i="1"/>
  <c r="CS15" i="1"/>
  <c r="CM171" i="1"/>
  <c r="BU59" i="1"/>
  <c r="D59" i="1"/>
  <c r="CO59" i="1"/>
  <c r="CP59" i="1" s="1"/>
  <c r="CO189" i="1"/>
  <c r="EH23" i="1"/>
  <c r="EA23" i="1" s="1"/>
  <c r="BM23" i="1" s="1"/>
  <c r="EG90" i="1"/>
  <c r="DZ90" i="1" s="1"/>
  <c r="BL90" i="1" s="1"/>
  <c r="BS90" i="1" s="1"/>
  <c r="CU4" i="1"/>
  <c r="BE3" i="1"/>
  <c r="DT189" i="1"/>
  <c r="BH189" i="1"/>
  <c r="CQ189" i="1"/>
  <c r="DH189" i="1"/>
  <c r="DJ189" i="1"/>
  <c r="DQ189" i="1" s="1"/>
  <c r="DN189" i="1"/>
  <c r="DV189" i="1" s="1"/>
  <c r="EE76" i="1"/>
  <c r="DX76" i="1" s="1"/>
  <c r="BJ76" i="1" s="1"/>
  <c r="CK71" i="1"/>
  <c r="B71" i="1"/>
  <c r="AY71" i="1"/>
  <c r="AY16" i="1"/>
  <c r="CK16" i="1"/>
  <c r="B16" i="1"/>
  <c r="EI30" i="1"/>
  <c r="EB30" i="1" s="1"/>
  <c r="BN30" i="1" s="1"/>
  <c r="BU30" i="1" s="1"/>
  <c r="CU144" i="1"/>
  <c r="CB144" i="1"/>
  <c r="CC144" i="1" s="1"/>
  <c r="EH16" i="1"/>
  <c r="EA16" i="1" s="1"/>
  <c r="BM16" i="1" s="1"/>
  <c r="EG9" i="1"/>
  <c r="DZ9" i="1" s="1"/>
  <c r="BL9" i="1" s="1"/>
  <c r="BZ63" i="1"/>
  <c r="CA64" i="1" s="1"/>
  <c r="CS63" i="1"/>
  <c r="EI25" i="1"/>
  <c r="EB25" i="1" s="1"/>
  <c r="BN25" i="1" s="1"/>
  <c r="CU47" i="1"/>
  <c r="CB47" i="1"/>
  <c r="EF176" i="1"/>
  <c r="DY176" i="1" s="1"/>
  <c r="BK176" i="1" s="1"/>
  <c r="BX176" i="1" s="1"/>
  <c r="C12" i="1"/>
  <c r="CM12" i="1"/>
  <c r="EI6" i="1"/>
  <c r="EB6" i="1" s="1"/>
  <c r="BN6" i="1" s="1"/>
  <c r="CO180" i="1"/>
  <c r="EI19" i="1"/>
  <c r="EB19" i="1" s="1"/>
  <c r="BN19" i="1" s="1"/>
  <c r="BS58" i="1"/>
  <c r="BT58" i="1" s="1"/>
  <c r="C58" i="1"/>
  <c r="CO170" i="1"/>
  <c r="BZ181" i="1"/>
  <c r="CS181" i="1"/>
  <c r="EF125" i="1"/>
  <c r="DY125" i="1" s="1"/>
  <c r="BK125" i="1" s="1"/>
  <c r="DK6" i="1"/>
  <c r="DQ6" i="1" s="1"/>
  <c r="DO6" i="1"/>
  <c r="DW6" i="1" s="1"/>
  <c r="DI6" i="1"/>
  <c r="DU6" i="1"/>
  <c r="AY34" i="1"/>
  <c r="B34" i="1"/>
  <c r="E34" i="1" s="1"/>
  <c r="CK34" i="1"/>
  <c r="CU142" i="1"/>
  <c r="CB142" i="1"/>
  <c r="CC143" i="1" s="1"/>
  <c r="CO182" i="1"/>
  <c r="CS170" i="1"/>
  <c r="BZ170" i="1"/>
  <c r="CO74" i="1"/>
  <c r="D74" i="1"/>
  <c r="E74" i="1" s="1"/>
  <c r="BU74" i="1"/>
  <c r="CS73" i="1"/>
  <c r="BZ73" i="1"/>
  <c r="CU10" i="1"/>
  <c r="BU77" i="1"/>
  <c r="D77" i="1"/>
  <c r="CO77" i="1"/>
  <c r="EH114" i="1"/>
  <c r="EA114" i="1" s="1"/>
  <c r="BM114" i="1" s="1"/>
  <c r="CB48" i="1"/>
  <c r="CC49" i="1" s="1"/>
  <c r="CU48" i="1"/>
  <c r="CS10" i="1"/>
  <c r="EJ123" i="1"/>
  <c r="EC123" i="1" s="1"/>
  <c r="BO123" i="1" s="1"/>
  <c r="CM149" i="1"/>
  <c r="EJ103" i="1"/>
  <c r="EC103" i="1" s="1"/>
  <c r="BO103" i="1" s="1"/>
  <c r="EI27" i="1"/>
  <c r="EB27" i="1" s="1"/>
  <c r="BN27" i="1" s="1"/>
  <c r="EI123" i="1"/>
  <c r="EB123" i="1" s="1"/>
  <c r="BN123" i="1" s="1"/>
  <c r="CM147" i="1"/>
  <c r="CP147" i="1" s="1"/>
  <c r="EH32" i="1"/>
  <c r="EA32" i="1" s="1"/>
  <c r="BM32" i="1" s="1"/>
  <c r="BS32" i="1" s="1"/>
  <c r="CS13" i="1"/>
  <c r="BZ153" i="1"/>
  <c r="CA153" i="1" s="1"/>
  <c r="CS153" i="1"/>
  <c r="BZ142" i="1"/>
  <c r="CS142" i="1"/>
  <c r="EG87" i="1"/>
  <c r="DZ87" i="1" s="1"/>
  <c r="BL87" i="1" s="1"/>
  <c r="CU184" i="1"/>
  <c r="CB184" i="1"/>
  <c r="BZ45" i="1"/>
  <c r="CS45" i="1"/>
  <c r="BC44" i="1"/>
  <c r="EJ127" i="1"/>
  <c r="EC127" i="1" s="1"/>
  <c r="BO127" i="1" s="1"/>
  <c r="EH24" i="1"/>
  <c r="EA24" i="1" s="1"/>
  <c r="BM24" i="1" s="1"/>
  <c r="D23" i="1"/>
  <c r="CO23" i="1"/>
  <c r="EJ24" i="1"/>
  <c r="EC24" i="1" s="1"/>
  <c r="BO24" i="1" s="1"/>
  <c r="EH88" i="1"/>
  <c r="EA88" i="1" s="1"/>
  <c r="BM88" i="1" s="1"/>
  <c r="D22" i="1"/>
  <c r="CO22" i="1"/>
  <c r="EI119" i="1"/>
  <c r="EB119" i="1" s="1"/>
  <c r="BN119" i="1" s="1"/>
  <c r="CB119" i="1" s="1"/>
  <c r="EH129" i="1"/>
  <c r="EA129" i="1" s="1"/>
  <c r="BM129" i="1" s="1"/>
  <c r="EJ20" i="1"/>
  <c r="EC20" i="1" s="1"/>
  <c r="BO20" i="1" s="1"/>
  <c r="CU5" i="1"/>
  <c r="EG14" i="1"/>
  <c r="DZ14" i="1" s="1"/>
  <c r="BL14" i="1" s="1"/>
  <c r="CU13" i="1"/>
  <c r="D17" i="1"/>
  <c r="CO17" i="1"/>
  <c r="EH95" i="1"/>
  <c r="EA95" i="1" s="1"/>
  <c r="BM95" i="1" s="1"/>
  <c r="CO188" i="1"/>
  <c r="EG7" i="1"/>
  <c r="DZ7" i="1" s="1"/>
  <c r="BL7" i="1" s="1"/>
  <c r="CS62" i="1"/>
  <c r="BZ62" i="1"/>
  <c r="CA62" i="1" s="1"/>
  <c r="EI117" i="1"/>
  <c r="EB117" i="1" s="1"/>
  <c r="BN117" i="1" s="1"/>
  <c r="CS176" i="1"/>
  <c r="BZ176" i="1"/>
  <c r="CA176" i="1" s="1"/>
  <c r="EG21" i="1"/>
  <c r="DZ21" i="1" s="1"/>
  <c r="BL21" i="1" s="1"/>
  <c r="BS21" i="1" s="1"/>
  <c r="C139" i="1"/>
  <c r="E139" i="1" s="1"/>
  <c r="AY139" i="1"/>
  <c r="BS139" i="1"/>
  <c r="BT140" i="1" s="1"/>
  <c r="CB70" i="1"/>
  <c r="CC70" i="1" s="1"/>
  <c r="CU70" i="1"/>
  <c r="EI33" i="1"/>
  <c r="EB33" i="1" s="1"/>
  <c r="BN33" i="1" s="1"/>
  <c r="CB33" i="1" s="1"/>
  <c r="CU63" i="1"/>
  <c r="CB63" i="1"/>
  <c r="CC64" i="1" s="1"/>
  <c r="EG19" i="1"/>
  <c r="DZ19" i="1" s="1"/>
  <c r="BL19" i="1" s="1"/>
  <c r="EH10" i="1"/>
  <c r="EA10" i="1" s="1"/>
  <c r="BM10" i="1" s="1"/>
  <c r="BZ10" i="1" s="1"/>
  <c r="EH93" i="1"/>
  <c r="EA93" i="1" s="1"/>
  <c r="BM93" i="1" s="1"/>
  <c r="CM169" i="1"/>
  <c r="CU38" i="1"/>
  <c r="EG36" i="1"/>
  <c r="DZ36" i="1" s="1"/>
  <c r="BL36" i="1" s="1"/>
  <c r="C17" i="1"/>
  <c r="CM17" i="1"/>
  <c r="EN3" i="1"/>
  <c r="EG4" i="1"/>
  <c r="CM145" i="1"/>
  <c r="D72" i="1"/>
  <c r="CO72" i="1"/>
  <c r="BU72" i="1"/>
  <c r="CS151" i="1"/>
  <c r="BZ151" i="1"/>
  <c r="EH89" i="1"/>
  <c r="EA89" i="1" s="1"/>
  <c r="BM89" i="1" s="1"/>
  <c r="EH11" i="1"/>
  <c r="EA11" i="1" s="1"/>
  <c r="BM11" i="1" s="1"/>
  <c r="EJ37" i="1"/>
  <c r="EC37" i="1" s="1"/>
  <c r="BO37" i="1" s="1"/>
  <c r="CB37" i="1" s="1"/>
  <c r="EH17" i="1"/>
  <c r="EA17" i="1" s="1"/>
  <c r="BM17" i="1" s="1"/>
  <c r="BS62" i="1"/>
  <c r="BT63" i="1" s="1"/>
  <c r="CM62" i="1"/>
  <c r="C62" i="1"/>
  <c r="EJ112" i="1"/>
  <c r="EC112" i="1" s="1"/>
  <c r="BO112" i="1" s="1"/>
  <c r="CU148" i="1"/>
  <c r="CB148" i="1"/>
  <c r="EG16" i="1"/>
  <c r="DZ16" i="1" s="1"/>
  <c r="BL16" i="1" s="1"/>
  <c r="EH19" i="1"/>
  <c r="EA19" i="1" s="1"/>
  <c r="BM19" i="1" s="1"/>
  <c r="CM73" i="1"/>
  <c r="CP73" i="1" s="1"/>
  <c r="BS73" i="1"/>
  <c r="BT73" i="1" s="1"/>
  <c r="C73" i="1"/>
  <c r="E73" i="1" s="1"/>
  <c r="EH5" i="1"/>
  <c r="EA5" i="1" s="1"/>
  <c r="BM5" i="1" s="1"/>
  <c r="CB157" i="1"/>
  <c r="CU157" i="1"/>
  <c r="EG116" i="1"/>
  <c r="DZ116" i="1" s="1"/>
  <c r="BL116" i="1" s="1"/>
  <c r="CO70" i="1"/>
  <c r="BU70" i="1"/>
  <c r="D70" i="1"/>
  <c r="E70" i="1" s="1"/>
  <c r="CU159" i="1"/>
  <c r="CB159" i="1"/>
  <c r="CC159" i="1" s="1"/>
  <c r="CS28" i="1"/>
  <c r="CO157" i="1"/>
  <c r="CU78" i="1"/>
  <c r="CB78" i="1"/>
  <c r="EH7" i="1"/>
  <c r="EA7" i="1" s="1"/>
  <c r="BM7" i="1" s="1"/>
  <c r="EE110" i="1"/>
  <c r="DX110" i="1" s="1"/>
  <c r="BJ110" i="1" s="1"/>
  <c r="DU79" i="1"/>
  <c r="DO79" i="1"/>
  <c r="DW79" i="1" s="1"/>
  <c r="DI79" i="1"/>
  <c r="DP79" i="1" s="1"/>
  <c r="DK79" i="1"/>
  <c r="DN170" i="1"/>
  <c r="DH170" i="1"/>
  <c r="BH170" i="1"/>
  <c r="DT170" i="1"/>
  <c r="CQ170" i="1"/>
  <c r="DJ170" i="1"/>
  <c r="EE124" i="1"/>
  <c r="DX124" i="1" s="1"/>
  <c r="BJ124" i="1" s="1"/>
  <c r="BX124" i="1" s="1"/>
  <c r="EE111" i="1"/>
  <c r="DX111" i="1" s="1"/>
  <c r="BJ111" i="1" s="1"/>
  <c r="EE118" i="1"/>
  <c r="DX118" i="1" s="1"/>
  <c r="BJ118" i="1" s="1"/>
  <c r="BX118" i="1" s="1"/>
  <c r="BX182" i="1"/>
  <c r="BH182" i="1"/>
  <c r="BI182" i="1" s="1"/>
  <c r="CQ182" i="1"/>
  <c r="DN182" i="1"/>
  <c r="DT182" i="1"/>
  <c r="DJ182" i="1"/>
  <c r="DM182" i="1" s="1"/>
  <c r="DH182" i="1"/>
  <c r="DK76" i="1"/>
  <c r="DU76" i="1"/>
  <c r="DI76" i="1"/>
  <c r="DO76" i="1"/>
  <c r="DW76" i="1" s="1"/>
  <c r="CO172" i="1"/>
  <c r="EG93" i="1"/>
  <c r="DZ93" i="1" s="1"/>
  <c r="BL93" i="1" s="1"/>
  <c r="CK183" i="1"/>
  <c r="EE128" i="1"/>
  <c r="DX128" i="1" s="1"/>
  <c r="BJ128" i="1" s="1"/>
  <c r="DR128" i="1" s="1"/>
  <c r="EF63" i="1"/>
  <c r="DY63" i="1" s="1"/>
  <c r="BK63" i="1" s="1"/>
  <c r="EF72" i="1"/>
  <c r="DY72" i="1" s="1"/>
  <c r="BK72" i="1" s="1"/>
  <c r="EG98" i="1"/>
  <c r="DZ98" i="1" s="1"/>
  <c r="BL98" i="1" s="1"/>
  <c r="BZ98" i="1" s="1"/>
  <c r="EG109" i="1"/>
  <c r="DZ109" i="1" s="1"/>
  <c r="BL109" i="1" s="1"/>
  <c r="BS109" i="1" s="1"/>
  <c r="EG106" i="1"/>
  <c r="DZ106" i="1" s="1"/>
  <c r="BL106" i="1" s="1"/>
  <c r="BZ106" i="1" s="1"/>
  <c r="EE122" i="1"/>
  <c r="DX122" i="1" s="1"/>
  <c r="BJ122" i="1" s="1"/>
  <c r="DR122" i="1" s="1"/>
  <c r="EF92" i="1"/>
  <c r="DY92" i="1" s="1"/>
  <c r="BK92" i="1" s="1"/>
  <c r="CE136" i="1"/>
  <c r="EE169" i="1"/>
  <c r="DX169" i="1" s="1"/>
  <c r="BJ169" i="1" s="1"/>
  <c r="BQ169" i="1" s="1"/>
  <c r="CW169" i="1" s="1"/>
  <c r="EF70" i="1"/>
  <c r="DY70" i="1" s="1"/>
  <c r="BK70" i="1" s="1"/>
  <c r="EE173" i="1"/>
  <c r="DX173" i="1" s="1"/>
  <c r="BJ173" i="1" s="1"/>
  <c r="CO175" i="1"/>
  <c r="EG94" i="1"/>
  <c r="DZ94" i="1" s="1"/>
  <c r="BL94" i="1" s="1"/>
  <c r="CO137" i="1"/>
  <c r="DU148" i="1"/>
  <c r="DO148" i="1"/>
  <c r="DW148" i="1" s="1"/>
  <c r="DI148" i="1"/>
  <c r="DK148" i="1"/>
  <c r="EE108" i="1"/>
  <c r="DX108" i="1" s="1"/>
  <c r="BJ108" i="1" s="1"/>
  <c r="DR108" i="1" s="1"/>
  <c r="DK75" i="1"/>
  <c r="DI75" i="1"/>
  <c r="DU75" i="1"/>
  <c r="DO75" i="1"/>
  <c r="DW75" i="1" s="1"/>
  <c r="EF73" i="1"/>
  <c r="DY73" i="1" s="1"/>
  <c r="BK73" i="1" s="1"/>
  <c r="DK59" i="1"/>
  <c r="DU59" i="1"/>
  <c r="DO59" i="1"/>
  <c r="DI59" i="1"/>
  <c r="EF78" i="1"/>
  <c r="DY78" i="1" s="1"/>
  <c r="BK78" i="1" s="1"/>
  <c r="BQ78" i="1" s="1"/>
  <c r="CK143" i="1"/>
  <c r="BX143" i="1"/>
  <c r="DT143" i="1"/>
  <c r="DJ143" i="1"/>
  <c r="DR143" i="1" s="1"/>
  <c r="DH143" i="1"/>
  <c r="DP143" i="1" s="1"/>
  <c r="BH143" i="1"/>
  <c r="DN143" i="1"/>
  <c r="CQ143" i="1"/>
  <c r="DJ169" i="1"/>
  <c r="CQ169" i="1"/>
  <c r="DN169" i="1"/>
  <c r="DT169" i="1"/>
  <c r="DH169" i="1"/>
  <c r="BH169" i="1"/>
  <c r="BI169" i="1" s="1"/>
  <c r="CQ187" i="1"/>
  <c r="DN187" i="1"/>
  <c r="DV187" i="1" s="1"/>
  <c r="DJ187" i="1"/>
  <c r="BH187" i="1"/>
  <c r="BI187" i="1" s="1"/>
  <c r="DH187" i="1"/>
  <c r="DT187" i="1"/>
  <c r="EF106" i="1"/>
  <c r="DY106" i="1" s="1"/>
  <c r="BK106" i="1" s="1"/>
  <c r="EE152" i="1"/>
  <c r="DX152" i="1" s="1"/>
  <c r="BJ152" i="1" s="1"/>
  <c r="CK25" i="1"/>
  <c r="CP25" i="1" s="1"/>
  <c r="AY25" i="1"/>
  <c r="B25" i="1"/>
  <c r="DN78" i="1"/>
  <c r="DV78" i="1" s="1"/>
  <c r="DT78" i="1"/>
  <c r="DH78" i="1"/>
  <c r="BH78" i="1"/>
  <c r="CQ78" i="1"/>
  <c r="BH76" i="1"/>
  <c r="DN76" i="1"/>
  <c r="DJ76" i="1"/>
  <c r="CQ76" i="1"/>
  <c r="DT76" i="1"/>
  <c r="DH76" i="1"/>
  <c r="EJ21" i="1"/>
  <c r="EC21" i="1" s="1"/>
  <c r="BO21" i="1" s="1"/>
  <c r="BZ155" i="1"/>
  <c r="CS155" i="1"/>
  <c r="CH3" i="1"/>
  <c r="C46" i="1"/>
  <c r="CM46" i="1"/>
  <c r="CP46" i="1" s="1"/>
  <c r="BS46" i="1"/>
  <c r="EI15" i="1"/>
  <c r="EB15" i="1" s="1"/>
  <c r="BN15" i="1" s="1"/>
  <c r="CS186" i="1"/>
  <c r="BZ186" i="1"/>
  <c r="CO11" i="1"/>
  <c r="CP11" i="1" s="1"/>
  <c r="D11" i="1"/>
  <c r="EG126" i="1"/>
  <c r="DZ126" i="1" s="1"/>
  <c r="BL126" i="1" s="1"/>
  <c r="B32" i="1"/>
  <c r="E32" i="1" s="1"/>
  <c r="AY32" i="1"/>
  <c r="CK32" i="1"/>
  <c r="BH165" i="1"/>
  <c r="CQ165" i="1"/>
  <c r="DU165" i="1"/>
  <c r="DO165" i="1"/>
  <c r="DW165" i="1" s="1"/>
  <c r="ED165" i="1" s="1"/>
  <c r="DI165" i="1"/>
  <c r="DL165" i="1" s="1"/>
  <c r="CB74" i="1"/>
  <c r="CC74" i="1" s="1"/>
  <c r="CU74" i="1"/>
  <c r="EH9" i="1"/>
  <c r="EA9" i="1" s="1"/>
  <c r="BM9" i="1" s="1"/>
  <c r="AU3" i="1"/>
  <c r="C3" i="1" s="1"/>
  <c r="C4" i="1"/>
  <c r="CM4" i="1"/>
  <c r="BS75" i="1"/>
  <c r="CM75" i="1"/>
  <c r="C75" i="1"/>
  <c r="C23" i="1"/>
  <c r="E23" i="1" s="1"/>
  <c r="CM23" i="1"/>
  <c r="CP23" i="1" s="1"/>
  <c r="CO147" i="1"/>
  <c r="CM37" i="1"/>
  <c r="C37" i="1"/>
  <c r="DC3" i="1"/>
  <c r="DK175" i="1"/>
  <c r="DI175" i="1"/>
  <c r="DO175" i="1"/>
  <c r="DU175" i="1"/>
  <c r="EE30" i="1"/>
  <c r="DX30" i="1" s="1"/>
  <c r="BJ30" i="1" s="1"/>
  <c r="CO186" i="1"/>
  <c r="EG34" i="1"/>
  <c r="DZ34" i="1" s="1"/>
  <c r="BL34" i="1" s="1"/>
  <c r="EI34" i="1"/>
  <c r="EB34" i="1" s="1"/>
  <c r="BN34" i="1" s="1"/>
  <c r="CO142" i="1"/>
  <c r="CM38" i="1"/>
  <c r="C38" i="1"/>
  <c r="EG11" i="1"/>
  <c r="DZ11" i="1" s="1"/>
  <c r="BL11" i="1" s="1"/>
  <c r="B18" i="1"/>
  <c r="AY18" i="1"/>
  <c r="CK18" i="1"/>
  <c r="CP18" i="1" s="1"/>
  <c r="EE64" i="1"/>
  <c r="DX64" i="1" s="1"/>
  <c r="BJ64" i="1" s="1"/>
  <c r="CU140" i="1"/>
  <c r="CB140" i="1"/>
  <c r="CC140" i="1" s="1"/>
  <c r="CB79" i="1"/>
  <c r="CU79" i="1"/>
  <c r="EI94" i="1"/>
  <c r="EB94" i="1" s="1"/>
  <c r="BN94" i="1" s="1"/>
  <c r="EI130" i="1"/>
  <c r="EB130" i="1" s="1"/>
  <c r="BN130" i="1" s="1"/>
  <c r="EJ125" i="1"/>
  <c r="EC125" i="1" s="1"/>
  <c r="BO125" i="1" s="1"/>
  <c r="CM156" i="1"/>
  <c r="EH31" i="1"/>
  <c r="EA31" i="1" s="1"/>
  <c r="BM31" i="1" s="1"/>
  <c r="BZ31" i="1" s="1"/>
  <c r="BZ157" i="1"/>
  <c r="CS157" i="1"/>
  <c r="CF3" i="1"/>
  <c r="CM183" i="1"/>
  <c r="EH113" i="1"/>
  <c r="EA113" i="1" s="1"/>
  <c r="BM113" i="1" s="1"/>
  <c r="BZ158" i="1"/>
  <c r="CS158" i="1"/>
  <c r="EJ118" i="1"/>
  <c r="EC118" i="1" s="1"/>
  <c r="BO118" i="1" s="1"/>
  <c r="BZ60" i="1"/>
  <c r="CS60" i="1"/>
  <c r="BZ71" i="1"/>
  <c r="CA71" i="1" s="1"/>
  <c r="CS71" i="1"/>
  <c r="EH94" i="1"/>
  <c r="EA94" i="1" s="1"/>
  <c r="BM94" i="1" s="1"/>
  <c r="EJ14" i="1"/>
  <c r="EC14" i="1" s="1"/>
  <c r="BO14" i="1" s="1"/>
  <c r="BZ167" i="1"/>
  <c r="CA168" i="1" s="1"/>
  <c r="CS167" i="1"/>
  <c r="EG22" i="1"/>
  <c r="DZ22" i="1" s="1"/>
  <c r="BL22" i="1" s="1"/>
  <c r="EH6" i="1"/>
  <c r="CB183" i="1"/>
  <c r="CU183" i="1"/>
  <c r="EJ26" i="1"/>
  <c r="EC26" i="1" s="1"/>
  <c r="BO26" i="1" s="1"/>
  <c r="EH18" i="1"/>
  <c r="EA18" i="1" s="1"/>
  <c r="BM18" i="1" s="1"/>
  <c r="BZ18" i="1" s="1"/>
  <c r="CM144" i="1"/>
  <c r="CP144" i="1" s="1"/>
  <c r="CM148" i="1"/>
  <c r="CM166" i="1"/>
  <c r="CU12" i="1"/>
  <c r="CV12" i="1" s="1"/>
  <c r="CB76" i="1"/>
  <c r="CC77" i="1" s="1"/>
  <c r="CU76" i="1"/>
  <c r="EH29" i="1"/>
  <c r="EA29" i="1" s="1"/>
  <c r="BM29" i="1" s="1"/>
  <c r="BS29" i="1" s="1"/>
  <c r="BZ180" i="1"/>
  <c r="CS180" i="1"/>
  <c r="CO155" i="1"/>
  <c r="CU21" i="1"/>
  <c r="EH116" i="1"/>
  <c r="EA116" i="1" s="1"/>
  <c r="BM116" i="1" s="1"/>
  <c r="CU34" i="1"/>
  <c r="BZ57" i="1"/>
  <c r="CA57" i="1" s="1"/>
  <c r="CS57" i="1"/>
  <c r="EG37" i="1"/>
  <c r="DZ37" i="1" s="1"/>
  <c r="BL37" i="1" s="1"/>
  <c r="EH126" i="1"/>
  <c r="EA126" i="1" s="1"/>
  <c r="BM126" i="1" s="1"/>
  <c r="EJ12" i="1"/>
  <c r="EC12" i="1" s="1"/>
  <c r="BO12" i="1" s="1"/>
  <c r="CU6" i="1"/>
  <c r="EG35" i="1"/>
  <c r="DZ35" i="1" s="1"/>
  <c r="BL35" i="1" s="1"/>
  <c r="CO29" i="1"/>
  <c r="D29" i="1"/>
  <c r="C13" i="1"/>
  <c r="CM13" i="1"/>
  <c r="EH92" i="1"/>
  <c r="EA92" i="1" s="1"/>
  <c r="BM92" i="1" s="1"/>
  <c r="BS92" i="1" s="1"/>
  <c r="EI35" i="1"/>
  <c r="EB35" i="1" s="1"/>
  <c r="BN35" i="1" s="1"/>
  <c r="CB35" i="1" s="1"/>
  <c r="CM160" i="1"/>
  <c r="EJ25" i="1"/>
  <c r="EC25" i="1" s="1"/>
  <c r="BO25" i="1" s="1"/>
  <c r="EH117" i="1"/>
  <c r="EA117" i="1" s="1"/>
  <c r="BM117" i="1" s="1"/>
  <c r="EG33" i="1"/>
  <c r="DZ33" i="1" s="1"/>
  <c r="BL33" i="1" s="1"/>
  <c r="EJ92" i="1"/>
  <c r="EC92" i="1" s="1"/>
  <c r="BO92" i="1" s="1"/>
  <c r="CB92" i="1" s="1"/>
  <c r="EJ27" i="1"/>
  <c r="EC27" i="1" s="1"/>
  <c r="BO27" i="1" s="1"/>
  <c r="CU7" i="1"/>
  <c r="EI12" i="1"/>
  <c r="EB12" i="1" s="1"/>
  <c r="BN12" i="1" s="1"/>
  <c r="BU12" i="1" s="1"/>
  <c r="EH87" i="1"/>
  <c r="EH12" i="1"/>
  <c r="EA12" i="1" s="1"/>
  <c r="BM12" i="1" s="1"/>
  <c r="BZ12" i="1" s="1"/>
  <c r="EI124" i="1"/>
  <c r="EB124" i="1" s="1"/>
  <c r="BN124" i="1" s="1"/>
  <c r="CB124" i="1" s="1"/>
  <c r="CU160" i="1"/>
  <c r="CB160" i="1"/>
  <c r="CS46" i="1"/>
  <c r="BZ46" i="1"/>
  <c r="CS26" i="1"/>
  <c r="EJ8" i="1"/>
  <c r="EC8" i="1" s="1"/>
  <c r="BO8" i="1" s="1"/>
  <c r="BU8" i="1" s="1"/>
  <c r="BV8" i="1" s="1"/>
  <c r="CU25" i="1"/>
  <c r="CV25" i="1" s="1"/>
  <c r="BU58" i="1"/>
  <c r="D58" i="1"/>
  <c r="E58" i="1" s="1"/>
  <c r="CO58" i="1"/>
  <c r="CM141" i="1"/>
  <c r="CS72" i="1"/>
  <c r="BZ72" i="1"/>
  <c r="CM178" i="1"/>
  <c r="EG30" i="1"/>
  <c r="DZ30" i="1" s="1"/>
  <c r="BL30" i="1" s="1"/>
  <c r="EH108" i="1"/>
  <c r="EA108" i="1" s="1"/>
  <c r="BM108" i="1" s="1"/>
  <c r="CG3" i="1"/>
  <c r="EH22" i="1"/>
  <c r="EA22" i="1" s="1"/>
  <c r="BM22" i="1" s="1"/>
  <c r="D71" i="1"/>
  <c r="CO71" i="1"/>
  <c r="BU71" i="1"/>
  <c r="CS29" i="1"/>
  <c r="EJ104" i="1"/>
  <c r="EC104" i="1" s="1"/>
  <c r="BO104" i="1" s="1"/>
  <c r="CB104" i="1" s="1"/>
  <c r="D27" i="1"/>
  <c r="CO27" i="1"/>
  <c r="BZ173" i="1"/>
  <c r="CA174" i="1" s="1"/>
  <c r="CS173" i="1"/>
  <c r="CO184" i="1"/>
  <c r="CP184" i="1" s="1"/>
  <c r="CM182" i="1"/>
  <c r="CO38" i="1"/>
  <c r="D38" i="1"/>
  <c r="E38" i="1" s="1"/>
  <c r="EG25" i="1"/>
  <c r="DZ25" i="1" s="1"/>
  <c r="BL25" i="1" s="1"/>
  <c r="BS25" i="1" s="1"/>
  <c r="DU48" i="1"/>
  <c r="DO48" i="1"/>
  <c r="DW48" i="1" s="1"/>
  <c r="DI48" i="1"/>
  <c r="DK48" i="1"/>
  <c r="DM48" i="1" s="1"/>
  <c r="EE170" i="1"/>
  <c r="DX170" i="1" s="1"/>
  <c r="BJ170" i="1" s="1"/>
  <c r="DN171" i="1"/>
  <c r="DV171" i="1" s="1"/>
  <c r="DJ171" i="1"/>
  <c r="DH171" i="1"/>
  <c r="DP171" i="1" s="1"/>
  <c r="DT171" i="1"/>
  <c r="BH171" i="1"/>
  <c r="BI171" i="1" s="1"/>
  <c r="CQ171" i="1"/>
  <c r="EG102" i="1"/>
  <c r="DZ102" i="1" s="1"/>
  <c r="BL102" i="1" s="1"/>
  <c r="CU179" i="1"/>
  <c r="CB179" i="1"/>
  <c r="EG96" i="1"/>
  <c r="DZ96" i="1" s="1"/>
  <c r="BL96" i="1" s="1"/>
  <c r="BS96" i="1" s="1"/>
  <c r="EF64" i="1"/>
  <c r="DY64" i="1" s="1"/>
  <c r="BK64" i="1" s="1"/>
  <c r="BX64" i="1" s="1"/>
  <c r="BY65" i="1" s="1"/>
  <c r="DK71" i="1"/>
  <c r="DM71" i="1" s="1"/>
  <c r="DI71" i="1"/>
  <c r="DU71" i="1"/>
  <c r="DO71" i="1"/>
  <c r="EF87" i="1"/>
  <c r="DY87" i="1" s="1"/>
  <c r="BK87" i="1" s="1"/>
  <c r="DR87" i="1" s="1"/>
  <c r="EE174" i="1"/>
  <c r="DX174" i="1" s="1"/>
  <c r="BJ174" i="1" s="1"/>
  <c r="EF79" i="1"/>
  <c r="DY79" i="1" s="1"/>
  <c r="BK79" i="1" s="1"/>
  <c r="BX79" i="1" s="1"/>
  <c r="EE115" i="1"/>
  <c r="DX115" i="1" s="1"/>
  <c r="BJ115" i="1" s="1"/>
  <c r="EG97" i="1"/>
  <c r="DZ97" i="1" s="1"/>
  <c r="BL97" i="1" s="1"/>
  <c r="CO178" i="1"/>
  <c r="CP178" i="1" s="1"/>
  <c r="CO174" i="1"/>
  <c r="DO70" i="1"/>
  <c r="DW70" i="1" s="1"/>
  <c r="DI70" i="1"/>
  <c r="DL70" i="1" s="1"/>
  <c r="DK70" i="1"/>
  <c r="DU70" i="1"/>
  <c r="EE123" i="1"/>
  <c r="DX123" i="1" s="1"/>
  <c r="BJ123" i="1" s="1"/>
  <c r="CK171" i="1"/>
  <c r="EF74" i="1"/>
  <c r="DY74" i="1" s="1"/>
  <c r="BK74" i="1" s="1"/>
  <c r="BQ74" i="1" s="1"/>
  <c r="DO62" i="1"/>
  <c r="DW62" i="1" s="1"/>
  <c r="DI62" i="1"/>
  <c r="DK62" i="1"/>
  <c r="DU62" i="1"/>
  <c r="EF155" i="1"/>
  <c r="DY155" i="1" s="1"/>
  <c r="BK155" i="1" s="1"/>
  <c r="EE125" i="1"/>
  <c r="DX125" i="1" s="1"/>
  <c r="BJ125" i="1" s="1"/>
  <c r="EE120" i="1"/>
  <c r="DX120" i="1" s="1"/>
  <c r="BJ120" i="1" s="1"/>
  <c r="EG112" i="1"/>
  <c r="DZ112" i="1" s="1"/>
  <c r="BL112" i="1" s="1"/>
  <c r="BS112" i="1" s="1"/>
  <c r="CU138" i="1"/>
  <c r="CB138" i="1"/>
  <c r="BE136" i="1"/>
  <c r="DU60" i="1"/>
  <c r="DO60" i="1"/>
  <c r="DW60" i="1" s="1"/>
  <c r="DI60" i="1"/>
  <c r="DK60" i="1"/>
  <c r="EF154" i="1"/>
  <c r="DY154" i="1" s="1"/>
  <c r="BK154" i="1" s="1"/>
  <c r="BQ154" i="1" s="1"/>
  <c r="CW154" i="1" s="1"/>
  <c r="DI78" i="1"/>
  <c r="DU78" i="1"/>
  <c r="DK78" i="1"/>
  <c r="DM78" i="1" s="1"/>
  <c r="DO78" i="1"/>
  <c r="DW78" i="1" s="1"/>
  <c r="EE129" i="1"/>
  <c r="DX129" i="1" s="1"/>
  <c r="BJ129" i="1" s="1"/>
  <c r="BX129" i="1" s="1"/>
  <c r="EE109" i="1"/>
  <c r="DX109" i="1" s="1"/>
  <c r="BJ109" i="1" s="1"/>
  <c r="BX109" i="1" s="1"/>
  <c r="CU178" i="1"/>
  <c r="CB178" i="1"/>
  <c r="EE172" i="1"/>
  <c r="DX172" i="1" s="1"/>
  <c r="BJ172" i="1" s="1"/>
  <c r="BQ172" i="1" s="1"/>
  <c r="ET172" i="1" s="1"/>
  <c r="CU154" i="1"/>
  <c r="CU136" i="1" s="1"/>
  <c r="CB154" i="1"/>
  <c r="CC154" i="1" s="1"/>
  <c r="EE116" i="1"/>
  <c r="DX116" i="1" s="1"/>
  <c r="BJ116" i="1" s="1"/>
  <c r="EG103" i="1"/>
  <c r="DZ103" i="1" s="1"/>
  <c r="BL103" i="1" s="1"/>
  <c r="BS103" i="1" s="1"/>
  <c r="DP160" i="1"/>
  <c r="C136" i="1"/>
  <c r="DW151" i="1"/>
  <c r="DW147" i="1"/>
  <c r="DV172" i="1"/>
  <c r="DV177" i="1"/>
  <c r="DV186" i="1"/>
  <c r="DV182" i="1"/>
  <c r="DW157" i="1"/>
  <c r="DW47" i="1"/>
  <c r="DR179" i="1"/>
  <c r="DW143" i="1"/>
  <c r="DP186" i="1"/>
  <c r="DW7" i="1"/>
  <c r="DW184" i="1"/>
  <c r="ES184" i="1" s="1"/>
  <c r="DP189" i="1"/>
  <c r="DV35" i="1"/>
  <c r="DV170" i="1"/>
  <c r="DV173" i="1"/>
  <c r="DV140" i="1"/>
  <c r="ES140" i="1" s="1"/>
  <c r="DW186" i="1"/>
  <c r="DV155" i="1"/>
  <c r="DV169" i="1"/>
  <c r="DW45" i="1"/>
  <c r="DV160" i="1"/>
  <c r="DV175" i="1"/>
  <c r="DQ158" i="1"/>
  <c r="DW158" i="1"/>
  <c r="DW46" i="1"/>
  <c r="CP171" i="1"/>
  <c r="DW10" i="1"/>
  <c r="DQ151" i="1"/>
  <c r="CP187" i="1"/>
  <c r="DW21" i="1"/>
  <c r="DW159" i="1"/>
  <c r="DV142" i="1"/>
  <c r="ES142" i="1" s="1"/>
  <c r="DV138" i="1"/>
  <c r="ED138" i="1" s="1"/>
  <c r="DW166" i="1"/>
  <c r="ED166" i="1" s="1"/>
  <c r="DP184" i="1"/>
  <c r="DV23" i="1"/>
  <c r="DW187" i="1"/>
  <c r="DV139" i="1"/>
  <c r="ED139" i="1" s="1"/>
  <c r="DW172" i="1"/>
  <c r="DW162" i="1"/>
  <c r="ED162" i="1" s="1"/>
  <c r="DW189" i="1"/>
  <c r="ED189" i="1" s="1"/>
  <c r="DV148" i="1"/>
  <c r="ES148" i="1" s="1"/>
  <c r="DW174" i="1"/>
  <c r="ES174" i="1" s="1"/>
  <c r="DV152" i="1"/>
  <c r="ED152" i="1" s="1"/>
  <c r="DV77" i="1"/>
  <c r="DV154" i="1"/>
  <c r="ES154" i="1" s="1"/>
  <c r="DV76" i="1"/>
  <c r="DV153" i="1"/>
  <c r="DW169" i="1"/>
  <c r="DW17" i="1"/>
  <c r="DV150" i="1"/>
  <c r="ED150" i="1" s="1"/>
  <c r="DW185" i="1"/>
  <c r="ED185" i="1" s="1"/>
  <c r="DW153" i="1"/>
  <c r="DW155" i="1"/>
  <c r="DV146" i="1"/>
  <c r="ED146" i="1" s="1"/>
  <c r="DV58" i="1"/>
  <c r="DV21" i="1"/>
  <c r="DV157" i="1"/>
  <c r="DV141" i="1"/>
  <c r="ES141" i="1" s="1"/>
  <c r="DW156" i="1"/>
  <c r="DP150" i="1"/>
  <c r="DW181" i="1"/>
  <c r="ED181" i="1" s="1"/>
  <c r="DV156" i="1"/>
  <c r="DV144" i="1"/>
  <c r="ED144" i="1" s="1"/>
  <c r="DW178" i="1"/>
  <c r="ES178" i="1" s="1"/>
  <c r="DW160" i="1"/>
  <c r="DW180" i="1"/>
  <c r="ED180" i="1" s="1"/>
  <c r="DW164" i="1"/>
  <c r="ES164" i="1" s="1"/>
  <c r="CP141" i="1"/>
  <c r="DW170" i="1"/>
  <c r="DW173" i="1"/>
  <c r="DW4" i="1"/>
  <c r="DP183" i="1"/>
  <c r="DP153" i="1"/>
  <c r="DS154" i="1"/>
  <c r="DV147" i="1"/>
  <c r="DW11" i="1"/>
  <c r="DV145" i="1"/>
  <c r="ED145" i="1" s="1"/>
  <c r="DW188" i="1"/>
  <c r="ES188" i="1" s="1"/>
  <c r="DL181" i="1"/>
  <c r="CP173" i="1"/>
  <c r="DM149" i="1"/>
  <c r="DW175" i="1"/>
  <c r="DQ186" i="1"/>
  <c r="DS147" i="1"/>
  <c r="DL173" i="1"/>
  <c r="DV9" i="1"/>
  <c r="DQ141" i="1"/>
  <c r="DR142" i="1"/>
  <c r="DP157" i="1"/>
  <c r="DV37" i="1"/>
  <c r="DW179" i="1"/>
  <c r="ED179" i="1" s="1"/>
  <c r="DP156" i="1"/>
  <c r="DW28" i="1"/>
  <c r="DW33" i="1"/>
  <c r="DW176" i="1"/>
  <c r="ED176" i="1" s="1"/>
  <c r="DW177" i="1"/>
  <c r="DW167" i="1"/>
  <c r="ED167" i="1" s="1"/>
  <c r="DV45" i="1"/>
  <c r="DP187" i="1"/>
  <c r="DV151" i="1"/>
  <c r="DV32" i="1"/>
  <c r="DW5" i="1"/>
  <c r="DV143" i="1"/>
  <c r="DV31" i="1"/>
  <c r="DW183" i="1"/>
  <c r="ED183" i="1" s="1"/>
  <c r="DW14" i="1"/>
  <c r="DQ172" i="1"/>
  <c r="DW34" i="1"/>
  <c r="DW182" i="1"/>
  <c r="DV158" i="1"/>
  <c r="DW13" i="1"/>
  <c r="DW171" i="1"/>
  <c r="DV73" i="1"/>
  <c r="DV149" i="1"/>
  <c r="ES149" i="1" s="1"/>
  <c r="DV5" i="1"/>
  <c r="DV36" i="1"/>
  <c r="DW161" i="1"/>
  <c r="ES161" i="1" s="1"/>
  <c r="DV159" i="1"/>
  <c r="DW20" i="1"/>
  <c r="DV13" i="1"/>
  <c r="DW32" i="1"/>
  <c r="DV27" i="1"/>
  <c r="DV30" i="1"/>
  <c r="DW36" i="1"/>
  <c r="DV25" i="1"/>
  <c r="DV29" i="1"/>
  <c r="DV15" i="1"/>
  <c r="DW25" i="1"/>
  <c r="DV11" i="1"/>
  <c r="DW38" i="1"/>
  <c r="DM165" i="1"/>
  <c r="CB111" i="1"/>
  <c r="DS167" i="1"/>
  <c r="CV35" i="1"/>
  <c r="CP85" i="1"/>
  <c r="CP132" i="1" s="1"/>
  <c r="DM47" i="1"/>
  <c r="DS165" i="1"/>
  <c r="DP176" i="1"/>
  <c r="CP177" i="1"/>
  <c r="DQ155" i="1"/>
  <c r="DP138" i="1"/>
  <c r="CL82" i="1"/>
  <c r="CP145" i="1"/>
  <c r="DL151" i="1"/>
  <c r="DM155" i="1"/>
  <c r="DL138" i="1"/>
  <c r="CP180" i="1"/>
  <c r="CP189" i="1"/>
  <c r="DQ170" i="1"/>
  <c r="DM175" i="1"/>
  <c r="DL167" i="1"/>
  <c r="DP185" i="1"/>
  <c r="DQ179" i="1"/>
  <c r="DL183" i="1"/>
  <c r="DL184" i="1"/>
  <c r="DQ171" i="1"/>
  <c r="DP152" i="1"/>
  <c r="DS170" i="1"/>
  <c r="DM170" i="1"/>
  <c r="DQ159" i="1"/>
  <c r="DQ173" i="1"/>
  <c r="DL144" i="1"/>
  <c r="DS173" i="1"/>
  <c r="DL152" i="1"/>
  <c r="DS159" i="1"/>
  <c r="DL172" i="1"/>
  <c r="DS140" i="1"/>
  <c r="DL188" i="1"/>
  <c r="DP141" i="1"/>
  <c r="DP142" i="1"/>
  <c r="DP4" i="1"/>
  <c r="CP175" i="1"/>
  <c r="DM187" i="1"/>
  <c r="DM157" i="1"/>
  <c r="DL4" i="1"/>
  <c r="DQ161" i="1"/>
  <c r="BI12" i="1"/>
  <c r="DP165" i="1"/>
  <c r="DM161" i="1"/>
  <c r="DP174" i="1"/>
  <c r="DM156" i="1"/>
  <c r="DS58" i="1"/>
  <c r="DS36" i="1"/>
  <c r="ES137" i="1"/>
  <c r="DL74" i="1"/>
  <c r="CP182" i="1"/>
  <c r="CP174" i="1"/>
  <c r="CP186" i="1"/>
  <c r="CP176" i="1"/>
  <c r="DR139" i="1"/>
  <c r="DL178" i="1"/>
  <c r="DQ146" i="1"/>
  <c r="DL176" i="1"/>
  <c r="DL182" i="1"/>
  <c r="DQ144" i="1"/>
  <c r="DP179" i="1"/>
  <c r="DQ18" i="1"/>
  <c r="CA139" i="1"/>
  <c r="DR144" i="1"/>
  <c r="DM158" i="1"/>
  <c r="DL185" i="1"/>
  <c r="CP158" i="1"/>
  <c r="DS171" i="1"/>
  <c r="CP32" i="1"/>
  <c r="DL9" i="1"/>
  <c r="CP160" i="1"/>
  <c r="CP157" i="1"/>
  <c r="CP151" i="1"/>
  <c r="DS152" i="1"/>
  <c r="DQ181" i="1"/>
  <c r="DQ183" i="1"/>
  <c r="DP182" i="1"/>
  <c r="B3" i="1"/>
  <c r="DS188" i="1"/>
  <c r="DP139" i="1"/>
  <c r="DP159" i="1"/>
  <c r="DS144" i="1"/>
  <c r="DL179" i="1"/>
  <c r="DL148" i="1"/>
  <c r="DQ38" i="1"/>
  <c r="DL31" i="1"/>
  <c r="CK131" i="1"/>
  <c r="CJ131" i="1" s="1"/>
  <c r="DM36" i="1"/>
  <c r="DS47" i="1"/>
  <c r="DS72" i="1"/>
  <c r="CM82" i="1"/>
  <c r="DQ47" i="1"/>
  <c r="DP151" i="1"/>
  <c r="DS155" i="1"/>
  <c r="DS35" i="1"/>
  <c r="DL147" i="1"/>
  <c r="DP147" i="1"/>
  <c r="DS177" i="1"/>
  <c r="DR177" i="1"/>
  <c r="DM177" i="1"/>
  <c r="DQ177" i="1"/>
  <c r="DS146" i="1"/>
  <c r="DM146" i="1"/>
  <c r="DP177" i="1"/>
  <c r="DL177" i="1"/>
  <c r="DL140" i="1"/>
  <c r="DP140" i="1"/>
  <c r="DP170" i="1"/>
  <c r="DL170" i="1"/>
  <c r="DR184" i="1"/>
  <c r="DQ184" i="1"/>
  <c r="DM184" i="1"/>
  <c r="DM162" i="1"/>
  <c r="DS162" i="1"/>
  <c r="DP154" i="1"/>
  <c r="DL154" i="1"/>
  <c r="DP145" i="1"/>
  <c r="DL145" i="1"/>
  <c r="DM160" i="1"/>
  <c r="DS160" i="1"/>
  <c r="DM185" i="1"/>
  <c r="DQ185" i="1"/>
  <c r="DS185" i="1"/>
  <c r="DS158" i="1"/>
  <c r="DM72" i="1"/>
  <c r="DP148" i="1"/>
  <c r="DQ162" i="1"/>
  <c r="DP172" i="1"/>
  <c r="DS156" i="1"/>
  <c r="DL139" i="1"/>
  <c r="DL142" i="1"/>
  <c r="DL141" i="1"/>
  <c r="DP188" i="1"/>
  <c r="DP74" i="1"/>
  <c r="DS187" i="1"/>
  <c r="DL159" i="1"/>
  <c r="DQ156" i="1"/>
  <c r="DM144" i="1"/>
  <c r="DS184" i="1"/>
  <c r="DQ187" i="1"/>
  <c r="DM188" i="1"/>
  <c r="DQ169" i="1"/>
  <c r="DP149" i="1"/>
  <c r="DQ160" i="1"/>
  <c r="DM171" i="1"/>
  <c r="DP137" i="1"/>
  <c r="DM167" i="1"/>
  <c r="DL149" i="1"/>
  <c r="E24" i="1"/>
  <c r="DL37" i="1"/>
  <c r="DM186" i="1"/>
  <c r="DM147" i="1"/>
  <c r="DR183" i="1"/>
  <c r="DP178" i="1"/>
  <c r="CP166" i="1"/>
  <c r="CP167" i="1"/>
  <c r="CP146" i="1"/>
  <c r="DR95" i="1"/>
  <c r="BI147" i="1"/>
  <c r="DR181" i="1"/>
  <c r="DL169" i="1"/>
  <c r="CM134" i="1"/>
  <c r="BI23" i="1"/>
  <c r="DS183" i="1"/>
  <c r="CP148" i="1"/>
  <c r="DS148" i="1"/>
  <c r="DM148" i="1"/>
  <c r="DM139" i="1"/>
  <c r="DS139" i="1"/>
  <c r="BQ160" i="1"/>
  <c r="CW160" i="1" s="1"/>
  <c r="DR160" i="1"/>
  <c r="DP155" i="1"/>
  <c r="DL155" i="1"/>
  <c r="DS145" i="1"/>
  <c r="DM145" i="1"/>
  <c r="DQ145" i="1"/>
  <c r="DQ178" i="1"/>
  <c r="DR178" i="1"/>
  <c r="BY178" i="1"/>
  <c r="BQ6" i="1"/>
  <c r="DM138" i="1"/>
  <c r="DR138" i="1"/>
  <c r="DQ138" i="1"/>
  <c r="DM23" i="1"/>
  <c r="DM178" i="1"/>
  <c r="DQ147" i="1"/>
  <c r="DQ188" i="1"/>
  <c r="DP169" i="1"/>
  <c r="CP169" i="1"/>
  <c r="CP183" i="1"/>
  <c r="CP172" i="1"/>
  <c r="CP154" i="1"/>
  <c r="DM180" i="1"/>
  <c r="DS141" i="1"/>
  <c r="DS149" i="1"/>
  <c r="DQ139" i="1"/>
  <c r="DL157" i="1"/>
  <c r="DM141" i="1"/>
  <c r="DS151" i="1"/>
  <c r="DS157" i="1"/>
  <c r="DS176" i="1"/>
  <c r="DM176" i="1"/>
  <c r="DM137" i="1"/>
  <c r="DS137" i="1"/>
  <c r="DK136" i="1"/>
  <c r="DL146" i="1"/>
  <c r="DP146" i="1"/>
  <c r="DM152" i="1"/>
  <c r="DQ152" i="1"/>
  <c r="DS142" i="1"/>
  <c r="DM142" i="1"/>
  <c r="DQ174" i="1"/>
  <c r="DS174" i="1"/>
  <c r="DL158" i="1"/>
  <c r="DP158" i="1"/>
  <c r="DM154" i="1"/>
  <c r="DQ154" i="1"/>
  <c r="DP10" i="1"/>
  <c r="DL10" i="1"/>
  <c r="BI22" i="1"/>
  <c r="DP162" i="1"/>
  <c r="DM181" i="1"/>
  <c r="DM174" i="1"/>
  <c r="DP173" i="1"/>
  <c r="DP181" i="1"/>
  <c r="DL156" i="1"/>
  <c r="DQ157" i="1"/>
  <c r="DQ150" i="1"/>
  <c r="DP175" i="1"/>
  <c r="E33" i="1"/>
  <c r="BQ107" i="1"/>
  <c r="DL187" i="1"/>
  <c r="BX6" i="1"/>
  <c r="DS138" i="1"/>
  <c r="DS178" i="1"/>
  <c r="DQ148" i="1"/>
  <c r="BX160" i="1"/>
  <c r="DQ142" i="1"/>
  <c r="DQ182" i="1"/>
  <c r="DP144" i="1"/>
  <c r="DS181" i="1"/>
  <c r="DM183" i="1"/>
  <c r="CP159" i="1"/>
  <c r="CP149" i="1"/>
  <c r="CV37" i="1"/>
  <c r="DP36" i="1"/>
  <c r="CM136" i="1"/>
  <c r="CM190" i="1" s="1"/>
  <c r="CP188" i="1"/>
  <c r="DP180" i="1"/>
  <c r="CP155" i="1"/>
  <c r="CP179" i="1"/>
  <c r="CP170" i="1"/>
  <c r="CP140" i="1"/>
  <c r="AY136" i="1"/>
  <c r="EE136" i="1"/>
  <c r="E63" i="1"/>
  <c r="CP139" i="1"/>
  <c r="CP150" i="1"/>
  <c r="CP142" i="1"/>
  <c r="CS134" i="1"/>
  <c r="CP138" i="1"/>
  <c r="DS166" i="1"/>
  <c r="DQ166" i="1"/>
  <c r="DP37" i="1"/>
  <c r="BX11" i="1"/>
  <c r="BX121" i="1"/>
  <c r="DJ136" i="1"/>
  <c r="DJ190" i="1"/>
  <c r="DS186" i="1"/>
  <c r="DQ149" i="1"/>
  <c r="DS182" i="1"/>
  <c r="DS189" i="1"/>
  <c r="DQ176" i="1"/>
  <c r="DM189" i="1"/>
  <c r="CP185" i="1"/>
  <c r="CS136" i="1"/>
  <c r="CP137" i="1"/>
  <c r="DJ191" i="1"/>
  <c r="DK190" i="1"/>
  <c r="DL143" i="1"/>
  <c r="BI35" i="1"/>
  <c r="DR182" i="1"/>
  <c r="DQ137" i="1"/>
  <c r="CP156" i="1"/>
  <c r="CP143" i="1"/>
  <c r="DL180" i="1"/>
  <c r="CR134" i="1"/>
  <c r="CP153" i="1"/>
  <c r="CP181" i="1"/>
  <c r="E14" i="1"/>
  <c r="BI29" i="1"/>
  <c r="DM172" i="1"/>
  <c r="DM143" i="1"/>
  <c r="DM164" i="1"/>
  <c r="DS172" i="1"/>
  <c r="DQ164" i="1"/>
  <c r="DQ175" i="1"/>
  <c r="DS175" i="1"/>
  <c r="DM169" i="1"/>
  <c r="CA149" i="1"/>
  <c r="DR158" i="1"/>
  <c r="BY142" i="1"/>
  <c r="DP32" i="1"/>
  <c r="DQ23" i="1"/>
  <c r="BX95" i="1"/>
  <c r="BS28" i="1"/>
  <c r="DL6" i="1"/>
  <c r="BY181" i="1"/>
  <c r="BX185" i="1"/>
  <c r="BI18" i="1"/>
  <c r="CA162" i="1"/>
  <c r="BQ158" i="1"/>
  <c r="CW158" i="1" s="1"/>
  <c r="DM38" i="1"/>
  <c r="DS38" i="1"/>
  <c r="DP11" i="1"/>
  <c r="DS28" i="1"/>
  <c r="DM28" i="1"/>
  <c r="DM18" i="1"/>
  <c r="DS18" i="1"/>
  <c r="DM4" i="1"/>
  <c r="DQ4" i="1"/>
  <c r="DS4" i="1"/>
  <c r="DP15" i="1"/>
  <c r="DL15" i="1"/>
  <c r="DL8" i="1"/>
  <c r="DP9" i="1"/>
  <c r="BQ5" i="1"/>
  <c r="DP6" i="1"/>
  <c r="DS24" i="1"/>
  <c r="DM9" i="1"/>
  <c r="BQ163" i="1"/>
  <c r="ET163" i="1" s="1"/>
  <c r="BX163" i="1"/>
  <c r="CY163" i="1" s="1"/>
  <c r="DS5" i="1"/>
  <c r="BQ165" i="1"/>
  <c r="CW165" i="1" s="1"/>
  <c r="BI156" i="1"/>
  <c r="DL19" i="1"/>
  <c r="BX15" i="1"/>
  <c r="DM35" i="1"/>
  <c r="DQ35" i="1"/>
  <c r="DP31" i="1"/>
  <c r="DP16" i="1"/>
  <c r="DL23" i="1"/>
  <c r="DP19" i="1"/>
  <c r="BY180" i="1"/>
  <c r="DQ36" i="1"/>
  <c r="BQ159" i="1"/>
  <c r="ET159" i="1" s="1"/>
  <c r="DR159" i="1"/>
  <c r="CC72" i="1"/>
  <c r="DL32" i="1"/>
  <c r="CB13" i="1"/>
  <c r="BI31" i="1"/>
  <c r="BI6" i="1"/>
  <c r="BI7" i="1"/>
  <c r="CA161" i="1"/>
  <c r="BU10" i="1"/>
  <c r="BY144" i="1"/>
  <c r="BU111" i="1"/>
  <c r="BQ103" i="1"/>
  <c r="BQ121" i="1"/>
  <c r="DR103" i="1"/>
  <c r="DR163" i="1"/>
  <c r="BX103" i="1"/>
  <c r="BQ77" i="1"/>
  <c r="BU13" i="1"/>
  <c r="BJ44" i="1"/>
  <c r="BI13" i="1"/>
  <c r="BX168" i="1"/>
  <c r="CY168" i="1" s="1"/>
  <c r="BQ187" i="1"/>
  <c r="CW187" i="1" s="1"/>
  <c r="BQ168" i="1"/>
  <c r="CW168" i="1" s="1"/>
  <c r="BK136" i="1"/>
  <c r="BQ127" i="1"/>
  <c r="BU101" i="1"/>
  <c r="BU91" i="1"/>
  <c r="CB10" i="1"/>
  <c r="DS169" i="1"/>
  <c r="DL11" i="1"/>
  <c r="CP152" i="1"/>
  <c r="DR141" i="1"/>
  <c r="BI19" i="1"/>
  <c r="ET138" i="1"/>
  <c r="DR176" i="1"/>
  <c r="DR185" i="1"/>
  <c r="CB91" i="1"/>
  <c r="CB120" i="1"/>
  <c r="DS150" i="1"/>
  <c r="DL175" i="1"/>
  <c r="DM150" i="1"/>
  <c r="DQ140" i="1"/>
  <c r="CQ136" i="1"/>
  <c r="DH136" i="1"/>
  <c r="DH191" i="1" s="1"/>
  <c r="DL189" i="1"/>
  <c r="DQ180" i="1"/>
  <c r="DP166" i="1"/>
  <c r="DR140" i="1"/>
  <c r="DM140" i="1"/>
  <c r="DQ143" i="1"/>
  <c r="DR104" i="1"/>
  <c r="DL153" i="1"/>
  <c r="BI61" i="1"/>
  <c r="CA157" i="1"/>
  <c r="BQ93" i="1"/>
  <c r="DS143" i="1"/>
  <c r="DI136" i="1"/>
  <c r="DI190" i="1" s="1"/>
  <c r="EF136" i="1"/>
  <c r="EA87" i="1"/>
  <c r="BM87" i="1" s="1"/>
  <c r="DL164" i="1"/>
  <c r="DS180" i="1"/>
  <c r="CO136" i="1"/>
  <c r="CO190" i="1" s="1"/>
  <c r="DL150" i="1"/>
  <c r="CR42" i="1"/>
  <c r="BJ136" i="1"/>
  <c r="CK136" i="1"/>
  <c r="CK191" i="1" s="1"/>
  <c r="BQ185" i="1"/>
  <c r="BR185" i="1" s="1"/>
  <c r="DM151" i="1"/>
  <c r="DK191" i="1"/>
  <c r="DP161" i="1"/>
  <c r="DL186" i="1"/>
  <c r="DR180" i="1"/>
  <c r="CL134" i="1"/>
  <c r="CB29" i="1"/>
  <c r="BI73" i="1"/>
  <c r="BZ99" i="1"/>
  <c r="BZ130" i="1"/>
  <c r="BS130" i="1"/>
  <c r="BZ125" i="1"/>
  <c r="BS120" i="1"/>
  <c r="BS119" i="1"/>
  <c r="BK44" i="1"/>
  <c r="BU5" i="1"/>
  <c r="CB5" i="1"/>
  <c r="BU9" i="1"/>
  <c r="DL171" i="1" l="1"/>
  <c r="DR48" i="1"/>
  <c r="BZ112" i="1"/>
  <c r="CB113" i="1"/>
  <c r="E36" i="1"/>
  <c r="E62" i="1"/>
  <c r="E76" i="1"/>
  <c r="DM79" i="1"/>
  <c r="CP76" i="1"/>
  <c r="E79" i="1"/>
  <c r="C44" i="1"/>
  <c r="DS57" i="1"/>
  <c r="DL58" i="1"/>
  <c r="DM57" i="1"/>
  <c r="CW139" i="1"/>
  <c r="E77" i="1"/>
  <c r="DR77" i="1"/>
  <c r="ED187" i="1"/>
  <c r="EE84" i="1"/>
  <c r="DQ71" i="1"/>
  <c r="BI177" i="1"/>
  <c r="CC180" i="1"/>
  <c r="BU23" i="1"/>
  <c r="BT138" i="1"/>
  <c r="BI180" i="1"/>
  <c r="BZ120" i="1"/>
  <c r="DS71" i="1"/>
  <c r="DR115" i="1"/>
  <c r="BZ108" i="1"/>
  <c r="CB34" i="1"/>
  <c r="BZ110" i="1"/>
  <c r="CB31" i="1"/>
  <c r="BQ9" i="1"/>
  <c r="BI28" i="1"/>
  <c r="BX19" i="1"/>
  <c r="BX13" i="1"/>
  <c r="BI153" i="1"/>
  <c r="BX5" i="1"/>
  <c r="DS78" i="1"/>
  <c r="CV28" i="1"/>
  <c r="DV62" i="1"/>
  <c r="BQ64" i="1"/>
  <c r="CW64" i="1" s="1"/>
  <c r="CV8" i="1"/>
  <c r="CC145" i="1"/>
  <c r="BI26" i="1"/>
  <c r="CB109" i="1"/>
  <c r="DR27" i="1"/>
  <c r="BX28" i="1"/>
  <c r="BS111" i="1"/>
  <c r="BT112" i="1" s="1"/>
  <c r="CC146" i="1"/>
  <c r="BQ13" i="1"/>
  <c r="BQ28" i="1"/>
  <c r="BU37" i="1"/>
  <c r="DR186" i="1"/>
  <c r="BQ186" i="1"/>
  <c r="CW186" i="1" s="1"/>
  <c r="BZ90" i="1"/>
  <c r="BX147" i="1"/>
  <c r="CY147" i="1" s="1"/>
  <c r="DR188" i="1"/>
  <c r="DR78" i="1"/>
  <c r="BX130" i="1"/>
  <c r="E13" i="1"/>
  <c r="BS129" i="1"/>
  <c r="BU32" i="1"/>
  <c r="CP8" i="1"/>
  <c r="CV9" i="1"/>
  <c r="BS105" i="1"/>
  <c r="BX25" i="1"/>
  <c r="BX77" i="1"/>
  <c r="BZ93" i="1"/>
  <c r="BU119" i="1"/>
  <c r="BZ21" i="1"/>
  <c r="E37" i="1"/>
  <c r="CP62" i="1"/>
  <c r="CC71" i="1"/>
  <c r="DQ78" i="1"/>
  <c r="DP70" i="1"/>
  <c r="BQ125" i="1"/>
  <c r="BR126" i="1" s="1"/>
  <c r="DM76" i="1"/>
  <c r="BQ87" i="1"/>
  <c r="DR64" i="1"/>
  <c r="DS76" i="1"/>
  <c r="DR169" i="1"/>
  <c r="BX115" i="1"/>
  <c r="DQ76" i="1"/>
  <c r="DP78" i="1"/>
  <c r="DR109" i="1"/>
  <c r="DQ48" i="1"/>
  <c r="DS48" i="1"/>
  <c r="DR125" i="1"/>
  <c r="BS94" i="1"/>
  <c r="BS9" i="1"/>
  <c r="BU112" i="1"/>
  <c r="BT59" i="1"/>
  <c r="BZ92" i="1"/>
  <c r="BZ86" i="1"/>
  <c r="BZ88" i="1"/>
  <c r="BU127" i="1"/>
  <c r="BU130" i="1"/>
  <c r="BX63" i="1"/>
  <c r="CB126" i="1"/>
  <c r="BZ17" i="1"/>
  <c r="CA18" i="1" s="1"/>
  <c r="BY182" i="1"/>
  <c r="CY138" i="1"/>
  <c r="BX46" i="1"/>
  <c r="DR187" i="1"/>
  <c r="BU109" i="1"/>
  <c r="BQ27" i="1"/>
  <c r="BI139" i="1"/>
  <c r="BZ123" i="1"/>
  <c r="CA124" i="1" s="1"/>
  <c r="BQ95" i="1"/>
  <c r="BU120" i="1"/>
  <c r="DR153" i="1"/>
  <c r="CC78" i="1"/>
  <c r="BS106" i="1"/>
  <c r="BQ153" i="1"/>
  <c r="CW153" i="1" s="1"/>
  <c r="BX169" i="1"/>
  <c r="BQ16" i="1"/>
  <c r="BX153" i="1"/>
  <c r="BU31" i="1"/>
  <c r="CW77" i="1"/>
  <c r="BQ130" i="1"/>
  <c r="BX87" i="1"/>
  <c r="DR118" i="1"/>
  <c r="BX16" i="1"/>
  <c r="CB30" i="1"/>
  <c r="CB89" i="1"/>
  <c r="BZ9" i="1"/>
  <c r="BQ155" i="1"/>
  <c r="CW155" i="1" s="1"/>
  <c r="BZ116" i="1"/>
  <c r="BI77" i="1"/>
  <c r="BS36" i="1"/>
  <c r="BS23" i="1"/>
  <c r="BS91" i="1"/>
  <c r="BT91" i="1" s="1"/>
  <c r="BS122" i="1"/>
  <c r="CA165" i="1"/>
  <c r="CB96" i="1"/>
  <c r="BS86" i="1"/>
  <c r="BS110" i="1"/>
  <c r="BT139" i="1"/>
  <c r="BT48" i="1"/>
  <c r="BU126" i="1"/>
  <c r="BQ63" i="1"/>
  <c r="CW63" i="1" s="1"/>
  <c r="BX27" i="1"/>
  <c r="DR165" i="1"/>
  <c r="DR147" i="1"/>
  <c r="BX9" i="1"/>
  <c r="ET139" i="1"/>
  <c r="BX78" i="1"/>
  <c r="CY78" i="1" s="1"/>
  <c r="BQ46" i="1"/>
  <c r="CW46" i="1" s="1"/>
  <c r="BI162" i="1"/>
  <c r="BX116" i="1"/>
  <c r="CC178" i="1"/>
  <c r="CW74" i="1"/>
  <c r="CA173" i="1"/>
  <c r="CB130" i="1"/>
  <c r="DR152" i="1"/>
  <c r="BI143" i="1"/>
  <c r="CC157" i="1"/>
  <c r="BS88" i="1"/>
  <c r="BZ24" i="1"/>
  <c r="CC156" i="1"/>
  <c r="BU99" i="1"/>
  <c r="CA175" i="1"/>
  <c r="BU102" i="1"/>
  <c r="BS123" i="1"/>
  <c r="CA167" i="1"/>
  <c r="BQ118" i="1"/>
  <c r="BZ25" i="1"/>
  <c r="BU124" i="1"/>
  <c r="BQ19" i="1"/>
  <c r="BQ109" i="1"/>
  <c r="CB127" i="1"/>
  <c r="BI27" i="1"/>
  <c r="BS97" i="1"/>
  <c r="BU118" i="1"/>
  <c r="BI78" i="1"/>
  <c r="CB112" i="1"/>
  <c r="CC112" i="1" s="1"/>
  <c r="BS17" i="1"/>
  <c r="CC63" i="1"/>
  <c r="CC185" i="1"/>
  <c r="CA142" i="1"/>
  <c r="CA170" i="1"/>
  <c r="BX187" i="1"/>
  <c r="CA145" i="1"/>
  <c r="BI74" i="1"/>
  <c r="BI173" i="1"/>
  <c r="BZ94" i="1"/>
  <c r="CP16" i="1"/>
  <c r="BS8" i="1"/>
  <c r="BX126" i="1"/>
  <c r="E16" i="1"/>
  <c r="DW59" i="1"/>
  <c r="CY176" i="1"/>
  <c r="DW63" i="1"/>
  <c r="DW72" i="1"/>
  <c r="ET61" i="1"/>
  <c r="BU92" i="1"/>
  <c r="BU27" i="1"/>
  <c r="BU106" i="1"/>
  <c r="E17" i="1"/>
  <c r="DW23" i="1"/>
  <c r="ES23" i="1" s="1"/>
  <c r="DL25" i="1"/>
  <c r="DS30" i="1"/>
  <c r="BS93" i="1"/>
  <c r="BI175" i="1"/>
  <c r="CM3" i="1"/>
  <c r="CM40" i="1" s="1"/>
  <c r="CV16" i="1"/>
  <c r="E29" i="1"/>
  <c r="CV24" i="1"/>
  <c r="CV27" i="1"/>
  <c r="CP36" i="1"/>
  <c r="E11" i="1"/>
  <c r="CP7" i="1"/>
  <c r="E6" i="1"/>
  <c r="CV6" i="1"/>
  <c r="CV21" i="1"/>
  <c r="E27" i="1"/>
  <c r="CP38" i="1"/>
  <c r="CV14" i="1"/>
  <c r="E21" i="1"/>
  <c r="D3" i="1"/>
  <c r="CV32" i="1"/>
  <c r="CV15" i="1"/>
  <c r="CP22" i="1"/>
  <c r="CV30" i="1"/>
  <c r="CP14" i="1"/>
  <c r="E26" i="1"/>
  <c r="CP34" i="1"/>
  <c r="CP21" i="1"/>
  <c r="DI3" i="1"/>
  <c r="DI40" i="1" s="1"/>
  <c r="E15" i="1"/>
  <c r="DW26" i="1"/>
  <c r="DV24" i="1"/>
  <c r="DL20" i="1"/>
  <c r="CP27" i="1"/>
  <c r="E31" i="1"/>
  <c r="CV4" i="1"/>
  <c r="DL5" i="1"/>
  <c r="DL24" i="1"/>
  <c r="DL29" i="1"/>
  <c r="DM22" i="1"/>
  <c r="ES18" i="1"/>
  <c r="DP22" i="1"/>
  <c r="E28" i="1"/>
  <c r="E10" i="1"/>
  <c r="CV18" i="1"/>
  <c r="CP17" i="1"/>
  <c r="CP28" i="1"/>
  <c r="E7" i="1"/>
  <c r="CP5" i="1"/>
  <c r="CV5" i="1"/>
  <c r="CP30" i="1"/>
  <c r="CP12" i="1"/>
  <c r="CV17" i="1"/>
  <c r="DV60" i="1"/>
  <c r="CV33" i="1"/>
  <c r="DW24" i="1"/>
  <c r="DW27" i="1"/>
  <c r="DV34" i="1"/>
  <c r="DP17" i="1"/>
  <c r="DW22" i="1"/>
  <c r="ED22" i="1" s="1"/>
  <c r="DW35" i="1"/>
  <c r="DS23" i="1"/>
  <c r="DR116" i="1"/>
  <c r="CB12" i="1"/>
  <c r="CC13" i="1" s="1"/>
  <c r="DK80" i="1"/>
  <c r="CP79" i="1"/>
  <c r="BS115" i="1"/>
  <c r="BQ32" i="1"/>
  <c r="CW32" i="1" s="1"/>
  <c r="CL42" i="1"/>
  <c r="BI33" i="1"/>
  <c r="DR149" i="1"/>
  <c r="BI16" i="1"/>
  <c r="DP45" i="1"/>
  <c r="CA148" i="1"/>
  <c r="DR8" i="1"/>
  <c r="BZ44" i="1"/>
  <c r="BZ81" i="1" s="1"/>
  <c r="CC139" i="1"/>
  <c r="BS113" i="1"/>
  <c r="ET71" i="1"/>
  <c r="DW74" i="1"/>
  <c r="DR127" i="1"/>
  <c r="CC59" i="1"/>
  <c r="CY144" i="1"/>
  <c r="BZ118" i="1"/>
  <c r="DR146" i="1"/>
  <c r="BQ8" i="1"/>
  <c r="BX7" i="1"/>
  <c r="DR171" i="1"/>
  <c r="DJ39" i="1"/>
  <c r="BX150" i="1"/>
  <c r="CY150" i="1" s="1"/>
  <c r="E9" i="1"/>
  <c r="BU38" i="1"/>
  <c r="BV38" i="1" s="1"/>
  <c r="BS98" i="1"/>
  <c r="BZ129" i="1"/>
  <c r="DR150" i="1"/>
  <c r="EF84" i="1"/>
  <c r="CB18" i="1"/>
  <c r="CC158" i="1"/>
  <c r="BZ29" i="1"/>
  <c r="BQ170" i="1"/>
  <c r="CW170" i="1" s="1"/>
  <c r="CA73" i="1"/>
  <c r="BU94" i="1"/>
  <c r="BZ126" i="1"/>
  <c r="BX125" i="1"/>
  <c r="BY125" i="1" s="1"/>
  <c r="CC48" i="1"/>
  <c r="BQ76" i="1"/>
  <c r="ET76" i="1" s="1"/>
  <c r="BS107" i="1"/>
  <c r="BS100" i="1"/>
  <c r="BT100" i="1" s="1"/>
  <c r="BZ5" i="1"/>
  <c r="BU98" i="1"/>
  <c r="BZ32" i="1"/>
  <c r="BQ115" i="1"/>
  <c r="BS31" i="1"/>
  <c r="DR157" i="1"/>
  <c r="BS108" i="1"/>
  <c r="BT109" i="1" s="1"/>
  <c r="BX86" i="1"/>
  <c r="BY86" i="1" s="1"/>
  <c r="BT78" i="1"/>
  <c r="CY187" i="1"/>
  <c r="E47" i="1"/>
  <c r="CC181" i="1"/>
  <c r="BU34" i="1"/>
  <c r="BS124" i="1"/>
  <c r="CA48" i="1"/>
  <c r="CY188" i="1"/>
  <c r="DR156" i="1"/>
  <c r="DP18" i="1"/>
  <c r="DP25" i="1"/>
  <c r="BQ167" i="1"/>
  <c r="CW167" i="1" s="1"/>
  <c r="BZ97" i="1"/>
  <c r="BS126" i="1"/>
  <c r="CA72" i="1"/>
  <c r="BX122" i="1"/>
  <c r="CA171" i="1"/>
  <c r="CY79" i="1"/>
  <c r="CA159" i="1"/>
  <c r="CY181" i="1"/>
  <c r="BZ122" i="1"/>
  <c r="CA144" i="1"/>
  <c r="D44" i="1"/>
  <c r="CC147" i="1"/>
  <c r="BU35" i="1"/>
  <c r="CA143" i="1"/>
  <c r="CC184" i="1"/>
  <c r="CA63" i="1"/>
  <c r="BQ171" i="1"/>
  <c r="CW171" i="1" s="1"/>
  <c r="BX171" i="1"/>
  <c r="CY171" i="1" s="1"/>
  <c r="CY184" i="1"/>
  <c r="BQ122" i="1"/>
  <c r="BR122" i="1" s="1"/>
  <c r="BS5" i="1"/>
  <c r="CY143" i="1"/>
  <c r="BI183" i="1"/>
  <c r="CB128" i="1"/>
  <c r="BS125" i="1"/>
  <c r="BS15" i="1"/>
  <c r="BI10" i="1"/>
  <c r="CW78" i="1"/>
  <c r="CB118" i="1"/>
  <c r="CB98" i="1"/>
  <c r="BX76" i="1"/>
  <c r="BY77" i="1" s="1"/>
  <c r="CB106" i="1"/>
  <c r="BT77" i="1"/>
  <c r="BI30" i="1"/>
  <c r="BS22" i="1"/>
  <c r="BT23" i="1" s="1"/>
  <c r="CA46" i="1"/>
  <c r="BX29" i="1"/>
  <c r="DV59" i="1"/>
  <c r="CY178" i="1"/>
  <c r="BZ117" i="1"/>
  <c r="CA117" i="1" s="1"/>
  <c r="CY182" i="1"/>
  <c r="CY183" i="1"/>
  <c r="BI174" i="1"/>
  <c r="BS101" i="1"/>
  <c r="CA154" i="1"/>
  <c r="BZ100" i="1"/>
  <c r="BU116" i="1"/>
  <c r="BV43" i="1"/>
  <c r="CP57" i="1"/>
  <c r="BU103" i="1"/>
  <c r="BS121" i="1"/>
  <c r="BT121" i="1" s="1"/>
  <c r="BI79" i="1"/>
  <c r="BZ115" i="1"/>
  <c r="AY44" i="1"/>
  <c r="CU44" i="1"/>
  <c r="BX32" i="1"/>
  <c r="ES48" i="1"/>
  <c r="DV63" i="1"/>
  <c r="DR91" i="1"/>
  <c r="BQ10" i="1"/>
  <c r="CP70" i="1"/>
  <c r="BQ113" i="1"/>
  <c r="E45" i="1"/>
  <c r="CB24" i="1"/>
  <c r="DL62" i="1"/>
  <c r="BI62" i="1"/>
  <c r="CA75" i="1"/>
  <c r="BZ114" i="1"/>
  <c r="BS127" i="1"/>
  <c r="BI148" i="1"/>
  <c r="CO44" i="1"/>
  <c r="CO81" i="1" s="1"/>
  <c r="BS89" i="1"/>
  <c r="BT89" i="1" s="1"/>
  <c r="CB108" i="1"/>
  <c r="CP74" i="1"/>
  <c r="CA185" i="1"/>
  <c r="BI34" i="1"/>
  <c r="BU86" i="1"/>
  <c r="CB129" i="1"/>
  <c r="CP61" i="1"/>
  <c r="CP71" i="1"/>
  <c r="BS10" i="1"/>
  <c r="BI15" i="1"/>
  <c r="E78" i="1"/>
  <c r="BI151" i="1"/>
  <c r="DL45" i="1"/>
  <c r="BI8" i="1"/>
  <c r="BI36" i="1"/>
  <c r="BI184" i="1"/>
  <c r="BQ97" i="1"/>
  <c r="E59" i="1"/>
  <c r="BI145" i="1"/>
  <c r="BQ17" i="1"/>
  <c r="BI37" i="1"/>
  <c r="CA147" i="1"/>
  <c r="BQ31" i="1"/>
  <c r="BQ148" i="1"/>
  <c r="CW148" i="1" s="1"/>
  <c r="DR26" i="1"/>
  <c r="BI170" i="1"/>
  <c r="CC138" i="1"/>
  <c r="CA47" i="1"/>
  <c r="BZ113" i="1"/>
  <c r="BS33" i="1"/>
  <c r="CP75" i="1"/>
  <c r="E48" i="1"/>
  <c r="BZ107" i="1"/>
  <c r="BI166" i="1"/>
  <c r="BU29" i="1"/>
  <c r="CB94" i="1"/>
  <c r="BU17" i="1"/>
  <c r="CA152" i="1"/>
  <c r="BX127" i="1"/>
  <c r="DV61" i="1"/>
  <c r="ED61" i="1" s="1"/>
  <c r="CC58" i="1"/>
  <c r="CA79" i="1"/>
  <c r="CA140" i="1"/>
  <c r="BZ119" i="1"/>
  <c r="BX74" i="1"/>
  <c r="BT79" i="1"/>
  <c r="CB9" i="1"/>
  <c r="CY9" i="1" s="1"/>
  <c r="CB88" i="1"/>
  <c r="CC89" i="1" s="1"/>
  <c r="CA160" i="1"/>
  <c r="BS118" i="1"/>
  <c r="BX146" i="1"/>
  <c r="CY146" i="1" s="1"/>
  <c r="BQ188" i="1"/>
  <c r="CW188" i="1" s="1"/>
  <c r="CY159" i="1"/>
  <c r="BU95" i="1"/>
  <c r="BX8" i="1"/>
  <c r="BY9" i="1" s="1"/>
  <c r="DR7" i="1"/>
  <c r="BT60" i="1"/>
  <c r="CA58" i="1"/>
  <c r="CC73" i="1"/>
  <c r="BT75" i="1"/>
  <c r="BI47" i="1"/>
  <c r="DR151" i="1"/>
  <c r="BI21" i="1"/>
  <c r="BX158" i="1"/>
  <c r="CY158" i="1" s="1"/>
  <c r="BQ176" i="1"/>
  <c r="CW176" i="1" s="1"/>
  <c r="BY143" i="1"/>
  <c r="BZ30" i="1"/>
  <c r="CA31" i="1" s="1"/>
  <c r="BS30" i="1"/>
  <c r="BS37" i="1"/>
  <c r="BZ37" i="1"/>
  <c r="EA6" i="1"/>
  <c r="BM6" i="1" s="1"/>
  <c r="EH3" i="1"/>
  <c r="BS34" i="1"/>
  <c r="BZ34" i="1"/>
  <c r="BT46" i="1"/>
  <c r="BS44" i="1"/>
  <c r="BS80" i="1" s="1"/>
  <c r="DP59" i="1"/>
  <c r="DL59" i="1"/>
  <c r="BQ110" i="1"/>
  <c r="BR110" i="1" s="1"/>
  <c r="BX110" i="1"/>
  <c r="BY110" i="1" s="1"/>
  <c r="DR110" i="1"/>
  <c r="CC149" i="1"/>
  <c r="CC148" i="1"/>
  <c r="BU20" i="1"/>
  <c r="CB20" i="1"/>
  <c r="CB123" i="1"/>
  <c r="BU123" i="1"/>
  <c r="CB25" i="1"/>
  <c r="CY25" i="1" s="1"/>
  <c r="BU25" i="1"/>
  <c r="ET25" i="1" s="1"/>
  <c r="DQ61" i="1"/>
  <c r="DS61" i="1"/>
  <c r="DM61" i="1"/>
  <c r="DM63" i="1"/>
  <c r="DQ63" i="1"/>
  <c r="DS63" i="1"/>
  <c r="BX90" i="1"/>
  <c r="DR90" i="1"/>
  <c r="CB36" i="1"/>
  <c r="CC37" i="1" s="1"/>
  <c r="BU36" i="1"/>
  <c r="BU16" i="1"/>
  <c r="CB16" i="1"/>
  <c r="CC61" i="1"/>
  <c r="CC62" i="1"/>
  <c r="DZ95" i="1"/>
  <c r="BL95" i="1" s="1"/>
  <c r="BL84" i="1" s="1"/>
  <c r="EG84" i="1"/>
  <c r="BQ57" i="1"/>
  <c r="BR57" i="1" s="1"/>
  <c r="DR57" i="1"/>
  <c r="BX57" i="1"/>
  <c r="BY57" i="1" s="1"/>
  <c r="DQ74" i="1"/>
  <c r="DM74" i="1"/>
  <c r="DS74" i="1"/>
  <c r="CC46" i="1"/>
  <c r="CC47" i="1"/>
  <c r="BZ85" i="1"/>
  <c r="BQ72" i="1"/>
  <c r="CW72" i="1" s="1"/>
  <c r="DR72" i="1"/>
  <c r="BX72" i="1"/>
  <c r="CY72" i="1" s="1"/>
  <c r="BQ162" i="1"/>
  <c r="DR162" i="1"/>
  <c r="BX162" i="1"/>
  <c r="CB121" i="1"/>
  <c r="CC121" i="1" s="1"/>
  <c r="BU121" i="1"/>
  <c r="CB93" i="1"/>
  <c r="CC93" i="1" s="1"/>
  <c r="BU93" i="1"/>
  <c r="BV93" i="1" s="1"/>
  <c r="DR36" i="1"/>
  <c r="BQ36" i="1"/>
  <c r="BX36" i="1"/>
  <c r="CB110" i="1"/>
  <c r="CC110" i="1" s="1"/>
  <c r="BU110" i="1"/>
  <c r="BV111" i="1" s="1"/>
  <c r="DR94" i="1"/>
  <c r="BQ94" i="1"/>
  <c r="CW94" i="1" s="1"/>
  <c r="BX94" i="1"/>
  <c r="DL46" i="1"/>
  <c r="DP46" i="1"/>
  <c r="BQ59" i="1"/>
  <c r="CW59" i="1" s="1"/>
  <c r="BX59" i="1"/>
  <c r="CY59" i="1" s="1"/>
  <c r="DM45" i="1"/>
  <c r="DJ44" i="1"/>
  <c r="DS45" i="1"/>
  <c r="DQ45" i="1"/>
  <c r="DJ81" i="1"/>
  <c r="DJ80" i="1"/>
  <c r="DY12" i="1"/>
  <c r="BK12" i="1" s="1"/>
  <c r="EF3" i="1"/>
  <c r="BO84" i="1"/>
  <c r="BQ96" i="1"/>
  <c r="DR96" i="1"/>
  <c r="BX96" i="1"/>
  <c r="BU114" i="1"/>
  <c r="CA188" i="1"/>
  <c r="CA189" i="1"/>
  <c r="BX14" i="1"/>
  <c r="BY15" i="1" s="1"/>
  <c r="DR14" i="1"/>
  <c r="DL63" i="1"/>
  <c r="DP63" i="1"/>
  <c r="EA102" i="1"/>
  <c r="BM102" i="1" s="1"/>
  <c r="BM84" i="1" s="1"/>
  <c r="EH84" i="1"/>
  <c r="CB97" i="1"/>
  <c r="BU97" i="1"/>
  <c r="BY139" i="1"/>
  <c r="CY139" i="1"/>
  <c r="CP35" i="1"/>
  <c r="BZ14" i="1"/>
  <c r="BS14" i="1"/>
  <c r="BT15" i="1" s="1"/>
  <c r="BQ35" i="1"/>
  <c r="BX35" i="1"/>
  <c r="DR35" i="1"/>
  <c r="DL75" i="1"/>
  <c r="DP75" i="1"/>
  <c r="DR24" i="1"/>
  <c r="BQ24" i="1"/>
  <c r="BY138" i="1"/>
  <c r="CY137" i="1"/>
  <c r="CZ138" i="1" s="1"/>
  <c r="CP60" i="1"/>
  <c r="DM60" i="1"/>
  <c r="DS60" i="1"/>
  <c r="DQ60" i="1"/>
  <c r="CM42" i="1"/>
  <c r="CP45" i="1"/>
  <c r="BQ164" i="1"/>
  <c r="BX164" i="1"/>
  <c r="CY164" i="1" s="1"/>
  <c r="CZ164" i="1" s="1"/>
  <c r="DR164" i="1"/>
  <c r="BU87" i="1"/>
  <c r="CB87" i="1"/>
  <c r="CC88" i="1" s="1"/>
  <c r="BX120" i="1"/>
  <c r="CY120" i="1" s="1"/>
  <c r="DR120" i="1"/>
  <c r="CV23" i="1"/>
  <c r="BI58" i="1"/>
  <c r="BI157" i="1"/>
  <c r="BI158" i="1"/>
  <c r="CP77" i="1"/>
  <c r="BI189" i="1"/>
  <c r="BI188" i="1"/>
  <c r="DM11" i="1"/>
  <c r="DS11" i="1"/>
  <c r="DQ11" i="1"/>
  <c r="DR11" i="1"/>
  <c r="DR25" i="1"/>
  <c r="DS25" i="1"/>
  <c r="DQ25" i="1"/>
  <c r="DM25" i="1"/>
  <c r="DP27" i="1"/>
  <c r="DL27" i="1"/>
  <c r="E46" i="1"/>
  <c r="DR22" i="1"/>
  <c r="BX22" i="1"/>
  <c r="AY3" i="1"/>
  <c r="BI134" i="1"/>
  <c r="BH136" i="1"/>
  <c r="BI190" i="1"/>
  <c r="BH134" i="1"/>
  <c r="BI142" i="1"/>
  <c r="BH190" i="1"/>
  <c r="DQ12" i="1"/>
  <c r="DR12" i="1"/>
  <c r="DM12" i="1"/>
  <c r="DS12" i="1"/>
  <c r="BQ88" i="1"/>
  <c r="BX88" i="1"/>
  <c r="DR88" i="1"/>
  <c r="BX123" i="1"/>
  <c r="DR123" i="1"/>
  <c r="BQ123" i="1"/>
  <c r="BX60" i="1"/>
  <c r="CY60" i="1" s="1"/>
  <c r="DR60" i="1"/>
  <c r="DL7" i="1"/>
  <c r="DP7" i="1"/>
  <c r="BK84" i="1"/>
  <c r="BZ127" i="1"/>
  <c r="BZ101" i="1"/>
  <c r="DR17" i="1"/>
  <c r="CK44" i="1"/>
  <c r="CK81" i="1" s="1"/>
  <c r="BX24" i="1"/>
  <c r="BY24" i="1" s="1"/>
  <c r="DR148" i="1"/>
  <c r="DR126" i="1"/>
  <c r="DR30" i="1"/>
  <c r="BQ22" i="1"/>
  <c r="BZ23" i="1"/>
  <c r="BQ120" i="1"/>
  <c r="CB27" i="1"/>
  <c r="CQ44" i="1"/>
  <c r="CB44" i="1"/>
  <c r="CB81" i="1" s="1"/>
  <c r="BS114" i="1"/>
  <c r="BT114" i="1" s="1"/>
  <c r="EJ84" i="1"/>
  <c r="DH44" i="1"/>
  <c r="DH81" i="1" s="1"/>
  <c r="BS87" i="1"/>
  <c r="CA166" i="1"/>
  <c r="BT42" i="1"/>
  <c r="BU108" i="1"/>
  <c r="DR113" i="1"/>
  <c r="BX149" i="1"/>
  <c r="CY149" i="1" s="1"/>
  <c r="CZ150" i="1" s="1"/>
  <c r="BX31" i="1"/>
  <c r="CY31" i="1" s="1"/>
  <c r="BQ149" i="1"/>
  <c r="CW149" i="1" s="1"/>
  <c r="BU24" i="1"/>
  <c r="BQ14" i="1"/>
  <c r="BR15" i="1" s="1"/>
  <c r="BI186" i="1"/>
  <c r="BX155" i="1"/>
  <c r="CY155" i="1" s="1"/>
  <c r="CB116" i="1"/>
  <c r="DQ30" i="1"/>
  <c r="DS16" i="1"/>
  <c r="CB86" i="1"/>
  <c r="BI9" i="1"/>
  <c r="BY184" i="1"/>
  <c r="DP20" i="1"/>
  <c r="EJ3" i="1"/>
  <c r="BS35" i="1"/>
  <c r="BZ35" i="1"/>
  <c r="CA181" i="1"/>
  <c r="CA180" i="1"/>
  <c r="CY180" i="1"/>
  <c r="BU14" i="1"/>
  <c r="BV14" i="1" s="1"/>
  <c r="CB14" i="1"/>
  <c r="CC14" i="1" s="1"/>
  <c r="BQ73" i="1"/>
  <c r="CW73" i="1" s="1"/>
  <c r="BX73" i="1"/>
  <c r="BQ128" i="1"/>
  <c r="BR128" i="1" s="1"/>
  <c r="BX128" i="1"/>
  <c r="BY129" i="1" s="1"/>
  <c r="BX111" i="1"/>
  <c r="DR111" i="1"/>
  <c r="BQ111" i="1"/>
  <c r="DS79" i="1"/>
  <c r="DQ79" i="1"/>
  <c r="BS11" i="1"/>
  <c r="BZ11" i="1"/>
  <c r="DZ4" i="1"/>
  <c r="BL4" i="1" s="1"/>
  <c r="EG3" i="1"/>
  <c r="BZ7" i="1"/>
  <c r="BS7" i="1"/>
  <c r="CS44" i="1"/>
  <c r="BU19" i="1"/>
  <c r="CB19" i="1"/>
  <c r="BS16" i="1"/>
  <c r="BT17" i="1" s="1"/>
  <c r="BZ16" i="1"/>
  <c r="CA17" i="1" s="1"/>
  <c r="E71" i="1"/>
  <c r="BQ112" i="1"/>
  <c r="DR112" i="1"/>
  <c r="BX112" i="1"/>
  <c r="DP72" i="1"/>
  <c r="DL72" i="1"/>
  <c r="BQ75" i="1"/>
  <c r="ET75" i="1" s="1"/>
  <c r="BX75" i="1"/>
  <c r="CY75" i="1" s="1"/>
  <c r="DP57" i="1"/>
  <c r="DL57" i="1"/>
  <c r="BQ114" i="1"/>
  <c r="BR114" i="1" s="1"/>
  <c r="BX114" i="1"/>
  <c r="DR114" i="1"/>
  <c r="CA76" i="1"/>
  <c r="CA77" i="1"/>
  <c r="CA182" i="1"/>
  <c r="CA183" i="1"/>
  <c r="CB115" i="1"/>
  <c r="BU115" i="1"/>
  <c r="CP48" i="1"/>
  <c r="CC141" i="1"/>
  <c r="CY141" i="1"/>
  <c r="CB125" i="1"/>
  <c r="CC125" i="1" s="1"/>
  <c r="BU125" i="1"/>
  <c r="BV125" i="1" s="1"/>
  <c r="CB105" i="1"/>
  <c r="BU105" i="1"/>
  <c r="CC76" i="1"/>
  <c r="CC75" i="1"/>
  <c r="CA150" i="1"/>
  <c r="CA151" i="1"/>
  <c r="BI159" i="1"/>
  <c r="BI160" i="1"/>
  <c r="DR18" i="1"/>
  <c r="BQ18" i="1"/>
  <c r="BX18" i="1"/>
  <c r="BY19" i="1" s="1"/>
  <c r="DM77" i="1"/>
  <c r="DS77" i="1"/>
  <c r="DL61" i="1"/>
  <c r="DP61" i="1"/>
  <c r="DS70" i="1"/>
  <c r="DQ70" i="1"/>
  <c r="DM70" i="1"/>
  <c r="BU107" i="1"/>
  <c r="CW107" i="1" s="1"/>
  <c r="CB107" i="1"/>
  <c r="CC108" i="1" s="1"/>
  <c r="BS20" i="1"/>
  <c r="BZ20" i="1"/>
  <c r="CB21" i="1"/>
  <c r="BU21" i="1"/>
  <c r="CC182" i="1"/>
  <c r="CC183" i="1"/>
  <c r="CP19" i="1"/>
  <c r="BS13" i="1"/>
  <c r="ET13" i="1" s="1"/>
  <c r="BZ13" i="1"/>
  <c r="DL48" i="1"/>
  <c r="DP48" i="1"/>
  <c r="BQ33" i="1"/>
  <c r="DR33" i="1"/>
  <c r="BX33" i="1"/>
  <c r="BZ26" i="1"/>
  <c r="CA26" i="1" s="1"/>
  <c r="BS26" i="1"/>
  <c r="BQ37" i="1"/>
  <c r="BX37" i="1"/>
  <c r="BS128" i="1"/>
  <c r="BT128" i="1" s="1"/>
  <c r="CB28" i="1"/>
  <c r="CC28" i="1" s="1"/>
  <c r="BU28" i="1"/>
  <c r="DR38" i="1"/>
  <c r="DS75" i="1"/>
  <c r="DQ75" i="1"/>
  <c r="DM75" i="1"/>
  <c r="DR75" i="1"/>
  <c r="BQ189" i="1"/>
  <c r="CW189" i="1" s="1"/>
  <c r="DR189" i="1"/>
  <c r="BX189" i="1"/>
  <c r="CY189" i="1" s="1"/>
  <c r="CA177" i="1"/>
  <c r="CY177" i="1"/>
  <c r="BO3" i="1"/>
  <c r="DR100" i="1"/>
  <c r="BX100" i="1"/>
  <c r="BQ100" i="1"/>
  <c r="E5" i="1"/>
  <c r="DP73" i="1"/>
  <c r="DL73" i="1"/>
  <c r="BX119" i="1"/>
  <c r="BY119" i="1" s="1"/>
  <c r="DR119" i="1"/>
  <c r="BQ119" i="1"/>
  <c r="BX99" i="1"/>
  <c r="DR99" i="1"/>
  <c r="DP47" i="1"/>
  <c r="DL47" i="1"/>
  <c r="E72" i="1"/>
  <c r="BQ161" i="1"/>
  <c r="DR161" i="1"/>
  <c r="E20" i="1"/>
  <c r="CV20" i="1"/>
  <c r="BX93" i="1"/>
  <c r="DR93" i="1"/>
  <c r="BI60" i="1"/>
  <c r="BI59" i="1"/>
  <c r="BQ166" i="1"/>
  <c r="BR166" i="1" s="1"/>
  <c r="BX166" i="1"/>
  <c r="CY166" i="1" s="1"/>
  <c r="DR166" i="1"/>
  <c r="DX4" i="1"/>
  <c r="BJ4" i="1" s="1"/>
  <c r="EE3" i="1"/>
  <c r="DM33" i="1"/>
  <c r="DQ33" i="1"/>
  <c r="BU22" i="1"/>
  <c r="CB22" i="1"/>
  <c r="CC22" i="1" s="1"/>
  <c r="DS20" i="1"/>
  <c r="DR20" i="1"/>
  <c r="DQ20" i="1"/>
  <c r="DM20" i="1"/>
  <c r="DM32" i="1"/>
  <c r="DS32" i="1"/>
  <c r="DR32" i="1"/>
  <c r="DQ32" i="1"/>
  <c r="CS1" i="1"/>
  <c r="CR1" i="1"/>
  <c r="CQ3" i="1"/>
  <c r="DH3" i="1"/>
  <c r="DH39" i="1" s="1"/>
  <c r="DP5" i="1"/>
  <c r="DP28" i="1"/>
  <c r="DL28" i="1"/>
  <c r="BX89" i="1"/>
  <c r="DR89" i="1"/>
  <c r="DM13" i="1"/>
  <c r="DR13" i="1"/>
  <c r="DS13" i="1"/>
  <c r="DQ13" i="1"/>
  <c r="DS9" i="1"/>
  <c r="DQ9" i="1"/>
  <c r="DR9" i="1"/>
  <c r="DJ3" i="1"/>
  <c r="DJ40" i="1"/>
  <c r="DM26" i="1"/>
  <c r="DS26" i="1"/>
  <c r="DQ26" i="1"/>
  <c r="DQ31" i="1"/>
  <c r="DM31" i="1"/>
  <c r="DS31" i="1"/>
  <c r="DR31" i="1"/>
  <c r="DS22" i="1"/>
  <c r="DQ22" i="1"/>
  <c r="DM14" i="1"/>
  <c r="DS14" i="1"/>
  <c r="DQ14" i="1"/>
  <c r="DQ8" i="1"/>
  <c r="DS8" i="1"/>
  <c r="DM8" i="1"/>
  <c r="DL35" i="1"/>
  <c r="DP35" i="1"/>
  <c r="BZ89" i="1"/>
  <c r="CA90" i="1" s="1"/>
  <c r="BZ128" i="1"/>
  <c r="CA129" i="1" s="1"/>
  <c r="BZ109" i="1"/>
  <c r="BZ96" i="1"/>
  <c r="BN84" i="1"/>
  <c r="BZ36" i="1"/>
  <c r="BQ23" i="1"/>
  <c r="BQ38" i="1"/>
  <c r="BX148" i="1"/>
  <c r="CY148" i="1" s="1"/>
  <c r="DL22" i="1"/>
  <c r="BX10" i="1"/>
  <c r="CB103" i="1"/>
  <c r="DM16" i="1"/>
  <c r="DR59" i="1"/>
  <c r="BU96" i="1"/>
  <c r="BI152" i="1"/>
  <c r="CV26" i="1"/>
  <c r="CY74" i="1"/>
  <c r="BI178" i="1"/>
  <c r="CA178" i="1"/>
  <c r="CS3" i="1"/>
  <c r="BZ103" i="1"/>
  <c r="BS116" i="1"/>
  <c r="BZ91" i="1"/>
  <c r="CA91" i="1" s="1"/>
  <c r="BZ121" i="1"/>
  <c r="BS117" i="1"/>
  <c r="BT118" i="1" s="1"/>
  <c r="CM1" i="1"/>
  <c r="BQ89" i="1"/>
  <c r="BT43" i="1"/>
  <c r="DR63" i="1"/>
  <c r="CK3" i="1"/>
  <c r="CK39" i="1" s="1"/>
  <c r="BX91" i="1"/>
  <c r="BT47" i="1"/>
  <c r="DM34" i="1"/>
  <c r="EI84" i="1"/>
  <c r="CA74" i="1"/>
  <c r="BQ60" i="1"/>
  <c r="CW60" i="1" s="1"/>
  <c r="BX20" i="1"/>
  <c r="BY20" i="1" s="1"/>
  <c r="DR79" i="1"/>
  <c r="BI141" i="1"/>
  <c r="BQ79" i="1"/>
  <c r="CW79" i="1" s="1"/>
  <c r="BI1" i="1"/>
  <c r="DR73" i="1"/>
  <c r="CB114" i="1"/>
  <c r="CC114" i="1" s="1"/>
  <c r="DR10" i="1"/>
  <c r="BX38" i="1"/>
  <c r="BY38" i="1" s="1"/>
  <c r="BU33" i="1"/>
  <c r="BX113" i="1"/>
  <c r="DR23" i="1"/>
  <c r="DS33" i="1"/>
  <c r="DP29" i="1"/>
  <c r="DM30" i="1"/>
  <c r="BQ90" i="1"/>
  <c r="BX161" i="1"/>
  <c r="CY161" i="1" s="1"/>
  <c r="DS34" i="1"/>
  <c r="BY183" i="1"/>
  <c r="DR174" i="1"/>
  <c r="CB26" i="1"/>
  <c r="CC26" i="1" s="1"/>
  <c r="BU26" i="1"/>
  <c r="CA60" i="1"/>
  <c r="CA61" i="1"/>
  <c r="E75" i="1"/>
  <c r="BQ152" i="1"/>
  <c r="CW152" i="1" s="1"/>
  <c r="BX152" i="1"/>
  <c r="CY152" i="1" s="1"/>
  <c r="BX108" i="1"/>
  <c r="BQ108" i="1"/>
  <c r="BR108" i="1" s="1"/>
  <c r="BS19" i="1"/>
  <c r="BZ19" i="1"/>
  <c r="CA20" i="1" s="1"/>
  <c r="DR58" i="1"/>
  <c r="BX58" i="1"/>
  <c r="CY58" i="1" s="1"/>
  <c r="BX21" i="1"/>
  <c r="BY22" i="1" s="1"/>
  <c r="DR21" i="1"/>
  <c r="BQ21" i="1"/>
  <c r="CP24" i="1"/>
  <c r="CO3" i="1"/>
  <c r="CO39" i="1" s="1"/>
  <c r="CW137" i="1"/>
  <c r="BS136" i="1"/>
  <c r="BT137" i="1" s="1"/>
  <c r="CA156" i="1"/>
  <c r="CP13" i="1"/>
  <c r="BQ62" i="1"/>
  <c r="CW62" i="1" s="1"/>
  <c r="DR62" i="1"/>
  <c r="BX17" i="1"/>
  <c r="BY17" i="1" s="1"/>
  <c r="CP58" i="1"/>
  <c r="BZ27" i="1"/>
  <c r="BX157" i="1"/>
  <c r="CY157" i="1" s="1"/>
  <c r="BQ157" i="1"/>
  <c r="CW157" i="1" s="1"/>
  <c r="E19" i="1"/>
  <c r="BI25" i="1"/>
  <c r="BI24" i="1"/>
  <c r="CB7" i="1"/>
  <c r="BZ38" i="1"/>
  <c r="CA38" i="1" s="1"/>
  <c r="BQ86" i="1"/>
  <c r="DR86" i="1"/>
  <c r="BQ26" i="1"/>
  <c r="BR27" i="1" s="1"/>
  <c r="BX26" i="1"/>
  <c r="BU15" i="1"/>
  <c r="CW15" i="1" s="1"/>
  <c r="CB15" i="1"/>
  <c r="BX107" i="1"/>
  <c r="DR107" i="1"/>
  <c r="BV42" i="1"/>
  <c r="BU44" i="1"/>
  <c r="BU81" i="1" s="1"/>
  <c r="CP20" i="1"/>
  <c r="CV34" i="1"/>
  <c r="BI164" i="1"/>
  <c r="BI165" i="1"/>
  <c r="BX117" i="1"/>
  <c r="BY117" i="1" s="1"/>
  <c r="DR117" i="1"/>
  <c r="BQ117" i="1"/>
  <c r="BQ34" i="1"/>
  <c r="BX34" i="1"/>
  <c r="BY35" i="1" s="1"/>
  <c r="E25" i="1"/>
  <c r="E22" i="1"/>
  <c r="CV29" i="1"/>
  <c r="CY179" i="1"/>
  <c r="CZ180" i="1" s="1"/>
  <c r="BX48" i="1"/>
  <c r="BY49" i="1" s="1"/>
  <c r="BQ70" i="1"/>
  <c r="BR70" i="1" s="1"/>
  <c r="DR70" i="1"/>
  <c r="CP72" i="1"/>
  <c r="BX71" i="1"/>
  <c r="CY71" i="1" s="1"/>
  <c r="DK81" i="1"/>
  <c r="BY140" i="1"/>
  <c r="BX97" i="1"/>
  <c r="BY97" i="1" s="1"/>
  <c r="DR97" i="1"/>
  <c r="DM59" i="1"/>
  <c r="DQ59" i="1"/>
  <c r="DS59" i="1"/>
  <c r="BX45" i="1"/>
  <c r="CY45" i="1" s="1"/>
  <c r="BQ45" i="1"/>
  <c r="ET45" i="1" s="1"/>
  <c r="CV38" i="1"/>
  <c r="DR175" i="1"/>
  <c r="BX175" i="1"/>
  <c r="CY175" i="1" s="1"/>
  <c r="BQ175" i="1"/>
  <c r="CW175" i="1" s="1"/>
  <c r="DQ19" i="1"/>
  <c r="DM19" i="1"/>
  <c r="DR19" i="1"/>
  <c r="DS19" i="1"/>
  <c r="BQ104" i="1"/>
  <c r="BX104" i="1"/>
  <c r="BY104" i="1" s="1"/>
  <c r="DS17" i="1"/>
  <c r="DM17" i="1"/>
  <c r="DR105" i="1"/>
  <c r="BQ105" i="1"/>
  <c r="ET105" i="1" s="1"/>
  <c r="DR154" i="1"/>
  <c r="BX154" i="1"/>
  <c r="CY154" i="1" s="1"/>
  <c r="CP31" i="1"/>
  <c r="BH3" i="1"/>
  <c r="BI5" i="1"/>
  <c r="DP12" i="1"/>
  <c r="DL12" i="1"/>
  <c r="DQ28" i="1"/>
  <c r="DR28" i="1"/>
  <c r="DP38" i="1"/>
  <c r="DL38" i="1"/>
  <c r="BX98" i="1"/>
  <c r="BY98" i="1" s="1"/>
  <c r="BQ98" i="1"/>
  <c r="CW98" i="1" s="1"/>
  <c r="CV31" i="1"/>
  <c r="DP13" i="1"/>
  <c r="DL13" i="1"/>
  <c r="DR29" i="1"/>
  <c r="DS29" i="1"/>
  <c r="DL26" i="1"/>
  <c r="DP26" i="1"/>
  <c r="DQ15" i="1"/>
  <c r="DM15" i="1"/>
  <c r="DQ7" i="1"/>
  <c r="DS7" i="1"/>
  <c r="BQ48" i="1"/>
  <c r="BQ85" i="1"/>
  <c r="BZ104" i="1"/>
  <c r="DR85" i="1"/>
  <c r="DR132" i="1" s="1"/>
  <c r="ET137" i="1"/>
  <c r="DL34" i="1"/>
  <c r="BZ15" i="1"/>
  <c r="DR34" i="1"/>
  <c r="CB95" i="1"/>
  <c r="BI181" i="1"/>
  <c r="CB8" i="1"/>
  <c r="DR76" i="1"/>
  <c r="CB99" i="1"/>
  <c r="CC100" i="1" s="1"/>
  <c r="BH1" i="1"/>
  <c r="CC142" i="1"/>
  <c r="EE44" i="1"/>
  <c r="CS42" i="1"/>
  <c r="BU88" i="1"/>
  <c r="CW88" i="1" s="1"/>
  <c r="CB32" i="1"/>
  <c r="CC32" i="1" s="1"/>
  <c r="BU128" i="1"/>
  <c r="BS38" i="1"/>
  <c r="BT38" i="1" s="1"/>
  <c r="BX105" i="1"/>
  <c r="BI172" i="1"/>
  <c r="DR45" i="1"/>
  <c r="DR44" i="1" s="1"/>
  <c r="DR81" i="1" s="1"/>
  <c r="BZ136" i="1"/>
  <c r="BZ191" i="1" s="1"/>
  <c r="DR15" i="1"/>
  <c r="BS24" i="1"/>
  <c r="BT25" i="1" s="1"/>
  <c r="BI11" i="1"/>
  <c r="BT76" i="1"/>
  <c r="BI48" i="1"/>
  <c r="DQ17" i="1"/>
  <c r="DQ24" i="1"/>
  <c r="CY142" i="1"/>
  <c r="CZ143" i="1" s="1"/>
  <c r="BQ29" i="1"/>
  <c r="CW29" i="1" s="1"/>
  <c r="BQ174" i="1"/>
  <c r="BX62" i="1"/>
  <c r="CY62" i="1" s="1"/>
  <c r="DL71" i="1"/>
  <c r="DP71" i="1"/>
  <c r="CC161" i="1"/>
  <c r="CC160" i="1"/>
  <c r="BZ22" i="1"/>
  <c r="CA22" i="1" s="1"/>
  <c r="E4" i="1"/>
  <c r="CA186" i="1"/>
  <c r="CA187" i="1"/>
  <c r="CA155" i="1"/>
  <c r="BQ173" i="1"/>
  <c r="CW173" i="1" s="1"/>
  <c r="BX173" i="1"/>
  <c r="CY173" i="1" s="1"/>
  <c r="DR173" i="1"/>
  <c r="BQ92" i="1"/>
  <c r="BX92" i="1"/>
  <c r="CY92" i="1" s="1"/>
  <c r="DR92" i="1"/>
  <c r="DP76" i="1"/>
  <c r="DL76" i="1"/>
  <c r="DR124" i="1"/>
  <c r="BQ124" i="1"/>
  <c r="CB117" i="1"/>
  <c r="CC117" i="1" s="1"/>
  <c r="CV13" i="1"/>
  <c r="CV10" i="1"/>
  <c r="DS6" i="1"/>
  <c r="DM6" i="1"/>
  <c r="DR6" i="1"/>
  <c r="BX106" i="1"/>
  <c r="BQ106" i="1"/>
  <c r="BR107" i="1" s="1"/>
  <c r="DM73" i="1"/>
  <c r="DQ73" i="1"/>
  <c r="DS73" i="1"/>
  <c r="DR61" i="1"/>
  <c r="BX61" i="1"/>
  <c r="CY61" i="1" s="1"/>
  <c r="E61" i="1"/>
  <c r="CB6" i="1"/>
  <c r="CC6" i="1" s="1"/>
  <c r="BU6" i="1"/>
  <c r="BV7" i="1" s="1"/>
  <c r="CP78" i="1"/>
  <c r="BU85" i="1"/>
  <c r="BV86" i="1" s="1"/>
  <c r="BQ30" i="1"/>
  <c r="BR30" i="1" s="1"/>
  <c r="BX30" i="1"/>
  <c r="BY30" i="1" s="1"/>
  <c r="CB122" i="1"/>
  <c r="BU122" i="1"/>
  <c r="BV122" i="1" s="1"/>
  <c r="EB4" i="1"/>
  <c r="BN4" i="1" s="1"/>
  <c r="EI3" i="1"/>
  <c r="E18" i="1"/>
  <c r="BU113" i="1"/>
  <c r="CW113" i="1" s="1"/>
  <c r="DR46" i="1"/>
  <c r="DS46" i="1"/>
  <c r="DM46" i="1"/>
  <c r="DL77" i="1"/>
  <c r="DP77" i="1"/>
  <c r="CV19" i="1"/>
  <c r="CP47" i="1"/>
  <c r="CM44" i="1"/>
  <c r="CM81" i="1" s="1"/>
  <c r="CP15" i="1"/>
  <c r="CA146" i="1"/>
  <c r="CP37" i="1"/>
  <c r="DR101" i="1"/>
  <c r="BQ101" i="1"/>
  <c r="CP6" i="1"/>
  <c r="DR74" i="1"/>
  <c r="DR102" i="1"/>
  <c r="BQ102" i="1"/>
  <c r="BR103" i="1" s="1"/>
  <c r="BX102" i="1"/>
  <c r="DQ62" i="1"/>
  <c r="DS62" i="1"/>
  <c r="DM62" i="1"/>
  <c r="E12" i="1"/>
  <c r="CB11" i="1"/>
  <c r="CC12" i="1" s="1"/>
  <c r="DR170" i="1"/>
  <c r="BX170" i="1"/>
  <c r="CY170" i="1" s="1"/>
  <c r="CP29" i="1"/>
  <c r="CB90" i="1"/>
  <c r="CY90" i="1" s="1"/>
  <c r="BU90" i="1"/>
  <c r="BV91" i="1" s="1"/>
  <c r="CC189" i="1"/>
  <c r="CC188" i="1"/>
  <c r="BI72" i="1"/>
  <c r="BU100" i="1"/>
  <c r="BV100" i="1" s="1"/>
  <c r="BQ145" i="1"/>
  <c r="BR145" i="1" s="1"/>
  <c r="CP10" i="1"/>
  <c r="E30" i="1"/>
  <c r="DK3" i="1"/>
  <c r="DQ5" i="1"/>
  <c r="DR5" i="1"/>
  <c r="DM5" i="1"/>
  <c r="DK40" i="1"/>
  <c r="CV22" i="1"/>
  <c r="DQ10" i="1"/>
  <c r="DS10" i="1"/>
  <c r="DM10" i="1"/>
  <c r="DL30" i="1"/>
  <c r="DP30" i="1"/>
  <c r="DS27" i="1"/>
  <c r="DM27" i="1"/>
  <c r="DQ27" i="1"/>
  <c r="DP33" i="1"/>
  <c r="DL33" i="1"/>
  <c r="BQ151" i="1"/>
  <c r="CW151" i="1" s="1"/>
  <c r="BX151" i="1"/>
  <c r="CY151" i="1" s="1"/>
  <c r="CP4" i="1"/>
  <c r="DS37" i="1"/>
  <c r="DQ37" i="1"/>
  <c r="BX156" i="1"/>
  <c r="CY156" i="1" s="1"/>
  <c r="BQ47" i="1"/>
  <c r="ET47" i="1" s="1"/>
  <c r="BX47" i="1"/>
  <c r="BY47" i="1" s="1"/>
  <c r="DR47" i="1"/>
  <c r="BI155" i="1"/>
  <c r="BI154" i="1"/>
  <c r="DP21" i="1"/>
  <c r="DL21" i="1"/>
  <c r="DP14" i="1"/>
  <c r="DL14" i="1"/>
  <c r="BI179" i="1"/>
  <c r="BS27" i="1"/>
  <c r="DK44" i="1"/>
  <c r="CB136" i="1"/>
  <c r="CB191" i="1" s="1"/>
  <c r="DL79" i="1"/>
  <c r="BI39" i="1"/>
  <c r="BI167" i="1"/>
  <c r="CB85" i="1"/>
  <c r="CC86" i="1" s="1"/>
  <c r="BI42" i="1"/>
  <c r="BQ116" i="1"/>
  <c r="BH42" i="1"/>
  <c r="BH39" i="1"/>
  <c r="BY179" i="1"/>
  <c r="BT74" i="1"/>
  <c r="BI144" i="1"/>
  <c r="CA78" i="1"/>
  <c r="BX145" i="1"/>
  <c r="CY145" i="1" s="1"/>
  <c r="BQ58" i="1"/>
  <c r="CW58" i="1" s="1"/>
  <c r="DR106" i="1"/>
  <c r="BZ8" i="1"/>
  <c r="CA9" i="1" s="1"/>
  <c r="BI80" i="1"/>
  <c r="BX70" i="1"/>
  <c r="BY70" i="1" s="1"/>
  <c r="BX174" i="1"/>
  <c r="CY174" i="1" s="1"/>
  <c r="CB102" i="1"/>
  <c r="CC102" i="1" s="1"/>
  <c r="DR145" i="1"/>
  <c r="DM29" i="1"/>
  <c r="DS15" i="1"/>
  <c r="BT62" i="1"/>
  <c r="CY165" i="1"/>
  <c r="CZ165" i="1" s="1"/>
  <c r="DK39" i="1"/>
  <c r="BX101" i="1"/>
  <c r="DR71" i="1"/>
  <c r="DQ21" i="1"/>
  <c r="DS21" i="1"/>
  <c r="CB23" i="1"/>
  <c r="BI63" i="1"/>
  <c r="BU11" i="1"/>
  <c r="BV12" i="1" s="1"/>
  <c r="CY140" i="1"/>
  <c r="BZ33" i="1"/>
  <c r="CL1" i="1"/>
  <c r="CK1" i="1" s="1"/>
  <c r="BX167" i="1"/>
  <c r="BY141" i="1"/>
  <c r="DQ46" i="1"/>
  <c r="DM7" i="1"/>
  <c r="CY153" i="1"/>
  <c r="CZ153" i="1" s="1"/>
  <c r="CY186" i="1"/>
  <c r="CY160" i="1"/>
  <c r="CY185" i="1"/>
  <c r="CY46" i="1"/>
  <c r="CZ46" i="1" s="1"/>
  <c r="BI146" i="1"/>
  <c r="DP60" i="1"/>
  <c r="DP62" i="1"/>
  <c r="CV7" i="1"/>
  <c r="BI149" i="1"/>
  <c r="BU129" i="1"/>
  <c r="BV130" i="1" s="1"/>
  <c r="DL17" i="1"/>
  <c r="CU3" i="1"/>
  <c r="BI76" i="1"/>
  <c r="BH44" i="1"/>
  <c r="DL60" i="1"/>
  <c r="DW71" i="1"/>
  <c r="ES71" i="1" s="1"/>
  <c r="DP24" i="1"/>
  <c r="DL78" i="1"/>
  <c r="EF44" i="1"/>
  <c r="BQ129" i="1"/>
  <c r="BR129" i="1" s="1"/>
  <c r="DI44" i="1"/>
  <c r="DI80" i="1" s="1"/>
  <c r="CA158" i="1"/>
  <c r="BX172" i="1"/>
  <c r="CY172" i="1" s="1"/>
  <c r="DR129" i="1"/>
  <c r="DS153" i="1"/>
  <c r="CC79" i="1"/>
  <c r="BU117" i="1"/>
  <c r="BV118" i="1" s="1"/>
  <c r="BU104" i="1"/>
  <c r="BV105" i="1" s="1"/>
  <c r="DR172" i="1"/>
  <c r="BS12" i="1"/>
  <c r="BT12" i="1" s="1"/>
  <c r="BS18" i="1"/>
  <c r="ET18" i="1" s="1"/>
  <c r="BQ91" i="1"/>
  <c r="DR155" i="1"/>
  <c r="BH80" i="1"/>
  <c r="BQ99" i="1"/>
  <c r="ET99" i="1" s="1"/>
  <c r="CC179" i="1"/>
  <c r="CC155" i="1"/>
  <c r="DM159" i="1"/>
  <c r="BI140" i="1"/>
  <c r="BI20" i="1"/>
  <c r="DM37" i="1"/>
  <c r="DQ153" i="1"/>
  <c r="DM153" i="1"/>
  <c r="BI75" i="1"/>
  <c r="DM58" i="1"/>
  <c r="DQ77" i="1"/>
  <c r="DL174" i="1"/>
  <c r="DL16" i="1"/>
  <c r="ES151" i="1"/>
  <c r="ES147" i="1"/>
  <c r="ED177" i="1"/>
  <c r="ED172" i="1"/>
  <c r="ED186" i="1"/>
  <c r="ED182" i="1"/>
  <c r="ED157" i="1"/>
  <c r="ES47" i="1"/>
  <c r="ED143" i="1"/>
  <c r="ED7" i="1"/>
  <c r="ES38" i="1"/>
  <c r="ED184" i="1"/>
  <c r="ES17" i="1"/>
  <c r="CA21" i="1"/>
  <c r="ED35" i="1"/>
  <c r="ED140" i="1"/>
  <c r="ES170" i="1"/>
  <c r="ES173" i="1"/>
  <c r="ES186" i="1"/>
  <c r="ED48" i="1"/>
  <c r="ES155" i="1"/>
  <c r="ES169" i="1"/>
  <c r="ED160" i="1"/>
  <c r="ED45" i="1"/>
  <c r="ES35" i="1"/>
  <c r="ED175" i="1"/>
  <c r="ED158" i="1"/>
  <c r="ED73" i="1"/>
  <c r="ED46" i="1"/>
  <c r="ES10" i="1"/>
  <c r="ES15" i="1"/>
  <c r="ES12" i="1"/>
  <c r="ES171" i="1"/>
  <c r="ES21" i="1"/>
  <c r="ES165" i="1"/>
  <c r="ED142" i="1"/>
  <c r="ED159" i="1"/>
  <c r="ES138" i="1"/>
  <c r="ES166" i="1"/>
  <c r="ED8" i="1"/>
  <c r="ED78" i="1"/>
  <c r="ES20" i="1"/>
  <c r="ES187" i="1"/>
  <c r="ES172" i="1"/>
  <c r="ES162" i="1"/>
  <c r="ED154" i="1"/>
  <c r="ES139" i="1"/>
  <c r="ES185" i="1"/>
  <c r="ED70" i="1"/>
  <c r="ED155" i="1"/>
  <c r="ES189" i="1"/>
  <c r="ED21" i="1"/>
  <c r="ED148" i="1"/>
  <c r="ED141" i="1"/>
  <c r="ED174" i="1"/>
  <c r="ES153" i="1"/>
  <c r="ED58" i="1"/>
  <c r="ES152" i="1"/>
  <c r="ED153" i="1"/>
  <c r="ED59" i="1"/>
  <c r="ED77" i="1"/>
  <c r="ES6" i="1"/>
  <c r="ED76" i="1"/>
  <c r="ES14" i="1"/>
  <c r="ES150" i="1"/>
  <c r="ED169" i="1"/>
  <c r="ES31" i="1"/>
  <c r="ES157" i="1"/>
  <c r="ES146" i="1"/>
  <c r="ED57" i="1"/>
  <c r="ED63" i="1"/>
  <c r="ES9" i="1"/>
  <c r="ES156" i="1"/>
  <c r="ES46" i="1"/>
  <c r="ES181" i="1"/>
  <c r="ED156" i="1"/>
  <c r="ES144" i="1"/>
  <c r="ED178" i="1"/>
  <c r="ES160" i="1"/>
  <c r="ES70" i="1"/>
  <c r="ES180" i="1"/>
  <c r="ED164" i="1"/>
  <c r="ED173" i="1"/>
  <c r="ED75" i="1"/>
  <c r="ES74" i="1"/>
  <c r="ED33" i="1"/>
  <c r="ES179" i="1"/>
  <c r="ED170" i="1"/>
  <c r="ES4" i="1"/>
  <c r="ES175" i="1"/>
  <c r="ED147" i="1"/>
  <c r="ED4" i="1"/>
  <c r="ED11" i="1"/>
  <c r="ES57" i="1"/>
  <c r="ES145" i="1"/>
  <c r="ES7" i="1"/>
  <c r="ES177" i="1"/>
  <c r="ES176" i="1"/>
  <c r="ED9" i="1"/>
  <c r="ES58" i="1"/>
  <c r="ES167" i="1"/>
  <c r="ED188" i="1"/>
  <c r="ES182" i="1"/>
  <c r="ES33" i="1"/>
  <c r="ED62" i="1"/>
  <c r="ED28" i="1"/>
  <c r="ES37" i="1"/>
  <c r="ED30" i="1"/>
  <c r="ED31" i="1"/>
  <c r="ES45" i="1"/>
  <c r="ED151" i="1"/>
  <c r="ES143" i="1"/>
  <c r="ES5" i="1"/>
  <c r="ES183" i="1"/>
  <c r="ED14" i="1"/>
  <c r="ES32" i="1"/>
  <c r="ES16" i="1"/>
  <c r="ES76" i="1"/>
  <c r="ED34" i="1"/>
  <c r="ES34" i="1"/>
  <c r="ES159" i="1"/>
  <c r="ED32" i="1"/>
  <c r="ED12" i="1"/>
  <c r="ED149" i="1"/>
  <c r="ED19" i="1"/>
  <c r="ED16" i="1"/>
  <c r="ES13" i="1"/>
  <c r="ES158" i="1"/>
  <c r="ED79" i="1"/>
  <c r="ED171" i="1"/>
  <c r="ES73" i="1"/>
  <c r="ED5" i="1"/>
  <c r="ES79" i="1"/>
  <c r="ED74" i="1"/>
  <c r="ES8" i="1"/>
  <c r="ED17" i="1"/>
  <c r="ED161" i="1"/>
  <c r="ED36" i="1"/>
  <c r="ES77" i="1"/>
  <c r="ES78" i="1"/>
  <c r="ED72" i="1"/>
  <c r="ES62" i="1"/>
  <c r="ES59" i="1"/>
  <c r="ED29" i="1"/>
  <c r="ED18" i="1"/>
  <c r="ED26" i="1"/>
  <c r="ES27" i="1"/>
  <c r="ED60" i="1"/>
  <c r="ES25" i="1"/>
  <c r="ES61" i="1"/>
  <c r="ES60" i="1"/>
  <c r="ES36" i="1"/>
  <c r="ES75" i="1"/>
  <c r="ED13" i="1"/>
  <c r="BY100" i="1"/>
  <c r="BR96" i="1"/>
  <c r="ED25" i="1"/>
  <c r="ED37" i="1"/>
  <c r="ED10" i="1"/>
  <c r="ES26" i="1"/>
  <c r="ED6" i="1"/>
  <c r="ED20" i="1"/>
  <c r="ES72" i="1"/>
  <c r="ES28" i="1"/>
  <c r="ES19" i="1"/>
  <c r="ED38" i="1"/>
  <c r="ED15" i="1"/>
  <c r="ED47" i="1"/>
  <c r="ES30" i="1"/>
  <c r="ES29" i="1"/>
  <c r="ES63" i="1"/>
  <c r="ED27" i="1"/>
  <c r="ES11" i="1"/>
  <c r="BY111" i="1"/>
  <c r="CP131" i="1"/>
  <c r="CK82" i="1"/>
  <c r="BV20" i="1"/>
  <c r="CK134" i="1"/>
  <c r="ET74" i="1"/>
  <c r="CC36" i="1"/>
  <c r="CA10" i="1"/>
  <c r="BT36" i="1"/>
  <c r="BR97" i="1"/>
  <c r="CZ144" i="1"/>
  <c r="BV119" i="1"/>
  <c r="BV19" i="1"/>
  <c r="BV18" i="1"/>
  <c r="BT20" i="1"/>
  <c r="ET19" i="1"/>
  <c r="CC38" i="1"/>
  <c r="BT32" i="1"/>
  <c r="BT33" i="1"/>
  <c r="ET147" i="1"/>
  <c r="BR10" i="1"/>
  <c r="BR113" i="1"/>
  <c r="DN190" i="1"/>
  <c r="BV96" i="1"/>
  <c r="CC115" i="1"/>
  <c r="BR25" i="1"/>
  <c r="DI39" i="1"/>
  <c r="BV28" i="1"/>
  <c r="CW45" i="1"/>
  <c r="CC116" i="1"/>
  <c r="BR172" i="1"/>
  <c r="CW172" i="1"/>
  <c r="ET73" i="1"/>
  <c r="ET152" i="1"/>
  <c r="BR7" i="1"/>
  <c r="BV109" i="1"/>
  <c r="BY72" i="1"/>
  <c r="ET160" i="1"/>
  <c r="CZ179" i="1"/>
  <c r="BY160" i="1"/>
  <c r="BR24" i="1"/>
  <c r="CC127" i="1"/>
  <c r="ET167" i="1"/>
  <c r="CM80" i="1"/>
  <c r="ET150" i="1"/>
  <c r="CA13" i="1"/>
  <c r="BY120" i="1"/>
  <c r="CC104" i="1"/>
  <c r="ET46" i="1"/>
  <c r="CW163" i="1"/>
  <c r="BT34" i="1"/>
  <c r="BR9" i="1"/>
  <c r="CW96" i="1"/>
  <c r="CC18" i="1"/>
  <c r="CC98" i="1"/>
  <c r="BY64" i="1"/>
  <c r="BY159" i="1"/>
  <c r="CY64" i="1"/>
  <c r="CZ65" i="1" s="1"/>
  <c r="CY70" i="1"/>
  <c r="CZ70" i="1" s="1"/>
  <c r="BV23" i="1"/>
  <c r="CC19" i="1"/>
  <c r="BV102" i="1"/>
  <c r="BY130" i="1"/>
  <c r="CY130" i="1"/>
  <c r="BR104" i="1"/>
  <c r="BV33" i="1"/>
  <c r="BR6" i="1"/>
  <c r="BR74" i="1"/>
  <c r="CM191" i="1"/>
  <c r="CJ191" i="1" s="1"/>
  <c r="CK190" i="1"/>
  <c r="BR95" i="1"/>
  <c r="BT10" i="1"/>
  <c r="BV110" i="1"/>
  <c r="CZ156" i="1"/>
  <c r="BV34" i="1"/>
  <c r="BR65" i="1"/>
  <c r="CJ190" i="1"/>
  <c r="BY21" i="1"/>
  <c r="CA12" i="1"/>
  <c r="ET64" i="1"/>
  <c r="CO191" i="1"/>
  <c r="ET145" i="1"/>
  <c r="BY6" i="1"/>
  <c r="ET174" i="1"/>
  <c r="BV35" i="1"/>
  <c r="CW34" i="1"/>
  <c r="BR146" i="1"/>
  <c r="CW174" i="1"/>
  <c r="BY151" i="1"/>
  <c r="ET154" i="1"/>
  <c r="CW112" i="1"/>
  <c r="BV99" i="1"/>
  <c r="CC17" i="1"/>
  <c r="CP40" i="1"/>
  <c r="BV27" i="1"/>
  <c r="CZ142" i="1"/>
  <c r="CC87" i="1"/>
  <c r="CY15" i="1"/>
  <c r="CP190" i="1"/>
  <c r="CY33" i="1"/>
  <c r="CY13" i="1"/>
  <c r="DQ136" i="1"/>
  <c r="DQ191" i="1" s="1"/>
  <c r="BY161" i="1"/>
  <c r="CC119" i="1"/>
  <c r="BR121" i="1"/>
  <c r="CM39" i="1"/>
  <c r="ET186" i="1"/>
  <c r="CQ42" i="1"/>
  <c r="CC109" i="1"/>
  <c r="CA24" i="1"/>
  <c r="BR19" i="1"/>
  <c r="CC101" i="1"/>
  <c r="BR88" i="1"/>
  <c r="BY96" i="1"/>
  <c r="CQ134" i="1"/>
  <c r="CC130" i="1"/>
  <c r="BY10" i="1"/>
  <c r="BR109" i="1"/>
  <c r="CW146" i="1"/>
  <c r="ET171" i="1"/>
  <c r="BR102" i="1"/>
  <c r="CA14" i="1"/>
  <c r="CB190" i="1"/>
  <c r="CW121" i="1"/>
  <c r="CY94" i="1"/>
  <c r="BY25" i="1"/>
  <c r="CP191" i="1"/>
  <c r="BY170" i="1"/>
  <c r="BY16" i="1"/>
  <c r="BZ42" i="1"/>
  <c r="CO40" i="1"/>
  <c r="CO80" i="1"/>
  <c r="BY74" i="1"/>
  <c r="BY14" i="1"/>
  <c r="BU80" i="1"/>
  <c r="CW103" i="1"/>
  <c r="BZ87" i="1"/>
  <c r="CA87" i="1" s="1"/>
  <c r="CY129" i="1"/>
  <c r="CW61" i="1"/>
  <c r="CY73" i="1"/>
  <c r="CZ74" i="1" s="1"/>
  <c r="CY63" i="1"/>
  <c r="CW145" i="1"/>
  <c r="BY95" i="1"/>
  <c r="CW71" i="1"/>
  <c r="CB80" i="1"/>
  <c r="BY63" i="1"/>
  <c r="BY71" i="1"/>
  <c r="CC105" i="1"/>
  <c r="ET156" i="1"/>
  <c r="ET169" i="1"/>
  <c r="BT11" i="1"/>
  <c r="ET165" i="1"/>
  <c r="ET77" i="1"/>
  <c r="CY89" i="1"/>
  <c r="CY96" i="1"/>
  <c r="ET72" i="1"/>
  <c r="CC34" i="1"/>
  <c r="CK42" i="1"/>
  <c r="BV121" i="1"/>
  <c r="BV24" i="1"/>
  <c r="BY103" i="1"/>
  <c r="CC97" i="1"/>
  <c r="BY102" i="1"/>
  <c r="BV103" i="1"/>
  <c r="CY23" i="1"/>
  <c r="CW23" i="1"/>
  <c r="ET32" i="1"/>
  <c r="BY42" i="1"/>
  <c r="BY116" i="1"/>
  <c r="CY169" i="1"/>
  <c r="CZ170" i="1" s="1"/>
  <c r="CW18" i="1"/>
  <c r="BV114" i="1"/>
  <c r="BY11" i="1"/>
  <c r="BY79" i="1"/>
  <c r="BR78" i="1"/>
  <c r="BT29" i="1"/>
  <c r="ET78" i="1"/>
  <c r="CY17" i="1"/>
  <c r="BY186" i="1"/>
  <c r="BY185" i="1"/>
  <c r="CY115" i="1"/>
  <c r="CY100" i="1"/>
  <c r="BY8" i="1"/>
  <c r="BR125" i="1"/>
  <c r="BV32" i="1"/>
  <c r="BY27" i="1"/>
  <c r="CA25" i="1"/>
  <c r="BR18" i="1"/>
  <c r="DP3" i="1"/>
  <c r="DP39" i="1" s="1"/>
  <c r="ET158" i="1"/>
  <c r="BR188" i="1"/>
  <c r="BR150" i="1"/>
  <c r="BY171" i="1"/>
  <c r="BR98" i="1"/>
  <c r="CC30" i="1"/>
  <c r="CC10" i="1"/>
  <c r="CZ171" i="1"/>
  <c r="CZ157" i="1"/>
  <c r="BT24" i="1"/>
  <c r="ET23" i="1"/>
  <c r="BV108" i="1"/>
  <c r="BT35" i="1"/>
  <c r="BY157" i="1"/>
  <c r="BR35" i="1"/>
  <c r="CY57" i="1"/>
  <c r="CZ57" i="1" s="1"/>
  <c r="BR159" i="1"/>
  <c r="BV104" i="1"/>
  <c r="CY114" i="1"/>
  <c r="BV112" i="1"/>
  <c r="BV127" i="1"/>
  <c r="CY77" i="1"/>
  <c r="CZ78" i="1" s="1"/>
  <c r="BR94" i="1"/>
  <c r="BV31" i="1"/>
  <c r="CA8" i="1"/>
  <c r="BR20" i="1"/>
  <c r="BX44" i="1"/>
  <c r="BX81" i="1" s="1"/>
  <c r="BR187" i="1"/>
  <c r="BV13" i="1"/>
  <c r="BR89" i="1"/>
  <c r="BT21" i="1"/>
  <c r="CW159" i="1"/>
  <c r="BR160" i="1"/>
  <c r="BY46" i="1"/>
  <c r="BZ190" i="1"/>
  <c r="CW19" i="1"/>
  <c r="CW17" i="1"/>
  <c r="BY101" i="1"/>
  <c r="BR147" i="1"/>
  <c r="BY156" i="1"/>
  <c r="BY174" i="1"/>
  <c r="CY10" i="1"/>
  <c r="BY78" i="1"/>
  <c r="DH40" i="1"/>
  <c r="BR164" i="1"/>
  <c r="BV106" i="1"/>
  <c r="ET187" i="1"/>
  <c r="BR155" i="1"/>
  <c r="BR163" i="1"/>
  <c r="BR61" i="1"/>
  <c r="BY26" i="1"/>
  <c r="BY28" i="1"/>
  <c r="BY187" i="1"/>
  <c r="BY37" i="1"/>
  <c r="BY23" i="1"/>
  <c r="BR64" i="1"/>
  <c r="ET176" i="1"/>
  <c r="DM136" i="1"/>
  <c r="DM191" i="1" s="1"/>
  <c r="DP136" i="1"/>
  <c r="DP191" i="1" s="1"/>
  <c r="BR21" i="1"/>
  <c r="CC25" i="1"/>
  <c r="BY29" i="1"/>
  <c r="ET155" i="1"/>
  <c r="CW76" i="1"/>
  <c r="BR77" i="1"/>
  <c r="DL136" i="1"/>
  <c r="DL191" i="1" s="1"/>
  <c r="DH80" i="1"/>
  <c r="BR119" i="1"/>
  <c r="CA34" i="1"/>
  <c r="BR156" i="1"/>
  <c r="DS136" i="1"/>
  <c r="BR153" i="1"/>
  <c r="ET28" i="1"/>
  <c r="BR28" i="1"/>
  <c r="CY20" i="1"/>
  <c r="BY189" i="1"/>
  <c r="BY188" i="1"/>
  <c r="BV120" i="1"/>
  <c r="BY169" i="1"/>
  <c r="BY88" i="1"/>
  <c r="CZ139" i="1"/>
  <c r="BR154" i="1"/>
  <c r="BY162" i="1"/>
  <c r="CW118" i="1"/>
  <c r="CW28" i="1"/>
  <c r="CZ182" i="1"/>
  <c r="CC33" i="1"/>
  <c r="BR93" i="1"/>
  <c r="ET63" i="1"/>
  <c r="CC120" i="1"/>
  <c r="CY85" i="1"/>
  <c r="BR37" i="1"/>
  <c r="CZ141" i="1"/>
  <c r="ET149" i="1"/>
  <c r="CW97" i="1"/>
  <c r="CW130" i="1"/>
  <c r="ET168" i="1"/>
  <c r="CZ183" i="1"/>
  <c r="BS191" i="1"/>
  <c r="BV128" i="1"/>
  <c r="BX84" i="1"/>
  <c r="BX132" i="1" s="1"/>
  <c r="BS190" i="1"/>
  <c r="CC16" i="1"/>
  <c r="BR127" i="1"/>
  <c r="ET36" i="1"/>
  <c r="BR157" i="1"/>
  <c r="CY99" i="1"/>
  <c r="CZ79" i="1"/>
  <c r="BZ134" i="1"/>
  <c r="BR169" i="1"/>
  <c r="CZ186" i="1"/>
  <c r="CW185" i="1"/>
  <c r="ET185" i="1"/>
  <c r="BY177" i="1"/>
  <c r="CZ181" i="1"/>
  <c r="DR136" i="1"/>
  <c r="DR191" i="1" s="1"/>
  <c r="CC92" i="1"/>
  <c r="BQ136" i="1"/>
  <c r="BR137" i="1" s="1"/>
  <c r="CK40" i="1"/>
  <c r="DI191" i="1"/>
  <c r="BZ82" i="1"/>
  <c r="BX136" i="1"/>
  <c r="BX191" i="1" s="1"/>
  <c r="BS134" i="1"/>
  <c r="CC99" i="1"/>
  <c r="BV26" i="1"/>
  <c r="CZ59" i="1"/>
  <c r="CC35" i="1"/>
  <c r="BV95" i="1"/>
  <c r="ET20" i="1"/>
  <c r="BR186" i="1"/>
  <c r="CP136" i="1"/>
  <c r="BY92" i="1"/>
  <c r="BY82" i="1"/>
  <c r="BR134" i="1"/>
  <c r="ET153" i="1"/>
  <c r="BY134" i="1"/>
  <c r="BY7" i="1"/>
  <c r="BR8" i="1"/>
  <c r="BR177" i="1"/>
  <c r="CW106" i="1"/>
  <c r="DH190" i="1"/>
  <c r="ET109" i="1"/>
  <c r="ET118" i="1"/>
  <c r="ET103" i="1"/>
  <c r="CA101" i="1"/>
  <c r="BT101" i="1"/>
  <c r="BT90" i="1"/>
  <c r="CY111" i="1"/>
  <c r="DR84" i="1"/>
  <c r="CA100" i="1"/>
  <c r="CA97" i="1"/>
  <c r="CZ160" i="1"/>
  <c r="CY97" i="1"/>
  <c r="CY101" i="1"/>
  <c r="ET101" i="1"/>
  <c r="ET119" i="1"/>
  <c r="BT108" i="1"/>
  <c r="ET96" i="1"/>
  <c r="CA93" i="1"/>
  <c r="BT104" i="1"/>
  <c r="CW99" i="1"/>
  <c r="BT99" i="1"/>
  <c r="BT113" i="1"/>
  <c r="BT88" i="1"/>
  <c r="BT126" i="1"/>
  <c r="CA106" i="1"/>
  <c r="BT125" i="1"/>
  <c r="BT105" i="1"/>
  <c r="CA119" i="1"/>
  <c r="CA110" i="1"/>
  <c r="CW105" i="1"/>
  <c r="BT106" i="1"/>
  <c r="ET106" i="1"/>
  <c r="BT123" i="1"/>
  <c r="BT98" i="1"/>
  <c r="CA130" i="1"/>
  <c r="CY109" i="1"/>
  <c r="CY98" i="1"/>
  <c r="CA125" i="1"/>
  <c r="CA112" i="1"/>
  <c r="CA111" i="1"/>
  <c r="CW109" i="1"/>
  <c r="ET112" i="1"/>
  <c r="ET124" i="1"/>
  <c r="BT115" i="1"/>
  <c r="CA92" i="1"/>
  <c r="ET94" i="1"/>
  <c r="CA109" i="1"/>
  <c r="CA99" i="1"/>
  <c r="CA98" i="1"/>
  <c r="BT119" i="1"/>
  <c r="CA108" i="1"/>
  <c r="CY124" i="1"/>
  <c r="BT127" i="1"/>
  <c r="CY112" i="1"/>
  <c r="CA113" i="1"/>
  <c r="CW48" i="1"/>
  <c r="CW101" i="1"/>
  <c r="ET107" i="1"/>
  <c r="ET121" i="1"/>
  <c r="BT97" i="1"/>
  <c r="BT120" i="1"/>
  <c r="CW119" i="1"/>
  <c r="CA107" i="1"/>
  <c r="BT130" i="1"/>
  <c r="CA105" i="1"/>
  <c r="CA123" i="1"/>
  <c r="BT110" i="1"/>
  <c r="ET5" i="1"/>
  <c r="CZ187" i="1"/>
  <c r="CZ60" i="1"/>
  <c r="CZ151" i="1"/>
  <c r="BR49" i="1"/>
  <c r="BV6" i="1"/>
  <c r="BV9" i="1"/>
  <c r="CW9" i="1"/>
  <c r="ET9" i="1"/>
  <c r="CZ175" i="1"/>
  <c r="CZ174" i="1"/>
  <c r="CY5" i="1"/>
  <c r="BV10" i="1"/>
  <c r="CW5" i="1"/>
  <c r="CY86" i="1"/>
  <c r="CA86" i="1"/>
  <c r="CZ146" i="1"/>
  <c r="CP81" i="1" l="1"/>
  <c r="CY121" i="1"/>
  <c r="CZ155" i="1"/>
  <c r="CC118" i="1"/>
  <c r="CC128" i="1"/>
  <c r="DL44" i="1"/>
  <c r="DL80" i="1" s="1"/>
  <c r="CC31" i="1"/>
  <c r="BV17" i="1"/>
  <c r="BT31" i="1"/>
  <c r="DS3" i="1"/>
  <c r="DS39" i="1" s="1"/>
  <c r="DL3" i="1"/>
  <c r="DL39" i="1" s="1"/>
  <c r="CY103" i="1"/>
  <c r="DQ3" i="1"/>
  <c r="DQ40" i="1" s="1"/>
  <c r="ES24" i="1"/>
  <c r="BT9" i="1"/>
  <c r="DM44" i="1"/>
  <c r="DM81" i="1" s="1"/>
  <c r="CZ62" i="1"/>
  <c r="CC8" i="1"/>
  <c r="CZ161" i="1"/>
  <c r="CW21" i="1"/>
  <c r="BY112" i="1"/>
  <c r="BS42" i="1"/>
  <c r="CW20" i="1"/>
  <c r="CZ158" i="1"/>
  <c r="CY119" i="1"/>
  <c r="ET17" i="1"/>
  <c r="CA114" i="1"/>
  <c r="CC24" i="1"/>
  <c r="CW10" i="1"/>
  <c r="BY33" i="1"/>
  <c r="CC106" i="1"/>
  <c r="CY122" i="1"/>
  <c r="CZ188" i="1"/>
  <c r="BR115" i="1"/>
  <c r="CA118" i="1"/>
  <c r="BU84" i="1"/>
  <c r="BU131" i="1" s="1"/>
  <c r="CZ177" i="1"/>
  <c r="CW124" i="1"/>
  <c r="BT124" i="1"/>
  <c r="CW126" i="1"/>
  <c r="BT87" i="1"/>
  <c r="CY116" i="1"/>
  <c r="ET130" i="1"/>
  <c r="ET16" i="1"/>
  <c r="ET127" i="1"/>
  <c r="CA94" i="1"/>
  <c r="BT86" i="1"/>
  <c r="CA116" i="1"/>
  <c r="CA120" i="1"/>
  <c r="BT111" i="1"/>
  <c r="CY118" i="1"/>
  <c r="BT92" i="1"/>
  <c r="ET126" i="1"/>
  <c r="CY110" i="1"/>
  <c r="CA104" i="1"/>
  <c r="ET111" i="1"/>
  <c r="DR131" i="1"/>
  <c r="BV21" i="1"/>
  <c r="BS81" i="1"/>
  <c r="CA16" i="1"/>
  <c r="CY26" i="1"/>
  <c r="CZ176" i="1"/>
  <c r="BR148" i="1"/>
  <c r="CW127" i="1"/>
  <c r="BY126" i="1"/>
  <c r="CW8" i="1"/>
  <c r="CY117" i="1"/>
  <c r="CW91" i="1"/>
  <c r="BR26" i="1"/>
  <c r="CP80" i="1"/>
  <c r="BY59" i="1"/>
  <c r="BR170" i="1"/>
  <c r="BY118" i="1"/>
  <c r="ED24" i="1"/>
  <c r="ED23" i="1"/>
  <c r="BY90" i="1"/>
  <c r="CW115" i="1"/>
  <c r="BT8" i="1"/>
  <c r="CW111" i="1"/>
  <c r="BV124" i="1"/>
  <c r="CC113" i="1"/>
  <c r="BR168" i="1"/>
  <c r="CZ189" i="1"/>
  <c r="BR17" i="1"/>
  <c r="BR106" i="1"/>
  <c r="ET148" i="1"/>
  <c r="BT30" i="1"/>
  <c r="CW125" i="1"/>
  <c r="BY62" i="1"/>
  <c r="BY58" i="1"/>
  <c r="CC129" i="1"/>
  <c r="ET8" i="1"/>
  <c r="BY87" i="1"/>
  <c r="BY166" i="1"/>
  <c r="BV92" i="1"/>
  <c r="ET10" i="1"/>
  <c r="BR105" i="1"/>
  <c r="BR11" i="1"/>
  <c r="BY122" i="1"/>
  <c r="CC90" i="1"/>
  <c r="BY99" i="1"/>
  <c r="CC111" i="1"/>
  <c r="BU42" i="1"/>
  <c r="ET86" i="1"/>
  <c r="CW89" i="1"/>
  <c r="CA115" i="1"/>
  <c r="ET91" i="1"/>
  <c r="CY104" i="1"/>
  <c r="ET92" i="1"/>
  <c r="BT117" i="1"/>
  <c r="CY123" i="1"/>
  <c r="ET157" i="1"/>
  <c r="CY128" i="1"/>
  <c r="CY28" i="1"/>
  <c r="BR149" i="1"/>
  <c r="BR16" i="1"/>
  <c r="BY145" i="1"/>
  <c r="BR171" i="1"/>
  <c r="ET170" i="1"/>
  <c r="CC103" i="1"/>
  <c r="ET188" i="1"/>
  <c r="BR158" i="1"/>
  <c r="CY47" i="1"/>
  <c r="CZ63" i="1"/>
  <c r="BZ80" i="1"/>
  <c r="BV94" i="1"/>
  <c r="BY34" i="1"/>
  <c r="ES22" i="1"/>
  <c r="BY167" i="1"/>
  <c r="BR116" i="1"/>
  <c r="BT27" i="1"/>
  <c r="CW92" i="1"/>
  <c r="CC95" i="1"/>
  <c r="BY123" i="1"/>
  <c r="BY94" i="1"/>
  <c r="BR123" i="1"/>
  <c r="CY88" i="1"/>
  <c r="BY91" i="1"/>
  <c r="CW104" i="1"/>
  <c r="ET104" i="1"/>
  <c r="BR34" i="1"/>
  <c r="CY35" i="1"/>
  <c r="CW36" i="1"/>
  <c r="BT19" i="1"/>
  <c r="CC21" i="1"/>
  <c r="CW87" i="1"/>
  <c r="ET97" i="1"/>
  <c r="BY36" i="1"/>
  <c r="BY127" i="1"/>
  <c r="ET31" i="1"/>
  <c r="BT107" i="1"/>
  <c r="CY126" i="1"/>
  <c r="BT94" i="1"/>
  <c r="BR47" i="1"/>
  <c r="CW47" i="1"/>
  <c r="BY107" i="1"/>
  <c r="BY105" i="1"/>
  <c r="CW85" i="1"/>
  <c r="CY82" i="1" s="1"/>
  <c r="CA27" i="1"/>
  <c r="BR120" i="1"/>
  <c r="ET24" i="1"/>
  <c r="CY14" i="1"/>
  <c r="CZ15" i="1" s="1"/>
  <c r="CZ147" i="1"/>
  <c r="BV29" i="1"/>
  <c r="CZ178" i="1"/>
  <c r="CZ185" i="1"/>
  <c r="CA33" i="1"/>
  <c r="CY29" i="1"/>
  <c r="CY7" i="1"/>
  <c r="CZ145" i="1"/>
  <c r="ET115" i="1"/>
  <c r="BV98" i="1"/>
  <c r="CW31" i="1"/>
  <c r="BR76" i="1"/>
  <c r="BR32" i="1"/>
  <c r="BY18" i="1"/>
  <c r="BR111" i="1"/>
  <c r="BY150" i="1"/>
  <c r="BY106" i="1"/>
  <c r="CY32" i="1"/>
  <c r="CW128" i="1"/>
  <c r="CC126" i="1"/>
  <c r="BT22" i="1"/>
  <c r="CW123" i="1"/>
  <c r="CC9" i="1"/>
  <c r="CC23" i="1"/>
  <c r="BR124" i="1"/>
  <c r="BV107" i="1"/>
  <c r="BV37" i="1"/>
  <c r="CA29" i="1"/>
  <c r="BY128" i="1"/>
  <c r="CY21" i="1"/>
  <c r="BR75" i="1"/>
  <c r="CW75" i="1"/>
  <c r="ET93" i="1"/>
  <c r="BT116" i="1"/>
  <c r="BT129" i="1"/>
  <c r="CA126" i="1"/>
  <c r="CA127" i="1"/>
  <c r="CW86" i="1"/>
  <c r="CA122" i="1"/>
  <c r="ET108" i="1"/>
  <c r="CA89" i="1"/>
  <c r="BT122" i="1"/>
  <c r="CW93" i="1"/>
  <c r="BT93" i="1"/>
  <c r="ET120" i="1"/>
  <c r="ET87" i="1"/>
  <c r="ET123" i="1"/>
  <c r="ET7" i="1"/>
  <c r="CW108" i="1"/>
  <c r="CY30" i="1"/>
  <c r="BY146" i="1"/>
  <c r="CA30" i="1"/>
  <c r="BV87" i="1"/>
  <c r="CA32" i="1"/>
  <c r="BR60" i="1"/>
  <c r="CY125" i="1"/>
  <c r="CA15" i="1"/>
  <c r="BV30" i="1"/>
  <c r="BV36" i="1"/>
  <c r="ET59" i="1"/>
  <c r="BV97" i="1"/>
  <c r="CZ149" i="1"/>
  <c r="CY93" i="1"/>
  <c r="CC94" i="1"/>
  <c r="CY76" i="1"/>
  <c r="CZ76" i="1" s="1"/>
  <c r="CY105" i="1"/>
  <c r="CW7" i="1"/>
  <c r="BR58" i="1"/>
  <c r="BR63" i="1"/>
  <c r="BY147" i="1"/>
  <c r="CW120" i="1"/>
  <c r="BY155" i="1"/>
  <c r="BY154" i="1"/>
  <c r="BR73" i="1"/>
  <c r="CZ184" i="1"/>
  <c r="BR72" i="1"/>
  <c r="ET62" i="1"/>
  <c r="CA128" i="1"/>
  <c r="CY127" i="1"/>
  <c r="CA36" i="1"/>
  <c r="CQ1" i="1"/>
  <c r="CW16" i="1"/>
  <c r="CC91" i="1"/>
  <c r="ED71" i="1"/>
  <c r="ED81" i="1" s="1"/>
  <c r="BR36" i="1"/>
  <c r="BV22" i="1"/>
  <c r="DN39" i="1"/>
  <c r="ET85" i="1"/>
  <c r="CY27" i="1"/>
  <c r="CZ27" i="1" s="1"/>
  <c r="ET114" i="1"/>
  <c r="BY108" i="1"/>
  <c r="ET162" i="1"/>
  <c r="DM3" i="1"/>
  <c r="DM39" i="1" s="1"/>
  <c r="CP39" i="1"/>
  <c r="BR38" i="1"/>
  <c r="ET26" i="1"/>
  <c r="ET33" i="1"/>
  <c r="DI81" i="1"/>
  <c r="CW24" i="1"/>
  <c r="BY158" i="1"/>
  <c r="BT18" i="1"/>
  <c r="CY22" i="1"/>
  <c r="BY113" i="1"/>
  <c r="BR173" i="1"/>
  <c r="BY93" i="1"/>
  <c r="CZ166" i="1"/>
  <c r="DP44" i="1"/>
  <c r="DP81" i="1" s="1"/>
  <c r="BY114" i="1"/>
  <c r="CZ75" i="1"/>
  <c r="CC27" i="1"/>
  <c r="BR22" i="1"/>
  <c r="CZ140" i="1"/>
  <c r="BV115" i="1"/>
  <c r="DN80" i="1"/>
  <c r="CZ72" i="1"/>
  <c r="CC123" i="1"/>
  <c r="CA35" i="1"/>
  <c r="CA37" i="1"/>
  <c r="CW117" i="1"/>
  <c r="CW90" i="1"/>
  <c r="CZ148" i="1"/>
  <c r="BR101" i="1"/>
  <c r="CY11" i="1"/>
  <c r="ET128" i="1"/>
  <c r="CZ61" i="1"/>
  <c r="DS44" i="1"/>
  <c r="CC20" i="1"/>
  <c r="ET34" i="1"/>
  <c r="ET37" i="1"/>
  <c r="BT13" i="1"/>
  <c r="CZ173" i="1"/>
  <c r="BR48" i="1"/>
  <c r="CZ152" i="1"/>
  <c r="BR118" i="1"/>
  <c r="CC107" i="1"/>
  <c r="CC122" i="1"/>
  <c r="CW57" i="1"/>
  <c r="BV90" i="1"/>
  <c r="CB4" i="1"/>
  <c r="BN3" i="1"/>
  <c r="BZ4" i="1"/>
  <c r="BS4" i="1"/>
  <c r="BL3" i="1"/>
  <c r="CY106" i="1"/>
  <c r="CA121" i="1"/>
  <c r="BQ84" i="1"/>
  <c r="BQ132" i="1" s="1"/>
  <c r="ET113" i="1"/>
  <c r="CJ81" i="1"/>
  <c r="CW27" i="1"/>
  <c r="BY76" i="1"/>
  <c r="BS82" i="1"/>
  <c r="BR176" i="1"/>
  <c r="CW30" i="1"/>
  <c r="CX31" i="1" s="1"/>
  <c r="BT14" i="1"/>
  <c r="CW26" i="1"/>
  <c r="ET35" i="1"/>
  <c r="BY149" i="1"/>
  <c r="BY168" i="1"/>
  <c r="BY32" i="1"/>
  <c r="CW33" i="1"/>
  <c r="CX34" i="1" s="1"/>
  <c r="BY165" i="1"/>
  <c r="CW110" i="1"/>
  <c r="ET79" i="1"/>
  <c r="CZ154" i="1"/>
  <c r="CY167" i="1"/>
  <c r="CZ168" i="1" s="1"/>
  <c r="BR29" i="1"/>
  <c r="BY121" i="1"/>
  <c r="BR174" i="1"/>
  <c r="BY31" i="1"/>
  <c r="BV15" i="1"/>
  <c r="BU4" i="1"/>
  <c r="CW166" i="1"/>
  <c r="ET166" i="1"/>
  <c r="ET161" i="1"/>
  <c r="CW161" i="1"/>
  <c r="CW164" i="1"/>
  <c r="ET164" i="1"/>
  <c r="BZ102" i="1"/>
  <c r="BS102" i="1"/>
  <c r="CZ172" i="1"/>
  <c r="ET48" i="1"/>
  <c r="CY107" i="1"/>
  <c r="CY91" i="1"/>
  <c r="CZ91" i="1" s="1"/>
  <c r="ET117" i="1"/>
  <c r="ET129" i="1"/>
  <c r="ET89" i="1"/>
  <c r="BR82" i="1"/>
  <c r="BR86" i="1"/>
  <c r="ET100" i="1"/>
  <c r="ET116" i="1"/>
  <c r="ET122" i="1"/>
  <c r="CC96" i="1"/>
  <c r="BV25" i="1"/>
  <c r="CK80" i="1"/>
  <c r="BR90" i="1"/>
  <c r="CW25" i="1"/>
  <c r="CX25" i="1" s="1"/>
  <c r="CY8" i="1"/>
  <c r="CZ8" i="1" s="1"/>
  <c r="CB84" i="1"/>
  <c r="CB131" i="1" s="1"/>
  <c r="BT28" i="1"/>
  <c r="CY16" i="1"/>
  <c r="CZ17" i="1" s="1"/>
  <c r="BY89" i="1"/>
  <c r="CY34" i="1"/>
  <c r="CY162" i="1"/>
  <c r="CZ163" i="1" s="1"/>
  <c r="BV88" i="1"/>
  <c r="BY148" i="1"/>
  <c r="ET14" i="1"/>
  <c r="BR31" i="1"/>
  <c r="CY37" i="1"/>
  <c r="ET30" i="1"/>
  <c r="CW116" i="1"/>
  <c r="BR152" i="1"/>
  <c r="BR71" i="1"/>
  <c r="ET29" i="1"/>
  <c r="CW13" i="1"/>
  <c r="CY108" i="1"/>
  <c r="CY19" i="1"/>
  <c r="CW35" i="1"/>
  <c r="CX36" i="1" s="1"/>
  <c r="CW38" i="1"/>
  <c r="ET189" i="1"/>
  <c r="BR165" i="1"/>
  <c r="BR87" i="1"/>
  <c r="CC7" i="1"/>
  <c r="CW129" i="1"/>
  <c r="BR33" i="1"/>
  <c r="CW70" i="1"/>
  <c r="ET151" i="1"/>
  <c r="CC15" i="1"/>
  <c r="CW22" i="1"/>
  <c r="CX22" i="1" s="1"/>
  <c r="ET15" i="1"/>
  <c r="CA19" i="1"/>
  <c r="CW11" i="1"/>
  <c r="CX11" i="1" s="1"/>
  <c r="BR23" i="1"/>
  <c r="CC11" i="1"/>
  <c r="BV113" i="1"/>
  <c r="BY152" i="1"/>
  <c r="BR112" i="1"/>
  <c r="ET38" i="1"/>
  <c r="BR130" i="1"/>
  <c r="ET57" i="1"/>
  <c r="BY124" i="1"/>
  <c r="BV116" i="1"/>
  <c r="BR167" i="1"/>
  <c r="BV126" i="1"/>
  <c r="BY153" i="1"/>
  <c r="BY60" i="1"/>
  <c r="BR161" i="1"/>
  <c r="BR14" i="1"/>
  <c r="ET60" i="1"/>
  <c r="CA23" i="1"/>
  <c r="CA11" i="1"/>
  <c r="CY48" i="1"/>
  <c r="CZ49" i="1" s="1"/>
  <c r="BT37" i="1"/>
  <c r="BV89" i="1"/>
  <c r="BV16" i="1"/>
  <c r="CC124" i="1"/>
  <c r="BR99" i="1"/>
  <c r="BR91" i="1"/>
  <c r="BV129" i="1"/>
  <c r="BJ3" i="1"/>
  <c r="BQ4" i="1"/>
  <c r="BX4" i="1"/>
  <c r="DR4" i="1"/>
  <c r="DR3" i="1" s="1"/>
  <c r="DR40" i="1" s="1"/>
  <c r="BX12" i="1"/>
  <c r="BQ12" i="1"/>
  <c r="BS95" i="1"/>
  <c r="BZ95" i="1"/>
  <c r="BR43" i="1"/>
  <c r="ET88" i="1"/>
  <c r="CC29" i="1"/>
  <c r="CY36" i="1"/>
  <c r="BY164" i="1"/>
  <c r="BY109" i="1"/>
  <c r="CY24" i="1"/>
  <c r="CZ25" i="1" s="1"/>
  <c r="BV11" i="1"/>
  <c r="BR117" i="1"/>
  <c r="CW100" i="1"/>
  <c r="BY75" i="1"/>
  <c r="CZ47" i="1"/>
  <c r="CA28" i="1"/>
  <c r="ET22" i="1"/>
  <c r="BV101" i="1"/>
  <c r="BQ44" i="1"/>
  <c r="BQ80" i="1" s="1"/>
  <c r="BR42" i="1"/>
  <c r="CW114" i="1"/>
  <c r="CW122" i="1"/>
  <c r="ET90" i="1"/>
  <c r="ET125" i="1"/>
  <c r="CY113" i="1"/>
  <c r="CZ113" i="1" s="1"/>
  <c r="ET110" i="1"/>
  <c r="ET98" i="1"/>
  <c r="BY176" i="1"/>
  <c r="CP44" i="1"/>
  <c r="CJ39" i="1"/>
  <c r="ET27" i="1"/>
  <c r="CJ40" i="1"/>
  <c r="ET21" i="1"/>
  <c r="BY163" i="1"/>
  <c r="CY18" i="1"/>
  <c r="CZ18" i="1" s="1"/>
  <c r="BR59" i="1"/>
  <c r="CW14" i="1"/>
  <c r="CX15" i="1" s="1"/>
  <c r="BT26" i="1"/>
  <c r="CW37" i="1"/>
  <c r="CX38" i="1" s="1"/>
  <c r="ET58" i="1"/>
  <c r="BR79" i="1"/>
  <c r="BY175" i="1"/>
  <c r="ET70" i="1"/>
  <c r="BR62" i="1"/>
  <c r="BV123" i="1"/>
  <c r="BY173" i="1"/>
  <c r="ET11" i="1"/>
  <c r="BY48" i="1"/>
  <c r="BT16" i="1"/>
  <c r="BY115" i="1"/>
  <c r="CY38" i="1"/>
  <c r="BY61" i="1"/>
  <c r="BR175" i="1"/>
  <c r="BR151" i="1"/>
  <c r="ET175" i="1"/>
  <c r="BR46" i="1"/>
  <c r="BY73" i="1"/>
  <c r="ET173" i="1"/>
  <c r="DQ44" i="1"/>
  <c r="DQ81" i="1" s="1"/>
  <c r="CW162" i="1"/>
  <c r="BR162" i="1"/>
  <c r="BZ6" i="1"/>
  <c r="BS6" i="1"/>
  <c r="BM3" i="1"/>
  <c r="BY172" i="1"/>
  <c r="BV117" i="1"/>
  <c r="BR92" i="1"/>
  <c r="BR100" i="1"/>
  <c r="CX17" i="1"/>
  <c r="CZ31" i="1"/>
  <c r="ED191" i="1"/>
  <c r="ED190" i="1"/>
  <c r="ED80" i="1"/>
  <c r="ED40" i="1"/>
  <c r="CZ22" i="1"/>
  <c r="DQ190" i="1"/>
  <c r="CZ23" i="1"/>
  <c r="CX16" i="1"/>
  <c r="DL81" i="1"/>
  <c r="DM80" i="1"/>
  <c r="CJ80" i="1"/>
  <c r="CX24" i="1"/>
  <c r="CZ130" i="1"/>
  <c r="DP80" i="1"/>
  <c r="CZ14" i="1"/>
  <c r="CZ169" i="1"/>
  <c r="CZ93" i="1"/>
  <c r="CZ71" i="1"/>
  <c r="CA88" i="1"/>
  <c r="CZ94" i="1"/>
  <c r="CZ64" i="1"/>
  <c r="CZ21" i="1"/>
  <c r="CZ90" i="1"/>
  <c r="BX42" i="1"/>
  <c r="DS40" i="1"/>
  <c r="BQ134" i="1"/>
  <c r="CY136" i="1"/>
  <c r="CY191" i="1" s="1"/>
  <c r="CZ120" i="1"/>
  <c r="BX134" i="1"/>
  <c r="CZ100" i="1"/>
  <c r="CZ126" i="1"/>
  <c r="CZ9" i="1"/>
  <c r="CZ127" i="1"/>
  <c r="DL190" i="1"/>
  <c r="DP190" i="1"/>
  <c r="CZ73" i="1"/>
  <c r="CX32" i="1"/>
  <c r="CZ11" i="1"/>
  <c r="CX18" i="1"/>
  <c r="CZ162" i="1"/>
  <c r="CZ92" i="1"/>
  <c r="BW191" i="1"/>
  <c r="CZ30" i="1"/>
  <c r="CX19" i="1"/>
  <c r="CZ116" i="1"/>
  <c r="CZ33" i="1"/>
  <c r="CZ109" i="1"/>
  <c r="CY87" i="1"/>
  <c r="CZ88" i="1" s="1"/>
  <c r="BQ191" i="1"/>
  <c r="BP191" i="1" s="1"/>
  <c r="CZ159" i="1"/>
  <c r="CZ108" i="1"/>
  <c r="BX80" i="1"/>
  <c r="BW80" i="1" s="1"/>
  <c r="DR80" i="1"/>
  <c r="DM190" i="1"/>
  <c r="CY80" i="1"/>
  <c r="DP40" i="1"/>
  <c r="CX8" i="1"/>
  <c r="CZ10" i="1"/>
  <c r="CX9" i="1"/>
  <c r="CZ89" i="1"/>
  <c r="CZ129" i="1"/>
  <c r="CZ97" i="1"/>
  <c r="BW81" i="1"/>
  <c r="CZ115" i="1"/>
  <c r="CY44" i="1"/>
  <c r="BQ82" i="1"/>
  <c r="CY81" i="1"/>
  <c r="BQ190" i="1"/>
  <c r="BP190" i="1" s="1"/>
  <c r="CZ34" i="1"/>
  <c r="DM40" i="1"/>
  <c r="BX131" i="1"/>
  <c r="BX190" i="1"/>
  <c r="BW190" i="1" s="1"/>
  <c r="DQ39" i="1"/>
  <c r="CW80" i="1"/>
  <c r="CZ119" i="1"/>
  <c r="CZ28" i="1"/>
  <c r="BX82" i="1"/>
  <c r="CW136" i="1"/>
  <c r="CW190" i="1" s="1"/>
  <c r="CZ26" i="1"/>
  <c r="CX29" i="1"/>
  <c r="CZ32" i="1"/>
  <c r="CZ58" i="1"/>
  <c r="DL40" i="1"/>
  <c r="BU132" i="1"/>
  <c r="BP132" i="1" s="1"/>
  <c r="CY134" i="1"/>
  <c r="CX134" i="1"/>
  <c r="DR190" i="1"/>
  <c r="CZ99" i="1"/>
  <c r="CX21" i="1"/>
  <c r="CX20" i="1"/>
  <c r="CZ123" i="1"/>
  <c r="CZ124" i="1"/>
  <c r="CZ111" i="1"/>
  <c r="CZ112" i="1"/>
  <c r="BQ131" i="1"/>
  <c r="CZ117" i="1"/>
  <c r="CZ101" i="1"/>
  <c r="CZ105" i="1"/>
  <c r="CZ98" i="1"/>
  <c r="CZ104" i="1"/>
  <c r="CZ110" i="1"/>
  <c r="CZ118" i="1"/>
  <c r="CZ122" i="1"/>
  <c r="CZ128" i="1"/>
  <c r="CX42" i="1"/>
  <c r="CX82" i="1"/>
  <c r="CY42" i="1"/>
  <c r="CW81" i="1"/>
  <c r="CZ125" i="1"/>
  <c r="CW44" i="1"/>
  <c r="CZ121" i="1"/>
  <c r="CZ86" i="1"/>
  <c r="BQ42" i="1"/>
  <c r="CX10" i="1"/>
  <c r="CW84" i="1"/>
  <c r="CW131" i="1"/>
  <c r="CW132" i="1"/>
  <c r="CZ106" i="1" l="1"/>
  <c r="ED39" i="1"/>
  <c r="DN40" i="1" s="1"/>
  <c r="BQ81" i="1"/>
  <c r="BP81" i="1" s="1"/>
  <c r="CZ35" i="1"/>
  <c r="CZ29" i="1"/>
  <c r="CX14" i="1"/>
  <c r="CZ36" i="1"/>
  <c r="BP80" i="1"/>
  <c r="DR39" i="1"/>
  <c r="CX35" i="1"/>
  <c r="CB132" i="1"/>
  <c r="CX26" i="1"/>
  <c r="CZ77" i="1"/>
  <c r="CX30" i="1"/>
  <c r="CZ114" i="1"/>
  <c r="CZ38" i="1"/>
  <c r="CX23" i="1"/>
  <c r="CZ24" i="1"/>
  <c r="BZ84" i="1"/>
  <c r="BZ132" i="1" s="1"/>
  <c r="BY132" i="1"/>
  <c r="CZ19" i="1"/>
  <c r="CZ37" i="1"/>
  <c r="BY191" i="1"/>
  <c r="CX27" i="1"/>
  <c r="BY80" i="1"/>
  <c r="CC42" i="1" s="1"/>
  <c r="CX37" i="1"/>
  <c r="CW12" i="1"/>
  <c r="BR12" i="1"/>
  <c r="BR13" i="1"/>
  <c r="ET12" i="1"/>
  <c r="BR2" i="1"/>
  <c r="BR1" i="1"/>
  <c r="CW4" i="1"/>
  <c r="BR5" i="1"/>
  <c r="BQ3" i="1"/>
  <c r="BP39" i="1" s="1"/>
  <c r="CY12" i="1"/>
  <c r="BY12" i="1"/>
  <c r="BY13" i="1"/>
  <c r="CA5" i="1"/>
  <c r="BZ3" i="1"/>
  <c r="BY131" i="1"/>
  <c r="CC82" i="1" s="1"/>
  <c r="ET6" i="1"/>
  <c r="BT6" i="1"/>
  <c r="CW6" i="1"/>
  <c r="BY190" i="1"/>
  <c r="CC134" i="1" s="1"/>
  <c r="CX28" i="1"/>
  <c r="BY81" i="1"/>
  <c r="CA6" i="1"/>
  <c r="CA7" i="1"/>
  <c r="CY6" i="1"/>
  <c r="BT7" i="1"/>
  <c r="CA95" i="1"/>
  <c r="CA96" i="1"/>
  <c r="CY95" i="1"/>
  <c r="CW102" i="1"/>
  <c r="BT102" i="1"/>
  <c r="ET102" i="1"/>
  <c r="BT103" i="1"/>
  <c r="ET4" i="1"/>
  <c r="BV1" i="1"/>
  <c r="BV2" i="1"/>
  <c r="BU3" i="1"/>
  <c r="BV5" i="1"/>
  <c r="CC5" i="1"/>
  <c r="CB3" i="1"/>
  <c r="CZ20" i="1"/>
  <c r="CZ107" i="1"/>
  <c r="CZ48" i="1"/>
  <c r="CZ16" i="1"/>
  <c r="CX33" i="1"/>
  <c r="CZ167" i="1"/>
  <c r="DQ80" i="1"/>
  <c r="BS84" i="1"/>
  <c r="ET95" i="1"/>
  <c r="BT95" i="1"/>
  <c r="BT96" i="1"/>
  <c r="CW95" i="1"/>
  <c r="BX3" i="1"/>
  <c r="BW39" i="1" s="1"/>
  <c r="BZ1" i="1"/>
  <c r="BY5" i="1"/>
  <c r="BY1" i="1"/>
  <c r="CY4" i="1"/>
  <c r="CY102" i="1"/>
  <c r="CA103" i="1"/>
  <c r="CA102" i="1"/>
  <c r="BT1" i="1"/>
  <c r="BT5" i="1"/>
  <c r="BS3" i="1"/>
  <c r="BT2" i="1"/>
  <c r="BW132" i="1"/>
  <c r="DN191" i="1"/>
  <c r="DN81" i="1"/>
  <c r="FD4" i="1"/>
  <c r="CY131" i="1"/>
  <c r="CY84" i="1"/>
  <c r="FE4" i="1" s="1"/>
  <c r="CY132" i="1"/>
  <c r="CY190" i="1"/>
  <c r="CZ87" i="1"/>
  <c r="CW134" i="1"/>
  <c r="FF4" i="1"/>
  <c r="CW191" i="1"/>
  <c r="CW42" i="1"/>
  <c r="CW82" i="1"/>
  <c r="BZ131" i="1" l="1"/>
  <c r="BW131" i="1" s="1"/>
  <c r="BS1" i="1"/>
  <c r="CY3" i="1"/>
  <c r="CZ5" i="1"/>
  <c r="BU40" i="1"/>
  <c r="BP40" i="1" s="1"/>
  <c r="BU39" i="1"/>
  <c r="CZ96" i="1"/>
  <c r="CZ95" i="1"/>
  <c r="CZ7" i="1"/>
  <c r="CZ6" i="1"/>
  <c r="BX1" i="1"/>
  <c r="BS131" i="1"/>
  <c r="BP131" i="1" s="1"/>
  <c r="BS132" i="1"/>
  <c r="CB40" i="1"/>
  <c r="CB39" i="1"/>
  <c r="CX1" i="1"/>
  <c r="CY1" i="1"/>
  <c r="CX5" i="1"/>
  <c r="CW3" i="1"/>
  <c r="BX40" i="1"/>
  <c r="BW40" i="1"/>
  <c r="BX39" i="1"/>
  <c r="BS40" i="1"/>
  <c r="BS39" i="1"/>
  <c r="BY39" i="1"/>
  <c r="CC1" i="1" s="1"/>
  <c r="BY40" i="1"/>
  <c r="BU1" i="1"/>
  <c r="CX6" i="1"/>
  <c r="CX7" i="1"/>
  <c r="BZ40" i="1"/>
  <c r="BZ39" i="1"/>
  <c r="CZ13" i="1"/>
  <c r="CZ12" i="1"/>
  <c r="BQ1" i="1"/>
  <c r="CZ102" i="1"/>
  <c r="CZ103" i="1"/>
  <c r="BQ40" i="1"/>
  <c r="BQ39" i="1"/>
  <c r="CX13" i="1"/>
  <c r="CX12" i="1"/>
  <c r="EX4" i="1"/>
  <c r="EZ4" i="1"/>
  <c r="FB4" i="1"/>
  <c r="CW1" i="1" l="1"/>
  <c r="CW39" i="1"/>
  <c r="FC4" i="1"/>
  <c r="CW40" i="1"/>
  <c r="CY39" i="1"/>
  <c r="CY40" i="1"/>
  <c r="EV4" i="1" l="1"/>
</calcChain>
</file>

<file path=xl/sharedStrings.xml><?xml version="1.0" encoding="utf-8"?>
<sst xmlns="http://schemas.openxmlformats.org/spreadsheetml/2006/main" count="7429" uniqueCount="7188">
  <si>
    <t>/ES:XCME</t>
  </si>
  <si>
    <t>OPEN_INT</t>
  </si>
  <si>
    <t>QQQ</t>
  </si>
  <si>
    <t>/NQ:XCME</t>
  </si>
  <si>
    <t>0DTE</t>
  </si>
  <si>
    <t>NEXT_FRIDAY</t>
  </si>
  <si>
    <t>NEXT_OPEX</t>
  </si>
  <si>
    <t>VOLUME</t>
  </si>
  <si>
    <t>ABS</t>
  </si>
  <si>
    <t>SPX</t>
  </si>
  <si>
    <t>SPXW</t>
  </si>
  <si>
    <t>GAMMA</t>
  </si>
  <si>
    <t>NET OI</t>
  </si>
  <si>
    <t>SPY</t>
  </si>
  <si>
    <t>NDX</t>
  </si>
  <si>
    <t>NET VOL</t>
  </si>
  <si>
    <t>VOL C-P</t>
  </si>
  <si>
    <t>CALL</t>
  </si>
  <si>
    <t>PUTS</t>
  </si>
  <si>
    <t>DELTA</t>
  </si>
  <si>
    <t>DEX</t>
  </si>
  <si>
    <t>IMPL_VOL</t>
  </si>
  <si>
    <t>E:\GEX\Sync</t>
  </si>
  <si>
    <t xml:space="preserve">=SI(Put_Last &lt;= Put_Bid + (Put_Ask - Put_Bid)*0.4, "BUY", SI(Put_Last &gt;= Put_Bid + (Put_Ask - Put_Bid)*0.6, "SELL", "NEUTRAL"))
</t>
  </si>
  <si>
    <t xml:space="preserve">=SI(Call_Last &gt;= Call_Bid + (Call_Ask - Call_Bid)*0.6, "BUY", SI(Call_Last &lt;= Call_Bid + (Call_Ask - Call_Bid)*0.4, "SELL", "NEUTRAL"))
</t>
  </si>
  <si>
    <t>LAST</t>
  </si>
  <si>
    <t>BID</t>
  </si>
  <si>
    <t>ASK</t>
  </si>
  <si>
    <t>C_VOLPRESS</t>
  </si>
  <si>
    <t>P_VOLPRESS</t>
  </si>
  <si>
    <t>BUYCAL</t>
  </si>
  <si>
    <t>BUYPUT</t>
  </si>
  <si>
    <t>VOLPRESS</t>
  </si>
  <si>
    <t>BUYSEL</t>
  </si>
  <si>
    <t>PREM_VOLPRE</t>
  </si>
  <si>
    <t>PREM_BUYSELL</t>
  </si>
  <si>
    <t>GAMM_BUYSELL</t>
  </si>
  <si>
    <t>spy</t>
  </si>
  <si>
    <t>qqq</t>
  </si>
  <si>
    <t>spx</t>
  </si>
  <si>
    <t>ndx</t>
  </si>
  <si>
    <t>DELTA_BUYSELL</t>
  </si>
  <si>
    <t>CALLFLOW</t>
  </si>
  <si>
    <t>PUTFLOW</t>
  </si>
  <si>
    <t>CALLPRES</t>
  </si>
  <si>
    <t>BUYPRESS</t>
  </si>
  <si>
    <t>NETPRESS</t>
  </si>
  <si>
    <t>NETFLOW</t>
  </si>
  <si>
    <t>PREM_FLOW</t>
  </si>
  <si>
    <t>PREM_PRESS</t>
  </si>
  <si>
    <t>GAMMA_FLOW</t>
  </si>
  <si>
    <t>DELTA_FLOW</t>
  </si>
  <si>
    <t>spy_flow</t>
  </si>
  <si>
    <t>qqq_flow</t>
  </si>
  <si>
    <t>spx_flow</t>
  </si>
  <si>
    <t>ndx_flow</t>
  </si>
  <si>
    <t>CALLINVENTORY</t>
  </si>
  <si>
    <t>PUT INVENTORY</t>
  </si>
  <si>
    <t>NDXP</t>
  </si>
  <si>
    <t>GEX-OI</t>
  </si>
  <si>
    <t>2025-05-06 20:38:00,575,,562,,550,,558.5,,,,,570,550,562,557</t>
  </si>
  <si>
    <t>2025-05-06 20:38:00,490,,485,,470,,480,,,,,490,480,478,482</t>
  </si>
  <si>
    <t>2025-05-06 20:38:00,5800,,5730,,,5700,5650,,,,,5730,5450,5610,5650</t>
  </si>
  <si>
    <t>2025-05-06 20:38:00,20300,,,,19475,,19925,,,,,19900,19300,19500,19400</t>
  </si>
  <si>
    <t>2025-05-06 20:38:00,1642116514.86613,8145757014.85349,-954593.329892447,789279,-389370.608004068,1672982.09,-22350.083694162,760031.94</t>
  </si>
  <si>
    <t>2025-05-06 20:38:00,1697492209.32059,3054113030.73949,-210350.169448257,-803986,-517274.00032439,-2060354.12,-67338.9394445466,-745412.17</t>
  </si>
  <si>
    <t>2025-05-06 20:38:00,3182145.45834109,55327.1576967304,32307204.3537937,1273148,702728980.748635,25194988.11,-1516.05014519439,487452.35</t>
  </si>
  <si>
    <t>2025-05-06 20:38:00,28809461.4781377,33532.8464350052,-5323.04162143163,-991,-736921.680334494,-150169.71,-4.77950040547163,-543.270000000001</t>
  </si>
  <si>
    <t>2025-05-06 20:39:00,575,,562,,550,,558.5,,,,,570,550,562,557</t>
  </si>
  <si>
    <t>2025-05-06 20:39:00,490,,485,,470,,480,,,,,490,480,478,482</t>
  </si>
  <si>
    <t>2025-05-06 20:39:00,5800,,5730,,,5700,5650,,,,,5730,5450,5610,5650</t>
  </si>
  <si>
    <t>2025-05-06 20:39:00,20300,,,,19475,,19925,,,,,19900,19300,19500,19400</t>
  </si>
  <si>
    <t>2025-05-06 20:39:00,1634914723.57749,7998065258.39269,0,0,0,0,0,0</t>
  </si>
  <si>
    <t>2025-05-06 20:39:00,1692890493.27376,3030983119.64428,0,0,0,0,0,0</t>
  </si>
  <si>
    <t>2025-05-06 20:39:00,3245173.90053099,47450.6798041281,-495.283333333333,-33,-4830.46516666666,-233.62,0.044358182509713,-3.52</t>
  </si>
  <si>
    <t>2025-05-06 20:39:00,28811063.0766514,33336.1970175662,0,0,0,0,0,0</t>
  </si>
  <si>
    <t>2025-05-06 20:40:00,575,,562,,550,,558.5,,,,,570,550,562,557</t>
  </si>
  <si>
    <t>2025-05-06 20:40:00,490,,485,,470,,480,,,,,490,480,478,482</t>
  </si>
  <si>
    <t>2025-05-06 20:40:00,5800,,5730,,,5700,5650,,,,,5730,5450,5610,5650</t>
  </si>
  <si>
    <t>2025-05-06 20:40:00,20300,,,,19475,,19925,,,,,19900,19300,19500,19400</t>
  </si>
  <si>
    <t>2025-05-06 20:40:00,1665348361.59976,8354733025.01345,0,0,0,0,0,0</t>
  </si>
  <si>
    <t>2025-05-06 20:40:00,1713516869.33237,3121082679.80543,0,0,0,0,0,0</t>
  </si>
  <si>
    <t>2025-05-06 20:40:00,3088988.63958282,51171.9048229453,-6.49999999999999,-1,-2.275,-0.35,-0.00175348188368142,-0.03</t>
  </si>
  <si>
    <t>2025-05-06 20:40:00,28826970.5993421,35299.6007022976,0,0,0,0,0,0</t>
  </si>
  <si>
    <t>2025-05-06 20:41:00,575,,562,,550,,558.5,,,,,570,550,562,557</t>
  </si>
  <si>
    <t>2025-05-06 20:41:00,490,,485,,470,,480,,,,,490,480,478,482</t>
  </si>
  <si>
    <t>2025-05-06 20:41:00,5800,,5730,,,5700,5650,,,,,5730,5450,5610,5650</t>
  </si>
  <si>
    <t>2025-05-06 20:41:00,20300,,,,19475,,19925,,,,,19900,19300,19500,19400</t>
  </si>
  <si>
    <t>2025-05-06 20:41:00,1620201422.00028,8940662088.83183,0,0,0,0,0,0</t>
  </si>
  <si>
    <t>2025-05-06 20:41:00,1659293183.66984,2857974708.41522,0,0,0,0,0,0</t>
  </si>
  <si>
    <t>2025-05-06 20:41:00,3201544.51833187,44966.9719318628,-172.9,-10,-632.857,-36.13,-0.0248808236975894,-1.8</t>
  </si>
  <si>
    <t>2025-05-06 20:41:00,28773875.4476333,29935.0151113386,0,0,0,0,0,0</t>
  </si>
  <si>
    <t>2025-05-06 20:42:00,575,,562,,550,,558.5,,,,,570,550,562,557</t>
  </si>
  <si>
    <t>2025-05-06 20:42:00,490,,485,,470,,480,,,,,490,480,478,482</t>
  </si>
  <si>
    <t>2025-05-06 20:42:00,5800,,5730,,,5700,5650,,,,,5730,5450,5610,5650</t>
  </si>
  <si>
    <t>2025-05-06 20:42:00,20300,,,,19475,,19925,,,,,19900,19300,19500,19400</t>
  </si>
  <si>
    <t>2025-05-06 20:42:00,1681008145.0841,8502114810.65885,0,0,0,0,0,0</t>
  </si>
  <si>
    <t>2025-05-06 20:42:00,1727541286.86341,3184734761.76682,0,0,0,0,0,0</t>
  </si>
  <si>
    <t>2025-05-06 20:42:00,3535660.80558339,124703.691795039,-2340.61666666664,-47,-7979.77033333323,-128.69,-0.110409639185754,-6.57</t>
  </si>
  <si>
    <t>2025-05-06 20:42:00,28840953.1069738,36393.8860578391,0,0,0,0,0,0</t>
  </si>
  <si>
    <t>2025-05-06 20:43:00,575,,562,,550,,558.5,,,,,570,550,562,557</t>
  </si>
  <si>
    <t>2025-05-06 20:43:00,490,,485,,470,,480,,,,,490,480,478,482</t>
  </si>
  <si>
    <t>2025-05-06 20:43:00,5800,,5730,,,5700,5650,,,,,5730,5450,5610,5650</t>
  </si>
  <si>
    <t>2025-05-06 20:43:00,20300,,,,19475,,19925,,,,,19900,19300,19500,19400</t>
  </si>
  <si>
    <t>2025-05-06 20:43:00,1640363699.69927,8064593282.15405,0,0,0,0,0,0</t>
  </si>
  <si>
    <t>2025-05-06 20:43:00,1702324365.10368,3078258331.1206,0,0,0,0,0,0</t>
  </si>
  <si>
    <t>2025-05-06 20:43:00,3131326.27103044,97633.4275288579,-136.133333333333,-9,-1575.578,-71.03,0.00426499294970531,-1.23</t>
  </si>
  <si>
    <t>2025-05-06 20:43:00,28813412.7586169,33789.0605887186,0,0,0,0,0,0</t>
  </si>
  <si>
    <t>2025-05-06 20:44:00,575,,562,,550,,558.5,,,,,570,550,562,557</t>
  </si>
  <si>
    <t>2025-05-06 20:44:00,490,,485,,470,,480,,,,,490,480,478,482</t>
  </si>
  <si>
    <t>2025-05-06 20:44:00,5800,,5730,,,5700,5650,,,,,5730,5450,5610,5650</t>
  </si>
  <si>
    <t>2025-05-06 20:44:00,20300,,,,19475,,19925,,,,,19900,19300,19500,19400</t>
  </si>
  <si>
    <t>2025-05-06 20:44:00,1661143842.69183,8323222910.62508,0,0,0,0,0,0</t>
  </si>
  <si>
    <t>2025-05-06 20:44:00,1707977595.86252,3100593144.55707,0,0,0,0,0,0</t>
  </si>
  <si>
    <t>2025-05-06 20:44:00,3430348.37070238,125402.723705139,-43.5,-13,-11.585,-3.25,-0.0188752030174957,-0.28</t>
  </si>
  <si>
    <t>2025-05-06 20:44:00,28826488.6696114,34267.9876754649,0,0,0,0,0,0</t>
  </si>
  <si>
    <t>2025-05-06 20:45:00,575,,562,,550,,558.5,,,,,570,550,562,557</t>
  </si>
  <si>
    <t>2025-05-06 20:45:00,490,,485,,470,,480,,,,,490,480,478,482</t>
  </si>
  <si>
    <t>2025-05-06 20:45:00,5800,,5730,,,5700,5650,,,,,5730,5450,5610,5650</t>
  </si>
  <si>
    <t>2025-05-06 20:45:00,20300,,,,19475,,19925,,,,,19900,19300,19500,19400</t>
  </si>
  <si>
    <t>2025-05-06 20:45:00,1653486238.36396,8255652228.29664,0,0,0,0,0,0</t>
  </si>
  <si>
    <t>2025-05-06 20:45:00,1697396784.6786,3055360897.03393,0,0,0,0,0,0</t>
  </si>
  <si>
    <t>2025-05-06 20:45:00,3657540.9589667,124712.760849264,-20.65,-2,-38.6155,-3.74,-0.0055682575856217,-0.26</t>
  </si>
  <si>
    <t>2025-05-06 20:45:00,28820017.8051426,33541.1952974712,0,0,0,0,0,0</t>
  </si>
  <si>
    <t>2025-05-06 20:46:00,575,,562,,550,,558.5,,,,,570,550,562,557</t>
  </si>
  <si>
    <t>2025-05-06 20:46:00,490,,485,,470,,480,,,,,490,480,478,482</t>
  </si>
  <si>
    <t>2025-05-06 20:46:00,5800,,5730,,,5700,5650,,,,,5730,5450,5610,5650</t>
  </si>
  <si>
    <t>2025-05-06 20:46:00,20300,,,,19475,,19925,,,,,19900,19300,19500,19400</t>
  </si>
  <si>
    <t>2025-05-06 20:46:00,1627712085.00714,7941359552.50618,0,0,0,0,0,0</t>
  </si>
  <si>
    <t>2025-05-06 20:46:00,1669945150.1009,2916947629.60384,0,0,0,0,0,0</t>
  </si>
  <si>
    <t>2025-05-06 20:46:00,3000929.80828989,60699.4246553918,-322.483333333333,-15,-3285.73116666667,-125.28,0.0126696188585806,-2.01</t>
  </si>
  <si>
    <t>2025-05-06 20:46:00,28792272.2920074,30887.2452974578,0,0,0,0,0,0</t>
  </si>
  <si>
    <t>2025-05-06 20:47:00,575,,562,,550,,558.5,,,,,570,550,562,557</t>
  </si>
  <si>
    <t>2025-05-06 20:47:00,490,,485,,470,,480,,,,,490,480,478,482</t>
  </si>
  <si>
    <t>2025-05-06 20:47:00,5800,,5730,,,5700,5650,,,,,5730,5450,5610,5650</t>
  </si>
  <si>
    <t>2025-05-06 20:47:00,20300,,,,19475,,19925,,,,,19900,19300,19500,19400</t>
  </si>
  <si>
    <t>2025-05-06 20:47:00,1627546347.58616,7940528204.41322,0,0,0,0,0,0</t>
  </si>
  <si>
    <t>2025-05-06 20:47:00,1665554911.73636,2893771102.76712,0,0,0,0,0,0</t>
  </si>
  <si>
    <t>2025-05-06 20:47:00,2840483.77152214,66940.992680251,-49.4999999999999,-2,-415.199999999999,-17.2,-0.000684474249133947,-0.42</t>
  </si>
  <si>
    <t>2025-05-06 20:47:00,28797645.5210439,30545.5086228708,0,0,0,0,0,0</t>
  </si>
  <si>
    <t>2025-05-06 20:48:00,575,,562,,550,,558.5,,,,,570,550,562,557</t>
  </si>
  <si>
    <t>2025-05-06 20:48:00,490,,485,,470,,480,,,,,490,480,478,482</t>
  </si>
  <si>
    <t>2025-05-06 20:48:00,5800,,5730,,,5700,5650,,,,,5730,5450,5610,5650</t>
  </si>
  <si>
    <t>2025-05-06 20:48:00,20300,,,,19475,,19925,,,,,19900,19300,19500,19400</t>
  </si>
  <si>
    <t>2025-05-06 20:48:00,1639948922.39122,8068280728.55493,0,0,0,0,0,0</t>
  </si>
  <si>
    <t>2025-05-06 20:48:00,1681007180.36069,2976743477.35388,0,0,0,0,0,0</t>
  </si>
  <si>
    <t>2025-05-06 20:48:00,3062075.92440854,74083.7376819314,-56.9999999999999,-4,-268,-13.4,-0.00206384159214979,-0.27</t>
  </si>
  <si>
    <t>2025-05-06 20:48:00,28810565.0078577,32411.5664737649,0,0,0,0,0,0</t>
  </si>
  <si>
    <t>2025-05-06 20:49:00,575,,562,,550,,558.5,,,,,570,550,562,557</t>
  </si>
  <si>
    <t>2025-05-06 20:49:00,490,,485,,470,,480,,,,,490,480,478,482</t>
  </si>
  <si>
    <t>2025-05-06 20:49:00,5800,,5730,,,5700,5650,,,,,5730,5450,5610,5650</t>
  </si>
  <si>
    <t>2025-05-06 20:49:00,20300,,,,19475,,19925,,,,,19900,19300,19500,19400</t>
  </si>
  <si>
    <t>2025-05-06 20:49:00,1687938763.22957,8580398384.74397,0,0,0,0,0,0</t>
  </si>
  <si>
    <t>2025-05-06 20:49:00,1720950586.08784,3152629854.48361,0,0,0,0,0,0</t>
  </si>
  <si>
    <t>2025-05-06 20:49:00,3267318.46891149,80272.4136191863,-579.416666666666,-26,-13525.1741666666,-349,-0.0339235894055175,-8.81</t>
  </si>
  <si>
    <t>2025-05-06 20:49:00,28842375.4761718,35201.0393960635,0,0,0,0,0,0</t>
  </si>
  <si>
    <t>2025-05-06 20:50:00,575,,562,,550,,558.5,,,,,570,550,562,557</t>
  </si>
  <si>
    <t>2025-05-06 20:50:00,490,,485,,470,,480,,,,,490,480,478,482</t>
  </si>
  <si>
    <t>2025-05-06 20:50:00,5800,,5730,,,5700,5650,,,,,5730,5450,5610,5650</t>
  </si>
  <si>
    <t>2025-05-06 20:50:00,20300,,,,19475,,19925,,,,,19900,19300,19500,19400</t>
  </si>
  <si>
    <t>2025-05-06 20:50:00,1710194474.5791,8708603850.75305,0,0,0,0,0,0</t>
  </si>
  <si>
    <t>2025-05-06 20:50:00,1723057007.984,3160795872.2857,0,0,0,0,0,0</t>
  </si>
  <si>
    <t>2025-05-06 20:50:00,3278529.11341573,85909.9003454777,-682.066666666666,-23,-9394.87533333333,-316.1,0.00621003626244347,-6.57</t>
  </si>
  <si>
    <t>2025-05-06 20:50:00,28849435.9384215,35677.6335690344,0,0,0,0,0,0</t>
  </si>
  <si>
    <t>2025-05-06 20:51:00,575,,562,,550,,558.5,,,,,570,550,562,557</t>
  </si>
  <si>
    <t>2025-05-06 20:51:00,490,,485,,470,,480,,,,,490,480,478,482</t>
  </si>
  <si>
    <t>2025-05-06 20:51:00,5800,,5730,,,5700,5650,,,,,5730,5450,5610,5650</t>
  </si>
  <si>
    <t>2025-05-06 20:51:00,20300,,,,19475,,19925,,,,,19900,19300,19500,19400</t>
  </si>
  <si>
    <t>2025-05-06 20:51:00,1687785164.56706,8581292777.22022,0,0,0,0,0,0</t>
  </si>
  <si>
    <t>2025-05-06 20:51:00,1723133704.30163,3160617575.21312,0,0,0,0,0,0</t>
  </si>
  <si>
    <t>2025-05-06 20:51:00,3331848.68642368,80986.2196596291,-230.453333333333,-11,-3733.81579999999,-110.77,-0.0119570230035406,-2.75</t>
  </si>
  <si>
    <t>2025-05-06 20:51:00,28839751.5036995,35360.8322045503,0,0,0,0,0,0</t>
  </si>
  <si>
    <t>2025-05-06 20:52:00,575,,562,,550,,558.5,,,,,570,550,562,557</t>
  </si>
  <si>
    <t>2025-05-06 20:52:00,490,,485,,470,,480,,,,,490,480,478,482</t>
  </si>
  <si>
    <t>2025-05-06 20:52:00,5800,,5730,,,5700,5650,,,,,5730,5450,5610,5650</t>
  </si>
  <si>
    <t>2025-05-06 20:52:00,20300,,,,19475,,19925,,,,,19900,19300,19500,19400</t>
  </si>
  <si>
    <t>2025-05-06 20:52:00,1635109292.9574,8088782306.14758,0,0,0,0,0,0</t>
  </si>
  <si>
    <t>2025-05-06 20:52:00,1674484928.07627,2942299185.08717,0,0,0,0,0,0</t>
  </si>
  <si>
    <t>2025-05-06 20:52:00,3025584.77371686,50699.3533497491,-383.866666666667,-22,-14544.844,-301.27,-0.0127891692992608,-6.3</t>
  </si>
  <si>
    <t>2025-05-06 20:52:00,28802252.159477,31221.2678256325,0,0,0,0,0,0</t>
  </si>
  <si>
    <t>2025-05-06 20:53:00,575,,562,,550,,558.5,,,,,570,550,562,557</t>
  </si>
  <si>
    <t>2025-05-06 20:53:00,490,,485,,470,,480,,,,,490,480,478,482</t>
  </si>
  <si>
    <t>2025-05-06 20:53:00,5800,,5730,,,5700,5650,,,,,5730,5450,5610,5650</t>
  </si>
  <si>
    <t>2025-05-06 20:53:00,20300,,,,19475,,19925,,,,,19900,19300,19500,19400</t>
  </si>
  <si>
    <t>2025-05-06 20:53:00,1672245141.55545,8436394016.67471,0,0,0,0,0,0</t>
  </si>
  <si>
    <t>2025-05-06 20:53:00,1699919041.50564,3069107894.07884,0,0,0,0,0,0</t>
  </si>
  <si>
    <t>2025-05-06 20:53:00,3290156.67698056,74317.6755233678,-95.0000000000001,-4,-1558,-65.6,0.0121592260163769,-0.92</t>
  </si>
  <si>
    <t>2025-05-06 20:53:00,28830699.7152468,33745.1668402334,0,0,0,0,0,0</t>
  </si>
  <si>
    <t>2025-05-06 20:54:00,575,,562,,550,,558.5,,,,,570,550,562,557</t>
  </si>
  <si>
    <t>2025-05-06 20:54:00,490,,485,,470,,480,,,,,490,480,478,482</t>
  </si>
  <si>
    <t>2025-05-06 20:54:00,5800,,5730,,,5700,5650,,,,,5730,5450,5610,5650</t>
  </si>
  <si>
    <t>2025-05-06 20:54:00,20300,,,,19475,,19925,,,,,19900,19300,19500,19400</t>
  </si>
  <si>
    <t>2025-05-06 20:54:00,1641190820.36286,8102338715.61873,0,0,0,0,0,0</t>
  </si>
  <si>
    <t>2025-05-06 20:54:00,1670022912.31701,2919136743.8761,0,0,0,0,0,0</t>
  </si>
  <si>
    <t>2025-05-06 20:54:00,3354216.00521007,81594.7234134688,-198.216666666667,-7,-2776.1435,-93.27,0.0139860463970586,-1.46</t>
  </si>
  <si>
    <t>2025-05-06 20:54:00,28801095.098313,30693.41250011,0,0,0,0,0,0</t>
  </si>
  <si>
    <t>2025-05-06 20:55:00,575,,562,,550,,558.5,,,,,570,550,562,557</t>
  </si>
  <si>
    <t>2025-05-06 20:55:00,490,,485,,470,,480,,,,,490,480,478,482</t>
  </si>
  <si>
    <t>2025-05-06 20:55:00,5800,,5700,,,5700,5650,,,,,5730,5450,5610,5650</t>
  </si>
  <si>
    <t>2025-05-06 20:55:00,20300,,,,19475,,19925,,,,,19900,19300,19500,19400</t>
  </si>
  <si>
    <t>2025-05-06 20:55:00,1623571098.0531,7913892623.38198,0,0,0,0,0,0</t>
  </si>
  <si>
    <t>2025-05-06 20:55:00,1665744804.53519,2895946109.73145,0,0,0,0,0,0</t>
  </si>
  <si>
    <t>2025-05-06 20:55:00,3028787.09610159,62363.4321262623,-211,-10,-1901.5,-72.3,-0.0110620229726825,-2.05</t>
  </si>
  <si>
    <t>2025-05-06 20:55:00,28798053.5905787,30624.0228440227,0,0,0,0,0,0</t>
  </si>
  <si>
    <t>2025-05-06 20:56:00,575,,562,,550,,560.5,,,,,570,550,562,557</t>
  </si>
  <si>
    <t>2025-05-06 20:56:00,490,,485,,470,,480,,,,,490,480,478,482</t>
  </si>
  <si>
    <t>2025-05-06 20:56:00,5800,,5700,,,5700,5650,,,,,5730,5450,5610,5650</t>
  </si>
  <si>
    <t>2025-05-06 20:56:00,20300,,,,19475,,19925,,,,,19900,19300,19500,19400</t>
  </si>
  <si>
    <t>2025-05-06 20:56:00,1599420354.64262,6856561532.2329,0,0,0,0,0,0</t>
  </si>
  <si>
    <t>2025-05-06 20:56:00,1659505900.11307,2862296393.43201,0,0,0,0,0,0</t>
  </si>
  <si>
    <t>2025-05-06 20:56:00,3013898.96425034,59664.4851608122,-56.85,-2,-2133.477,-60.97,0.00215281315632311,-1.22</t>
  </si>
  <si>
    <t>2025-05-06 20:56:00,28790026.3431506,29743.7826426975,0,0,0,0,0,0</t>
  </si>
  <si>
    <t>2025-05-06 20:57:00,575,,562,,550,,558.5,,,,,570,550,562,557</t>
  </si>
  <si>
    <t>2025-05-06 20:57:00,490,,485,,470,,480,,,,,490,480,478,482</t>
  </si>
  <si>
    <t>2025-05-06 20:57:00,5800,,5700,,,5700,5650,,,,,5730,5450,5610,5650</t>
  </si>
  <si>
    <t>2025-05-06 20:57:00,20300,,,,19475,,19925,,,,,19900,19300,19500,19400</t>
  </si>
  <si>
    <t>2025-05-06 20:57:00,1640676436.97515,8160853973.79805,0,0,0,0,0,0</t>
  </si>
  <si>
    <t>2025-05-06 20:57:00,1686426373.94209,2999781946.00056,0,0,0,0,0,0</t>
  </si>
  <si>
    <t>2025-05-06 20:57:00,3477650.88531252,89356.2162214671,-375.57,-21,-3792.1718,-182.4,-0.00211563339077775,-3.97</t>
  </si>
  <si>
    <t>2025-05-06 20:57:00,28821232.0346314,32555.2426603828,0,0,0,0,0,0</t>
  </si>
  <si>
    <t>2025-05-06 20:58:00,575,,562,,550,,558.5,,,,,570,550,562,557</t>
  </si>
  <si>
    <t>2025-05-06 20:58:00,490,,485,,470,,480,,,,,490,480,478,482</t>
  </si>
  <si>
    <t>2025-05-06 20:58:00,5800,,5700,,,5700,5650,,,,,5730,5450,5610,5650</t>
  </si>
  <si>
    <t>2025-05-06 20:58:00,20300,,,,19475,,19925,,,,,19900,19300,19500,19400</t>
  </si>
  <si>
    <t>2025-05-06 20:58:00,1679603417.45413,8513720732.17814,0,0,0,0,0,0</t>
  </si>
  <si>
    <t>2025-05-06 20:58:00,1718798690.94295,3145466062.62766,0,0,0,0,0,0</t>
  </si>
  <si>
    <t>2025-05-06 20:58:00,3275099.95042148,103218.295764527,-65.9866666666668,-6,-1941.58073333334,-821.98,-0.00963417583815989,-3.41</t>
  </si>
  <si>
    <t>2025-05-06 20:58:00,28846196.7057915,35081.0333830231,0,0,0,0,0,0</t>
  </si>
  <si>
    <t>2025-05-06 20:59:00,575,,562,,550,,558.5,,,,,570,550,562,557</t>
  </si>
  <si>
    <t>2025-05-06 20:59:00,490,,485,,470,,480,,,,,490,480,478,482</t>
  </si>
  <si>
    <t>2025-05-06 20:59:00,5800,,5700,,,5700,5650,,,,,5730,5450,5610,5650</t>
  </si>
  <si>
    <t>2025-05-06 20:59:00,20300,,,,19475,,19925,,,,,19900,19300,19500,19400</t>
  </si>
  <si>
    <t>2025-05-06 20:59:00,1705565590.90307,8677314023.75095,0,0,0,0,0,0</t>
  </si>
  <si>
    <t>2025-05-06 20:59:00,1726583686.46716,3175987135.5275,0,0,0,0,0,0</t>
  </si>
  <si>
    <t>2025-05-06 20:59:00,3085805.32056386,112269.460000196,-390.39,-26,-4621.3449,-154.29,-0.0307317314416142,-4.52</t>
  </si>
  <si>
    <t>2025-05-06 20:59:00,28853032.7934137,36088.4870509515,0,0,0,0,0,0</t>
  </si>
  <si>
    <t>2025-05-06 21:00:00,575,,562,,550,,558.5,,,,,570,550,562,557</t>
  </si>
  <si>
    <t>2025-05-06 21:00:00,490,,485,,470,,480,,,,,490,480,478,482</t>
  </si>
  <si>
    <t>2025-05-06 21:00:00,5800,,5700,,,5700,5650,,,,,5730,5450,5610,5650</t>
  </si>
  <si>
    <t>2025-05-06 21:00:00,20300,,,,19475,,19925,,,,,19900,19300,19500,19400</t>
  </si>
  <si>
    <t>2025-05-06 21:00:00,1608411682.40523,7776325079.46892,0,0,0,0,0,0</t>
  </si>
  <si>
    <t>2025-05-06 21:00:00,1661616324.00011,2874781818.98987,0,0,0,0,0,0</t>
  </si>
  <si>
    <t>2025-05-06 21:00:00,2915070.44085611,70001.2701196084,-100.316666666667,-7,-574.528833333333,-26.34,-0.0148447110671988,-1.02</t>
  </si>
  <si>
    <t>2025-05-06 21:00:00,28794720.9455363,30183.9976614445,0,0,0,0,0,0</t>
  </si>
  <si>
    <t>2025-05-06 21:01:00,575,,562,,550,,558.5,,,,,570,550,562,557</t>
  </si>
  <si>
    <t>2025-05-06 21:01:00,490,,485,,470,,480,,,,,490,480,478,482</t>
  </si>
  <si>
    <t>2025-05-06 21:01:00,5800,,5700,,,5700,5650,,,,,5730,5450,5610,5650</t>
  </si>
  <si>
    <t>2025-05-06 21:01:00,20300,,,,19475,,19925,,,,,19900,19300,19500,19400</t>
  </si>
  <si>
    <t>2025-05-06 21:01:00,1618549624.69077,8567438170.77299,0,0,0,0,0,0</t>
  </si>
  <si>
    <t>2025-05-06 21:01:00,1693248186.95343,3035794934.52166,0,0,0,0,0,0</t>
  </si>
  <si>
    <t>2025-05-06 21:01:00,3011064.42745413,53359.958392844,-659.916666666666,-19,-18565.6018333333,-519.26,0.0963270979511498,-8.25</t>
  </si>
  <si>
    <t>2025-05-06 21:01:00,28798634.5704052,30577.7383898852,0,0,0,0,0,0</t>
  </si>
  <si>
    <t>2025-05-06 21:02:00,575,,561,,575,,558.5,,,,,570,550,562,557</t>
  </si>
  <si>
    <t>2025-05-06 21:02:00,490,,485,,470,,480,,,,,490,480,478,482</t>
  </si>
  <si>
    <t>2025-05-06 21:02:00,5800,,5700,,,5700,5650,,,,,5700,5450,5610,5650</t>
  </si>
  <si>
    <t>2025-05-06 21:02:00,20300,,,,19475,,19925,,,,,19900,19300,19500,19400</t>
  </si>
  <si>
    <t>2025-05-06 21:02:00,1525241634.65661,8491464835.83206,0,0,0,0,0,0</t>
  </si>
  <si>
    <t>2025-05-06 21:02:00,1612843907.47912,2868320415.711,0,0,0,0,0,0</t>
  </si>
  <si>
    <t>2025-05-06 21:02:00,3207766.72787706,27403.7423682871,-519.542857142857,-30,-6776.37495238097,-262.85,-0.029670026536482,-6.8</t>
  </si>
  <si>
    <t>2025-05-06 21:02:00,28702051.1468309,22557.5000957247,0,0,0,0,0,0</t>
  </si>
  <si>
    <t>2025-05-06 21:03:00,575,,561,,575,,558.5,,,,,570,550,562,557</t>
  </si>
  <si>
    <t>2025-05-06 21:03:00,490,,485,,470,,480,,,,,490,480,478,482</t>
  </si>
  <si>
    <t>2025-05-06 21:03:00,5800,,5700,,,5700,5650,,,,,5700,5450,5610,5650</t>
  </si>
  <si>
    <t>2025-05-06 21:03:00,20300,,,,19475,,19925,,,,,19900,19300,19500,19400</t>
  </si>
  <si>
    <t>2025-05-06 21:03:00,1508069351.76173,8268916808.48254,0,0,0,0,0,0</t>
  </si>
  <si>
    <t>2025-05-06 21:03:00,1595367196.52422,2917512962.35705,0,0,0,0,0,0</t>
  </si>
  <si>
    <t>2025-05-06 21:03:00,3265054.30656105,24235.388213877,-286.303333333333,-21,-1800.48576666667,-96.31,-0.000489456613740991,-2.15</t>
  </si>
  <si>
    <t>2025-05-06 21:03:00,28678021.3006036,20229.9202464876,0,0,0,0,0,0</t>
  </si>
  <si>
    <t>2025-05-06 21:04:00,575,,561,,575,,558.5,,,,,570,550,562,557</t>
  </si>
  <si>
    <t>2025-05-06 21:04:00,490,,485,,470,,480,,,,,490,480,478,482</t>
  </si>
  <si>
    <t>2025-05-06 21:04:00,5800,,5700,,,5700,5650,,,,,5700,5450,5610,5650</t>
  </si>
  <si>
    <t>2025-05-06 21:04:00,19475,,,,19475,,19925,,,,,19900,19300,19500,19400</t>
  </si>
  <si>
    <t>2025-05-06 21:04:00,1496387432.87413,8157301555.10183,0,0,0,0,0,0</t>
  </si>
  <si>
    <t>2025-05-06 21:04:00,1571450758.91817,2805383880.04384,0,0,0,0,0,0</t>
  </si>
  <si>
    <t>2025-05-06 21:04:00,3172851.433807,13580.8948008516,-156.99,-15,-4251.07819999999,-139.81,0.0028679560644374,-2.93</t>
  </si>
  <si>
    <t>2025-05-06 21:04:00,28655015.6586101,18897.2661193456,0,0,0,0,0,0</t>
  </si>
  <si>
    <t>2025-05-06 21:05:00,575,,561,,575,,558.5,,,,,570,550,562,557</t>
  </si>
  <si>
    <t>2025-05-06 21:05:00,490,,485,,470,,480,,,,,490,480,478,482</t>
  </si>
  <si>
    <t>2025-05-06 21:05:00,5800,,5700,,,5700,5650,,,,,5700,5450,5610,5650</t>
  </si>
  <si>
    <t>2025-05-06 21:05:00,20300,,,,19475,,19925,,,,,19900,19300,19500,19400</t>
  </si>
  <si>
    <t>2025-05-06 21:05:00,1500390037.57823,8194934674.30088,0,0,0,0,0,0</t>
  </si>
  <si>
    <t>2025-05-06 21:05:00,1593240094.52337,2909801716.98094,0,0,0,0,0,0</t>
  </si>
  <si>
    <t>2025-05-06 21:05:00,3112586.43932063,15326.5242211095,-369.808333333333,-17,-5415.52958333333,-216.95,0.0326311639613953,-3.49</t>
  </si>
  <si>
    <t>2025-05-06 21:05:00,28697369.8832923,21663.4472342635,0,0,0,0,0,0</t>
  </si>
  <si>
    <t>2025-05-06 21:06:00,575,,561,,575,,558.5,,,,,570,550,562,557</t>
  </si>
  <si>
    <t>2025-05-06 21:06:00,490,,485,,470,,480,,,,,490,480,478,482</t>
  </si>
  <si>
    <t>2025-05-06 21:06:00,5800,,5700,,,5700,5650,,,,,5700,5450,5610,5650</t>
  </si>
  <si>
    <t>2025-05-06 21:06:00,20300,,,,19475,,19925,,,,,19900,19300,19500,19400</t>
  </si>
  <si>
    <t>2025-05-06 21:06:00,1504241866.6609,8233013042.52746,0,0,0,0,0,0</t>
  </si>
  <si>
    <t>2025-05-06 21:06:00,1588867507.46647,2892103592.44193,0,0,0,0,0,0</t>
  </si>
  <si>
    <t>2025-05-06 21:06:00,3223113.97187595,19325.1699452999,-287.513684210526,-13,-5200.44293684211,-195.1,-0.00457142302793527,-3.97</t>
  </si>
  <si>
    <t>2025-05-06 21:06:00,28693671.5250018,21186.3968449328,0,0,0,0,0,0</t>
  </si>
  <si>
    <t>2025-05-06 21:07:00,575,,561,,575,,558.5,,,,,570,550,562,557</t>
  </si>
  <si>
    <t>2025-05-06 21:07:00,490,,485,,470,,483,,,,,490,480,478,482</t>
  </si>
  <si>
    <t>2025-05-06 21:07:00,5800,,5700,,,5700,5650,,,,,5700,5450,5610,5650</t>
  </si>
  <si>
    <t>2025-05-06 21:07:00,20300,,,,19475,,19925,,,,,19900,19300,19500,19400</t>
  </si>
  <si>
    <t>2025-05-06 21:07:00,1549823044.83694,8755003948.60493,0,0,0,0,0,0</t>
  </si>
  <si>
    <t>2025-05-06 21:07:00,1614234554.70536,2246840041.64485,0,0,0,0,0,0</t>
  </si>
  <si>
    <t>2025-05-06 21:07:00,3011911.68726964,20310.309241537,-671.27,-27,-17940.5499333333,-457.72,0.0416025365450812,-9.28</t>
  </si>
  <si>
    <t>2025-05-06 21:07:00,28750612.8279459,25616.6374882329,0,0,0,0,0,0</t>
  </si>
  <si>
    <t>2025-05-06 21:08:00,575,,561,,575,,558.5,,,,,570,550,562,557</t>
  </si>
  <si>
    <t>2025-05-06 21:08:00,490,,485,,470,,480,,,,,490,480,478,482</t>
  </si>
  <si>
    <t>2025-05-06 21:08:00,5800,,5700,,,5700,5650,,,,,5700,5450,5610,5650</t>
  </si>
  <si>
    <t>2025-05-06 21:08:00,20300,,,,19475,,19925,,,,,19900,19300,19500,19400</t>
  </si>
  <si>
    <t>2025-05-06 21:08:00,1500059837.9992,8197615627.58066,0,0,0,0,0,0</t>
  </si>
  <si>
    <t>2025-05-06 21:08:00,1590956518.29375,2901412657.63386,0,0,0,0,0,0</t>
  </si>
  <si>
    <t>2025-05-06 21:08:00,3182308.68584126,11858.2843890424,-431.371428571428,-30,-6843.26914285715,-225.21,-0.0237895709281825,-5.55</t>
  </si>
  <si>
    <t>2025-05-06 21:08:00,28689902.726735,20776.7876282375,0,0,0,0,0,0</t>
  </si>
  <si>
    <t>2025-05-06 21:09:00,575,,561,,575,,558.5,,,,,570,550,562,557</t>
  </si>
  <si>
    <t>2025-05-06 21:09:00,490,,485,,470,,480,,,,,490,480,478,482</t>
  </si>
  <si>
    <t>2025-05-06 21:09:00,5800,,5700,,,5700,5650,,,,,5700,5450,5610,5650</t>
  </si>
  <si>
    <t>2025-05-06 21:09:00,19475,,,,19475,,19925,,,,,19900,19300,19500,19400</t>
  </si>
  <si>
    <t>2025-05-06 21:09:00,1349274814.96164,7542563790.86114,0,0,0,0,0,0</t>
  </si>
  <si>
    <t>2025-05-06 21:09:00,1521586225.45151,2649674704.974,0,0,0,0,0,0</t>
  </si>
  <si>
    <t>2025-05-06 21:09:00,3268335.12963498,35800.5580467719,-1047.46666666667,-58,-3370.14266666668,-184.72,-0.17114351293137,-9.57</t>
  </si>
  <si>
    <t>2025-05-06 21:09:00,28626894.4795848,16142.2857217966,0,0,0,0,0,0</t>
  </si>
  <si>
    <t>2025-05-06 21:10:00,575,,561,,575,,558.5,,,,,570,550,562,557</t>
  </si>
  <si>
    <t>2025-05-06 21:10:00,490,,485,,470,,480,,,,,490,480,478,482</t>
  </si>
  <si>
    <t>2025-05-06 21:10:00,5800,,5700,,,5700,5650,,,,,5700,5450,5610,5650</t>
  </si>
  <si>
    <t>2025-05-06 21:10:00,19475,,,,19475,,19925,,,,,19900,19300,19500,19400</t>
  </si>
  <si>
    <t>2025-05-06 21:10:00,1353547140.45984,7577796469.85314,0,0,0,0,0,0</t>
  </si>
  <si>
    <t>2025-05-06 21:10:00,1557984783.6501,2736076808.02579,0,0,0,0,0,0</t>
  </si>
  <si>
    <t>2025-05-06 21:10:00,3256649.14933079,39699.7406126237,-130.623333333333,-6,-1545.94276666667,-64.71,-0.000579412771855269,-1.5</t>
  </si>
  <si>
    <t>2025-05-06 21:10:00,28647292.7869156,17499.3077402057,0,0,0,0,0,0</t>
  </si>
  <si>
    <t>2025-05-06 21:11:00,575,,561,,575,,558.5,,,,,570,550,562,557</t>
  </si>
  <si>
    <t>2025-05-06 21:11:00,490,,485,,470,,480,,,,,490,480,478,482</t>
  </si>
  <si>
    <t>2025-05-06 21:11:00,5800,,5700,,,5700,5650,,,,,5700,5450,5610,5650</t>
  </si>
  <si>
    <t>2025-05-06 21:11:00,20300,,,,19475,,19925,,,,,19900,19300,19500,19400</t>
  </si>
  <si>
    <t>2025-05-06 21:11:00,1447065034.48918,7727024710.36093,0,0,0,0,0,0</t>
  </si>
  <si>
    <t>2025-05-06 21:11:00,1562465066.69086,2759404244.34906,0,0,0,0,0,0</t>
  </si>
  <si>
    <t>2025-05-06 21:11:00,3234866.74091698,58137.2857957897,-727.366666666666,-62,-2908.88966666667,-189.78,-0.0726157378135723,-7.18</t>
  </si>
  <si>
    <t>2025-05-06 21:11:00,28667246.2360151,19158.7320105995,0,0,0,0,0,0</t>
  </si>
  <si>
    <t>2025-05-06 21:12:00,575,,561,,575,,558.5,,,,,570,550,562,557</t>
  </si>
  <si>
    <t>2025-05-06 21:12:00,490,,485,,470,,480,,,,,490,480,478,482</t>
  </si>
  <si>
    <t>2025-05-06 21:12:00,5800,,5700,,,5700,5650,,,,,5700,5450,5610,5650</t>
  </si>
  <si>
    <t>2025-05-06 21:12:00,19475,,,,19475,,19925,,,,,19900,19300,19500,19400</t>
  </si>
  <si>
    <t>2025-05-06 21:12:00,1451132001.3792,7762879457.98852,0,0,0,0,0,0</t>
  </si>
  <si>
    <t>2025-05-06 21:12:00,1557806184.00945,2736311595.83267,0,0,0,0,0,0</t>
  </si>
  <si>
    <t>2025-05-06 21:12:00,3238914.90609678,54635.1365199718,-80.3733333333333,-5,-1980.5844,-68.7,0.0117137733712729,-1.15</t>
  </si>
  <si>
    <t>2025-05-06 21:12:00,28656863.2939421,18079.4597361498,0,0,0,0,0,0</t>
  </si>
  <si>
    <t>2025-05-06 21:13:00,575,,561,,575,,558.5,,,,,570,550,562,557</t>
  </si>
  <si>
    <t>2025-05-06 21:13:00,490,,485,,470,,480,,,,,490,480,478,482</t>
  </si>
  <si>
    <t>2025-05-06 21:13:00,5800,,5700,,,5700,5650,,,,,5700,5450,5610,5650</t>
  </si>
  <si>
    <t>2025-05-06 21:13:00,19475,,,,19475,,19925,,,,,19900,19300,19500,19400</t>
  </si>
  <si>
    <t>2025-05-06 21:13:00,1451091245.49054,7763889243.67254,0,0,0,0,0,0</t>
  </si>
  <si>
    <t>2025-05-06 21:13:00,1535176035.16436,2720717030.88317,0,0,0,0,0,0</t>
  </si>
  <si>
    <t>2025-05-06 21:13:00,3399894.89393936,57931.6228335269,-17,-1,-52.7,-3.1,0.00100461794038694,-0.05</t>
  </si>
  <si>
    <t>2025-05-06 21:13:00,28651875.5859777,17605.2166415281,0,0,0,0,0,0</t>
  </si>
  <si>
    <t>2025-05-06 21:14:00,575,,561,,575,,558.5,,,,,570,550,562,557</t>
  </si>
  <si>
    <t>2025-05-06 21:14:00,490,,485,,470,,480,,,,,490,480,478,482</t>
  </si>
  <si>
    <t>2025-05-06 21:14:00,5800,,5700,,,5700,5650,,,,,5700,5450,5610,5650</t>
  </si>
  <si>
    <t>2025-05-06 21:14:00,19475,,,,19475,,19925,,,,,19900,19300,19500,19400</t>
  </si>
  <si>
    <t>2025-05-06 21:14:00,1450991581.9864,7764723976.42679,0,0,0,0,0,0</t>
  </si>
  <si>
    <t>2025-05-06 21:14:00,1557716654.41486,2736661864.11321,0,0,0,0,0,0</t>
  </si>
  <si>
    <t>2025-05-06 21:14:00,3336178.75058192,55635.6304610318,-81.7583333333334,-3,-746.345250000001,-25.83,0.000912570684737642,-0.56</t>
  </si>
  <si>
    <t>2025-05-06 21:14:00,28649252.0552818,17415.0812213822,0,0,0,0,0,0</t>
  </si>
  <si>
    <t>2025-05-06 21:15:00,575,,561,,575,,558.5,,,,,570,550,562,557</t>
  </si>
  <si>
    <t>2025-05-06 21:15:00,490,,485,,470,,480,,,,,490,480,478,482</t>
  </si>
  <si>
    <t>2025-05-06 21:15:00,5800,,5700,,,5700,5650,,,,,5700,5450,5610,5650</t>
  </si>
  <si>
    <t>2025-05-06 21:15:00,19475,,,,19475,,19925,,,,,19900,19300,19500,19400</t>
  </si>
  <si>
    <t>2025-05-06 21:15:00,1348265683.21887,7543990172.65207,0,0,0,0,0,0</t>
  </si>
  <si>
    <t>2025-05-06 21:15:00,1535274657.74432,2720791806.44572,0,0,0,0,0,0</t>
  </si>
  <si>
    <t>2025-05-06 21:15:00,3295138.4119352,50951.6359566054,-120.283333333333,-7,-2455.57483333333,-80.07,-0.00779233000366785,-1.93</t>
  </si>
  <si>
    <t>2025-05-06 21:15:00,28645665.1985368,17334.6915880335,0,0,0,0,0,0</t>
  </si>
  <si>
    <t>2025-05-06 21:16:00,575,,561,,575,,559.5,,,,,570,550,562,557</t>
  </si>
  <si>
    <t>2025-05-06 21:16:00,490,,485,,470,,480,,,,,490,480,478,482</t>
  </si>
  <si>
    <t>2025-05-06 21:16:00,5800,,5700,,,5700,5650,,,,,5700,5450,5610,5650</t>
  </si>
  <si>
    <t>2025-05-06 21:16:00,19475,,,,19475,,19925,,,,,19900,19300,19500,19400</t>
  </si>
  <si>
    <t>2025-05-06 21:16:00,1314899743.68221,6466665949.48766,0,0,0,0,0,0</t>
  </si>
  <si>
    <t>2025-05-06 21:16:00,1528149970.00551,2685560400.15375,0,0,0,0,0,0</t>
  </si>
  <si>
    <t>2025-05-06 21:16:00,3367804.57390601,53882.6510564325,-86.6400000000001,-4,-2646.0888,-64.04,0.00772160798981794,-1.12</t>
  </si>
  <si>
    <t>2025-05-06 21:16:00,28639082.7932024,16567.2663492726,0,0,0,0,0,0</t>
  </si>
  <si>
    <t>2025-05-06 21:17:00,575,,561,,575,,558.5,,,,,570,550,562,557</t>
  </si>
  <si>
    <t>2025-05-06 21:17:00,490,,485,,470,,480,,,,,490,480,478,482</t>
  </si>
  <si>
    <t>2025-05-06 21:17:00,5800,,5700,,,5700,5650,,,,,5700,5450,5610,5650</t>
  </si>
  <si>
    <t>2025-05-06 21:17:00,19475,,,,19475,,19925,,,,,19900,19300,19500,19400</t>
  </si>
  <si>
    <t>2025-05-06 21:17:00,1352789230.34418,7580117338.24237,0,0,0,0,0,0</t>
  </si>
  <si>
    <t>2025-05-06 21:17:00,1526126369.6265,2674294387.56561,0,0,0,0,0,0</t>
  </si>
  <si>
    <t>2025-05-06 21:17:00,3382961.25913466,53469.1488245352,-54.0749999999998,-2,-533.212249999998,-18.06,-0.00134757134856973,-0.44</t>
  </si>
  <si>
    <t>2025-05-06 21:17:00,28643276.8332641,16771.7497507584,0,0,0,0,0,0</t>
  </si>
  <si>
    <t>2025-05-06 21:18:00,575,,561,,575,,558.5,,,,,570,550,562,557</t>
  </si>
  <si>
    <t>2025-05-06 21:18:00,490,,485,,470,,480,,,,,490,480,478,482</t>
  </si>
  <si>
    <t>2025-05-06 21:18:00,5800,,5700,,,5700,5650,,,,,5700,5450,5610,5650</t>
  </si>
  <si>
    <t>2025-05-06 21:18:00,19475,,,,19475,,19925,,,,,19900,19300,19500,19400</t>
  </si>
  <si>
    <t>2025-05-06 21:18:00,1352650215.97692,7580754008.2246,0,0,0,0,0,0</t>
  </si>
  <si>
    <t>2025-05-06 21:18:00,1528233882.59707,2685914878.15046,0,0,0,0,0,0</t>
  </si>
  <si>
    <t>2025-05-06 21:18:00,3302440.09423929,48589.7792965544,-282.6,-9,-6198.54799999999,-150.99,0.0274117597435953,-2.52</t>
  </si>
  <si>
    <t>2025-05-06 21:18:00,28644780.6794781,16580.6693345145,0,0,0,0,0,0</t>
  </si>
  <si>
    <t>2025-05-06 21:19:00,575,,561,,575,,558.5,,,,,570,550,562,557</t>
  </si>
  <si>
    <t>2025-05-06 21:19:00,490,,485,,470,,480,,,,,490,480,478,482</t>
  </si>
  <si>
    <t>2025-05-06 21:19:00,5800,,5700,,,5700,5650,,,,,5700,5450,5610,5650</t>
  </si>
  <si>
    <t>2025-05-06 21:19:00,19475,,,,19475,,19925,,,,,19900,19300,19500,19400</t>
  </si>
  <si>
    <t>2025-05-06 21:19:00,1323885832.07006,7239695315.70771,0,0,0,0,0,0</t>
  </si>
  <si>
    <t>2025-05-06 21:19:00,1521486491.06384,2651307185.84622,0,0,0,0,0,0</t>
  </si>
  <si>
    <t>2025-05-06 21:19:00,3381294.69701578,38734.2821573502,-232,-12,-2426.985,-124.85,0.0287513955128042,-1.83</t>
  </si>
  <si>
    <t>2025-05-06 21:19:00,28630378.1221546,15810.2330149424,0,0,0,0,0,0</t>
  </si>
  <si>
    <t>2025-05-06 21:20:00,575,,561,,575,,558.5,,,,,570,550,562,557</t>
  </si>
  <si>
    <t>2025-05-06 21:20:00,490,,485,,470,,480,,,,,490,480,478,482</t>
  </si>
  <si>
    <t>2025-05-06 21:20:00,5800,,5700,,,5700,5650,,,,,5700,5450,5610,5650</t>
  </si>
  <si>
    <t>2025-05-06 21:20:00,19475,,,,19475,,19925,,,,,19900,19300,19500,19400</t>
  </si>
  <si>
    <t>2025-05-06 21:20:00,1352159784.58563,7578922979.78296,0,0,0,0,0,0</t>
  </si>
  <si>
    <t>2025-05-06 21:20:00,1530563612.81049,2697895387.05587,0,0,0,0,0,0</t>
  </si>
  <si>
    <t>2025-05-06 21:20:00,3322157.83122279,41913.5740918482,-119.957142857142,-6,-5664.88114285712,-160.38,0.00533803039750937,-2.41</t>
  </si>
  <si>
    <t>2025-05-06 21:20:00,28649498.7956328,17023.1071020031,0,0,0,0,0,0</t>
  </si>
  <si>
    <t>2025-05-06 21:21:00,575,,561,,575,,558.5,,,,,570,550,562,557</t>
  </si>
  <si>
    <t>2025-05-06 21:21:00,490,,485,,470,,480,,,,,490,480,478,482</t>
  </si>
  <si>
    <t>2025-05-06 21:21:00,5800,,5700,,,5700,5650,,,,,5700,5450,5610,5650</t>
  </si>
  <si>
    <t>2025-05-06 21:21:00,19475,,,,19475,,19925,,,,,19900,19300,19500,19400</t>
  </si>
  <si>
    <t>2025-05-06 21:21:00,1470936125.86242,7945768389.28851,0,0,0,0,0,0</t>
  </si>
  <si>
    <t>2025-05-06 21:21:00,1532637618.03807,2709446185.89612,0,0,0,0,0,0</t>
  </si>
  <si>
    <t>2025-05-06 21:21:00,3313549.18511786,35058.6324839916,-144.9,-5,-1961.046,-62.07,0.0139736687146169,-0.98</t>
  </si>
  <si>
    <t>2025-05-06 21:21:00,28635173.6568159,16114.6289636495,0,0,0,0,0,0</t>
  </si>
  <si>
    <t>2025-05-06 21:22:00,575,,561,,575,,558.5,,,,,570,550,562,557</t>
  </si>
  <si>
    <t>2025-05-06 21:22:00,490,,485,,470,,480,,,,,490,480,478,482</t>
  </si>
  <si>
    <t>2025-05-06 21:22:00,5800,,5700,,,5700,5650,,,,,5700,5450,5610,5650</t>
  </si>
  <si>
    <t>2025-05-06 21:22:00,19475,,,,19475,,19925,,,,,19900,19300,19500,19400</t>
  </si>
  <si>
    <t>2025-05-06 21:22:00,1475190122.52384,7983293229.73263,0,0,0,0,0,0</t>
  </si>
  <si>
    <t>2025-05-06 21:22:00,1557954727.91755,2737911942.02053,0,0,0,0,0,0</t>
  </si>
  <si>
    <t>2025-05-06 21:22:00,3261258.45402322,33449.1722974491,-364.906666666667,-26,-1057.29786666667,-70.14,0.0113032468312792,-1.48</t>
  </si>
  <si>
    <t>2025-05-06 21:22:00,28639088.8208711,16033.6840710205,0,0,0,0,0,0</t>
  </si>
  <si>
    <t>2025-05-06 21:23:00,575,,561,,575,,558.5,,,,,570,550,562,557</t>
  </si>
  <si>
    <t>2025-05-06 21:23:00,490,,485,,470,,480,,,,,490,480,478,482</t>
  </si>
  <si>
    <t>2025-05-06 21:23:00,5800,,5700,,,5700,5650,,,,,5700,5450,5610,5650</t>
  </si>
  <si>
    <t>2025-05-06 21:23:00,19475,,,,19475,,19925,,,,,19900,19300,19500,19400</t>
  </si>
  <si>
    <t>2025-05-06 21:23:00,1335023573.28505,8107761500.41866,0,0,0,0,0,0</t>
  </si>
  <si>
    <t>2025-05-06 21:23:00,1507026917.43232,2603853057.04453,0,0,0,0,0,0</t>
  </si>
  <si>
    <t>2025-05-06 21:23:00,3312220.92751414,20747.1649009959,-151.486666666667,-19,-3003.80753333334,-92.16,0.0245737488137937,-1.73</t>
  </si>
  <si>
    <t>2025-05-06 21:23:00,28615018.677134,14395.7416279175,0,0,0,0,0,0</t>
  </si>
  <si>
    <t>2025-05-06 21:24:00,575,,561,,575,,558.5,,,,,570,550,562,557</t>
  </si>
  <si>
    <t>2025-05-06 21:24:00,490,,485,,470,,480,,,,,490,480,478,482</t>
  </si>
  <si>
    <t>2025-05-06 21:24:00,5800,,5700,,,5700,5650,,,,,5700,5450,5610,5650</t>
  </si>
  <si>
    <t>2025-05-06 21:24:00,19475,,,,19475,,19925,,,,,19900,19300,19500,19400</t>
  </si>
  <si>
    <t>2025-05-06 21:24:00,1286815921.85701,7118618279.71585,0,0,0,0,0,0</t>
  </si>
  <si>
    <t>2025-05-06 21:24:00,1434686545.48962,2364002682.91483,0,0,0,0,0,0</t>
  </si>
  <si>
    <t>2025-05-06 21:24:00,3752828.67399957,-16689.2834880044,-688.375,-34,-25876.07075,-921.38,0.109720342482747,-17.94</t>
  </si>
  <si>
    <t>2025-05-06 21:24:00,28468330.5694646,3918.71183105246,0,0,0,0,0,0</t>
  </si>
  <si>
    <t>2025-05-06 21:25:00,575,,561,,575,,557.5,,,,,570,550,562,557</t>
  </si>
  <si>
    <t>2025-05-06 21:25:00,490,,485,,470,,480,,,,,490,480,478,482</t>
  </si>
  <si>
    <t>2025-05-06 21:25:00,5800,,5700,,,5700,5650,,,,,5700,5450,5610,5650</t>
  </si>
  <si>
    <t>2025-05-06 21:25:00,19475,,,19300,19475,,19925,,,,,19900,19300,19500,19400</t>
  </si>
  <si>
    <t>2025-05-06 21:25:00,1188166609.65083,6684284073.98209,0,0,0,0,0,0</t>
  </si>
  <si>
    <t>2025-05-06 21:25:00,1392481110.86615,2256736419.57659,0,0,0,0,0,0</t>
  </si>
  <si>
    <t>2025-05-06 21:25:00,3801497.52542761,-255779.786357363,-474.556666666667,-35,-8103.43536666668,-362.21,0.0433214355325735,-6.67</t>
  </si>
  <si>
    <t>2025-05-06 21:25:00,28381664.3473524,-523.851597851517,0,0,0,0,0,0</t>
  </si>
  <si>
    <t>2025-05-06 21:26:00,575,,561,,575,,558.5,,,,,570,550,562,557</t>
  </si>
  <si>
    <t>2025-05-06 21:26:00,490,,485,,470,,480,,,,,490,480,478,482</t>
  </si>
  <si>
    <t>2025-05-06 21:26:00,5800,,5700,,,5700,5650,,,,,5700,5450,5610,5650</t>
  </si>
  <si>
    <t>2025-05-06 21:26:00,19475,,,,19475,,19925,,,,,19900,19300,19500,19400</t>
  </si>
  <si>
    <t>2025-05-06 21:26:00,1228493159.79575,6396077571.85653,0,0,0,0,0,0</t>
  </si>
  <si>
    <t>2025-05-06 21:26:00,1435683536.06989,2364239213.86696,0,0,0,0,0,0</t>
  </si>
  <si>
    <t>2025-05-06 21:26:00,3694611.78122004,-49876.7101242205,-617.68,-29,-7074.26639999999,-236.35,0.014042202879733,-4.98</t>
  </si>
  <si>
    <t>2025-05-06 21:26:00,28450356.1640565,3772.86962949065,0,0,0,0,0,0</t>
  </si>
  <si>
    <t>2025-05-06 21:27:00,575,,561,,575,,557.5,,,,,570,550,562,557</t>
  </si>
  <si>
    <t>2025-05-06 21:27:00,490,,485,,470,,480,,,,,490,480,478,482</t>
  </si>
  <si>
    <t>2025-05-06 21:27:00,5800,,5700,,,5700,5650,,,,,5700,5450,5610,5650</t>
  </si>
  <si>
    <t>2025-05-06 21:27:00,19475,,,,19475,,19925,,,,,19900,19300,19500,19400</t>
  </si>
  <si>
    <t>2025-05-06 21:27:00,1224502081.29351,6875804958.3895,0,0,0,0,0,0</t>
  </si>
  <si>
    <t>2025-05-06 21:27:00,1402931695.49885,2234790682.50353,0,0,0,0,0,0</t>
  </si>
  <si>
    <t>2025-05-06 21:27:00,3786138.01511879,-29412.0213470926,-378.501515151514,-27,-2061.91981818182,-185.93,-0.0699784977975191,-5.11</t>
  </si>
  <si>
    <t>2025-05-06 21:27:00,28416367.1566106,1282.84631558058,0,0,0,0,0,0</t>
  </si>
  <si>
    <t>2025-05-06 21:28:00,575,,561,,575,,557.5,,,,,570,550,562,557</t>
  </si>
  <si>
    <t>2025-05-06 21:28:00,490,,485,,470,,480,,,,,490,480,478,482</t>
  </si>
  <si>
    <t>2025-05-06 21:28:00,5800,,5700,,,5700,5650,,,,,5700,5450,5610,5650</t>
  </si>
  <si>
    <t>2025-05-06 21:28:00,19475,,,,19475,,19925,,,,,19900,19300,19500,19400</t>
  </si>
  <si>
    <t>2025-05-06 21:28:00,1214206419.23814,6840203874.48835,0,0,0,0,0,0</t>
  </si>
  <si>
    <t>2025-05-06 21:28:00,1401247153.57694,2251165200.0639,0,0,0,0,0,0</t>
  </si>
  <si>
    <t>2025-05-06 21:28:00,3791070.77283143,-30024.2347333904,-31.9499999999999,-1,-1807.4115,-56.57,0.0050888378718555,-1</t>
  </si>
  <si>
    <t>2025-05-06 21:28:00,28420416.4327729,1548.00833170915,0,0,0,0,0,0</t>
  </si>
  <si>
    <t>2025-05-06 21:29:00,575,,561,,575,,558.5,,,,,570,550,562,557</t>
  </si>
  <si>
    <t>2025-05-06 21:29:00,490,,485,,470,,480,,,,,490,480,478,482</t>
  </si>
  <si>
    <t>2025-05-06 21:29:00,5800,,5700,,,5700,5650,,,,,5700,5450,5610,5650</t>
  </si>
  <si>
    <t>2025-05-06 21:29:00,19475,,,,19475,,19925,,,,,19900,19300,19500,19400</t>
  </si>
  <si>
    <t>2025-05-06 21:29:00,1283402913.23503,7140783783.94305,0,0,0,0,0,0</t>
  </si>
  <si>
    <t>2025-05-06 21:29:00,1435821733.28634,2364380239.08764,0,0,0,0,0,0</t>
  </si>
  <si>
    <t>2025-05-06 21:29:00,3789980.70641753,-12949.3819703956,-146.466666666667,-15,-754.477666666667,-52.34,-0.0289386397252653,-1.9</t>
  </si>
  <si>
    <t>2025-05-06 21:29:00,28471675.1048227,4488.23517271694,0,0,0,0,0,0</t>
  </si>
  <si>
    <t>2025-05-06 21:30:00,575,,561,,575,,558.5,,,,,570,550,562,557</t>
  </si>
  <si>
    <t>2025-05-06 21:30:00,490,,485,,470,,480,,,,,490,480,478,482</t>
  </si>
  <si>
    <t>2025-05-06 21:30:00,5800,,5700,,,5700,5650,,,,,5700,5450,5610,5650</t>
  </si>
  <si>
    <t>2025-05-06 21:30:00,19475,,,,19475,,19925,,,,,19900,19300,19500,19400</t>
  </si>
  <si>
    <t>2025-05-06 21:30:00,1295888028.8322,7247786373.01326,0,0,0,0,0,0</t>
  </si>
  <si>
    <t>2025-05-06 21:30:00,1431277610.88791,2343102046.0473,0,0,0,0,0,0</t>
  </si>
  <si>
    <t>2025-05-06 21:30:00,3733733.64407037,-13134.2449257312,-55.1166666666667,-4,-296.707166666667,-16.49,-0.00182595858007677,-0.42</t>
  </si>
  <si>
    <t>2025-05-06 21:30:00,28475043.5785785,4393.03973983003,0,0,0,0,0,0</t>
  </si>
  <si>
    <t>2025-05-06 21:31:00,575,,561,,575,,558.5,,,,,570,550,562,557</t>
  </si>
  <si>
    <t>2025-05-06 21:31:00,490,,485,,470,,480,,,,,490,480,478,482</t>
  </si>
  <si>
    <t>2025-05-06 21:31:00,5800,,5700,,,5700,5650,,,,,5700,5450,5610,5650</t>
  </si>
  <si>
    <t>2025-05-06 21:31:00,19475,,,,19475,,19925,,,,,19900,19300,19500,19400</t>
  </si>
  <si>
    <t>2025-05-06 21:31:00,1340675576.16398,7676647817.97305,0,0,0,0,0,0</t>
  </si>
  <si>
    <t>2025-05-06 21:31:00,1454605445.63861,2468266163.16515,0,0,0,0,0,0</t>
  </si>
  <si>
    <t>2025-05-06 21:31:00,3636769.59493264,-15500.9367441911,-4.33333333333334,-1,-6.28333333333334,-1.45,0.000738000181601303,-0.03</t>
  </si>
  <si>
    <t>2025-05-06 21:31:00,28498548.4089371,6273.2462317148,0,0,0,0,0,0</t>
  </si>
  <si>
    <t>2025-05-06 21:32:00,575,,561,,575,,557.5,,,,,570,550,562,557</t>
  </si>
  <si>
    <t>2025-05-06 21:32:00,490,,485,,470,,480,,,,,490,480,478,482</t>
  </si>
  <si>
    <t>2025-05-06 21:32:00,5800,,5700,,,5700,5650,,,,,5700,5450,5610,5650</t>
  </si>
  <si>
    <t>2025-05-06 21:32:00,19475,,,19300,19475,,19925,,,,,19900,19300,19500,19400</t>
  </si>
  <si>
    <t>2025-05-06 21:32:00,1225199058.89937,6879257988.42812,0,0,0,0,0,0</t>
  </si>
  <si>
    <t>2025-05-06 21:32:00,1396871680.49964,2261263573.32934,0,0,0,0,0,0</t>
  </si>
  <si>
    <t>2025-05-06 21:32:00,3704977.60057515,-23622.1887281625,-67.9102564102563,-6,-1289.85,-236.7,-0.00594472321563846,-1.93</t>
  </si>
  <si>
    <t>2025-05-06 21:32:00,28400092.3617638,-243.88320204716,0,0,0,0,0,0</t>
  </si>
  <si>
    <t>2025-05-06 21:33:00,575,,561,,575,,558.5,,,,,570,550,562,557</t>
  </si>
  <si>
    <t>2025-05-06 21:33:00,490,,485,,470,,480,,,,,490,480,478,482</t>
  </si>
  <si>
    <t>2025-05-06 21:33:00,5800,,5700,,,5700,5650,,,,,5700,5450,5610,5650</t>
  </si>
  <si>
    <t>2025-05-06 21:33:00,19475,,,,19475,,19925,,,,,19900,19300,19500,19400</t>
  </si>
  <si>
    <t>2025-05-06 21:33:00,1328165636.00081,7567864010.79006,0,0,0,0,0,0</t>
  </si>
  <si>
    <t>2025-05-06 21:33:00,1461485382.1536,2498227696.20593,0,0,0,0,0,0</t>
  </si>
  <si>
    <t>2025-05-06 21:33:00,3614822.3736305,-11304.1739992942,-40,-2,-160,-8,0.00265235777193583,-0.12</t>
  </si>
  <si>
    <t>2025-05-06 21:33:00,28524830.2611944,7919.87819790163,0,0,0,0,0,0</t>
  </si>
  <si>
    <t>2025-05-06 21:34:00,575,,561,,575,,558.5,,,,,570,550,562,557</t>
  </si>
  <si>
    <t>2025-05-06 21:34:00,490,,485,,470,,480,,,,,490,480,478,482</t>
  </si>
  <si>
    <t>2025-05-06 21:34:00,5800,,5700,,,5700,5650,,,,,5700,5450,5610,5650</t>
  </si>
  <si>
    <t>2025-05-06 21:34:00,19475,,,,19475,,19925,,,,,19900,19300,19500,19400</t>
  </si>
  <si>
    <t>2025-05-06 21:34:00,1257783786.4117,6933152489.42369,0,0,0,0,0,0</t>
  </si>
  <si>
    <t>2025-05-06 21:34:00,1416697503.63324,2287834348.27247,0,0,0,0,0,0</t>
  </si>
  <si>
    <t>2025-05-06 21:34:00,3707293.7567495,-24769.804831705,-107.833333333333,-6,-1787.31666666667,-71.2,0.00396469053837312,-1.5</t>
  </si>
  <si>
    <t>2025-05-06 21:34:00,28440135.4820028,2667.19797796465,0,0,0,0,0,0</t>
  </si>
  <si>
    <t>2025-05-06 21:35:00,575,,561,,575,,558.5,,,,,570,550,562,557</t>
  </si>
  <si>
    <t>2025-05-06 21:35:00,490,,485,,470,,480,,,,,490,480,478,482</t>
  </si>
  <si>
    <t>2025-05-06 21:35:00,5800,,5700,,,5700,5650,,,,,5700,5450,5610,5650</t>
  </si>
  <si>
    <t>2025-05-06 21:35:00,19475,,,,19475,,19925,,,,,19900,19300,19500,19400</t>
  </si>
  <si>
    <t>2025-05-06 21:35:00,1290892776.61206,7211804244.96247,0,0,0,0,0,0</t>
  </si>
  <si>
    <t>2025-05-06 21:35:00,1439097236.85335,2385246115.92515,0,0,0,0,0,0</t>
  </si>
  <si>
    <t>2025-05-06 21:35:00,3698561.09697697,-18865.0559843124,-30.2,-3,-90.5379999999999,-8.39,0.00048891466450163,-0.17</t>
  </si>
  <si>
    <t>2025-05-06 21:35:00,28472161.3547545,4509.38121690589,0,0,0,0,0,0</t>
  </si>
  <si>
    <t>2025-05-06 21:36:00,575,,561,,575,,558.5,,,,,570,550,562,557</t>
  </si>
  <si>
    <t>2025-05-06 21:36:00,490,,485,,470,,480,,,,,490,480,478,482</t>
  </si>
  <si>
    <t>2025-05-06 21:36:00,5800,,5700,,,5700,5650,,,,,5700,5450,5610,5650</t>
  </si>
  <si>
    <t>2025-05-06 21:36:00,19475,,,,19475,,19925,,,,,19900,19300,19500,19400</t>
  </si>
  <si>
    <t>2025-05-06 21:36:00,1384925151.32533,8083872269.9275,0,0,0,0,0,0</t>
  </si>
  <si>
    <t>2025-05-06 21:36:00,1492712814.8714,2493091505.38211,0,0,0,0,0,0</t>
  </si>
  <si>
    <t>2025-05-06 21:36:00,3389528.91906781,-1832.48918925341,-110.663333333333,-5,-1441.59373333333,-60.64,0.00244854136138235,-1.27</t>
  </si>
  <si>
    <t>2025-05-06 21:36:00,28576560.0681233,10818.4557384766,0,0,0,0,0,0</t>
  </si>
  <si>
    <t>2025-05-06 21:37:00,575,,561,,575,,558.5,,,,,570,550,562,557</t>
  </si>
  <si>
    <t>2025-05-06 21:37:00,490,,485,,470,,480,,,,,490,480,478,482</t>
  </si>
  <si>
    <t>2025-05-06 21:37:00,5800,,5700,,,5700,5650,,,,,5700,5450,5610,5650</t>
  </si>
  <si>
    <t>2025-05-06 21:37:00,19475,,,,19475,,19925,,,,,19900,19300,19500,19400</t>
  </si>
  <si>
    <t>2025-05-06 21:37:00,1368924207.44021,7889585076.63788,0,0,0,0,0,0</t>
  </si>
  <si>
    <t>2025-05-06 21:37:00,1480164325.7566,2558488208.24441,0,0,0,0,0,0</t>
  </si>
  <si>
    <t>2025-05-06 21:37:00,3458595.78141848,-5800.52622151139,-57.92,-5,-960.2152,-37.86,-2.07527388915098E-07,-0.81</t>
  </si>
  <si>
    <t>2025-05-06 21:37:00,28565300.9005833,10289.4413256787,0,0,0,0,0,0</t>
  </si>
  <si>
    <t>2025-05-06 21:38:00,575,,561,,575,,558.5,,,,,570,550,562,557</t>
  </si>
  <si>
    <t>2025-05-06 21:38:00,490,,485,,470,,480,,,,,490,480,478,482</t>
  </si>
  <si>
    <t>2025-05-06 21:38:00,5800,,5700,,,5700,5650,,,,,5700,5450,5610,5650</t>
  </si>
  <si>
    <t>2025-05-06 21:38:00,19475,,,,19475,,19925,,,,,19900,19300,19500,19400</t>
  </si>
  <si>
    <t>2025-05-06 21:38:00,1391121769.14988,8216782475.89596,0,0,0,0,0,0</t>
  </si>
  <si>
    <t>2025-05-06 21:38:00,1503893935.86647,2509610793.47514,0,0,0,0,0,0</t>
  </si>
  <si>
    <t>2025-05-06 21:38:00,3284175.8178404,-24114.2882392127,-1244.00507246377,-101,-9173.82010144929,-539.78,0.108849181146216,-8.77</t>
  </si>
  <si>
    <t>2025-05-06 21:38:00,28608017.3322113,13015.1166673685,0,0,0,0,0,0</t>
  </si>
  <si>
    <t>2025-05-06 21:39:00,575,,561,,575,,558.5,,,,,570,550,562,557</t>
  </si>
  <si>
    <t>2025-05-06 21:39:00,490,,485,,470,,482,,,,,490,480,478,482</t>
  </si>
  <si>
    <t>2025-05-06 21:39:00,5800,,5700,,,5700,5650,,,,,5700,5500,5610,5650</t>
  </si>
  <si>
    <t>2025-05-06 21:39:00,19475,,,,19475,,19925,,,,,19900,19300,19500,19400</t>
  </si>
  <si>
    <t>2025-05-06 21:39:00,1395197312.71183,8154694890.87781,0,0,0,0,0,0</t>
  </si>
  <si>
    <t>2025-05-06 21:39:00,1492107457.6777,2126000250.02812,0,0,0,0,0,0</t>
  </si>
  <si>
    <t>2025-05-06 21:39:00,3246219.94459984,-51224.6183951397,-928.231666666667,-72,-7699.07165000001,-392.78,0.0852318036000664,-6.81</t>
  </si>
  <si>
    <t>2025-05-06 21:39:00,28596806.4158286,12521.9818563919,0,0,0,0,0,0</t>
  </si>
  <si>
    <t>2025-05-06 21:40:00,575,,561,,575,,558.5,,,,,570,550,562,557</t>
  </si>
  <si>
    <t>2025-05-06 21:40:00,490,,485,,470,,480,,,,,490,480,478,482</t>
  </si>
  <si>
    <t>2025-05-06 21:40:00,5800,,5700,,,5700,5650,,,,,5700,5500,5610,5650</t>
  </si>
  <si>
    <t>2025-05-06 21:40:00,19475,,,,19475,,19925,,,,,19900,19300,19500,19400</t>
  </si>
  <si>
    <t>2025-05-06 21:40:00,1346078022.4647,7746008307.62666,0,0,0,0,0,0</t>
  </si>
  <si>
    <t>2025-05-06 21:40:00,1482186975.68094,2562728058.4002,0,0,0,0,0,0</t>
  </si>
  <si>
    <t>2025-05-06 21:40:00,3384475.83279233,-62707.7141201682,0,0,0,0,0,0</t>
  </si>
  <si>
    <t>2025-05-06 21:40:00,28538010.5406395,8338.96851564766,0,0,0,0,0,0</t>
  </si>
  <si>
    <t>2025-05-06 21:41:00,575,,561,,575,,558.5,,,,,570,550,562,557</t>
  </si>
  <si>
    <t>2025-05-06 21:41:00,490,,485,,470,,480,,,,,490,480,478,482</t>
  </si>
  <si>
    <t>2025-05-06 21:41:00,5800,,5700,,,5700,5650,,,,,5700,5500,5610,5650</t>
  </si>
  <si>
    <t>2025-05-06 21:41:00,19475,,,,19475,,19925,,,,,19900,19300,19500,19400</t>
  </si>
  <si>
    <t>2025-05-06 21:41:00,1300224317.20376,7212154904.25168,0,0,0,0,0,0</t>
  </si>
  <si>
    <t>2025-05-06 21:41:00,1435729510.79047,2373962202.81618,0,0,0,0,0,0</t>
  </si>
  <si>
    <t>2025-05-06 21:41:00,3609307.45411125,-69710.3546874385,-34,-2,-269.9,-14.9,-0.000201670384888365,-0.34</t>
  </si>
  <si>
    <t>2025-05-06 21:41:00,28493128.777572,5630.67476859597,0,0,0,0,0,0</t>
  </si>
  <si>
    <t>2025-05-06 21:42:00,575,,561,,575,,558.5,,,,,570,550,562,557</t>
  </si>
  <si>
    <t>2025-05-06 21:42:00,490,,485,,470,,480,,,,,490,480,478,482</t>
  </si>
  <si>
    <t>2025-05-06 21:42:00,5800,,5700,,,5700,5650,,,,,5700,5500,5610,5650</t>
  </si>
  <si>
    <t>2025-05-06 21:42:00,19475,,,,19475,,19925,,,,,19900,19300,19500,19400</t>
  </si>
  <si>
    <t>2025-05-06 21:42:00,1324527679.94423,7595084701.10171,0,0,0,0,0,0</t>
  </si>
  <si>
    <t>2025-05-06 21:42:00,1458871655.41293,2488916765.02684,0,0,0,0,0,0</t>
  </si>
  <si>
    <t>2025-05-06 21:42:00,3511621.53120461,-58525.1829076333,0,0,0,0,0,0</t>
  </si>
  <si>
    <t>2025-05-06 21:42:00,28518896.0002936,6577.20756123009,0,0,0,0,0,0</t>
  </si>
  <si>
    <t>2025-05-06 21:43:00,575,,561,,575,,557.5,,,,,570,550,562,557</t>
  </si>
  <si>
    <t>2025-05-06 21:43:00,490,,485,,470,,480,,,,,490,480,478,482</t>
  </si>
  <si>
    <t>2025-05-06 21:43:00,5800,,5700,,,5700,5650,,,,,5700,5500,5610,5650</t>
  </si>
  <si>
    <t>2025-05-06 21:43:00,19475,,,19300,19475,,19925,,,,,19900,19300,19500,19400</t>
  </si>
  <si>
    <t>2025-05-06 21:43:00,1203402208.37531,6792204185.04704,0,0,0,0,0,0</t>
  </si>
  <si>
    <t>2025-05-06 21:43:00,1382122733.5173,2215476848.9427,0,0,0,0,0,0</t>
  </si>
  <si>
    <t>2025-05-06 21:43:00,3602938.69754053,-86507.9130156132,-212.25,-18,-5374.38666666666,-213.21,0.00745162278203888,-4.14</t>
  </si>
  <si>
    <t>2025-05-06 21:43:00,28395859.2633292,-627.523688009808,0,0,0,0,0,0</t>
  </si>
  <si>
    <t>2025-05-06 21:44:00,575,,561,,575,,557.5,,,,,570,550,562,557</t>
  </si>
  <si>
    <t>2025-05-06 21:44:00,490,,485,,470,,480,,,,,490,480,478,482</t>
  </si>
  <si>
    <t>2025-05-06 21:44:00,5800,,5700,,,5700,5650,,,,,5700,5500,5610,5650</t>
  </si>
  <si>
    <t>2025-05-06 21:44:00,19475,,,19300,19475,,19925,,,,,19900,19300,19500,19400</t>
  </si>
  <si>
    <t>2025-05-06 21:44:00,1207612365.16603,6816770019.82477,0,0,0,0,0,0</t>
  </si>
  <si>
    <t>2025-05-06 21:44:00,1403001479.19425,2236270554.41195,0,0,0,0,0,0</t>
  </si>
  <si>
    <t>2025-05-06 21:44:00,3624651.49004645,-96704.3045136535,-477.891666666666,-27,-3693.08541666666,-169.3,0.0272551947960897,-3.23</t>
  </si>
  <si>
    <t>2025-05-06 21:44:00,28380594.6613062,-1720.02715451992,0,0,0,0,0,0</t>
  </si>
  <si>
    <t>2025-05-06 21:45:00,575,,561,,575,,557.5,,,,,570,550,562,557</t>
  </si>
  <si>
    <t>2025-05-06 21:45:00,490,,485,,470,,480,,,,,490,480,478,482</t>
  </si>
  <si>
    <t>2025-05-06 21:45:00,5800,,5700,,,5700,5650,,,,,5700,5500,5610,5650</t>
  </si>
  <si>
    <t>2025-05-06 21:45:00,19475,,,19300,19475,,19925,,,,,19900,19300,19500,19400</t>
  </si>
  <si>
    <t>2025-05-06 21:45:00,1222798137.25915,6877111119.8393,0,0,0,0,0,0</t>
  </si>
  <si>
    <t>2025-05-06 21:45:00,1371249440.87636,2167938008.23128,0,0,0,0,0,0</t>
  </si>
  <si>
    <t>2025-05-06 21:45:00,3448629.35397241,-342826.71560168,-285.24,-22,-2649.4262,-139.56,0.0330162027709455,-2.86</t>
  </si>
  <si>
    <t>2025-05-06 21:45:00,28370186.8514101,-2432.35963192936,0,0,0,0,0,0</t>
  </si>
  <si>
    <t>2025-05-06 21:46:00,575,,561,,575,,557.5,,,,,570,550,562,557</t>
  </si>
  <si>
    <t>2025-05-06 21:46:00,490,,485,,470,,480,,,,,490,480,478,482</t>
  </si>
  <si>
    <t>2025-05-06 21:46:00,5800,,5700,,,5700,5650,,,,,5700,5500,5610,5650</t>
  </si>
  <si>
    <t>2025-05-06 21:46:00,19475,,,19300,19475,,19925,,,,,19900,19300,19500,19400</t>
  </si>
  <si>
    <t>2025-05-06 21:46:00,1156214243.97829,6436534954.9958,0,0,0,0,0,0</t>
  </si>
  <si>
    <t>2025-05-06 21:46:00,1366698229.1388,2147473878.82044,0,0,0,0,0,0</t>
  </si>
  <si>
    <t>2025-05-06 21:46:00,3683773.50290652,-296018.414474363,-113.94,-7,-1922.7134,-86.56,-0.00157654174988264,-1.95</t>
  </si>
  <si>
    <t>2025-05-06 21:46:00,28346520.6159777,-3531.65409991269,0,0,0,0,0,0</t>
  </si>
  <si>
    <t>2025-05-06 21:47:00,575,,561,,575,,557.5,,,,,570,550,562,557</t>
  </si>
  <si>
    <t>2025-05-06 21:47:00,490,,485,,470,,480,,,,,490,480,478,482</t>
  </si>
  <si>
    <t>2025-05-06 21:47:00,5800,,5700,,,5700,5650,,,,,5700,5500,5610,5650</t>
  </si>
  <si>
    <t>2025-05-06 21:47:00,19475,,,19300,19475,,19925,,,,,19900,19300,19500,19400</t>
  </si>
  <si>
    <t>2025-05-06 21:47:00,1156222190.97103,6438325838.72218,0,0,0,0,0,0</t>
  </si>
  <si>
    <t>2025-05-06 21:47:00,1366719847.44573,2147790796.365,0,0,0,0,0,0</t>
  </si>
  <si>
    <t>2025-05-06 21:47:00,3723588.62628806,-289003.694382791,-17.9166666666667,-2,-67.0083333333333,-5.9,-0.000324120629052269,-0.13</t>
  </si>
  <si>
    <t>2025-05-06 21:47:00,28336327.4558316,-4241.143832356,0,0,0,0,0,0</t>
  </si>
  <si>
    <t>2025-05-06 21:48:00,575,,561,,575,,557.5,,,,,570,550,562,557</t>
  </si>
  <si>
    <t>2025-05-06 21:48:00,490,,485,,470,,480,,,,,490,480,478,482</t>
  </si>
  <si>
    <t>2025-05-06 21:48:00,5800,,5700,,,5700,5650,,,,,5700,5500,5610,5650</t>
  </si>
  <si>
    <t>2025-05-06 21:48:00,19475,,,19300,19475,,19925,,,,,19900,19300,19500,19400</t>
  </si>
  <si>
    <t>2025-05-06 21:48:00,1143130677.27953,6341449613.8315,0,0,0,0,0,0</t>
  </si>
  <si>
    <t>2025-05-06 21:48:00,1352838673.27505,2092272901.91627,0,0,0,0,0,0</t>
  </si>
  <si>
    <t>2025-05-06 21:48:00,3824396.48592574,-273654.553601518,-53.5333333333334,-2,-1944.60133333333,-63.48,0.0179920927278191,-1.16</t>
  </si>
  <si>
    <t>2025-05-06 21:48:00,28336053.4525087,-4571.35819871458,0,0,0,0,0,0</t>
  </si>
  <si>
    <t>2025-05-06 21:49:00,575,,561,,575,,557.5,,,,,570,550,562,557</t>
  </si>
  <si>
    <t>2025-05-06 21:49:00,490,,485,,470,,480,,,,,490,480,478,482</t>
  </si>
  <si>
    <t>2025-05-06 21:49:00,5800,,,5640,,5700,5650,,,,,5700,5500,5610,5650</t>
  </si>
  <si>
    <t>2025-05-06 21:49:00,19475,,,19300,19475,,19925,,,,,19900,19300,19500,19400</t>
  </si>
  <si>
    <t>2025-05-06 21:49:00,1185683602.90851,6683064223.31318,0,0,0,0,0,0</t>
  </si>
  <si>
    <t>2025-05-06 21:49:00,1381930043.86632,2215697277.91889,0,0,0,0,0,0</t>
  </si>
  <si>
    <t>2025-05-06 21:49:00,3504186.04101149,-425838.892657467,-44.1666666666666,-2,-1339.2,-54.8,0.0125699177694496,-0.92</t>
  </si>
  <si>
    <t>2025-05-06 21:49:00,28383747.0835738,-1440.33322783624,0,0,0,0,0,0</t>
  </si>
  <si>
    <t>2025-05-06 21:50:00,575,,561,,575,,557.5,,,,,570,550,562,557</t>
  </si>
  <si>
    <t>2025-05-06 21:50:00,490,,485,,470,,480,,,,,490,480,478,482</t>
  </si>
  <si>
    <t>2025-05-06 21:50:00,5800,,5700,,,5700,5650,,,,,5700,5500,5610,5650</t>
  </si>
  <si>
    <t>2025-05-06 21:50:00,19475,,,19300,19475,,19925,,,,,19900,19300,19500,19400</t>
  </si>
  <si>
    <t>2025-05-06 21:50:00,1161728343.9139,6472998140.32168,0,0,0,0,0,0</t>
  </si>
  <si>
    <t>2025-05-06 21:50:00,1368038953.19085,2157617950.15661,0,0,0,0,0,0</t>
  </si>
  <si>
    <t>2025-05-06 21:50:00,3843012.2511313,-94478.9048936433,-56.7083333333332,-5,-402.685916666665,-19.35,-0.0120547384117659,-0.72</t>
  </si>
  <si>
    <t>2025-05-06 21:50:00,28371875.5015143,-3052.01731173354,0,0,0,0,0,0</t>
  </si>
  <si>
    <t>2025-05-06 21:51:00,575,,561,,575,,557.5,,,,,570,550,562,557</t>
  </si>
  <si>
    <t>2025-05-06 21:51:00,490,,485,,470,,480,,,,,490,480,478,482</t>
  </si>
  <si>
    <t>2025-05-06 21:51:00,5800,,5700,,,5700,5650,,,,,5700,5500,5610,5650</t>
  </si>
  <si>
    <t>2025-05-06 21:51:00,19475,,,,19475,,19925,,,,,19900,19300,19500,19400</t>
  </si>
  <si>
    <t>2025-05-06 21:51:00,1206721850.71921,6815921531.17994,0,0,0,0,0,0</t>
  </si>
  <si>
    <t>2025-05-06 21:51:00,1394701390.8417,2260020490.04278,0,0,0,0,0,0</t>
  </si>
  <si>
    <t>2025-05-06 21:51:00,3768672.62088747,-103458.172072306,-154.59,-7,-4415.0984,-176.82,0.0343347020319825,-3.01</t>
  </si>
  <si>
    <t>2025-05-06 21:51:00,28414232.6225915,61.8163179261114,0,0,0,0,0,0</t>
  </si>
  <si>
    <t>2025-05-06 21:52:00,575,,561,,575,,557.5,,,,,570,550,562,557</t>
  </si>
  <si>
    <t>2025-05-06 21:52:00,490,,485,,470,,480,,,,,490,480,478,482</t>
  </si>
  <si>
    <t>2025-05-06 21:52:00,5800,,5700,,,5700,5650,,,,,5700,5500,5610,5650</t>
  </si>
  <si>
    <t>2025-05-06 21:52:00,19475,,,19300,19475,,19925,,,,,19900,19300,19500,19400</t>
  </si>
  <si>
    <t>2025-05-06 21:52:00,1194104086.36076,6739309767.13086,0,0,0,0,0,0</t>
  </si>
  <si>
    <t>2025-05-06 21:52:00,1387911424.62787,2245661611.66825,0,0,0,0,0,0</t>
  </si>
  <si>
    <t>2025-05-06 21:52:00,3545727.66622922,-359027.657242713,-25.02,-1,-372.5478,-14.89,-0.00313336248211115,-0.38</t>
  </si>
  <si>
    <t>2025-05-06 21:52:00,28393708.5885,-1090.21633698008,0,0,0,0,0,0</t>
  </si>
  <si>
    <t>2025-05-06 21:53:00,575,,561,,575,,558.5,,,,,570,550,562,557</t>
  </si>
  <si>
    <t>2025-05-06 21:53:00,490,,485,,470,,480,,,,,490,480,478,482</t>
  </si>
  <si>
    <t>2025-05-06 21:53:00,5800,,5700,,,5700,5650,,,,,5700,5500,5610,5650</t>
  </si>
  <si>
    <t>2025-05-06 21:53:00,19475,,,,19475,,19925,,,,,19900,19300,19500,19400</t>
  </si>
  <si>
    <t>2025-05-06 21:53:00,1229172812.3628,6789271131.14902,0,0,0,0,0,0</t>
  </si>
  <si>
    <t>2025-05-06 21:53:00,1404874127.68155,2207208718.32959,0,0,0,0,0,0</t>
  </si>
  <si>
    <t>2025-05-06 21:53:00,3692094.70361185,-103096.487750258,-48.3333333333333,-4,-444.499999999999,-26.5,0.00415305644362167,-0.48</t>
  </si>
  <si>
    <t>2025-05-06 21:53:00,28435647.2636882,1423.85444762184,0,0,0,0,0,0</t>
  </si>
  <si>
    <t>2025-05-06 21:54:00,575,,561,,575,,557.5,,,,,570,550,562,557</t>
  </si>
  <si>
    <t>2025-05-06 21:54:00,490,,485,,470,,480,,,,,490,480,478,482</t>
  </si>
  <si>
    <t>2025-05-06 21:54:00,5800,,5700,,,5700,5650,,,,,5700,5500,5610,5650</t>
  </si>
  <si>
    <t>2025-05-06 21:54:00,19475,,,19300,19475,,19925,,,,,19900,19300,19500,19400</t>
  </si>
  <si>
    <t>2025-05-06 21:54:00,1179691656.8694,6623784442.04265,0,0,0,0,0,0</t>
  </si>
  <si>
    <t>2025-05-06 21:54:00,1377948463.77588,2197068349.44027,0,0,0,0,0,0</t>
  </si>
  <si>
    <t>2025-05-06 21:54:00,3399648.73669606,-351739.826937101,-223.333333333333,-20,-806.333333333333,-71,0.0268617678767541,-1.2</t>
  </si>
  <si>
    <t>2025-05-06 21:54:00,28385016.5095674,-1681.14925968203,0,0,0,0,0,0</t>
  </si>
  <si>
    <t>2025-05-06 21:55:00,575,,561,,575,,557.5,,,,,570,550,562,557</t>
  </si>
  <si>
    <t>2025-05-06 21:55:00,490,,485,,470,,480,,,,,490,480,478,482</t>
  </si>
  <si>
    <t>2025-05-06 21:55:00,5800,,5700,,,5700,5650,,,,,5700,5500,5610,5650</t>
  </si>
  <si>
    <t>2025-05-06 21:55:00,19475,,,19300,19475,,19925,,,,,19900,19300,19500,19400</t>
  </si>
  <si>
    <t>2025-05-06 21:55:00,1168228869.09754,6531494656.16135,0,0,0,0,0,0</t>
  </si>
  <si>
    <t>2025-05-06 21:55:00,1366821642.30391,2147492325.99814,0,0,0,0,0,0</t>
  </si>
  <si>
    <t>2025-05-06 21:55:00,3633633.71459242,-330032.197664655,0,0,0,0,0,0</t>
  </si>
  <si>
    <t>2025-05-06 21:55:00,28360779.2742088,-3230.23040084709,0,0,0,0,0,0</t>
  </si>
  <si>
    <t>2025-05-06 21:56:00,575,,561,,575,,558.5,,,,,570,550,562,557</t>
  </si>
  <si>
    <t>2025-05-06 21:56:00,490,,485,,470,,480,,,,,490,480,478,482</t>
  </si>
  <si>
    <t>2025-05-06 21:56:00,5800,,5700,,,5700,5650,,,,,5700,5500,5610,5650</t>
  </si>
  <si>
    <t>2025-05-06 21:56:00,19475,,,,19475,,19925,,,,,19900,19300,19500,19400</t>
  </si>
  <si>
    <t>2025-05-06 21:56:00,1228757850.09565,6788705276.43888,0,0,0,0,0,0</t>
  </si>
  <si>
    <t>2025-05-06 21:56:00,1405850363.55536,2120540735.44926,0,0,0,0,0,0</t>
  </si>
  <si>
    <t>2025-05-06 21:56:00,3657781.50118907,-113508.987477508,-66.6333333333334,-8,-209.651,-23.86,0.00918168839152628,-0.38</t>
  </si>
  <si>
    <t>2025-05-06 21:56:00,28438648.1478509,1696.86079192865,0,0,0,0,0,0</t>
  </si>
  <si>
    <t>2025-05-06 21:57:00,575,,561,,575,,558.5,,,,,570,550,562,557</t>
  </si>
  <si>
    <t>2025-05-06 21:57:00,490,,485,,470,,480,,,,,490,480,478,482</t>
  </si>
  <si>
    <t>2025-05-06 21:57:00,5800,,5700,,,5700,5650,,,,,5700,5500,5610,5650</t>
  </si>
  <si>
    <t>2025-05-06 21:57:00,19475,,,,19475,,19925,,,,,19900,19300,19500,19400</t>
  </si>
  <si>
    <t>2025-05-06 21:57:00,1292489137.25037,7247879657.36568,0,0,0,0,0,0</t>
  </si>
  <si>
    <t>2025-05-06 21:57:00,1437597159.25451,2375984328.11454,0,0,0,0,0,0</t>
  </si>
  <si>
    <t>2025-05-06 21:57:00,3674811.05158352,-103300.853215437,-246.625,-14,-2810.78058333333,-112.99,0.0208727588586042,-2.1</t>
  </si>
  <si>
    <t>2025-05-06 21:57:00,28493723.6520968,4583.95194254701,0,0,0,0,0,0</t>
  </si>
  <si>
    <t>2025-05-06 21:58:00,575,,561,,575,,558.5,,,,,570,550,562,557</t>
  </si>
  <si>
    <t>2025-05-06 21:58:00,490,,485,,470,,480,,,,,490,480,478,482</t>
  </si>
  <si>
    <t>2025-05-06 21:58:00,5800,,5700,,,5700,5650,,,,,5700,5500,5610,5650</t>
  </si>
  <si>
    <t>2025-05-06 21:58:00,19475,,,,19475,,19925,,,,,19900,19300,19500,19400</t>
  </si>
  <si>
    <t>2025-05-06 21:58:00,1280597565.58287,7142952941.74148,0,0,0,0,0,0</t>
  </si>
  <si>
    <t>2025-05-06 21:58:00,1425100281.96109,2311736210.73446,0,0,0,0,0,0</t>
  </si>
  <si>
    <t>2025-05-06 21:58:00,3622695.6386869,-102053.707839806,-180.4,-14,-543.108,-40.28,-0.0367022619011384,-1.93</t>
  </si>
  <si>
    <t>2025-05-06 21:58:00,28472634.0677503,3180.29963130669,0,0,0,0,0,0</t>
  </si>
  <si>
    <t>2025-05-06 21:59:00,575,,561,,575,,558.5,,,,,570,550,562,557</t>
  </si>
  <si>
    <t>2025-05-06 21:59:00,490,,485,,470,,480,,,,,490,480,478,482</t>
  </si>
  <si>
    <t>2025-05-06 21:59:00,5800,,5700,,,5700,5650,,,,,5700,5500,5610,5650</t>
  </si>
  <si>
    <t>2025-05-06 21:59:00,19475,,,,19475,,19925,,,,,19900,19300,19500,19400</t>
  </si>
  <si>
    <t>2025-05-06 21:59:00,1288655793.46531,7212871500.29752,0,0,0,0,0,0</t>
  </si>
  <si>
    <t>2025-05-06 21:59:00,1427225441.29775,2322607761.2613,0,0,0,0,0,0</t>
  </si>
  <si>
    <t>2025-05-06 21:59:00,3669364.2645045,-91621.7012833973,-127.725,-10,-620.563750000001,-31.27,-0.0265873689851711,-1.37</t>
  </si>
  <si>
    <t>2025-05-06 21:59:00,28477856.6333643,3235.58205412047,0,0,0,0,0,0</t>
  </si>
  <si>
    <t>2025-05-06 22:00:00,575,,561,,575,,558.5,,,,,570,550,562,557</t>
  </si>
  <si>
    <t>2025-05-06 22:00:00,490,,485,,470,,480,,,,,490,480,478,482</t>
  </si>
  <si>
    <t>2025-05-06 22:00:00,5800,,5700,,,5700,5650,,,,,5700,5500,5610,5650</t>
  </si>
  <si>
    <t>2025-05-06 22:00:00,19475,,,,19475,,19925,,,,,19900,19300,19500,19400</t>
  </si>
  <si>
    <t>2025-05-06 22:00:00,1280520406.6979,7142177977.86543,0,0,0,0,0,0</t>
  </si>
  <si>
    <t>2025-05-06 22:00:00,1416387460.05436,2288992566.65342,0,0,0,0,0,0</t>
  </si>
  <si>
    <t>2025-05-06 22:00:00,3599130.20656468,-99441.8293936216,-5,-1,-4,-0.8,-0.00209838919517448,-0.05</t>
  </si>
  <si>
    <t>2025-05-06 22:00:00,28461803.5253376,2300.71847412005,0,0,0,0,0,0</t>
  </si>
  <si>
    <t>2025-05-06 22:01:00,575,,561,,575,,558.5,,,,,570,550,562,557</t>
  </si>
  <si>
    <t>2025-05-06 22:01:00,490,,485,,470,,480,,,,,490,480,478,482</t>
  </si>
  <si>
    <t>2025-05-06 22:01:00,5800,,5700,,,5700,5650,,,,,5700,5500,5610,5650</t>
  </si>
  <si>
    <t>2025-05-06 22:01:00,19475,,,,19475,,19925,,,,,19900,19300,19500,19400</t>
  </si>
  <si>
    <t>2025-05-06 22:01:00,1305059243.18634,7388957284.38439,0,0,0,0,0,0</t>
  </si>
  <si>
    <t>2025-05-06 22:01:00,1433702464.44308,2355218100.20518,0,0,0,0,0,0</t>
  </si>
  <si>
    <t>2025-05-06 22:01:00,3600308.09727877,-90680.1800496982,-152.133333333333,-21,-1698.44533333333,-76.07,0.0131319630188462,-1.61</t>
  </si>
  <si>
    <t>2025-05-06 22:01:00,28495189.3116955,4194.08965072227,0,0,0,0,0,0</t>
  </si>
  <si>
    <t>2025-05-06 22:02:00,575,,561,,575,,558.5,,,,,570,550,562,557</t>
  </si>
  <si>
    <t>2025-05-06 22:02:00,490,,485,,470,,480,,,,,490,480,478,482</t>
  </si>
  <si>
    <t>2025-05-06 22:02:00,5800,,5700,,,5700,5650,,,,,5700,5500,5610,5650</t>
  </si>
  <si>
    <t>2025-05-06 22:02:00,19475,,,,19475,,19925,,,,,19900,19300,19500,19400</t>
  </si>
  <si>
    <t>2025-05-06 22:02:00,1344938326.49868,7749369025.83782,0,0,0,0,0,0</t>
  </si>
  <si>
    <t>2025-05-06 22:02:00,1452294861.24645,2459006471.91771,0,0,0,0,0,0</t>
  </si>
  <si>
    <t>2025-05-06 22:02:00,3483391.19081656,-66896.3353058121,-289.575,-23,-1219.74575,-83.05,-0.068642888574558,-4.02</t>
  </si>
  <si>
    <t>2025-05-06 22:02:00,28534390.368639,6473.88681903706,0,0,0,0,0,0</t>
  </si>
  <si>
    <t>2025-05-06 22:03:00,575,,561,,575,,558.5,,,,,570,550,562,557</t>
  </si>
  <si>
    <t>2025-05-06 22:03:00,490,,485,,470,,480,,,,,490,480,478,482</t>
  </si>
  <si>
    <t>2025-05-06 22:03:00,5800,,5700,,,5700,5650,,,,,5700,5500,5610,5650</t>
  </si>
  <si>
    <t>2025-05-06 22:03:00,19475,,,,19475,,19925,,,,,19900,19300,19500,19400</t>
  </si>
  <si>
    <t>2025-05-06 22:03:00,1344918831.77654,7748376269.78266,0,0,0,0,0,0</t>
  </si>
  <si>
    <t>2025-05-06 22:03:00,1452365204.33837,2459154429.13529,0,0,0,0,0,0</t>
  </si>
  <si>
    <t>2025-05-06 22:03:00,3434050.20743532,-71837.7480605713,-5.49999999999999,-1,-4.4,-0.8,-0.002139599244465,-0.05</t>
  </si>
  <si>
    <t>2025-05-06 22:03:00,28527699.3204234,6141.58639211378,0,0,0,0,0,0</t>
  </si>
  <si>
    <t>2025-05-06 22:04:00,575,,561,,575,,558.5,,,,,570,550,562,557</t>
  </si>
  <si>
    <t>2025-05-06 22:04:00,490,,485,,470,,480,,,,,490,480,478,482</t>
  </si>
  <si>
    <t>2025-05-06 22:04:00,5800,,5700,,,5700,5650,,,,,5700,5500,5610,5650</t>
  </si>
  <si>
    <t>2025-05-06 22:04:00,19475,,,,19475,,19925,,,,,19900,19300,19500,19400</t>
  </si>
  <si>
    <t>2025-05-06 22:04:00,1357633140.89834,7821712120.57559,0,0,0,0,0,0</t>
  </si>
  <si>
    <t>2025-05-06 22:04:00,1456622295.88392,2480108032.41556,0,0,0,0,0,0</t>
  </si>
  <si>
    <t>2025-05-06 22:04:00,3391895.75297582,-68341.9295597771,-52.9999999999999,-4,-186.8,-13.1,-0.00705474844929191,-0.51</t>
  </si>
  <si>
    <t>2025-05-06 22:04:00,28539837.412096,6789.83337325582,0,0,0,0,0,0</t>
  </si>
  <si>
    <t>2025-05-06 22:05:00,575,,561,,575,,558.5,,,,,570,550,562,557</t>
  </si>
  <si>
    <t>2025-05-06 22:05:00,490,,485,,470,,480,,,,,490,480,478,482</t>
  </si>
  <si>
    <t>2025-05-06 22:05:00,5800,,5700,,,5700,5650,,,,,5700,5500,5610,5650</t>
  </si>
  <si>
    <t>2025-05-06 22:05:00,19475,,,,19475,,19925,,,,,19900,19300,19500,19400</t>
  </si>
  <si>
    <t>2025-05-06 22:05:00,1388908967.19735,8207398359.71257,0,0,0,0,0,0</t>
  </si>
  <si>
    <t>2025-05-06 22:05:00,1485763411.60837,2566544016.0426,0,0,0,0,0,0</t>
  </si>
  <si>
    <t>2025-05-06 22:05:00,3269193.39743671,-86785.7610363444,-1456,-100,-5811.6,-396.9,0.123977572203264,-5.96</t>
  </si>
  <si>
    <t>2025-05-06 22:05:00,28587044.3503308,9834.08687706785,0,0,0,0,0,0</t>
  </si>
  <si>
    <t>2025-05-06 22:06:00,575,,561,,575,,558.5,,,,,570,550,562,557</t>
  </si>
  <si>
    <t>2025-05-06 22:06:00,490,,485,,470,,480,,,,,490,480,478,482</t>
  </si>
  <si>
    <t>2025-05-06 22:06:00,5800,,5700,,,5700,5650,,,,,5700,5500,5610,5650</t>
  </si>
  <si>
    <t>2025-05-06 22:06:00,19475,,,,19475,,19925,,,,,19900,19300,19500,19400</t>
  </si>
  <si>
    <t>2025-05-06 22:06:00,1371171333.5175,8214199541.21681,0,0,0,0,0,0</t>
  </si>
  <si>
    <t>2025-05-06 22:06:00,1491048330.53998,2534937296.35611,0,0,0,0,0,0</t>
  </si>
  <si>
    <t>2025-05-06 22:06:00,3226252.31498166,-83021.0191563019,-241.933333333334,-9,-4735.33333333334,-145,0.0112773219010808,-3.51</t>
  </si>
  <si>
    <t>2025-05-06 22:06:00,28599544.3648132,10357.1291599298,0,0,0,0,0,0</t>
  </si>
  <si>
    <t>2025-05-06 22:07:00,575,,561,,575,,558.5,,,,,570,550,562,557</t>
  </si>
  <si>
    <t>2025-05-06 22:07:00,490,,485,,470,,480,,,,,490,480,478,482</t>
  </si>
  <si>
    <t>2025-05-06 22:07:00,5800,,5700,,,5700,5650,,,,,5700,5500,5610,5650</t>
  </si>
  <si>
    <t>2025-05-06 22:07:00,19475,,,,19475,,19925,,,,,19900,19300,19500,19400</t>
  </si>
  <si>
    <t>2025-05-06 22:07:00,1328739385.27566,8181832501.42377,0,0,0,0,0,0</t>
  </si>
  <si>
    <t>2025-05-06 22:07:00,1491117823.96214,2535735290.82109,0,0,0,0,0,0</t>
  </si>
  <si>
    <t>2025-05-06 22:07:00,3271785.85132991,-79563.3467365826,0,0,0,0,0,0</t>
  </si>
  <si>
    <t>2025-05-06 22:07:00,28607083.5905519,10854.8489085753,0,0,0,0,0,0</t>
  </si>
  <si>
    <t>2025-05-06 22:08:00,575,,561,,575,,558.5,,,,,570,550,562,557</t>
  </si>
  <si>
    <t>2025-05-06 22:08:00,490,,485,,470,,480,,,,,490,480,478,482</t>
  </si>
  <si>
    <t>2025-05-06 22:08:00,5800,,5700,,,5700,5650,,,,,5700,5500,5610,5650</t>
  </si>
  <si>
    <t>2025-05-06 22:08:00,19475,,,,19475,,19925,,,,,19900,19300,19500,19400</t>
  </si>
  <si>
    <t>2025-05-06 22:08:00,1379697453.33584,8056642633.40318,0,0,0,0,0,0</t>
  </si>
  <si>
    <t>2025-05-06 22:08:00,1454291227.56919,2469970843.6374,0,0,0,0,0,0</t>
  </si>
  <si>
    <t>2025-05-06 22:08:00,3343915.5047354,-94306.6264598199,-48.6333333333333,-3,-194.785,-11.6,-0.0040019449077016,-0.37</t>
  </si>
  <si>
    <t>2025-05-06 22:08:00,28544201.4655175,6699.19472283767,0,0,0,0,0,0</t>
  </si>
  <si>
    <t>2025-05-06 22:09:00,575,,561,,575,,558.5,,,,,570,550,562,557</t>
  </si>
  <si>
    <t>2025-05-06 22:09:00,490,,485,,470,,480,,,,,490,480,478,482</t>
  </si>
  <si>
    <t>2025-05-06 22:09:00,5800,,5700,,,5700,5650,,,,,5700,5500,5610,5650</t>
  </si>
  <si>
    <t>2025-05-06 22:09:00,19475,,,,19475,,19925,,,,,19900,19300,19500,19400</t>
  </si>
  <si>
    <t>2025-05-06 22:09:00,1376830359.00905,8025559639.05226,0,0,0,0,0,0</t>
  </si>
  <si>
    <t>2025-05-06 22:09:00,1461036709.90146,2499890349.75077,0,0,0,0,0,0</t>
  </si>
  <si>
    <t>2025-05-06 22:09:00,3335137.13791302,-93934.2418627523,-194.1,-9,-3141.796,-112.34,0.00794042761847867,-2.32</t>
  </si>
  <si>
    <t>2025-05-06 22:09:00,28559649.1762052,7641.90476402236,0,0,0,0,0,0</t>
  </si>
  <si>
    <t>2025-05-06 22:10:00,575,,561,,575,,558.5,,,,,570,550,562,557</t>
  </si>
  <si>
    <t>2025-05-06 22:10:00,490,,485,,470,,480,,,,,490,480,478,482</t>
  </si>
  <si>
    <t>2025-05-06 22:10:00,5800,,5700,,,5700,5650,,,,,5700,5500,5610,5650</t>
  </si>
  <si>
    <t>2025-05-06 22:10:00,19475,,,,19475,,19925,,,,,19900,19300,19500,19400</t>
  </si>
  <si>
    <t>2025-05-06 22:10:00,1331986667.70302,8040808180.77224,0,0,0,0,0,0</t>
  </si>
  <si>
    <t>2025-05-06 22:10:00,1492515368.89779,2501854746.21631,0,0,0,0,0,0</t>
  </si>
  <si>
    <t>2025-05-06 22:10:00,3206857.04493605,-81734.1943812127,-33.1999999999999,-2,-352.875333333333,-16.27,0.00392731681585431,-0.25</t>
  </si>
  <si>
    <t>2025-05-06 22:10:00,28609796.288077,10834.4281126342,0,0,0,0,0,0</t>
  </si>
  <si>
    <t>2025-05-06 22:11:00,575,,561,,575,,559.5,,,,,570,550,562,557</t>
  </si>
  <si>
    <t>2025-05-06 22:11:00,490,,485,,470,,480,,,,,490,480,478,482</t>
  </si>
  <si>
    <t>2025-05-06 22:11:00,5800,,5700,,,5700,5650,,,,,5700,5500,5610,5650</t>
  </si>
  <si>
    <t>2025-05-06 22:11:00,19475,,,,19475,,19925,,,,,19900,19300,19500,19400</t>
  </si>
  <si>
    <t>2025-05-06 22:11:00,1300699860.51393,6400132009.45104,0,0,0,0,0,0</t>
  </si>
  <si>
    <t>2025-05-06 22:11:00,1500408481.59831,2501876883.32557,0,0,0,0,0,0</t>
  </si>
  <si>
    <t>2025-05-06 22:11:00,3127708.46839533,-83156.9619711234,-97.4400000000001,-3,-2823.2202,-82.13,0.0160716958778542,-1.61</t>
  </si>
  <si>
    <t>2025-05-06 22:11:00,28632069.750212,12671.1216102647,0,0,0,0,0,0</t>
  </si>
  <si>
    <t>2025-05-06 22:12:00,575,,561,,575,,558.5,,,,,570,550,562,557</t>
  </si>
  <si>
    <t>2025-05-06 22:12:00,490,,485,,470,,480,,,,,490,480,478,482</t>
  </si>
  <si>
    <t>2025-05-06 22:12:00,5800,,5700,,,5700,5650,,,,,5700,5500,5610,5650</t>
  </si>
  <si>
    <t>2025-05-06 22:12:00,19475,,,,19475,,19925,,,,,19900,19300,19500,19400</t>
  </si>
  <si>
    <t>2025-05-06 22:12:00,1470661431.90563,8002744968.95978,0,0,0,0,0,0</t>
  </si>
  <si>
    <t>2025-05-06 22:12:00,1519095890.9421,2647157865.43139,0,0,0,0,0,0</t>
  </si>
  <si>
    <t>2025-05-06 22:12:00,3209205.66691205,-56310.2222695137,-706.233333333335,-27,-4039.588,-139.37,-0.0421174296599447,-4.23</t>
  </si>
  <si>
    <t>2025-05-06 22:12:00,28684881.6893255,15914.7110448145,0,0,0,0,0,0</t>
  </si>
  <si>
    <t>2025-05-06 22:13:00,575,,561,,575,,558.5,,,,,570,550,562,557</t>
  </si>
  <si>
    <t>2025-05-06 22:13:00,490,,485,,470,,480,,,,,490,480,478,482</t>
  </si>
  <si>
    <t>2025-05-06 22:13:00,5800,,5700,,,5700,5650,,,,,5700,5500,5610,5650</t>
  </si>
  <si>
    <t>2025-05-06 22:13:00,19475,,,,19475,,19925,,,,,19900,19300,19500,19400</t>
  </si>
  <si>
    <t>2025-05-06 22:13:00,1474754246.97435,8040127712.38046,0,0,0,0,0,0</t>
  </si>
  <si>
    <t>2025-05-06 22:13:00,1521880671.78737,2659672834.36396,0,0,0,0,0,0</t>
  </si>
  <si>
    <t>2025-05-06 22:13:00,3233176.31711887,-58601.020648742,-223.666666666666,-11,-1140.7,-56.1,0.0146055482479424,-0.77</t>
  </si>
  <si>
    <t>2025-05-06 22:13:00,28685283.4599745,15853.8114688555,0,0,0,0,0,0</t>
  </si>
  <si>
    <t>2025-05-06 22:14:00,575,,561,,575,,558.5,,,,,570,550,562,557</t>
  </si>
  <si>
    <t>2025-05-06 22:14:00,490,,485,,470,,480,,,,,490,480,478,482</t>
  </si>
  <si>
    <t>2025-05-06 22:14:00,5800,,5700,,,5700,5650,,,,,5700,5500,5610,5650</t>
  </si>
  <si>
    <t>2025-05-06 22:14:00,19475,,,,19475,,19925,,,,,19900,19300,19500,19400</t>
  </si>
  <si>
    <t>2025-05-06 22:14:00,1490403862.4237,8186881342.61605,0,0,0,0,0,0</t>
  </si>
  <si>
    <t>2025-05-06 22:14:00,1534608837.94063,2728898406.85601,0,0,0,0,0,0</t>
  </si>
  <si>
    <t>2025-05-06 22:14:00,3017846.92169591,-59104.0383077815,-41.6533333333335,-2,-680.399733333336,-20.62,0.00155477330516409,-0.36</t>
  </si>
  <si>
    <t>2025-05-06 22:14:00,28703205.9417425,17211.6880217726,0,0,0,0,0,0</t>
  </si>
  <si>
    <t>2025-05-06 22:15:00,575,,561,,575,,558.5,,,,,570,550,562,557</t>
  </si>
  <si>
    <t>2025-05-06 22:15:00,490,,485,,470,,482,,,,,490,480,478,482</t>
  </si>
  <si>
    <t>2025-05-06 22:15:00,5800,,5700,,,5700,5650,,,,,5700,5500,5610,5650</t>
  </si>
  <si>
    <t>2025-05-06 22:15:00,19475,,,,19475,,19925,,,,,19900,19300,19500,19400</t>
  </si>
  <si>
    <t>2025-05-06 22:15:00,1343175054.27242,7572205844.58162,0,0,0,0,0,0</t>
  </si>
  <si>
    <t>2025-05-06 22:15:00,1495940525.20763,2135447972.49394,0,0,0,0,0,0</t>
  </si>
  <si>
    <t>2025-05-06 22:15:00,3142952.42897186,-70347.1223580665,-90.5999999999999,-6,-563.854666666667,-27.33,-0.00328815169786849,-0.69</t>
  </si>
  <si>
    <t>2025-05-06 22:15:00,28640734.1960555,12402.3338950394,0,0,0,0,0,0</t>
  </si>
  <si>
    <t>2025-05-06 22:16:00,575,,561,,575,,558.5,,,,,570,550,562,557</t>
  </si>
  <si>
    <t>2025-05-06 22:16:00,490,,485,,470,,480,,,,,490,480,478,482</t>
  </si>
  <si>
    <t>2025-05-06 22:16:00,5800,,5700,,,5700,5650,,,,,5700,5500,5610,5650</t>
  </si>
  <si>
    <t>2025-05-06 22:16:00,19475,,,,19475,,19925,,,,,19900,19300,19500,19400</t>
  </si>
  <si>
    <t>2025-05-06 22:16:00,1387021300.35854,8220724599.30283,0,0,0,0,0,0</t>
  </si>
  <si>
    <t>2025-05-06 22:16:00,1480090153.51938,2560935932.56539,0,0,0,0,0,0</t>
  </si>
  <si>
    <t>2025-05-06 22:16:00,3210105.05401791,-83995.3088000076,-22.25,-2,-76.8999999999999,-5.8,-0.00567001415680543,-0.29</t>
  </si>
  <si>
    <t>2025-05-06 22:16:00,28590279.4789125,8956.90290069291,0,0,0,0,0,0</t>
  </si>
  <si>
    <t>2025-05-06 22:17:00,575,,561,,575,,558.5,,,,,570,550,562,557</t>
  </si>
  <si>
    <t>2025-05-06 22:17:00,490,,485,,470,,480,,,,,490,480,478,482</t>
  </si>
  <si>
    <t>2025-05-06 22:17:00,5800,,5700,,,5700,5650,,,,,5700,5500,5610,5650</t>
  </si>
  <si>
    <t>2025-05-06 22:17:00,19475,,,,19475,,19925,,,,,19900,19300,19500,19400</t>
  </si>
  <si>
    <t>2025-05-06 22:17:00,1381456162.36494,8087630207.87064,0,0,0,0,0,0</t>
  </si>
  <si>
    <t>2025-05-06 22:17:00,1463165227.54149,2510068454.28215,0,0,0,0,0,0</t>
  </si>
  <si>
    <t>2025-05-06 22:17:00,3099949.32739232,-94976.5235049639,-122.666666666666,-5,-2768.28866666665,-79.04,0.0165451444292353,-1.27</t>
  </si>
  <si>
    <t>2025-05-06 22:17:00,28569474.7373469,8005.79056224759,0,0,0,0,0,0</t>
  </si>
  <si>
    <t>2025-05-06 22:18:00,575,,561,,575,,558.5,,,,,570,550,562,557</t>
  </si>
  <si>
    <t>2025-05-06 22:18:00,490,,485,,470,,480,,,,,490,480,478,482</t>
  </si>
  <si>
    <t>2025-05-06 22:18:00,5800,,5700,,,5700,5650,,,,,5700,5500,5610,5650</t>
  </si>
  <si>
    <t>2025-05-06 22:18:00,19475,,,,19475,,19925,,,,,19900,19300,19500,19400</t>
  </si>
  <si>
    <t>2025-05-06 22:18:00,1356229600.22513,7820858089.70065,0,0,0,0,0,0</t>
  </si>
  <si>
    <t>2025-05-06 22:18:00,1449913544.76276,2449205199.97853,0,0,0,0,0,0</t>
  </si>
  <si>
    <t>2025-05-06 22:18:00,3258130.79897613,-79194.3636621125,-457.866666666667,-41,-2970.34,-167.45,-0.0693440366914287,-6.01</t>
  </si>
  <si>
    <t>2025-05-06 22:18:00,28539050.3671863,5917.63039289796,0,0,0,0,0,0</t>
  </si>
  <si>
    <t>2025-05-06 22:19:00,575,,561,,575,,558.5,,,,,570,550,562,557</t>
  </si>
  <si>
    <t>2025-05-06 22:19:00,490,,485,,470,,480,,,,,490,480,478,482</t>
  </si>
  <si>
    <t>2025-05-06 22:19:00,5800,,5700,,,5700,5650,,,,,5700,5500,5610,5650</t>
  </si>
  <si>
    <t>2025-05-06 22:19:00,19475,,,,19475,,19925,,,,,19900,19300,19500,19400</t>
  </si>
  <si>
    <t>2025-05-06 22:19:00,1375579268.35394,8025905849.88961,0,0,0,0,0,0</t>
  </si>
  <si>
    <t>2025-05-06 22:19:00,1456687368.82245,2480620377.59104,0,0,0,0,0,0</t>
  </si>
  <si>
    <t>2025-05-06 22:19:00,3123023.55834563,-72643.7906259332,-41.6499999999999,-5,-72.2679999999998,-8.28,-0.0131789944716869,-0.49</t>
  </si>
  <si>
    <t>2025-05-06 22:19:00,28566513.7611822,7451.53421199101,0,0,0,0,0,0</t>
  </si>
  <si>
    <t>2025-05-06 22:20:00,575,,561,,575,,558.5,,,,,570,550,562,557</t>
  </si>
  <si>
    <t>2025-05-06 22:20:00,490,,485,,470,,480,,,,,490,480,478,482</t>
  </si>
  <si>
    <t>2025-05-06 22:20:00,5800,,5700,,,5700,5650,,,,,5700,5500,5610,5650</t>
  </si>
  <si>
    <t>2025-05-06 22:20:00,19475,,,,19475,,19925,,,,,19900,19300,19500,19400</t>
  </si>
  <si>
    <t>2025-05-06 22:20:00,1327811888.20236,7607049932.71142,0,0,0,0,0,0</t>
  </si>
  <si>
    <t>2025-05-06 22:20:00,1440001241.08875,2396261240.53249,0,0,0,0,0,0</t>
  </si>
  <si>
    <t>2025-05-06 22:20:00,3247115.19641467,-81609.8280877001,0,0,0,0,0,0</t>
  </si>
  <si>
    <t>2025-05-06 22:20:00,28521146.5087512,4734.52307692007,0,0,0,0,0,0</t>
  </si>
  <si>
    <t>2025-05-06 22:21:00,575,,561,,575,,558.5,,,,,570,550,562,557</t>
  </si>
  <si>
    <t>2025-05-06 22:21:00,490,,485,,470,,480,,,,,490,480,478,482</t>
  </si>
  <si>
    <t>2025-05-06 22:21:00,5800,,5700,,,5700,5650,,,,,5700,5500,5610,5650</t>
  </si>
  <si>
    <t>2025-05-06 22:21:00,19475,,,,19475,,19925,,,,,19900,19300,19500,19400</t>
  </si>
  <si>
    <t>2025-05-06 22:21:00,1307271947.45703,7426462144.25776,0,0,0,0,0,0</t>
  </si>
  <si>
    <t>2025-05-06 22:21:00,1431489389.63064,2345104772.65202,0,0,0,0,0,0</t>
  </si>
  <si>
    <t>2025-05-06 22:21:00,3273572.59319575,-95074.8308179513,-116.75,-5,-810.949999999999,-29.7,0.00811709135267912,-0.46</t>
  </si>
  <si>
    <t>2025-05-06 22:21:00,28506105.8944069,3806.21099305009,0,0,0,0,0,0</t>
  </si>
  <si>
    <t>2025-05-06 22:22:00,575,,561,,575,,558.5,,,,,570,550,562,557</t>
  </si>
  <si>
    <t>2025-05-06 22:22:00,490,,485,,470,,480,,,,,490,480,478,482</t>
  </si>
  <si>
    <t>2025-05-06 22:22:00,5800,,5700,,,5700,5650,,,,,5700,5500,5610,5650</t>
  </si>
  <si>
    <t>2025-05-06 22:22:00,19475,,,,19475,,19925,,,,,19900,19300,19500,19400</t>
  </si>
  <si>
    <t>2025-05-06 22:22:00,1297105990.36896,7319888906.04007,0,0,0,0,0,0</t>
  </si>
  <si>
    <t>2025-05-06 22:22:00,1425035686.68954,2312527865.49216,0,0,0,0,0,0</t>
  </si>
  <si>
    <t>2025-05-06 22:22:00,3250966.21205056,-106199.468123863,-172.15,-5,-5891.70450000002,-139.33,0.0342616103591765,-2.62</t>
  </si>
  <si>
    <t>2025-05-06 22:22:00,28484308.1768143,2073.91540819706,0,0,0,0,0,0</t>
  </si>
  <si>
    <t>2025-05-06 22:23:00,575,,561,,575,,558.5,,,,,570,550,562,557</t>
  </si>
  <si>
    <t>2025-05-06 22:23:00,490,,485,,470,,480,,,,,490,480,478,482</t>
  </si>
  <si>
    <t>2025-05-06 22:23:00,5800,,5700,,,5700,5650,,,,,5700,5500,5610,5650</t>
  </si>
  <si>
    <t>2025-05-06 22:23:00,19475,,,,19475,,19925,,,,,19900,19300,19500,19400</t>
  </si>
  <si>
    <t>2025-05-06 22:23:00,1307178326.14659,7425673261.7943,0,0,0,0,0,0</t>
  </si>
  <si>
    <t>2025-05-06 22:23:00,1435636883.21909,2366597919.82191,0,0,0,0,0,0</t>
  </si>
  <si>
    <t>2025-05-06 22:23:00,3413663.03894581,-97769.0136518654,-325.166666666667,-26,-1270.21666666667,-97.3,-0.0304284791576522,-3.12</t>
  </si>
  <si>
    <t>2025-05-06 22:23:00,28508005.3245832,3969.76854564719,0,0,0,0,0,0</t>
  </si>
  <si>
    <t>2025-05-06 22:24:00,575,,561,,575,,558.5,,,,,570,550,562,557</t>
  </si>
  <si>
    <t>2025-05-06 22:24:00,490,,485,,470,,480,,,,,490,480,478,482</t>
  </si>
  <si>
    <t>2025-05-06 22:24:00,5800,,5700,,,5700,5650,,,,,5700,5500,5610,5650</t>
  </si>
  <si>
    <t>2025-05-06 22:24:00,19475,,,,19475,,19925,,,,,19900,19300,19500,19400</t>
  </si>
  <si>
    <t>2025-05-06 22:24:00,1323399409.01829,7570352398.73775,0,0,0,0,0,0</t>
  </si>
  <si>
    <t>2025-05-06 22:24:00,1431565407.0844,2345186410.89483,0,0,0,0,0,0</t>
  </si>
  <si>
    <t>2025-05-06 22:24:00,3404342.61653675,-91926.9869354909,-3.33333333333333,-1,-1.5,-0.45,-0.00170157324443622,-0.03</t>
  </si>
  <si>
    <t>2025-05-06 22:24:00,28515769.6166726,4025.59394434586,0,0,0,0,0,0</t>
  </si>
  <si>
    <t>2025-05-06 22:25:00,575,,561,,575,,558.5,,,,,570,550,562,557</t>
  </si>
  <si>
    <t>2025-05-06 22:25:00,490,,485,,470,,480,,,,,490,480,478,482</t>
  </si>
  <si>
    <t>2025-05-06 22:25:00,5800,,5700,,,5700,5650,,,,,5700,5500,5610,5650</t>
  </si>
  <si>
    <t>2025-05-06 22:25:00,19475,,,,19475,,19925,,,,,19900,19300,19500,19400</t>
  </si>
  <si>
    <t>2025-05-06 22:25:00,1323065993.87411,7569025928.15925,0,0,0,0,0,0</t>
  </si>
  <si>
    <t>2025-05-06 22:25:00,1429599210.49401,2334575402.65994,0,0,0,0,0,0</t>
  </si>
  <si>
    <t>2025-05-06 22:25:00,3316639.25219933,-88217.8154228739,-22.5,-1,-89.9999999999999,-4,0.00126632249932428,-0.06</t>
  </si>
  <si>
    <t>2025-05-06 22:25:00,28519813.0618764,4116.67702437708,0,0,0,0,0,0</t>
  </si>
  <si>
    <t>2025-05-06 22:26:00,575,,561,,575,,558.5,,,,,570,550,562,557</t>
  </si>
  <si>
    <t>2025-05-06 22:26:00,490,,485,,470,,480,,,,,490,480,478,482</t>
  </si>
  <si>
    <t>2025-05-06 22:26:00,5800,,5700,,,5700,5650,,,,,5700,5500,5610,5650</t>
  </si>
  <si>
    <t>2025-05-06 22:26:00,19475,,,,19475,,19925,,,,,19900,19300,19500,19400</t>
  </si>
  <si>
    <t>2025-05-06 22:26:00,1327050002.94414,7605884605.04249,0,0,0,0,0,0</t>
  </si>
  <si>
    <t>2025-05-06 22:26:00,1440789646.08457,2405675413.14121,0,0,0,0,0,0</t>
  </si>
  <si>
    <t>2025-05-06 22:26:00,3260673.31488599,-92147.8942710318,-150,-10,-600,-40,0.0126639627394465,-0.6</t>
  </si>
  <si>
    <t>2025-05-06 22:26:00,28535730.172033,5064.61349011429,0,0,0,0,0,0</t>
  </si>
  <si>
    <t>2025-05-06 22:27:00,575,,561,,575,,558.5,,,,,570,550,562,557</t>
  </si>
  <si>
    <t>2025-05-06 22:27:00,490,,485,,470,,480,,,,,490,480,478,482</t>
  </si>
  <si>
    <t>2025-05-06 22:27:00,5800,,5700,,,5700,5650,,,,,5700,5500,5610,5650</t>
  </si>
  <si>
    <t>2025-05-06 22:27:00,19475,,,,19475,,19925,,,,,19900,19300,19500,19400</t>
  </si>
  <si>
    <t>2025-05-06 22:27:00,1334857229.16115,7678009914.68245,0,0,0,0,0,0</t>
  </si>
  <si>
    <t>2025-05-06 22:27:00,1437492065.07766,2377634790.07051,0,0,0,0,0,0</t>
  </si>
  <si>
    <t>2025-05-06 22:27:00,3280049.16681109,-94248.6223165407,-7.15000000000001,-1,-7.29300000000001,-1.02,-0.00235046015383087,-0.07</t>
  </si>
  <si>
    <t>2025-05-06 22:27:00,28526522.4072434,4425.22211247632,0,0,0,0,0,0</t>
  </si>
  <si>
    <t>2025-05-06 22:28:00,575,,561,,575,,558.5,,,,,570,550,562,557</t>
  </si>
  <si>
    <t>2025-05-06 22:28:00,490,,485,,470,,480,,,,,490,480,478,482</t>
  </si>
  <si>
    <t>2025-05-06 22:28:00,5800,,5700,,,5700,5650,,,,,5700,5500,5610,5650</t>
  </si>
  <si>
    <t>2025-05-06 22:28:00,19475,,,,19475,,19925,,,,,19900,19300,19500,19400</t>
  </si>
  <si>
    <t>2025-05-06 22:28:00,1338681134.00012,7715728542.13119,0,0,0,0,0,0</t>
  </si>
  <si>
    <t>2025-05-06 22:28:00,1437240091.24747,2377516809.78443,0,0,0,0,0,0</t>
  </si>
  <si>
    <t>2025-05-06 22:28:00,3235240.69199387,-97528.2978233864,-6.66666666666667,-1,-5.33333333333334,-0.8,-0.00213491135200513,-0.05</t>
  </si>
  <si>
    <t>2025-05-06 22:28:00,28521720.5959035,4228.83360849136,0,0,0,0,0,0</t>
  </si>
  <si>
    <t>2025-05-06 22:29:00,575,,561,,575,,558.5,,,,,570,550,562,557</t>
  </si>
  <si>
    <t>2025-05-06 22:29:00,490,,485,,470,,480,,,,,490,480,478,482</t>
  </si>
  <si>
    <t>2025-05-06 22:29:00,5800,,5700,,,5700,5650,,,,,5700,5500,5610,5650</t>
  </si>
  <si>
    <t>2025-05-06 22:29:00,19475,,,,19475,,19925,,,,,19900,19300,19500,19400</t>
  </si>
  <si>
    <t>2025-05-06 22:29:00,1338532075.85397,7714367659.36044,0,0,0,0,0,0</t>
  </si>
  <si>
    <t>2025-05-06 22:29:00,1435518384.27007,2367199326.54721,0,0,0,0,0,0</t>
  </si>
  <si>
    <t>2025-05-06 22:29:00,3192882.02182333,-109665.311343906,-321.666666666667,-71,-343.416666666667,-75.4,0.0434523155979406,-1.43</t>
  </si>
  <si>
    <t>2025-05-06 22:29:00,28509276.8401841,3244.69528904199,0,0,0,0,0,0</t>
  </si>
  <si>
    <t>2025-05-06 22:30:00,575,,561,,575,,558.5,,,,,570,550,562,557</t>
  </si>
  <si>
    <t>2025-05-06 22:30:00,490,,485,,470,,480,,,,,490,480,478,482</t>
  </si>
  <si>
    <t>2025-05-06 22:30:00,5800,,5700,,,5700,5650,,,,,5700,5500,5610,5650</t>
  </si>
  <si>
    <t>2025-05-06 22:30:00,19475,,,,19475,,19925,,,,,19900,19300,19500,19400</t>
  </si>
  <si>
    <t>2025-05-06 22:30:00,1346103761.68033,7785559308.4547,0,0,0,0,0,0</t>
  </si>
  <si>
    <t>2025-05-06 22:30:00,1442924921.16737,2417082147.54633,0,0,0,0,0,0</t>
  </si>
  <si>
    <t>2025-05-06 22:30:00,3193767.73757409,-101779.065008589,-48,-6,-152.175,-15.15,0.00556507768737532,-0.24</t>
  </si>
  <si>
    <t>2025-05-06 22:30:00,28533157.4130585,4684.85083238055,0,0,0,0,0,0</t>
  </si>
  <si>
    <t>2025-05-06 22:31:00,575,,561,,575,,558.5,,,,,570,550,562,557</t>
  </si>
  <si>
    <t>2025-05-06 22:31:00,490,,485,,470,,480,,,,,490,480,478,482</t>
  </si>
  <si>
    <t>2025-05-06 22:31:00,5800,,5700,,,5700,5650,,,,,5700,5500,5610,5650</t>
  </si>
  <si>
    <t>2025-05-06 22:31:00,19475,,,,19475,,19925,,,,,19900,19300,19500,19400</t>
  </si>
  <si>
    <t>2025-05-06 22:31:00,1338212886.82159,7714432442.74722,0,0,0,0,0,0</t>
  </si>
  <si>
    <t>2025-05-06 22:31:00,1422890420.35731,2302262983.75791,0,0,0,0,0,0</t>
  </si>
  <si>
    <t>2025-05-06 22:31:00,3182889.56683266,-114578.409362399,-45.42,-2,-520.6398,-21.32,-0.00130789141151403,-0.47</t>
  </si>
  <si>
    <t>2025-05-06 22:31:00,28504129.495233,2956.29731262457,0,0,0,0,0,0</t>
  </si>
  <si>
    <t>2025-05-06 22:32:00,575,,561,,575,,558.5,,,,,570,550,562,557</t>
  </si>
  <si>
    <t>2025-05-06 22:32:00,490,,485,,470,,480,,,,,490,480,478,482</t>
  </si>
  <si>
    <t>2025-05-06 22:32:00,5800,,5700,,,5700,5650,,,,,5700,5500,5610,5650</t>
  </si>
  <si>
    <t>2025-05-06 22:32:00,19475,,,,19475,,19925,,,,,19900,19300,19500,19400</t>
  </si>
  <si>
    <t>2025-05-06 22:32:00,1358300626.1245,7858542038.45426,0,0,0,0,0,0</t>
  </si>
  <si>
    <t>2025-05-06 22:32:00,1440137036.78922,2397105072.1697,0,0,0,0,0,0</t>
  </si>
  <si>
    <t>2025-05-06 22:32:00,3161583.68398209,-101041.169354787,-23.8,-2,-171.996,-8.02,0.000802285609660272,-0.12</t>
  </si>
  <si>
    <t>2025-05-06 22:32:00,28543755.1408234,5147.48916910696,0,0,0,0,0,0</t>
  </si>
  <si>
    <t>2025-05-06 22:33:00,575,,561,,575,,558.5,,,,,570,550,562,557</t>
  </si>
  <si>
    <t>2025-05-06 22:33:00,490,,485,,470,,480,,,,,490,480,478,482</t>
  </si>
  <si>
    <t>2025-05-06 22:33:00,5800,,5700,,,5700,5650,,,,,5700,5500,5610,5650</t>
  </si>
  <si>
    <t>2025-05-06 22:33:00,19475,,,,19475,,19925,,,,,19900,19300,19500,19400</t>
  </si>
  <si>
    <t>2025-05-06 22:33:00,1322050911.50627,7475608188.75818,0,0,0,0,0,0</t>
  </si>
  <si>
    <t>2025-05-06 22:33:00,1492472213.20006,2507692672.81755,0,0,0,0,0,0</t>
  </si>
  <si>
    <t>2025-05-06 22:33:00,3049149.40972447,-89971.5391604711,-136.166666666667,-8,-765.941666666668,-39.25,-0.00938882046764414,-1.16</t>
  </si>
  <si>
    <t>2025-05-06 22:33:00,28631018.2251204,10985.1047928916,0,0,0,0,0,0</t>
  </si>
  <si>
    <t>2025-05-06 22:34:00,575,,561,,575,,558.5,,,,,570,550,562,557</t>
  </si>
  <si>
    <t>2025-05-06 22:34:00,490,,485,,470,,480,,,,,490,480,478,482</t>
  </si>
  <si>
    <t>2025-05-06 22:34:00,5800,,5700,,,5700,5650,,,,,5700,5500,5610,5650</t>
  </si>
  <si>
    <t>2025-05-06 22:34:00,19475,,,,19475,,19925,,,,,19900,19300,19500,19400</t>
  </si>
  <si>
    <t>2025-05-06 22:34:00,1345161300.61149,8193497700.16065,0,0,0,0,0,0</t>
  </si>
  <si>
    <t>2025-05-06 22:34:00,1475865666.40895,2549878638.41537,0,0,0,0,0,0</t>
  </si>
  <si>
    <t>2025-05-06 22:34:00,3110198.16640219,-84220.2228791513,0,0,0,0,0,0</t>
  </si>
  <si>
    <t>2025-05-06 22:34:00,28606345.7123039,8998.4851715727,0,0,0,0,0,0</t>
  </si>
  <si>
    <t>2025-05-06 22:35:00,575,,561,,575,,558.5,,,,,570,550,562,557</t>
  </si>
  <si>
    <t>2025-05-06 22:35:00,490,,485,,470,,480,,,,,490,480,478,482</t>
  </si>
  <si>
    <t>2025-05-06 22:35:00,5800,,5700,,,5700,5650,,,,,5700,5500,5610,5650</t>
  </si>
  <si>
    <t>2025-05-06 22:35:00,19475,,,,19475,,19925,,,,,19900,19300,19500,19400</t>
  </si>
  <si>
    <t>2025-05-06 22:35:00,1328850173.02371,7890052832.08086,0,0,0,0,0,0</t>
  </si>
  <si>
    <t>2025-05-06 22:35:00,1487540789.05127,2565694351.05252,0,0,0,0,0,0</t>
  </si>
  <si>
    <t>2025-05-06 22:35:00,3258166.80767775,-80312.6383099368,-47.75,-2,-2092,-50.5,0.00317379976617192,-1.06</t>
  </si>
  <si>
    <t>2025-05-06 22:35:00,28624282.6902928,10256.9402213353,0,0,0,0,0,0</t>
  </si>
  <si>
    <t>2025-05-06 22:36:00,575,,561,,575,,558.5,,,,,570,550,562,557</t>
  </si>
  <si>
    <t>2025-05-06 22:36:00,490,,485,,470,,480,,,,,490,480,478,482</t>
  </si>
  <si>
    <t>2025-05-06 22:36:00,5800,,5700,,,5700,5650,,,,,5700,5500,5610,5650</t>
  </si>
  <si>
    <t>2025-05-06 22:36:00,19475,,,,19475,,19925,,,,,19900,19300,19500,19400</t>
  </si>
  <si>
    <t>2025-05-06 22:36:00,1452237571.42703,7870643598.81398,0,0,0,0,0,0</t>
  </si>
  <si>
    <t>2025-05-06 22:36:00,1506717123.87046,2614111329.60984,0,0,0,0,0,0</t>
  </si>
  <si>
    <t>2025-05-06 22:36:00,3049448.53767231,-51756.8336573898,-272.383333333333,-20,-1448.63933333333,-81.41,-0.047738959986852,-3.31</t>
  </si>
  <si>
    <t>2025-05-06 22:36:00,28689008.8297547,14534.7721646959,0,0,0,0,0,0</t>
  </si>
  <si>
    <t>2025-05-06 22:37:00,575,,561,,575,,558.5,,,,,570,550,562,557</t>
  </si>
  <si>
    <t>2025-05-06 22:37:00,490,,485,,470,,482,,,,,490,480,478,482</t>
  </si>
  <si>
    <t>2025-05-06 22:37:00,5800,,5700,,,5700,5650,,,,,5700,5500,5610,5650</t>
  </si>
  <si>
    <t>2025-05-06 22:37:00,19475,,,,19475,,19925,,,,,19900,19300,19500,19400</t>
  </si>
  <si>
    <t>2025-05-06 22:37:00,1357942025.00229,7719281318.49073,0,0,0,0,0,0</t>
  </si>
  <si>
    <t>2025-05-06 22:37:00,1494842750.31593,2125436398.23595,0,0,0,0,0,0</t>
  </si>
  <si>
    <t>2025-05-06 22:37:00,2948727.14916667,-70374.0824176346,-111.666666666667,-5,-1295.33333333333,-58,0.0126725464062893,-0.8</t>
  </si>
  <si>
    <t>2025-05-06 22:37:00,28652389.177032,11874.2165395874,0,0,0,0,0,0</t>
  </si>
  <si>
    <t>2025-05-06 22:38:00,575,,561,,575,,558.5,,,,,570,550,562,557</t>
  </si>
  <si>
    <t>2025-05-06 22:38:00,490,,485,,470,,480,,,,,490,480,478,482</t>
  </si>
  <si>
    <t>2025-05-06 22:38:00,5800,,5700,,,5700,5650,,,,,5700,5500,5610,5650</t>
  </si>
  <si>
    <t>2025-05-06 22:38:00,19475,,,,19475,,19925,,,,,19900,19300,19500,19400</t>
  </si>
  <si>
    <t>2025-05-06 22:38:00,1468344425.78864,8014576969.67024,0,0,0,0,0,0</t>
  </si>
  <si>
    <t>2025-05-06 22:38:00,1521114082.29046,2662055713.85995,0,0,0,0,0,0</t>
  </si>
  <si>
    <t>2025-05-06 22:38:00,2983507.46010098,-51769.7366604263,-43.5833333333333,-3,-191.8015,-10.75,-0.00390447595611236,-0.33</t>
  </si>
  <si>
    <t>2025-05-06 22:38:00,28704501.3483979,15874.9408997683,0,0,0,0,0,0</t>
  </si>
  <si>
    <t>2025-05-06 22:39:00,575,,561,,575,,558.5,,,,,570,550,562,557</t>
  </si>
  <si>
    <t>2025-05-06 22:39:00,490,,485,,470,,482,,,,,490,480,478,482</t>
  </si>
  <si>
    <t>2025-05-06 22:39:00,5800,,5700,,,5700,5650,,,,,5700,5500,5610,5650</t>
  </si>
  <si>
    <t>2025-05-06 22:39:00,19475,,,,19475,,19925,,,,,19900,19300,19500,19400</t>
  </si>
  <si>
    <t>2025-05-06 22:39:00,1322074831.57058,7495392532.17234,0,0,0,0,0,0</t>
  </si>
  <si>
    <t>2025-05-06 22:39:00,1493527402.18319,2114847858.63301,0,0,0,0,0,0</t>
  </si>
  <si>
    <t>2025-05-06 22:39:00,3023707.157217,-74625.2439907892,-75.3333333333333,-6,-334.933333333333,-23.1,0.00398301072531008,-0.37</t>
  </si>
  <si>
    <t>2025-05-06 22:39:00,28648417.5556774,11889.7963223692,0,0,0,0,0,0</t>
  </si>
  <si>
    <t>2025-05-06 22:40:00,575,,561,,575,,558.5,,,,,570,550,562,557</t>
  </si>
  <si>
    <t>2025-05-06 22:40:00,490,,485,,470,,480,,,,,490,480,478,482</t>
  </si>
  <si>
    <t>2025-05-06 22:40:00,5800,,5700,,,5700,5650,,,,,5700,5500,5610,5650</t>
  </si>
  <si>
    <t>2025-05-06 22:40:00,19475,,,,19475,,19925,,,,,19900,19300,19500,19400</t>
  </si>
  <si>
    <t>2025-05-06 22:40:00,1383285545.20767,8145495253.82763,0,0,0,0,0,0</t>
  </si>
  <si>
    <t>2025-05-06 22:40:00,1465153027.92049,2520304824.7838,0,0,0,0,0,0</t>
  </si>
  <si>
    <t>2025-05-06 22:40:00,3132527.23159833,-82336.4871392783,-47.4000000000001,-3,-905.108000000003,-29.72,0.000815965921742975,-0.59</t>
  </si>
  <si>
    <t>2025-05-06 22:40:00,28590468.6344671,7885.19511301213,0,0,0,0,0,0</t>
  </si>
  <si>
    <t>2025-05-06 22:41:00,575,,561,,575,,558.5,,,,,570,550,562,557</t>
  </si>
  <si>
    <t>2025-05-06 22:41:00,490,,485,,470,,480,,,,,490,480,478,482</t>
  </si>
  <si>
    <t>2025-05-06 22:41:00,5800,,5700,,,5700,5650,,,,,5700,5500,5610,5650</t>
  </si>
  <si>
    <t>2025-05-06 22:41:00,19475,,,,19475,,19925,,,,,19900,19300,19500,19400</t>
  </si>
  <si>
    <t>2025-05-06 22:41:00,1376628137.9855,8059834570.34948,0,0,0,0,0,0</t>
  </si>
  <si>
    <t>2025-05-06 22:41:00,1454273596.80825,2471102969.92565,0,0,0,0,0,0</t>
  </si>
  <si>
    <t>2025-05-06 22:41:00,3113920.93756475,-89094.1974994248,-15.6666666666666,-2,-31.6499999999999,-2.95,-0.00462772314964695,-0.17</t>
  </si>
  <si>
    <t>2025-05-06 22:41:00,28566197.9167334,6471.46699270817,0,0,0,0,0,0</t>
  </si>
  <si>
    <t>2025-05-06 22:42:00,575,,561,,575,,558.5,,,,,570,550,562,557</t>
  </si>
  <si>
    <t>2025-05-06 22:42:00,490,,485,,470,,480,,,,,490,480,478,482</t>
  </si>
  <si>
    <t>2025-05-06 22:42:00,5800,,5700,,,5700,5650,,,,,5700,5500,5610,5650</t>
  </si>
  <si>
    <t>2025-05-06 22:42:00,19475,,,,19475,,19925,,,,,19900,19300,19500,19400</t>
  </si>
  <si>
    <t>2025-05-06 22:42:00,1385179988.84367,8191677620.91613,0,0,0,0,0,0</t>
  </si>
  <si>
    <t>2025-05-06 22:42:00,1483681336.43821,2569080596.85472,0,0,0,0,0,0</t>
  </si>
  <si>
    <t>2025-05-06 22:42:00,3027669.8397494,-77253.9521580835,-28,-4,-39.2,-5.6,-0.0103186555226445,-0.36</t>
  </si>
  <si>
    <t>2025-05-06 22:42:00,28606806.5008928,9221.50485503879,0,0,0,0,0,0</t>
  </si>
  <si>
    <t>2025-05-06 22:43:00,575,,561,,575,,558.5,,,,,570,550,562,557</t>
  </si>
  <si>
    <t>2025-05-06 22:43:00,490,,485,,470,,480,,,,,490,480,478,482</t>
  </si>
  <si>
    <t>2025-05-06 22:43:00,5800,,5700,,,5700,5650,,,,,5700,5500,5610,5650</t>
  </si>
  <si>
    <t>2025-05-06 22:43:00,19475,,,,19475,,19925,,,,,19900,19300,19500,19400</t>
  </si>
  <si>
    <t>2025-05-06 22:43:00,1384398745.82927,8169969467.05766,0,0,0,0,0,0</t>
  </si>
  <si>
    <t>2025-05-06 22:43:00,1463030546.52932,2510901457.27436,0,0,0,0,0,0</t>
  </si>
  <si>
    <t>2025-05-06 22:43:00,3060547.27132754,-82864.6679240629,0,0,0,0,0,0</t>
  </si>
  <si>
    <t>2025-05-06 22:43:00,28583686.0119008,7545.53316865982,0,0,0,0,0,0</t>
  </si>
  <si>
    <t>2025-05-06 22:44:00,575,,561,,575,,558.5,,,,,570,550,562,557</t>
  </si>
  <si>
    <t>2025-05-06 22:44:00,490,,485,,470,,480,,,,,490,480,478,482</t>
  </si>
  <si>
    <t>2025-05-06 22:44:00,5800,,5700,,,5700,5650,,,,,5700,5500,5610,5650</t>
  </si>
  <si>
    <t>2025-05-06 22:44:00,19475,,,,19475,,19925,,,,,19900,19300,19500,19400</t>
  </si>
  <si>
    <t>2025-05-06 22:44:00,1376116397.99208,8058915590.5615,0,0,0,0,0,0</t>
  </si>
  <si>
    <t>2025-05-06 22:44:00,1458591900.67543,2491408576.3033,0,0,0,0,0,0</t>
  </si>
  <si>
    <t>2025-05-06 22:44:00,3100345.63882339,-83682.4231240955,-25.4533333333333,-2,-135.243466666667,-7.94,-0.00531905469955975,-0.32</t>
  </si>
  <si>
    <t>2025-05-06 22:44:00,28578895.0753535,7163.64582290024,0,0,0,0,0,0</t>
  </si>
  <si>
    <t>2025-05-06 22:45:00,575,,561,,575,,558.5,,,,,570,550,562,557</t>
  </si>
  <si>
    <t>2025-05-06 22:45:00,490,,485,,470,,482,,,,,490,480,478,482</t>
  </si>
  <si>
    <t>2025-05-06 22:45:00,5800,,5700,,,5700,5650,,,,,5700,5500,5610,5650</t>
  </si>
  <si>
    <t>2025-05-06 22:45:00,19475,,,,19475,,19925,,,,,19900,19300,19500,19400</t>
  </si>
  <si>
    <t>2025-05-06 22:45:00,1368853515.42783,8225574934.26577,0,0,0,0,0,0</t>
  </si>
  <si>
    <t>2025-05-06 22:45:00,1493568728.14137,2115051956.48098,0,0,0,0,0,0</t>
  </si>
  <si>
    <t>2025-05-06 22:45:00,3094868.74519853,-71639.3465593488,-107.04,-9,-562.4273,-40.07,0.00545629629170518,-0.69</t>
  </si>
  <si>
    <t>2025-05-06 22:45:00,28633932.8245677,10932.7699277861,0,0,0,0,0,0</t>
  </si>
  <si>
    <t>2025-05-06 22:46:00,575,,561,,575,,558.5,,,,,570,550,562,557</t>
  </si>
  <si>
    <t>2025-05-06 22:46:00,490,,485,,470,,482,,,,,490,480,478,482</t>
  </si>
  <si>
    <t>2025-05-06 22:46:00,5800,,5700,,,5700,5650,,,,,5700,5500,5610,5650</t>
  </si>
  <si>
    <t>2025-05-06 22:46:00,19475,,,,19475,,19925,,,,,19900,19300,19500,19400</t>
  </si>
  <si>
    <t>2025-05-06 22:46:00,1322582119.30077,7552726839.92474,0,0,0,0,0,0</t>
  </si>
  <si>
    <t>2025-05-06 22:46:00,1494811610.823,2126024735.64054,0,0,0,0,0,0</t>
  </si>
  <si>
    <t>2025-05-06 22:46:00,3261074.48369297,-62599.2410678025,-115.5,-6,-646.800000000002,-33.6,-0.0188050242902556,-1.44</t>
  </si>
  <si>
    <t>2025-05-06 22:46:00,28648632.1794026,11868.2390555724,0,0,0,0,0,0</t>
  </si>
  <si>
    <t>2025-05-06 22:47:00,575,,561,,575,,558.5,,,,,570,550,562,557</t>
  </si>
  <si>
    <t>2025-05-06 22:47:00,490,,485,,470,,480,,,,,490,480,478,482</t>
  </si>
  <si>
    <t>2025-05-06 22:47:00,5800,,5700,,,5700,5650,,,,,5700,5500,5610,5650</t>
  </si>
  <si>
    <t>2025-05-06 22:47:00,19475,,,,19475,,19925,,,,,19900,19300,19500,19400</t>
  </si>
  <si>
    <t>2025-05-06 22:47:00,1322633365.25954,7558274516.018,0,0,0,0,0,0</t>
  </si>
  <si>
    <t>2025-05-06 22:47:00,1498515470.96814,2496699067.48884,0,0,0,0,0,0</t>
  </si>
  <si>
    <t>2025-05-06 22:47:00,3143558.48571508,-70316.0460018428,0,0,0,0,0,0</t>
  </si>
  <si>
    <t>2025-05-06 22:47:00,28646028.6848795,11961.1282666818,0,0,0,0,0,0</t>
  </si>
  <si>
    <t>2025-05-06 22:48:00,575,,561,,575,,558.5,,,,,570,550,562,557</t>
  </si>
  <si>
    <t>2025-05-06 22:48:00,490,,485,,470,,480,,,,,490,480,478,482</t>
  </si>
  <si>
    <t>2025-05-06 22:48:00,5800,,5700,,,5700,5650,,,,,5700,5500,5610,5650</t>
  </si>
  <si>
    <t>2025-05-06 22:48:00,19475,,,,19475,,19925,,,,,19900,19300,19500,19400</t>
  </si>
  <si>
    <t>2025-05-06 22:48:00,1382281519.4605,8144981628.7141,0,0,0,0,0,0</t>
  </si>
  <si>
    <t>2025-05-06 22:48:00,1491002338.30063,2542213695.38626,0,0,0,0,0,0</t>
  </si>
  <si>
    <t>2025-05-06 22:48:00,2988309.76366008,-73322.9618835605,-25.25,-1,-494.9,-19.6,0.00416045910951247,-0.3</t>
  </si>
  <si>
    <t>2025-05-06 22:48:00,28630287.335689,10750.9129928823,0,0,0,0,0,0</t>
  </si>
  <si>
    <t>2025-05-06 22:49:00,575,,561,,575,,558.5,,,,,570,550,562,557</t>
  </si>
  <si>
    <t>2025-05-06 22:49:00,490,,485,,470,,482,,,,,490,480,478,482</t>
  </si>
  <si>
    <t>2025-05-06 22:49:00,5800,,5700,,,5700,5650,,,,,5700,5500,5610,5650</t>
  </si>
  <si>
    <t>2025-05-06 22:49:00,19475,,,,19475,,19925,,,,,19900,19300,19500,19400</t>
  </si>
  <si>
    <t>2025-05-06 22:49:00,1382436987.59198,8236058992.32877,0,0,0,0,0,0</t>
  </si>
  <si>
    <t>2025-05-06 22:49:00,1494909892.73032,2125813018.56031,0,0,0,0,0,0</t>
  </si>
  <si>
    <t>2025-05-06 22:49:00,3037273.63257778,-72037.7342042019,0,0,0,0,0,0</t>
  </si>
  <si>
    <t>2025-05-06 22:49:00,28637832.3573043,11252.3171247768,0,0,0,0,0,0</t>
  </si>
  <si>
    <t>2025-05-06 22:50:00,575,,561,,575,,558.5,,,,,570,550,562,557</t>
  </si>
  <si>
    <t>2025-05-06 22:50:00,490,,485,,470,,480,,,,,490,480,478,482</t>
  </si>
  <si>
    <t>2025-05-06 22:50:00,5800,,5700,,,5700,5650,,,,,5700,5500,5610,5650</t>
  </si>
  <si>
    <t>2025-05-06 22:50:00,19475,,,,19475,,19925,,,,,19900,19300,19500,19400</t>
  </si>
  <si>
    <t>2025-05-06 22:50:00,1375303030.58185,8059123411.06912,0,0,0,0,0,0</t>
  </si>
  <si>
    <t>2025-05-06 22:50:00,1475519942.84637,2550521574.02103,0,0,0,0,0,0</t>
  </si>
  <si>
    <t>2025-05-06 22:50:00,3087045.54048121,-78073.1931928328,-6.66666666666666,-1,-9.33333333333333,-1.4,-0.00257447912351041,-0.09</t>
  </si>
  <si>
    <t>2025-05-06 22:50:00,28596286.0042521,8118.83265159482,0,0,0,0,0,0</t>
  </si>
  <si>
    <t>2025-05-06 22:51:00,575,,561,,575,,558.5,,,,,570,550,562,557</t>
  </si>
  <si>
    <t>2025-05-06 22:51:00,490,,485,,470,,480,,,,,490,480,478,482</t>
  </si>
  <si>
    <t>2025-05-06 22:51:00,5800,,5700,,,5700,5650,,,,,5700,5500,5610,5650</t>
  </si>
  <si>
    <t>2025-05-06 22:51:00,19475,,,,19475,,19925,,,,,19900,19300,19500,19400</t>
  </si>
  <si>
    <t>2025-05-06 22:51:00,1375370599.91574,8059676829.38589,0,0,0,0,0,0</t>
  </si>
  <si>
    <t>2025-05-06 22:51:00,1485793376.20739,2570470044.11556,0,0,0,0,0,0</t>
  </si>
  <si>
    <t>2025-05-06 22:51:00,3071531.78422527,-78656.4409482274,-3.66666666666667,-1,-1.65,-0.45,-0.00174175481925316,-0.03</t>
  </si>
  <si>
    <t>2025-05-06 22:51:00,28617035.8252619,9791.84220926021,0,0,0,0,0,0</t>
  </si>
  <si>
    <t>2025-05-06 22:52:00,575,,561,,575,,558.5,,,,,570,550,562,557</t>
  </si>
  <si>
    <t>2025-05-06 22:52:00,490,,485,,470,,482,,,,,490,480,478,482</t>
  </si>
  <si>
    <t>2025-05-06 22:52:00,5800,,5700,,,5700,5650,,,,,5700,5500,5610,5650</t>
  </si>
  <si>
    <t>2025-05-06 22:52:00,19475,,,,19475,,19925,,,,,19900,19300,19500,19400</t>
  </si>
  <si>
    <t>2025-05-06 22:52:00,1384464855.63327,8193419500.72012,0,0,0,0,0,0</t>
  </si>
  <si>
    <t>2025-05-06 22:52:00,1493508544.10291,2115330005.95761,0,0,0,0,0,0</t>
  </si>
  <si>
    <t>2025-05-06 22:52:00,3043114.45141608,-71015.1099256874,0,0,0,0,0,0</t>
  </si>
  <si>
    <t>2025-05-06 22:52:00,28643794.0825931,11644.0900083302,0,0,0,0,0,0</t>
  </si>
  <si>
    <t>2025-05-06 22:53:00,575,,561,,575,,558.5,,,,,570,550,562,557</t>
  </si>
  <si>
    <t>2025-05-06 22:53:00,490,,485,,470,,480,,,,,490,480,478,482</t>
  </si>
  <si>
    <t>2025-05-06 22:53:00,5800,,5700,,,5700,5650,,,,,5700,5500,5610,5650</t>
  </si>
  <si>
    <t>2025-05-06 22:53:00,19475,,,,19475,,19925,,,,,19900,19300,19500,19400</t>
  </si>
  <si>
    <t>2025-05-06 22:53:00,1384370095.33507,8193634750.22475,0,0,0,0,0,0</t>
  </si>
  <si>
    <t>2025-05-06 22:53:00,1492379154.43864,2512993198.46369,0,0,0,0,0,0</t>
  </si>
  <si>
    <t>2025-05-06 22:53:00,3077486.49856836,-65592.120908106,-85.0833333333334,-11,-97.4416666666667,-11.3,-0.024779067295467,-0.67</t>
  </si>
  <si>
    <t>2025-05-06 22:53:00,28632419.3804188,10868.7843565085,0,0,0,0,0,0</t>
  </si>
  <si>
    <t>2025-05-06 22:54:00,575,,561,,575,,558.5,,,,,570,550,562,557</t>
  </si>
  <si>
    <t>2025-05-06 22:54:00,490,,485,,470,,480,,,,,490,480,478,482</t>
  </si>
  <si>
    <t>2025-05-06 22:54:00,5800,,5700,,,5700,5650,,,,,5700,5500,5610,5650</t>
  </si>
  <si>
    <t>2025-05-06 22:54:00,19475,,,,19475,,19925,,,,,19900,19300,19500,19400</t>
  </si>
  <si>
    <t>2025-05-06 22:54:00,1377583795.16417,8090490367.11293,0,0,0,0,0,0</t>
  </si>
  <si>
    <t>2025-05-06 22:54:00,1487509222.1044,2567586578.04607,0,0,0,0,0,0</t>
  </si>
  <si>
    <t>2025-05-06 22:54:00,3033718.54457594,-62978.3506261715,-221.716666666667,-23,-650.376666666667,-51.87,-0.0532790550985798,-2.5</t>
  </si>
  <si>
    <t>2025-05-06 22:54:00,28620727.4974297,10056.2611345952,0,0,0,0,0,0</t>
  </si>
  <si>
    <t>2025-05-06 22:55:00,575,,561,,575,,558.5,,,,,570,550,562,557</t>
  </si>
  <si>
    <t>2025-05-06 22:55:00,490,,485,,470,,480,,,,,490,480,478,482</t>
  </si>
  <si>
    <t>2025-05-06 22:55:00,5800,,5700,,,5700,5650,,,,,5700,5500,5610,5650</t>
  </si>
  <si>
    <t>2025-05-06 22:55:00,19475,,,,19475,,19925,,,,,19900,19300,19500,19400</t>
  </si>
  <si>
    <t>2025-05-06 22:55:00,1383801687.2746,8227514134.50385,0,0,0,0,0,0</t>
  </si>
  <si>
    <t>2025-05-06 22:55:00,1492445906.95314,2513237738.80488,0,0,0,0,0,0</t>
  </si>
  <si>
    <t>2025-05-06 22:55:00,2967715.80834028,-49482.544487835,-47.3000000000002,-1,-337.722000000001,-7.14,-0.00314363168808147,-0.27</t>
  </si>
  <si>
    <t>2025-05-06 22:55:00,28642708.6319247,11167.4860105488,0,0,0,0,0,0</t>
  </si>
  <si>
    <t>2025-05-06 22:56:00,575,,561,,575,,558.5,,,,,570,550,562,557</t>
  </si>
  <si>
    <t>2025-05-06 22:56:00,490,,485,,470,,480,,,,,490,480,478,482</t>
  </si>
  <si>
    <t>2025-05-06 22:56:00,5800,,5700,,,5700,5650,,,,,5700,5500,5610,5650</t>
  </si>
  <si>
    <t>2025-05-06 22:56:00,19475,,,,19475,,19925,,,,,19900,19300,19500,19400</t>
  </si>
  <si>
    <t>2025-05-06 22:56:00,1339696042.39396,7751381406.43433,0,0,0,0,0,0</t>
  </si>
  <si>
    <t>2025-05-06 22:56:00,1473495201.84255,2543425082.05016,0,0,0,0,0,0</t>
  </si>
  <si>
    <t>2025-05-06 22:56:00,3152095.45189133,-64419.3614231765,-28.25,-3,-80.0999999999999,-7.4,-0.00817799141269125,-0.37</t>
  </si>
  <si>
    <t>2025-05-06 22:56:00,28590799.5685017,7866.07493342188,0,0,0,0,0,0</t>
  </si>
  <si>
    <t>2025-05-06 22:57:00,575,,561,,575,,558.5,,,,,570,550,562,557</t>
  </si>
  <si>
    <t>2025-05-06 22:57:00,490,,485,,470,,480,,,,,490,480,478,482</t>
  </si>
  <si>
    <t>2025-05-06 22:57:00,5800,,5700,,,5700,5650,,,,,5700,5500,5610,5650</t>
  </si>
  <si>
    <t>2025-05-06 22:57:00,19475,,,,19475,,19925,,,,,19900,19300,19500,19400</t>
  </si>
  <si>
    <t>2025-05-06 22:57:00,1352281227.73811,7823523234.72315,0,0,0,0,0,0</t>
  </si>
  <si>
    <t>2025-05-06 22:57:00,1473618308.4894,2543435294.40154,0,0,0,0,0,0</t>
  </si>
  <si>
    <t>2025-05-06 22:57:00,3041422.13293599,-68446.5676216703,0,0,0,0,0,0</t>
  </si>
  <si>
    <t>2025-05-06 22:57:00,28598405.0408711,8558.55146125425,0,0,0,0,0,0</t>
  </si>
  <si>
    <t>2025-05-06 22:58:00,575,,561,,575,,558.5,,,,,570,550,562,557</t>
  </si>
  <si>
    <t>2025-05-06 22:58:00,490,,485,,470,,480,,,,,490,480,478,482</t>
  </si>
  <si>
    <t>2025-05-06 22:58:00,5800,,5700,,,5700,5650,,,,,5700,5500,5610,5650</t>
  </si>
  <si>
    <t>2025-05-06 22:58:00,19475,,,,19475,,19925,,,,,19900,19300,19500,19400</t>
  </si>
  <si>
    <t>2025-05-06 22:58:00,1339488597.42236,7752441944.75312,0,0,0,0,0,0</t>
  </si>
  <si>
    <t>2025-05-06 22:58:00,1467077931.63383,2529663742.20638,0,0,0,0,0,0</t>
  </si>
  <si>
    <t>2025-05-06 22:58:00,3199932.85666105,30533.2980819198,-3361.23999999999,-243,-16318.3064,-949.62,-0.398034139718849,-32.64</t>
  </si>
  <si>
    <t>2025-05-06 22:58:00,28594360.831631,8204.50846054162,0,0,0,0,0,0</t>
  </si>
  <si>
    <t>2025-05-06 22:59:00,575,,561,,575,,558.5,,,,,570,550,562,557</t>
  </si>
  <si>
    <t>2025-05-06 22:59:00,490,,485,,470,,480,,,,,490,480,478,482</t>
  </si>
  <si>
    <t>2025-05-06 22:59:00,5800,,5700,,,5700,5650,,,,,5700,5500,5610,5650</t>
  </si>
  <si>
    <t>2025-05-06 22:59:00,19475,,,,19475,,19925,,,,,19900,19300,19500,19400</t>
  </si>
  <si>
    <t>2025-05-06 22:59:00,1335542693.02028,7716129502.47599,0,0,0,0,0,0</t>
  </si>
  <si>
    <t>2025-05-06 22:59:00,1460580867.66018,2501679823.19618,0,0,0,0,0,0</t>
  </si>
  <si>
    <t>2025-05-06 22:59:00,3127824.93618739,22772.5362768129,-7.33333333333334,-1,-5.86666666666667,-0.8,-0.00213859191238914,-0.05</t>
  </si>
  <si>
    <t>2025-05-06 22:59:00,28580433.2802628,7237.14488811504,0,0,0,0,0,0</t>
  </si>
  <si>
    <t>2025-05-06 23:00:00,575,,561,,575,,558.5,,,,,570,550,562,557</t>
  </si>
  <si>
    <t>2025-05-06 23:00:00,490,,485,,470,,480,,,,,490,480,478,482</t>
  </si>
  <si>
    <t>2025-05-06 23:00:00,5800,,5700,,,5700,5650,,,,,5700,5500,5610,5650</t>
  </si>
  <si>
    <t>2025-05-06 23:00:00,19475,,,,19475,,19925,,,,,19900,19300,19500,19400</t>
  </si>
  <si>
    <t>2025-05-06 23:00:00,1335340002.23371,7716057558.99594,0,0,0,0,0,0</t>
  </si>
  <si>
    <t>2025-05-06 23:00:00,1458438703.09912,2492240621.34762,0,0,0,0,0,0</t>
  </si>
  <si>
    <t>2025-05-06 23:00:00,3195625.87999777,26733.925369713,-18.4,-1,-118.312,-6.43,0.00172599083773074,-0.09</t>
  </si>
  <si>
    <t>2025-05-06 23:00:00,28579863.7564154,7047.27247736045,0,0,0,0,0,0</t>
  </si>
  <si>
    <t>2025-05-06 23:01:00,575,,561,,575,,558.5,,,,,570,550,562,557</t>
  </si>
  <si>
    <t>2025-05-06 23:01:00,490,,485,,470,,480,,,,,490,480,478,482</t>
  </si>
  <si>
    <t>2025-05-06 23:01:00,5800,,5700,,,5700,5650,,,,,5700,5500,5610,5650</t>
  </si>
  <si>
    <t>2025-05-06 23:01:00,19475,,,,19475,,19925,,,,,19900,19300,19500,19400</t>
  </si>
  <si>
    <t>2025-05-06 23:01:00,1377052174.24882,8089813589.94519,0,0,0,0,0,0</t>
  </si>
  <si>
    <t>2025-05-06 23:01:00,1483808241.24865,2570718242.37853,0,0,0,0,0,0</t>
  </si>
  <si>
    <t>2025-05-06 23:01:00,3047239.64792888,39964.592140011,0,0,0,0,0,0</t>
  </si>
  <si>
    <t>2025-05-06 23:01:00,28628177.1289458,10041.2199743092,0,0,0,0,0,0</t>
  </si>
  <si>
    <t>2025-05-06 23:02:00,575,,561,,575,,558.5,,,,,570,550,562,557</t>
  </si>
  <si>
    <t>2025-05-06 23:02:00,490,,485,,470,,482,,,,,490,480,478,482</t>
  </si>
  <si>
    <t>2025-05-06 23:02:00,5800,,5700,,,5700,5650,,,,,5700,5500,5610,5650</t>
  </si>
  <si>
    <t>2025-05-06 23:02:00,19475,,,,19475,,19925,,,,,19900,19300,19500,19400</t>
  </si>
  <si>
    <t>2025-05-06 23:02:00,1383877005.2856,8213980243.66025,0,0,0,0,0,0</t>
  </si>
  <si>
    <t>2025-05-06 23:02:00,1494924154.88037,2126063989.25924,0,0,0,0,0,0</t>
  </si>
  <si>
    <t>2025-05-06 23:02:00,3020226.97262406,45085.9232228478,-110.641666666666,-4,-1868.46108333333,-59.93,0.00335266234169497,-1.27</t>
  </si>
  <si>
    <t>2025-05-06 23:02:00,28647925.2693457,11445.9090455854,0,0,0,0,0,0</t>
  </si>
  <si>
    <t>2025-05-06 23:03:00,575,,561,,575,,558.5,,,,,570,550,562,557</t>
  </si>
  <si>
    <t>2025-05-06 23:03:00,490,,485,,470,,482,,,,,490,480,478,482</t>
  </si>
  <si>
    <t>2025-05-06 23:03:00,5800,,5700,,,5700,5650,,,,,5700,5500,5610,5650</t>
  </si>
  <si>
    <t>2025-05-06 23:03:00,19475,,,,19475,,19925,,,,,19900,19300,19500,19400</t>
  </si>
  <si>
    <t>2025-05-06 23:03:00,1383824601.63573,8213923679.03789,0,0,0,0,0,0</t>
  </si>
  <si>
    <t>2025-05-06 23:03:00,1494866994.49889,2125856538.76363,0,0,0,0,0,0</t>
  </si>
  <si>
    <t>2025-05-06 23:03:00,2931186.26412108,37726.7239753566,-41.14,-2,-380.5082,-16.73,-0.00162486195811988,-0.42</t>
  </si>
  <si>
    <t>2025-05-06 23:03:00,28644811.4233327,11396.545917264,0,0,0,0,0,0</t>
  </si>
  <si>
    <t>2025-05-06 23:04:00,575,,561,,575,,558.5,,,,,570,550,562,557</t>
  </si>
  <si>
    <t>2025-05-06 23:04:00,490,,485,,470,,480,,,,,490,480,478,482</t>
  </si>
  <si>
    <t>2025-05-06 23:04:00,5800,,5700,,,5700,5650,,,,,5700,5500,5610,5650</t>
  </si>
  <si>
    <t>2025-05-06 23:04:00,19475,,,,19475,,19925,,,,,19900,19300,19500,19400</t>
  </si>
  <si>
    <t>2025-05-06 23:04:00,1382250332.50247,8172489914.82255,0,0,0,0,0,0</t>
  </si>
  <si>
    <t>2025-05-06 23:04:00,1487503604.0517,2568588345.58327,0,0,0,0,0,0</t>
  </si>
  <si>
    <t>2025-05-06 23:04:00,2984813.85959306,36513.8256112012,-15,-1,-117,-7.8,0.0019514043438321,-0.11</t>
  </si>
  <si>
    <t>2025-05-06 23:04:00,28626292.32392,9710.47721710681,0,0,0,0,0,0</t>
  </si>
  <si>
    <t>2025-05-06 23:05:00,575,,561,,575,,558.5,,,,,570,550,562,557</t>
  </si>
  <si>
    <t>2025-05-06 23:05:00,490,,485,,470,,482,,,,,490,480,478,482</t>
  </si>
  <si>
    <t>2025-05-06 23:05:00,5800,,5700,,,5700,5650,,,,,5700,5500,5610,5650</t>
  </si>
  <si>
    <t>2025-05-06 23:05:00,19475,,,,19475,,19925,,,,,19900,19300,19500,19400</t>
  </si>
  <si>
    <t>2025-05-06 23:05:00,1377114067.69887,8242041493.07508,0,0,0,0,0,0</t>
  </si>
  <si>
    <t>2025-05-06 23:05:00,1496045782.87683,2136741057.30008,0,0,0,0,0,0</t>
  </si>
  <si>
    <t>2025-05-06 23:05:00,3012355.63409823,44365.2957015577,-21.6666666666666,-1,-251.333333333333,-11.6,0.00262161225323397,-0.17</t>
  </si>
  <si>
    <t>2025-05-06 23:05:00,28653677.9759983,11695.4616920499,0,0,0,0,0,0</t>
  </si>
  <si>
    <t>2025-05-06 23:06:00,575,,561,,575,,558.5,,,,,570,550,562,557</t>
  </si>
  <si>
    <t>2025-05-06 23:06:00,490,,485,,470,,480,,,,,490,480,478,482</t>
  </si>
  <si>
    <t>2025-05-06 23:06:00,5800,,5700,,,5700,5650,,,,,5700,5500,5610,5650</t>
  </si>
  <si>
    <t>2025-05-06 23:06:00,19475,,,,19475,,19925,,,,,19900,19300,19500,19400</t>
  </si>
  <si>
    <t>2025-05-06 23:06:00,1354844898.61878,7859089635.40835,0,0,0,0,0,0</t>
  </si>
  <si>
    <t>2025-05-06 23:06:00,1477745761.91512,2558469879.85921,0,0,0,0,0,0</t>
  </si>
  <si>
    <t>2025-05-06 23:06:00,3020896.66808539,25984.9258115215,-79,-5,-782.066666666667,-38.95,0.00970883187521825,-0.58</t>
  </si>
  <si>
    <t>2025-05-06 23:06:00,28612248.7834927,8839.70596658304,0,0,0,0,0,0</t>
  </si>
  <si>
    <t>2025-05-06 23:07:00,575,,561,,575,,558.5,,,,,570,550,562,557</t>
  </si>
  <si>
    <t>2025-05-06 23:07:00,490,,485,,470,,480,,,,,490,480,478,482</t>
  </si>
  <si>
    <t>2025-05-06 23:07:00,5800,,5700,,,5700,5650,,,,,5700,5500,5610,5650</t>
  </si>
  <si>
    <t>2025-05-06 23:07:00,19475,,,,19475,,19925,,,,,19900,19300,19500,19400</t>
  </si>
  <si>
    <t>2025-05-06 23:07:00,1361774671.42946,7928912920.52799,0,0,0,0,0,0</t>
  </si>
  <si>
    <t>2025-05-06 23:07:00,1481734335.9608,2568731813.08947,0,0,0,0,0,0</t>
  </si>
  <si>
    <t>2025-05-06 23:07:00,2966610.88005132,23518.3421202462,-59.4,-2,-2043.98,-51.6,0.00625474743093029,-1.03</t>
  </si>
  <si>
    <t>2025-05-06 23:07:00,28610175.5624394,8784.38951038653,0,0,0,0,0,0</t>
  </si>
  <si>
    <t>2025-05-06 23:08:00,575,,561,,575,,558.5,,,,,570,550,562,557</t>
  </si>
  <si>
    <t>2025-05-06 23:08:00,490,,485,,470,,480,,,,,490,480,478,482</t>
  </si>
  <si>
    <t>2025-05-06 23:08:00,5800,,5700,,,5700,5650,,,,,5700,5500,5610,5650</t>
  </si>
  <si>
    <t>2025-05-06 23:08:00,19475,,,,19475,,19925,,,,,19900,19300,19500,19400</t>
  </si>
  <si>
    <t>2025-05-06 23:08:00,1321503580.26628,7596829798.15812,0,0,0,0,0,0</t>
  </si>
  <si>
    <t>2025-05-06 23:08:00,1520825578.25865,2666594791.33985,0,0,0,0,0,0</t>
  </si>
  <si>
    <t>2025-05-06 23:08:00,2867147.36049071,49653.9915829168,-41.6666666666668,-2,-686.866666666669,-21.5,0.00481802493257983,-0.32</t>
  </si>
  <si>
    <t>2025-05-06 23:08:00,28707203.9444629,15562.3580174883,0,0,0,0,0,0</t>
  </si>
  <si>
    <t>2025-05-06 23:09:00,575,,561,,575,,558.5,,,,,570,550,562,557</t>
  </si>
  <si>
    <t>2025-05-06 23:09:00,490,,485,,470,,480,,,,,490,480,478,482</t>
  </si>
  <si>
    <t>2025-05-06 23:09:00,5800,,5700,,,5700,5650,,,,,5700,5500,5610,5650</t>
  </si>
  <si>
    <t>2025-05-06 23:09:00,19475,,,,19475,,19925,,,,,19900,19300,19500,19400</t>
  </si>
  <si>
    <t>2025-05-06 23:09:00,1338245879.5655,7597786245.45546,0,0,0,0,0,0</t>
  </si>
  <si>
    <t>2025-05-06 23:09:00,1523222106.1842,2678370058.37707,0,0,0,0,0,0</t>
  </si>
  <si>
    <t>2025-05-06 23:09:00,2772960.8636653,41526.3329372267,-308.92380952381,-8,-15495.6072380952,-344.54,0.029894597890863,-4.82</t>
  </si>
  <si>
    <t>2025-05-06 23:09:00,28714114.0633583,15773.7373328677,0,0,0,0,0,0</t>
  </si>
  <si>
    <t>2025-05-06 23:10:00,575,,561,,575,,558.5,,,,,570,550,562,557</t>
  </si>
  <si>
    <t>2025-05-06 23:10:00,490,,485,,470,,480,,,,,490,480,478,482</t>
  </si>
  <si>
    <t>2025-05-06 23:10:00,5800,,5700,,,5700,5650,,,,,5700,5500,5610,5650</t>
  </si>
  <si>
    <t>2025-05-06 23:10:00,19475,,,,19475,,19925,,,,,19900,19300,19500,19400</t>
  </si>
  <si>
    <t>2025-05-06 23:10:00,1436875871.01425,7782632435.46946,0,0,0,0,0,0</t>
  </si>
  <si>
    <t>2025-05-06 23:10:00,1511188150.45278,2641919590.49812,0,0,0,0,0,0</t>
  </si>
  <si>
    <t>2025-05-06 23:10:00,2794804.15919711,134458.261724482,-2966.98578883982,-252,-12827.6275533253,-1066.12,-0.396833347082861,-30.86</t>
  </si>
  <si>
    <t>2025-05-06 23:10:00,28706179.4318259,14991.6940854923,0,0,0,0,0,0</t>
  </si>
  <si>
    <t>2025-05-06 23:11:00,575,,561,,575,,558.5,,,,,570,550,562,557</t>
  </si>
  <si>
    <t>2025-05-06 23:11:00,490,,485,,470,,480,,,,,490,480,478,482</t>
  </si>
  <si>
    <t>2025-05-06 23:11:00,5800,,5700,,,5700,5650,,,,,5700,5500,5610,5650</t>
  </si>
  <si>
    <t>2025-05-06 23:11:00,19475,,,,19475,,19925,,,,,19900,19300,19500,19400</t>
  </si>
  <si>
    <t>2025-05-06 23:11:00,1354772297.65522,7734777569.54238,0,0,0,0,0,0</t>
  </si>
  <si>
    <t>2025-05-06 23:11:00,1525247574.3342,2690205927.2174,0,0,0,0,0,0</t>
  </si>
  <si>
    <t>2025-05-06 23:11:00,2728341.10773751,128871.155385959,-119.716666666666,-3,-8273.77749999998,-169.27,0.010935201457498,-2.09</t>
  </si>
  <si>
    <t>2025-05-06 23:11:00,28718965.5145155,16064.9818893691,0,0,0,0,0,0</t>
  </si>
  <si>
    <t>2025-05-06 23:12:00,575,,561,,575,,558.5,,,,,570,550,562,557</t>
  </si>
  <si>
    <t>2025-05-06 23:12:00,490,,485,,470,,480,,,,,490,480,478,482</t>
  </si>
  <si>
    <t>2025-05-06 23:12:00,5800,,5700,,,5700,5650,,,,,5700,5500,5610,5650</t>
  </si>
  <si>
    <t>2025-05-06 23:12:00,20300,,,,19475,,19925,,,,,19900,19300,19500,19400</t>
  </si>
  <si>
    <t>2025-05-06 23:12:00,1489140889.56622,8249407511.76735,0,0,0,0,0,0</t>
  </si>
  <si>
    <t>2025-05-06 23:12:00,1572691234.18465,2833697541.04368,0,0,0,0,0,0</t>
  </si>
  <si>
    <t>2025-05-06 23:12:00,2716689.1501595,153671.790906563,-207.433333333333,-14,-1729.992,-81.82,-0.00171579788992727,-1.58</t>
  </si>
  <si>
    <t>2025-05-06 23:12:00,28763872.7904609,19297.7215369976,0,0,0,0,0,0</t>
  </si>
  <si>
    <t>2025-05-06 23:13:00,575,,561,,575,,558.5,,,,,570,550,562,557</t>
  </si>
  <si>
    <t>2025-05-06 23:13:00,490,,485,,470,,480,,,,,490,480,478,482</t>
  </si>
  <si>
    <t>2025-05-06 23:13:00,5800,,5700,,,5700,5650,,,,,5700,5500,5610,5650</t>
  </si>
  <si>
    <t>2025-05-06 23:13:00,20300,,,,19475,,19925,,,,,19900,19300,19500,19400</t>
  </si>
  <si>
    <t>2025-05-06 23:13:00,1499911430.35592,8394717693.4345,0,0,0,0,0,0</t>
  </si>
  <si>
    <t>2025-05-06 23:13:00,1607332298.90545,2956574738.70751,0,0,0,0,0,0</t>
  </si>
  <si>
    <t>2025-05-06 23:13:00,2555323.8731444,138089.543350954,-291.025,-8,-11681.27225,-258.19,0.0299000385258207,-4.51</t>
  </si>
  <si>
    <t>2025-05-06 23:13:00,28772561.0050344,20237.3829406593,0,0,0,0,0,0</t>
  </si>
  <si>
    <t>2025-05-06 23:14:00,575,,561,,575,,558.5,,,,,570,550,562,557</t>
  </si>
  <si>
    <t>2025-05-06 23:14:00,490,,485,,470,,480,,,,,490,480,478,482</t>
  </si>
  <si>
    <t>2025-05-06 23:14:00,5800,,5700,,,5700,5650,,,,,5700,5500,5610,5650</t>
  </si>
  <si>
    <t>2025-05-06 23:14:00,20300,,,,19475,,19925,,,,,19900,19300,19500,19400</t>
  </si>
  <si>
    <t>2025-05-06 23:14:00,1496869192.66441,8324586979.86634,0,0,0,0,0,0</t>
  </si>
  <si>
    <t>2025-05-06 23:14:00,1583959863.01929,2889088775.44837,0,0,0,0,0,0</t>
  </si>
  <si>
    <t>2025-05-06 23:14:00,2568832.60923513,144143.724925954,-74.9733333333332,-3,-2214.31486666666,-62.73,-9.45640835160744E-05,-1.45</t>
  </si>
  <si>
    <t>2025-05-06 23:14:00,28779400.9040243,20440.5993406387,0,0,0,0,0,0</t>
  </si>
  <si>
    <t>2025-05-06 23:15:00,575,,561,,575,,558.5,,,,,570,550,562,557</t>
  </si>
  <si>
    <t>2025-05-06 23:15:00,490,,485,,470,,480,,,,,490,480,478,482</t>
  </si>
  <si>
    <t>2025-05-06 23:15:00,5800,,5700,,,5700,5650,,,,,5700,5500,5610,5650</t>
  </si>
  <si>
    <t>2025-05-06 23:15:00,20300,,,,19475,,19925,,,,,19900,19300,19500,19400</t>
  </si>
  <si>
    <t>2025-05-06 23:15:00,1515325191.98162,8546549037.20906,0,0,0,0,0,0</t>
  </si>
  <si>
    <t>2025-05-06 23:15:00,1596961180.50193,2943917177.31392,0,0,0,0,0,0</t>
  </si>
  <si>
    <t>2025-05-06 23:15:00,2467248.01466655,139182.82285403,-164.15,-5,-7240.25349999998,-182.57,0.0192684381008785,-3.16</t>
  </si>
  <si>
    <t>2025-05-06 23:15:00,28790495.5286034,21377.2205670114,0,0,0,0,0,0</t>
  </si>
  <si>
    <t>2025-05-06 23:16:00,575,,561,,575,,558.5,,,,,570,550,562,557</t>
  </si>
  <si>
    <t>2025-05-06 23:16:00,490,,485,,470,,480,,,,,490,480,478,482</t>
  </si>
  <si>
    <t>2025-05-06 23:16:00,5800,,5700,,,5700,5650,,,,,5700,5500,5610,5650</t>
  </si>
  <si>
    <t>2025-05-06 23:16:00,20300,,,,19475,,19925,,,,,19900,19300,19500,19400</t>
  </si>
  <si>
    <t>2025-05-06 23:16:00,1507544165.34989,8438129319.32857,0,0,0,0,0,0</t>
  </si>
  <si>
    <t>2025-05-06 23:16:00,1596705232.2553,2943912474.80113,0,0,0,0,0,0</t>
  </si>
  <si>
    <t>2025-05-06 23:16:00,2426939.92305988,131158.912864499,-35.5,-1,-969.149999999999,-27.3,0.0056592492464107,-0.43</t>
  </si>
  <si>
    <t>2025-05-06 23:16:00,28793399.4562308,21730.4181524283,0,0,0,0,0,0</t>
  </si>
  <si>
    <t>2025-05-06 23:17:00,575,,561,,575,,558.5,,,,,570,550,562,557</t>
  </si>
  <si>
    <t>2025-05-06 23:17:00,490,,485,,470,,480,,,,,490,480,478,482</t>
  </si>
  <si>
    <t>2025-05-06 23:17:00,5800,,5700,,,5700,5650,,,,,5700,5500,5610,5650</t>
  </si>
  <si>
    <t>2025-05-06 23:17:00,20300,,,,19475,,19925,,,,,19900,19300,19500,19400</t>
  </si>
  <si>
    <t>2025-05-06 23:17:00,1500045378.32336,8362739640.2928,0,0,0,0,0,0</t>
  </si>
  <si>
    <t>2025-05-06 23:17:00,1596748628.6316,2944306796.63142,0,0,0,0,0,0</t>
  </si>
  <si>
    <t>2025-05-06 23:17:00,2510667.56736815,142037.311581255,-134.566666666667,-10,-463.813666666667,-27.31,-0.0183413862163354,-1.06</t>
  </si>
  <si>
    <t>2025-05-06 23:17:00,28795066.0739141,21670.2581102386,0,0,0,0,0,0</t>
  </si>
  <si>
    <t>2025-05-06 23:18:00,575,,561,,575,,558.5,,,,,570,550,562,557</t>
  </si>
  <si>
    <t>2025-05-06 23:18:00,490,,485,,470,,480,,,,,490,480,478,482</t>
  </si>
  <si>
    <t>2025-05-06 23:18:00,5800,,5700,,,5700,5650,,,,,5700,5500,5610,5650</t>
  </si>
  <si>
    <t>2025-05-06 23:18:00,20300,,,,19475,,19925,,,,,19900,19300,19500,19400</t>
  </si>
  <si>
    <t>2025-05-06 23:18:00,1503882274.31674,8401668671.83662,0,0,0,0,0,0</t>
  </si>
  <si>
    <t>2025-05-06 23:18:00,1601132544.72668,2955465630.34241,0,0,0,0,0,0</t>
  </si>
  <si>
    <t>2025-05-06 23:18:00,2499822.38440933,142513.289737081,-18.5666666666667,-2,-22.2313333333333,-2.42,-0.00507447532950162,-0.18</t>
  </si>
  <si>
    <t>2025-05-06 23:18:00,28800515.0555062,22025.3692168973,0,0,0,0,0,0</t>
  </si>
  <si>
    <t>2025-05-06 23:19:00,575,,561,,575,,558.5,,,,,570,550,562,557</t>
  </si>
  <si>
    <t>2025-05-06 23:19:00,490,,485,,470,,480,,,,,490,480,478,482</t>
  </si>
  <si>
    <t>2025-05-06 23:19:00,5800,,5700,,,5700,5650,,,,,5700,5500,5610,5650</t>
  </si>
  <si>
    <t>2025-05-06 23:19:00,20300,,,,19475,,19925,,,,,19900,19300,19500,19400</t>
  </si>
  <si>
    <t>2025-05-06 23:19:00,1517286551.63218,8621587127.58847,0,0,0,0,0,0</t>
  </si>
  <si>
    <t>2025-05-06 23:19:00,1612727066.23792,2913707210.16716,0,0,0,0,0,0</t>
  </si>
  <si>
    <t>2025-05-06 23:19:00,2314061.20715231,129605.199409522,-148.366666666667,-5,-5421.02333333333,-133.7,0.0557024445311056,-3.15</t>
  </si>
  <si>
    <t>2025-05-06 23:19:00,28817905.8651104,23653.4197641292,0,0,0,0,0,0</t>
  </si>
  <si>
    <t>2025-05-06 23:20:00,575,,561,,575,,558.5,,,,,570,550,562,557</t>
  </si>
  <si>
    <t>2025-05-06 23:20:00,490,,485,,470,,480,,,,,490,480,478,482</t>
  </si>
  <si>
    <t>2025-05-06 23:20:00,5800,,5700,,,5700,5650,,,,,5700,5500,5610,5650</t>
  </si>
  <si>
    <t>2025-05-06 23:20:00,20300,,,,19475,,19925,,,,,19900,19300,19500,19400</t>
  </si>
  <si>
    <t>2025-05-06 23:20:00,1499880257.69718,8364813374.54779,0,0,0,0,0,0</t>
  </si>
  <si>
    <t>2025-05-06 23:20:00,1588256013.38556,2910510985.16386,0,0,0,0,0,0</t>
  </si>
  <si>
    <t>2025-05-06 23:20:00,2373291.02890234,126404.600662552,-12.75,-1,-51,-4,0.00106743661859448,-0.05</t>
  </si>
  <si>
    <t>2025-05-06 23:20:00,28786562.943964,20501.7271474493,0,0,0,0,0,0</t>
  </si>
  <si>
    <t>2025-05-06 23:21:00,575,,561,,575,,558.5,,,,,570,550,562,557</t>
  </si>
  <si>
    <t>2025-05-06 23:21:00,490,,485,,470,,480,,,,,490,480,478,482</t>
  </si>
  <si>
    <t>2025-05-06 23:21:00,5800,,5700,,,5700,5650,,,,,5700,5500,5610,5650</t>
  </si>
  <si>
    <t>2025-05-06 23:21:00,20300,,,,19475,,19925,,,,,19900,19300,19500,19400</t>
  </si>
  <si>
    <t>2025-05-06 23:21:00,1499780374.4596,8366524745.45724,0,0,0,0,0,0</t>
  </si>
  <si>
    <t>2025-05-06 23:21:00,1583808296.59116,2889734602.95249,0,0,0,0,0,0</t>
  </si>
  <si>
    <t>2025-05-06 23:21:00,2463598.99724264,127575.771074608,-31.6666666666667,-2,-104.166666666667,-6.5,-0.00180962577431986,-0.2</t>
  </si>
  <si>
    <t>2025-05-06 23:21:00,28782128.0789606,20007.8100955908,0,0,0,0,0,0</t>
  </si>
  <si>
    <t>2025-05-06 23:22:00,575,,561,,575,,558.5,,,,,570,550,562,557</t>
  </si>
  <si>
    <t>2025-05-06 23:22:00,490,,485,,470,,480,,,,,490,480,478,482</t>
  </si>
  <si>
    <t>2025-05-06 23:22:00,5800,,5700,,,5700,5650,,,,,5700,5500,5610,5650</t>
  </si>
  <si>
    <t>2025-05-06 23:22:00,20300,,,,19475,,19925,,,,,19900,19300,19500,19400</t>
  </si>
  <si>
    <t>2025-05-06 23:22:00,1499692746.67224,8365912990.95523,0,0,0,0,0,0</t>
  </si>
  <si>
    <t>2025-05-06 23:22:00,1594891305.69173,2937872446.46881,0,0,0,0,0,0</t>
  </si>
  <si>
    <t>2025-05-06 23:22:00,2403663.67409917,132717.32210594,-19.3333333333333,-1,-63.7999999999998,-3.3,-0.00298031468888433,-0.18</t>
  </si>
  <si>
    <t>2025-05-06 23:22:00,28795545.7258371,20932.6020057662,0,0,0,0,0,0</t>
  </si>
  <si>
    <t>2025-05-06 23:23:00,575,,561,,575,,558.5,,,,,570,550,562,557</t>
  </si>
  <si>
    <t>2025-05-06 23:23:00,490,,485,,470,,480,,,,,490,480,478,482</t>
  </si>
  <si>
    <t>2025-05-06 23:23:00,5800,,5700,,,5700,5650,,,,,5700,5500,5610,5650</t>
  </si>
  <si>
    <t>2025-05-06 23:23:00,20300,,,,19475,,19925,,,,,19900,19300,19500,19400</t>
  </si>
  <si>
    <t>2025-05-06 23:23:00,1506568449.31589,8441615759.25274,0,0,0,0,0,0</t>
  </si>
  <si>
    <t>2025-05-06 23:23:00,1588322887.66229,2910805304.0114,0,0,0,0,0,0</t>
  </si>
  <si>
    <t>2025-05-06 23:23:00,2439399.68457569,132947.076976497,-126.816666666667,-7,-3283.95816666667,-96.47,0.00518805592776567,-1.86</t>
  </si>
  <si>
    <t>2025-05-06 23:23:00,28794963.7830034,20579.9534224606,0,0,0,0,0,0</t>
  </si>
  <si>
    <t>2025-05-06 23:24:00,575,,561,,575,,558.5,,,,,570,550,562,557</t>
  </si>
  <si>
    <t>2025-05-06 23:24:00,490,,485,,470,,480,,,,,490,480,478,482</t>
  </si>
  <si>
    <t>2025-05-06 23:24:00,5800,,5700,,,5700,5650,,,,,5700,5500,5610,5650</t>
  </si>
  <si>
    <t>2025-05-06 23:24:00,20300,,,,19475,,19925,,,,,19900,19300,19500,19400</t>
  </si>
  <si>
    <t>2025-05-06 23:24:00,1512467151.08099,8515733062.17435,0,0,0,0,0,0</t>
  </si>
  <si>
    <t>2025-05-06 23:24:00,1596920771.79753,2945018527.02588,0,0,0,0,0,0</t>
  </si>
  <si>
    <t>2025-05-06 23:24:00,2395452.10681879,142151.597229534,-174.000000000001,-3,-574.200000000002,-9.9,-0.00898482883939193,-0.54</t>
  </si>
  <si>
    <t>2025-05-06 23:24:00,28807188.8299644,21794.0883465782,0,0,0,0,0,0</t>
  </si>
  <si>
    <t>2025-05-06 23:25:00,575,,561,,575,,558.5,,,,,570,550,562,557</t>
  </si>
  <si>
    <t>2025-05-06 23:25:00,490,,485,,470,,480,,,,,490,480,478,482</t>
  </si>
  <si>
    <t>2025-05-06 23:25:00,5800,,5700,,,5700,5650,,,,,5700,5500,5610,5650</t>
  </si>
  <si>
    <t>2025-05-06 23:25:00,20300,,,,19475,,19925,,,,,19900,19300,19500,19400</t>
  </si>
  <si>
    <t>2025-05-06 23:25:00,1520848718.96017,8663386033.75865,0,0,0,0,0,0</t>
  </si>
  <si>
    <t>2025-05-06 23:25:00,1612617971.94266,2915123955.40495,0,0,0,0,0,0</t>
  </si>
  <si>
    <t>2025-05-06 23:25:00,2272114.78158051,148849.250727176,-422.533333333333,-24,-5006.93933333332,-128.73,-0.0586431908408828,-5.04</t>
  </si>
  <si>
    <t>2025-05-06 23:25:00,28821859.0917898,23562.0039203143,0,0,0,0,0,0</t>
  </si>
  <si>
    <t>2025-05-06 23:26:00,575,,561,,575,,558.5,,,,,570,550,562,557</t>
  </si>
  <si>
    <t>2025-05-06 23:26:00,490,,485,,470,,483,,,,,490,480,478,482</t>
  </si>
  <si>
    <t>2025-05-06 23:26:00,5800,,5700,,,5700,5650,,,,,5700,5500,5610,5650</t>
  </si>
  <si>
    <t>2025-05-06 23:26:00,20300,,,,19475,,19925,,,,,19900,19300,19500,19400</t>
  </si>
  <si>
    <t>2025-05-06 23:26:00,1541367598.42207,8849997568.02526,0,0,0,0,0,0</t>
  </si>
  <si>
    <t>2025-05-06 23:26:00,1613641075.15949,2262689430.33195,0,0,0,0,0,0</t>
  </si>
  <si>
    <t>2025-05-06 23:26:00,2679666.43235756,234606.344639407,-260.349999999999,-5,-13033.9544999999,-216.54,0.022981951454851,-4.05</t>
  </si>
  <si>
    <t>2025-05-06 23:26:00,28839939.6348121,24892.8568848276,0,0,0,0,0,0</t>
  </si>
  <si>
    <t>2025-05-06 23:27:00,575,,561,,575,,558.5,,,,,570,550,562,557</t>
  </si>
  <si>
    <t>2025-05-06 23:27:00,490,,485,,470,,483,,,,,490,480,478,482</t>
  </si>
  <si>
    <t>2025-05-06 23:27:00,5800,,5700,,,5700,5650,,,,,5700,5500,5610,5650</t>
  </si>
  <si>
    <t>2025-05-06 23:27:00,20300,,,,19475,,19925,,,,,19900,19300,19500,19400</t>
  </si>
  <si>
    <t>2025-05-06 23:27:00,1541065982.52248,8850207254.30756,0,0,0,0,0,0</t>
  </si>
  <si>
    <t>2025-05-06 23:27:00,1615808855.66256,2272840240.95629,0,0,0,0,0,0</t>
  </si>
  <si>
    <t>2025-05-06 23:27:00,2711379.52656655,246425.948641712,-30.0333333333333,-3,-53.1073333333334,-5.14,-0.00822734760348122,-0.34</t>
  </si>
  <si>
    <t>2025-05-06 23:27:00,28843327.9061653,24842.1115886425,0,0,0,0,0,0</t>
  </si>
  <si>
    <t>2025-05-06 23:28:00,575,,561,,575,,558.5,,,,,570,550,562,557</t>
  </si>
  <si>
    <t>2025-05-06 23:28:00,490,,485,,470,,480,,,,,490,480,478,482</t>
  </si>
  <si>
    <t>2025-05-06 23:28:00,5800,,5700,,,5700,5650,,,,,5700,5500,5610,5650</t>
  </si>
  <si>
    <t>2025-05-06 23:28:00,20300,,,,19475,,19925,,,,,19900,19300,19500,19400</t>
  </si>
  <si>
    <t>2025-05-06 23:28:00,1502812288.48109,8405369495.31408,0,0,0,0,0,0</t>
  </si>
  <si>
    <t>2025-05-06 23:28:00,1592576794.05271,2930040793.5414,0,0,0,0,0,0</t>
  </si>
  <si>
    <t>2025-05-06 23:28:00,2388728.26919372,143124.168536553,-9.39999999999999,-1,-9.58799999999999,-1.02,-0.00245453523651097,-0.07</t>
  </si>
  <si>
    <t>2025-05-06 23:28:00,28796719.5301825,20708.6108667149,0,0,0,0,0,0</t>
  </si>
  <si>
    <t>2025-05-06 23:29:00,575,,561,,575,,558.5,,,,,570,550,562,557</t>
  </si>
  <si>
    <t>2025-05-06 23:29:00,490,,485,,470,,480,,,,,490,480,478,482</t>
  </si>
  <si>
    <t>2025-05-06 23:29:00,5800,,5700,,,5700,5650,,,,,5700,5500,5610,5650</t>
  </si>
  <si>
    <t>2025-05-06 23:29:00,19475,,,,19475,,19925,,,,,19900,19300,19500,19400</t>
  </si>
  <si>
    <t>2025-05-06 23:29:00,1483785820.03854,8221326415.40415,0,0,0,0,0,0</t>
  </si>
  <si>
    <t>2025-05-06 23:29:00,1568415022.36833,2812912097.3442,0,0,0,0,0,0</t>
  </si>
  <si>
    <t>2025-05-06 23:29:00,2461784.18742609,141366.175947885,-106.6,-5,-1170.0182,-41.1,-0.0135325784028579,-1.26</t>
  </si>
  <si>
    <t>2025-05-06 23:29:00,28757900.7501144,17379.5542312204,0,0,0,0,0,0</t>
  </si>
  <si>
    <t>2025-05-06 23:30:00,575,,561,,575,,558.5,,,,,570,550,562,557</t>
  </si>
  <si>
    <t>2025-05-06 23:30:00,490,,485,,470,,480,,,,,490,480,478,482</t>
  </si>
  <si>
    <t>2025-05-06 23:30:00,5800,,5700,,,5700,5650,,,,,5700,5500,5610,5650</t>
  </si>
  <si>
    <t>2025-05-06 23:30:00,19475,,,,19475,,19925,,,,,19900,19300,19500,19400</t>
  </si>
  <si>
    <t>2025-05-06 23:30:00,1463685474.36047,8039532444.58891,0,0,0,0,0,0</t>
  </si>
  <si>
    <t>2025-05-06 23:30:00,1568427108.64646,2813211769.46809,0,0,0,0,0,0</t>
  </si>
  <si>
    <t>2025-05-06 23:30:00,2459785.34111186,139516.118453594,-24,-1,-187.2,-7.8,0.00178205983904253,-0.1</t>
  </si>
  <si>
    <t>2025-05-06 23:30:00,28750163.0953636,16752.5562578838,0,0,0,0,0,0</t>
  </si>
  <si>
    <t>2025-05-06 23:31:00,575,,561,,575,,559.5,,,,,570,550,562,557</t>
  </si>
  <si>
    <t>2025-05-06 23:31:00,490,,485,,470,,480,,,,,490,480,478,482</t>
  </si>
  <si>
    <t>2025-05-06 23:31:00,5800,,5700,,,5700,5650,,,,,5700,5500,5610,5650</t>
  </si>
  <si>
    <t>2025-05-06 23:31:00,19475,,,,19475,,19925,,,,,19900,19300,19500,19400</t>
  </si>
  <si>
    <t>2025-05-06 23:31:00,1300780837.25161,6471621356.11393,0,0,0,0,0,0</t>
  </si>
  <si>
    <t>2025-05-06 23:31:00,1500043866.09392,2514445296.02081,0,0,0,0,0,0</t>
  </si>
  <si>
    <t>2025-05-06 23:31:00,2622794.43200621,120762.611358809,-641.043333333333,-24,-2524.27593333333,-85.25,0.010874459910894,-1.71</t>
  </si>
  <si>
    <t>2025-05-06 23:31:00,28692483.6129093,12497.6044945279,0,0,0,0,0,0</t>
  </si>
  <si>
    <t>2025-05-06 23:32:00,575,,561,,575,,558.5,,,,,570,550,562,557</t>
  </si>
  <si>
    <t>2025-05-06 23:32:00,490,,485,,470,,482,,,,,490,480,478,482</t>
  </si>
  <si>
    <t>2025-05-06 23:32:00,5800,,5700,,,5700,5650,,,,,5700,5500,5610,5650</t>
  </si>
  <si>
    <t>2025-05-06 23:32:00,19475,,,,19475,,19925,,,,,19900,19300,19500,19400</t>
  </si>
  <si>
    <t>2025-05-06 23:32:00,1381334463.95253,8217583063.17832,0,0,0,0,0,0</t>
  </si>
  <si>
    <t>2025-05-06 23:32:00,1493432133.93158,2293823606.90068,0,0,0,0,0,0</t>
  </si>
  <si>
    <t>2025-05-06 23:32:00,2778017.33466836,114140.352524982,-115.17,-4,-3044.9001,-91.46,-0.00373703844964112,-2.05</t>
  </si>
  <si>
    <t>2025-05-06 23:32:00,28666328.8700944,11001.8183218171,0,0,0,0,0,0</t>
  </si>
  <si>
    <t>2025-05-06 23:33:00,575,,561,,575,,558.5,,,,,570,550,562,557</t>
  </si>
  <si>
    <t>2025-05-06 23:33:00,490,,485,,470,,480,,,,,490,480,478,482</t>
  </si>
  <si>
    <t>2025-05-06 23:33:00,5800,,5700,,,5700,5650,,,,,5700,5500,5610,5650</t>
  </si>
  <si>
    <t>2025-05-06 23:33:00,19475,,,,19475,,19925,,,,,19900,19300,19500,19400</t>
  </si>
  <si>
    <t>2025-05-06 23:33:00,1366858857.0908,8238320698.50101,0,0,0,0,0,0</t>
  </si>
  <si>
    <t>2025-05-06 23:33:00,1498291928.50731,2504274761.18569,0,0,0,0,0,0</t>
  </si>
  <si>
    <t>2025-05-06 23:33:00,2774815.0574216,120948.051730818,-36.8500000000001,-2,-403.286500000001,-17.99,-0.00195666281626704,-0.44</t>
  </si>
  <si>
    <t>2025-05-06 23:33:00,28682036.8878873,11794.7369127869,0,0,0,0,0,0</t>
  </si>
  <si>
    <t>2025-05-06 23:34:00,575,,561,,575,,558.5,,,,,570,550,562,557</t>
  </si>
  <si>
    <t>2025-05-06 23:34:00,490,,485,,470,,480,,,,,490,480,478,482</t>
  </si>
  <si>
    <t>2025-05-06 23:34:00,5800,,5700,,,5700,5650,,,,,5700,5500,5610,5650</t>
  </si>
  <si>
    <t>2025-05-06 23:34:00,19475,,,,19475,,19925,,,,,19900,19300,19500,19400</t>
  </si>
  <si>
    <t>2025-05-06 23:34:00,1380625184.2954,8198293168.82551,0,0,0,0,0,0</t>
  </si>
  <si>
    <t>2025-05-06 23:34:00,1488972689.928,2564438741.18011,0,0,0,0,0,0</t>
  </si>
  <si>
    <t>2025-05-06 23:34:00,2775323.49624811,111123.000811423,-46.0083333333335,-3,-412.653583333335,-14.88,-0.00310079298007389,-0.41</t>
  </si>
  <si>
    <t>2025-05-06 23:34:00,28653864.03851,10127.0536009608,0,0,0,0,0,0</t>
  </si>
  <si>
    <t>2025-05-06 23:35:00,575,,561,,575,,558.5,,,,,570,550,562,557</t>
  </si>
  <si>
    <t>2025-05-06 23:35:00,490,,485,,470,,480,,,,,490,480,478,482</t>
  </si>
  <si>
    <t>2025-05-06 23:35:00,5800,,5700,,,5700,5650,,,,,5700,5500,5610,5650</t>
  </si>
  <si>
    <t>2025-05-06 23:35:00,19475,,,,19475,,19925,,,,,19900,19300,19500,19400</t>
  </si>
  <si>
    <t>2025-05-06 23:35:00,1376006438.73472,8122648757.31542,0,0,0,0,0,0</t>
  </si>
  <si>
    <t>2025-05-06 23:35:00,1489102042.31391,2564768012.08013,0,0,0,0,0,0</t>
  </si>
  <si>
    <t>2025-05-06 23:35:00,2797442.53212513,97002.1577793736,-699,-23,-10192.1313333333,-257.19,0.0349852423773264,-4.98</t>
  </si>
  <si>
    <t>2025-05-06 23:35:00,28643333.2495455,9636.41648089263,0,0,0,0,0,0</t>
  </si>
  <si>
    <t>2025-05-06 23:36:00,575,,561,,575,,558.5,,,,,570,550,562,557</t>
  </si>
  <si>
    <t>2025-05-06 23:36:00,490,,485,,470,,480,,,,,490,480,478,482</t>
  </si>
  <si>
    <t>2025-05-06 23:36:00,5800,,5700,,,5700,5650,,,,,5700,5500,5610,5650</t>
  </si>
  <si>
    <t>2025-05-06 23:36:00,19475,,,,19475,,19925,,,,,19900,19300,19500,19400</t>
  </si>
  <si>
    <t>2025-05-06 23:36:00,1366637676.98015,8239765326.86586,0,0,0,0,0,0</t>
  </si>
  <si>
    <t>2025-05-06 23:36:00,1498347519.69465,2504940843.2215,0,0,0,0,0,0</t>
  </si>
  <si>
    <t>2025-05-06 23:36:00,2779396.43809251,108128.925368916,-80.1399999999999,-4,-1207.017,-44.99,0.00174550029342531,-1.01</t>
  </si>
  <si>
    <t>2025-05-06 23:36:00,28682322.1669055,11884.2175956338,0,0,0,0,0,0</t>
  </si>
  <si>
    <t>2025-05-06 23:37:00,575,,561,,575,,558.5,,,,,570,550,562,557</t>
  </si>
  <si>
    <t>2025-05-06 23:37:00,490,,485,,470,,480,,,,,490,480,478,482</t>
  </si>
  <si>
    <t>2025-05-06 23:37:00,5800,,5700,,,5700,5650,,,,,5700,5500,5610,5650</t>
  </si>
  <si>
    <t>2025-05-06 23:37:00,19475,,,,19475,,19925,,,,,19900,19300,19500,19400</t>
  </si>
  <si>
    <t>2025-05-06 23:37:00,1380158153.96009,8198783628.11922,0,0,0,0,0,0</t>
  </si>
  <si>
    <t>2025-05-06 23:37:00,1490626874.46159,2550162497.3786,0,0,0,0,0,0</t>
  </si>
  <si>
    <t>2025-05-06 23:37:00,2724697.59409436,93567.1166002311,0,0,0,0,0,0</t>
  </si>
  <si>
    <t>2025-05-06 23:37:00,28650390.9656318,9955.25153750705,0,0,0,0,0,0</t>
  </si>
  <si>
    <t>2025-05-06 23:38:00,575,,561,,575,,558.5,,,,,570,550,562,557</t>
  </si>
  <si>
    <t>2025-05-06 23:38:00,490,,485,,470,,480,,,,,490,480,478,482</t>
  </si>
  <si>
    <t>2025-05-06 23:38:00,5800,,5700,,,5700,5650,,,,,5700,5500,5610,5650</t>
  </si>
  <si>
    <t>2025-05-06 23:38:00,19475,,,,19475,,19925,,,,,19900,19300,19500,19400</t>
  </si>
  <si>
    <t>2025-05-06 23:38:00,1367963144.13882,8031106231.08614,0,0,0,0,0,0</t>
  </si>
  <si>
    <t>2025-05-06 23:38:00,1485260558.84279,2574161609.73375,0,0,0,0,0,0</t>
  </si>
  <si>
    <t>2025-05-06 23:38:00,2940845.63542751,86101.6702014983,-267.641666666668,-11,-8873.63158333338,-237.07,0.00679046612207292,-4.93</t>
  </si>
  <si>
    <t>2025-05-06 23:38:00,28640160.1566651,9320.3426303674,0,0,0,0,0,0</t>
  </si>
  <si>
    <t>2025-05-06 23:39:00,575,,561,,575,,558.5,,,,,570,550,562,557</t>
  </si>
  <si>
    <t>2025-05-06 23:39:00,490,,485,,470,,480,,,,,490,480,478,482</t>
  </si>
  <si>
    <t>2025-05-06 23:39:00,5800,,5700,,,5700,5650,,,,,5700,5500,5610,5650</t>
  </si>
  <si>
    <t>2025-05-06 23:39:00,19475,,,,19475,,19925,,,,,19900,19300,19500,19400</t>
  </si>
  <si>
    <t>2025-05-06 23:39:00,1355368418.59578,7895843149.24395,0,0,0,0,0,0</t>
  </si>
  <si>
    <t>2025-05-06 23:39:00,1479446941.77241,2565949537.00837,0,0,0,0,0,0</t>
  </si>
  <si>
    <t>2025-05-06 23:39:00,2865089.83126033,102690.192797036,-368.000000000001,-24,-1490.4,-97.2,-0.0526292819820613,-3.64</t>
  </si>
  <si>
    <t>2025-05-06 23:39:00,28633383.6865569,8507.6071162404,0,0,0,0,0,0</t>
  </si>
  <si>
    <t>2025-05-06 23:40:00,575,,561,,575,,558.5,,,,,570,550,562,557</t>
  </si>
  <si>
    <t>2025-05-06 23:40:00,490,,485,,470,,480,,,,,490,480,478,482</t>
  </si>
  <si>
    <t>2025-05-06 23:40:00,5800,,5700,,,5700,5650,,,,,5700,5500,5610,5650</t>
  </si>
  <si>
    <t>2025-05-06 23:40:00,19475,,,,19475,,19925,,,,,19900,19300,19500,19400</t>
  </si>
  <si>
    <t>2025-05-06 23:40:00,1335106580.86119,7753174868.16326,0,0,0,0,0,0</t>
  </si>
  <si>
    <t>2025-05-06 23:40:00,1479314966.42796,2565792851.26701,0,0,0,0,0,0</t>
  </si>
  <si>
    <t>2025-05-06 23:40:00,2814438.31485697,88231.8341945064,0,0,0,0,0,0</t>
  </si>
  <si>
    <t>2025-05-06 23:40:00,28610616.7385514,7127.26044053069,0,0,0,0,0,0</t>
  </si>
  <si>
    <t>2025-05-06 23:41:00,575,,561,,575,,558.5,,,,,570,550,562,557</t>
  </si>
  <si>
    <t>2025-05-06 23:41:00,490,,485,,470,,480,,,,,490,480,478,482</t>
  </si>
  <si>
    <t>2025-05-06 23:41:00,5800,,5700,,,5700,5650,,,,,5700,5500,5610,5650</t>
  </si>
  <si>
    <t>2025-05-06 23:41:00,19475,,,,19475,,19925,,,,,19900,19300,19500,19400</t>
  </si>
  <si>
    <t>2025-05-06 23:41:00,1335021949.34364,7752485801.72676,0,0,0,0,0,0</t>
  </si>
  <si>
    <t>2025-05-06 23:41:00,1479389619.56612,2565808458.11919,0,0,0,0,0,0</t>
  </si>
  <si>
    <t>2025-05-06 23:41:00,2772211.16146544,79725.0736618955,-160,-4,-4113.89999999999,-101.5,0.0218462704682639,-1.59</t>
  </si>
  <si>
    <t>2025-05-06 23:41:00,28604220.9877287,6602.43749554047,0,0,0,0,0,0</t>
  </si>
  <si>
    <t>2025-05-06 23:42:00,575,,561,,575,,558.5,,,,,570,550,562,557</t>
  </si>
  <si>
    <t>2025-05-06 23:42:00,490,,485,,470,,480,,,,,490,480,478,482</t>
  </si>
  <si>
    <t>2025-05-06 23:42:00,5800,,5700,,,5700,5650,,,,,5700,5500,5610,5650</t>
  </si>
  <si>
    <t>2025-05-06 23:42:00,19475,,,,19475,,19925,,,,,19900,19300,19500,19400</t>
  </si>
  <si>
    <t>2025-05-06 23:42:00,1364520385.95728,7998548018.03469,0,0,0,0,0,0</t>
  </si>
  <si>
    <t>2025-05-06 23:42:00,1481324902.04876,2570739590.05009,0,0,0,0,0,0</t>
  </si>
  <si>
    <t>2025-05-06 23:42:00,2873103.61695986,78453.2918642497,-266.82,-8,-9921.8576,-277.03,0.0802731331260634,-5.1</t>
  </si>
  <si>
    <t>2025-05-06 23:42:00,28641373.9945823,8763.73603770689,0,0,0,0,0,0</t>
  </si>
  <si>
    <t>2025-05-06 23:43:00,575,,561,,575,,558.5,,,,,570,550,562,557</t>
  </si>
  <si>
    <t>2025-05-06 23:43:00,490,,485,,470,,480,,,,,490,480,478,482</t>
  </si>
  <si>
    <t>2025-05-06 23:43:00,5800,,5700,,,5700,5650,,,,,5700,5500,5610,5650</t>
  </si>
  <si>
    <t>2025-05-06 23:43:00,19475,,,,19475,,19925,,,,,19900,19300,19500,19400</t>
  </si>
  <si>
    <t>2025-05-06 23:43:00,1357960486.45428,7930199530.7087,0,0,0,0,0,0</t>
  </si>
  <si>
    <t>2025-05-06 23:43:00,1479368487.49934,2565929584.42475,0,0,0,0,0,0</t>
  </si>
  <si>
    <t>2025-05-06 23:43:00,2744240.32767687,66984.3569689054,-26.3666666666666,-4,-62.1406666666666,-6.72,-0.00249594370314751,-0.22</t>
  </si>
  <si>
    <t>2025-05-06 23:43:00,28639201.4667308,8827.76676004223,0,0,0,0,0,0</t>
  </si>
  <si>
    <t>2025-05-06 23:44:00,575,,561,,575,,558.5,,,,,570,550,562,557</t>
  </si>
  <si>
    <t>2025-05-06 23:44:00,490,,485,,470,,480,,,,,490,480,478,482</t>
  </si>
  <si>
    <t>2025-05-06 23:44:00,5800,,5700,,,5700,5650,,,,,5700,5500,5610,5650</t>
  </si>
  <si>
    <t>2025-05-06 23:44:00,19475,,,,19475,,19925,,,,,19900,19300,19500,19400</t>
  </si>
  <si>
    <t>2025-05-06 23:44:00,1367220196.40719,8031726900.69427,0,0,0,0,0,0</t>
  </si>
  <si>
    <t>2025-05-06 23:44:00,1483273637.93045,2573636139.51994,0,0,0,0,0,0</t>
  </si>
  <si>
    <t>2025-05-06 23:44:00,2913259.37563267,75915.3834833675,0,0,0,0,0,0</t>
  </si>
  <si>
    <t>2025-05-06 23:44:00,28644362.2515114,8916.64326978545,0,0,0,0,0,0</t>
  </si>
  <si>
    <t>2025-05-06 23:45:00,575,,561,,575,,558.5,,,,,570,550,562,557</t>
  </si>
  <si>
    <t>2025-05-06 23:45:00,490,,485,,470,,480,,,,,490,480,478,482</t>
  </si>
  <si>
    <t>2025-05-06 23:45:00,5800,,5700,,,5700,5650,,,,,5700,5500,5610,5650</t>
  </si>
  <si>
    <t>2025-05-06 23:45:00,19475,,,,19475,,19925,,,,,19900,19300,19500,19400</t>
  </si>
  <si>
    <t>2025-05-06 23:45:00,1379959214.64756,8219762805.59764,0,0,0,0,0,0</t>
  </si>
  <si>
    <t>2025-05-06 23:45:00,1490522692.63254,2551286109.49765,0,0,0,0,0,0</t>
  </si>
  <si>
    <t>2025-05-06 23:45:00,2951246.65402681,85098.1685306006,-50.68,-2,-589.4084,-23.26,-0.00614742305959745,-0.7</t>
  </si>
  <si>
    <t>2025-05-06 23:45:00,28660537.1098531,10148.1584748591,0,0,0,0,0,0</t>
  </si>
  <si>
    <t>2025-05-06 23:46:00,575,,561,,575,,558.5,,,,,570,550,562,557</t>
  </si>
  <si>
    <t>2025-05-06 23:46:00,490,,485,,470,,480,,,,,490,480,478,482</t>
  </si>
  <si>
    <t>2025-05-06 23:46:00,5800,,5700,,,5700,5650,,,,,5700,5500,5610,5650</t>
  </si>
  <si>
    <t>2025-05-06 23:46:00,19475,,,,19475,,19925,,,,,19900,19300,19500,19400</t>
  </si>
  <si>
    <t>2025-05-06 23:46:00,1361066074.06671,7964374122.32811,0,0,0,0,0,0</t>
  </si>
  <si>
    <t>2025-05-06 23:46:00,1475289570.27927,2553251634.48093,0,0,0,0,0,0</t>
  </si>
  <si>
    <t>2025-05-06 23:46:00,3009220.01591585,80064.6483752942,-41.85,-2,-911.091999999999,-29.17,0.00308543904308965,-0.54</t>
  </si>
  <si>
    <t>2025-05-06 23:46:00,28634273.587136,8022.45562836193,0,0,0,0,0,0</t>
  </si>
  <si>
    <t>2025-05-06 23:47:00,575,,561,,575,,558.5,,,,,570,550,562,557</t>
  </si>
  <si>
    <t>2025-05-06 23:47:00,490,,485,,470,,480,,,,,490,480,478,482</t>
  </si>
  <si>
    <t>2025-05-06 23:47:00,5800,,5700,,,5700,5650,,,,,5700,5500,5610,5650</t>
  </si>
  <si>
    <t>2025-05-06 23:47:00,19475,,,,19475,,19925,,,,,19900,19300,19500,19400</t>
  </si>
  <si>
    <t>2025-05-06 23:47:00,1372562318.02516,8094789216.06103,0,0,0,0,0,0</t>
  </si>
  <si>
    <t>2025-05-06 23:47:00,1483294352.10656,2573825089.05272,0,0,0,0,0,0</t>
  </si>
  <si>
    <t>2025-05-06 23:47:00,2946441.88934584,80300.0212671202,-31.6750000000001,-1,-368.380250000001,-11.63,-0.00307705921551711,-0.35</t>
  </si>
  <si>
    <t>2025-05-06 23:47:00,28652453.4023683,9456.03583312755,0,0,0,0,0,0</t>
  </si>
  <si>
    <t>2025-05-06 23:48:00,575,,561,,575,,558.5,,,,,570,550,562,557</t>
  </si>
  <si>
    <t>2025-05-06 23:48:00,490,,485,,470,,480,,,,,490,480,478,482</t>
  </si>
  <si>
    <t>2025-05-06 23:48:00,5800,,5700,,,5700,5650,,,,,5700,5500,5610,5650</t>
  </si>
  <si>
    <t>2025-05-06 23:48:00,19475,,,,19475,,19925,,,,,19900,19300,19500,19400</t>
  </si>
  <si>
    <t>2025-05-06 23:48:00,1366055561.89613,8244162609.36381,0,0,0,0,0,0</t>
  </si>
  <si>
    <t>2025-05-06 23:48:00,1504240238.17012,2549524763.23921,0,0,0,0,0,0</t>
  </si>
  <si>
    <t>2025-05-06 23:48:00,2645151.35669681,80812.3634016566,-81.7500000000001,-5,-1070.175,-39.7,0.00992295539775175,-0.63</t>
  </si>
  <si>
    <t>2025-05-06 23:48:00,28693980.5620331,12431.6356089717,0,0,0,0,0,0</t>
  </si>
  <si>
    <t>2025-05-06 23:49:00,575,,561,,575,,558.5,,,,,570,550,562,557</t>
  </si>
  <si>
    <t>2025-05-06 23:49:00,490,,485,,470,,480,,,,,490,480,478,482</t>
  </si>
  <si>
    <t>2025-05-06 23:49:00,5800,,5700,,,5700,5650,,,,,5700,5500,5610,5650</t>
  </si>
  <si>
    <t>2025-05-06 23:49:00,19475,,,,19475,,19925,,,,,19900,19300,19500,19400</t>
  </si>
  <si>
    <t>2025-05-06 23:49:00,1372347722.27172,8094590488.87148,0,0,0,0,0,0</t>
  </si>
  <si>
    <t>2025-05-06 23:49:00,1487233272.62819,2572798860.5455,0,0,0,0,0,0</t>
  </si>
  <si>
    <t>2025-05-06 23:49:00,2813421.29292471,78356.6079755344,0,0,0,0,0,0</t>
  </si>
  <si>
    <t>2025-05-06 23:49:00,28654478.9319629,9460.29517488637,0,0,0,0,0,0</t>
  </si>
  <si>
    <t>2025-05-06 23:50:00,575,,561,,575,,558.5,,,,,570,550,562,557</t>
  </si>
  <si>
    <t>2025-05-06 23:50:00,490,,485,,470,,480,,,,,490,480,478,482</t>
  </si>
  <si>
    <t>2025-05-06 23:50:00,5800,,5700,,,5700,5650,,,,,5700,5500,5610,5650</t>
  </si>
  <si>
    <t>2025-05-06 23:50:00,19475,,,,19475,,19925,,,,,19900,19300,19500,19400</t>
  </si>
  <si>
    <t>2025-05-06 23:50:00,1363926034.22949,7999560309.85543,0,0,0,0,0,0</t>
  </si>
  <si>
    <t>2025-05-06 23:50:00,1479276066.17081,2566535565.43261,0,0,0,0,0,0</t>
  </si>
  <si>
    <t>2025-05-06 23:50:00,2993760.67801465,77776.0422783051,-41.5666666666671,-1,-483.420333333338,-11.63,-0.00309622834317008,-0.35</t>
  </si>
  <si>
    <t>2025-05-06 23:50:00,28641941.5838384,8371.23988879485,0,0,0,0,0,0</t>
  </si>
  <si>
    <t>2025-05-06 23:51:00,575,,561,,575,,558.5,,,,,570,550,562,557</t>
  </si>
  <si>
    <t>2025-05-06 23:51:00,490,,485,,470,,480,,,,,490,480,478,482</t>
  </si>
  <si>
    <t>2025-05-06 23:51:00,5800,,5700,,,5700,5650,,,,,5700,5500,5610,5650</t>
  </si>
  <si>
    <t>2025-05-06 23:51:00,19475,,,,19475,,19925,,,,,19900,19300,19500,19400</t>
  </si>
  <si>
    <t>2025-05-06 23:51:00,1350241503.66407,7862356978.45676,0,0,0,0,0,0</t>
  </si>
  <si>
    <t>2025-05-06 23:51:00,1475198714.88485,2553676120.95292,0,0,0,0,0,0</t>
  </si>
  <si>
    <t>2025-05-06 23:51:00,2763270.53692596,68675.9882453562,-73.2083333333333,-10,-520.150249999999,-21.04,-0.0112524601012603,-0.78</t>
  </si>
  <si>
    <t>2025-05-06 23:51:00,28633971.4881964,8142.66798833462,0,0,0,0,0,0</t>
  </si>
  <si>
    <t>2025-05-06 23:52:00,575,,561,,575,,558.5,,,,,570,550,562,557</t>
  </si>
  <si>
    <t>2025-05-06 23:52:00,490,,485,,470,,480,,,,,490,480,478,482</t>
  </si>
  <si>
    <t>2025-05-06 23:52:00,5800,,5700,,,5700,5650,,,,,5700,5500,5610,5650</t>
  </si>
  <si>
    <t>2025-05-06 23:52:00,19475,,,,19475,,19925,,,,,19900,19300,19500,19400</t>
  </si>
  <si>
    <t>2025-05-06 23:52:00,1353737632.19082,7897359102.71399,0,0,0,0,0,0</t>
  </si>
  <si>
    <t>2025-05-06 23:52:00,1479382847.28229,2566710621.49533,0,0,0,0,0,0</t>
  </si>
  <si>
    <t>2025-05-06 23:52:00,2790422.43298867,78936.3817742796,-41.2333333333332,-1,-479.543666666666,-11.63,-0.00310300666024954,-0.35</t>
  </si>
  <si>
    <t>2025-05-06 23:52:00,28640199.9868386,8257.43855992393,0,0,0,0,0,0</t>
  </si>
  <si>
    <t>2025-05-06 23:53:00,575,,561,,575,,558.5,,,,,570,550,562,557</t>
  </si>
  <si>
    <t>2025-05-06 23:53:00,490,,485,,470,,480,,,,,490,480,478,482</t>
  </si>
  <si>
    <t>2025-05-06 23:53:00,5800,,5700,,,5700,5650,,,,,5700,5500,5610,5650</t>
  </si>
  <si>
    <t>2025-05-06 23:53:00,19475,,,,19475,,19925,,,,,19900,19300,19500,19400</t>
  </si>
  <si>
    <t>2025-05-06 23:53:00,1379443381.81687,8220456526.7476,0,0,0,0,0,0</t>
  </si>
  <si>
    <t>2025-05-06 23:53:00,1506123398.70601,2582192340.9456,0,0,0,0,0,0</t>
  </si>
  <si>
    <t>2025-05-06 23:53:00,2624510.63022031,79547.9902903694,0,0,0,0,0,0</t>
  </si>
  <si>
    <t>2025-05-06 23:53:00,28689607.3550134,11678.7805976711,0,0,0,0,0,0</t>
  </si>
  <si>
    <t>2025-05-06 23:54:00,575,,561,,575,,558.5,,,,,570,550,562,557</t>
  </si>
  <si>
    <t>2025-05-06 23:54:00,490,,485,,470,,480,,,,,490,480,478,482</t>
  </si>
  <si>
    <t>2025-05-06 23:54:00,5800,,5700,,,5700,5650,,,,,5700,5500,5610,5650</t>
  </si>
  <si>
    <t>2025-05-06 23:54:00,19475,,,,19475,,19925,,,,,19900,19300,19500,19400</t>
  </si>
  <si>
    <t>2025-05-06 23:54:00,1320928028.13829,8181319134.58452,0,0,0,0,0,0</t>
  </si>
  <si>
    <t>2025-05-06 23:54:00,1506126709.5043,2582654349.4542,0,0,0,0,0,0</t>
  </si>
  <si>
    <t>2025-05-06 23:54:00,2618804.86431756,87836.6729205332,0,0,0,0,0,0</t>
  </si>
  <si>
    <t>2025-05-06 23:54:00,28701742.3431356,12352.5667242476,0,0,0,0,0,0</t>
  </si>
  <si>
    <t>2025-05-06 23:55:00,575,,561,,575,,558.5,,,,,570,550,562,557</t>
  </si>
  <si>
    <t>2025-05-06 23:55:00,490,,485,,470,,480,,,,,490,480,478,482</t>
  </si>
  <si>
    <t>2025-05-06 23:55:00,5800,,5700,,,5700,5650,,,,,5700,5500,5610,5650</t>
  </si>
  <si>
    <t>2025-05-06 23:55:00,19475,,,,19475,,19925,,,,,19900,19300,19500,19400</t>
  </si>
  <si>
    <t>2025-05-06 23:55:00,1375852533.83262,8151444193.41882,0,0,0,0,0,0</t>
  </si>
  <si>
    <t>2025-05-06 23:55:00,1492190375.30107,2528013744.33587,0,0,0,0,0,0</t>
  </si>
  <si>
    <t>2025-05-06 23:55:00,2726424.37579746,75852.52281667,-41.1666666666666,-2,-562.466666666666,-23.6,0.00541435255768851,-0.36</t>
  </si>
  <si>
    <t>2025-05-06 23:55:00,28662948.3392481,9956.37669926681,0,0,0,0,0,0</t>
  </si>
  <si>
    <t>2025-05-06 23:56:00,575,,561,,575,,558.5,,,,,570,550,562,557</t>
  </si>
  <si>
    <t>2025-05-06 23:56:00,490,,485,,470,,482,,,,,490,480,478,482</t>
  </si>
  <si>
    <t>2025-05-06 23:56:00,5800,,5700,,,5700,5650,,,,,5700,5500,5610,5650</t>
  </si>
  <si>
    <t>2025-05-06 23:56:00,19475,,,,19475,,19925,,,,,19900,19300,19500,19400</t>
  </si>
  <si>
    <t>2025-05-06 23:56:00,1378774205.9326,8221433494.32316,0,0,0,0,0,0</t>
  </si>
  <si>
    <t>2025-05-06 23:56:00,1494559346.68321,2127361478.66177,0,0,0,0,0,0</t>
  </si>
  <si>
    <t>2025-05-06 23:56:00,2779731.12655426,84769.040412366,-43.6166666666666,-1,-3130.36816666666,-71.77,0.00504604343071414,-1</t>
  </si>
  <si>
    <t>2025-05-06 23:56:00,28687972.5392715,11619.5072891001,0,0,0,0,0,0</t>
  </si>
  <si>
    <t>2025-05-06 23:57:00,575,,561,,575,,558.5,,,,,570,550,562,557</t>
  </si>
  <si>
    <t>2025-05-06 23:57:00,490,,485,,470,,480,,,,,490,480,478,482</t>
  </si>
  <si>
    <t>2025-05-06 23:57:00,5800,,5700,,,5700,5650,,,,,5700,5500,5610,5650</t>
  </si>
  <si>
    <t>2025-05-06 23:57:00,19475,,,,19475,,19925,,,,,19900,19300,19500,19400</t>
  </si>
  <si>
    <t>2025-05-06 23:57:00,1322033591.53902,7972382817.79662,0,0,0,0,0,0</t>
  </si>
  <si>
    <t>2025-05-06 23:57:00,1506114805.71721,2572421844.18216,0,0,0,0,0,0</t>
  </si>
  <si>
    <t>2025-05-06 23:57:00,2643419.05864238,120845.800826547,-652.533333333332,-41,-2234.32266666666,-138.43,-0.119846722526593,-6.89</t>
  </si>
  <si>
    <t>2025-05-06 23:57:00,28711548.8119207,13156.3751202301,0,0,0,0,0,0</t>
  </si>
  <si>
    <t>2025-05-06 23:58:00,575,,561,,575,,558.5,,,,,570,550,562,557</t>
  </si>
  <si>
    <t>2025-05-06 23:58:00,490,,485,,470,,482,,,,,490,480,478,482</t>
  </si>
  <si>
    <t>2025-05-06 23:58:00,5800,,5700,,,5700,5650,,,,,5700,5500,5610,5650</t>
  </si>
  <si>
    <t>2025-05-06 23:58:00,19475,,,,19475,,19925,,,,,19900,19300,19500,19400</t>
  </si>
  <si>
    <t>2025-05-06 23:58:00,1378684706.74794,8220556915.73521,0,0,0,0,0,0</t>
  </si>
  <si>
    <t>2025-05-06 23:58:00,1495800596.87773,2138138223.66813,0,0,0,0,0,0</t>
  </si>
  <si>
    <t>2025-05-06 23:58:00,2710849.28787542,115211.511070035,-59.4666666666668,-6,-335.272000000001,-18.48,-0.0041223785888586,-0.62</t>
  </si>
  <si>
    <t>2025-05-06 23:58:00,28693500.6560846,11922.2660699306,0,0,0,0,0,0</t>
  </si>
  <si>
    <t>2025-05-06 23:59:00,575,,561,,575,,558.5,,,,,570,550,562,557</t>
  </si>
  <si>
    <t>2025-05-06 23:59:00,490,,485,,470,,480,,,,,490,480,478,482</t>
  </si>
  <si>
    <t>2025-05-06 23:59:00,5800,,5700,,,5700,5650,,,,,5700,5500,5610,5650</t>
  </si>
  <si>
    <t>2025-05-06 23:59:00,19475,,,,19475,,19925,,,,,19900,19300,19500,19400</t>
  </si>
  <si>
    <t>2025-05-06 23:59:00,1373059421.30681,8253121467.1238,0,0,0,0,0,0</t>
  </si>
  <si>
    <t>2025-05-06 23:59:00,1501445855.38829,2529892251.43857,0,0,0,0,0,0</t>
  </si>
  <si>
    <t>2025-05-06 23:59:00,2690469.1340615,118587.655932029,-15.5,-1,-79.0499999999999,-5.1,0.00139003655693069,-0.07</t>
  </si>
  <si>
    <t>2025-05-06 23:59:00,28701089.310185,12467.6324357715,0,0,0,0,0,0</t>
  </si>
  <si>
    <t>2025-05-07 00:00:00,575,,561,,575,,558.5,,,,,570,550,562,557</t>
  </si>
  <si>
    <t>2025-05-07 00:00:00,490,,485,,470,,482,,,,,490,480,478,482</t>
  </si>
  <si>
    <t>2025-05-07 00:00:00,5800,,5700,,,5700,5650,,,,,5700,5500,5610,5650</t>
  </si>
  <si>
    <t>2025-05-07 00:00:00,19475,,,,19475,,19925,,,,,19900,19300,19500,19400</t>
  </si>
  <si>
    <t>2025-05-07 00:00:00,1371201407.5387,8095269889.35209,0,0,0,0,0,0</t>
  </si>
  <si>
    <t>2025-05-07 00:00:00,1494638986.55373,2127151208.87365,0,0,0,0,0,0</t>
  </si>
  <si>
    <t>2025-05-07 00:00:00,2887101.83260745,105978.229688128,-23.6666666666666,-2,-87.3833333333331,-5.45,-0.00255033376641037,-0.22</t>
  </si>
  <si>
    <t>2025-05-07 00:00:00,28677607.5164604,11100.415899198,0,0,0,0,0,0</t>
  </si>
  <si>
    <t>2025-05-07 00:01:00,575,,561,,575,,558.5,,,,,570,550,562,557</t>
  </si>
  <si>
    <t>2025-05-07 00:01:00,490,,485,,470,,480,,,,,490,480,478,482</t>
  </si>
  <si>
    <t>2025-05-07 00:01:00,5800,,5700,,,5700,5650,,,,,5700,5500,5610,5650</t>
  </si>
  <si>
    <t>2025-05-07 00:01:00,19475,,,,19475,,19925,,,,,19900,19300,19500,19400</t>
  </si>
  <si>
    <t>2025-05-07 00:01:00,1305265504.00026,7503202999.13814,0,0,0,0,0,0</t>
  </si>
  <si>
    <t>2025-05-07 00:01:00,1458117798.49752,2494885111.05055,0,0,0,0,0,0</t>
  </si>
  <si>
    <t>2025-05-07 00:01:00,2833390.71201466,99230.7201129996,-112.7,-7,-803.091666666669,-32.5,-0.0189926736809343,-1.15</t>
  </si>
  <si>
    <t>2025-05-07 00:01:00,28615473.3790728,6638.05833011751,0,0,0,0,0,0</t>
  </si>
  <si>
    <t>2025-05-07 00:02:00,575,,561,,575,,558.5,,,,,570,550,562,557</t>
  </si>
  <si>
    <t>2025-05-07 00:02:00,490,,485,,470,,480,,,,,490,480,478,482</t>
  </si>
  <si>
    <t>2025-05-07 00:02:00,5800,,5700,,,5700,5650,,,,,5700,5500,5610,5650</t>
  </si>
  <si>
    <t>2025-05-07 00:02:00,19475,,,,19475,,19925,,,,,19900,19300,19500,19400</t>
  </si>
  <si>
    <t>2025-05-07 00:02:00,1309152408.10973,7538971337.61335,0,0,0,0,0,0</t>
  </si>
  <si>
    <t>2025-05-07 00:02:00,1455909709.66962,2484470591.8103,0,0,0,0,0,0</t>
  </si>
  <si>
    <t>2025-05-07 00:02:00,2834273.57245717,90574.984860442,-48.6666666666664,-2,-149.833333333333,-4.7,-0.00557554709880986,-0.24</t>
  </si>
  <si>
    <t>2025-05-07 00:02:00,28603781.571324,5994.99593120948,0,0,0,0,0,0</t>
  </si>
  <si>
    <t>2025-05-07 00:03:00,575,,561,,575,,558.5,,,,,570,550,562,557</t>
  </si>
  <si>
    <t>2025-05-07 00:03:00,490,,485,,470,,480,,,,,490,480,478,482</t>
  </si>
  <si>
    <t>2025-05-07 00:03:00,5800,,5700,,,5700,5650,,,,,5700,5500,5610,5700</t>
  </si>
  <si>
    <t>2025-05-07 00:03:00,19475,,,,19475,,19925,,,,,19900,19300,19500,19400</t>
  </si>
  <si>
    <t>2025-05-07 00:03:00,1312994617.51856,7574330682.20412,0,0,0,0,0,0</t>
  </si>
  <si>
    <t>2025-05-07 00:03:00,1458094494.02103,2494788278.46376,0,0,0,0,0,0</t>
  </si>
  <si>
    <t>2025-05-07 00:03:00,2836314.07651851,109630.154678503,-536.666666666666,-25,-2303.46666666667,-98.8,-0.0686386229130875,-4.14</t>
  </si>
  <si>
    <t>2025-05-07 00:03:00,28617721.2898853,6794.3982438188,0,0,0,0,0,0</t>
  </si>
  <si>
    <t>2025-05-07 00:04:00,575,,561,,575,,558.5,,,,,570,550,562,557</t>
  </si>
  <si>
    <t>2025-05-07 00:04:00,490,,485,,470,,480,,,,,490,480,478,482</t>
  </si>
  <si>
    <t>2025-05-07 00:04:00,5800,,5700,,,5700,5650,,,,,5700,5500,5610,5700</t>
  </si>
  <si>
    <t>2025-05-07 00:04:00,19475,,,,19475,,19925,,,,,19900,19300,19500,19400</t>
  </si>
  <si>
    <t>2025-05-07 00:04:00,1312859574.36274,7574788483.3561,0,0,0,0,0,0</t>
  </si>
  <si>
    <t>2025-05-07 00:04:00,1458122146.49676,2495037877.07174,0,0,0,0,0,0</t>
  </si>
  <si>
    <t>2025-05-07 00:04:00,2823113.05298104,114925.550019615,-12.65,-1,-23.6555000000001,-1.87,-0.00273738934280007,-0.11</t>
  </si>
  <si>
    <t>2025-05-07 00:04:00,28615097.8859971,6309.76374939306,0,0,0,0,0,0</t>
  </si>
  <si>
    <t>2025-05-07 00:05:00,575,,561,,575,,558.5,,,,,570,550,562,557</t>
  </si>
  <si>
    <t>2025-05-07 00:05:00,490,,485,,470,,480,,,,,490,480,478,482</t>
  </si>
  <si>
    <t>2025-05-07 00:05:00,5800,,5700,,,5700,5650,,,,,5700,5500,5610,5700</t>
  </si>
  <si>
    <t>2025-05-07 00:05:00,19475,,,,19475,,19925,,,,,19900,19300,19500,19400</t>
  </si>
  <si>
    <t>2025-05-07 00:05:00,1267942507.69169,7150529463.53288,0,0,0,0,0,0</t>
  </si>
  <si>
    <t>2025-05-07 00:05:00,1428823086.76892,2338566875.21036,0,0,0,0,0,0</t>
  </si>
  <si>
    <t>2025-05-07 00:05:00,2945605.89937486,80783.917611447,-352.666666666668,-11,-11692.8,-305.7,0.0704296063430735,-5.43</t>
  </si>
  <si>
    <t>2025-05-07 00:05:00,28560141.156598,3011.64311861178,0,0,0,0,0,0</t>
  </si>
  <si>
    <t>2025-05-07 00:06:00,575,,561,,575,,558.5,,,,,570,550,562,557</t>
  </si>
  <si>
    <t>2025-05-07 00:06:00,490,,485,,470,,481,,,,,490,480,478,482</t>
  </si>
  <si>
    <t>2025-05-07 00:06:00,5800,,5700,,,5700,5650,,,,,5700,5500,5610,5700</t>
  </si>
  <si>
    <t>2025-05-07 00:06:00,19475,,,,19475,,19925,,,,,19900,19300,19500,19400</t>
  </si>
  <si>
    <t>2025-05-07 00:06:00,1220373104.06465,6448481947.30253,0,0,0,0,0,0</t>
  </si>
  <si>
    <t>2025-05-07 00:06:00,1405339261.46897,1968827021.33618,0,0,0,0,0,0</t>
  </si>
  <si>
    <t>2025-05-07 00:06:00,2998287.32000992,77153.1970672341,-40.8333333333334,-2,-314.476333333334,-15.92,0.00429222150037659,-0.23</t>
  </si>
  <si>
    <t>2025-05-07 00:06:00,28521596.3059562,543.962857246225,0,0,0,0,0,0</t>
  </si>
  <si>
    <t>2025-05-07 00:07:00,575,,561,,575,,558.5,,,,,570,550,562,557</t>
  </si>
  <si>
    <t>2025-05-07 00:07:00,490,,485,,470,,480,,,,,490,480,478,482</t>
  </si>
  <si>
    <t>2025-05-07 00:07:00,5800,,5700,,,5700,5650,,,,,5700,5500,5610,5700</t>
  </si>
  <si>
    <t>2025-05-07 00:07:00,19475,,,,19475,,19925,,,,,19900,19300,19500,19400</t>
  </si>
  <si>
    <t>2025-05-07 00:07:00,1275782739.06191,7219209224.34658,0,0,0,0,0,0</t>
  </si>
  <si>
    <t>2025-05-07 00:07:00,1438603170.36606,2391787099.76204,0,0,0,0,0,0</t>
  </si>
  <si>
    <t>2025-05-07 00:07:00,2968985.88731837,77063.3870547823,-369.150000000001,-14,-11540.5223333334,-300.16,0.0658437140835819,-5.53</t>
  </si>
  <si>
    <t>2025-05-07 00:07:00,28582042.7025562,4192.46262377027,0,0,0,0,0,0</t>
  </si>
  <si>
    <t>2025-05-07 00:08:00,575,,561,,575,,558.5,,,,,570,550,562,557</t>
  </si>
  <si>
    <t>2025-05-07 00:08:00,490,,485,,470,,480,,,,,490,480,478,482</t>
  </si>
  <si>
    <t>2025-05-07 00:08:00,5800,,5700,,,5700,5650,,,,,5700,5500,5610,5700</t>
  </si>
  <si>
    <t>2025-05-07 00:08:00,19475,,,,19475,,19925,,,,,19900,19300,19500,19400</t>
  </si>
  <si>
    <t>2025-05-07 00:08:00,1246576672.3039,6977393206.15567,0,0,0,0,0,0</t>
  </si>
  <si>
    <t>2025-05-07 00:08:00,1424511076.20203,2317235879.53247,0,0,0,0,0,0</t>
  </si>
  <si>
    <t>2025-05-07 00:08:00,2972888.31507911,62901.461771276,-28.6333333333333,-2,-199.310333333333,-12.59,0.00357729534518153,-0.19</t>
  </si>
  <si>
    <t>2025-05-07 00:08:00,28556933.2714042,2773.01363733064,0,0,0,0,0,0</t>
  </si>
  <si>
    <t>2025-05-07 00:09:00,575,,561,,575,,558.5,,,,,570,550,562,557</t>
  </si>
  <si>
    <t>2025-05-07 00:09:00,490,,485,,470,,480,,,,,490,480,478,482</t>
  </si>
  <si>
    <t>2025-05-07 00:09:00,5800,,5700,,,5700,5650,,,,,5700,5500,5610,5700</t>
  </si>
  <si>
    <t>2025-05-07 00:09:00,19475,,,,19475,,19925,,,,,19900,19300,19500,19400</t>
  </si>
  <si>
    <t>2025-05-07 00:09:00,1271501027.32715,7185228314.6823,0,0,0,0,0,0</t>
  </si>
  <si>
    <t>2025-05-07 00:09:00,1424476973.58369,2317509952.78048,0,0,0,0,0,0</t>
  </si>
  <si>
    <t>2025-05-07 00:09:00,3107879.87779918,65384.3814110294,-49.2499999999998,-2,-1486.94999999999,-39.3,0.00933407641445397,-0.66</t>
  </si>
  <si>
    <t>2025-05-07 00:09:00,28560250.7494165,2879.29288862898,0,0,0,0,0,0</t>
  </si>
  <si>
    <t>2025-05-07 00:10:00,575,,561,,575,,558.5,,,,,570,550,562,557</t>
  </si>
  <si>
    <t>2025-05-07 00:10:00,490,,485,,470,,480,,,,,490,480,478,482</t>
  </si>
  <si>
    <t>2025-05-07 00:10:00,5800,,5700,,,5700,5650,,,,,5700,5500,5610,5700</t>
  </si>
  <si>
    <t>2025-05-07 00:10:00,19475,,,,19475,,19925,,,,,19900,19300,19500,19400</t>
  </si>
  <si>
    <t>2025-05-07 00:10:00,1259102215.30566,7081699218.29265,0,0,0,0,0,0</t>
  </si>
  <si>
    <t>2025-05-07 00:10:00,1434929286.14726,2371008217.58343,0,0,0,0,0,0</t>
  </si>
  <si>
    <t>2025-05-07 00:10:00,2992319.42093967,66402.6236790157,-53.4333333333333,-3,-1007.225,-30.75,-0.0074662159934907,-0.69</t>
  </si>
  <si>
    <t>2025-05-07 00:10:00,28567548.6872889,3425.57620697736,0,0,0,0,0,0</t>
  </si>
  <si>
    <t>2025-05-07 00:11:00,575,,561,,575,,558.5,,,,,570,550,562,557</t>
  </si>
  <si>
    <t>2025-05-07 00:11:00,490,,485,,470,,480,,,,,490,480,478,482</t>
  </si>
  <si>
    <t>2025-05-07 00:11:00,5800,,5700,,,5700,5650,,,,,5700,5500,5610,5700</t>
  </si>
  <si>
    <t>2025-05-07 00:11:00,19475,,,,19475,,19925,,,,,19900,19300,19500,19400</t>
  </si>
  <si>
    <t>2025-05-07 00:11:00,1271281927.07925,7185554906.05542,0,0,0,0,0,0</t>
  </si>
  <si>
    <t>2025-05-07 00:11:00,1432963878.65706,2360407642.51742,0,0,0,0,0,0</t>
  </si>
  <si>
    <t>2025-05-07 00:11:00,3000246.38975396,79894.2888857943,-168.333333333333,-11,-1071.66666666667,-52.6,-0.0259938421381265,-1.9</t>
  </si>
  <si>
    <t>2025-05-07 00:11:00,28570117.4671474,3042.90743713784,0,0,0,0,0,0</t>
  </si>
  <si>
    <t>2025-05-07 00:12:00,575,,561,,575,,558.5,,,,,570,550,562,557</t>
  </si>
  <si>
    <t>2025-05-07 00:12:00,490,,485,,470,,480,,,,,490,480,478,482</t>
  </si>
  <si>
    <t>2025-05-07 00:12:00,5800,,5700,,,5700,5650,,,,,5700,5500,5610,5700</t>
  </si>
  <si>
    <t>2025-05-07 00:12:00,19475,,,,19475,,19925,,,,,19900,19300,19500,19400</t>
  </si>
  <si>
    <t>2025-05-07 00:12:00,1278934071.23992,7255645142.9952,0,0,0,0,0,0</t>
  </si>
  <si>
    <t>2025-05-07 00:12:00,1436779111.17861,2381653582.02178,0,0,0,0,0,0</t>
  </si>
  <si>
    <t>2025-05-07 00:12:00,2897937.16694948,73229.2502827028,-27.6666666666666,-1,-453.733333333332,-16.4,0.00373751977962122,-0.25</t>
  </si>
  <si>
    <t>2025-05-07 00:12:00,28579952.6615363,3877.46475448224,0,0,0,0,0,0</t>
  </si>
  <si>
    <t>2025-05-07 00:13:00,575,,561,,575,,558.5,,,,,570,550,562,557</t>
  </si>
  <si>
    <t>2025-05-07 00:13:00,490,,485,,470,,480,,,,,490,480,478,482</t>
  </si>
  <si>
    <t>2025-05-07 00:13:00,5800,,5700,,,5700,5650,,,,,5700,5500,5610,5700</t>
  </si>
  <si>
    <t>2025-05-07 00:13:00,19475,,,,19475,,19925,,,,,19900,19300,19500,19400</t>
  </si>
  <si>
    <t>2025-05-07 00:13:00,1307917341.64686,7539143568.08441,0,0,0,0,0,0</t>
  </si>
  <si>
    <t>2025-05-07 00:13:00,1457922499.8185,2494933938.94286,0,0,0,0,0,0</t>
  </si>
  <si>
    <t>2025-05-07 00:13:00,2786708.5857931,82402.4299933734,-35.3333333333333,-2,-293.666666666667,-14.9,-0.000304699886893539,-0.33</t>
  </si>
  <si>
    <t>2025-05-07 00:13:00,28629132.5794677,7034.74806404072,0,0,0,0,0,0</t>
  </si>
  <si>
    <t>2025-05-07 00:14:00,575,,561,,575,,558.5,,,,,570,550,562,557</t>
  </si>
  <si>
    <t>2025-05-07 00:14:00,490,,485,,470,,480,,,,,490,480,478,482</t>
  </si>
  <si>
    <t>2025-05-07 00:14:00,5800,,5700,,,5700,5650,,,,,5700,5500,5610,5700</t>
  </si>
  <si>
    <t>2025-05-07 00:14:00,19475,,,,19475,,19925,,,,,19900,19300,19500,19400</t>
  </si>
  <si>
    <t>2025-05-07 00:14:00,1312006124.01705,7575026745.34765,0,0,0,0,0,0</t>
  </si>
  <si>
    <t>2025-05-07 00:14:00,1449132411.57164,2453447035.96682,0,0,0,0,0,0</t>
  </si>
  <si>
    <t>2025-05-07 00:14:00,2782801.05118596,83141.1674054817,0,0,0,0,0,0</t>
  </si>
  <si>
    <t>2025-05-07 00:14:00,28614980.6415138,5674.57642747702,0,0,0,0,0,0</t>
  </si>
  <si>
    <t>2025-05-07 00:15:00,575,,561,,575,,558.5,,,,,570,550,562,557</t>
  </si>
  <si>
    <t>2025-05-07 00:15:00,490,,485,,470,,480,,,,,490,480,478,482</t>
  </si>
  <si>
    <t>2025-05-07 00:15:00,5800,,5700,,,5700,5650,,,,,5700,5500,5610,5700</t>
  </si>
  <si>
    <t>2025-05-07 00:15:00,19475,,,,19475,,19925,,,,,19900,19300,19500,19400</t>
  </si>
  <si>
    <t>2025-05-07 00:15:00,1347980408.19803,7862728281.75824,0,0,0,0,0,0</t>
  </si>
  <si>
    <t>2025-05-07 00:15:00,1475174236.92929,2554758914.85278,0,0,0,0,0,0</t>
  </si>
  <si>
    <t>2025-05-07 00:15:00,2945243.6079884,67940.032658971,-162.666666666667,-8,-1555.8,-49.2,0.00920260131420946,-0.89</t>
  </si>
  <si>
    <t>2025-05-07 00:15:00,28649100.773993,7813.35098843351,0,0,0,0,0,0</t>
  </si>
  <si>
    <t>2025-05-07 00:16:00,575,,561,,575,,558.5,,,,,570,550,562,557</t>
  </si>
  <si>
    <t>2025-05-07 00:16:00,490,,485,,470,,480,,,,,490,480,478,482</t>
  </si>
  <si>
    <t>2025-05-07 00:16:00,5800,,5700,,,5700,5650,,,,,5700,5500,5610,5700</t>
  </si>
  <si>
    <t>2025-05-07 00:16:00,19475,,,,19475,,19925,,,,,19900,19300,19500,19400</t>
  </si>
  <si>
    <t>2025-05-07 00:16:00,1335002791.41003,7790452704.64008,0,0,0,0,0,0</t>
  </si>
  <si>
    <t>2025-05-07 00:16:00,1464600961.96219,2524251125.37888,0,0,0,0,0,0</t>
  </si>
  <si>
    <t>2025-05-07 00:16:00,2741457.93274934,34206.3935100428,0,0,0,0,0,0</t>
  </si>
  <si>
    <t>2025-05-07 00:16:00,28635363.3070015,6853.15433589917,0,0,0,0,0,0</t>
  </si>
  <si>
    <t>2025-05-07 00:17:00,575,,561,,575,,558.5,,,,,570,550,562,557</t>
  </si>
  <si>
    <t>2025-05-07 00:17:00,490,,485,,470,,480,,,,,490,480,478,482</t>
  </si>
  <si>
    <t>2025-05-07 00:17:00,5800,,5700,,,5700,5650,,,,,5700,5500,5610,5700</t>
  </si>
  <si>
    <t>2025-05-07 00:17:00,19475,,,,19475,,19925,,,,,19900,19300,19500,19400</t>
  </si>
  <si>
    <t>2025-05-07 00:17:00,1291069488.12595,7395753867.95036,0,0,0,0,0,0</t>
  </si>
  <si>
    <t>2025-05-07 00:17:00,1442247681.31792,2421105999.9712,0,0,0,0,0,0</t>
  </si>
  <si>
    <t>2025-05-07 00:17:00,2927230.55200885,35635.4967205275,-108.35,-5,-1886.36449999999,-60.75,0.0079139816158268,-1.07</t>
  </si>
  <si>
    <t>2025-05-07 00:17:00,28605865.1918579,5030.9644023186,0,0,0,0,0,0</t>
  </si>
  <si>
    <t>2025-05-07 00:18:00,575,,561,,575,,558.5,,,,,570,550,562,557</t>
  </si>
  <si>
    <t>2025-05-07 00:18:00,490,,485,,470,,480,,,,,490,480,478,482</t>
  </si>
  <si>
    <t>2025-05-07 00:18:00,5800,,5700,,,5700,5650,,,,,5700,5500,5610,5700</t>
  </si>
  <si>
    <t>2025-05-07 00:18:00,19475,,,,19475,,19925,,,,,19900,19300,19500,19400</t>
  </si>
  <si>
    <t>2025-05-07 00:18:00,1303267427.61911,7504092941.24158,0,0,0,0,0,0</t>
  </si>
  <si>
    <t>2025-05-07 00:18:00,1447028427.73155,2442991472.5571,0,0,0,0,0,0</t>
  </si>
  <si>
    <t>2025-05-07 00:18:00,2747818.95245832,24560.5585079677,-274.65,-15,-2024.769,-81.76,-0.0138373376220303,-2.26</t>
  </si>
  <si>
    <t>2025-05-07 00:18:00,28614827.9787962,5831.13696253417,0,0,0,0,0,0</t>
  </si>
  <si>
    <t>2025-05-07 00:19:00,575,,561,,575,,558.5,,,,,570,550,562,557</t>
  </si>
  <si>
    <t>2025-05-07 00:19:00,490,,485,,470,,480,,,,,490,480,478,482</t>
  </si>
  <si>
    <t>2025-05-07 00:19:00,5800,,5700,,,5700,5650,,,,,5700,5500,5610,5700</t>
  </si>
  <si>
    <t>2025-05-07 00:19:00,19475,,,,19475,,19925,,,,,19900,19300,19500,19400</t>
  </si>
  <si>
    <t>2025-05-07 00:19:00,1327120065.53425,7719344941.92624,0,0,0,0,0,0</t>
  </si>
  <si>
    <t>2025-05-07 00:19:00,1462312428.68299,2514835383.37503,0,0,0,0,0,0</t>
  </si>
  <si>
    <t>2025-05-07 00:19:00,2780328.78612883,31542.5134003896,-165.083333333334,-4,-7539.57500000003,-152.4,0.0139168379272571,-3.16</t>
  </si>
  <si>
    <t>2025-05-07 00:19:00,28633832.4887222,6811.29894880899,0,0,0,0,0,0</t>
  </si>
  <si>
    <t>2025-05-07 00:20:00,575,,561,,575,,558.5,,,,,570,550,562,557</t>
  </si>
  <si>
    <t>2025-05-07 00:20:00,490,,485,,470,,480,,,,,490,480,478,482</t>
  </si>
  <si>
    <t>2025-05-07 00:20:00,5800,,5700,,,5700,5650,,,,,5700,5500,5610,5700</t>
  </si>
  <si>
    <t>2025-05-07 00:20:00,19475,,,,19475,,19925,,,,,19900,19300,19500,19400</t>
  </si>
  <si>
    <t>2025-05-07 00:20:00,1315276776.92108,7611313690.85,0,0,0,0,0,0</t>
  </si>
  <si>
    <t>2025-05-07 00:20:00,1455840946.71394,2485467562.34273,0,0,0,0,0,0</t>
  </si>
  <si>
    <t>2025-05-07 00:20:00,2768789.8755969,24736.9075392649,-98.1999999999998,-3,-2307.21466666666,-48.54,0.00687174256201363,-0.97</t>
  </si>
  <si>
    <t>2025-05-07 00:20:00,28622950.6448902,6030.39724594957,0,0,0,0,0,0</t>
  </si>
  <si>
    <t>2025-05-07 00:21:00,575,,561,,575,,558.5,,,,,570,550,562,557</t>
  </si>
  <si>
    <t>2025-05-07 00:21:00,490,,485,,470,,480,,,,,490,480,478,482</t>
  </si>
  <si>
    <t>2025-05-07 00:21:00,5800,,5700,,,5700,5650,,,,,5700,5500,5610,5700</t>
  </si>
  <si>
    <t>2025-05-07 00:21:00,19475,,,,19475,,19925,,,,,19900,19300,19500,19400</t>
  </si>
  <si>
    <t>2025-05-07 00:21:00,1298979299.8974,7468201751.85427,0,0,0,0,0,0</t>
  </si>
  <si>
    <t>2025-05-07 00:21:00,1440102450.28231,2410333975.87525,0,0,0,0,0,0</t>
  </si>
  <si>
    <t>2025-05-07 00:21:00,3021303.94762217,34116.8095134514,-46.0000000000002,-2,-1901.80000000001,-43.7,0.0122481486894895,-0.81</t>
  </si>
  <si>
    <t>2025-05-07 00:21:00,28598356.6200973,4178.75128630546,0,0,0,0,0,0</t>
  </si>
  <si>
    <t>2025-05-07 00:22:00,575,,561,,575,,558.5,,,,,570,550,562,557</t>
  </si>
  <si>
    <t>2025-05-07 00:22:00,490,,485,,470,,480,,,,,490,480,478,482</t>
  </si>
  <si>
    <t>2025-05-07 00:22:00,5800,,5700,,,5700,5650,,,,,5700,5500,5610,5700</t>
  </si>
  <si>
    <t>2025-05-07 00:22:00,19475,,,,19475,,19925,,,,,19900,19300,19500,19400</t>
  </si>
  <si>
    <t>2025-05-07 00:22:00,1281566742.86123,7291405215.99981,0,0,0,0,0,0</t>
  </si>
  <si>
    <t>2025-05-07 00:22:00,1432858890.43686,2360860841.54088,0,0,0,0,0,0</t>
  </si>
  <si>
    <t>2025-05-07 00:22:00,2861829.85275764,16197.246267133,-111.549999999999,-3,-5041.22933333328,-94.92,0.00829451988179693,-1.57</t>
  </si>
  <si>
    <t>2025-05-07 00:22:00,28582133.2201241,3230.3320213941,0,0,0,0,0,0</t>
  </si>
  <si>
    <t>2025-05-07 00:23:00,575,,561,,575,,558.5,,,,,570,550,562,557</t>
  </si>
  <si>
    <t>2025-05-07 00:23:00,490,,485,,470,,480,,,,,490,480,478,482</t>
  </si>
  <si>
    <t>2025-05-07 00:23:00,5800,,5700,,,5700,5650,,,,,5700,5500,5610,5700</t>
  </si>
  <si>
    <t>2025-05-07 00:23:00,19475,,,,19475,,19925,,,,,19900,19300,19500,19400</t>
  </si>
  <si>
    <t>2025-05-07 00:23:00,1284932323.68467,7326034336.37674,0,0,0,0,0,0</t>
  </si>
  <si>
    <t>2025-05-07 00:23:00,1436777793.23529,2382104736.56453,0,0,0,0,0,0</t>
  </si>
  <si>
    <t>2025-05-07 00:23:00,2785276.39809013,10472.3226054446,0,0,0,0,0,0</t>
  </si>
  <si>
    <t>2025-05-07 00:23:00,28586809.8337506,3441.1012445004,0,0,0,0,0,0</t>
  </si>
  <si>
    <t>2025-05-07 00:24:00,575,,561,,575,,558.5,,,,,570,550,562,557</t>
  </si>
  <si>
    <t>2025-05-07 00:24:00,490,,485,,470,,480,,,,,490,480,478,482</t>
  </si>
  <si>
    <t>2025-05-07 00:24:00,5800,,5700,,,5700,5650,,,,,5700,5500,5610,5700</t>
  </si>
  <si>
    <t>2025-05-07 00:24:00,19475,,,,19475,,19925,,,,,19900,19300,19500,19400</t>
  </si>
  <si>
    <t>2025-05-07 00:24:00,1277720092.14061,7254394869.94287,0,0,0,0,0,0</t>
  </si>
  <si>
    <t>2025-05-07 00:24:00,1428669199.90295,2339574047.98227,0,0,0,0,0,0</t>
  </si>
  <si>
    <t>2025-05-07 00:24:00,2858815.87445628,11848.4486589506,0,0,0,0,0,0</t>
  </si>
  <si>
    <t>2025-05-07 00:24:00,28569599.661442,2208.28362912672,0,0,0,0,0,0</t>
  </si>
  <si>
    <t>2025-05-07 00:25:00,575,,561,,575,,558.5,,,,,570,550,562,557</t>
  </si>
  <si>
    <t>2025-05-07 00:25:00,490,,485,,470,,480,,,,,490,480,478,482</t>
  </si>
  <si>
    <t>2025-05-07 00:25:00,5800,,5700,,,5700,5650,,,,,5700,5500,5610,5700</t>
  </si>
  <si>
    <t>2025-05-07 00:25:00,19475,,,,19475,,19925,,,,,19900,19300,19500,19400</t>
  </si>
  <si>
    <t>2025-05-07 00:25:00,1249084821.07337,7012678131.02262,0,0,0,0,0,0</t>
  </si>
  <si>
    <t>2025-05-07 00:25:00,1428697249.52268,2339749884.0102,0,0,0,0,0,0</t>
  </si>
  <si>
    <t>2025-05-07 00:25:00,2895427.01126263,5859.29322900632,0,0,0,0,0,0</t>
  </si>
  <si>
    <t>2025-05-07 00:25:00,28557260.3372411,1566.03200391182,0,0,0,0,0,0</t>
  </si>
  <si>
    <t>2025-05-07 00:26:00,575,,561,,575,,558.5,,,,,570,550,562,557</t>
  </si>
  <si>
    <t>2025-05-07 00:26:00,490,,485,,470,,480,,,,,490,480,478,482</t>
  </si>
  <si>
    <t>2025-05-07 00:26:00,5800,,5700,,,5700,5650,,,,,5700,5500,5610,5700</t>
  </si>
  <si>
    <t>2025-05-07 00:26:00,19475,,,,19475,,19925,,,,,19900,19300,19500,19400</t>
  </si>
  <si>
    <t>2025-05-07 00:26:00,1213799322.36359,6411787870.06322,0,0,0,0,0,0</t>
  </si>
  <si>
    <t>2025-05-07 00:26:00,1428700289.72358,2339565310.51455,0,0,0,0,0,0</t>
  </si>
  <si>
    <t>2025-05-07 00:26:00,2995982.96810894,-2103.97237559666,-104.25,-2,-5261.38800000001,-97.18,0.012254687709332,-1.52</t>
  </si>
  <si>
    <t>2025-05-07 00:26:00,28538308.7959084,287.034281305437,0,0,0,0,0,0</t>
  </si>
  <si>
    <t>2025-05-07 00:27:00,575,,561,,575,,557.5,,,,,570,550,562,557</t>
  </si>
  <si>
    <t>2025-05-07 00:27:00,490,,485,,470,,480,,,,,490,480,478,482</t>
  </si>
  <si>
    <t>2025-05-07 00:27:00,5800,,5700,,,5700,5650,,,,,5700,5500,5610,5700</t>
  </si>
  <si>
    <t>2025-05-07 00:27:00,19475,,,19300,19475,,19925,,,,,19900,19300,19500,19400</t>
  </si>
  <si>
    <t>2025-05-07 00:27:00,1159918629.65956,6581356604.18009,0,0,0,0,0,0</t>
  </si>
  <si>
    <t>2025-05-07 00:27:00,1365894039.42461,2140370542.4727,0,0,0,0,0,0</t>
  </si>
  <si>
    <t>2025-05-07 00:27:00,3284708.1879688,-26310.2994890648,-645.999999999998,-36,-16546.3664999999,-461.1,0.0648777906390553,-8.75</t>
  </si>
  <si>
    <t>2025-05-07 00:27:00,28456498.371098,-4413.78746643741,0,0,0,0,0,0</t>
  </si>
  <si>
    <t>2025-05-07 00:28:00,575,,561,,575,,557.5,,,,,570,550,562,557</t>
  </si>
  <si>
    <t>2025-05-07 00:28:00,490,,485,,470,,480,,,,,490,480,478,482</t>
  </si>
  <si>
    <t>2025-05-07 00:28:00,5800,,5700,,,5700,5650,,,,,5700,5500,5610,5700</t>
  </si>
  <si>
    <t>2025-05-07 00:28:00,19475,,,19300,19475,,19925,,,,,19900,19300,19500,19400</t>
  </si>
  <si>
    <t>2025-05-07 00:28:00,1194221261.04842,6831810884.55189,0,0,0,0,0,0</t>
  </si>
  <si>
    <t>2025-05-07 00:28:00,1381211384.86827,2209032873.11959,0,0,0,0,0,0</t>
  </si>
  <si>
    <t>2025-05-07 00:28:00,3076027.84959726,-36809.4952116667,-442.733333333332,-14,-9491.41999999998,-269,0.0552897028852384,-4.44</t>
  </si>
  <si>
    <t>2025-05-07 00:28:00,28488848.6845985,-2702.57056636639,0,0,0,0,0,0</t>
  </si>
  <si>
    <t>2025-05-07 00:29:00,575,,561,,575,,557.5,,,,,570,550,562,557</t>
  </si>
  <si>
    <t>2025-05-07 00:29:00,490,,485,,470,,480,,,,,490,480,478,482</t>
  </si>
  <si>
    <t>2025-05-07 00:29:00,5800,,5700,,,5700,5650,,,,,5700,5500,5610,5700</t>
  </si>
  <si>
    <t>2025-05-07 00:29:00,19475,,,19300,19475,,19925,,,,,19900,19300,19500,19400</t>
  </si>
  <si>
    <t>2025-05-07 00:29:00,1209406625.97986,6886021428.85818,0,0,0,0,0,0</t>
  </si>
  <si>
    <t>2025-05-07 00:29:00,1391545410.37485,2252960880.32666,0,0,0,0,0,0</t>
  </si>
  <si>
    <t>2025-05-07 00:29:00,2972308.96491417,-49834.164115917,-212.499999999999,-5,-9179.99999999995,-216,0.0555610962750403,-3.9</t>
  </si>
  <si>
    <t>2025-05-07 00:29:00,28517020.382602,-953.19474989774,0,0,0,0,0,0</t>
  </si>
  <si>
    <t>2025-05-07 00:30:00,575,,561,,575,,558.5,,,,,570,550,562,557</t>
  </si>
  <si>
    <t>2025-05-07 00:30:00,490,,485,,470,,480,,,,,490,480,478,482</t>
  </si>
  <si>
    <t>2025-05-07 00:30:00,5800,,5700,,,5700,5650,,,,,5700,5500,5610,5700</t>
  </si>
  <si>
    <t>2025-05-07 00:30:00,19475,,,,19475,,19925,,,,,19900,19300,19500,19400</t>
  </si>
  <si>
    <t>2025-05-07 00:30:00,1239969189.95106,6945606703.64672,0,0,0,0,0,0</t>
  </si>
  <si>
    <t>2025-05-07 00:30:00,1402296682.30434,2247581243.5965,0,0,0,0,0,0</t>
  </si>
  <si>
    <t>2025-05-07 00:30:00,2979362.36765726,-35970.048937176,-63.9166666666668,-3,-1072.93333333334,-30.35,-0.00226190539836885,-0.59</t>
  </si>
  <si>
    <t>2025-05-07 00:30:00,28542103.9775672,203.889231994289,0,0,0,0,0,0</t>
  </si>
  <si>
    <t>2025-05-07 00:31:00,575,,561,,575,,558.5,,,,,570,550,562,557</t>
  </si>
  <si>
    <t>2025-05-07 00:31:00,490,,485,,470,,480,,,,,490,480,478,482</t>
  </si>
  <si>
    <t>2025-05-07 00:31:00,5800,,5700,,,5700,5650,,,,,5700,5500,5610,5700</t>
  </si>
  <si>
    <t>2025-05-07 00:31:00,19475,,,,19475,,19925,,,,,19900,19300,19500,19400</t>
  </si>
  <si>
    <t>2025-05-07 00:31:00,1310134088.14861,7576904766.75293,0,0,0,0,0,0</t>
  </si>
  <si>
    <t>2025-05-07 00:31:00,1440106659.46734,2410696012.48815,0,0,0,0,0,0</t>
  </si>
  <si>
    <t>2025-05-07 00:31:00,2847006.2949823,-6921.61317574193,-620.316666666666,-35,-5241.91266666666,-200.28,-0.0529957417757102,-5.75</t>
  </si>
  <si>
    <t>2025-05-07 00:31:00,28641724.3056385,6623.596760174,0,0,0,0,0,0</t>
  </si>
  <si>
    <t>2025-05-07 00:32:00,575,,561,,575,,558.5,,,,,570,550,562,557</t>
  </si>
  <si>
    <t>2025-05-07 00:32:00,490,,485,,470,,480,,,,,490,480,478,482</t>
  </si>
  <si>
    <t>2025-05-07 00:32:00,5800,,5700,,,5700,5650,,,,,5700,5500,5610,5700</t>
  </si>
  <si>
    <t>2025-05-07 00:32:00,19475,,,,19475,,19925,,,,,19900,19300,19500,19400</t>
  </si>
  <si>
    <t>2025-05-07 00:32:00,1285272168.06451,7361868305.97873,0,0,0,0,0,0</t>
  </si>
  <si>
    <t>2025-05-07 00:32:00,1453424737.66328,2475353339.57177,0,0,0,0,0,0</t>
  </si>
  <si>
    <t>2025-05-07 00:32:00,2823142.22844487,-21365.17337534,-80.9999999999999,-5,-537.299999999999,-34.5,0.00507887296972683,-0.6</t>
  </si>
  <si>
    <t>2025-05-07 00:32:00,28619365.3037735,5386.6479493602,0,0,0,0,0,0</t>
  </si>
  <si>
    <t>2025-05-07 00:33:00,575,,561,,575,,558.5,,,,,570,550,562,557</t>
  </si>
  <si>
    <t>2025-05-07 00:33:00,490,,485,,470,,480,,,,,490,480,478,482</t>
  </si>
  <si>
    <t>2025-05-07 00:33:00,5800,,5700,,,5700,5650,,,,,5700,5500,5610,5700</t>
  </si>
  <si>
    <t>2025-05-07 00:33:00,19475,,,,19475,,19925,,,,,19900,19300,19500,19400</t>
  </si>
  <si>
    <t>2025-05-07 00:33:00,1321843438.72529,7683403186.51452,0,0,0,0,0,0</t>
  </si>
  <si>
    <t>2025-05-07 00:33:00,1466416727.11231,2533610960.22123,0,0,0,0,0,0</t>
  </si>
  <si>
    <t>2025-05-07 00:33:00,2719021.72852986,-20931.8244023196,-60.9999999999999,-1,-2635.19999999999,-43.2,0.0130965665000865,-0.82</t>
  </si>
  <si>
    <t>2025-05-07 00:33:00,28656774.5010935,7799.32959069213,0,0,0,0,0,0</t>
  </si>
  <si>
    <t>2025-05-07 00:34:00,575,,561,,575,,558.5,,,,,570,550,562,557</t>
  </si>
  <si>
    <t>2025-05-07 00:34:00,490,,485,,470,,480,,,,,490,480,478,482</t>
  </si>
  <si>
    <t>2025-05-07 00:34:00,5800,,5700,,,5700,5650,,,,,5700,5500,5610,5700</t>
  </si>
  <si>
    <t>2025-05-07 00:34:00,19475,,,,19475,,19925,,,,,19900,19300,19500,19400</t>
  </si>
  <si>
    <t>2025-05-07 00:34:00,1352813176.62888,7932830600.07926,0,0,0,0,0,0</t>
  </si>
  <si>
    <t>2025-05-07 00:34:00,1491830379.50678,2536372285.03315,0,0,0,0,0,0</t>
  </si>
  <si>
    <t>2025-05-07 00:34:00,2904006.25964984,3676.03155117344,-316.166666666666,-21,-1096.45,-71.1,-0.0594572574101357,-3.27</t>
  </si>
  <si>
    <t>2025-05-07 00:34:00,28688297.4817138,9933.52007293175,0,0,0,0,0,0</t>
  </si>
  <si>
    <t>2025-05-07 00:35:00,575,,561,,575,,558.5,,,,,570,550,562,557</t>
  </si>
  <si>
    <t>2025-05-07 00:35:00,490,,485,,470,,480,,,,,490,480,478,482</t>
  </si>
  <si>
    <t>2025-05-07 00:35:00,5800,,5700,,,5700,5650,,,,,5700,5500,5610,5700</t>
  </si>
  <si>
    <t>2025-05-07 00:35:00,19475,,,,19475,,19925,,,,,19900,19300,19500,19400</t>
  </si>
  <si>
    <t>2025-05-07 00:35:00,1325495652.1108,7720723422.34163,0,0,0,0,0,0</t>
  </si>
  <si>
    <t>2025-05-07 00:35:00,1474796077.00852,2555652813.16256,0,0,0,0,0,0</t>
  </si>
  <si>
    <t>2025-05-07 00:35:00,2752290.45190524,-1253.68746299686,-166.9,-5,-1529.21366666666,-43.22,-0.0108519597955225,-1.29</t>
  </si>
  <si>
    <t>2025-05-07 00:35:00,28667252.7955215,8426.22694165915,0,0,0,0,0,0</t>
  </si>
  <si>
    <t>2025-05-07 00:36:00,575,,561,,575,,558.5,,,,,570,550,562,557</t>
  </si>
  <si>
    <t>2025-05-07 00:36:00,490,,485,,470,,480,,,,,490,480,478,482</t>
  </si>
  <si>
    <t>2025-05-07 00:36:00,5800,,5700,,,5700,5650,,,,,5700,5500,5610,5700</t>
  </si>
  <si>
    <t>2025-05-07 00:36:00,19475,,,,19475,,19925,,,,,19900,19300,19500,19400</t>
  </si>
  <si>
    <t>2025-05-07 00:36:00,1243711932.4706,6979750662.90991,0,0,0,0,0,0</t>
  </si>
  <si>
    <t>2025-05-07 00:36:00,1426531355.49206,2328972431.28725,0,0,0,0,0,0</t>
  </si>
  <si>
    <t>2025-05-07 00:36:00,2894605.42546405,-11189.635086861,-14.9333333333333,-2,-24.7753333333333,-3.32,-0.00201402219587366,-0.13</t>
  </si>
  <si>
    <t>2025-05-07 00:36:00,28577960.5487265,2313.54495125406,0,0,0,0,0,0</t>
  </si>
  <si>
    <t>2025-05-07 00:37:00,575,,561,,575,,557.5,,,,,570,550,562,557</t>
  </si>
  <si>
    <t>2025-05-07 00:37:00,490,,485,,470,,480,,,,,490,480,478,482</t>
  </si>
  <si>
    <t>2025-05-07 00:37:00,5800,,5700,,,5700,5650,,,,,5700,5500,5610,5700</t>
  </si>
  <si>
    <t>2025-05-07 00:37:00,19475,,,,19475,,19925,,,,,19900,19300,19500,19400</t>
  </si>
  <si>
    <t>2025-05-07 00:37:00,1208345458.61703,6885451231.12149,0,0,0,0,0,0</t>
  </si>
  <si>
    <t>2025-05-07 00:37:00,1404174420.06892,2226925458.56909,0,0,0,0,0,0</t>
  </si>
  <si>
    <t>2025-05-07 00:37:00,3074184.83634347,-17133.8947247868,-46.24,-1,-3011.1488,-65.12,0.00531486595477628,-1</t>
  </si>
  <si>
    <t>2025-05-07 00:37:00,28545154.4932614,314.791677046918,0,0,0,0,0,0</t>
  </si>
  <si>
    <t>2025-05-07 00:38:00,575,,561,,575,,557.5,,,,,570,550,562,557</t>
  </si>
  <si>
    <t>2025-05-07 00:38:00,490,,485,,470,,480,,,,,490,480,478,482</t>
  </si>
  <si>
    <t>2025-05-07 00:38:00,5800,,5700,,,5700,5650,,,,,5700,5500,5610,5700</t>
  </si>
  <si>
    <t>2025-05-07 00:38:00,19475,,,19300,19475,,19925,,,,,19900,19300,19500,19400</t>
  </si>
  <si>
    <t>2025-05-07 00:38:00,1158874438.30264,6580746767.37566,0,0,0,0,0,0</t>
  </si>
  <si>
    <t>2025-05-07 00:38:00,1388258574.43728,2241035215.29743,0,0,0,0,0,0</t>
  </si>
  <si>
    <t>2025-05-07 00:38:00,3206594.42052221,3947.56966422794,-1233.37333333334,-63,-9104.08880000001,-335.77,-0.169859528792738,-11.25</t>
  </si>
  <si>
    <t>2025-05-07 00:38:00,28477416.4299734,-3517.55337530711,0,0,0,0,0,0</t>
  </si>
  <si>
    <t>2025-05-07 00:39:00,575,,561,,575,,557.5,,,,,570,550,562,557</t>
  </si>
  <si>
    <t>2025-05-07 00:39:00,490,,485,,470,,480,,,,,490,480,478,482</t>
  </si>
  <si>
    <t>2025-05-07 00:39:00,5800,,5700,,,5700,5650,,,,,5700,5500,5610,5700</t>
  </si>
  <si>
    <t>2025-05-07 00:39:00,19475,,,19300,19475,,19925,,,,,19900,19300,19500,19400</t>
  </si>
  <si>
    <t>2025-05-07 00:39:00,1167707738.65872,6670256300.93904,0,0,0,0,0,0</t>
  </si>
  <si>
    <t>2025-05-07 00:39:00,1388111561.94078,2240634058.25064,0,0,0,0,0,0</t>
  </si>
  <si>
    <t>2025-05-07 00:39:00,3156499.38971244,8522.69740111891,-280.046666666667,-9,-6426.9586,-165.8,-0.0017161620104528,-3.45</t>
  </si>
  <si>
    <t>2025-05-07 00:39:00,28497638.6851981,-2212.91945218202,0,0,0,0,0,0</t>
  </si>
  <si>
    <t>2025-05-07 00:40:00,575,,561,,575,,557.5,,,,,570,550,562,557</t>
  </si>
  <si>
    <t>2025-05-07 00:40:00,490,,485,,470,,480,,,,,490,480,478,482</t>
  </si>
  <si>
    <t>2025-05-07 00:40:00,5800,,5700,,,5700,5650,,,,,5700,5500,5610,5700</t>
  </si>
  <si>
    <t>2025-05-07 00:40:00,19475,,,19300,19475,,19925,,,,,19900,19300,19500,19400</t>
  </si>
  <si>
    <t>2025-05-07 00:40:00,1158684917.5352,6579863829.84319,0,0,0,0,0,0</t>
  </si>
  <si>
    <t>2025-05-07 00:40:00,1388234062.99135,2240880112.88305,0,0,0,0,0,0</t>
  </si>
  <si>
    <t>2025-05-07 00:40:00,3200861.03839262,9581.24333335091,-312.874999999999,-11,-3518.12624999999,-116.75,-0.00107131700193931,-2.59</t>
  </si>
  <si>
    <t>2025-05-07 00:40:00,28472195.7577224,-3903.69738290777,0,0,0,0,0,0</t>
  </si>
  <si>
    <t>2025-05-07 00:41:00,575,,561,,575,,557.5,,,,,570,550,562,557</t>
  </si>
  <si>
    <t>2025-05-07 00:41:00,490,,485,,470,,480,,,,,490,480,478,482</t>
  </si>
  <si>
    <t>2025-05-07 00:41:00,5800,,5700,,,5700,5650,,,,,5700,5500,5610,5700</t>
  </si>
  <si>
    <t>2025-05-07 00:41:00,19475,,,19300,19475,,19925,,,,,19900,19300,19500,19400</t>
  </si>
  <si>
    <t>2025-05-07 00:41:00,1103522981.69586,6200864002.23422,0,0,0,0,0,0</t>
  </si>
  <si>
    <t>2025-05-07 00:41:00,1347205176.83021,2062825145.22869,0,0,0,0,0,0</t>
  </si>
  <si>
    <t>2025-05-07 00:41:00,3533023.30582236,-11168.9255545156,-727.516666666668,-35,-18469.9210000001,-517.87,0.0794157561218355,-9.72</t>
  </si>
  <si>
    <t>2025-05-07 00:41:00,28438877.1678,-5954.71410546098,0,0,0,0,0,0</t>
  </si>
  <si>
    <t>2025-05-07 00:42:00,575,,561,,575,,557.5,,,,,570,550,562,557</t>
  </si>
  <si>
    <t>2025-05-07 00:42:00,490,,485,,470,,480,,,,,490,480,478,482</t>
  </si>
  <si>
    <t>2025-05-07 00:42:00,5800,,5700,,,5700,5650,,,,,5700,5500,5610,5700</t>
  </si>
  <si>
    <t>2025-05-07 00:42:00,19475,,,19300,19475,,19925,,,,,19900,19300,19500,19400</t>
  </si>
  <si>
    <t>2025-05-07 00:42:00,1103375897.49878,6201720647.59276,0,0,0,0,0,0</t>
  </si>
  <si>
    <t>2025-05-07 00:42:00,1342616271.77075,2041115378.90087,0,0,0,0,0,0</t>
  </si>
  <si>
    <t>2025-05-07 00:42:00,3287931.39418379,-24980.880543604,-180.79,-8,-6489.84629999998,-167.38,0.0181885721131252,-2.96</t>
  </si>
  <si>
    <t>2025-05-07 00:42:00,28417500.2846875,-7212.64738352124,0,0,0,0,0,0</t>
  </si>
  <si>
    <t>2025-05-07 00:43:00,575,,561,,575,,557.5,,,,,570,550,562,557</t>
  </si>
  <si>
    <t>2025-05-07 00:43:00,490,,485,,470,,480,,,,,490,480,478,482</t>
  </si>
  <si>
    <t>2025-05-07 00:43:00,5800,,5700,,,5700,5650,,,,,5700,5500,5610,5700</t>
  </si>
  <si>
    <t>2025-05-07 00:43:00,19475,,,19300,19475,,19925,,,,,19900,19300,19500,19400</t>
  </si>
  <si>
    <t>2025-05-07 00:43:00,1076602238.82973,6013014048.63053,0,0,0,0,0,0</t>
  </si>
  <si>
    <t>2025-05-07 00:43:00,1315038236.68935,1947484013.46031,0,0,0,0,0,0</t>
  </si>
  <si>
    <t>2025-05-07 00:43:00,3108211.7603803,-314968.906904193,-436.406666666667,-20,-11645.8253,-319.9,0.0461283581396107,-6.49</t>
  </si>
  <si>
    <t>2025-05-07 00:43:00,28387394.8541396,-9130.66988365975,0,0,0,0,0,0</t>
  </si>
  <si>
    <t>2025-05-07 00:44:00,575,,561,,575,,557.5,,,,,570,550,562,557</t>
  </si>
  <si>
    <t>2025-05-07 00:44:00,490,,485,,470,,480,,,,,490,480,478,482</t>
  </si>
  <si>
    <t>2025-05-07 00:44:00,5800,,5700,,,5700,5650,,,,,5700,5500,5610,5700</t>
  </si>
  <si>
    <t>2025-05-07 00:44:00,19475,,,19300,19475,,19925,,,,,19900,19300,19500,19400</t>
  </si>
  <si>
    <t>2025-05-07 00:44:00,1094423204.70055,6138301072.63271,0,0,0,0,0,0</t>
  </si>
  <si>
    <t>2025-05-07 00:44:00,1308538193.78186,1916017038.91127,0,0,0,0,0,0</t>
  </si>
  <si>
    <t>2025-05-07 00:44:00,3217292.79114891,-253300.791986684,-187.833333333335,-11,-1305.83500000001,-55.35,-0.0315109943474805,-1.97</t>
  </si>
  <si>
    <t>2025-05-07 00:44:00,28367334.7944189,-10387.8445571077,0,0,0,0,0,0</t>
  </si>
  <si>
    <t>2025-05-07 00:45:00,575,,561,,575,,557.5,,,,,570,550,562,557</t>
  </si>
  <si>
    <t>2025-05-07 00:45:00,490,,485,,470,,480,,,,,490,480,478,482</t>
  </si>
  <si>
    <t>2025-05-07 00:45:00,5800,,5700,,,5700,5650,,,,,5700,5500,5610,5700</t>
  </si>
  <si>
    <t>2025-05-07 00:45:00,19475,,,19300,19475,,19925,,,,,19900,19300,19500,19400</t>
  </si>
  <si>
    <t>2025-05-07 00:45:00,1103060049.76558,6201196697.33922,0,0,0,0,0,0</t>
  </si>
  <si>
    <t>2025-05-07 00:45:00,1325301671.99695,1957877725.6669,0,0,0,0,0,0</t>
  </si>
  <si>
    <t>2025-05-07 00:45:00,3168901.44886986,-287842.381539653,-106.216666666667,-6,-1433.02616666667,-56.58,-0.00758993378821648,-1.39</t>
  </si>
  <si>
    <t>2025-05-07 00:45:00,28391534.9676169,-9059.19600444091,0,0,0,0,0,0</t>
  </si>
  <si>
    <t>2025-05-07 00:46:00,575,,561,,575,,557.5,,,,,570,550,562,557</t>
  </si>
  <si>
    <t>2025-05-07 00:46:00,490,,485,,470,,480,,,,,490,480,478,482</t>
  </si>
  <si>
    <t>2025-05-07 00:46:00,5800,,5700,,,5700,5650,,,,,5700,5500,5610,5700</t>
  </si>
  <si>
    <t>2025-05-07 00:46:00,19475,,,19300,19475,,19925,,,,,19900,19300,19500,19400</t>
  </si>
  <si>
    <t>2025-05-07 00:46:00,1102961141.97172,6201290847.16162,0,0,0,0,0,0</t>
  </si>
  <si>
    <t>2025-05-07 00:46:00,1299098963.13806,1874160060.69815,0,0,0,0,0,0</t>
  </si>
  <si>
    <t>2025-05-07 00:46:00,3330808.34118016,-210911.770432125,-214.95,-13,-2330.37883333333,-98.39,0.0178943684701159,-1.81</t>
  </si>
  <si>
    <t>2025-05-07 00:46:00,28353151.9168351,-10985.3561177481,0,0,0,0,0,0</t>
  </si>
  <si>
    <t>2025-05-07 00:47:00,575,,561,,575,,557.5,,,,,570,550,562,557</t>
  </si>
  <si>
    <t>2025-05-07 00:47:00,490,,485,,470,,480,,,,,490,480,478,482</t>
  </si>
  <si>
    <t>2025-05-07 00:47:00,5800,,5700,,,5700,5650,,,,,5700,5500,5610,5700</t>
  </si>
  <si>
    <t>2025-05-07 00:47:00,19475,,,19300,19475,,19925,,,,,19900,19300,19500,19400</t>
  </si>
  <si>
    <t>2025-05-07 00:47:00,1102752346.21534,6201558578.37213,0,0,0,0,0,0</t>
  </si>
  <si>
    <t>2025-05-07 00:47:00,1340095130.53408,2029953515.92118,0,0,0,0,0,0</t>
  </si>
  <si>
    <t>2025-05-07 00:47:00,3331181.67624605,-23811.1926436523,-164.666666666667,-9,-2342.26066666667,-98.58,0.0189560646217044,-1.75</t>
  </si>
  <si>
    <t>2025-05-07 00:47:00,28425150.4393548,-7130.63033589048,0,0,0,0,0,0</t>
  </si>
  <si>
    <t>2025-05-07 00:48:00,575,,561,,575,,557.5,,,,,570,550,562,557</t>
  </si>
  <si>
    <t>2025-05-07 00:48:00,490,,485,,470,,480,,,,,490,480,478,482</t>
  </si>
  <si>
    <t>2025-05-07 00:48:00,5800,,5700,,,5700,5650,,,,,5700,5500,5610,5700</t>
  </si>
  <si>
    <t>2025-05-07 00:48:00,19475,,,19300,19475,,19925,,,,,19900,19300,19500,19400</t>
  </si>
  <si>
    <t>2025-05-07 00:48:00,1102659913.70169,6201629921.03922,0,0,0,0,0,0</t>
  </si>
  <si>
    <t>2025-05-07 00:48:00,1335541662.18434,2008796797.29885,0,0,0,0,0,0</t>
  </si>
  <si>
    <t>2025-05-07 00:48:00,2893442.32121612,-376031.74042739,-20.65,-2,-111.8495,-6.88,0.000382596208459232,-0.13</t>
  </si>
  <si>
    <t>2025-05-07 00:48:00,28421185.6937504,-7246.61476038783,0,0,0,0,0,0</t>
  </si>
  <si>
    <t>2025-05-07 00:49:00,575,,561,,575,,557.5,,,,,570,550,562,557</t>
  </si>
  <si>
    <t>2025-05-07 00:49:00,490,,485,,470,,480,,,,,490,480,478,482</t>
  </si>
  <si>
    <t>2025-05-07 00:49:00,5800,,5700,,,5700,5650,,,,,5700,5500,5610,5700</t>
  </si>
  <si>
    <t>2025-05-07 00:49:00,19475,,,19300,19475,,19925,,,,,19900,19300,19500,19400</t>
  </si>
  <si>
    <t>2025-05-07 00:49:00,1102565652.43543,6201349022.60339,0,0,0,0,0,0</t>
  </si>
  <si>
    <t>2025-05-07 00:49:00,1315273623.39887,1947083396.59971,0,0,0,0,0,0</t>
  </si>
  <si>
    <t>2025-05-07 00:49:00,3214682.99621675,-238754.246780585,-71.9666666666667,-7,-172.039333333333,-15.82,-0.0140208051951794,-0.67</t>
  </si>
  <si>
    <t>2025-05-07 00:49:00,28370524.9403283,-10078.1923730341,0,0,0,0,0,0</t>
  </si>
  <si>
    <t>2025-05-07 00:50:00,575,,561,,575,,557.5,,,,,570,550,562,557</t>
  </si>
  <si>
    <t>2025-05-07 00:50:00,490,,485,,470,,480,,,,,490,480,478,482</t>
  </si>
  <si>
    <t>2025-05-07 00:50:00,5800,,5700,,,5700,5650,,,,,5700,5500,5610,5700</t>
  </si>
  <si>
    <t>2025-05-07 00:50:00,19475,,,19300,19475,,19925,,,,,19900,19300,19500,19400</t>
  </si>
  <si>
    <t>2025-05-07 00:50:00,1080105333.49259,6043775228.82306,0,0,0,0,0,0</t>
  </si>
  <si>
    <t>2025-05-07 00:50:00,1333169312.23825,1998023222.75312,0,0,0,0,0,0</t>
  </si>
  <si>
    <t>2025-05-07 00:50:00,3081994.8071904,-312362.984667115,-57.04,-2,-2749.6448,-65.92,0.00325080514677434,-1.05</t>
  </si>
  <si>
    <t>2025-05-07 00:50:00,28410352.0112793,-7694.65986445724,0,0,0,0,0,0</t>
  </si>
  <si>
    <t>2025-05-07 00:51:00,575,,561,,575,,557.5,,,,,570,550,562,557</t>
  </si>
  <si>
    <t>2025-05-07 00:51:00,490,,485,,470,,480,,,,,490,480,478,482</t>
  </si>
  <si>
    <t>2025-05-07 00:51:00,5800,,5700,,,5700,5650,,,,,5700,5500,5610,5700</t>
  </si>
  <si>
    <t>2025-05-07 00:51:00,19475,,,19300,19475,,19925,,,,,19900,19300,19500,19400</t>
  </si>
  <si>
    <t>2025-05-07 00:51:00,1119820731.74958,6295980601.43795,0,0,0,0,0,0</t>
  </si>
  <si>
    <t>2025-05-07 00:51:00,1365973777.16143,2139106458.06522,0,0,0,0,0,0</t>
  </si>
  <si>
    <t>2025-05-07 00:51:00,3186583.58410599,-20705.3747121818,-172.8,-11,-3178.23999999999,-103.7,-0.0135074428181873,-2.37</t>
  </si>
  <si>
    <t>2025-05-07 00:51:00,28462022.7408249,-4713.9755967309,0,0,0,0,0,0</t>
  </si>
  <si>
    <t>2025-05-07 00:52:00,575,,561,,575,,557.5,,,,,570,550,562,557</t>
  </si>
  <si>
    <t>2025-05-07 00:52:00,490,,485,,470,,480,,,,,490,480,478,482</t>
  </si>
  <si>
    <t>2025-05-07 00:52:00,5800,,5700,,,5700,5650,,,,,5700,5500,5610,5700</t>
  </si>
  <si>
    <t>2025-05-07 00:52:00,19475,,,19300,19475,,19925,,,,,19900,19300,19500,19400</t>
  </si>
  <si>
    <t>2025-05-07 00:52:00,1114863376.42258,6265012527.26271,0,0,0,0,0,0</t>
  </si>
  <si>
    <t>2025-05-07 00:52:00,1358345683.14805,2106512961.66833,0,0,0,0,0,0</t>
  </si>
  <si>
    <t>2025-05-07 00:52:00,3206135.35649561,-17107.9007030093,-220.373333333333,-13,-4882.64813333333,-131.34,-0.00545875381101051,-2.67</t>
  </si>
  <si>
    <t>2025-05-07 00:52:00,28460762.8740208,-4957.82556624554,0,0,0,0,0,0</t>
  </si>
  <si>
    <t>2025-05-07 00:53:00,575,,561,,575,,557.5,,,,,570,550,562,557</t>
  </si>
  <si>
    <t>2025-05-07 00:53:00,490,,485,,470,,480,,,,,490,480,478,482</t>
  </si>
  <si>
    <t>2025-05-07 00:53:00,5800,,5700,,,5700,5650,,,,,5700,5500,5610,5700</t>
  </si>
  <si>
    <t>2025-05-07 00:53:00,19475,,,19300,19475,,19925,,,,,19900,19300,19500,19400</t>
  </si>
  <si>
    <t>2025-05-07 00:53:00,1093266489.74983,6137792343.18015,0,0,0,0,0,0</t>
  </si>
  <si>
    <t>2025-05-07 00:53:00,1337819043.68132,2019145889.65076,0,0,0,0,0,0</t>
  </si>
  <si>
    <t>2025-05-07 00:53:00,2954202.61109135,-303511.195597311,-103.15,-6,-1758.022,-54.48,-0.00427792850292089,-1.24</t>
  </si>
  <si>
    <t>2025-05-07 00:53:00,28420570.7450861,-7430.01136698461,0,0,0,0,0,0</t>
  </si>
  <si>
    <t>2025-05-07 00:54:00,575,,561,,575,,557.5,,,,,570,550,562,557</t>
  </si>
  <si>
    <t>2025-05-07 00:54:00,490,,485,,470,,480,,,,,490,480,478,482</t>
  </si>
  <si>
    <t>2025-05-07 00:54:00,5800,,5700,,,5700,5650,,,,,5700,5500,5610,5700</t>
  </si>
  <si>
    <t>2025-05-07 00:54:00,19475,,,19300,19475,,19925,,,,,19900,19300,19500,19400</t>
  </si>
  <si>
    <t>2025-05-07 00:54:00,1097440699.49925,6168916487.52812,0,0,0,0,0,0</t>
  </si>
  <si>
    <t>2025-05-07 00:54:00,1351654256.00009,2083216454.07467,0,0,0,0,0,0</t>
  </si>
  <si>
    <t>2025-05-07 00:54:00,3187898.1211536,-25779.9586166326,-84.5500000000001,-4,-1952.44900000001,-59.36,0.0106258242099726,-1.1</t>
  </si>
  <si>
    <t>2025-05-07 00:54:00,28441939.6729816,-5917.12933354763,0,0,0,0,0,0</t>
  </si>
  <si>
    <t>2025-05-07 00:55:00,575,,561,,575,,557.5,,,,,570,550,562,557</t>
  </si>
  <si>
    <t>2025-05-07 00:55:00,490,,485,,470,,480,,,,,490,480,478,482</t>
  </si>
  <si>
    <t>2025-05-07 00:55:00,5800,,5700,,,5700,5650,,,,,5700,5500,5610,5700</t>
  </si>
  <si>
    <t>2025-05-07 00:55:00,19475,,,19300,19475,,19925,,,,,19900,19300,19500,19400</t>
  </si>
  <si>
    <t>2025-05-07 00:55:00,1101950816.67425,6200002440.87982,0,0,0,0,0,0</t>
  </si>
  <si>
    <t>2025-05-07 00:55:00,1349362895.0976,2072577356.11666,0,0,0,0,0,0</t>
  </si>
  <si>
    <t>2025-05-07 00:55:00,3232855.23983621,-14607.6909691803,-344.683333333333,-18,-5176.60666666668,-145.68,-0.0285094029972689,-3.62</t>
  </si>
  <si>
    <t>2025-05-07 00:55:00,28445138.6039089,-6012.45909844757,0,0,0,0,0,0</t>
  </si>
  <si>
    <t>2025-05-07 00:56:00,575,,561,,575,,557.5,,,,,570,550,562,557</t>
  </si>
  <si>
    <t>2025-05-07 00:56:00,490,,485,,470,,480,,,,,490,480,478,482</t>
  </si>
  <si>
    <t>2025-05-07 00:56:00,5800,,5700,,,5700,5650,,,,,5700,5500,5610,5700</t>
  </si>
  <si>
    <t>2025-05-07 00:56:00,19475,,,19300,19475,,19925,,,,,19900,19300,19500,19400</t>
  </si>
  <si>
    <t>2025-05-07 00:56:00,1075217182.01664,6011655684.91555,0,0,0,0,0,0</t>
  </si>
  <si>
    <t>2025-05-07 00:56:00,1349335399.06671,2071907469.34469,0,0,0,0,0,0</t>
  </si>
  <si>
    <t>2025-05-07 00:56:00,3039168.1102962,-270965.204809361,-54.3333333333333,-2,-1099.93333333333,-32.9,0.00255325131872902,-0.66</t>
  </si>
  <si>
    <t>2025-05-07 00:56:00,28424235.144749,-7264.67882288875,0,0,0,0,0,0</t>
  </si>
  <si>
    <t>2025-05-07 00:57:00,575,,561,,575,,557.5,,,,,570,550,562,557</t>
  </si>
  <si>
    <t>2025-05-07 00:57:00,490,,485,,470,,480,,,,,490,480,478,482</t>
  </si>
  <si>
    <t>2025-05-07 00:57:00,5800,,5700,,,5700,5650,,,,,5700,5500,5610,5700</t>
  </si>
  <si>
    <t>2025-05-07 00:57:00,19475,,,19300,19475,,19925,,,,,19900,19300,19500,19400</t>
  </si>
  <si>
    <t>2025-05-07 00:57:00,1092848754.18819,6136524830.65423,0,0,0,0,0,0</t>
  </si>
  <si>
    <t>2025-05-07 00:57:00,1349193984.88445,2072157197.95926,0,0,0,0,0,0</t>
  </si>
  <si>
    <t>2025-05-07 00:57:00,3080299.11075518,-300373.848222248,-61.1,-6,-141.092,-9.59,-0.0130869182802149,-0.47</t>
  </si>
  <si>
    <t>2025-05-07 00:57:00,28433472.8100935,-6545.93542141336,0,0,0,0,0,0</t>
  </si>
  <si>
    <t>2025-05-07 00:58:00,575,,561,,575,,557.5,,,,,570,550,562,557</t>
  </si>
  <si>
    <t>2025-05-07 00:58:00,490,,485,,470,,480,,,,,490,480,478,482</t>
  </si>
  <si>
    <t>2025-05-07 00:58:00,5800,,5700,,,5700,5650,,,,,5700,5500,5610,5700</t>
  </si>
  <si>
    <t>2025-05-07 00:58:00,19475,,,19300,19475,,19925,,,,,19900,19300,19500,19400</t>
  </si>
  <si>
    <t>2025-05-07 00:58:00,1088332027.16269,6105866579.20112,0,0,0,0,0,0</t>
  </si>
  <si>
    <t>2025-05-07 00:58:00,1349241836.63292,2072168231.88859,0,0,0,0,0,0</t>
  </si>
  <si>
    <t>2025-05-07 00:58:00,3160025.71271233,-295031.29844644,0,0,0,0,0,0</t>
  </si>
  <si>
    <t>2025-05-07 00:58:00,28437136.5971037,-6792.44680564406,0,0,0,0,0,0</t>
  </si>
  <si>
    <t>2025-05-07 00:59:00,575,,561,,575,,557.5,,,,,570,550,562,557</t>
  </si>
  <si>
    <t>2025-05-07 00:59:00,490,,485,,470,,480,,,,,490,480,478,482</t>
  </si>
  <si>
    <t>2025-05-07 00:59:00,5800,,5700,,,5700,5650,,,,,5700,5500,5610,5700</t>
  </si>
  <si>
    <t>2025-05-07 00:59:00,19475,,,19300,19475,,19925,,,,,19900,19300,19500,19400</t>
  </si>
  <si>
    <t>2025-05-07 00:59:00,1070408039.86536,5981066519.55571,0,0,0,0,0,0</t>
  </si>
  <si>
    <t>2025-05-07 00:59:00,1330750701.22818,1986620516.1739,0,0,0,0,0,0</t>
  </si>
  <si>
    <t>2025-05-07 00:59:00,3195102.65727137,-248682.798598776,-125.525,-7,-1101.50775,-47.6,-0.015714221706519,-1.38</t>
  </si>
  <si>
    <t>2025-05-07 00:59:00,28416864.6626697,-7593.67689090018,0,0,0,0,0,0</t>
  </si>
  <si>
    <t>2025-05-07 01:00:00,575,,561,,575,,557.5,,,,,570,550,562,557</t>
  </si>
  <si>
    <t>2025-05-07 01:00:00,490,,485,,470,,480,,,,,490,480,478,482</t>
  </si>
  <si>
    <t>2025-05-07 01:00:00,5800,,5700,,,5700,5650,,,,,5700,5500,5610,5700</t>
  </si>
  <si>
    <t>2025-05-07 01:00:00,19475,,,19300,19475,,19925,,,,,19900,19300,19500,19400</t>
  </si>
  <si>
    <t>2025-05-07 01:00:00,1033955307.25107,5781467953.41653,0,0,0,0,0,0</t>
  </si>
  <si>
    <t>2025-05-07 01:00:00,1293911155.38523,1870283503.13686,0,0,0,0,0,0</t>
  </si>
  <si>
    <t>2025-05-07 01:00:00,3323598.48733076,-162556.778965113,-277.55,-39,-504.750500000001,-61.47,-0.0824590314218785,-2.71</t>
  </si>
  <si>
    <t>2025-05-07 01:00:00,28368202.691464,-10269.2394773521,0,0,0,0,0,0</t>
  </si>
  <si>
    <t>2025-05-07 01:01:00,575,,561,,575,,557.5,,,,,570,550,562,557</t>
  </si>
  <si>
    <t>2025-05-07 01:01:00,490,,485,,470,,480,,,,,490,480,478,482</t>
  </si>
  <si>
    <t>2025-05-07 01:01:00,5800,,5700,,,5700,5650,,,,,5700,5500,5610,5700</t>
  </si>
  <si>
    <t>2025-05-07 01:01:00,19475,,,19300,19475,,19925,,,,,19900,19300,19500,19400</t>
  </si>
  <si>
    <t>2025-05-07 01:01:00,1055223077.76153,5880000578.8722,0,0,0,0,0,0</t>
  </si>
  <si>
    <t>2025-05-07 01:01:00,1325189637.94373,1963673209.22382,0,0,0,0,0,0</t>
  </si>
  <si>
    <t>2025-05-07 01:01:00,3178363.0464722,-187468.716357677,-634.033333333333,-46,-7488.20100000001,-247.79,-0.0758631776100058,-6.91</t>
  </si>
  <si>
    <t>2025-05-07 01:01:00,28401831.1802094,-8337.40500553951,0,0,0,0,0,0</t>
  </si>
  <si>
    <t>2025-05-07 01:02:00,575,,561,,575,,557.5,,,,,570,550,562,557</t>
  </si>
  <si>
    <t>2025-05-07 01:02:00,490,,485,,470,,480,,,,,490,480,478,482</t>
  </si>
  <si>
    <t>2025-05-07 01:02:00,5800,,5700,,,5700,5650,,,,,5700,5500,5610,5700</t>
  </si>
  <si>
    <t>2025-05-07 01:02:00,19475,,,19300,19475,,19925,,,,,19900,19300,19500,19400</t>
  </si>
  <si>
    <t>2025-05-07 01:02:00,1122112289.43469,6325458532.53403,0,0,0,0,0,0</t>
  </si>
  <si>
    <t>2025-05-07 01:02:00,1358409438.06914,2114387290.42921,0,0,0,0,0,0</t>
  </si>
  <si>
    <t>2025-05-07 01:02:00,3200902.47684402,30104.1133232824,-185.483333333334,-8,-4729.34116666668,-120.43,-0.00115085051435052,-2.78</t>
  </si>
  <si>
    <t>2025-05-07 01:02:00,28469662.3202995,-4767.35040810129,0,0,0,0,0,0</t>
  </si>
  <si>
    <t>2025-05-07 01:03:00,575,,561,,575,,557.5,,,,,570,550,562,557</t>
  </si>
  <si>
    <t>2025-05-07 01:03:00,490,,485,,470,,480,,,,,490,480,478,482</t>
  </si>
  <si>
    <t>2025-05-07 01:03:00,5800,,5700,,,5700,5650,,,,,5700,5500,5610,5700</t>
  </si>
  <si>
    <t>2025-05-07 01:03:00,19475,,,19300,19475,,19925,,,,,19900,19300,19500,19400</t>
  </si>
  <si>
    <t>2025-05-07 01:03:00,1182416114.84664,6780741098.58545,0,0,0,0,0,0</t>
  </si>
  <si>
    <t>2025-05-07 01:03:00,1388291031.55886,2240502497.69952,0,0,0,0,0,0</t>
  </si>
  <si>
    <t>2025-05-07 01:03:00,3092843.19170216,41221.9788156868,-141.908333333334,-13,-4056.22408333335,-90.77,-0.00753112439615941,-1.84</t>
  </si>
  <si>
    <t>2025-05-07 01:03:00,28529197.7658298,-1560.30086805573,0,0,0,0,0,0</t>
  </si>
  <si>
    <t>2025-05-07 01:04:00,575,,561,,575,,558.5,,,,,570,550,562,557</t>
  </si>
  <si>
    <t>2025-05-07 01:04:00,490,,485,,470,,480,,,,,490,480,478,482</t>
  </si>
  <si>
    <t>2025-05-07 01:04:00,5800,,5700,,,5700,5650,,,,,5700,5500,5610,5700</t>
  </si>
  <si>
    <t>2025-05-07 01:04:00,19475,,,,19475,,19925,,,,,19900,19300,19500,19400</t>
  </si>
  <si>
    <t>2025-05-07 01:04:00,1216908896.48412,6736741757.29637,0,0,0,0,0,0</t>
  </si>
  <si>
    <t>2025-05-07 01:04:00,1424237530.41468,2319428826.6269,0,0,0,0,0,0</t>
  </si>
  <si>
    <t>2025-05-07 01:04:00,3056081.97849458,58382.376896619,-405.249999999999,-19,-2827.39999999999,-105,-0.0357546882317345,-3.38</t>
  </si>
  <si>
    <t>2025-05-07 01:04:00,28584552.6262685,1960.06061058231,0,0,0,0,0,0</t>
  </si>
  <si>
    <t>2025-05-07 01:05:00,575,,561,,575,,557.5,,,,,570,550,562,557</t>
  </si>
  <si>
    <t>2025-05-07 01:05:00,490,,485,,470,,480,,,,,490,480,478,482</t>
  </si>
  <si>
    <t>2025-05-07 01:05:00,5800,,5700,,,5700,5650,,,,,5700,5500,5610,5700</t>
  </si>
  <si>
    <t>2025-05-07 01:05:00,19475,,,19300,19475,,19925,,,,,19900,19300,19500,19400</t>
  </si>
  <si>
    <t>2025-05-07 01:05:00,1186131844.27472,6806916138.4,0,0,0,0,0,0</t>
  </si>
  <si>
    <t>2025-05-07 01:05:00,1399910811.81123,2257519490.07642,0,0,0,0,0,0</t>
  </si>
  <si>
    <t>2025-05-07 01:05:00,3075613.13448269,53251.7500089851,-297.4,-12,-3077.067,-97.43,-0.021745157639826,-2.65</t>
  </si>
  <si>
    <t>2025-05-07 01:05:00,28549588.9107961,-205.132053103534,0,0,0,0,0,0</t>
  </si>
  <si>
    <t>2025-05-07 01:06:00,575,,561,,575,,558.5,,,,,570,550,562,557</t>
  </si>
  <si>
    <t>2025-05-07 01:06:00,490,,485,,470,,480,,,,,490,480,478,482</t>
  </si>
  <si>
    <t>2025-05-07 01:06:00,5800,,5700,,,5700,5650,,,,,5700,5500,5610,5700</t>
  </si>
  <si>
    <t>2025-05-07 01:06:00,19475,,,,19475,,19925,,,,,19900,19300,19500,19400</t>
  </si>
  <si>
    <t>2025-05-07 01:06:00,1216714147.29843,6738444118.09839,0,0,0,0,0,0</t>
  </si>
  <si>
    <t>2025-05-07 01:06:00,1428309507.62705,2340293653.4647,0,0,0,0,0,0</t>
  </si>
  <si>
    <t>2025-05-07 01:06:00,3065895.20651474,65352.1715114446,-63.4666666666666,-4,-855.997666666665,-26.17,-0.00161370717155755,-0.54</t>
  </si>
  <si>
    <t>2025-05-07 01:06:00,28592914.2840353,2425.22170487275,0,0,0,0,0,0</t>
  </si>
  <si>
    <t>2025-05-07 01:07:00,575,,561,,575,,557.5,,,,,570,550,562,557</t>
  </si>
  <si>
    <t>2025-05-07 01:07:00,490,,485,,470,,480,,,,,490,480,478,482</t>
  </si>
  <si>
    <t>2025-05-07 01:07:00,5800,,5700,,,5700,5650,,,,,5700,5500,5610,5700</t>
  </si>
  <si>
    <t>2025-05-07 01:07:00,19475,,,19300,19475,,19925,,,,,19900,19300,19500,19400</t>
  </si>
  <si>
    <t>2025-05-07 01:07:00,1189911666.27975,6829549578.26219,0,0,0,0,0,0</t>
  </si>
  <si>
    <t>2025-05-07 01:07:00,1397925208.13132,2259588035.5159,0,0,0,0,0,0</t>
  </si>
  <si>
    <t>2025-05-07 01:07:00,3075719.84076443,56470.535936708,-125,-7,-2042.39999999999,-54.2,-0.000255228859205373,-1.23</t>
  </si>
  <si>
    <t>2025-05-07 01:07:00,28551908.1866032,-309.006059936728,0,0,0,0,0,0</t>
  </si>
  <si>
    <t>2025-05-07 01:08:00,575,,561,,575,,557.5,,,,,570,550,562,557</t>
  </si>
  <si>
    <t>2025-05-07 01:08:00,490,,485,,470,,481,,,,,490,480,478,482</t>
  </si>
  <si>
    <t>2025-05-07 01:08:00,5800,,5700,,,5700,5650,,,,,5700,5500,5610,5700</t>
  </si>
  <si>
    <t>2025-05-07 01:08:00,19475,,,,19475,,19925,,,,,19900,19300,19500,19400</t>
  </si>
  <si>
    <t>2025-05-07 01:08:00,1207385409.32571,6878993519.75881,0,0,0,0,0,0</t>
  </si>
  <si>
    <t>2025-05-07 01:08:00,1407188487.18063,1975752827.16866,0,0,0,0,0,0</t>
  </si>
  <si>
    <t>2025-05-07 01:08:00,3094471.2253795,70246.4184509661,-104.2,-13,-284.497333333333,-24.12,-0.0244445760264928,-1</t>
  </si>
  <si>
    <t>2025-05-07 01:08:00,28580323.2976871,1388.40675981218,0,0,0,0,0,0</t>
  </si>
  <si>
    <t>2025-05-07 01:09:00,575,,561,,575,,558.5,,,,,570,550,562,557</t>
  </si>
  <si>
    <t>2025-05-07 01:09:00,490,,485,,470,,480,,,,,490,480,478,482</t>
  </si>
  <si>
    <t>2025-05-07 01:09:00,5800,,5700,,,5700,5650,,,,,5700,5500,5610,5700</t>
  </si>
  <si>
    <t>2025-05-07 01:09:00,19475,,,,19475,,19925,,,,,19900,19300,19500,19400</t>
  </si>
  <si>
    <t>2025-05-07 01:09:00,1208790555.3816,6407503221.68562,0,0,0,0,0,0</t>
  </si>
  <si>
    <t>2025-05-07 01:09:00,1434564039.92058,2373204796.0871,0,0,0,0,0,0</t>
  </si>
  <si>
    <t>2025-05-07 01:09:00,2909879.95658025,59090.9197385996,-121.45,-8,-1008.3205,-49.89,0.000974625224453517,-0.97</t>
  </si>
  <si>
    <t>2025-05-07 01:09:00,28593833.1898386,2524.91900145922,0,0,0,0,0,0</t>
  </si>
  <si>
    <t>2025-05-07 01:10:00,575,,561,,575,,557.5,,,,,570,550,562,557</t>
  </si>
  <si>
    <t>2025-05-07 01:10:00,490,,485,,470,,480,,,,,490,480,478,482</t>
  </si>
  <si>
    <t>2025-05-07 01:10:00,5800,,5700,,,5700,5650,,,,,5700,5500,5610,5700</t>
  </si>
  <si>
    <t>2025-05-07 01:10:00,19475,,,,19475,,19925,,,,,19900,19300,19500,19400</t>
  </si>
  <si>
    <t>2025-05-07 01:10:00,1210359812.34043,6848435962.16204,0,0,0,0,0,0</t>
  </si>
  <si>
    <t>2025-05-07 01:10:00,1434600348.03623,2373210587.35421,0,0,0,0,0,0</t>
  </si>
  <si>
    <t>2025-05-07 01:10:00,3085531.12927908,65181.7682483785,-66.5000000000001,-2,-2423.05000000001,-55.3,0.00255724943268468,-1.22</t>
  </si>
  <si>
    <t>2025-05-07 01:10:00,28572367.9735027,810.325597142423,0,0,0,0,0,0</t>
  </si>
  <si>
    <t>2025-05-07 01:11:00,575,,561,,575,,557.5,,,,,570,550,562,557</t>
  </si>
  <si>
    <t>2025-05-07 01:11:00,490,,485,,470,,480,,,,,490,480,478,482</t>
  </si>
  <si>
    <t>2025-05-07 01:11:00,5800,,5700,,,5700,5650,,,,,5700,5500,5610,5700</t>
  </si>
  <si>
    <t>2025-05-07 01:11:00,19475,,,,19475,,19925,,,,,19900,19300,19500,19400</t>
  </si>
  <si>
    <t>2025-05-07 01:11:00,1177124700.28486,6753572929.97931,0,0,0,0,0,0</t>
  </si>
  <si>
    <t>2025-05-07 01:11:00,1401904631.31396,2248954900.61701,0,0,0,0,0,0</t>
  </si>
  <si>
    <t>2025-05-07 01:11:00,3114236.33643191,61395.6173028904,-146.34,-7,-7471.03079999998,-165.92,0.0112848440151533,-3.08</t>
  </si>
  <si>
    <t>2025-05-07 01:11:00,28556227.8519225,172.25668883036,0,0,0,0,0,0</t>
  </si>
  <si>
    <t>2025-05-07 01:12:00,575,,561,,575,,557.5,,,,,570,550,562,557</t>
  </si>
  <si>
    <t>2025-05-07 01:12:00,490,,485,,470,,480,,,,,490,480,478,482</t>
  </si>
  <si>
    <t>2025-05-07 01:12:00,5800,,5700,,,5700,5650,,,,,5700,5500,5610,5700</t>
  </si>
  <si>
    <t>2025-05-07 01:12:00,19475,,,19300,19475,,19925,,,,,19900,19300,19500,19400</t>
  </si>
  <si>
    <t>2025-05-07 01:12:00,1167816218.90247,6695351645.42604,0,0,0,0,0,0</t>
  </si>
  <si>
    <t>2025-05-07 01:12:00,1400796621.16694,2256241599.6563,0,0,0,0,0,0</t>
  </si>
  <si>
    <t>2025-05-07 01:12:00,3090644.03475546,54380.2286215518,-169.525,-8,-3314.44641666666,-91.49,0.00647678583961392,-1.92</t>
  </si>
  <si>
    <t>2025-05-07 01:12:00,28548683.039165,-179.980471160017,0,0,0,0,0,0</t>
  </si>
  <si>
    <t>2025-05-07 01:13:00,575,,561,,575,,557.5,,,,,570,550,562,557</t>
  </si>
  <si>
    <t>2025-05-07 01:13:00,490,,485,,470,,480,,,,,490,480,478,482</t>
  </si>
  <si>
    <t>2025-05-07 01:13:00,5800,,5700,,,5700,5650,,,,,5700,5500,5610,5700</t>
  </si>
  <si>
    <t>2025-05-07 01:13:00,19475,,,19300,19475,,19925,,,,,19900,19300,19500,19400</t>
  </si>
  <si>
    <t>2025-05-07 01:13:00,1162768777.22433,6639155418.98618,0,0,0,0,0,0</t>
  </si>
  <si>
    <t>2025-05-07 01:13:00,1396726784.18519,2259977836.3385,0,0,0,0,0,0</t>
  </si>
  <si>
    <t>2025-05-07 01:13:00,3086399.77868772,51564.2301554933,-29.8,-4,-54.992,-5.74,-0.00460473229280113,-0.2</t>
  </si>
  <si>
    <t>2025-05-07 01:13:00,28543417.9025066,-563.994458411093,0,0,0,0,0,0</t>
  </si>
  <si>
    <t>2025-05-07 01:14:00,575,,561,,575,,557.5,,,,,570,550,562,557</t>
  </si>
  <si>
    <t>2025-05-07 01:14:00,490,,485,,470,,480,,,,,490,480,478,482</t>
  </si>
  <si>
    <t>2025-05-07 01:14:00,5800,,5700,,,5700,5650,,,,,5700,5500,5610,5700</t>
  </si>
  <si>
    <t>2025-05-07 01:14:00,19475,,,19300,19475,,19925,,,,,19900,19300,19500,19400</t>
  </si>
  <si>
    <t>2025-05-07 01:14:00,1146976857.6847,6513661700.428,0,0,0,0,0,0</t>
  </si>
  <si>
    <t>2025-05-07 01:14:00,1388744362.57316,2243502142.73391,0,0,0,0,0,0</t>
  </si>
  <si>
    <t>2025-05-07 01:14:00,3132595.55433337,49446.4830277095,0,0,0,0,0,0</t>
  </si>
  <si>
    <t>2025-05-07 01:14:00,28533361.3234024,-1067.5640947604,0,0,0,0,0,0</t>
  </si>
  <si>
    <t>2025-05-07 01:15:00,575,,561,,575,,557.5,,,,,570,550,562,557</t>
  </si>
  <si>
    <t>2025-05-07 01:15:00,490,,485,,470,,480,,,,,490,480,478,482</t>
  </si>
  <si>
    <t>2025-05-07 01:15:00,5800,,5700,,,5700,5640,,,,,5700,5500,5610,5700</t>
  </si>
  <si>
    <t>2025-05-07 01:15:00,19475,,,19300,19475,,19925,,,,,19900,19300,19500,19400</t>
  </si>
  <si>
    <t>2025-05-07 01:15:00,1077439507.70151,6041695564.28265,0,0,0,0,0,0</t>
  </si>
  <si>
    <t>2025-05-07 01:15:00,1367998841.81951,2148191433.83258,0,0,0,0,0,0</t>
  </si>
  <si>
    <t>2025-05-07 01:15:00,2820259.33822261,-341017.699824452,-214.75,-23,-909.950000000002,-55.6,0.0014689336760582,-1.35</t>
  </si>
  <si>
    <t>2025-05-07 01:15:00,28460178.7251157,-5806.88039169286,0,0,0,0,0,0</t>
  </si>
  <si>
    <t>2025-05-07 01:16:00,575,,561,,575,,557.5,,,,,570,550,562,557</t>
  </si>
  <si>
    <t>2025-05-07 01:16:00,490,,485,,470,,480,,,,,490,480,478,482</t>
  </si>
  <si>
    <t>2025-05-07 01:16:00,5800,,5700,,,5700,5650,,,,,5700,5500,5610,5700</t>
  </si>
  <si>
    <t>2025-05-07 01:16:00,19475,,,19300,19475,,19925,,,,,19900,19300,19500,19400</t>
  </si>
  <si>
    <t>2025-05-07 01:16:00,1120853955.65551,6326235822.22541,0,0,0,0,0,0</t>
  </si>
  <si>
    <t>2025-05-07 01:16:00,1374661126.30933,2178098881.97338,0,0,0,0,0,0</t>
  </si>
  <si>
    <t>2025-05-07 01:16:00,3156094.81291038,48996.3579300767,-32.4,-4,-57.846,-6.34,-0.003207835880256,-0.22</t>
  </si>
  <si>
    <t>2025-05-07 01:16:00,28498565.8005166,-3742.34753923123,0,0,0,0,0,0</t>
  </si>
  <si>
    <t>2025-05-07 01:17:00,575,,561,,575,,557.5,,,,,570,550,562,557</t>
  </si>
  <si>
    <t>2025-05-07 01:17:00,490,,485,,470,,480,,,,,490,480,478,482</t>
  </si>
  <si>
    <t>2025-05-07 01:17:00,5800,,5700,,,5700,5650,,,,,5700,5500,5610,5700</t>
  </si>
  <si>
    <t>2025-05-07 01:17:00,19475,,,19300,19475,,19925,,,,,19900,19300,19500,19400</t>
  </si>
  <si>
    <t>2025-05-07 01:17:00,1133791459.10495,6420470271.72401,0,0,0,0,0,0</t>
  </si>
  <si>
    <t>2025-05-07 01:17:00,1380737215.59566,2214182319.0614,0,0,0,0,0,0</t>
  </si>
  <si>
    <t>2025-05-07 01:17:00,3128346.49736567,54341.0527599533,-144.866666666667,-8,-649.842666666668,-31.13,-0.0150426022280123,-1.08</t>
  </si>
  <si>
    <t>2025-05-07 01:17:00,28516908.8134344,-2581.66550005606,0,0,0,0,0,0</t>
  </si>
  <si>
    <t>2025-05-07 01:18:00,575,,561,,575,,557.5,,,,,570,550,562,557</t>
  </si>
  <si>
    <t>2025-05-07 01:18:00,490,,485,,470,,480,,,,,490,480,478,482</t>
  </si>
  <si>
    <t>2025-05-07 01:18:00,5800,,5700,,,5700,5640,,,,,5700,5500,5610,5700</t>
  </si>
  <si>
    <t>2025-05-07 01:18:00,19475,,,19300,19475,,19925,,,,,19900,19300,19500,19400</t>
  </si>
  <si>
    <t>2025-05-07 01:18:00,1078198130.38564,6065031213.83905,0,0,0,0,0,0</t>
  </si>
  <si>
    <t>2025-05-07 01:18:00,1367923915.6525,2147570496.05238,0,0,0,0,0,0</t>
  </si>
  <si>
    <t>2025-05-07 01:18:00,2754772.29473005,-318345.161709353,-906.166666666667,-49,-6353.27333333335,-231.1,-0.0966419042869014,-7.56</t>
  </si>
  <si>
    <t>2025-05-07 01:18:00,28460466.4414268,-5826.61918187767,0,0,0,0,0,0</t>
  </si>
  <si>
    <t>2025-05-07 01:19:00,575,,561,,575,,557.5,,,,,570,550,562,557</t>
  </si>
  <si>
    <t>2025-05-07 01:19:00,490,,485,,470,,480,,,,,490,480,478,482</t>
  </si>
  <si>
    <t>2025-05-07 01:19:00,5800,,5700,,,5700,5640,,,,,5700,5500,5610,5700</t>
  </si>
  <si>
    <t>2025-05-07 01:19:00,19475,,,19300,19475,,19925,,,,,19900,19300,19500,19400</t>
  </si>
  <si>
    <t>2025-05-07 01:19:00,1045569855.41218,5826249577.87887,0,0,0,0,0,0</t>
  </si>
  <si>
    <t>2025-05-07 01:19:00,1344464154.70881,2049643184.50909,0,0,0,0,0,0</t>
  </si>
  <si>
    <t>2025-05-07 01:19:00,3167758.65744064,-116078.022256221,-1035.16666666667,-72,-1566.76666666667,-107.1,-0.171229314185292,-5.85</t>
  </si>
  <si>
    <t>2025-05-07 01:19:00,28438440.9474661,-6943.09131445885,0,0,0,0,0,0</t>
  </si>
  <si>
    <t>2025-05-07 01:20:00,575,,561,,575,,557.5,,,,,570,550,562,557</t>
  </si>
  <si>
    <t>2025-05-07 01:20:00,490,,485,,470,,480,,,,,490,480,478,482</t>
  </si>
  <si>
    <t>2025-05-07 01:20:00,5800,,5700,,,5700,5640,,,,,5700,5500,5610,5700</t>
  </si>
  <si>
    <t>2025-05-07 01:20:00,19475,,,19300,19475,,19925,,,,,19900,19300,19500,19400</t>
  </si>
  <si>
    <t>2025-05-07 01:20:00,1006773645.99037,5623673605.40302,0,0,0,0,0,0</t>
  </si>
  <si>
    <t>2025-05-07 01:20:00,1312748456.37479,1934635305.49707,0,0,0,0,0,0</t>
  </si>
  <si>
    <t>2025-05-07 01:20:00,3231093.88929199,-76471.4530005854,-754.766666666667,-45,-9444.83800000002,-267.9,-0.0692544550455618,-6.33</t>
  </si>
  <si>
    <t>2025-05-07 01:20:00,28397529.7655295,-9459.91619224327,0,0,0,0,0,0</t>
  </si>
  <si>
    <t>2025-05-07 01:21:00,575,,561,,575,,557.5,,,,,570,550,562,557</t>
  </si>
  <si>
    <t>2025-05-07 01:21:00,490,,485,,470,,480,,,,,490,480,478,482</t>
  </si>
  <si>
    <t>2025-05-07 01:21:00,5800,,5700,,,5700,5640,,,,,5700,5500,5610,5700</t>
  </si>
  <si>
    <t>2025-05-07 01:21:00,19475,,,19300,19475,,19925,,,,,19900,19300,19500,19400</t>
  </si>
  <si>
    <t>2025-05-07 01:21:00,993253300.112223,5558427317.14,0,0,0,0,0,0</t>
  </si>
  <si>
    <t>2025-05-07 01:21:00,1305885450.20278,1903780255.14351,0,0,0,0,0,0</t>
  </si>
  <si>
    <t>2025-05-07 01:21:00,3341662.68380968,-47768.3304716775,-64.3333333333333,-7,-131.766666666667,-14.4,-0.0182620829920844,-0.7</t>
  </si>
  <si>
    <t>2025-05-07 01:21:00,28383431.7539773,-10111.1632937328,0,0,0,0,0,0</t>
  </si>
  <si>
    <t>2025-05-07 01:22:00,575,,561,,575,,557.5,,,,,570,550,562,557</t>
  </si>
  <si>
    <t>2025-05-07 01:22:00,490,,485,,470,,480,,,,,490,480,478,482</t>
  </si>
  <si>
    <t>2025-05-07 01:22:00,5800,,5700,,,5700,5640,,,,,5700,5500,5610,5700</t>
  </si>
  <si>
    <t>2025-05-07 01:22:00,19475,,,19300,19475,,19925,,,,,19900,19300,19500,19400</t>
  </si>
  <si>
    <t>2025-05-07 01:22:00,940181844.665688,5294020064.62462,0,0,0,0,0,0</t>
  </si>
  <si>
    <t>2025-05-07 01:22:00,1296615669.44716,1862025310.24931,0,0,0,0,0,0</t>
  </si>
  <si>
    <t>2025-05-07 01:22:00,3389844.17466171,-22491.9677481293,-596.158333333336,-24,-13337.9157500001,-400.56,0.0191295152266521,-7.86</t>
  </si>
  <si>
    <t>2025-05-07 01:22:00,28349497.4856932,-11690.0782366004,0,0,0,0,0,0</t>
  </si>
  <si>
    <t>2025-05-07 01:23:00,575,,561,,575,,557.5,,,,,570,550,562,557</t>
  </si>
  <si>
    <t>2025-05-07 01:23:00,490,,485,,470,,480,,,,,490,480,478,482</t>
  </si>
  <si>
    <t>2025-05-07 01:23:00,5800,,5700,,,5700,5640,,,,,5700,5500,5610,5700</t>
  </si>
  <si>
    <t>2025-05-07 01:23:00,19475,,,19300,19475,,19925,,,,,19900,19300,19500,19400</t>
  </si>
  <si>
    <t>2025-05-07 01:23:00,818191641.116463,4895300863.70173,0,0,0,0,0,0</t>
  </si>
  <si>
    <t>2025-05-07 01:23:00,1251243565.39806,1675682529.64727,0,0,0,0,0,0</t>
  </si>
  <si>
    <t>2025-05-07 01:23:00,3666087.0183085,30525.0150984685,-806.399999999999,-90,-6607.84416666668,-280.23,-0.140219830544984,-8.23</t>
  </si>
  <si>
    <t>2025-05-07 01:23:00,28270447.8939829,-15917.7849583922,0,0,0,0,0,0</t>
  </si>
  <si>
    <t>2025-05-07 01:24:00,575,,561,,575,,557.5,,,,,570,550,562,557</t>
  </si>
  <si>
    <t>2025-05-07 01:24:00,490,,485,,470,,480,,,,,490,480,478,482</t>
  </si>
  <si>
    <t>2025-05-07 01:24:00,5800,,5700,,,5700,5640,,,,,5700,5500,5610,5700</t>
  </si>
  <si>
    <t>2025-05-07 01:24:00,19475,,,19300,19475,,19925,,,,,19900,19300,19500,19400</t>
  </si>
  <si>
    <t>2025-05-07 01:24:00,942691299.099154,5233997083.09328,0,0,0,0,0,0</t>
  </si>
  <si>
    <t>2025-05-07 01:24:00,1282142350.84037,1792387339.11261,0,0,0,0,0,0</t>
  </si>
  <si>
    <t>2025-05-07 01:24:00,3494196.30537902,4347.12986882742,-416.949999999999,-24,-7874.42949999998,-258.88,0.0452849319964366,-4.48</t>
  </si>
  <si>
    <t>2025-05-07 01:24:00,28339490.8417333,-12127.8259101707,0,0,0,0,0,0</t>
  </si>
  <si>
    <t>2025-05-07 01:25:00,575,,561,,575,,557.5,,,,,570,550,562,557</t>
  </si>
  <si>
    <t>2025-05-07 01:25:00,490,,485,,470,,480,,,,,490,480,478,482</t>
  </si>
  <si>
    <t>2025-05-07 01:25:00,5800,,5700,,,5700,5640,,,,,5700,5500,5610,5700</t>
  </si>
  <si>
    <t>2025-05-07 01:25:00,19475,,,19300,19475,,19925,,,,,19900,19300,19500,19400</t>
  </si>
  <si>
    <t>2025-05-07 01:25:00,918634116.034971,5125416762.68665,0,0,0,0,0,0</t>
  </si>
  <si>
    <t>2025-05-07 01:25:00,1282786107.14225,1780520920.98746,0,0,0,0,0,0</t>
  </si>
  <si>
    <t>2025-05-07 01:25:00,3536400.90513104,3458.26106165021,-141.55,-9,-1229.5605,-48.73,0.00758304262731757,-0.9</t>
  </si>
  <si>
    <t>2025-05-07 01:25:00,28319246.5381882,-13455.3636785321,0,0,0,0,0,0</t>
  </si>
  <si>
    <t>2025-05-07 01:26:00,575,,561,,575,,557.5,,,,,570,550,562,557</t>
  </si>
  <si>
    <t>2025-05-07 01:26:00,490,,485,,470,,480,,,,,490,480,478,482</t>
  </si>
  <si>
    <t>2025-05-07 01:26:00,5800,,5700,,,5700,5640,,,,,5700,5500,5610,5700</t>
  </si>
  <si>
    <t>2025-05-07 01:26:00,19475,,,19300,19475,,19925,,,,,19900,19300,19500,19400</t>
  </si>
  <si>
    <t>2025-05-07 01:26:00,910536639.368669,5070050848.90712,0,0,0,0,0,0</t>
  </si>
  <si>
    <t>2025-05-07 01:26:00,1286426205.6478,1801010607.31911,0,0,0,0,0,0</t>
  </si>
  <si>
    <t>2025-05-07 01:26:00,3539021.37346176,-3296.17889997422,-287.65,-20,-1957.5225,-113.39,0.0285193483091884,-1.9</t>
  </si>
  <si>
    <t>2025-05-07 01:26:00,28304072.3326096,-14416.2882540808,0,0,0,0,0,0</t>
  </si>
  <si>
    <t>2025-05-07 01:27:00,575,,561,,,560,557.5,,,,,570,550,562,557</t>
  </si>
  <si>
    <t>2025-05-07 01:27:00,490,,485,,470,,480,,,,,490,480,478,482</t>
  </si>
  <si>
    <t>2025-05-07 01:27:00,5800,,5700,,,5700,5640,,,,,5700,5500,5610,5700</t>
  </si>
  <si>
    <t>2025-05-07 01:27:00,19475,,,19300,19475,,19925,,,,,19900,19300,19500,19400</t>
  </si>
  <si>
    <t>2025-05-07 01:27:00,782138256.753324,4598843226.52817,0,0,0,0,0,0</t>
  </si>
  <si>
    <t>2025-05-07 01:27:00,1202638199.49609,1471436125.23704,0,0,0,0,0,0</t>
  </si>
  <si>
    <t>2025-05-07 01:27:00,3587032.05378374,16609.2903504236,-827.057909604519,-48,-9113.33063276833,-589.1,-0.000624901298729443,-9.01</t>
  </si>
  <si>
    <t>2025-05-07 01:27:00,28160257.8992192,-22145.9957072445,0,0,0,0,0,0</t>
  </si>
  <si>
    <t>2025-05-07 01:28:00,575,,561,,,560,557.5,,,,,570,550,562,557</t>
  </si>
  <si>
    <t>2025-05-07 01:28:00,490,,485,,470,,480,,,,,490,480,478,482</t>
  </si>
  <si>
    <t>2025-05-07 01:28:00,5800,,5700,,,5700,5640,,,,,5700,5500,5610,5700</t>
  </si>
  <si>
    <t>2025-05-07 01:28:00,19475,,,19300,19475,,19925,,,,,19900,19300,19500,19400</t>
  </si>
  <si>
    <t>2025-05-07 01:28:00,782050388.44369,4599892800.94423,0,0,0,0,0,0</t>
  </si>
  <si>
    <t>2025-05-07 01:28:00,1204979907.89198,1489985162.23256,0,0,0,0,0,0</t>
  </si>
  <si>
    <t>2025-05-07 01:28:00,3532674.18683499,15265.290676863,-448.816666666666,-24,-5157.86333333334,-174.34,0.00645545271794465,-3.57</t>
  </si>
  <si>
    <t>2025-05-07 01:28:00,28170434.1550513,-21635.409147514,0,0,0,0,0,0</t>
  </si>
  <si>
    <t>2025-05-07 01:29:00,575,,561,,,560,557.5,,,,,570,550,562,557</t>
  </si>
  <si>
    <t>2025-05-07 01:29:00,490,,485,,470,,480,,,,,490,480,478,482</t>
  </si>
  <si>
    <t>2025-05-07 01:29:00,5800,,5700,,,5700,5640,,,,,5700,5500,5610,5700</t>
  </si>
  <si>
    <t>2025-05-07 01:29:00,19475,,,19300,19475,,19925,,,,,19900,19300,19500,19400</t>
  </si>
  <si>
    <t>2025-05-07 01:29:00,770373647.472672,4605999476.01333,0,0,0,0,0,0</t>
  </si>
  <si>
    <t>2025-05-07 01:29:00,1219349548.05087,1538468653.08305,0,0,0,0,0,0</t>
  </si>
  <si>
    <t>2025-05-07 01:29:00,3511336.17576362,5148.01714797968,-287.7,-18,-3164.50516666667,-153.19,0.0443580597782718,-2.45</t>
  </si>
  <si>
    <t>2025-05-07 01:29:00,28200921.2685462,-20295.6958301151,0,0,0,0,0,0</t>
  </si>
  <si>
    <t>2025-05-07 01:30:00,575,,561,,,560,557.5,,,,,570,550,562,557</t>
  </si>
  <si>
    <t>2025-05-07 01:30:00,490,,485,,470,,480,,,,,490,480,478,482</t>
  </si>
  <si>
    <t>2025-05-07 01:30:00,5800,,5700,,,5700,5640,,,,,5700,5500,5610,5700</t>
  </si>
  <si>
    <t>2025-05-07 01:30:00,19475,,,19300,19475,,19925,,,,,19900,19300,19500,19400</t>
  </si>
  <si>
    <t>2025-05-07 01:30:00,789734163.672984,4438016962.77614,0,0,0,0,0,0</t>
  </si>
  <si>
    <t>2025-05-07 01:30:00,1203870795.87751,1483923148.97798,0,0,0,0,0,0</t>
  </si>
  <si>
    <t>2025-05-07 01:30:00,3508576.04929092,576.624348934929,-82.5833333333333,-5,-1412.80833333333,-59.5,0.0020902643476838,-1.14</t>
  </si>
  <si>
    <t>2025-05-07 01:30:00,28165972.6516149,-22107.7517506442,0,0,0,0,0,0</t>
  </si>
  <si>
    <t>2025-05-07 01:31:00,575,,561,,,560,557.5,,,,,570,550,562,557</t>
  </si>
  <si>
    <t>2025-05-07 01:31:00,490,,485,,470,,480,,,,,490,480,478,482</t>
  </si>
  <si>
    <t>2025-05-07 01:31:00,5800,,5700,,,5700,5640,,,,,5700,5500,5610,5700</t>
  </si>
  <si>
    <t>2025-05-07 01:31:00,19475,,,19300,19475,,19925,,,,,19900,19300,19500,19400</t>
  </si>
  <si>
    <t>2025-05-07 01:31:00,781848555.613495,4599719302.88373,0,0,0,0,0,0</t>
  </si>
  <si>
    <t>2025-05-07 01:31:00,1232944505.9314,1593675524.29271,0,0,0,0,0,0</t>
  </si>
  <si>
    <t>2025-05-07 01:31:00,3424290.84172565,-12372.1949729405,-329.800000000001,-11,-6335.47400000002,-163.23,0.0368664577435503,-2.7</t>
  </si>
  <si>
    <t>2025-05-07 01:31:00,28228665.0928509,-18587.3350447623,0,0,0,0,0,0</t>
  </si>
  <si>
    <t>2025-05-07 01:32:00,575,,561,,,560,557.5,,,,,570,550,562,557</t>
  </si>
  <si>
    <t>2025-05-07 01:32:00,490,,485,,470,,480,,,,,490,480,478,482</t>
  </si>
  <si>
    <t>2025-05-07 01:32:00,5800,,5700,,,5700,5640,,,,,5700,5500,5610,5700</t>
  </si>
  <si>
    <t>2025-05-07 01:32:00,19475,,,19300,19475,,19925,,,,,19900,19300,19500,19400</t>
  </si>
  <si>
    <t>2025-05-07 01:32:00,769857198.193888,4605221294.54777,0,0,0,0,0,0</t>
  </si>
  <si>
    <t>2025-05-07 01:32:00,1226282712.31549,1565843746.42447,0,0,0,0,0,0</t>
  </si>
  <si>
    <t>2025-05-07 01:32:00,3427433.21446417,-10818.5078759926,-218.149999999999,-9,-2864.87099999999,-100.95,0.0132278503338164,-1.88</t>
  </si>
  <si>
    <t>2025-05-07 01:32:00,28201719.6787803,-20087.440982861,0,0,0,0,0,0</t>
  </si>
  <si>
    <t>2025-05-07 01:33:00,575,,561,,,560,557.5,,,,,570,550,562,557</t>
  </si>
  <si>
    <t>2025-05-07 01:33:00,490,,485,,470,,480,,,,,490,480,478,482</t>
  </si>
  <si>
    <t>2025-05-07 01:33:00,5800,,5700,,,5700,5640,,,,,5700,5500,5610,5700</t>
  </si>
  <si>
    <t>2025-05-07 01:33:00,19475,,,19300,19475,,19925,,,,,19900,19300,19500,19400</t>
  </si>
  <si>
    <t>2025-05-07 01:33:00,765770145.607377,4587959886.83766,0,0,0,0,0,0</t>
  </si>
  <si>
    <t>2025-05-07 01:33:00,1226413235.73738,1566246700.55175,0,0,0,0,0,0</t>
  </si>
  <si>
    <t>2025-05-07 01:33:00,3497190.74035105,-9389.45091637497,-273.983333333333,-16,-4203.90616666667,-170.78,0.0350840441764055,-2.94</t>
  </si>
  <si>
    <t>2025-05-07 01:33:00,28206634.1254793,-19978.6253873762,0,0,0,0,0,0</t>
  </si>
  <si>
    <t>2025-05-07 01:34:00,575,,561,,,560,557.5,,,,,570,550,562,557</t>
  </si>
  <si>
    <t>2025-05-07 01:34:00,490,,485,,470,,480,,,,,490,480,478,482</t>
  </si>
  <si>
    <t>2025-05-07 01:34:00,5800,,5700,,,5700,5640,,,,,5700,5500,5610,5700</t>
  </si>
  <si>
    <t>2025-05-07 01:34:00,19475,,,19300,19475,,19925,,,,,19900,19300,19500,19400</t>
  </si>
  <si>
    <t>2025-05-07 01:34:00,765467357.593726,4587347420.44369,0,0,0,0,0,0</t>
  </si>
  <si>
    <t>2025-05-07 01:34:00,1229612324.20978,1577222071.39643,0,0,0,0,0,0</t>
  </si>
  <si>
    <t>2025-05-07 01:34:00,3451832.86502595,-30966.20882668,-363.233333333333,-15,-9755.09783333332,-363.93,0.0637499728631648,-5.91</t>
  </si>
  <si>
    <t>2025-05-07 01:34:00,28211232.5182706,-19549.7021228462,0,0,0,0,0,0</t>
  </si>
  <si>
    <t>2025-05-07 01:35:00,575,,561,,,560,557.5,,,,,570,550,562,557</t>
  </si>
  <si>
    <t>2025-05-07 01:35:00,490,,485,,470,,480,,,,,490,480,478,482</t>
  </si>
  <si>
    <t>2025-05-07 01:35:00,5800,,5700,,,5700,5640,,,,,5700,5500,5610,5700</t>
  </si>
  <si>
    <t>2025-05-07 01:35:00,19475,,,19300,19475,,19925,,,,,19900,19300,19500,19400</t>
  </si>
  <si>
    <t>2025-05-07 01:35:00,765226745.239047,4586937751.99721,0,0,0,0,0,0</t>
  </si>
  <si>
    <t>2025-05-07 01:35:00,1230762841.81385,1584151914.86039,0,0,0,0,0,0</t>
  </si>
  <si>
    <t>2025-05-07 01:35:00,3500537.80332317,-35619.2521564629,-285.700000000001,-10,-6659.08300000001,-226.29,0.0422231188544644,-3.82</t>
  </si>
  <si>
    <t>2025-05-07 01:35:00,28226154.5862187,-18884.198710688,0,0,0,0,0,0</t>
  </si>
  <si>
    <t>2025-05-07 01:36:00,575,,561,,,560,557.5,,,,,570,550,562,557</t>
  </si>
  <si>
    <t>2025-05-07 01:36:00,490,,485,,470,,480,,,,,490,480,478,482</t>
  </si>
  <si>
    <t>2025-05-07 01:36:00,5800,,5700,,,5700,5640,,,,,5700,5500,5610,5700</t>
  </si>
  <si>
    <t>2025-05-07 01:36:00,19475,,,19300,19475,,19925,,,,,19900,19300,19500,19400</t>
  </si>
  <si>
    <t>2025-05-07 01:36:00,778844194.36496,4628529063.82569,0,0,0,0,0,0</t>
  </si>
  <si>
    <t>2025-05-07 01:36:00,1230467632.11844,1584229101.7353,0,0,0,0,0,0</t>
  </si>
  <si>
    <t>2025-05-07 01:36:00,3397832.19367966,-41793.5455199294,-182.183333333333,-8,-2671.35516666667,-92.45,-0.0148342268469331,-2.06</t>
  </si>
  <si>
    <t>2025-05-07 01:36:00,28232437.5756433,-18618.3108348808,0,0,0,0,0,0</t>
  </si>
  <si>
    <t>2025-05-07 01:37:00,575,,561,,,560,557.5,,,,,570,550,562,557</t>
  </si>
  <si>
    <t>2025-05-07 01:37:00,490,,485,,470,,480,,,,,490,480,478,482</t>
  </si>
  <si>
    <t>2025-05-07 01:37:00,5800,,5700,,,5700,5640,,,,,5700,5500,5610,5700</t>
  </si>
  <si>
    <t>2025-05-07 01:37:00,19475,,,19300,19475,,19925,,,,,19900,19300,19500,19400</t>
  </si>
  <si>
    <t>2025-05-07 01:37:00,792964991.674986,4505828241.69621,0,0,0,0,0,0</t>
  </si>
  <si>
    <t>2025-05-07 01:37:00,1204682369.07958,1479643930.13429,0,0,0,0,0,0</t>
  </si>
  <si>
    <t>2025-05-07 01:37:00,3520264.59798153,-42840.1789709363,-268.133333333333,-17,-2922.59649999999,-136.01,0.00926612673622666,-2.82</t>
  </si>
  <si>
    <t>2025-05-07 01:37:00,28178014.3143885,-21508.3241571069,0,0,0,0,0,0</t>
  </si>
  <si>
    <t>2025-05-07 01:38:00,575,,561,,575,,557.5,,,,,570,550,562,557</t>
  </si>
  <si>
    <t>2025-05-07 01:38:00,490,,485,,470,,480,,,,,490,480,478,482</t>
  </si>
  <si>
    <t>2025-05-07 01:38:00,5800,,5700,,,5700,5640,,,,,5700,5500,5610,5700</t>
  </si>
  <si>
    <t>2025-05-07 01:38:00,19475,,,19300,19475,,19925,,,,,19900,19300,19500,19400</t>
  </si>
  <si>
    <t>2025-05-07 01:38:00,813554699.798228,4883530870.57231,0,0,0,0,0,0</t>
  </si>
  <si>
    <t>2025-05-07 01:38:00,1247592199.48732,1655031054.63683,0,0,0,0,0,0</t>
  </si>
  <si>
    <t>2025-05-07 01:38:00,3397522.63260669,-59913.5039829756,-389.666666666669,-16,-10811.7000000001,-301.9,0.0492616286859403,-5.06</t>
  </si>
  <si>
    <t>2025-05-07 01:38:00,28283418.581412,-16001.2943646891,0,0,0,0,0,0</t>
  </si>
  <si>
    <t>2025-05-07 01:39:00,575,,561,,575,,557.5,,,,,570,550,562,557</t>
  </si>
  <si>
    <t>2025-05-07 01:39:00,490,,485,,470,,480,,,,,490,480,478,482</t>
  </si>
  <si>
    <t>2025-05-07 01:39:00,5800,,5700,,,5700,5640,,,,,5700,5500,5610,5700</t>
  </si>
  <si>
    <t>2025-05-07 01:39:00,19475,,,19300,19475,,19925,,,,,19900,19300,19500,19400</t>
  </si>
  <si>
    <t>2025-05-07 01:39:00,817670268.463256,4911576522.63692,0,0,0,0,0,0</t>
  </si>
  <si>
    <t>2025-05-07 01:39:00,1255908472.83538,1682328028.15394,0,0,0,0,0,0</t>
  </si>
  <si>
    <t>2025-05-07 01:39:00,3516467.32041069,-68024.8671393455,-783.339999999999,-34,-16197.6259666667,-521.47,0.0290313467608497,-10.02</t>
  </si>
  <si>
    <t>2025-05-07 01:39:00,28290355.4552892,-15728.2788161294,0,0,0,0,0,0</t>
  </si>
  <si>
    <t>2025-05-07 01:40:00,575,,561,,575,,557.5,,,,,570,550,562,557</t>
  </si>
  <si>
    <t>2025-05-07 01:40:00,490,,485,,470,,480,,,,,490,480,478,482</t>
  </si>
  <si>
    <t>2025-05-07 01:40:00,5800,,5700,,,5700,5640,,,,,5700,5500,5610,5700</t>
  </si>
  <si>
    <t>2025-05-07 01:40:00,19475,,,19300,19475,,19925,,,,,19900,19300,19500,19400</t>
  </si>
  <si>
    <t>2025-05-07 01:40:00,916917044.440626,5121744805.2556,0,0,0,0,0,0</t>
  </si>
  <si>
    <t>2025-05-07 01:40:00,1271348946.43958,1749531586.56345,0,0,0,0,0,0</t>
  </si>
  <si>
    <t>2025-05-07 01:40:00,3482889.61179856,-82575.9428075254,-133.483333333333,-7,-2383.3945,-69.13,0.0134433217912609,-1.25</t>
  </si>
  <si>
    <t>2025-05-07 01:40:00,28330715.2399417,-13687.3499104625,0,0,0,0,0,0</t>
  </si>
  <si>
    <t>2025-05-07 01:41:00,575,,561,,575,,557.5,,,,,570,550,562,557</t>
  </si>
  <si>
    <t>2025-05-07 01:41:00,490,,485,,470,,480,,,,,490,480,478,482</t>
  </si>
  <si>
    <t>2025-05-07 01:41:00,5800,,5700,,,5700,5640,,,,,5700,5500,5610,5700</t>
  </si>
  <si>
    <t>2025-05-07 01:41:00,19475,,,19300,19475,,19925,,,,,19900,19300,19500,19400</t>
  </si>
  <si>
    <t>2025-05-07 01:41:00,933128745.524006,5261748426.85269,0,0,0,0,0,0</t>
  </si>
  <si>
    <t>2025-05-07 01:41:00,1286395834.18288,1799815400.9349,0,0,0,0,0,0</t>
  </si>
  <si>
    <t>2025-05-07 01:41:00,3503905.56852962,-81392.7918786284,-69.6666666666665,-4,-659.191333333332,-25.68,-0.0113622795830542,-0.79</t>
  </si>
  <si>
    <t>2025-05-07 01:41:00,28351723.0489224,-12824.1739879616,0,0,0,0,0,0</t>
  </si>
  <si>
    <t>2025-05-07 01:42:00,575,,561,,575,,557.5,,,,,570,550,562,557</t>
  </si>
  <si>
    <t>2025-05-07 01:42:00,490,,485,,470,,480,,,,,490,480,478,482</t>
  </si>
  <si>
    <t>2025-05-07 01:42:00,5800,,5700,,,5700,5640,,,,,5700,5500,5610,5700</t>
  </si>
  <si>
    <t>2025-05-07 01:42:00,19475,,,19300,19475,,19925,,,,,19900,19300,19500,19400</t>
  </si>
  <si>
    <t>2025-05-07 01:42:00,902865057.983685,5036054422.08516,0,0,0,0,0,0</t>
  </si>
  <si>
    <t>2025-05-07 01:42:00,1255066113.61835,1674191724.39219,0,0,0,0,0,0</t>
  </si>
  <si>
    <t>2025-05-07 01:42:00,3507182.45277193,-70933.9601634479,-74.8,-5,-296.076,-17.62,-0.0145499608177117,-0.72</t>
  </si>
  <si>
    <t>2025-05-07 01:42:00,28300274.7205562,-15369.2866539655,0,0,0,0,0,0</t>
  </si>
  <si>
    <t>2025-05-07 01:43:00,575,,561,,575,,557.5,,,,,570,550,562,557</t>
  </si>
  <si>
    <t>2025-05-07 01:43:00,490,,485,,470,,480,,,,,490,480,478,482</t>
  </si>
  <si>
    <t>2025-05-07 01:43:00,5800,,5700,,,5700,5640,,,,,5700,5500,5610,5700</t>
  </si>
  <si>
    <t>2025-05-07 01:43:00,19475,,,19300,19475,,19925,,,,,19900,19300,19500,19400</t>
  </si>
  <si>
    <t>2025-05-07 01:43:00,941682959.006428,5316141176.77229,0,0,0,0,0,0</t>
  </si>
  <si>
    <t>2025-05-07 01:43:00,1289362818.53166,1830213398.72428,0,0,0,0,0,0</t>
  </si>
  <si>
    <t>2025-05-07 01:43:00,3352823.70556225,-94243.4366321493,-186.784745762712,-10,-2501.99277966102,-316.48,0.00552520398454912,-2.77</t>
  </si>
  <si>
    <t>2025-05-07 01:43:00,28366226.2413878,-11902.156334304,0,0,0,0,0,0</t>
  </si>
  <si>
    <t>2025-05-07 01:44:00,575,,561,,575,,557.5,,,,,570,550,562,557</t>
  </si>
  <si>
    <t>2025-05-07 01:44:00,490,,485,,470,,480,,,,,490,480,478,482</t>
  </si>
  <si>
    <t>2025-05-07 01:44:00,5800,,5700,,,5700,5640,,,,,5700,5500,5610,5700</t>
  </si>
  <si>
    <t>2025-05-07 01:44:00,19475,,,19300,19475,,19925,,,,,19900,19300,19500,19400</t>
  </si>
  <si>
    <t>2025-05-07 01:44:00,920198767.130592,5150204362.7192,0,0,0,0,0,0</t>
  </si>
  <si>
    <t>2025-05-07 01:44:00,1284763228.29785,1789819794.28475,0,0,0,0,0,0</t>
  </si>
  <si>
    <t>2025-05-07 01:44:00,3494078.24212593,-71303.9197805462,-77.3166666666666,-6,-227.1055,-15.97,-0.00715283442941675,-0.51</t>
  </si>
  <si>
    <t>2025-05-07 01:44:00,28339782.789881,-13006.8742574194,0,0,0,0,0,0</t>
  </si>
  <si>
    <t>2025-05-07 01:45:00,575,,561,,575,,557.5,,,,,570,550,562,557</t>
  </si>
  <si>
    <t>2025-05-07 01:45:00,490,,485,,470,,480,,,,,490,480,478,482</t>
  </si>
  <si>
    <t>2025-05-07 01:45:00,5800,,5700,,,5700,5640,,,,,5700,5500,5610,5700</t>
  </si>
  <si>
    <t>2025-05-07 01:45:00,19475,,,19300,19475,,19925,,,,,19900,19300,19500,19400</t>
  </si>
  <si>
    <t>2025-05-07 01:45:00,818480402.644329,4912842925.46628,0,0,0,0,0,0</t>
  </si>
  <si>
    <t>2025-05-07 01:45:00,1260600454.98693,1583630540.45608,0,0,0,0,0,0</t>
  </si>
  <si>
    <t>2025-05-07 01:45:00,3649906.50846716,-66425.4733314921,-63.9666666666665,-3,-626.287333333332,-24.66,-0.00925409603446809,-0.73</t>
  </si>
  <si>
    <t>2025-05-07 01:45:00,28324065.6203802,-14021.944543078,0,0,0,0,0,0</t>
  </si>
  <si>
    <t>2025-05-07 01:46:00,575,,561,,575,,557.5,,,,,570,550,562,557</t>
  </si>
  <si>
    <t>2025-05-07 01:46:00,490,,485,,470,,480,,,,,490,480,478,482</t>
  </si>
  <si>
    <t>2025-05-07 01:46:00,5800,,5700,,,5700,5640,,,,,5700,5500,5610,5700</t>
  </si>
  <si>
    <t>2025-05-07 01:46:00,19475,,,19300,19475,,19925,,,,,19900,19300,19500,19400</t>
  </si>
  <si>
    <t>2025-05-07 01:46:00,899679328.603809,5009664140.98977,0,0,0,0,0,0</t>
  </si>
  <si>
    <t>2025-05-07 01:46:00,1271237530.32499,1749123622.82319,0,0,0,0,0,0</t>
  </si>
  <si>
    <t>2025-05-07 01:46:00,3595357.99771569,-69864.9360097897,-118.633333333333,-5,-1495.584,-45.88,-0.00603255533250073,-1.02</t>
  </si>
  <si>
    <t>2025-05-07 01:46:00,28327970.2402517,-13769.3121121773,0,0,0,0,0,0</t>
  </si>
  <si>
    <t>2025-05-07 01:47:00,575,,561,,575,,557.5,,,,,570,550,562,557</t>
  </si>
  <si>
    <t>2025-05-07 01:47:00,490,,485,,470,,480,,,,,490,480,478,482</t>
  </si>
  <si>
    <t>2025-05-07 01:47:00,5800,,5700,,,5700,5640,,,,,5700,5500,5610,5700</t>
  </si>
  <si>
    <t>2025-05-07 01:47:00,19475,,,19300,19475,,19925,,,,,19900,19300,19500,19400</t>
  </si>
  <si>
    <t>2025-05-07 01:47:00,990124659.644804,5552869490.53582,0,0,0,0,0,0</t>
  </si>
  <si>
    <t>2025-05-07 01:47:00,1312628126.89682,1933083484.0481,0,0,0,0,0,0</t>
  </si>
  <si>
    <t>2025-05-07 01:47:00,3257865.84281297,-100278.055212429,-310.166666666669,-11,-4468.4666666667,-143.2,-0.00129151912494789,-2.85</t>
  </si>
  <si>
    <t>2025-05-07 01:47:00,28412761.2172622,-9303.83660953269,0,0,0,0,0,0</t>
  </si>
  <si>
    <t>2025-05-07 01:48:00,575,,561,,575,,557.5,,,,,570,550,562,557</t>
  </si>
  <si>
    <t>2025-05-07 01:48:00,490,,485,,470,,480,,,,,490,480,478,482</t>
  </si>
  <si>
    <t>2025-05-07 01:48:00,5800,,5700,,,5700,5640,,,,,5700,5500,5610,5700</t>
  </si>
  <si>
    <t>2025-05-07 01:48:00,19475,,,19300,19475,,19925,,,,,19900,19300,19500,19400</t>
  </si>
  <si>
    <t>2025-05-07 01:48:00,1002510780.79359,5615859703.12385,0,0,0,0,0,0</t>
  </si>
  <si>
    <t>2025-05-07 01:48:00,1328790145.61477,1974474912.18336,0,0,0,0,0,0</t>
  </si>
  <si>
    <t>2025-05-07 01:48:00,3238493.18160506,-109333.273755772,-96.5,-9,-291.383333333333,-20.6,-0.0126141197184188,-0.66</t>
  </si>
  <si>
    <t>2025-05-07 01:48:00,28438022.0319828,-7982.00838401779,0,0,0,0,0,0</t>
  </si>
  <si>
    <t>2025-05-07 01:49:00,575,,561,,575,,557.5,,,,,570,550,562,557</t>
  </si>
  <si>
    <t>2025-05-07 01:49:00,490,,485,,470,,480,,,,,490,480,478,482</t>
  </si>
  <si>
    <t>2025-05-07 01:49:00,5800,,5700,,,5700,5640,,,,,5700,5500,5610,5700</t>
  </si>
  <si>
    <t>2025-05-07 01:49:00,19475,,,19300,19475,,19925,,,,,19900,19300,19500,19400</t>
  </si>
  <si>
    <t>2025-05-07 01:49:00,990551674.384657,5552912120.2293,0,0,0,0,0,0</t>
  </si>
  <si>
    <t>2025-05-07 01:49:00,1332536593.37286,1994278370.506,0,0,0,0,0,0</t>
  </si>
  <si>
    <t>2025-05-07 01:49:00,3216374.60954819,-110739.343165584,0,0,0,0,0,0</t>
  </si>
  <si>
    <t>2025-05-07 01:49:00,28432014.1886976,-8181.13625128845,0,0,0,0,0,0</t>
  </si>
  <si>
    <t>2025-05-07 01:50:00,575,,561,,575,,557.5,,,,,570,550,562,557</t>
  </si>
  <si>
    <t>2025-05-07 01:50:00,490,,485,,470,,480,,,,,490,480,478,482</t>
  </si>
  <si>
    <t>2025-05-07 01:50:00,5800,,5700,,,5700,5640,,,,,5700,5500,5610,5700</t>
  </si>
  <si>
    <t>2025-05-07 01:50:00,19475,,,19300,19475,,19925,,,,,19900,19300,19500,19400</t>
  </si>
  <si>
    <t>2025-05-07 01:50:00,990012886.16445,5554438058.32854,0,0,0,0,0,0</t>
  </si>
  <si>
    <t>2025-05-07 01:50:00,1330825608.97035,1984182146.70377,0,0,0,0,0,0</t>
  </si>
  <si>
    <t>2025-05-07 01:50:00,3124393.72850679,-131080.48505735,-68.4833333333334,-5,-332.926166666667,-20.33,-0.00347973102316333,-0.51</t>
  </si>
  <si>
    <t>2025-05-07 01:50:00,28441615.5686443,-7820.41199292166,0,0,0,0,0,0</t>
  </si>
  <si>
    <t>2025-05-07 01:51:00,575,,561,,575,,557.5,,,,,570,550,562,557</t>
  </si>
  <si>
    <t>2025-05-07 01:51:00,490,,485,,470,,480,,,,,490,480,478,482</t>
  </si>
  <si>
    <t>2025-05-07 01:51:00,5800,,5700,,,5700,5640,,,,,5700,5500,5610,5700</t>
  </si>
  <si>
    <t>2025-05-07 01:51:00,19475,,,19300,19475,,19925,,,,,19900,19300,19500,19400</t>
  </si>
  <si>
    <t>2025-05-07 01:51:00,1006360125.60478,5630506606.35505,0,0,0,0,0,0</t>
  </si>
  <si>
    <t>2025-05-07 01:51:00,1346829774.46073,2058045898.49584,0,0,0,0,0,0</t>
  </si>
  <si>
    <t>2025-05-07 01:51:00,3090366.46214134,-370130.902543316,-5084.98333333338,-102,-218840.574500002,-4363.83,0.935944361833412,-74.72</t>
  </si>
  <si>
    <t>2025-05-07 01:51:00,28461959.8369372,-6669.34160591522,0,0,0,0,0,0</t>
  </si>
  <si>
    <t>2025-05-07 01:52:00,575,,561,,575,,557.5,,,,,570,550,562,557</t>
  </si>
  <si>
    <t>2025-05-07 01:52:00,490,,485,,470,,480,,,,,490,480,478,482</t>
  </si>
  <si>
    <t>2025-05-07 01:52:00,5800,,5700,,,5700,5640,,,,,5700,5500,5610,5700</t>
  </si>
  <si>
    <t>2025-05-07 01:52:00,19475,,,19300,19475,,19925,,,,,19900,19300,19500,19400</t>
  </si>
  <si>
    <t>2025-05-07 01:52:00,1006531263.53858,5630934057.18483,0,0,0,0,0,0</t>
  </si>
  <si>
    <t>2025-05-07 01:52:00,1330735564.52657,1984279131.25591,0,0,0,0,0,0</t>
  </si>
  <si>
    <t>2025-05-07 01:52:00,3204546.30595202,-359446.477542636,-433.116666666667,-11,-21875.1205,-481.39,0.0615730941700377,-7.63</t>
  </si>
  <si>
    <t>2025-05-07 01:52:00,28443492.3926437,-7967.3581844659,0,0,0,0,0,0</t>
  </si>
  <si>
    <t>2025-05-07 01:53:00,575,,561,,575,,557.5,,,,,570,550,562,557</t>
  </si>
  <si>
    <t>2025-05-07 01:53:00,490,,485,,470,,480,,,,,490,480,478,482</t>
  </si>
  <si>
    <t>2025-05-07 01:53:00,5800,,5700,,,5700,5640,,,,,5700,5500,5610,5700</t>
  </si>
  <si>
    <t>2025-05-07 01:53:00,19475,,,19300,19475,,19925,,,,,19900,19300,19500,19400</t>
  </si>
  <si>
    <t>2025-05-07 01:53:00,1010341718.13661,5642841594.79111,0,0,0,0,0,0</t>
  </si>
  <si>
    <t>2025-05-07 01:53:00,1330653474.33139,1983782503.89938,0,0,0,0,0,0</t>
  </si>
  <si>
    <t>2025-05-07 01:53:00,3236526.10266622,-366623.471859978,-268.046428571428,-9,-5579.15624999999,-215.6,0.0158485391569271,-3.26</t>
  </si>
  <si>
    <t>2025-05-07 01:53:00,28443206.9943675,-8168.44107210619,0,0,0,0,0,0</t>
  </si>
  <si>
    <t>2025-05-07 01:54:00,575,,561,,575,,557.5,,,,,570,550,562,557</t>
  </si>
  <si>
    <t>2025-05-07 01:54:00,490,,485,,470,,480,,,,,490,480,478,482</t>
  </si>
  <si>
    <t>2025-05-07 01:54:00,5800,,5700,,,5700,5640,,,,,5700,5500,5610,5700</t>
  </si>
  <si>
    <t>2025-05-07 01:54:00,19475,,,19300,19475,,19925,,,,,19900,19300,19500,19400</t>
  </si>
  <si>
    <t>2025-05-07 01:54:00,1013981719.49391,5645003079.59737,0,0,0,0,0,0</t>
  </si>
  <si>
    <t>2025-05-07 01:54:00,1332708755.90125,1994018489.45361,0,0,0,0,0,0</t>
  </si>
  <si>
    <t>2025-05-07 01:54:00,3102289.41595368,-390671.741612466,-57.9999999999997,-2,-1061.39999999999,-36.6,-0.00645559787255053,-0.82</t>
  </si>
  <si>
    <t>2025-05-07 01:54:00,28447553.496822,-7766.1513010959,0,0,0,0,0,0</t>
  </si>
  <si>
    <t>2025-05-07 01:55:00,575,,561,,575,,557.5,,,,,570,550,562,557</t>
  </si>
  <si>
    <t>2025-05-07 01:55:00,490,,485,,470,,480,,,,,490,480,478,482</t>
  </si>
  <si>
    <t>2025-05-07 01:55:00,5800,,5700,,,5700,5640,,,,,5700,5500,5610,5700</t>
  </si>
  <si>
    <t>2025-05-07 01:55:00,19475,,,19300,19475,,19925,,,,,19900,19300,19500,19400</t>
  </si>
  <si>
    <t>2025-05-07 01:55:00,1027018090.87323,5418654305.10923,0,0,0,0,0,0</t>
  </si>
  <si>
    <t>2025-05-07 01:55:00,1342117484.60898,2038637448.43638,0,0,0,0,0,0</t>
  </si>
  <si>
    <t>2025-05-07 01:55:00,3018086.84289435,-445050.483904226,-40,-1,-312,-7.8,0.002295311234578,-0.12</t>
  </si>
  <si>
    <t>2025-05-07 01:55:00,28467613.0391034,-6651.14850008084,0,0,0,0,0,0</t>
  </si>
  <si>
    <t>2025-05-07 01:56:00,575,,561,,575,,557.5,,,,,570,550,562,557</t>
  </si>
  <si>
    <t>2025-05-07 01:56:00,490,,485,,470,,480,,,,,490,480,478,482</t>
  </si>
  <si>
    <t>2025-05-07 01:56:00,5800,,5700,,,5700,5650,,,,,5700,5500,5610,5700</t>
  </si>
  <si>
    <t>2025-05-07 01:56:00,19475,,,19300,19475,,19925,,,,,19900,19300,19500,19400</t>
  </si>
  <si>
    <t>2025-05-07 01:56:00,1059337349.2279,5944704043.23064,0,0,0,0,0,0</t>
  </si>
  <si>
    <t>2025-05-07 01:56:00,1371561149.76228,2157129466.13736,0,0,0,0,0,0</t>
  </si>
  <si>
    <t>2025-05-07 01:56:00,3337997.16261588,-170380.694622218,-1044.425,-36,-38627.7585833335,-837.39,0.00171483301933858,-16.05</t>
  </si>
  <si>
    <t>2025-05-07 01:56:00,28510666.2350999,-4003.492767311,0,0,0,0,0,0</t>
  </si>
  <si>
    <t>2025-05-07 01:57:00,575,,561,,575,,557.5,,,,,570,550,562,557</t>
  </si>
  <si>
    <t>2025-05-07 01:57:00,490,,485,,470,,480,,,,,490,480,478,482</t>
  </si>
  <si>
    <t>2025-05-07 01:57:00,5800,,5700,,,5700,5640,,,,,5700,5500,5610,5700</t>
  </si>
  <si>
    <t>2025-05-07 01:57:00,19475,,,19300,19475,,19925,,,,,19900,19300,19500,19400</t>
  </si>
  <si>
    <t>2025-05-07 01:57:00,1067880091.72954,6006810615.94474,0,0,0,0,0,0</t>
  </si>
  <si>
    <t>2025-05-07 01:57:00,1363108064.23742,2124335196.2161,0,0,0,0,0,0</t>
  </si>
  <si>
    <t>2025-05-07 01:57:00,3265442.72756643,-190021.176121048,-576.100000000001,-15,-7889.44300000002,-195.41,0.0487179334357344,-3.08</t>
  </si>
  <si>
    <t>2025-05-07 01:57:00,28494991.912448,-5141.90363105895,0,0,0,0,0,0</t>
  </si>
  <si>
    <t>2025-05-07 01:58:00,575,,561,,575,,557.5,,,,,570,550,562,557</t>
  </si>
  <si>
    <t>2025-05-07 01:58:00,490,,485,,470,,480,,,,,490,480,478,482</t>
  </si>
  <si>
    <t>2025-05-07 01:58:00,5800,,5700,,,5700,5640,,,,,5700,5500,5610,5700</t>
  </si>
  <si>
    <t>2025-05-07 01:58:00,19475,,,19300,19475,,19925,,,,,19900,19300,19500,19400</t>
  </si>
  <si>
    <t>2025-05-07 01:58:00,1049502543.72351,5883034245.39405,0,0,0,0,0,0</t>
  </si>
  <si>
    <t>2025-05-07 01:58:00,1368790753.46089,2154351694.6492,0,0,0,0,0,0</t>
  </si>
  <si>
    <t>2025-05-07 01:58:00,3071156.05517022,-465376.538667415,-551.85,-23,-5322.27849999999,-149.01,-0.0102654900714436,-3.3</t>
  </si>
  <si>
    <t>2025-05-07 01:58:00,28508047.5748108,-4133.56275149802,0,0,0,0,0,0</t>
  </si>
  <si>
    <t>2025-05-07 01:59:00,575,,561,,575,,557.5,,,,,570,550,562,557</t>
  </si>
  <si>
    <t>2025-05-07 01:59:00,490,,485,,470,,480,,,,,490,480,478,482</t>
  </si>
  <si>
    <t>2025-05-07 01:59:00,5800,,5700,,,5700,5640,,,,,5700,5500,5610,5700</t>
  </si>
  <si>
    <t>2025-05-07 01:59:00,19475,,,19300,19475,,19925,,,,,19900,19300,19500,19400</t>
  </si>
  <si>
    <t>2025-05-07 01:59:00,1021674265.87667,5385560310.70524,0,0,0,0,0,0</t>
  </si>
  <si>
    <t>2025-05-07 01:59:00,1344091376.45376,2046953883.24538,0,0,0,0,0,0</t>
  </si>
  <si>
    <t>2025-05-07 01:59:00,3117477.8917084,-414741.205011228,-94.8666666666667,-6,-582.988,-33.34,-0.00331862686070447,-0.85</t>
  </si>
  <si>
    <t>2025-05-07 01:59:00,28475123.9925515,-6286.56313562447,0,0,0,0,0,0</t>
  </si>
  <si>
    <t>2025-05-07 02:00:00,575,,,,575,,,,,,,,,562,557</t>
  </si>
  <si>
    <t>2025-05-07 02:00:00,490,,,,470,,,,,,,,,478,482</t>
  </si>
  <si>
    <t>2025-05-07 02:00:00,5800,,5700,,,5700,5640,,,,,5700,5500,5610,5700</t>
  </si>
  <si>
    <t>2025-05-07 02:00:00,19475,,,,19475,,,,,,,,,19500,19400</t>
  </si>
  <si>
    <t>2025-05-07 02:00:00,999314108.943955,0,-203704.090521481,57139,-85083.6943843243,62197.17,6340.31621114813,29636.59</t>
  </si>
  <si>
    <t>2025-05-07 02:00:00,1348679965.65327,0,-94269.1609379803,-245900,-150437.06686151,-494430.15,-14439.5750189807,-123421.06</t>
  </si>
  <si>
    <t>2025-05-07 02:00:00,3147523.06746292,-420298.518920405,-560.749999999999,-16,-19247.1481666666,-411.81,0.0812124679571811,-7.21</t>
  </si>
  <si>
    <t>2025-05-07 02:00:00,28476974.8607884,0,-131.326581771447,-287,-44296.0477660766,-23339.1,-0.371272427932116,-85.61</t>
  </si>
  <si>
    <t>2025-05-07 02:01:00,575,,,,575,,,,,,,,,562,557</t>
  </si>
  <si>
    <t>2025-05-07 02:01:00,490,,,,470,,,,,,,,,478,482</t>
  </si>
  <si>
    <t>2025-05-07 02:01:00,5800,,5700,,,5700,5650,,,,,5700,5500,5610,5700</t>
  </si>
  <si>
    <t>2025-05-07 02:01:00,19475,,,,19475,,,,,,,,,19500,19400</t>
  </si>
  <si>
    <t>2025-05-07 02:01:00,1085736938.0304,0,0,0,0,0,0,0</t>
  </si>
  <si>
    <t>2025-05-07 02:01:00,1393082706.46278,0,0,0,0,0,0,0</t>
  </si>
  <si>
    <t>2025-05-07 02:01:00,3168204.70945786,-193535.539803764,-342.966666666667,-13,-6390.46233333335,-169.99,-0.0222520744954897,-3.26</t>
  </si>
  <si>
    <t>2025-05-07 02:01:00,28568115.6959102,0,0,0,0,0,0,0</t>
  </si>
  <si>
    <t>2025-05-07 02:02:00,575,,,,575,,,,,,,,,562,557</t>
  </si>
  <si>
    <t>2025-05-07 02:02:00,490,,,,470,,,,,,,,,478,482</t>
  </si>
  <si>
    <t>2025-05-07 02:02:00,5800,,5700,,,5700,5650,,,,,5700,5500,5610,5700</t>
  </si>
  <si>
    <t>2025-05-07 02:02:00,19475,,,,19475,,,,,,,,,19500,19400</t>
  </si>
  <si>
    <t>2025-05-07 02:02:00,1081727223.01783,0,0,0,0,0,0,0</t>
  </si>
  <si>
    <t>2025-05-07 02:02:00,1397238119.60849,0,0,0,0,0,0,0</t>
  </si>
  <si>
    <t>2025-05-07 02:02:00,3086610.55016237,-194935.16876094,-542.816666666666,-33,-5806.05116666666,-215.13,-0.0143818442245782,-5.1</t>
  </si>
  <si>
    <t>2025-05-07 02:02:00,28570471.6091638,0,0,0,0,0,0,0</t>
  </si>
  <si>
    <t>2025-05-07 02:03:00,575,,,,575,,,,,,,,,562,557</t>
  </si>
  <si>
    <t>2025-05-07 02:03:00,490,,,,470,,,,,,,,,478,482</t>
  </si>
  <si>
    <t>2025-05-07 02:03:00,5800,,5700,,,5700,5640,,,,,5700,5500,5610,5700</t>
  </si>
  <si>
    <t>2025-05-07 02:03:00,19475,,,,19475,,,,,,,,,19500,19400</t>
  </si>
  <si>
    <t>2025-05-07 02:03:00,1085438392.1174,0,0,0,0,0,0,0</t>
  </si>
  <si>
    <t>2025-05-07 02:03:00,1399466746.82332,0,0,0,0,0,0,0</t>
  </si>
  <si>
    <t>2025-05-07 02:03:00,3140789.33416705,-190915.094406115,-227.85,-10,-1670.9485,-53.28,-6.98501165077522E-05,-1.12</t>
  </si>
  <si>
    <t>2025-05-07 02:03:00,28567064.14318,0,0,0,0,0,0,0</t>
  </si>
  <si>
    <t>2025-05-07 02:04:00,575,,,,575,,,,,,,,,562,557</t>
  </si>
  <si>
    <t>2025-05-07 02:04:00,490,,,,470,,,,,,,,,478,482</t>
  </si>
  <si>
    <t>2025-05-07 02:04:00,5800,,5700,,,5700,5650,,,,,5700,5500,5610,5700</t>
  </si>
  <si>
    <t>2025-05-07 02:04:00,19475,,,,19475,,,,,,,,,19500,19400</t>
  </si>
  <si>
    <t>2025-05-07 02:04:00,1089504153.66312,0,0,0,0,0,0,0</t>
  </si>
  <si>
    <t>2025-05-07 02:04:00,1401480091.38023,0,0,0,0,0,0,0</t>
  </si>
  <si>
    <t>2025-05-07 02:04:00,3135342.9220083,-191159.099362382,-26.8666666666666,-2,-239.003999999999,-12.62,0.000748149040713406,-0.23</t>
  </si>
  <si>
    <t>2025-05-07 02:04:00,28569556.9542978,0,0,0,0,0,0,0</t>
  </si>
  <si>
    <t>2025-05-07 02:05:00,575,,,,575,,,,,,,,,562,557</t>
  </si>
  <si>
    <t>2025-05-07 02:05:00,490,,,,470,,,,,,,,,478,482</t>
  </si>
  <si>
    <t>2025-05-07 02:05:00,5800,,5700,,,5700,5640,,,,,5700,5500,5610,5700</t>
  </si>
  <si>
    <t>2025-05-07 02:05:00,19475,,,,19475,,,,,,,,,19500,19400</t>
  </si>
  <si>
    <t>2025-05-07 02:05:00,1061407517.02929,0,0,0,0,0,0,0</t>
  </si>
  <si>
    <t>2025-05-07 02:05:00,1368823194.98093,0,0,0,0,0,0,0</t>
  </si>
  <si>
    <t>2025-05-07 02:05:00,3006845.69547726,-479996.70751513,-143.45,-7,-812.109499999999,-32.6,-0.000208256735234638,-0.72</t>
  </si>
  <si>
    <t>2025-05-07 02:05:00,28522894.9623266,0,0,0,0,0,0,0</t>
  </si>
  <si>
    <t>2025-05-07 02:06:00,575,,,,575,,,,,,,,,562,557</t>
  </si>
  <si>
    <t>2025-05-07 02:06:00,490,,,,470,,,,,,,,,478,482</t>
  </si>
  <si>
    <t>2025-05-07 02:06:00,5800,,5700,,,5700,5650,,,,,5700,5500,5610,5700</t>
  </si>
  <si>
    <t>2025-05-07 02:06:00,19475,,,,19475,,,,,,,,,19500,19400</t>
  </si>
  <si>
    <t>2025-05-07 02:06:00,1110846190.02394,0,0,0,0,0,0,0</t>
  </si>
  <si>
    <t>2025-05-07 02:06:00,1403569523.01399,0,0,0,0,0,0,0</t>
  </si>
  <si>
    <t>2025-05-07 02:06:00,3009203.26597854,-206847.622397582,-477.649999999998,-13,-8847.48949999996,-204.03,0.0425395127898841,-3.29</t>
  </si>
  <si>
    <t>2025-05-07 02:06:00,28579898.2652586,0,0,0,0,0,0,0</t>
  </si>
  <si>
    <t>2025-05-07 02:07:00,575,,,,575,,,,,,,,,562,557</t>
  </si>
  <si>
    <t>2025-05-07 02:07:00,490,,,,470,,,,,,,,,478,482</t>
  </si>
  <si>
    <t>2025-05-07 02:07:00,5800,,5700,,,5700,5650,,,,,5700,5500,5610,5700</t>
  </si>
  <si>
    <t>2025-05-07 02:07:00,19475,,,,19475,,,,,,,,,19500,19400</t>
  </si>
  <si>
    <t>2025-05-07 02:07:00,1076026475.51458,0,0,0,0,0,0,0</t>
  </si>
  <si>
    <t>2025-05-07 02:07:00,1387859435.69459,0,0,0,0,0,0,0</t>
  </si>
  <si>
    <t>2025-05-07 02:07:00,3126789.9430458,-208197.794166611,-276.866666666666,-8,-7786.10399999995,-179.62,0.0256494910408517,-3.35</t>
  </si>
  <si>
    <t>2025-05-07 02:07:00,28548841.3115055,0,0,0,0,0,0,0</t>
  </si>
  <si>
    <t>2025-05-07 02:08:00,575,,,,575,,,,,,,,,562,557</t>
  </si>
  <si>
    <t>2025-05-07 02:08:00,490,,,,470,,,,,,,,,478,482</t>
  </si>
  <si>
    <t>2025-05-07 02:08:00,5800,,5700,,,5700,5650,,,,,5700,5500,5610,5700</t>
  </si>
  <si>
    <t>2025-05-07 02:08:00,19475,,,,19475,,,,,,,,,19500,19400</t>
  </si>
  <si>
    <t>2025-05-07 02:08:00,1115063356.04766,0,0,0,0,0,0,0</t>
  </si>
  <si>
    <t>2025-05-07 02:08:00,1401342726.71385,0,0,0,0,0,0,0</t>
  </si>
  <si>
    <t>2025-05-07 02:08:00,2978422.991368,-221608.379555548,-134.233333333333,-4,-2019.44933333333,-52.68,-0.00502364565898497,-1.22</t>
  </si>
  <si>
    <t>2025-05-07 02:08:00,28576649.0270313,0,0,0,0,0,0,0</t>
  </si>
  <si>
    <t>2025-05-07 02:09:00,575,,,,575,,,,,,,,,562,557</t>
  </si>
  <si>
    <t>2025-05-07 02:09:00,490,,,,470,,,,,,,,,478,482</t>
  </si>
  <si>
    <t>2025-05-07 02:09:00,5800,,5700,,,5700,5650,,,,,5700,5500,5610,5700</t>
  </si>
  <si>
    <t>2025-05-07 02:09:00,19475,,,,19475,,,,,,,,,19500,19400</t>
  </si>
  <si>
    <t>2025-05-07 02:09:00,1053574728.9019,0,0,0,0,0,0,0</t>
  </si>
  <si>
    <t>2025-05-07 02:09:00,1376243791.43888,0,0,0,0,0,0,0</t>
  </si>
  <si>
    <t>2025-05-07 02:09:00,3119737.68953252,-211308.186550458,-33.4,-1,-460.252,-13.78,0.00344320350805984,-0.21</t>
  </si>
  <si>
    <t>2025-05-07 02:09:00,28529520.5249614,0,0,0,0,0,0,0</t>
  </si>
  <si>
    <t>2025-05-07 02:10:00,575,,,,575,,,,,,,,,562,557</t>
  </si>
  <si>
    <t>2025-05-07 02:10:00,490,,,,470,,,,,,,,,478,482</t>
  </si>
  <si>
    <t>2025-05-07 02:10:00,5800,,5700,,,5700,5640,,,,,5700,5500,5610,5700</t>
  </si>
  <si>
    <t>2025-05-07 02:10:00,19475,,,,19475,,,,,,,,,19500,19400</t>
  </si>
  <si>
    <t>2025-05-07 02:10:00,1024742861.70687,0,0,0,0,0,0,0</t>
  </si>
  <si>
    <t>2025-05-07 02:10:00,1363064528.35825,0,0,0,0,0,0,0</t>
  </si>
  <si>
    <t>2025-05-07 02:10:00,3019194.12033893,-446618.563949451,-208.766666666666,-8,-2111.57033333333,-73.59,-0.0207190829081509,-2.09</t>
  </si>
  <si>
    <t>2025-05-07 02:10:00,28504990.5439542,0,0,0,0,0,0,0</t>
  </si>
  <si>
    <t>2025-05-07 02:11:00,575,,,,575,,,,,,,,,562,557</t>
  </si>
  <si>
    <t>2025-05-07 02:11:00,490,,,,470,,,,,,,,,478,482</t>
  </si>
  <si>
    <t>2025-05-07 02:11:00,5800,,5700,,,5700,5640,,,,,5700,5500,5610,5700</t>
  </si>
  <si>
    <t>2025-05-07 02:11:00,19475,,,,19475,,,,,,,,,19500,19400</t>
  </si>
  <si>
    <t>2025-05-07 02:11:00,1123409005.65542,0,0,0,0,0,0,0</t>
  </si>
  <si>
    <t>2025-05-07 02:11:00,1392300099.32249,0,0,0,0,0,0,0</t>
  </si>
  <si>
    <t>2025-05-07 02:11:00,3008548.95065533,-213652.481646421,-62.9,-3,-564.017,-19.23,0.00561533409064473,-0.3</t>
  </si>
  <si>
    <t>2025-05-07 02:11:00,28554916.1299717,0,0,0,0,0,0,0</t>
  </si>
  <si>
    <t>2025-05-07 02:12:00,575,,,,575,,,,,,,,,562,557</t>
  </si>
  <si>
    <t>2025-05-07 02:12:00,490,,,,470,,,,,,,,,478,482</t>
  </si>
  <si>
    <t>2025-05-07 02:12:00,5800,,5700,,,5700,5640,,,,,5700,5500,5610,5700</t>
  </si>
  <si>
    <t>2025-05-07 02:12:00,19475,,,,19475,,,,,,,,,19500,19400</t>
  </si>
  <si>
    <t>2025-05-07 02:12:00,1039503986.92834,0,0,0,0,0,0,0</t>
  </si>
  <si>
    <t>2025-05-07 02:12:00,1369633604.39401,0,0,0,0,0,0,0</t>
  </si>
  <si>
    <t>2025-05-07 02:12:00,3000967.9276217,-447987.262978195,-404.316666666667,-18,-2966.34283333333,-120.38,-0.0426453681219411,-3.73</t>
  </si>
  <si>
    <t>2025-05-07 02:12:00,28516434.5540942,0,0,0,0,0,0,0</t>
  </si>
  <si>
    <t>2025-05-07 02:13:00,575,,,,575,,,,,,,,,562,557</t>
  </si>
  <si>
    <t>2025-05-07 02:13:00,490,,,,470,,,,,,,,,478,482</t>
  </si>
  <si>
    <t>2025-05-07 02:13:00,5800,,5700,,,5700,5640,,,,,5700,5500,5610,5700</t>
  </si>
  <si>
    <t>2025-05-07 02:13:00,19475,,,,19475,,,,,,,,,19500,19400</t>
  </si>
  <si>
    <t>2025-05-07 02:13:00,987272587.316938,0,0,0,0,0,0,0</t>
  </si>
  <si>
    <t>2025-05-07 02:13:00,1339404859.64843,0,0,0,0,0,0,0</t>
  </si>
  <si>
    <t>2025-05-07 02:13:00,3139503.13898868,-367055.423343727,-500.583333333333,-25,-5598.09983333333,-212.38,-0.0486057065229602,-5.67</t>
  </si>
  <si>
    <t>2025-05-07 02:13:00,28461462.4836775,0,0,0,0,0,0,0</t>
  </si>
  <si>
    <t>2025-05-07 02:14:00,575,,,,575,,,,,,,,,562,557</t>
  </si>
  <si>
    <t>2025-05-07 02:14:00,490,,,,470,,,,,,,,,478,482</t>
  </si>
  <si>
    <t>2025-05-07 02:14:00,5800,,5700,,,5700,5640,,,,,5700,5500,5610,5700</t>
  </si>
  <si>
    <t>2025-05-07 02:14:00,19475,,,,19475,,,,,,,,,19500,19400</t>
  </si>
  <si>
    <t>2025-05-07 02:14:00,1048293335.46749,0,0,0,0,0,0,0</t>
  </si>
  <si>
    <t>2025-05-07 02:14:00,1374026343.64825,0,0,0,0,0,0,0</t>
  </si>
  <si>
    <t>2025-05-07 02:14:00,2947631.70014063,-499834.887225656,-622.300000000001,-20,-6870.006,-160.42,-0.0159745109633838,-4.05</t>
  </si>
  <si>
    <t>2025-05-07 02:14:00,28536491.87136,0,0,0,0,0,0,0</t>
  </si>
  <si>
    <t>2025-05-07 02:15:00,575,,,,575,,,,,,,,,562,557</t>
  </si>
  <si>
    <t>2025-05-07 02:15:00,490,,,,470,,,,,,,,,478,482</t>
  </si>
  <si>
    <t>2025-05-07 02:15:00,5800,,5700,,,5700,5640,,,,,5700,5500,5610,5700</t>
  </si>
  <si>
    <t>2025-05-07 02:15:00,19475,,,,19475,,,,,,,,,19500,19400</t>
  </si>
  <si>
    <t>2025-05-07 02:15:00,1075001524.26371,0,0,0,0,0,0,0</t>
  </si>
  <si>
    <t>2025-05-07 02:15:00,1384351631.90051,0,0,0,0,0,0,0</t>
  </si>
  <si>
    <t>2025-05-07 02:15:00,3111623.70647719,-183312.429027899,-159.233333333333,-4,-5100.85199999999,-104.58,0.0200069467221995,-1.89</t>
  </si>
  <si>
    <t>2025-05-07 02:15:00,28549042.0247007,0,0,0,0,0,0,0</t>
  </si>
  <si>
    <t>2025-05-07 02:16:00,575,,,,575,,,,,,,,,562,557</t>
  </si>
  <si>
    <t>2025-05-07 02:16:00,490,,,,470,,,,,,,,,478,482</t>
  </si>
  <si>
    <t>2025-05-07 02:16:00,5800,,5700,,,5700,5640,,,,,5700,5500,5610,5700</t>
  </si>
  <si>
    <t>2025-05-07 02:16:00,19475,,,,19475,,,,,,,,,19500,19400</t>
  </si>
  <si>
    <t>2025-05-07 02:16:00,1105243694.6097,0,0,0,0,0,0,0</t>
  </si>
  <si>
    <t>2025-05-07 02:16:00,1390724462.91312,0,0,0,0,0,0,0</t>
  </si>
  <si>
    <t>2025-05-07 02:16:00,3083404.32207716,-163997.747814834,-668.983333333331,-28,-5771.35116666665,-206.28,-0.0740100422444258,-6.29</t>
  </si>
  <si>
    <t>2025-05-07 02:16:00,28568732.4892731,0,0,0,0,0,0,0</t>
  </si>
  <si>
    <t>2025-05-07 02:17:00,575,,,,575,,,,,,,,,562,557</t>
  </si>
  <si>
    <t>2025-05-07 02:17:00,490,,,,470,,,,,,,,,478,482</t>
  </si>
  <si>
    <t>2025-05-07 02:17:00,5800,,5700,,,5700,5640,,,,,5700,5500,5610,5700</t>
  </si>
  <si>
    <t>2025-05-07 02:17:00,19475,,,,19475,,,,,,,,,19500,19400</t>
  </si>
  <si>
    <t>2025-05-07 02:17:00,1109599949.524,0,0,0,0,0,0,0</t>
  </si>
  <si>
    <t>2025-05-07 02:17:00,1384519158.87008,0,0,0,0,0,0,0</t>
  </si>
  <si>
    <t>2025-05-07 02:17:00,2992933.03708604,-171204.411253584,-65.5333333333337,-2,-944.068000000007,-25.44,-0.00643424496125042,-0.67</t>
  </si>
  <si>
    <t>2025-05-07 02:17:00,28564286.4349742,0,0,0,0,0,0,0</t>
  </si>
  <si>
    <t>2025-05-07 02:18:00,575,,,,575,,,,,,,,,562,557</t>
  </si>
  <si>
    <t>2025-05-07 02:18:00,490,,,,470,,,,,,,,,478,482</t>
  </si>
  <si>
    <t>2025-05-07 02:18:00,5800,,5700,,,5700,5660,,,,,5700,5500,5610,5700</t>
  </si>
  <si>
    <t>2025-05-07 02:18:00,19475,,,,19475,,,,,,,,,19500,19400</t>
  </si>
  <si>
    <t>2025-05-07 02:18:00,1190100644.4603,0,0,0,0,0,0,0</t>
  </si>
  <si>
    <t>2025-05-07 02:18:00,1425728490.76629,0,0,0,0,0,0,0</t>
  </si>
  <si>
    <t>2025-05-07 02:18:00,2853835.59305664,-193181.111898045,-615.866666666666,-25,-7457.57533333332,-224.97,-0.0136386191386617,-5.39</t>
  </si>
  <si>
    <t>2025-05-07 02:18:00,28629894.3457383,0,0,0,0,0,0,0</t>
  </si>
  <si>
    <t>2025-05-07 02:19:00,575,,,,575,,,,,,,,,562,557</t>
  </si>
  <si>
    <t>2025-05-07 02:19:00,490,,,,470,,,,,,,,,478,482</t>
  </si>
  <si>
    <t>2025-05-07 02:19:00,5800,,5700,,,5700,5660,,,,,5700,5500,5610,5700</t>
  </si>
  <si>
    <t>2025-05-07 02:19:00,19475,,,,19475,,,,,,,,,19500,19400</t>
  </si>
  <si>
    <t>2025-05-07 02:19:00,1196676875.28335,0,0,0,0,0,0,0</t>
  </si>
  <si>
    <t>2025-05-07 02:19:00,1437427022.53757,0,0,0,0,0,0,0</t>
  </si>
  <si>
    <t>2025-05-07 02:19:00,2762756.15106967,-189870.117081929,-376.233333333334,-12,-4666.32700000002,-111.99,0.00708594164957067,-2.24</t>
  </si>
  <si>
    <t>2025-05-07 02:19:00,28657194.936274,0,0,0,0,0,0,0</t>
  </si>
  <si>
    <t>2025-05-07 02:20:00,575,,,,575,,,,,,,,,562,557</t>
  </si>
  <si>
    <t>2025-05-07 02:20:00,490,,,,470,,,,,,,,,478,482</t>
  </si>
  <si>
    <t>2025-05-07 02:20:00,5800,,5700,,,5700,5660,,,,,5700,5500,5610,5700</t>
  </si>
  <si>
    <t>2025-05-07 02:20:00,19475,,,,19475,,,,,,,,,19500,19400</t>
  </si>
  <si>
    <t>2025-05-07 02:20:00,1253117019.02229,0,0,0,0,0,0,0</t>
  </si>
  <si>
    <t>2025-05-07 02:20:00,1461053318.349,0,0,0,0,0,0,0</t>
  </si>
  <si>
    <t>2025-05-07 02:20:00,2543838.38517443,-206363.08949933,-354.983333333333,-22,-2205.9995,-87.95,-0.0164411989869168,-2</t>
  </si>
  <si>
    <t>2025-05-07 02:20:00,28704444.4684516,0,0,0,0,0,0,0</t>
  </si>
  <si>
    <t>2025-05-07 02:21:00,575,,,,575,,,,,,,,,562,557</t>
  </si>
  <si>
    <t>2025-05-07 02:21:00,490,,,,470,,,,,,,,,478,482</t>
  </si>
  <si>
    <t>2025-05-07 02:21:00,5800,,5700,,,5700,5660,,,,,5700,5500,5610,5700</t>
  </si>
  <si>
    <t>2025-05-07 02:21:00,19475,,,,19475,,,,,,,,,19500,19400</t>
  </si>
  <si>
    <t>2025-05-07 02:21:00,1249318425.9651,0,0,0,0,0,0,0</t>
  </si>
  <si>
    <t>2025-05-07 02:21:00,1477835543.11278,0,0,0,0,0,0,0</t>
  </si>
  <si>
    <t>2025-05-07 02:21:00,2622805.04031099,-189832.932384893,-785.366666666666,-35,-5159.795,-191.48,-0.0519874725737011,-5.63</t>
  </si>
  <si>
    <t>2025-05-07 02:21:00,28720955.1471511,0,0,0,0,0,0,0</t>
  </si>
  <si>
    <t>2025-05-07 02:22:00,575,,,,575,,,,,,,,,562,557</t>
  </si>
  <si>
    <t>2025-05-07 02:22:00,490,,,,470,,,,,,,,,478,482</t>
  </si>
  <si>
    <t>2025-05-07 02:22:00,5800,,5700,,,5700,5660,,,,,5700,5500,5610,5700</t>
  </si>
  <si>
    <t>2025-05-07 02:22:00,19475,,,,19475,,,,,,,,,19500,19400</t>
  </si>
  <si>
    <t>2025-05-07 02:22:00,1275494158.81193,0,0,0,0,0,0,0</t>
  </si>
  <si>
    <t>2025-05-07 02:22:00,1480086695.69935,0,0,0,0,0,0,0</t>
  </si>
  <si>
    <t>2025-05-07 02:22:00,2677600.36860263,-152929.18205978,-1424.41666666667,-56,-29250.5523333334,-616.12,-0.106115527484993,-14.61</t>
  </si>
  <si>
    <t>2025-05-07 02:22:00,28726313.4217779,0,0,0,0,0,0,0</t>
  </si>
  <si>
    <t>2025-05-07 02:23:00,575,,,,575,,,,,,,,,562,557</t>
  </si>
  <si>
    <t>2025-05-07 02:23:00,490,,,,470,,,,,,,,,478,482</t>
  </si>
  <si>
    <t>2025-05-07 02:23:00,5800,,5700,,,5700,5660,,,,,5700,5500,5610,5700</t>
  </si>
  <si>
    <t>2025-05-07 02:23:00,19475,,,,19475,,,,,,,,,19500,19400</t>
  </si>
  <si>
    <t>2025-05-07 02:23:00,1248801019.62836,0,0,0,0,0,0,0</t>
  </si>
  <si>
    <t>2025-05-07 02:23:00,1465485441.17586,0,0,0,0,0,0,0</t>
  </si>
  <si>
    <t>2025-05-07 02:23:00,2619861.16820337,-164787.251771049,-281.399999999999,-8,-7826.39199999998,-142.48,0.0161834034732921,-2.81</t>
  </si>
  <si>
    <t>2025-05-07 02:23:00,28709444.3093157,0,0,0,0,0,0,0</t>
  </si>
  <si>
    <t>2025-05-07 02:24:00,575,,,,575,,,,,,,,,562,557</t>
  </si>
  <si>
    <t>2025-05-07 02:24:00,490,,,,470,,,,,,,,,478,482</t>
  </si>
  <si>
    <t>2025-05-07 02:24:00,5800,,5700,,,5700,5660,,,,,5700,5500,5610,5700</t>
  </si>
  <si>
    <t>2025-05-07 02:24:00,19475,,,,19475,,,,,,,,,19500,19400</t>
  </si>
  <si>
    <t>2025-05-07 02:24:00,1275079506.08718,0,0,0,0,0,0,0</t>
  </si>
  <si>
    <t>2025-05-07 02:24:00,1489573494.18147,0,0,0,0,0,0,0</t>
  </si>
  <si>
    <t>2025-05-07 02:24:00,2493996.90659131,-171868.567194858,-385.266666666668,-17,-1767.341,-64.8,-0.0308286117362423,-2.27</t>
  </si>
  <si>
    <t>2025-05-07 02:24:00,28737855.293331,0,0,0,0,0,0,0</t>
  </si>
  <si>
    <t>2025-05-07 02:25:00,575,,,,575,,,,,,,,,562,557</t>
  </si>
  <si>
    <t>2025-05-07 02:25:00,490,,,,470,,,,,,,,,478,482</t>
  </si>
  <si>
    <t>2025-05-07 02:25:00,5800,,5700,,,5700,5660,,,,,5700,5500,5610,5700</t>
  </si>
  <si>
    <t>2025-05-07 02:25:00,19475,,,,19475,,,,,,,,,19500,19400</t>
  </si>
  <si>
    <t>2025-05-07 02:25:00,1264612133.82554,0,0,0,0,0,0,0</t>
  </si>
  <si>
    <t>2025-05-07 02:25:00,1489545251.19412,0,0,0,0,0,0,0</t>
  </si>
  <si>
    <t>2025-05-07 02:25:00,2674031.38484768,-157878.491335544,-595.766666666668,-12,-15271.7990000001,-240.23,0.0362453555296513,-4.38</t>
  </si>
  <si>
    <t>2025-05-07 02:25:00,28735424.2480031,0,0,0,0,0,0,0</t>
  </si>
  <si>
    <t>2025-05-07 02:26:00,575,,,,575,,,,,,,,,562,557</t>
  </si>
  <si>
    <t>2025-05-07 02:26:00,490,,,,470,,,,,,,,,478,482</t>
  </si>
  <si>
    <t>2025-05-07 02:26:00,5800,,5700,,,5700,5660,,,,,5700,5500,5610,5700</t>
  </si>
  <si>
    <t>2025-05-07 02:26:00,19475,,,,19475,,,,,,,,,19500,19400</t>
  </si>
  <si>
    <t>2025-05-07 02:26:00,1271812243.43322,0,0,0,0,0,0,0</t>
  </si>
  <si>
    <t>2025-05-07 02:26:00,1484039101.18736,0,0,0,0,0,0,0</t>
  </si>
  <si>
    <t>2025-05-07 02:26:00,2606840.6483203,-167154.716529123,-11,-2,-13.4,-2,-0.0020689494180262,-0.09</t>
  </si>
  <si>
    <t>2025-05-07 02:26:00,28737134.9144069,0,0,0,0,0,0,0</t>
  </si>
  <si>
    <t>2025-05-07 02:27:00,575,,,,575,,,,,,,,,562,557</t>
  </si>
  <si>
    <t>2025-05-07 02:27:00,490,,,,470,,,,,,,,,478,482</t>
  </si>
  <si>
    <t>2025-05-07 02:27:00,5800,,5700,,,5700,5660,,,,,5700,5500,5610,5700</t>
  </si>
  <si>
    <t>2025-05-07 02:27:00,19475,,,,19475,,,,,,,,,19500,19400</t>
  </si>
  <si>
    <t>2025-05-07 02:27:00,1285192063.00052,0,0,0,0,0,0,0</t>
  </si>
  <si>
    <t>2025-05-07 02:27:00,1492065702.87934,0,0,0,0,0,0,0</t>
  </si>
  <si>
    <t>2025-05-07 02:27:00,2505178.56516975,-186314.905081077,-1821.56666666667,-39,-81218.886,-1142.22,0.033519858690375,-21.06</t>
  </si>
  <si>
    <t>2025-05-07 02:27:00,28754197.8817392,0,0,0,0,0,0,0</t>
  </si>
  <si>
    <t>2025-05-07 02:28:00,575,,,,575,,,,,,,,,562,557</t>
  </si>
  <si>
    <t>2025-05-07 02:28:00,490,,,,470,,,,,,,,,478,482</t>
  </si>
  <si>
    <t>2025-05-07 02:28:00,5800,,5700,,,5700,5660,,,,,5700,5500,5610,5700</t>
  </si>
  <si>
    <t>2025-05-07 02:28:00,19475,,,,19475,,,,,,,,,19500,19400</t>
  </si>
  <si>
    <t>2025-05-07 02:28:00,1310442502.67625,0,0,0,0,0,0,0</t>
  </si>
  <si>
    <t>2025-05-07 02:28:00,1497838622.78778,0,0,0,0,0,0,0</t>
  </si>
  <si>
    <t>2025-05-07 02:28:00,2634277.85656823,-212798.539617828,-776.325000000003,-15,-32945.7465833335,-535.1,0.0509673580750971,-7.75</t>
  </si>
  <si>
    <t>2025-05-07 02:28:00,28773431.8840072,0,0,0,0,0,0,0</t>
  </si>
  <si>
    <t>2025-05-07 02:29:00,575,,,,575,,,,,,,,,562,557</t>
  </si>
  <si>
    <t>2025-05-07 02:29:00,490,,,,470,,,,,,,,,478,482</t>
  </si>
  <si>
    <t>2025-05-07 02:29:00,5800,,5700,,,5700,5660,,,,,5700,5500,5610,5700</t>
  </si>
  <si>
    <t>2025-05-07 02:29:00,19475,,,,19475,,,,,,,,,19500,19400</t>
  </si>
  <si>
    <t>2025-05-07 02:29:00,1285572563.93376,0,0,0,0,0,0,0</t>
  </si>
  <si>
    <t>2025-05-07 02:29:00,1479323787.71944,0,0,0,0,0,0,0</t>
  </si>
  <si>
    <t>2025-05-07 02:29:00,2467292.59468106,-200243.939010652,-301.5,-8,-5690.40000000002,-100.55,0.0103045881437536,-1.94</t>
  </si>
  <si>
    <t>2025-05-07 02:29:00,28732972.9791014,0,0,0,0,0,0,0</t>
  </si>
  <si>
    <t>2025-05-07 02:30:00,575,,,,575,,,,,,,,,562,557</t>
  </si>
  <si>
    <t>2025-05-07 02:30:00,490,,,,470,,,,,,,,,478,482</t>
  </si>
  <si>
    <t>2025-05-07 02:30:00,5800,,5700,,,5700,5660,,,,,5700,5500,5610,5700</t>
  </si>
  <si>
    <t>2025-05-07 02:30:00,19475,,,,19475,,,,,,,,,19500,19400</t>
  </si>
  <si>
    <t>2025-05-07 02:30:00,1284794237.72573,0,0,0,0,0,0,0</t>
  </si>
  <si>
    <t>2025-05-07 02:30:00,1480034150.38696,0,0,0,0,0,0,0</t>
  </si>
  <si>
    <t>2025-05-07 02:30:00,2541972.42456525,-197288.510555669,-251.4,-8,-7481.33099999999,-134.84,0.0267729978813421,-2.47</t>
  </si>
  <si>
    <t>2025-05-07 02:30:00,28723451.9308777,0,0,0,0,0,0,0</t>
  </si>
  <si>
    <t>2025-05-07 02:31:00,575,,,,575,,,,,,,,,562,557</t>
  </si>
  <si>
    <t>2025-05-07 02:31:00,490,,,,470,,,,,,,,,478,482</t>
  </si>
  <si>
    <t>2025-05-07 02:31:00,5800,,5700,,,5700,5660,,,,,5700,5500,5610,5700</t>
  </si>
  <si>
    <t>2025-05-07 02:31:00,19475,,,,19475,,,,,,,,,19500,19400</t>
  </si>
  <si>
    <t>2025-05-07 02:31:00,1263974695.94539,0,0,0,0,0,0,0</t>
  </si>
  <si>
    <t>2025-05-07 02:31:00,1476177604.03215,0,0,0,0,0,0,0</t>
  </si>
  <si>
    <t>2025-05-07 02:31:00,2563616.70692916,-189617.24533231,-99.4333333333334,-5,-787.911333333333,-26.56,-0.00255432920226262,-0.6</t>
  </si>
  <si>
    <t>2025-05-07 02:31:00,28720283.9661965,0,0,0,0,0,0,0</t>
  </si>
  <si>
    <t>2025-05-07 02:32:00,575,,,,575,,,,,,,,,562,557</t>
  </si>
  <si>
    <t>2025-05-07 02:32:00,490,,,,470,,,,,,,,,478,482</t>
  </si>
  <si>
    <t>2025-05-07 02:32:00,5800,,5700,,,5700,5660,,,,,5700,5500,5610,5700</t>
  </si>
  <si>
    <t>2025-05-07 02:32:00,19475,,,,19475,,,,,,,,,19500,19400</t>
  </si>
  <si>
    <t>2025-05-07 02:32:00,1263044155.79126,0,0,0,0,0,0,0</t>
  </si>
  <si>
    <t>2025-05-07 02:32:00,1478282520.85372,0,0,0,0,0,0,0</t>
  </si>
  <si>
    <t>2025-05-07 02:32:00,2611740.85827851,-185202.22611252,-171.9,-5,-1079.383,-30.31,-0.00657990506931787,-0.89</t>
  </si>
  <si>
    <t>2025-05-07 02:32:00,28725685.2703491,0,0,0,0,0,0,0</t>
  </si>
  <si>
    <t>2025-05-07 02:33:00,575,,,,575,,,,,,,,,562,557</t>
  </si>
  <si>
    <t>2025-05-07 02:33:00,490,,,,470,,,,,,,,,478,482</t>
  </si>
  <si>
    <t>2025-05-07 02:33:00,5800,,5700,,,5700,5660,,,,,5700,5500,5610,5700</t>
  </si>
  <si>
    <t>2025-05-07 02:33:00,19475,,,,19475,,,,,,,,,19500,19400</t>
  </si>
  <si>
    <t>2025-05-07 02:33:00,1263048899.13772,0,0,0,0,0,0,0</t>
  </si>
  <si>
    <t>2025-05-07 02:33:00,1484072583.14817,0,0,0,0,0,0,0</t>
  </si>
  <si>
    <t>2025-05-07 02:33:00,2569388.57976786,-218925.603500784,-1327.78333333333,-50,-20106.1886666666,-704.16,0.129396032923482,-11.09</t>
  </si>
  <si>
    <t>2025-05-07 02:33:00,28728040.2959659,0,0,0,0,0,0,0</t>
  </si>
  <si>
    <t>2025-05-07 02:34:00,575,,,,575,,,,,,,,,562,557</t>
  </si>
  <si>
    <t>2025-05-07 02:34:00,490,,,,470,,,,,,,,,478,482</t>
  </si>
  <si>
    <t>2025-05-07 02:34:00,5800,,5700,,,5700,5660,,,,,5700,5500,5610,5700</t>
  </si>
  <si>
    <t>2025-05-07 02:34:00,19475,,,,19475,,,,,,,,,19500,19400</t>
  </si>
  <si>
    <t>2025-05-07 02:34:00,1292887058.85124,0,0,0,0,0,0,0</t>
  </si>
  <si>
    <t>2025-05-07 02:34:00,1492348121.91349,0,0,0,0,0,0,0</t>
  </si>
  <si>
    <t>2025-05-07 02:34:00,2432318.53820375,-237521.625084318,-81.45,-4,-473.0055,-21.59,-0.00694105643768293,-0.67</t>
  </si>
  <si>
    <t>2025-05-07 02:34:00,28749513.1953054,0,0,0,0,0,0,0</t>
  </si>
  <si>
    <t>2025-05-07 02:35:00,575,,,,575,,,,,,,,,562,557</t>
  </si>
  <si>
    <t>2025-05-07 02:35:00,490,,,,470,,,,,,,,,478,482</t>
  </si>
  <si>
    <t>2025-05-07 02:35:00,5800,,5700,,,5700,5660,,,,,5700,5500,5610,5700</t>
  </si>
  <si>
    <t>2025-05-07 02:35:00,19475,,,,19475,,,,,,,,,19500,19400</t>
  </si>
  <si>
    <t>2025-05-07 02:35:00,1275902496.56349,0,0,0,0,0,0,0</t>
  </si>
  <si>
    <t>2025-05-07 02:35:00,1489267761.78817,0,0,0,0,0,0,0</t>
  </si>
  <si>
    <t>2025-05-07 02:35:00,2518589.70317723,-225518.860898153,-316.883333333333,-8,-6395.45733333332,-156.53,0.0118368347260204,-2.54</t>
  </si>
  <si>
    <t>2025-05-07 02:35:00,28737119.2032568,0,0,0,0,0,0,0</t>
  </si>
  <si>
    <t>2025-05-07 02:36:00,575,,,,575,,,,,,,,,562,557</t>
  </si>
  <si>
    <t>2025-05-07 02:36:00,490,,,,470,,,,,,,,,478,482</t>
  </si>
  <si>
    <t>2025-05-07 02:36:00,5800,,5700,,,5700,5660,,,,,5700,5500,5610,5700</t>
  </si>
  <si>
    <t>2025-05-07 02:36:00,19475,,,,19475,,,,,,,,,19500,19400</t>
  </si>
  <si>
    <t>2025-05-07 02:36:00,1273829190.75604,0,0,0,0,0,0,0</t>
  </si>
  <si>
    <t>2025-05-07 02:36:00,1487604565.76202,0,0,0,0,0,0,0</t>
  </si>
  <si>
    <t>2025-05-07 02:36:00,2522074.49411162,-225045.057401871,-362.333333333333,-12,-3795.68,-110.6,-0.0235951833612042,-3.2</t>
  </si>
  <si>
    <t>2025-05-07 02:36:00,28741957.5519248,0,0,0,0,0,0,0</t>
  </si>
  <si>
    <t>2025-05-07 02:37:00,575,,,,575,,,,,,,,,562,557</t>
  </si>
  <si>
    <t>2025-05-07 02:37:00,490,,,,470,,,,,,,,,478,482</t>
  </si>
  <si>
    <t>2025-05-07 02:37:00,5800,,5700,,,5700,5660,,,,,5700,5500,5610,5700</t>
  </si>
  <si>
    <t>2025-05-07 02:37:00,19475,,,,19475,,,,,,,,,19500,19400</t>
  </si>
  <si>
    <t>2025-05-07 02:37:00,1270654792.20171,0,0,0,0,0,0,0</t>
  </si>
  <si>
    <t>2025-05-07 02:37:00,1483922359.13163,0,0,0,0,0,0,0</t>
  </si>
  <si>
    <t>2025-05-07 02:37:00,2563977.33290077,-217565.397574292,-174.716666666667,-5,-7490.16400000005,-161.87,0.00600351327308273,-2.47</t>
  </si>
  <si>
    <t>2025-05-07 02:37:00,28741435.1759951,0,0,0,0,0,0,0</t>
  </si>
  <si>
    <t>2025-05-07 02:38:00,575,,,,575,,,,,,,,,562,557</t>
  </si>
  <si>
    <t>2025-05-07 02:38:00,490,,,,470,,,,,,,,,478,482</t>
  </si>
  <si>
    <t>2025-05-07 02:38:00,5800,,5700,,,5700,5660,,,,,5700,5500,5610,5700</t>
  </si>
  <si>
    <t>2025-05-07 02:38:00,19475,,,,19475,,,,,,,,,19500,19400</t>
  </si>
  <si>
    <t>2025-05-07 02:38:00,1226051380.22526,0,0,0,0,0,0,0</t>
  </si>
  <si>
    <t>2025-05-07 02:38:00,1456687544.33786,0,0,0,0,0,0,0</t>
  </si>
  <si>
    <t>2025-05-07 02:38:00,2577914.60369637,-258612.8323017,-1795.16666666667,-45,-44204.4000000002,-926.41,0.141553517896947,-16.92</t>
  </si>
  <si>
    <t>2025-05-07 02:38:00,28694357.1132537,0,0,0,0,0,0,0</t>
  </si>
  <si>
    <t>2025-05-07 02:39:00,575,,,,575,,,,,,,,,562,557</t>
  </si>
  <si>
    <t>2025-05-07 02:39:00,490,,,,470,,,,,,,,,478,482</t>
  </si>
  <si>
    <t>2025-05-07 02:39:00,5800,,5700,,,5700,5660,,,,,5700,5500,5610,5700</t>
  </si>
  <si>
    <t>2025-05-07 02:39:00,19475,,,,19475,,,,,,,,,19500,19400</t>
  </si>
  <si>
    <t>2025-05-07 02:39:00,1197698597.48147,0,0,0,0,0,0,0</t>
  </si>
  <si>
    <t>2025-05-07 02:39:00,1454479307.86756,0,0,0,0,0,0,0</t>
  </si>
  <si>
    <t>2025-05-07 02:39:00,2710601.24818018,-245085.771301552,-118.616666666667,-8,-588.857166666668,-27.74,-0.00853937721621641,-0.81</t>
  </si>
  <si>
    <t>2025-05-07 02:39:00,28690470.4836421,0,0,0,0,0,0,0</t>
  </si>
  <si>
    <t>2025-05-07 02:40:00,575,,,,575,,,,,,,,,562,557</t>
  </si>
  <si>
    <t>2025-05-07 02:40:00,490,,,,470,,,,,,,,,478,482</t>
  </si>
  <si>
    <t>2025-05-07 02:40:00,5800,,5700,,,5700,5660,,,,,5700,5500,5610,5700</t>
  </si>
  <si>
    <t>2025-05-07 02:40:00,19475,,,,19475,,,,,,,,,19500,19400</t>
  </si>
  <si>
    <t>2025-05-07 02:40:00,1197909328.34897,0,0,0,0,0,0,0</t>
  </si>
  <si>
    <t>2025-05-07 02:40:00,1439151517.43411,0,0,0,0,0,0,0</t>
  </si>
  <si>
    <t>2025-05-07 02:40:00,2761088.87080962,-245590.200235782,-47.4999999999998,-1,-930.999999999995,-19.6,0.00441076995031144,-0.3</t>
  </si>
  <si>
    <t>2025-05-07 02:40:00,28662155.270378,0,0,0,0,0,0,0</t>
  </si>
  <si>
    <t>2025-05-07 02:41:00,575,,,,575,,,,,,,,,562,557</t>
  </si>
  <si>
    <t>2025-05-07 02:41:00,490,,,,470,,,,,,,,,478,482</t>
  </si>
  <si>
    <t>2025-05-07 02:41:00,5800,,5700,,,5700,5660,,,,,5700,5500,5610,5700</t>
  </si>
  <si>
    <t>2025-05-07 02:41:00,19475,,,,19475,,,,,,,,,19500,19400</t>
  </si>
  <si>
    <t>2025-05-07 02:41:00,1190855714.68906,0,0,0,0,0,0,0</t>
  </si>
  <si>
    <t>2025-05-07 02:41:00,1437734675.54645,0,0,0,0,0,0,0</t>
  </si>
  <si>
    <t>2025-05-07 02:41:00,2706527.65542627,-252357.553065736,-57.0000000000005,-1,-2462.40000000002,-43.2,0.0113143676285084,-0.78</t>
  </si>
  <si>
    <t>2025-05-07 02:41:00,28664528.9032624,0,0,0,0,0,0,0</t>
  </si>
  <si>
    <t>2025-05-07 02:42:00,575,,,,575,,,,,,,,,562,557</t>
  </si>
  <si>
    <t>2025-05-07 02:42:00,490,,,,470,,,,,,,,,478,482</t>
  </si>
  <si>
    <t>2025-05-07 02:42:00,5800,,5700,,,5700,5660,,,,,5700,5500,5610,5700</t>
  </si>
  <si>
    <t>2025-05-07 02:42:00,19475,,,,19475,,,,,,,,,19500,19400</t>
  </si>
  <si>
    <t>2025-05-07 02:42:00,1156997936.05722,0,0,0,0,0,0,0</t>
  </si>
  <si>
    <t>2025-05-07 02:42:00,1427459224.01746,0,0,0,0,0,0,0</t>
  </si>
  <si>
    <t>2025-05-07 02:42:00,2823335.55581617,-230786.313953565,-254.499999999999,-11,-1746.48,-75.4,-0.0316440761172596,-2.66</t>
  </si>
  <si>
    <t>2025-05-07 02:42:00,28651198.3034956,0,0,0,0,0,0,0</t>
  </si>
  <si>
    <t>2025-05-07 02:43:00,575,,,,575,,,,,,,,,562,557</t>
  </si>
  <si>
    <t>2025-05-07 02:43:00,490,,,,470,,,,,,,,,478,482</t>
  </si>
  <si>
    <t>2025-05-07 02:43:00,5800,,5700,,,5700,5660,,,,,5700,5500,5610,5700</t>
  </si>
  <si>
    <t>2025-05-07 02:43:00,19475,,,,19475,,,,,,,,,19500,19400</t>
  </si>
  <si>
    <t>2025-05-07 02:43:00,1166751489.62499,0,0,0,0,0,0,0</t>
  </si>
  <si>
    <t>2025-05-07 02:43:00,1429818583.78813,0,0,0,0,0,0,0</t>
  </si>
  <si>
    <t>2025-05-07 02:43:00,2733430.71608146,-247596.750553346,-68.5333333333333,-3,-500.949333333333,-22.03,0.00616744704740565,-0.31</t>
  </si>
  <si>
    <t>2025-05-07 02:43:00,28648027.4555556,0,0,0,0,0,0,0</t>
  </si>
  <si>
    <t>2025-05-07 02:44:00,575,,,,575,,,,,,,,,562,557</t>
  </si>
  <si>
    <t>2025-05-07 02:44:00,490,,,,470,,,,,,,,,478,482</t>
  </si>
  <si>
    <t>2025-05-07 02:44:00,5800,,5700,,,5700,5660,,,,,5700,5500,5610,5700</t>
  </si>
  <si>
    <t>2025-05-07 02:44:00,19475,,,,19475,,,,,,,,,19500,19400</t>
  </si>
  <si>
    <t>2025-05-07 02:44:00,1198705452.80173,0,0,0,0,0,0,0</t>
  </si>
  <si>
    <t>2025-05-07 02:44:00,1447861117.03429,0,0,0,0,0,0,0</t>
  </si>
  <si>
    <t>2025-05-07 02:44:00,2674222.83509639,-256020.255720925,-222.783333333334,-6,-6855.47716666673,-120.89,0.0187140029400142,-2.32</t>
  </si>
  <si>
    <t>2025-05-07 02:44:00,28689075.4587834,0,0,0,0,0,0,0</t>
  </si>
  <si>
    <t>2025-05-07 02:45:00,575,,,,575,,,,,,,,,562,557</t>
  </si>
  <si>
    <t>2025-05-07 02:45:00,490,,,,470,,,,,,,,,478,482</t>
  </si>
  <si>
    <t>2025-05-07 02:45:00,5800,,5700,,,5700,5660,,,,,5700,5500,5610,5700</t>
  </si>
  <si>
    <t>2025-05-07 02:45:00,19475,,,,19475,,,,,,,,,19500,19400</t>
  </si>
  <si>
    <t>2025-05-07 02:45:00,1237430204.16544,0,0,0,0,0,0,0</t>
  </si>
  <si>
    <t>2025-05-07 02:45:00,1478164087.45065,0,0,0,0,0,0,0</t>
  </si>
  <si>
    <t>2025-05-07 02:45:00,2474608.19699375,-266267.076344142,-156.9,-6,-1844.015,-47.89,-0.0163143489206044,-1.33</t>
  </si>
  <si>
    <t>2025-05-07 02:45:00,28722858.8938893,0,0,0,0,0,0,0</t>
  </si>
  <si>
    <t>2025-05-07 02:46:00,575,,,,575,,,,,,,,,562,557</t>
  </si>
  <si>
    <t>2025-05-07 02:46:00,490,,,,470,,,,,,,,,478,482</t>
  </si>
  <si>
    <t>2025-05-07 02:46:00,5800,,5700,,,5700,5660,,,,,5700,5500,5610,5700</t>
  </si>
  <si>
    <t>2025-05-07 02:46:00,19475,,,,19475,,,,,,,,,19500,19400</t>
  </si>
  <si>
    <t>2025-05-07 02:46:00,1265426678.14947,0,0,0,0,0,0,0</t>
  </si>
  <si>
    <t>2025-05-07 02:46:00,1473217857.92139,0,0,0,0,0,0,0</t>
  </si>
  <si>
    <t>2025-05-07 02:46:00,2413225.84282586,-276581.134535643,-215.666666666666,-5,-7341.89566666665,-120.41,0.00834115480031212,-2.51</t>
  </si>
  <si>
    <t>2025-05-07 02:46:00,28736973.899765,0,0,0,0,0,0,0</t>
  </si>
  <si>
    <t>2025-05-07 02:47:00,575,,,,575,,,,,,,,,562,557</t>
  </si>
  <si>
    <t>2025-05-07 02:47:00,490,,,,470,,,,,,,,,478,482</t>
  </si>
  <si>
    <t>2025-05-07 02:47:00,5800,,5700,,,5700,5660,,,,,5700,5500,5610,5700</t>
  </si>
  <si>
    <t>2025-05-07 02:47:00,19475,,,,19475,,,,,,,,,19500,19400</t>
  </si>
  <si>
    <t>2025-05-07 02:47:00,1258264546.91519,0,0,0,0,0,0,0</t>
  </si>
  <si>
    <t>2025-05-07 02:47:00,1477774586.09939,0,0,0,0,0,0,0</t>
  </si>
  <si>
    <t>2025-05-07 02:47:00,2427226.4548609,-273749.285236755,-53.4250000000002,-1,-3022.25225000001,-56.57,0.0059725200109688,-1</t>
  </si>
  <si>
    <t>2025-05-07 02:47:00,28729476.7349,0,0,0,0,0,0,0</t>
  </si>
  <si>
    <t>2025-05-07 02:48:00,575,,,,575,,,,,,,,,562,557</t>
  </si>
  <si>
    <t>2025-05-07 02:48:00,490,,,,470,,,,,,,,,478,482</t>
  </si>
  <si>
    <t>2025-05-07 02:48:00,5800,,5700,,,5700,5660,,,,,5700,5500,5610,5700</t>
  </si>
  <si>
    <t>2025-05-07 02:48:00,19475,,,,19475,,,,,,,,,19500,19400</t>
  </si>
  <si>
    <t>2025-05-07 02:48:00,1235069607.34314,0,0,0,0,0,0,0</t>
  </si>
  <si>
    <t>2025-05-07 02:48:00,1476613614.36052,0,0,0,0,0,0,0</t>
  </si>
  <si>
    <t>2025-05-07 02:48:00,2389382.62266343,-278852.529719749,-390.319999999998,-11,-12736.8017333332,-284.84,0.00635864806649425,-4.59</t>
  </si>
  <si>
    <t>2025-05-07 02:48:00,28731664.0836582,0,0,0,0,0,0,0</t>
  </si>
  <si>
    <t>2025-05-07 02:49:00,575,,,,575,,,,,,,,,562,557</t>
  </si>
  <si>
    <t>2025-05-07 02:49:00,490,,,,470,,,,,,,,,478,482</t>
  </si>
  <si>
    <t>2025-05-07 02:49:00,5800,,5700,,,5700,5660,,,,,5700,5500,5610,5700</t>
  </si>
  <si>
    <t>2025-05-07 02:49:00,19475,,,,19475,,,,,,,,,19500,19400</t>
  </si>
  <si>
    <t>2025-05-07 02:49:00,1251834055.35533,0,0,0,0,0,0,0</t>
  </si>
  <si>
    <t>2025-05-07 02:49:00,1470980161.51534,0,0,0,0,0,0,0</t>
  </si>
  <si>
    <t>2025-05-07 02:49:00,2422468.02213684,-274980.66567357,-4,-1,-2.2,-0.55,-0.00187191612703698,-0.04</t>
  </si>
  <si>
    <t>2025-05-07 02:49:00,28735239.0610955,0,0,0,0,0,0,0</t>
  </si>
  <si>
    <t>2025-05-07 02:50:00,575,,,,575,,,,,,,,,562,557</t>
  </si>
  <si>
    <t>2025-05-07 02:50:00,490,,,,470,,,,,,,,,478,482</t>
  </si>
  <si>
    <t>2025-05-07 02:50:00,5800,,5700,,,5700,5660,,,,,5700,5500,5610,5700</t>
  </si>
  <si>
    <t>2025-05-07 02:50:00,19475,,,,19475,,,,,,,,,19500,19400</t>
  </si>
  <si>
    <t>2025-05-07 02:50:00,1261574679.32396,0,0,0,0,0,0,0</t>
  </si>
  <si>
    <t>2025-05-07 02:50:00,1477634030.31158,0,0,0,0,0,0,0</t>
  </si>
  <si>
    <t>2025-05-07 02:50:00,2394240.83037078,-281042.447980988,-97.0000000000009,-3,-1757.15000000002,-36.95,-0.0072965893577198,-0.86</t>
  </si>
  <si>
    <t>2025-05-07 02:50:00,28733926.2187381,0,0,0,0,0,0,0</t>
  </si>
  <si>
    <t>2025-05-07 02:51:00,575,,,,575,,,,,,,,,562,557</t>
  </si>
  <si>
    <t>2025-05-07 02:51:00,490,,,,470,,,,,,,,,478,482</t>
  </si>
  <si>
    <t>2025-05-07 02:51:00,5800,,5700,,,5700,5660,,,,,5700,5500,5610,5700</t>
  </si>
  <si>
    <t>2025-05-07 02:51:00,19475,,,,19475,,,,,,,,,19500,19400</t>
  </si>
  <si>
    <t>2025-05-07 02:51:00,1294614539.37407,0,0,0,0,0,0,0</t>
  </si>
  <si>
    <t>2025-05-07 02:51:00,1501811884.24107,0,0,0,0,0,0,0</t>
  </si>
  <si>
    <t>2025-05-07 02:51:00,2520248.20624347,-291066.839409086,-440.600000000002,-14,-7639.68100000006,-142.19,-0.0092479194084268,-2.88</t>
  </si>
  <si>
    <t>2025-05-07 02:51:00,28793493.5418938,0,0,0,0,0,0,0</t>
  </si>
  <si>
    <t>2025-05-07 02:52:00,575,,,,575,,,,,,,,,562,557</t>
  </si>
  <si>
    <t>2025-05-07 02:52:00,490,,,,470,,,,,,,,,478,482</t>
  </si>
  <si>
    <t>2025-05-07 02:52:00,5800,,,5630,,5700,5660,,,,,5700,5500,5610,5700</t>
  </si>
  <si>
    <t>2025-05-07 02:52:00,19475,,,,19475,,,,,,,,,19500,19400</t>
  </si>
  <si>
    <t>2025-05-07 02:52:00,1344244097.03033,0,0,0,0,0,0,0</t>
  </si>
  <si>
    <t>2025-05-07 02:52:00,1527967111.70457,0,0,0,0,0,0,0</t>
  </si>
  <si>
    <t>2025-05-07 02:52:00,2156673.33684381,-720164.74891734,-7067.03333333332,-119,-283635.246666666,-4480.25,1.53390076957062,-91.27</t>
  </si>
  <si>
    <t>2025-05-07 02:52:00,28840122.3473378,0,0,0,0,0,0,0</t>
  </si>
  <si>
    <t>2025-05-07 02:53:00,575,,,,575,,,,,,,,,562,557</t>
  </si>
  <si>
    <t>2025-05-07 02:53:00,490,,,,470,,,,,,,,,478,482</t>
  </si>
  <si>
    <t>2025-05-07 02:53:00,5800,,,5630,,5700,5660,,,,,5700,5500,5610,5700</t>
  </si>
  <si>
    <t>2025-05-07 02:53:00,19475,,,,19475,,,,,,,,,19500,19400</t>
  </si>
  <si>
    <t>2025-05-07 02:53:00,1338239681.4287,0,0,0,0,0,0,0</t>
  </si>
  <si>
    <t>2025-05-07 02:53:00,1516382952.16307,0,0,0,0,0,0,0</t>
  </si>
  <si>
    <t>2025-05-07 02:53:00,2308308.81838234,-700581.587674677,-1023.93333333333,-31,-12054.6873333333,-296.88,-0.0557753021641354,-7.5</t>
  </si>
  <si>
    <t>2025-05-07 02:53:00,28831438.9737782,0,0,0,0,0,0,0</t>
  </si>
  <si>
    <t>2025-05-07 02:55:00,575,,,,575,,,,,,,,,562,557</t>
  </si>
  <si>
    <t>2025-05-07 02:55:00,490,,,,470,,,,,,,,,478,482</t>
  </si>
  <si>
    <t>2025-05-07 02:55:00,5800,,,5630,,5700,5660,,,,,5700,5500,5610,5700</t>
  </si>
  <si>
    <t>2025-05-07 02:55:00,19475,,,,19475,,,,,,,,,19500,19400</t>
  </si>
  <si>
    <t>2025-05-07 02:55:00,1330544031.25775,0,0,0,0,0,0,0</t>
  </si>
  <si>
    <t>2025-05-07 02:55:00,1508938262.88134,0,0,0,0,0,0,0</t>
  </si>
  <si>
    <t>2025-05-07 02:55:00,2335411.53456971,-664850.805711519,-694.150000000002,-13,-7671.06450000003,-135.16,-0.035061841292628,-3.87</t>
  </si>
  <si>
    <t>2025-05-07 02:55:00,28821658.7022498,0,0,0,0,0,0,0</t>
  </si>
  <si>
    <t>2025-05-07 05:43:00,,,,,,555,,,,,,,,562,557</t>
  </si>
  <si>
    <t>2025-05-07 05:43:00,490,,,,470,,,,,,,,,478,482</t>
  </si>
  <si>
    <t>2025-05-07 05:43:00,5800,,5700,,,5800,5660,,,,,5700,5500,5610,5650</t>
  </si>
  <si>
    <t>2025-05-07 05:43:00,,,,,19475,,,,,,,,,19500,19400</t>
  </si>
  <si>
    <t>2025-05-07 05:43:00,2097400555.43762,0,0,0,0,0,0,0</t>
  </si>
  <si>
    <t>2025-05-07 05:43:00,1865927434.66534,0,0,0,0,0,0,0</t>
  </si>
  <si>
    <t>2025-05-07 05:43:00,-1935590.85661235,138944.404142809,-137726.5,-3840,-2831265.01166667,-52088.6,-1.22140890899284,-1191.52</t>
  </si>
  <si>
    <t>2025-05-07 05:43:00,19698604.1931713,0,0,0,0,0,0,0</t>
  </si>
  <si>
    <t>2025-05-07 06:19:00,,,,,575,,,,,,,,,FALSO,FALSO</t>
  </si>
  <si>
    <t>2025-05-07 06:19:00,490,,,,470,,,,,,,,,FALSO,FALSO</t>
  </si>
  <si>
    <t>2025-05-07 06:19:00,5800,,5700,,,5800,5640,,,,,5700,5500,5830,5550</t>
  </si>
  <si>
    <t>2025-05-07 06:19:00,,,,,19475,,,,,,,,,FALSO,FALSO</t>
  </si>
  <si>
    <t>2025-05-07 06:19:00,2351353235.37201,0,0,0,0,0,0,0</t>
  </si>
  <si>
    <t>2025-05-07 06:19:00,2004786408.50488,0,0,0,0,0,0,0</t>
  </si>
  <si>
    <t>2025-05-07 06:19:00,-1400794.53004716,-47552.6866377987,-49317.9291666667,-1061,-889194.924791665,-14043.05,1.17329817094525,-252.56</t>
  </si>
  <si>
    <t>2025-05-07 06:19:00,20735117.495381,0,0,0,0,0,0,0</t>
  </si>
  <si>
    <t>2025-05-07 06:20:00,,,,,575,,,,,,,,,FALSO,FALSO</t>
  </si>
  <si>
    <t>2025-05-07 06:20:00,490,,,,470,,,,,,,,,FALSO,FALSO</t>
  </si>
  <si>
    <t>2025-05-07 06:20:00,5800,,5700,,,5800,5640,,,,,5700,5500,5830,5550</t>
  </si>
  <si>
    <t>2025-05-07 06:20:00,,,,,19475,,,,,,,,,FALSO,FALSO</t>
  </si>
  <si>
    <t>2025-05-07 06:20:00,2364947230.37391,0,0,0,0,0,0,0</t>
  </si>
  <si>
    <t>2025-05-07 06:20:00,2018621041.01754,0,0,0,0,0,0,0</t>
  </si>
  <si>
    <t>2025-05-07 06:20:00,-1510069.29731907,-54192.0280926483,-1302.56666666667,-19,-20771.6026666667,-254.54,0.0251310268622164,-4.29</t>
  </si>
  <si>
    <t>2025-05-07 06:20:00,20808254.5842537,0,0,0,0,0,0,0</t>
  </si>
  <si>
    <t>2025-05-07 06:21:00,,,,,558,,,,,,,,,FALSO,FALSO</t>
  </si>
  <si>
    <t>2025-05-07 06:21:00,490,,,,470,,,,,,,,,FALSO,FALSO</t>
  </si>
  <si>
    <t>2025-05-07 06:21:00,5800,,5700,,,5800,5640,,,,,5700,5500,5830,5550</t>
  </si>
  <si>
    <t>2025-05-07 06:21:00,,,,,19475,,,,,,,,,FALSO,FALSO</t>
  </si>
  <si>
    <t>2025-05-07 06:21:00,2417683855.15354,0,0,0,0,0,0,0</t>
  </si>
  <si>
    <t>2025-05-07 06:21:00,2070532642.33929,0,0,0,0,0,0,0</t>
  </si>
  <si>
    <t>2025-05-07 06:21:00,-1443378.25979143,-35651.4088813801,-1752.51666666665,-23,-106817.163499999,-768.81,0.0575676521871761,-11.74</t>
  </si>
  <si>
    <t>2025-05-07 06:21:00,20978191.7553173,0,0,0,0,0,0,0</t>
  </si>
  <si>
    <t>2025-05-07 06:22:00,,,,,558,,,,,,,,,FALSO,FALSO</t>
  </si>
  <si>
    <t>2025-05-07 06:22:00,490,,,,470,,,,,,,,,FALSO,FALSO</t>
  </si>
  <si>
    <t>2025-05-07 06:22:00,5800,,5700,,,5800,5640,,,,,5700,5500,5830,5550</t>
  </si>
  <si>
    <t>2025-05-07 06:22:00,,,,,19475,,,,,,,,,FALSO,FALSO</t>
  </si>
  <si>
    <t>2025-05-07 06:22:00,2336975366.60781,0,0,0,0,0,0,0</t>
  </si>
  <si>
    <t>2025-05-07 06:22:00,2015378182.26917,0,0,0,0,0,0,0</t>
  </si>
  <si>
    <t>2025-05-07 06:22:00,-1638062.64586427,-81048.5187244585,-287.166666666665,-8,-4733.84999999994,-73.05,-0.00801387942037874,-1.35</t>
  </si>
  <si>
    <t>2025-05-07 06:22:00,20780399.4798778,0,0,0,0,0,0,0</t>
  </si>
  <si>
    <t>2025-05-07 06:23:00,,,,,575,,,,,,,,,FALSO,FALSO</t>
  </si>
  <si>
    <t>2025-05-07 06:23:00,490,,,,470,,,,,,,,,FALSO,FALSO</t>
  </si>
  <si>
    <t>2025-05-07 06:23:00,5800,,5700,,,5800,5640,,,,,5700,5500,5830,5550</t>
  </si>
  <si>
    <t>2025-05-07 06:23:00,,,,,19475,,,,,,,,,FALSO,FALSO</t>
  </si>
  <si>
    <t>2025-05-07 06:23:00,2344052834.32669,0,0,0,0,0,0,0</t>
  </si>
  <si>
    <t>2025-05-07 06:23:00,2046138913.75432,0,0,0,0,0,0,0</t>
  </si>
  <si>
    <t>2025-05-07 06:23:00,-1508582.77561384,-60598.1796261596,-150.65,-14,-1291.5905,-29.92,-0.024363472383902,-0.9</t>
  </si>
  <si>
    <t>2025-05-07 06:23:00,20811190.0372721,0,0,0,0,0,0,0</t>
  </si>
  <si>
    <t>2025-05-07 06:24:00,,,,,558,,,,,,,,,FALSO,FALSO</t>
  </si>
  <si>
    <t>2025-05-07 06:24:00,490,,,,470,,,,,,,,,FALSO,FALSO</t>
  </si>
  <si>
    <t>2025-05-07 06:24:00,5800,,5700,,,5800,5640,,,,,5700,5500,5830,5550</t>
  </si>
  <si>
    <t>2025-05-07 06:24:00,,,,,19475,,,,,,,,,FALSO,FALSO</t>
  </si>
  <si>
    <t>2025-05-07 06:24:00,2434681272.28776,0,0,0,0,0,0,0</t>
  </si>
  <si>
    <t>2025-05-07 06:24:00,2094283973.01075,0,0,0,0,0,0,0</t>
  </si>
  <si>
    <t>2025-05-07 06:24:00,-1352704.48041244,-9216.0892446964,-89.9,-4,-644.590999999999,-11.89,-0.00500593368058122,-0.26</t>
  </si>
  <si>
    <t>2025-05-07 06:24:00,21090112.6452282,0,0,0,0,0,0,0</t>
  </si>
  <si>
    <t>2025-05-07 06:25:00,,,,,575,,,,,,,,,FALSO,FALSO</t>
  </si>
  <si>
    <t>2025-05-07 06:25:00,490,,,,470,,,,,,,,,FALSO,FALSO</t>
  </si>
  <si>
    <t>2025-05-07 06:25:00,5800,,5700,,,5800,5640,,,,,5700,5500,5830,5570</t>
  </si>
  <si>
    <t>2025-05-07 06:25:00,,,,,19475,,,,,,,,,FALSO,FALSO</t>
  </si>
  <si>
    <t>2025-05-07 06:25:00,2303117969.95296,0,0,0,0,0,0,0</t>
  </si>
  <si>
    <t>2025-05-07 06:25:00,2004539575.51737,0,0,0,0,0,0,0</t>
  </si>
  <si>
    <t>2025-05-07 06:25:00,-1682672.1105404,-806195.078486177,-49713.2333333333,-1033,-757504.425333333,-15420.45,3.01737208865643,-206.85</t>
  </si>
  <si>
    <t>2025-05-07 06:25:00,20692733.8211893,0,0,0,0,0,0,0</t>
  </si>
  <si>
    <t>2025-05-07 06:26:00,,,,,575,,,,,,,,,FALSO,FALSO</t>
  </si>
  <si>
    <t>2025-05-07 06:26:00,490,,,,470,,,,,,,,,FALSO,FALSO</t>
  </si>
  <si>
    <t>2025-05-07 06:26:00,5800,,5700,,,5800,5640,,,,,5700,5500,5830,5570</t>
  </si>
  <si>
    <t>2025-05-07 06:26:00,,,,,19475,,,,,,,,,FALSO,FALSO</t>
  </si>
  <si>
    <t>2025-05-07 06:26:00,2260716747.6275,0,0,0,0,0,0,0</t>
  </si>
  <si>
    <t>2025-05-07 06:26:00,1976949883.86052,0,0,0,0,0,0,0</t>
  </si>
  <si>
    <t>2025-05-07 06:26:00,-2204418.525457,-855613.016823198,-691.400000000002,-16,-9581.33100000003,-195.79,0.03622294893776,-2.62</t>
  </si>
  <si>
    <t>2025-05-07 06:26:00,20539453.6735056,0,0,0,0,0,0,0</t>
  </si>
  <si>
    <t>2025-05-07 06:27:00,,,,,,555,,,,,,,,FALSO,FALSO</t>
  </si>
  <si>
    <t>2025-05-07 06:27:00,490,,,,470,,,,,,,,,FALSO,FALSO</t>
  </si>
  <si>
    <t>2025-05-07 06:27:00,5800,,5700,,,5800,5640,,,,,5700,5500,5830,5570</t>
  </si>
  <si>
    <t>2025-05-07 06:27:00,,,,,19475,,,,,,,,,FALSO,FALSO</t>
  </si>
  <si>
    <t>2025-05-07 06:27:00,2047771617.4762,0,0,0,0,0,0,0</t>
  </si>
  <si>
    <t>2025-05-07 06:27:00,1938487085.60433,0,0,0,0,0,0,0</t>
  </si>
  <si>
    <t>2025-05-07 06:27:00,-2216703.71787961,-999804.852463415,-2457.03333333332,-39,-88397.8086666661,-1058.65,0.154952315649489,-21.52</t>
  </si>
  <si>
    <t>2025-05-07 06:27:00,20182731.7051281,0,0,0,0,0,0,0</t>
  </si>
  <si>
    <t>2025-05-07 06:28:00,,,,,,555,,,,,,,,FALSO,FALSO</t>
  </si>
  <si>
    <t>2025-05-07 06:28:00,490,,,,470,,,,,,,,,FALSO,FALSO</t>
  </si>
  <si>
    <t>2025-05-07 06:28:00,5800,,5700,,,5800,5640,,,,,5700,5500,5830,5570</t>
  </si>
  <si>
    <t>2025-05-07 06:28:00,,,,,19475,,,,,,,,,FALSO,FALSO</t>
  </si>
  <si>
    <t>2025-05-07 06:28:00,2161112966.76353,0,0,0,0,0,0,0</t>
  </si>
  <si>
    <t>2025-05-07 06:28:00,1935383824.19288,0,0,0,0,0,0,0</t>
  </si>
  <si>
    <t>2025-05-07 06:28:00,-2189465.76140799,-994177.506487165,-1058.95,-30,-16299.5665,-319.29,0.0511641594934561,-4.85</t>
  </si>
  <si>
    <t>2025-05-07 06:28:00,20077714.4948352,0,0,0,0,0,0,0</t>
  </si>
  <si>
    <t>2025-05-07 06:29:00,,,,,,555,,,,,,,,FALSO,FALSO</t>
  </si>
  <si>
    <t>2025-05-07 06:29:00,490,,,,470,,,,,,,,,FALSO,FALSO</t>
  </si>
  <si>
    <t>2025-05-07 06:29:00,5800,,5700,,,5800,5640,,,,,5700,5500,5830,5570</t>
  </si>
  <si>
    <t>2025-05-07 06:29:00,,,,,19475,,,,,,,,,FALSO,FALSO</t>
  </si>
  <si>
    <t>2025-05-07 06:29:00,2041076106.42088,0,0,0,0,0,0,0</t>
  </si>
  <si>
    <t>2025-05-07 06:29:00,1911156787.70346,0,0,0,0,0,0,0</t>
  </si>
  <si>
    <t>2025-05-07 06:29:00,-2345820.7866339,-1019849.80374795,-596.166666666669,-9,-10727.2583333334,-120.55,0.00878896423003631,-2.17</t>
  </si>
  <si>
    <t>2025-05-07 06:29:00,20051593.1564112,0,0,0,0,0,0,0</t>
  </si>
  <si>
    <t>2025-05-07 06:30:00,,,,,,555,,,,,,,,FALSO,FALSO</t>
  </si>
  <si>
    <t>2025-05-07 06:30:00,490,,,,470,,,,,,,,,FALSO,FALSO</t>
  </si>
  <si>
    <t>2025-05-07 06:30:00,5800,,5700,,,5800,5640,,,,,5700,5500,5830,5570</t>
  </si>
  <si>
    <t>2025-05-07 06:30:00,,,,,19475,,,,,,,,,FALSO,FALSO</t>
  </si>
  <si>
    <t>2025-05-07 06:30:00,2160978170.41659,0,0,0,0,0,0,0</t>
  </si>
  <si>
    <t>2025-05-07 06:30:00,1932422184.35284,0,0,0,0,0,0,0</t>
  </si>
  <si>
    <t>2025-05-07 06:30:00,-2014610.25187044,-950019.054121925,-450.833333333332,-16,-4332.97333333332,-124.1,-0.0476591671740052,-3.86</t>
  </si>
  <si>
    <t>2025-05-07 06:30:00,20136554.6028401,0,0,0,0,0,0,0</t>
  </si>
  <si>
    <t>2025-05-07 06:31:00,,,,,,555,,,,,,,,FALSO,FALSO</t>
  </si>
  <si>
    <t>2025-05-07 06:31:00,490,,,,470,,,,,,,,,FALSO,FALSO</t>
  </si>
  <si>
    <t>2025-05-07 06:31:00,5800,,5700,,,5800,5640,,,,,5700,5500,5830,5570</t>
  </si>
  <si>
    <t>2025-05-07 06:31:00,,,,,19475,,,,,,,,,FALSO,FALSO</t>
  </si>
  <si>
    <t>2025-05-07 06:31:00,2054342083.57881,0,0,0,0,0,0,0</t>
  </si>
  <si>
    <t>2025-05-07 06:31:00,1914261343.83509,0,0,0,0,0,0,0</t>
  </si>
  <si>
    <t>2025-05-07 06:31:00,-2203819.04482922,-1016214.20340211,-1896.4,-29,-80618.4630000002,-933.45,0.106271416549063,-15.02</t>
  </si>
  <si>
    <t>2025-05-07 06:31:00,20060271.4340431,0,0,0,0,0,0,0</t>
  </si>
  <si>
    <t>2025-05-07 06:32:00,,,,,,555,,,,,,,,FALSO,FALSO</t>
  </si>
  <si>
    <t>2025-05-07 06:32:00,490,,,,470,,,,,,,,,FALSO,FALSO</t>
  </si>
  <si>
    <t>2025-05-07 06:32:00,5800,,5700,,,5800,5640,,,,,5700,5500,5830,5570</t>
  </si>
  <si>
    <t>2025-05-07 06:32:00,,,,,19475,,,,,,,,,FALSO,FALSO</t>
  </si>
  <si>
    <t>2025-05-07 06:32:00,2060732794.49783,0,0,0,0,0,0,0</t>
  </si>
  <si>
    <t>2025-05-07 06:32:00,1923219537.58379,0,0,0,0,0,0,0</t>
  </si>
  <si>
    <t>2025-05-07 06:32:00,-2215843.72967918,-1031783.71175099,-1324.75,-27,-34908.8865000001,-447.89,0.0563403757615818,-8.51</t>
  </si>
  <si>
    <t>2025-05-07 06:32:00,20103318.8616392,0,0,0,0,0,0,0</t>
  </si>
  <si>
    <t>2025-05-07 06:33:00,,,,,575,,,,,,,,,FALSO,FALSO</t>
  </si>
  <si>
    <t>2025-05-07 06:33:00,490,,,,470,,,,,,,,,FALSO,FALSO</t>
  </si>
  <si>
    <t>2025-05-07 06:33:00,5800,,5700,,,5800,5640,,,,,5700,5500,5830,5570</t>
  </si>
  <si>
    <t>2025-05-07 06:33:00,,,,,19475,,,,,,,,,FALSO,FALSO</t>
  </si>
  <si>
    <t>2025-05-07 06:33:00,2220657889.14369,0,0,0,0,0,0,0</t>
  </si>
  <si>
    <t>2025-05-07 06:33:00,1947286893.88757,0,0,0,0,0,0,0</t>
  </si>
  <si>
    <t>2025-05-07 06:33:00,-2202282.51392022,-976719.461618291,-486.999999999998,-7,-14084.0099999999,-167.65,0.0292637854625406,-2.96</t>
  </si>
  <si>
    <t>2025-05-07 06:33:00,20326082.5966064,0,0,0,0,0,0,0</t>
  </si>
  <si>
    <t>2025-05-07 06:34:00,,,,,,555,,,,,,,,FALSO,FALSO</t>
  </si>
  <si>
    <t>2025-05-07 06:34:00,490,,,,470,,,,,,,,,FALSO,FALSO</t>
  </si>
  <si>
    <t>2025-05-07 06:34:00,5800,,5700,,,5800,5640,,,,,5700,5500,5830,5560</t>
  </si>
  <si>
    <t>2025-05-07 06:34:00,,,,,19475,,,,,,,,,FALSO,FALSO</t>
  </si>
  <si>
    <t>2025-05-07 06:34:00,2160951988.25005,0,0,0,0,0,0,0</t>
  </si>
  <si>
    <t>2025-05-07 06:34:00,1940639163.43908,0,0,0,0,0,0,0</t>
  </si>
  <si>
    <t>2025-05-07 06:34:00,-2254758.92215249,-1020371.86172973,-617.199999999999,-61,-6622.10599999998,-140.04,-0.0722764635798316,-3.12</t>
  </si>
  <si>
    <t>2025-05-07 06:34:00,20168498.2979565,0,0,0,0,0,0,0</t>
  </si>
  <si>
    <t>2025-05-07 06:35:00,,,,,,555,,,,,,,,FALSO,FALSO</t>
  </si>
  <si>
    <t>2025-05-07 06:35:00,490,,,,470,,,,,,,,,FALSO,FALSO</t>
  </si>
  <si>
    <t>2025-05-07 06:35:00,5800,,5700,,,5800,5660,,,,,5700,5500,5830,5560</t>
  </si>
  <si>
    <t>2025-05-07 06:35:00,,,,,19475,,,,,,,,,FALSO,FALSO</t>
  </si>
  <si>
    <t>2025-05-07 06:35:00,2173969347.04674,0,0,0,0,0,0,0</t>
  </si>
  <si>
    <t>2025-05-07 06:35:00,1929168442.62602,0,0,0,0,0,0,0</t>
  </si>
  <si>
    <t>2025-05-07 06:35:00,-2225723.04387894,-1044454.4898591,-3102.35000000001,-57,-142996.404500001,-1526.19,0.147163081573456,-28.46</t>
  </si>
  <si>
    <t>2025-05-07 06:35:00,20120762.034295,0,0,0,0,0,0,0</t>
  </si>
  <si>
    <t>2025-05-07 06:36:00,,,,,,555,,,,,,,,FALSO,FALSO</t>
  </si>
  <si>
    <t>2025-05-07 06:36:00,490,,,,470,,,,,,,,,FALSO,FALSO</t>
  </si>
  <si>
    <t>2025-05-07 06:36:00,5800,,5700,,,5800,5660,,,,,5700,5500,5830,5560</t>
  </si>
  <si>
    <t>2025-05-07 06:36:00,,,,,19475,,,,,,,,,FALSO,FALSO</t>
  </si>
  <si>
    <t>2025-05-07 06:36:00,2067080699.85603,0,0,0,0,0,0,0</t>
  </si>
  <si>
    <t>2025-05-07 06:36:00,1907583834.04645,0,0,0,0,0,0,0</t>
  </si>
  <si>
    <t>2025-05-07 06:36:00,-2225537.03906684,-1092910.69868121,-2544.4,-352,-5903.19766666666,-401.34,0.0699950549604321,-8.83</t>
  </si>
  <si>
    <t>2025-05-07 06:36:00,19975927.0993556,0,0,0,0,0,0,0</t>
  </si>
  <si>
    <t>2025-05-07 06:37:00,,,,,,555,,,,,,,,FALSO,FALSO</t>
  </si>
  <si>
    <t>2025-05-07 06:37:00,490,,,,470,,,,,,,,,FALSO,FALSO</t>
  </si>
  <si>
    <t>2025-05-07 06:37:00,5800,,5700,,,5800,5660,,,,,5700,5500,5830,5560</t>
  </si>
  <si>
    <t>2025-05-07 06:37:00,,,,,19475,,,,,,,,,FALSO,FALSO</t>
  </si>
  <si>
    <t>2025-05-07 06:37:00,1991597526.34604,0,0,0,0,0,0,0</t>
  </si>
  <si>
    <t>2025-05-07 06:37:00,1907565862.82981,0,0,0,0,0,0,0</t>
  </si>
  <si>
    <t>2025-05-07 06:37:00,-2296192.85179127,-1121535.61209417,-301.7,-6,-8217.90200000002,-88.65,0.0108760238873125,-1.51</t>
  </si>
  <si>
    <t>2025-05-07 06:37:00,19947213.9474856,0,0,0,0,0,0,0</t>
  </si>
  <si>
    <t>2025-05-07 06:38:00,,,,,,555,,,,,,,,FALSO,FALSO</t>
  </si>
  <si>
    <t>2025-05-07 06:38:00,490,,,,470,,,,,,,,,FALSO,FALSO</t>
  </si>
  <si>
    <t>2025-05-07 06:38:00,5800,,,5630,,5800,5660,,,,,5700,5500,5830,5570</t>
  </si>
  <si>
    <t>2025-05-07 06:38:00,,,,,19475,,,,,,,,,FALSO,FALSO</t>
  </si>
  <si>
    <t>2025-05-07 06:38:00,2083408807.72668,0,0,0,0,0,0,0</t>
  </si>
  <si>
    <t>2025-05-07 06:38:00,1840206418.24456,0,0,0,0,0,0,0</t>
  </si>
  <si>
    <t>2025-05-07 06:38:00,-4159301.93333429,-3867861.00211761,-2661.23333333334,-44,-62453.5420000002,-922.63,0.181339198790572,-14.75</t>
  </si>
  <si>
    <t>2025-05-07 06:38:00,19584442.1701253,0,0,0,0,0,0,0</t>
  </si>
  <si>
    <t>2025-05-07 06:39:00,,,,,,555,,,,,,,,FALSO,FALSO</t>
  </si>
  <si>
    <t>2025-05-07 06:39:00,490,,,,470,,,,,,,,,FALSO,FALSO</t>
  </si>
  <si>
    <t>2025-05-07 06:39:00,5800,,5700,,,5800,5660,,,,,5700,5500,5830,5570</t>
  </si>
  <si>
    <t>2025-05-07 06:39:00,,,,,19475,,,,,,,,,FALSO,FALSO</t>
  </si>
  <si>
    <t>2025-05-07 06:39:00,2088817598.70614,0,0,0,0,0,0,0</t>
  </si>
  <si>
    <t>2025-05-07 06:39:00,1877846801.65636,0,0,0,0,0,0,0</t>
  </si>
  <si>
    <t>2025-05-07 06:39:00,-2364930.823429,-1171663.47591996,-1421.73333333333,-80,-13455.2266666667,-355.99,-0.0421148883312015,-6.6</t>
  </si>
  <si>
    <t>2025-05-07 06:39:00,19823697.6266295,0,0,0,0,0,0,0</t>
  </si>
  <si>
    <t>2025-05-07 06:40:00,,,,,,555,,,,,,,,FALSO,FALSO</t>
  </si>
  <si>
    <t>2025-05-07 06:40:00,490,,,,470,,,,,,,,,FALSO,FALSO</t>
  </si>
  <si>
    <t>2025-05-07 06:40:00,5800,,5700,,,5800,5660,,,,,5700,5500,5830,5570</t>
  </si>
  <si>
    <t>2025-05-07 06:40:00,,,,,19475,,,,,,,,,FALSO,FALSO</t>
  </si>
  <si>
    <t>2025-05-07 06:40:00,2102764159.68204,0,0,0,0,0,0,0</t>
  </si>
  <si>
    <t>2025-05-07 06:40:00,1875636272.01416,0,0,0,0,0,0,0</t>
  </si>
  <si>
    <t>2025-05-07 06:40:00,-2361345.00788394,-1187090.49662452,-78.2000000000007,1,-827.890000000008,-23.9,-0.00585332066983993,-0.71</t>
  </si>
  <si>
    <t>2025-05-07 06:40:00,19746887.7387042,0,0,0,0,0,0,0</t>
  </si>
  <si>
    <t>2025-05-07 06:41:00,,,,,,555,,,,,,,,FALSO,FALSO</t>
  </si>
  <si>
    <t>2025-05-07 06:41:00,490,,,,470,,,,,,,,,FALSO,FALSO</t>
  </si>
  <si>
    <t>2025-05-07 06:41:00,5800,,,5630,,5800,5640,,,,,5700,5500,5830,5570</t>
  </si>
  <si>
    <t>2025-05-07 06:41:00,,,,,19475,,,,,,,,,FALSO,FALSO</t>
  </si>
  <si>
    <t>2025-05-07 06:41:00,1986620603.64967,0,0,0,0,0,0,0</t>
  </si>
  <si>
    <t>2025-05-07 06:41:00,1818094002.51476,0,0,0,0,0,0,0</t>
  </si>
  <si>
    <t>2025-05-07 06:41:00,-3257187.4325825,-2673156.86886315,-1302.21666666667,-28,-30211.2635000001,-522.94,0.0606576979868829,-10.31</t>
  </si>
  <si>
    <t>2025-05-07 06:41:00,19423709.0273509,0,0,0,0,0,0,0</t>
  </si>
  <si>
    <t>2025-05-07 06:42:00,,,,,,555,,,,,,,,FALSO,FALSO</t>
  </si>
  <si>
    <t>2025-05-07 06:42:00,490,,,,470,,,,,,,,,FALSO,FALSO</t>
  </si>
  <si>
    <t>2025-05-07 06:42:00,5800,,,5630,,5800,5640,,,,,5700,5500,5830,5570</t>
  </si>
  <si>
    <t>2025-05-07 06:42:00,,,,,19475,,,,,,,,,FALSO,FALSO</t>
  </si>
  <si>
    <t>2025-05-07 06:42:00,1986687232.87366,0,0,0,0,0,0,0</t>
  </si>
  <si>
    <t>2025-05-07 06:42:00,1818033511.78037,0,0,0,0,0,0,0</t>
  </si>
  <si>
    <t>2025-05-07 06:42:00,-3349911.94361621,-2718970.90382587,-1468.36666666667,-47,-16930.5166666667,-426.3,0.106884580003013,-6.85</t>
  </si>
  <si>
    <t>2025-05-07 06:42:00,19395513.5569266,0,0,0,0,0,0,0</t>
  </si>
  <si>
    <t>2025-05-07 06:43:00,,,,,,555,,,,,,,,FALSO,FALSO</t>
  </si>
  <si>
    <t>2025-05-07 06:43:00,490,,,,470,,,,,,,,,FALSO,FALSO</t>
  </si>
  <si>
    <t>2025-05-07 06:43:00,5800,,,5630,,5800,5640,,,,,5700,5500,5830,5450</t>
  </si>
  <si>
    <t>2025-05-07 06:43:00,,,,,19475,,,,,,,,,FALSO,FALSO</t>
  </si>
  <si>
    <t>2025-05-07 06:43:00,1873356533.08059,0,0,0,0,0,0,0</t>
  </si>
  <si>
    <t>2025-05-07 06:43:00,1797547585.69855,0,0,0,0,0,0,0</t>
  </si>
  <si>
    <t>2025-05-07 06:43:00,-3318575.5427286,-2556916.88789296,-21859.5,-717,-92928.549,-2061.84,0.746596915259016,-29.49</t>
  </si>
  <si>
    <t>2025-05-07 06:43:00,19191973.9201453,0,0,0,0,0,0,0</t>
  </si>
  <si>
    <t>2025-05-07 06:44:00,,,,,,555,,,,,,,,FALSO,FALSO</t>
  </si>
  <si>
    <t>2025-05-07 06:44:00,490,,,,470,,,,,,,,,FALSO,FALSO</t>
  </si>
  <si>
    <t>2025-05-07 06:44:00,5800,,,5630,,5800,5640,,,,,5700,5500,5830,5450</t>
  </si>
  <si>
    <t>2025-05-07 06:44:00,,,,,19475,,,,,,,,,FALSO,FALSO</t>
  </si>
  <si>
    <t>2025-05-07 06:44:00,1794637258.37745,0,0,0,0,0,0,0</t>
  </si>
  <si>
    <t>2025-05-07 06:44:00,1778754549.38524,0,0,0,0,0,0,0</t>
  </si>
  <si>
    <t>2025-05-07 06:44:00,-3139600.41858068,-2494643.39422929,-554.6,-24,-7555.82900000001,-145.84,0.00211639957127953,-2.95</t>
  </si>
  <si>
    <t>2025-05-07 06:44:00,19125777.7586973,0,0,0,0,0,0,0</t>
  </si>
  <si>
    <t>2025-05-07 06:45:00,,,,,,555,,,,,,,,FALSO,FALSO</t>
  </si>
  <si>
    <t>2025-05-07 06:45:00,490,,,,470,,,,,,,,,FALSO,FALSO</t>
  </si>
  <si>
    <t>2025-05-07 06:45:00,5800,,,5630,,5800,5640,,,,,5700,5500,5830,5450</t>
  </si>
  <si>
    <t>2025-05-07 06:45:00,,,,,19475,,,,,,,,,FALSO,FALSO</t>
  </si>
  <si>
    <t>2025-05-07 06:45:00,1886386855.29013,0,0,0,0,0,0,0</t>
  </si>
  <si>
    <t>2025-05-07 06:45:00,1788224601.60049,0,0,0,0,0,0,0</t>
  </si>
  <si>
    <t>2025-05-07 06:45:00,-3299248.42858387,-2568272.0091816,-576.866666666666,-17,-11693.372,-299.4,0.0507942853231409,-4.99</t>
  </si>
  <si>
    <t>2025-05-07 06:45:00,19174025.1812376,0,0,0,0,0,0,0</t>
  </si>
  <si>
    <t>2025-05-07 06:46:00,,,,,,555,,,,,,,,FALSO,FALSO</t>
  </si>
  <si>
    <t>2025-05-07 06:46:00,490,,,,470,,,,,,,,,FALSO,FALSO</t>
  </si>
  <si>
    <t>2025-05-07 06:46:00,5800,,,5630,,5800,5660,,,,,5700,5500,5830,5450</t>
  </si>
  <si>
    <t>2025-05-07 06:46:00,,,,,19475,,,,,,,,,FALSO,FALSO</t>
  </si>
  <si>
    <t>2025-05-07 06:46:00,2049249429.38362,0,0,0,0,0,0,0</t>
  </si>
  <si>
    <t>2025-05-07 06:46:00,1860569263.50178,0,0,0,0,0,0,0</t>
  </si>
  <si>
    <t>2025-05-07 06:46:00,-3535526.57861072,-3244400.19596247,-6096.3,-324,-58937.4820000001,-1362.73,0.34807510404417,-19.88</t>
  </si>
  <si>
    <t>2025-05-07 06:46:00,19654552.0770867,0,0,0,0,0,0,0</t>
  </si>
  <si>
    <t>2025-05-07 06:47:00,,,,,,555,,,,,,,,FALSO,FALSO</t>
  </si>
  <si>
    <t>2025-05-07 06:47:00,490,,,,470,,,,,,,,,FALSO,FALSO</t>
  </si>
  <si>
    <t>2025-05-07 06:47:00,5800,,,5630,,5800,5640,,,,,5700,5500,5830,5450</t>
  </si>
  <si>
    <t>2025-05-07 06:47:00,,,,,19475,,,,,,,,,FALSO,FALSO</t>
  </si>
  <si>
    <t>2025-05-07 06:47:00,2005959805.68462,0,0,0,0,0,0,0</t>
  </si>
  <si>
    <t>2025-05-07 06:47:00,1808713363.88955,0,0,0,0,0,0,0</t>
  </si>
  <si>
    <t>2025-05-07 06:47:00,-3645377.8831134,-3179221.78352753,-1324,-29,-47316.2616666664,-789.3,0.144292221077587,-15.52</t>
  </si>
  <si>
    <t>2025-05-07 06:47:00,19553354.7299261,0,0,0,0,0,0,0</t>
  </si>
  <si>
    <t>2025-05-07 06:48:00,,,,,,555,,,,,,,,FALSO,FALSO</t>
  </si>
  <si>
    <t>2025-05-07 06:48:00,490,,,,470,,,,,,,,,FALSO,FALSO</t>
  </si>
  <si>
    <t>2025-05-07 06:48:00,5800,,,5630,,5800,5660,,,,,5700,5500,5830,5450</t>
  </si>
  <si>
    <t>2025-05-07 06:48:00,,,,,19475,,,,,,,,,FALSO,FALSO</t>
  </si>
  <si>
    <t>2025-05-07 06:48:00,2082410546.03827,0,0,0,0,0,0,0</t>
  </si>
  <si>
    <t>2025-05-07 06:48:00,1872409047.36474,0,0,0,0,0,0,0</t>
  </si>
  <si>
    <t>2025-05-07 06:48:00,-3993542.0070713,-3817266.12253008,-1111,-25,-19228.3120000001,-365.53,0.0244719963802921,-7.07</t>
  </si>
  <si>
    <t>2025-05-07 06:48:00,19760273.2901865,0,0,0,0,0,0,0</t>
  </si>
  <si>
    <t>2025-05-07 06:49:00,,,,,,555,,,,,,,,FALSO,FALSO</t>
  </si>
  <si>
    <t>2025-05-07 06:49:00,490,,,,470,,,,,,,,,FALSO,FALSO</t>
  </si>
  <si>
    <t>2025-05-07 06:49:00,5800,,,5630,,5800,5660,,,,,5700,5500,5830,5450</t>
  </si>
  <si>
    <t>2025-05-07 06:49:00,,,,,19475,,,,,,,,,FALSO,FALSO</t>
  </si>
  <si>
    <t>2025-05-07 06:49:00,2082419645.91812,0,0,0,0,0,0,0</t>
  </si>
  <si>
    <t>2025-05-07 06:49:00,1869571457.92347,0,0,0,0,0,0,0</t>
  </si>
  <si>
    <t>2025-05-07 06:49:00,-3842568.72040973,-3774365.3269313,-546.750000000002,-16,-7800.76550000002,-172.43,-0.00835638547729122,-3.85</t>
  </si>
  <si>
    <t>2025-05-07 06:49:00,19749268.2811915,0,0,0,0,0,0,0</t>
  </si>
  <si>
    <t>2025-05-07 06:50:00,,,,,,555,,,,,,,,FALSO,FALSO</t>
  </si>
  <si>
    <t>2025-05-07 06:50:00,490,,,,470,,,,,,,,,FALSO,FALSO</t>
  </si>
  <si>
    <t>2025-05-07 06:50:00,5800,,,5630,,5800,5660,,,,,5700,5500,5830,5450</t>
  </si>
  <si>
    <t>2025-05-07 06:50:00,,,,,19475,,,,,,,,,FALSO,FALSO</t>
  </si>
  <si>
    <t>2025-05-07 06:50:00,2091512597.6353,0,0,0,0,0,0,0</t>
  </si>
  <si>
    <t>2025-05-07 06:50:00,1869429663.93675,0,0,0,0,0,0,0</t>
  </si>
  <si>
    <t>2025-05-07 06:50:00,-3837787.92794785,-3784054.92481966,-656.983333333339,-16,-36063.5405000003,-418.11,0.0226611439345182,-6.77</t>
  </si>
  <si>
    <t>2025-05-07 06:50:00,19733916.2375281,0,0,0,0,0,0,0</t>
  </si>
  <si>
    <t>2025-05-07 06:51:00,,,,,,555,,,,,,,,FALSO,FALSO</t>
  </si>
  <si>
    <t>2025-05-07 06:51:00,490,,,,470,,,,,,,,,FALSO,FALSO</t>
  </si>
  <si>
    <t>2025-05-07 06:51:00,5800,,,5630,,5800,5660,,,,,5700,5500,5830,5450</t>
  </si>
  <si>
    <t>2025-05-07 06:51:00,,,,,19475,,,,,,,,,FALSO,FALSO</t>
  </si>
  <si>
    <t>2025-05-07 06:51:00,2082016125.2766,0,0,0,0,0,0,0</t>
  </si>
  <si>
    <t>2025-05-07 06:51:00,1880906365.07382,0,0,0,0,0,0,0</t>
  </si>
  <si>
    <t>2025-05-07 06:51:00,-4158505.117929,-4019928.02685143,-2213.41666666666,-60,-40307.2324999999,-873.39,0.0120583660821792,-18.4</t>
  </si>
  <si>
    <t>2025-05-07 06:51:00,19832729.1286164,0,0,0,0,0,0,0</t>
  </si>
  <si>
    <t>2025-05-07 06:52:00,,,,,,555,,,,,,,,FALSO,FALSO</t>
  </si>
  <si>
    <t>2025-05-07 06:52:00,490,,,,470,,,,,,,,,FALSO,FALSO</t>
  </si>
  <si>
    <t>2025-05-07 06:52:00,5800,,,5630,,5800,5660,,,,,5700,5500,5830,5450</t>
  </si>
  <si>
    <t>2025-05-07 06:52:00,,,,,19475,,,,,,,,,FALSO,FALSO</t>
  </si>
  <si>
    <t>2025-05-07 06:52:00,2060388521.90069,0,0,0,0,0,0,0</t>
  </si>
  <si>
    <t>2025-05-07 06:52:00,1875199974.78403,0,0,0,0,0,0,0</t>
  </si>
  <si>
    <t>2025-05-07 06:52:00,-3849548.73630234,-3538961.61219794,-54.7,-2,-391.404,-8.82,-0.000399998334527893,-0.15</t>
  </si>
  <si>
    <t>2025-05-07 06:52:00,19769823.1620059,0,0,0,0,0,0,0</t>
  </si>
  <si>
    <t>2025-05-07 06:53:00,,,,,,555,,,,,,,,FALSO,FALSO</t>
  </si>
  <si>
    <t>2025-05-07 06:53:00,490,,,,470,,,,,,,,,FALSO,FALSO</t>
  </si>
  <si>
    <t>2025-05-07 06:53:00,5800,,5700,,,5800,5660,,,,,5700,5500,5830,5450</t>
  </si>
  <si>
    <t>2025-05-07 06:53:00,,,,,19475,,,,,,,,,FALSO,FALSO</t>
  </si>
  <si>
    <t>2025-05-07 06:53:00,2098789830.64553,0,0,0,0,0,0,0</t>
  </si>
  <si>
    <t>2025-05-07 06:53:00,1900307721.25098,0,0,0,0,0,0,0</t>
  </si>
  <si>
    <t>2025-05-07 06:53:00,-2538719.92421514,-1552657.7856718,-1074.36666666666,-20,-45940.8876666662,-569.58,0.0430084671792301,-9.78</t>
  </si>
  <si>
    <t>2025-05-07 06:53:00,19926210.526996,0,0,0,0,0,0,0</t>
  </si>
  <si>
    <t>2025-05-07 06:54:00,,,,,,555,,,,,,,,FALSO,FALSO</t>
  </si>
  <si>
    <t>2025-05-07 06:54:00,490,,,,470,,,,,,,,,FALSO,FALSO</t>
  </si>
  <si>
    <t>2025-05-07 06:54:00,5800,,,5630,,5800,5660,,,,,5700,5500,5830,5450</t>
  </si>
  <si>
    <t>2025-05-07 06:54:00,,,,,19475,,,,,,,,,FALSO,FALSO</t>
  </si>
  <si>
    <t>2025-05-07 06:54:00,2048582168.35248,0,0,0,0,0,0,0</t>
  </si>
  <si>
    <t>2025-05-07 06:54:00,1866387403.47073,0,0,0,0,0,0,0</t>
  </si>
  <si>
    <t>2025-05-07 06:54:00,-3868167.30260427,-3557052.48970717,-16,-5,-31.5,-3.75,-0.00766347367123908,-0.19</t>
  </si>
  <si>
    <t>2025-05-07 06:54:00,19634033.8669218,0,0,0,0,0,0,0</t>
  </si>
  <si>
    <t>2025-05-07 06:55:00,,,,,,555,,,,,,,,FALSO,FALSO</t>
  </si>
  <si>
    <t>2025-05-07 06:55:00,490,,,,470,,,,,,,,,FALSO,FALSO</t>
  </si>
  <si>
    <t>2025-05-07 06:55:00,5800,,,5630,,5800,5660,,,,,5700,5500,5830,5450</t>
  </si>
  <si>
    <t>2025-05-07 06:55:00,,,,,19475,,,,,,,,,FALSO,FALSO</t>
  </si>
  <si>
    <t>2025-05-07 06:55:00,2017845402.54672,0,0,0,0,0,0,0</t>
  </si>
  <si>
    <t>2025-05-07 06:55:00,1853746920.14878,0,0,0,0,0,0,0</t>
  </si>
  <si>
    <t>2025-05-07 06:55:00,-3602167.66764562,-3278151.63304192,-90.3166666666669,-4,-2011.34583333334,-42.8,0.00601679547118904,-0.72</t>
  </si>
  <si>
    <t>2025-05-07 06:55:00,19619908.2394597,0,0,0,0,0,0,0</t>
  </si>
  <si>
    <t>2025-05-07 06:56:00,,,,,,555,,,,,,,,FALSO,FALSO</t>
  </si>
  <si>
    <t>2025-05-07 06:56:00,490,,,,470,,,,,,,,,FALSO,FALSO</t>
  </si>
  <si>
    <t>2025-05-07 06:56:00,5800,,,5630,,5800,5660,,,,,5700,5500,5830,5450</t>
  </si>
  <si>
    <t>2025-05-07 06:56:00,,,,,19475,,,,,,,,,FALSO,FALSO</t>
  </si>
  <si>
    <t>2025-05-07 06:56:00,2054331621.8278,0,0,0,0,0,0,0</t>
  </si>
  <si>
    <t>2025-05-07 06:56:00,1872104273.1166,0,0,0,0,0,0,0</t>
  </si>
  <si>
    <t>2025-05-07 06:56:00,-3942150.24354663,-3561017.72488899,-991.899999999992,-17,-20959.8399999998,-298.1,-0.000900173696194405,-5.66</t>
  </si>
  <si>
    <t>2025-05-07 06:56:00,19771168.8482165,0,0,0,0,0,0,0</t>
  </si>
  <si>
    <t>2025-05-07 06:57:00,,,,,,555,,,,,,,,FALSO,FALSO</t>
  </si>
  <si>
    <t>2025-05-07 06:57:00,490,,,,470,,,,,,,,,FALSO,FALSO</t>
  </si>
  <si>
    <t>2025-05-07 06:57:00,5800,,,5630,,5800,5660,,,,,5700,5500,5830,5450</t>
  </si>
  <si>
    <t>2025-05-07 06:57:00,,,,,19475,,,,,,,,,FALSO,FALSO</t>
  </si>
  <si>
    <t>2025-05-07 06:57:00,1985032408.07824,0,0,0,0,0,0,0</t>
  </si>
  <si>
    <t>2025-05-07 06:57:00,1808111019.55955,0,0,0,0,0,0,0</t>
  </si>
  <si>
    <t>2025-05-07 06:57:00,-3541254.23677914,-3121580.86329962,0,0,0,0,0,0</t>
  </si>
  <si>
    <t>2025-05-07 06:57:00,19576750.1216721,0,0,0,0,0,0,0</t>
  </si>
  <si>
    <t>2025-05-07 06:58:00,,,,,,555,,,,,,,,FALSO,FALSO</t>
  </si>
  <si>
    <t>2025-05-07 06:58:00,490,,,,470,,,,,,,,,FALSO,FALSO</t>
  </si>
  <si>
    <t>2025-05-07 06:58:00,5800,,,5630,,5800,5660,,,,,5700,5500,5830,5450</t>
  </si>
  <si>
    <t>2025-05-07 06:58:00,,,,,19475,,,,,,,,,FALSO,FALSO</t>
  </si>
  <si>
    <t>2025-05-07 06:58:00,2029563617.92963,0,0,0,0,0,0,0</t>
  </si>
  <si>
    <t>2025-05-07 06:58:00,1839218005.13741,0,0,0,0,0,0,0</t>
  </si>
  <si>
    <t>2025-05-07 06:58:00,-3501012.84383692,-3169701.80378631,-704.999999999991,-9,-17658.4999999998,-227.3,-0.0155140434633812,-4.68</t>
  </si>
  <si>
    <t>2025-05-07 06:58:00,19590599.8893061,0,0,0,0,0,0,0</t>
  </si>
  <si>
    <t>2025-05-07 06:59:00,,,,,,555,,,,,,,,FALSO,FALSO</t>
  </si>
  <si>
    <t>2025-05-07 06:59:00,490,,,,470,,,,,,,,,FALSO,FALSO</t>
  </si>
  <si>
    <t>2025-05-07 06:59:00,5800,,,5630,,5800,5660,,,,,5700,5500,5830,5450</t>
  </si>
  <si>
    <t>2025-05-07 06:59:00,,,,,19475,,,,,,,,,FALSO,FALSO</t>
  </si>
  <si>
    <t>2025-05-07 06:59:00,2076306737.69151,0,0,0,0,0,0,0</t>
  </si>
  <si>
    <t>2025-05-07 06:59:00,1874746886.69972,0,0,0,0,0,0,0</t>
  </si>
  <si>
    <t>2025-05-07 06:59:00,-4036150.00153563,-3634290.23911386,-247.549999999998,-5,-6881.74449999991,-76.49,0.00102565261276498,-1.67</t>
  </si>
  <si>
    <t>2025-05-07 06:59:00,19792246.4989427,0,0,0,0,0,0,0</t>
  </si>
  <si>
    <t>2025-05-07 07:00:00,,,,,,555,,,,,,,,FALSO,FALSO</t>
  </si>
  <si>
    <t>2025-05-07 07:00:00,490,,,,470,,,,,,,,,FALSO,FALSO</t>
  </si>
  <si>
    <t>2025-05-07 07:00:00,5800,,,5630,,5800,5660,,,,,5700,5500,5830,5450</t>
  </si>
  <si>
    <t>2025-05-07 07:00:00,,,,,19475,,,,,,,,,FALSO,FALSO</t>
  </si>
  <si>
    <t>2025-05-07 07:00:00,2065282706.716,0,0,0,0,0,0,0</t>
  </si>
  <si>
    <t>2025-05-07 07:00:00,1869112044.48696,0,0,0,0,0,0,0</t>
  </si>
  <si>
    <t>2025-05-07 07:00:00,-4011241.82393809,-3635660.81162237,-116.549999999999,-3,-1125.69449999999,-22.59,-0.00940138364582528,-0.71</t>
  </si>
  <si>
    <t>2025-05-07 07:00:00,19776128.2220672,0,0,0,0,0,0,0</t>
  </si>
  <si>
    <t>2025-05-07 07:01:00,,,,,,555,,,,,,,,FALSO,FALSO</t>
  </si>
  <si>
    <t>2025-05-07 07:01:00,490,,,,470,,,,,,,,,FALSO,FALSO</t>
  </si>
  <si>
    <t>2025-05-07 07:01:00,5800,,,5630,,5800,5660,,,,,5700,5500,5830,5450</t>
  </si>
  <si>
    <t>2025-05-07 07:01:00,,,,,19475,,,,,,,,,FALSO,FALSO</t>
  </si>
  <si>
    <t>2025-05-07 07:01:00,2081353967.01506,0,0,0,0,0,0,0</t>
  </si>
  <si>
    <t>2025-05-07 07:01:00,1869053606.22249,0,0,0,0,0,0,0</t>
  </si>
  <si>
    <t>2025-05-07 07:01:00,-4177080.47212308,-3867316.32299957,-215.566666666667,-7,-2075.89066666667,-59.45,-0.00516591660918522,-1.31</t>
  </si>
  <si>
    <t>2025-05-07 07:01:00,19761750.9750377,0,0,0,0,0,0,0</t>
  </si>
  <si>
    <t>2025-05-07 07:02:00,,,,,,555,,,,,,,,FALSO,FALSO</t>
  </si>
  <si>
    <t>2025-05-07 07:02:00,490,,,,470,,,,,,,,,FALSO,FALSO</t>
  </si>
  <si>
    <t>2025-05-07 07:02:00,5800,,,5630,,5800,5660,,,,,5700,5500,5830,5450</t>
  </si>
  <si>
    <t>2025-05-07 07:02:00,,,,,19475,,,,,,,,,FALSO,FALSO</t>
  </si>
  <si>
    <t>2025-05-07 07:02:00,2090448346.6961,0,0,0,0,0,0,0</t>
  </si>
  <si>
    <t>2025-05-07 07:02:00,1865843101.15698,0,0,0,0,0,0,0</t>
  </si>
  <si>
    <t>2025-05-07 07:02:00,-4182609.44201277,-4024733.75200116,-857.599999999998,-18,-12211.203,-244.28,0.0107723449534397,-4.71</t>
  </si>
  <si>
    <t>2025-05-07 07:02:00,19737669.9584939,0,0,0,0,0,0,0</t>
  </si>
  <si>
    <t>2025-05-07 07:03:00,,,,,,555,,,,,,,,FALSO,FALSO</t>
  </si>
  <si>
    <t>2025-05-07 07:03:00,490,,,,470,,,,,,,,,FALSO,FALSO</t>
  </si>
  <si>
    <t>2025-05-07 07:03:00,5800,,,5630,,5800,5660,,,,,5700,5500,5830,5450</t>
  </si>
  <si>
    <t>2025-05-07 07:03:00,,,,,19475,,,,,,,,,FALSO,FALSO</t>
  </si>
  <si>
    <t>2025-05-07 07:03:00,2085850886.81243,0,0,0,0,0,0,0</t>
  </si>
  <si>
    <t>2025-05-07 07:03:00,1871853943.20139,0,0,0,0,0,0,0</t>
  </si>
  <si>
    <t>2025-05-07 07:03:00,-4448060.71669541,-4335015.68082256,-477.649999999998,-16,-5240.45949999998,-128.27,-0.00504723893602726,-2.66</t>
  </si>
  <si>
    <t>2025-05-07 07:03:00,19818376.5219191,0,0,0,0,0,0,0</t>
  </si>
  <si>
    <t>2025-05-07 07:04:00,,,,,,555,,,,,,,,FALSO,FALSO</t>
  </si>
  <si>
    <t>2025-05-07 07:04:00,490,,,,470,,,,,,,,,FALSO,FALSO</t>
  </si>
  <si>
    <t>2025-05-07 07:04:00,5800,,,5630,,5800,5660,,,,,5700,5500,5830,5450</t>
  </si>
  <si>
    <t>2025-05-07 07:04:00,,,,,19475,,,,,,,,,FALSO,FALSO</t>
  </si>
  <si>
    <t>2025-05-07 07:04:00,1984713220.19973,0,0,0,0,0,0,0</t>
  </si>
  <si>
    <t>2025-05-07 07:04:00,1805798514.96408,0,0,0,0,0,0,0</t>
  </si>
  <si>
    <t>2025-05-07 07:04:00,-3576518.41634272,-3080162.0631426,-160.7,-4,-2118.48200000001,-38.56,0.00593050721146515,-0.62</t>
  </si>
  <si>
    <t>2025-05-07 07:04:00,19404988.6209358,0,0,0,0,0,0,0</t>
  </si>
  <si>
    <t>2025-05-07 07:06:00,,,,,,555,,,,,,,,FALSO,FALSO</t>
  </si>
  <si>
    <t>2025-05-07 07:06:00,490,,,,470,,,,,,,,,FALSO,FALSO</t>
  </si>
  <si>
    <t>2025-05-07 07:06:00,5800,,,5630,,5800,5640,,,,,5700,5500,5830,5450</t>
  </si>
  <si>
    <t>2025-05-07 07:06:00,,,,,19475,,,,,,,,,FALSO,FALSO</t>
  </si>
  <si>
    <t>2025-05-07 07:06:00,1795709286.6716,0,0,0,0,0,0,0</t>
  </si>
  <si>
    <t>2025-05-07 07:06:00,1699717225.54336,0,0,0,0,0,0,0</t>
  </si>
  <si>
    <t>2025-05-07 07:06:00,-3435615.36378232,-2527507.89846805,-2225.08333333333,-59,-33615.8121666665,-708.94,-0.0907644865304119,-16.09</t>
  </si>
  <si>
    <t>2025-05-07 07:06:00,18736922.2165377,0,0,0,0,0,0,0</t>
  </si>
  <si>
    <t>2025-05-07 07:07:00,,,,,,555,,,,,,,,FALSO,FALSO</t>
  </si>
  <si>
    <t>2025-05-07 07:07:00,490,,,,470,,,,,,,,,FALSO,FALSO</t>
  </si>
  <si>
    <t>2025-05-07 07:07:00,5800,,,5630,,5800,5640,,,,,5700,5500,5830,5450</t>
  </si>
  <si>
    <t>2025-05-07 07:07:00,,,,,19475,,,,,,,,,FALSO,FALSO</t>
  </si>
  <si>
    <t>2025-05-07 07:07:00,1659529426.76788,0,0,0,0,0,0,0</t>
  </si>
  <si>
    <t>2025-05-07 07:07:00,1595184142.47975,0,0,0,0,0,0,0</t>
  </si>
  <si>
    <t>2025-05-07 07:07:00,-2954807.12033638,-2309888.60618079,-3343.66666666666,-84,-38982.4703333332,-758.84,0.0189849077788751,-14.99</t>
  </si>
  <si>
    <t>2025-05-07 07:07:00,17983020.3234515,0,0,0,0,0,0,0</t>
  </si>
  <si>
    <t>2025-05-07 07:08:00,,,,,,555,,,,,,,,FALSO,FALSO</t>
  </si>
  <si>
    <t>2025-05-07 07:08:00,490,,,,470,,,,,,,,,FALSO,FALSO</t>
  </si>
  <si>
    <t>2025-05-07 07:08:00,5800,,,5630,,5800,5640,,,,,5700,5500,5830,5450</t>
  </si>
  <si>
    <t>2025-05-07 07:08:00,,,,,19475,,,,,,,,,FALSO,FALSO</t>
  </si>
  <si>
    <t>2025-05-07 07:08:00,1666102400.62242,0,0,0,0,0,0,0</t>
  </si>
  <si>
    <t>2025-05-07 07:08:00,1592215977.19613,0,0,0,0,0,0,0</t>
  </si>
  <si>
    <t>2025-05-07 07:08:00,-3040888.56497442,-2346396.22630725,-865.700000000001,-34,-12163.864,-238.87,0.0286323239224682,-4.25</t>
  </si>
  <si>
    <t>2025-05-07 07:08:00,18021910.2496545,0,0,0,0,0,0,0</t>
  </si>
  <si>
    <t>2025-05-07 07:09:00,,,,,,555,,,,,,,,FALSO,FALSO</t>
  </si>
  <si>
    <t>2025-05-07 07:09:00,490,,,,470,,,,,,,,,FALSO,FALSO</t>
  </si>
  <si>
    <t>2025-05-07 07:09:00,5800,,,5630,,5800,5640,,,,,5700,5500,5830,5450</t>
  </si>
  <si>
    <t>2025-05-07 07:09:00,,,,,19475,,,,,,,,,FALSO,FALSO</t>
  </si>
  <si>
    <t>2025-05-07 07:09:00,1429820793.05388,0,0,0,0,0,0,0</t>
  </si>
  <si>
    <t>2025-05-07 07:09:00,1419399336.59039,0,0,0,0,0,0,0</t>
  </si>
  <si>
    <t>2025-05-07 07:09:00,-3794833.80897706,-2480498.07119304,-1132.36666666667,-54,-27370.7863333334,-598.98,0.0224173873975975,-12.04</t>
  </si>
  <si>
    <t>2025-05-07 07:09:00,16981624.0423498,0,0,0,0,0,0,0</t>
  </si>
  <si>
    <t>2025-05-07 07:10:00,,,,,,555,,,,,,,,FALSO,FALSO</t>
  </si>
  <si>
    <t>2025-05-07 07:10:00,490,,,,470,,,,,,,,,FALSO,FALSO</t>
  </si>
  <si>
    <t>2025-05-07 07:10:00,,5540,5700,,,5800,5640,,,,,5700,5500,5830,5450</t>
  </si>
  <si>
    <t>2025-05-07 07:10:00,,,,,19475,,,,,,,,,FALSO,FALSO</t>
  </si>
  <si>
    <t>2025-05-07 07:10:00,1283477394.49521,0,0,0,0,0,0,0</t>
  </si>
  <si>
    <t>2025-05-07 07:10:00,1375941324.29572,0,0,0,0,0,0,0</t>
  </si>
  <si>
    <t>2025-05-07 07:10:00,-3243462.60425013,-2275401.97410689,-2305.86666666666,-125,-32166.6303333333,-1097.94,-0.141321472580382,-24.15</t>
  </si>
  <si>
    <t>2025-05-07 07:10:00,16490791.8395691,0,0,0,0,0,0,0</t>
  </si>
  <si>
    <t>2025-05-07 07:11:00,,,,,,555,,,,,,,,FALSO,FALSO</t>
  </si>
  <si>
    <t>2025-05-07 07:11:00,490,,,,470,,,,,,,,,FALSO,FALSO</t>
  </si>
  <si>
    <t>2025-05-07 07:11:00,5800,,5700,,,5800,5640,,,,,5700,5500,5830,5450</t>
  </si>
  <si>
    <t>2025-05-07 07:11:00,,,,,19475,,,,,,,,,FALSO,FALSO</t>
  </si>
  <si>
    <t>2025-05-07 07:11:00,1191666043.20577,0,0,0,0,0,0,0</t>
  </si>
  <si>
    <t>2025-05-07 07:11:00,1313369736.89894,0,0,0,0,0,0,0</t>
  </si>
  <si>
    <t>2025-05-07 07:11:00,-845108.988545175,-2154977.35839528,-3588.23333333333,-186,-86988.0000000001,-1892.64,-0.0102464108501187,-37.52</t>
  </si>
  <si>
    <t>2025-05-07 07:11:00,16044889.2172823,0,0,0,0,0,0,0</t>
  </si>
  <si>
    <t>2025-05-07 07:12:00,,,,,,555,,,,,,,,FALSO,FALSO</t>
  </si>
  <si>
    <t>2025-05-07 07:12:00,490,,,,470,,,,,,,,,FALSO,FALSO</t>
  </si>
  <si>
    <t>2025-05-07 07:12:00,5800,,5700,,,5800,5640,,,,,5700,5500,5830,5450</t>
  </si>
  <si>
    <t>2025-05-07 07:12:00,,,,,19475,,,,,,,,,FALSO,FALSO</t>
  </si>
  <si>
    <t>2025-05-07 07:12:00,1213446505.79855,0,0,0,0,0,0,0</t>
  </si>
  <si>
    <t>2025-05-07 07:12:00,1323224391.84765,0,0,0,0,0,0,0</t>
  </si>
  <si>
    <t>2025-05-07 07:12:00,-810293.520371691,-2169940.16408026,-380.400000000001,-28,-2859.76633333334,-178,-0.0517931786614204,-4.7</t>
  </si>
  <si>
    <t>2025-05-07 07:12:00,16210152.6858696,0,0,0,0,0,0,0</t>
  </si>
  <si>
    <t>2025-05-07 07:13:00,,,,,,555,,,,,,,,FALSO,FALSO</t>
  </si>
  <si>
    <t>2025-05-07 07:13:00,490,,,,470,,,,,,,,,FALSO,FALSO</t>
  </si>
  <si>
    <t>2025-05-07 07:13:00,,5540,5700,,,5800,5640,,,,,5700,5500,5830,5450</t>
  </si>
  <si>
    <t>2025-05-07 07:13:00,,,,,19475,,,,,,,,,FALSO,FALSO</t>
  </si>
  <si>
    <t>2025-05-07 07:13:00,1259336955.56547,0,0,0,0,0,0,0</t>
  </si>
  <si>
    <t>2025-05-07 07:13:00,1369852829.25862,0,0,0,0,0,0,0</t>
  </si>
  <si>
    <t>2025-05-07 07:13:00,-3287253.37717283,-2248015.64865744,-1110.41666666667,-56,-21740.181,-739.04,0.0690682393963666,-13.57</t>
  </si>
  <si>
    <t>2025-05-07 07:13:00,16547805.3643263,0,0,0,0,0,0,0</t>
  </si>
  <si>
    <t>2025-05-07 07:14:00,,,,,,555,,,,,,,,FALSO,FALSO</t>
  </si>
  <si>
    <t>2025-05-07 07:14:00,490,,,,470,,,,,,,,,FALSO,FALSO</t>
  </si>
  <si>
    <t>2025-05-07 07:14:00,,5540,5700,,,5800,5640,,,,,5700,5500,5830,5450</t>
  </si>
  <si>
    <t>2025-05-07 07:14:00,,,,,19475,,,,,,,,,FALSO,FALSO</t>
  </si>
  <si>
    <t>2025-05-07 07:14:00,1189808005.61684,0,0,0,0,0,0,0</t>
  </si>
  <si>
    <t>2025-05-07 07:14:00,1346887857.41237,0,0,0,0,0,0,0</t>
  </si>
  <si>
    <t>2025-05-07 07:14:00,-3011727.03324966,-2166936.12665734,-1303.96666666666,-50,-24086.2136666666,-719.72,0.0626993154588957,-13.47</t>
  </si>
  <si>
    <t>2025-05-07 07:14:00,16311663.0880832,0,0,0,0,0,0,0</t>
  </si>
  <si>
    <t>2025-05-07 07:15:00,,,,,,555,,,,,,,,FALSO,FALSO</t>
  </si>
  <si>
    <t>2025-05-07 07:15:00,490,,,,470,,,,,,,,,FALSO,FALSO</t>
  </si>
  <si>
    <t>2025-05-07 07:15:00,5800,,5700,,,5800,5640,,,,,5700,5500,5830,5450</t>
  </si>
  <si>
    <t>2025-05-07 07:15:00,,,,,19475,,,,,,,,,FALSO,FALSO</t>
  </si>
  <si>
    <t>2025-05-07 07:15:00,1142401230.25128,0,0,0,0,0,0,0</t>
  </si>
  <si>
    <t>2025-05-07 07:15:00,1313194893.62659,0,0,0,0,0,0,0</t>
  </si>
  <si>
    <t>2025-05-07 07:15:00,-699487.684244126,-2108483.19400098,-1084.68333333333,-88,-16533.152,-520.13,-0.0729076798153913,-11.42</t>
  </si>
  <si>
    <t>2025-05-07 07:15:00,16090121.3524995,0,0,0,0,0,0,0</t>
  </si>
  <si>
    <t>2025-05-07 07:16:00,,,,,,555,,,,,,,,FALSO,FALSO</t>
  </si>
  <si>
    <t>2025-05-07 07:16:00,490,,,,470,,,,,,,,,FALSO,FALSO</t>
  </si>
  <si>
    <t>2025-05-07 07:16:00,,5540,5700,,,5800,5640,,,,,5700,5500,5830,5450</t>
  </si>
  <si>
    <t>2025-05-07 07:16:00,,,,,19475,,,,,,,,,FALSO,FALSO</t>
  </si>
  <si>
    <t>2025-05-07 07:16:00,1258778097.22288,0,0,0,0,0,0,0</t>
  </si>
  <si>
    <t>2025-05-07 07:16:00,1391095603.83439,0,0,0,0,0,0,0</t>
  </si>
  <si>
    <t>2025-05-07 07:16:00,-3488735.85764664,-2276608.09052808,-1071.85,-60,-17586.5075,-463.69,-0.0270181669405384,-9.41</t>
  </si>
  <si>
    <t>2025-05-07 07:16:00,16725437.5904486,0,0,0,0,0,0,0</t>
  </si>
  <si>
    <t>2025-05-07 07:17:00,,,,,,555,,,,,,,,FALSO,FALSO</t>
  </si>
  <si>
    <t>2025-05-07 07:17:00,490,,,,470,,,,,,,,,FALSO,FALSO</t>
  </si>
  <si>
    <t>2025-05-07 07:17:00,5800,,5700,,,5800,5640,,,,,5700,5500,5750,5450</t>
  </si>
  <si>
    <t>2025-05-07 07:17:00,,,,,19475,,,,,,,,,FALSO,FALSO</t>
  </si>
  <si>
    <t>2025-05-07 07:17:00,1165247109.49327,0,0,0,0,0,0,0</t>
  </si>
  <si>
    <t>2025-05-07 07:17:00,1334314171.28506,0,0,0,0,0,0,0</t>
  </si>
  <si>
    <t>2025-05-07 07:17:00,-849853.035595364,-2168436.67582047,-710.397763801538,168,-7484.97782075468,24950.47,-0.0403161234206145,191.63</t>
  </si>
  <si>
    <t>2025-05-07 07:17:00,16314908.6207697,0,0,0,0,0,0,0</t>
  </si>
  <si>
    <t>2025-05-07 07:18:00,,,,,,555,,,,,,,,,FALSO</t>
  </si>
  <si>
    <t>2025-05-07 07:18:00,490,,,,470,,,,,,,,,FALSO,FALSO</t>
  </si>
  <si>
    <t>2025-05-07 07:18:00,5800,,,5630,,5800,5640,,,,,5700,5500,5760,5450</t>
  </si>
  <si>
    <t>2025-05-07 07:18:00,,,,,19475,,,,,,,,,FALSO,FALSO</t>
  </si>
  <si>
    <t>2025-05-07 07:18:00,1422368435.31795,0,0,0,0,0,0,0</t>
  </si>
  <si>
    <t>2025-05-07 07:18:00,1455343930.81011,0,0,0,0,0,0,0</t>
  </si>
  <si>
    <t>2025-05-07 07:18:00,-3868602.555139,-2535468.0910358,-1996.637414966,38,-61765.6485612249,11929.8,0.173300399187811,77.68</t>
  </si>
  <si>
    <t>2025-05-07 07:18:00,17094896.6399084,0,0,0,0,0,0,0</t>
  </si>
  <si>
    <t>2025-05-07 07:19:00,,,,,,555,,,,,,,,,</t>
  </si>
  <si>
    <t>2025-05-07 07:19:00,490,,,,470,,,,,,,,,,</t>
  </si>
  <si>
    <t>2025-05-07 07:19:00,,5540,5700,,,5800,5640,,,,,5700,5500,5760,5450</t>
  </si>
  <si>
    <t>2025-05-07 07:19:00,,,,,19475,,,,,,,,,,</t>
  </si>
  <si>
    <t>2025-05-07 07:19:00,1302261513.35158,0,0,0,0,0,0,0</t>
  </si>
  <si>
    <t>2025-05-07 07:19:00,1419110985.62073,0,0,0,0,0,0,0</t>
  </si>
  <si>
    <t>2025-05-07 07:19:00,-3527534.0229712,-2472949.36436696,-1863.48333333333,-58,-63986.6435000001,-1620,0.172444748194388,-29.34</t>
  </si>
  <si>
    <t>2025-05-07 07:19:00,16930551.8509357,0,0,0,0,0,0,0</t>
  </si>
  <si>
    <t>2025-05-07 07:20:00,,,,,,555,,,,,,,,,</t>
  </si>
  <si>
    <t>2025-05-07 07:20:00,490,,,,470,,,,,,,,,,</t>
  </si>
  <si>
    <t>2025-05-07 07:20:00,5800,,,5630,,5800,5640,,,,,5700,5500,5760,5450</t>
  </si>
  <si>
    <t>2025-05-07 07:20:00,,,,,19475,,,,,,,,,,</t>
  </si>
  <si>
    <t>2025-05-07 07:20:00,1445415068.85175,0,0,0,0,0,0,0</t>
  </si>
  <si>
    <t>2025-05-07 07:20:00,1451986138.20218,0,0,0,0,0,0,0</t>
  </si>
  <si>
    <t>2025-05-07 07:20:00,-4214569.28970278,-2678715.97495982,-271.599999999999,-14,-3269.90399999997,-90.63,-0.0118758003916668,-2.12</t>
  </si>
  <si>
    <t>2025-05-07 07:20:00,17093533.3444059,0,0,0,0,0,0,0</t>
  </si>
  <si>
    <t>2025-05-07 07:21:00,,,,,,555,,,,,,,,,</t>
  </si>
  <si>
    <t>2025-05-07 07:21:00,490,,,,470,,,,,,,,,,</t>
  </si>
  <si>
    <t>2025-05-07 07:21:00,5800,,5700,,,5800,5640,,,,,5700,5500,5760,5450</t>
  </si>
  <si>
    <t>2025-05-07 07:21:00,,,,,19475,,,,,,,,,,</t>
  </si>
  <si>
    <t>2025-05-07 07:21:00,1396234401.55683,0,0,0,0,0,0,0</t>
  </si>
  <si>
    <t>2025-05-07 07:21:00,1422325083.44117,0,0,0,0,0,0,0</t>
  </si>
  <si>
    <t>2025-05-07 07:21:00,-4051216.73798698,-2527938.03061347,-1193.8,-110,-9702.70600000003,-568.22,-0.325531175907512,-18.39</t>
  </si>
  <si>
    <t>2025-05-07 07:21:00,16979112.3409397,0,0,0,0,0,0,0</t>
  </si>
  <si>
    <t>2025-05-07 07:22:00,,,,,,555,,,,,,,,,</t>
  </si>
  <si>
    <t>2025-05-07 07:22:00,490,,,,470,,,,,,,,,,</t>
  </si>
  <si>
    <t>2025-05-07 07:22:00,5800,,5700,,,5800,5640,,,,,5700,5500,5760,5450</t>
  </si>
  <si>
    <t>2025-05-07 07:22:00,,,,,19475,,,,,,,,,,</t>
  </si>
  <si>
    <t>2025-05-07 07:22:00,1396075147.71661,0,0,0,0,0,0,0</t>
  </si>
  <si>
    <t>2025-05-07 07:22:00,1422300017.73266,0,0,0,0,0,0,0</t>
  </si>
  <si>
    <t>2025-05-07 07:22:00,-3838623.81045575,-2482000.24725223,-222.833333333334,-9,-5072.9346666667,-117.4,0.0083738269816417,-2.23</t>
  </si>
  <si>
    <t>2025-05-07 07:22:00,16963328.6777462,0,0,0,0,0,0,0</t>
  </si>
  <si>
    <t>2025-05-07 07:23:00,,,,,,555,,,,,,,,,</t>
  </si>
  <si>
    <t>2025-05-07 07:23:00,490,,,,470,,,,,,,,,,</t>
  </si>
  <si>
    <t>2025-05-07 07:23:00,5800,,,5630,,5800,5640,,,,,5700,5500,5860,5450</t>
  </si>
  <si>
    <t>2025-05-07 07:23:00,,,,,19475,,,,,,,,,,</t>
  </si>
  <si>
    <t>2025-05-07 07:23:00,1511814221.88962,0,0,0,0,0,0,0</t>
  </si>
  <si>
    <t>2025-05-07 07:23:00,1501680393.09351,0,0,0,0,0,0,0</t>
  </si>
  <si>
    <t>2025-05-07 07:23:00,-3030602.66261138,-2255160.33398313,-1465.5,-103,-21345.4203333333,-629.18,-0.0713417850048159,-15.19</t>
  </si>
  <si>
    <t>2025-05-07 07:23:00,17376569.889776,0,0,0,0,0,0,0</t>
  </si>
  <si>
    <t>2025-05-07 07:24:00,,,,,,555,,,,,,,,,</t>
  </si>
  <si>
    <t>2025-05-07 07:24:00,490,,,,470,,,,,,,,,,</t>
  </si>
  <si>
    <t>2025-05-07 07:24:00,5800,,5700,,,5800,5640,,,,,5700,5500,5860,5450</t>
  </si>
  <si>
    <t>2025-05-07 07:24:00,,,,,19475,,,,,,,,,,</t>
  </si>
  <si>
    <t>2025-05-07 07:24:00,1389205371.58746,0,0,0,0,0,0,0</t>
  </si>
  <si>
    <t>2025-05-07 07:24:00,1416010909.12912,0,0,0,0,0,0,0</t>
  </si>
  <si>
    <t>2025-05-07 07:24:00,-3485816.17135072,-2351913.72748873,-443.100000000001,75,-10844.1718333333,-334.36,0.00601706677749308,-7.34</t>
  </si>
  <si>
    <t>2025-05-07 07:24:00,16958752.1199319,0,0,0,0,0,0,0</t>
  </si>
  <si>
    <t>2025-05-07 07:25:00,,,,,,555,,,,,,,,,</t>
  </si>
  <si>
    <t>2025-05-07 07:25:00,490,,,,470,,,,,,,,,,</t>
  </si>
  <si>
    <t>2025-05-07 07:25:00,,5540,5700,,,5800,5640,,,,,5700,5500,5860,5450</t>
  </si>
  <si>
    <t>2025-05-07 07:25:00,,,,,19475,,,,,,,,,,</t>
  </si>
  <si>
    <t>2025-05-07 07:25:00,1227624693.89437,0,0,0,0,0,0,0</t>
  </si>
  <si>
    <t>2025-05-07 07:25:00,1354993697.02323,0,0,0,0,0,0,0</t>
  </si>
  <si>
    <t>2025-05-07 07:25:00,-3142250.46244165,-2173816.77868117,-1434.21666666667,-67,-36535.8464999999,-1015.09,0.0304678407665733,-19.07</t>
  </si>
  <si>
    <t>2025-05-07 07:25:00,16439379.3660367,0,0,0,0,0,0,0</t>
  </si>
  <si>
    <t>2025-05-07 07:26:00,,,,,,555,,,,,,,,,</t>
  </si>
  <si>
    <t>2025-05-07 07:26:00,490,,,,470,,,,,,,,,,</t>
  </si>
  <si>
    <t>2025-05-07 07:26:00,5800,,5700,,,5800,5640,,,,,5700,5500,5860,5450</t>
  </si>
  <si>
    <t>2025-05-07 07:26:00,,,,,19475,,,,,,,,,,</t>
  </si>
  <si>
    <t>2025-05-07 07:26:00,1169315456.38131,0,0,0,0,0,0,0</t>
  </si>
  <si>
    <t>2025-05-07 07:26:00,1313049112.9512,0,0,0,0,0,0,0</t>
  </si>
  <si>
    <t>2025-05-07 07:26:00,-728188.744063971,-2101898.68830622,-722.899999999999,-45,-15046.309,-527.2,-0.0079340036139134,-10.46</t>
  </si>
  <si>
    <t>2025-05-07 07:26:00,16056256.5669968,0,0,0,0,0,0,0</t>
  </si>
  <si>
    <t>2025-05-07 07:27:00,,,,,,555,,,,,,,,,</t>
  </si>
  <si>
    <t>2025-05-07 07:27:00,490,,,,470,,,,,,,,,,</t>
  </si>
  <si>
    <t>2025-05-07 07:27:00,5800,,5700,,,5800,5640,,,,,5700,5500,5860,5450</t>
  </si>
  <si>
    <t>2025-05-07 07:27:00,,,,,19475,,,,,,,,,,</t>
  </si>
  <si>
    <t>2025-05-07 07:27:00,1187779424.99459,0,0,0,0,0,0,0</t>
  </si>
  <si>
    <t>2025-05-07 07:27:00,1320062238.09846,0,0,0,0,0,0,0</t>
  </si>
  <si>
    <t>2025-05-07 07:27:00,-835355.264694312,-2149388.98770645,-611.199999999998,-18,-21688.7799999999,-515.28,0.0514182879069628,-9.2</t>
  </si>
  <si>
    <t>2025-05-07 07:27:00,16295671.480905,0,0,0,0,0,0,0</t>
  </si>
  <si>
    <t>2025-05-07 07:28:00,,,,,,555,,,,,,,,,</t>
  </si>
  <si>
    <t>2025-05-07 07:28:00,490,,,,470,,,,,,,,,,</t>
  </si>
  <si>
    <t>2025-05-07 07:28:00,5800,,5700,,,5800,5640,,,,,5700,5500,5860,5450</t>
  </si>
  <si>
    <t>2025-05-07 07:28:00,,,,,19475,,,,,,,,,,</t>
  </si>
  <si>
    <t>2025-05-07 07:28:00,1187513284.20512,0,0,0,0,0,0,0</t>
  </si>
  <si>
    <t>2025-05-07 07:28:00,1319876961.99435,0,0,0,0,0,0,0</t>
  </si>
  <si>
    <t>2025-05-07 07:28:00,-936346.628105211,-2148737.69890714,-544.049999999999,-26,-10026.0321666666,-279.17,0.0170112857871001,-5.25</t>
  </si>
  <si>
    <t>2025-05-07 07:28:00,16170482.7879868,0,0,0,0,0,0,0</t>
  </si>
  <si>
    <t>2025-05-07 07:31:00,,,,,,555,,,,,,,,,</t>
  </si>
  <si>
    <t>2025-05-07 07:31:00,490,,,,470,,,,,,,,,,</t>
  </si>
  <si>
    <t>2025-05-07 07:31:00,,5540,5700,,,5800,5640,,,,,5700,5500,5860,5450</t>
  </si>
  <si>
    <t>2025-05-07 07:31:00,,,,,19475,,,,,,,,,,</t>
  </si>
  <si>
    <t>2025-05-07 07:31:00,1258833346.94162,0,0,0,0,0,0,0</t>
  </si>
  <si>
    <t>2025-05-07 07:31:00,1330071280.11742,0,0,0,0,0,0,0</t>
  </si>
  <si>
    <t>2025-05-07 07:31:00,-3322315.93574458,-2230705.72295292,-4579.78333333334,-227,-66024.6991666669,-2016.67,-0.0267661551842692,-40.62</t>
  </si>
  <si>
    <t>2025-05-07 07:31:00,16231365.9141233,0,0,0,0,0,0,0</t>
  </si>
  <si>
    <t>2025-05-07 07:32:00,,,,,,555,,,,,,,,,</t>
  </si>
  <si>
    <t>2025-05-07 07:32:00,490,,,,470,,,,,,,,,,</t>
  </si>
  <si>
    <t>2025-05-07 07:32:00,,5540,5700,,,5800,5640,,,,,5700,5500,5860,5450</t>
  </si>
  <si>
    <t>2025-05-07 07:32:00,,,,,19475,,,,,,,,,,</t>
  </si>
  <si>
    <t>2025-05-07 07:32:00,1293756930.11206,0,0,0,0,0,0,0</t>
  </si>
  <si>
    <t>2025-05-07 07:32:00,1357782813.06284,0,0,0,0,0,0,0</t>
  </si>
  <si>
    <t>2025-05-07 07:32:00,-3749873.16868333,-2341621.33840644,-1085.9,-60,-14192.5043333333,-572.42,-0.152894622936024,-13.94</t>
  </si>
  <si>
    <t>2025-05-07 07:32:00,16471590.7905415,0,0,0,0,0,0,0</t>
  </si>
  <si>
    <t>2025-05-07 07:33:00,,,,,,555,,,,,,,,,</t>
  </si>
  <si>
    <t>2025-05-07 07:33:00,490,,,,470,,,,,,,,,,</t>
  </si>
  <si>
    <t>2025-05-07 07:33:00,,5540,5700,,,5800,5640,,,,,5700,5500,5860,5450</t>
  </si>
  <si>
    <t>2025-05-07 07:33:00,,,,,19475,,,,,,,,,,</t>
  </si>
  <si>
    <t>2025-05-07 07:33:00,1198440535.38356,0,0,0,0,0,0,0</t>
  </si>
  <si>
    <t>2025-05-07 07:33:00,1310314481.79632,0,0,0,0,0,0,0</t>
  </si>
  <si>
    <t>2025-05-07 07:33:00,-3156999.11544684,-2126973.70319004,-1312.63333333333,-52,-36892.9153333333,-1072.72,0.0223890269462852,-20.24</t>
  </si>
  <si>
    <t>2025-05-07 07:33:00,16080816.1673131,0,0,0,0,0,0,0</t>
  </si>
  <si>
    <t>2025-05-07 07:36:00,,,,,,555,,,,,,,,,</t>
  </si>
  <si>
    <t>2025-05-07 07:36:00,490,,,,470,,,,,,,,,,</t>
  </si>
  <si>
    <t>2025-05-07 07:36:00,5800,,5700,,,5800,5640,,,,,5700,5500,5860,5450</t>
  </si>
  <si>
    <t>2025-05-07 07:36:00,,,,,19475,,,,,,,,,,</t>
  </si>
  <si>
    <t>2025-05-07 07:36:00,1157102538.58627,0,0,0,0,0,0,0</t>
  </si>
  <si>
    <t>2025-05-07 07:36:00,1281838286.02656,0,0,0,0,0,0,0</t>
  </si>
  <si>
    <t>2025-05-07 07:36:00,-1045135.80085309,-2028970.80069833,-1386.45,-88,-18528.7401666667,-711.57,-0.0346327832379989,-14.83</t>
  </si>
  <si>
    <t>2025-05-07 07:36:00,15897188.2371814,0,0,0,0,0,0,0</t>
  </si>
  <si>
    <t>2025-05-07 07:37:00,,,,,,555,,,,,,,,,</t>
  </si>
  <si>
    <t>2025-05-07 07:37:00,490,,,,470,,,,,,,,,,</t>
  </si>
  <si>
    <t>2025-05-07 07:37:00,5800,,5700,,,5800,5640,,,,,5700,5500,5860,5450</t>
  </si>
  <si>
    <t>2025-05-07 07:37:00,,,,,19475,,,,,,,,,,</t>
  </si>
  <si>
    <t>2025-05-07 07:37:00,1244950648.63491,0,0,0,0,0,0,0</t>
  </si>
  <si>
    <t>2025-05-07 07:37:00,1334160095.99865,0,0,0,0,0,0,0</t>
  </si>
  <si>
    <t>2025-05-07 07:37:00,-872958.362183098,-2275543.80896683,-7621.28333333331,-266,-199757.530499999,-5294.55,0.361864357166657,-99.97</t>
  </si>
  <si>
    <t>2025-05-07 07:37:00,16363683.4319603,0,0,0,0,0,0,0</t>
  </si>
  <si>
    <t>2025-05-07 07:38:00,,,,,,555,,,,,,,,,</t>
  </si>
  <si>
    <t>2025-05-07 07:38:00,490,,,,470,,,,,,,,,,</t>
  </si>
  <si>
    <t>2025-05-07 07:38:00,,5540,5700,,,5800,5640,,,,,5700,5500,5860,5450</t>
  </si>
  <si>
    <t>2025-05-07 07:38:00,,,,,19475,,,,,,,,,,</t>
  </si>
  <si>
    <t>2025-05-07 07:38:00,1214893024.11284,0,0,0,0,0,0,0</t>
  </si>
  <si>
    <t>2025-05-07 07:38:00,1327346307.34585,0,0,0,0,0,0,0</t>
  </si>
  <si>
    <t>2025-05-07 07:38:00,-3205891.16788046,-2201175.25489459,-2712.96666666666,-97,-69057.3546666665,-1985.42,0.0587487445858417,-37.3</t>
  </si>
  <si>
    <t>2025-05-07 07:38:00,16197787.4636035,0,0,0,0,0,0,0</t>
  </si>
  <si>
    <t>2025-05-07 07:39:00,,,,,,555,,,,,,,,,</t>
  </si>
  <si>
    <t>2025-05-07 07:39:00,490,,,,470,,,,,,,,,,</t>
  </si>
  <si>
    <t>2025-05-07 07:39:00,5800,,5700,,,5800,5640,,,,,5700,5500,5860,5450</t>
  </si>
  <si>
    <t>2025-05-07 07:39:00,,,,,19475,,,,,,,,,,</t>
  </si>
  <si>
    <t>2025-05-07 07:39:00,1167209413.44293,0,0,0,0,0,0,0</t>
  </si>
  <si>
    <t>2025-05-07 07:39:00,1307895022.1152,0,0,0,0,0,0,0</t>
  </si>
  <si>
    <t>2025-05-07 07:39:00,-905629.623968835,-2159138.50780538,-563.266666666671,-17,-29129.8370000003,-575.53,0.0525761227895762,-10.11</t>
  </si>
  <si>
    <t>2025-05-07 07:39:00,16077778.438675,0,0,0,0,0,0,0</t>
  </si>
  <si>
    <t>2025-05-07 07:40:00,,,,,,555,,,,,,,,,</t>
  </si>
  <si>
    <t>2025-05-07 07:40:00,490,,,,470,,,,,,,,,,</t>
  </si>
  <si>
    <t>2025-05-07 07:40:00,,5540,5700,,,5800,5640,,,,,5700,5500,5860,5450</t>
  </si>
  <si>
    <t>2025-05-07 07:40:00,,,,,19475,,,,,,,,,,</t>
  </si>
  <si>
    <t>2025-05-07 07:40:00,1257542958.83059,0,0,0,0,0,0,0</t>
  </si>
  <si>
    <t>2025-05-07 07:40:00,1363267739.38778,0,0,0,0,0,0,0</t>
  </si>
  <si>
    <t>2025-05-07 07:40:00,-3413702.87952054,-2308012.43050102,-61.2416666666666,-5,-720.538333333332,-90.46,-0.0102686956787526,-1.37</t>
  </si>
  <si>
    <t>2025-05-07 07:40:00,16517133.9715913,0,0,0,0,0,0,0</t>
  </si>
  <si>
    <t>2025-05-07 07:41:00,,,,,,555,,,,,,,,,</t>
  </si>
  <si>
    <t>2025-05-07 07:41:00,490,,,,470,,,,,,,,,,</t>
  </si>
  <si>
    <t>2025-05-07 07:41:00,,5540,,5630,,5800,5640,,,,,5700,5500,5860,5450</t>
  </si>
  <si>
    <t>2025-05-07 07:41:00,,,,,19475,,,,,,,,,,</t>
  </si>
  <si>
    <t>2025-05-07 07:41:00,1239425322.29678,0,0,0,0,0,0,0</t>
  </si>
  <si>
    <t>2025-05-07 07:41:00,1383291552.36752,0,0,0,0,0,0,0</t>
  </si>
  <si>
    <t>2025-05-07 07:41:00,-3702591.08578995,-2415703.34035778,-1650.7,-54,-47823.192,-1204,0.0955771430276492,-20.71</t>
  </si>
  <si>
    <t>2025-05-07 07:41:00,16636273.3740215,0,0,0,0,0,0,0</t>
  </si>
  <si>
    <t>2025-05-07 07:42:00,,,,,,555,,,,,,,,,</t>
  </si>
  <si>
    <t>2025-05-07 07:42:00,490,,,,470,,,,,,,,,,</t>
  </si>
  <si>
    <t>2025-05-07 07:42:00,,5540,,5630,,5800,5640,,,,,5700,5500,5860,5450</t>
  </si>
  <si>
    <t>2025-05-07 07:42:00,,,,,19475,,,,,,,,,,</t>
  </si>
  <si>
    <t>2025-05-07 07:42:00,1193904332.73804,0,0,0,0,0,0,0</t>
  </si>
  <si>
    <t>2025-05-07 07:42:00,1399563432.0037,0,0,0,0,0,0,0</t>
  </si>
  <si>
    <t>2025-05-07 07:42:00,-3697692.71031325,-2430324.0513228,-323.653333333333,-16,-5216.95006666666,-213.32,0.00397070898718282,-3.62</t>
  </si>
  <si>
    <t>2025-05-07 07:42:00,16795802.2466887,0,0,0,0,0,0,0</t>
  </si>
  <si>
    <t>2025-05-07 07:43:00,,,,,,555,,,,,,,,,</t>
  </si>
  <si>
    <t>2025-05-07 07:43:00,490,,,,470,,,,,,,,,,</t>
  </si>
  <si>
    <t>2025-05-07 07:43:00,5800,,,5630,,5800,5640,,,,,5700,5500,5860,5450</t>
  </si>
  <si>
    <t>2025-05-07 07:43:00,,,,,19475,,,,,,,,,,</t>
  </si>
  <si>
    <t>2025-05-07 07:43:00,1399726484.61901,0,0,0,0,0,0,0</t>
  </si>
  <si>
    <t>2025-05-07 07:43:00,1448902011.7199,0,0,0,0,0,0,0</t>
  </si>
  <si>
    <t>2025-05-07 07:43:00,-4193314.78941721,-2605198.48878482,-59,-5,-378.7,-23,-0.00300829268624073,-0.51</t>
  </si>
  <si>
    <t>2025-05-07 07:43:00,17037869.8715853,0,0,0,0,0,0,0</t>
  </si>
  <si>
    <t>2025-05-07 07:44:00,,,,,,555,,,,,,,,,</t>
  </si>
  <si>
    <t>2025-05-07 07:44:00,490,,,,470,,,,,,,,,,</t>
  </si>
  <si>
    <t>2025-05-07 07:44:00,5800,,,5630,,5800,5640,,,,,5700,5500,5860,5450</t>
  </si>
  <si>
    <t>2025-05-07 07:44:00,,,,,19475,,,,,,,,,,</t>
  </si>
  <si>
    <t>2025-05-07 07:44:00,1386736184.18008,0,0,0,0,0,0,0</t>
  </si>
  <si>
    <t>2025-05-07 07:44:00,1457632706.98165,0,0,0,0,0,0,0</t>
  </si>
  <si>
    <t>2025-05-07 07:44:00,-4064894.10435995,-2564465.41492118,-510.249999999999,-24,-11014.3805,-296.83,-0.0264559317735831,-6.57</t>
  </si>
  <si>
    <t>2025-05-07 07:44:00,17121902.6198556,0,0,0,0,0,0,0</t>
  </si>
  <si>
    <t>2025-05-07 07:45:00,,,,,,555,,,,,,,,,</t>
  </si>
  <si>
    <t>2025-05-07 07:45:00,490,,,,470,,,,,,,,,,</t>
  </si>
  <si>
    <t>2025-05-07 07:45:00,5800,,,5630,,5800,5640,,,,,5700,5500,5860,5450</t>
  </si>
  <si>
    <t>2025-05-07 07:45:00,,,,,19475,,,,,,,,,,</t>
  </si>
  <si>
    <t>2025-05-07 07:45:00,1405756381.76851,0,0,0,0,0,0,0</t>
  </si>
  <si>
    <t>2025-05-07 07:45:00,1464265930.31667,0,0,0,0,0,0,0</t>
  </si>
  <si>
    <t>2025-05-07 07:45:00,-4396787.78460319,-2671660.7729294,-681.766666666668,-26,-13719.981,-339.39,-0.00915345915361854,-6.93</t>
  </si>
  <si>
    <t>2025-05-07 07:45:00,17199424.0341386,0,0,0,0,0,0,0</t>
  </si>
  <si>
    <t>2025-05-07 07:46:00,,,,,,555,,,,,,,,,</t>
  </si>
  <si>
    <t>2025-05-07 07:46:00,490,,,,470,,,,,,,,,,</t>
  </si>
  <si>
    <t>2025-05-07 07:46:00,5800,,,5630,,5800,5640,,,,,5700,5500,5860,5450</t>
  </si>
  <si>
    <t>2025-05-07 07:46:00,,,,,19475,,,,,,,,,,</t>
  </si>
  <si>
    <t>2025-05-07 07:46:00,1405807912.89454,0,0,0,0,0,0,0</t>
  </si>
  <si>
    <t>2025-05-07 07:46:00,1467308853.46206,0,0,0,0,0,0,0</t>
  </si>
  <si>
    <t>2025-05-07 07:46:00,-4206122.81493877,-2626488.15528735,-919.633333333334,-26,-22107.436,-466.77,0.0397151004844859,-8.42</t>
  </si>
  <si>
    <t>2025-05-07 07:46:00,17223929.4329823,0,0,0,0,0,0,0</t>
  </si>
  <si>
    <t>2025-05-07 07:47:00,,,,,,555,,,,,,,,,</t>
  </si>
  <si>
    <t>2025-05-07 07:47:00,490,,,,470,,,,,,,,,,</t>
  </si>
  <si>
    <t>2025-05-07 07:47:00,5800,,,5630,,5800,5640,,,,,5700,5500,5860,5450</t>
  </si>
  <si>
    <t>2025-05-07 07:47:00,,,,,19475,,,,,,,,,,</t>
  </si>
  <si>
    <t>2025-05-07 07:47:00,1451790975.48977,0,0,0,0,0,0,0</t>
  </si>
  <si>
    <t>2025-05-07 07:47:00,1504166580.88291,0,0,0,0,0,0,0</t>
  </si>
  <si>
    <t>2025-05-07 07:47:00,-2977010.58445183,-2307755.87703769,-173.8,-10,-808.370999999999,-35.77,-0.000289047287677637,-0.73</t>
  </si>
  <si>
    <t>2025-05-07 07:47:00,17409242.0247234,0,0,0,0,0,0,0</t>
  </si>
  <si>
    <t>2025-05-07 07:48:00,,,,,,555,,,,,,,,,</t>
  </si>
  <si>
    <t>2025-05-07 07:48:00,490,,,,470,,,,,,,,,,</t>
  </si>
  <si>
    <t>2025-05-07 07:48:00,,5540,,5630,,5800,5640,,,,,5700,5500,5860,5450</t>
  </si>
  <si>
    <t>2025-05-07 07:48:00,,,,,19475,,,,,,,,,,</t>
  </si>
  <si>
    <t>2025-05-07 07:48:00,1245226766.36091,0,0,0,0,0,0,0</t>
  </si>
  <si>
    <t>2025-05-07 07:48:00,1412054426.98766,0,0,0,0,0,0,0</t>
  </si>
  <si>
    <t>2025-05-07 07:48:00,-3778149.34285676,-2559026.63955385,-5764.86666666663,-146,-142913.704999999,-2819.02,0.516317636940371,-48.15</t>
  </si>
  <si>
    <t>2025-05-07 07:48:00,16824484.5030376,0,0,0,0,0,0,0</t>
  </si>
  <si>
    <t>2025-05-07 07:49:00,,,,,,555,,,,,,,,,</t>
  </si>
  <si>
    <t>2025-05-07 07:49:00,490,,,,470,,,,,,,,,,</t>
  </si>
  <si>
    <t>2025-05-07 07:49:00,,5540,,5630,,5800,5640,,,,,5700,5500,5860,5450</t>
  </si>
  <si>
    <t>2025-05-07 07:49:00,,,,,19475,,,,,,,,,,</t>
  </si>
  <si>
    <t>2025-05-07 07:49:00,1192694499.26511,0,0,0,0,0,0,0</t>
  </si>
  <si>
    <t>2025-05-07 07:49:00,1421406159.06781,0,0,0,0,0,0,0</t>
  </si>
  <si>
    <t>2025-05-07 07:49:00,-3476003.07818252,-2524848.27838213,-396.616666666666,-17,-11179.6306666666,-337.66,0.0315313243627851,-5.69</t>
  </si>
  <si>
    <t>2025-05-07 07:49:00,16983181.7781481,0,0,0,0,0,0,0</t>
  </si>
  <si>
    <t>2025-05-07 07:50:00,,,,,,555,,,,,,,,,</t>
  </si>
  <si>
    <t>2025-05-07 07:50:00,490,,,,470,,,,,,,,,,</t>
  </si>
  <si>
    <t>2025-05-07 07:50:00,5800,,,5630,,5800,5640,,,,,5700,5500,5860,5450</t>
  </si>
  <si>
    <t>2025-05-07 07:50:00,,,,,19475,,,,,,,,,,</t>
  </si>
  <si>
    <t>2025-05-07 07:50:00,1417883239.75401,0,0,0,0,0,0,0</t>
  </si>
  <si>
    <t>2025-05-07 07:50:00,1473684298.22748,0,0,0,0,0,0,0</t>
  </si>
  <si>
    <t>2025-05-07 07:50:00,-4228122.02684979,-2761234.41980624,-248.233333333332,-10,-5327.85799999996,-140.25,-0.00805849370519411,-2.76</t>
  </si>
  <si>
    <t>2025-05-07 07:50:00,17248200.669755,0,0,0,0,0,0,0</t>
  </si>
  <si>
    <t>2025-05-07 07:51:00,,,,,,555,,,,,,,,,</t>
  </si>
  <si>
    <t>2025-05-07 07:51:00,490,,,,470,,,,,,,,,,</t>
  </si>
  <si>
    <t>2025-05-07 07:51:00,5800,,,5630,,5800,5640,,,,,5700,5500,5860,5450</t>
  </si>
  <si>
    <t>2025-05-07 07:51:00,,,,,19475,,,,,,,,,,</t>
  </si>
  <si>
    <t>2025-05-07 07:51:00,1507948181.5011,0,0,0,0,0,0,0</t>
  </si>
  <si>
    <t>2025-05-07 07:51:00,1539546630.21289,0,0,0,0,0,0,0</t>
  </si>
  <si>
    <t>2025-05-07 07:51:00,-3122695.17522026,-2526295.67722033,-722.300000000001,-24,-12786.495,-325.89,0.0168144204789364,-6.3</t>
  </si>
  <si>
    <t>2025-05-07 07:51:00,17658283.3850838,0,0,0,0,0,0,0</t>
  </si>
  <si>
    <t>2025-05-07 07:52:00,,,,,,555,,,,,,,,,</t>
  </si>
  <si>
    <t>2025-05-07 07:52:00,490,,,,470,,,,,,,,,,</t>
  </si>
  <si>
    <t>2025-05-07 07:52:00,5800,,,5630,,5800,5640,,,,,5700,5500,5860,5450</t>
  </si>
  <si>
    <t>2025-05-07 07:52:00,,,,,19475,,,,,,,,,,</t>
  </si>
  <si>
    <t>2025-05-07 07:52:00,1602226368.75878,0,0,0,0,0,0,0</t>
  </si>
  <si>
    <t>2025-05-07 07:52:00,1574790331.35153,0,0,0,0,0,0,0</t>
  </si>
  <si>
    <t>2025-05-07 07:52:00,-3396935.38862086,-2930218.94961717,-6205.83333333332,-140,-208194.707,-4096.36,0.811945652528377,-72.2</t>
  </si>
  <si>
    <t>2025-05-07 07:52:00,17946449.6491144,0,0,0,0,0,0,0</t>
  </si>
  <si>
    <t>2025-05-07 07:53:00,,,,,,555,,,,,,,,,</t>
  </si>
  <si>
    <t>2025-05-07 07:53:00,490,,,,470,,,,,,,,,,</t>
  </si>
  <si>
    <t>2025-05-07 07:53:00,5800,,,5630,,5800,5640,,,,,5700,5500,5860,5450</t>
  </si>
  <si>
    <t>2025-05-07 07:53:00,,,,,19475,,,,,,,,,,</t>
  </si>
  <si>
    <t>2025-05-07 07:53:00,1548632264.63186,0,0,0,0,0,0,0</t>
  </si>
  <si>
    <t>2025-05-07 07:53:00,1553583069.79292,0,0,0,0,0,0,0</t>
  </si>
  <si>
    <t>2025-05-07 07:53:00,-3203228.32467804,-2811272.9906238,-1498.15000000001,-48,-36046.5985000002,-745.87,0.0477677386301319,-15.08</t>
  </si>
  <si>
    <t>2025-05-07 07:53:00,17722996.4039677,0,0,0,0,0,0,0</t>
  </si>
  <si>
    <t>2025-05-07 07:54:00,,,,,,555,,,,,,,,,</t>
  </si>
  <si>
    <t>2025-05-07 07:54:00,490,,,,470,,,,,,,,,,</t>
  </si>
  <si>
    <t>2025-05-07 07:54:00,5800,,,5630,,5800,5640,,,,,5700,5500,5860,5450</t>
  </si>
  <si>
    <t>2025-05-07 07:54:00,,,,,19475,,,,,,,,,,</t>
  </si>
  <si>
    <t>2025-05-07 07:54:00,1495737332.70508,0,0,0,0,0,0,0</t>
  </si>
  <si>
    <t>2025-05-07 07:54:00,1539235125.29097,0,0,0,0,0,0,0</t>
  </si>
  <si>
    <t>2025-05-07 07:54:00,-3098484.41371563,-2771664.6822633,-752.75,-22,-22400.1308333333,-493.5,0.057112427889651,-9.42</t>
  </si>
  <si>
    <t>2025-05-07 07:54:00,17610049.4027989,0,0,0,0,0,0,0</t>
  </si>
  <si>
    <t>2025-05-07 07:55:00,,,,,,555,,,,,,,,,</t>
  </si>
  <si>
    <t>2025-05-07 07:55:00,490,,,,470,,,,,,,,,,</t>
  </si>
  <si>
    <t>2025-05-07 07:55:00,,5540,,5630,,5800,5640,,,,,5700,5500,5860,5450</t>
  </si>
  <si>
    <t>2025-05-07 07:55:00,,,,,19475,,,,,,,,,,</t>
  </si>
  <si>
    <t>2025-05-07 07:55:00,1237773488.31055,0,0,0,0,0,0,0</t>
  </si>
  <si>
    <t>2025-05-07 07:55:00,1424352645.0749,0,0,0,0,0,0,0</t>
  </si>
  <si>
    <t>2025-05-07 07:55:00,-3692936.86389464,-2838811.55941678,-884.433333333336,-22,-18301.0320000001,-378.54,0.0577511239275182,-6.56</t>
  </si>
  <si>
    <t>2025-05-07 07:55:00,16982357.9392166,0,0,0,0,0,0,0</t>
  </si>
  <si>
    <t>2025-05-07 07:56:00,,,,,,555,,,,,,,,,</t>
  </si>
  <si>
    <t>2025-05-07 07:56:00,490,,,,470,,,,,,,,,,</t>
  </si>
  <si>
    <t>2025-05-07 07:56:00,,5540,,5630,,5800,5640,,,,,5700,5500,5860,5450</t>
  </si>
  <si>
    <t>2025-05-07 07:56:00,,,,,19475,,,,,,,,,,</t>
  </si>
  <si>
    <t>2025-05-07 07:56:00,1236871602.24094,0,0,0,0,0,0,0</t>
  </si>
  <si>
    <t>2025-05-07 07:56:00,1405544673.73285,0,0,0,0,0,0,0</t>
  </si>
  <si>
    <t>2025-05-07 07:56:00,-3582989.05812046,-2796586.43541613,-325.283333333333,-27,-4347.52249999999,-166.39,-0.0315349280422742,-3.58</t>
  </si>
  <si>
    <t>2025-05-07 07:56:00,16888297.2565484,0,0,0,0,0,0,0</t>
  </si>
  <si>
    <t>2025-05-07 07:57:00,,,,,,555,,,,,,,,,</t>
  </si>
  <si>
    <t>2025-05-07 07:57:00,490,,,,470,,,,,,,,,,</t>
  </si>
  <si>
    <t>2025-05-07 07:57:00,5800,,5700,,,5800,5640,,,,,5700,5500,5860,5450</t>
  </si>
  <si>
    <t>2025-05-07 07:57:00,,,,,19475,,,,,,,,,,</t>
  </si>
  <si>
    <t>2025-05-07 07:57:00,1237544789.69348,0,0,0,0,0,0,0</t>
  </si>
  <si>
    <t>2025-05-07 07:57:00,1387914492.46156,0,0,0,0,0,0,0</t>
  </si>
  <si>
    <t>2025-05-07 07:57:00,-784125.171268985,-2719425.66661405,-1124.33333333333,-45,-18960.3368333333,-608.65,0.0390961186817113,-11.19</t>
  </si>
  <si>
    <t>2025-05-07 07:57:00,16694959.1212432,0,0,0,0,0,0,0</t>
  </si>
  <si>
    <t>2025-05-07 07:58:00,,,,,,555,,,,,,,,,</t>
  </si>
  <si>
    <t>2025-05-07 07:58:00,490,,,,470,,,,,,,,,,</t>
  </si>
  <si>
    <t>2025-05-07 07:58:00,5800,,5700,,,5800,5640,,,,,5700,5500,5860,5450</t>
  </si>
  <si>
    <t>2025-05-07 07:58:00,,,,,19475,,,,,,,,,,</t>
  </si>
  <si>
    <t>2025-05-07 07:58:00,1176510357.88958,0,0,0,0,0,0,0</t>
  </si>
  <si>
    <t>2025-05-07 07:58:00,1354515949.23662,0,0,0,0,0,0,0</t>
  </si>
  <si>
    <t>2025-05-07 07:58:00,-1033141.84989356,-2547946.09235751,-1169.86666666667,-185,-11846.1063333333,-582.9,-0.190445371593779,-13.58</t>
  </si>
  <si>
    <t>2025-05-07 07:58:00,16422381.1856268,0,0,0,0,0,0,0</t>
  </si>
  <si>
    <t>2025-05-07 07:59:00,,,,,,555,,,,,,,,,</t>
  </si>
  <si>
    <t>2025-05-07 07:59:00,490,,,,470,,,,,,,,,,</t>
  </si>
  <si>
    <t>2025-05-07 07:59:00,5800,,5700,,,5800,5640,,,,,5700,5500,5860,5450</t>
  </si>
  <si>
    <t>2025-05-07 07:59:00,,,,,19475,,,,,,,,,,</t>
  </si>
  <si>
    <t>2025-05-07 07:59:00,1211639525.08998,0,0,0,0,0,0,0</t>
  </si>
  <si>
    <t>2025-05-07 07:59:00,1377234965.60957,0,0,0,0,0,0,0</t>
  </si>
  <si>
    <t>2025-05-07 07:59:00,-1145084.89527439,-2602562.29416388,-781.016666666669,-33,-15399.8848333334,-340.55,-0.0186638452721068,-6.72</t>
  </si>
  <si>
    <t>2025-05-07 07:59:00,16589581.5412795,0,0,0,0,0,0,0</t>
  </si>
  <si>
    <t>2025-05-07 08:00:00,,,,,,555,,,,,,,,,</t>
  </si>
  <si>
    <t>2025-05-07 08:00:00,490,,,,470,,,,,,,,,,</t>
  </si>
  <si>
    <t>2025-05-07 08:00:00,5800,,5700,,,5800,5640,,,,,5700,5500,5860,5450</t>
  </si>
  <si>
    <t>2025-05-07 08:00:00,,,,,19475,,,,,,,,,,</t>
  </si>
  <si>
    <t>2025-05-07 08:00:00,992207702.429161,0,0,0,0,0,0,0</t>
  </si>
  <si>
    <t>2025-05-07 08:00:00,1243885075.68033,0,0,0,0,0,0,0</t>
  </si>
  <si>
    <t>2025-05-07 08:00:00,-1098045.64195548,-2390602.23872413,-2287.86666666667,-95,-56541.8883333334,-1732.9,0.147825457613839,-30.94</t>
  </si>
  <si>
    <t>2025-05-07 08:00:00,15556575.7560226,0,0,0,0,0,0,0</t>
  </si>
  <si>
    <t>2025-05-07 08:01:00,,,,,,555,,,,,,,,,</t>
  </si>
  <si>
    <t>2025-05-07 08:01:00,490,,,,470,,,,,,,,,,</t>
  </si>
  <si>
    <t>2025-05-07 08:01:00,5800,,5700,,,5800,5640,,,,,5700,5500,5860,5450</t>
  </si>
  <si>
    <t>2025-05-07 08:01:00,,,,,19475,,,,,,,,,,</t>
  </si>
  <si>
    <t>2025-05-07 08:01:00,927089815.841678,0,0,0,0,0,0,0</t>
  </si>
  <si>
    <t>2025-05-07 08:01:00,1256585996.19163,0,0,0,0,0,0,0</t>
  </si>
  <si>
    <t>2025-05-07 08:01:00,-1136159.51667817,-2376600.73696314,-1078.58333333333,-103,-18981.9595,-592.68,0.0427994186353661,-11.61</t>
  </si>
  <si>
    <t>2025-05-07 08:01:00,15621653.7413163,0,0,0,0,0,0,0</t>
  </si>
  <si>
    <t>2025-05-07 08:03:00,,,,,,555,,,,,,,,,</t>
  </si>
  <si>
    <t>2025-05-07 08:03:00,490,,,,470,,,,,,,,,,</t>
  </si>
  <si>
    <t>2025-05-07 08:03:00,5800,,5700,,,5800,5640,,,,,5700,5500,5860,5450</t>
  </si>
  <si>
    <t>2025-05-07 08:03:00,,,,,19475,,,,,,,,,,</t>
  </si>
  <si>
    <t>2025-05-07 08:03:00,972511790.089004,0,0,0,0,0,0,0</t>
  </si>
  <si>
    <t>2025-05-07 08:03:00,1272174922.57014,0,0,0,0,0,0,0</t>
  </si>
  <si>
    <t>2025-05-07 08:03:00,-1217540.82311286,-2459689.90845323,-1421.66666666667,-60,-29148.0326666667,-784.28,0.122269294872975,-13.61</t>
  </si>
  <si>
    <t>2025-05-07 08:03:00,15747804.1756577,0,0,0,0,0,0,0</t>
  </si>
  <si>
    <t>2025-05-07 08:04:00,,,,,,555,,,,,,,,,</t>
  </si>
  <si>
    <t>2025-05-07 08:04:00,490,,,,470,,,,,,,,,,</t>
  </si>
  <si>
    <t>2025-05-07 08:04:00,5800,,5700,,,5800,5640,,,,,5700,5500,5860,5450</t>
  </si>
  <si>
    <t>2025-05-07 08:04:00,,,,,19475,,,,,,,,,,</t>
  </si>
  <si>
    <t>2025-05-07 08:04:00,978925496.689577,0,0,0,0,0,0,0</t>
  </si>
  <si>
    <t>2025-05-07 08:04:00,1272189471.02539,0,0,0,0,0,0,0</t>
  </si>
  <si>
    <t>2025-05-07 08:04:00,-1224694.54138201,-2275194.77873943,-4836.41666666668,-280,-60744.1445000001,-3315.96,-0.768725874670475,-79.93</t>
  </si>
  <si>
    <t>2025-05-07 08:04:00,15803179.2788333,0,0,0,0,0,0,0</t>
  </si>
  <si>
    <t>2025-05-07 08:05:00,,,,,,555,,,,,,,,,</t>
  </si>
  <si>
    <t>2025-05-07 08:05:00,490,,,,470,,,,,,,,,,</t>
  </si>
  <si>
    <t>2025-05-07 08:05:00,5800,,5700,,,5800,5640,,,,,5700,5500,5860,5450</t>
  </si>
  <si>
    <t>2025-05-07 08:05:00,,,,,19475,,,,,,,,,,</t>
  </si>
  <si>
    <t>2025-05-07 08:05:00,939813169.644446,0,0,0,0,0,0,0</t>
  </si>
  <si>
    <t>2025-05-07 08:05:00,1256437672.77502,0,0,0,0,0,0,0</t>
  </si>
  <si>
    <t>2025-05-07 08:05:00,-1214471.62740181,-2236061.27773464,-205,-16,-2362.02,-132.14,-0.0191981227806394,-2.9</t>
  </si>
  <si>
    <t>2025-05-07 08:05:00,15641295.6918516,0,0,0,0,0,0,0</t>
  </si>
  <si>
    <t>2025-05-07 08:06:00,,,,,,555,,,,,,,,,</t>
  </si>
  <si>
    <t>2025-05-07 08:06:00,490,,,,470,,,,,,,,,,</t>
  </si>
  <si>
    <t>2025-05-07 08:06:00,,5540,5650,,,5800,5640,,,,,5700,5500,5860,5450</t>
  </si>
  <si>
    <t>2025-05-07 08:06:00,,,,,19475,,,,,,,,,,</t>
  </si>
  <si>
    <t>2025-05-07 08:06:00,763387030.639414,0,0,0,0,0,0,0</t>
  </si>
  <si>
    <t>2025-05-07 08:06:00,1159307992.99159,0,0,0,0,0,0,0</t>
  </si>
  <si>
    <t>2025-05-07 08:06:00,-855485.224203728,-2109238.79262691,-1116.41666666666,-90,-17219.2726666666,-800.5,0.0861524501256661,-13.87</t>
  </si>
  <si>
    <t>2025-05-07 08:06:00,14868664.1437803,0,0,0,0,0,0,0</t>
  </si>
  <si>
    <t>2025-05-07 08:07:00,,,,,,555,,,,,,,,,</t>
  </si>
  <si>
    <t>2025-05-07 08:07:00,490,,,,470,,,,,,,,,,</t>
  </si>
  <si>
    <t>2025-05-07 08:07:00,,5540,5650,,,5800,5640,,,,,5700,5500,5860,5450</t>
  </si>
  <si>
    <t>2025-05-07 08:07:00,,,,,19475,,,,,,,,,,</t>
  </si>
  <si>
    <t>2025-05-07 08:07:00,679020224.558032,0,0,0,0,0,0,0</t>
  </si>
  <si>
    <t>2025-05-07 08:07:00,1098909134.6842,0,0,0,0,0,0,0</t>
  </si>
  <si>
    <t>2025-05-07 08:07:00,-575720.937043681,-1892949.41824112,-5832.69999999998,-446,-72330.8433333331,-5000.8,-0.477382679252233,-108.1</t>
  </si>
  <si>
    <t>2025-05-07 08:07:00,14513566.2771417,0,0,0,0,0,0,0</t>
  </si>
  <si>
    <t>2025-05-07 08:08:00,,,,,,555,,,,,,,,,</t>
  </si>
  <si>
    <t>2025-05-07 08:08:00,490,,,,470,,,,,,,,,,</t>
  </si>
  <si>
    <t>2025-05-07 08:08:00,,5540,5650,,,5800,5640,,,,,5700,5500,5860,5450</t>
  </si>
  <si>
    <t>2025-05-07 08:08:00,,,,,19475,,,,,,,,,,</t>
  </si>
  <si>
    <t>2025-05-07 08:08:00,685091394.176567,0,0,0,0,0,0,0</t>
  </si>
  <si>
    <t>2025-05-07 08:08:00,1102211161.732,0,0,0,0,0,0,0</t>
  </si>
  <si>
    <t>2025-05-07 08:08:00,-361587.460149151,-1845820.73933965,-193.433333333334,-21,-2514.91800000001,-163.54,-0.00838532119510944,-3.35</t>
  </si>
  <si>
    <t>2025-05-07 08:08:00,14484667.0312338,0,0,0,0,0,0,0</t>
  </si>
  <si>
    <t>2025-05-07 08:09:00,,,,,,555,,,,,,,,,</t>
  </si>
  <si>
    <t>2025-05-07 08:09:00,490,,,,470,,,,,,,,,,</t>
  </si>
  <si>
    <t>2025-05-07 08:09:00,,5540,5650,,,5800,5640,,,,,5700,5500,5860,5450</t>
  </si>
  <si>
    <t>2025-05-07 08:09:00,,,,,19475,,,,,,,,,,</t>
  </si>
  <si>
    <t>2025-05-07 08:09:00,601250480.680428,0,0,0,0,0,0,0</t>
  </si>
  <si>
    <t>2025-05-07 08:09:00,1073219687.28261,0,0,0,0,0,0,0</t>
  </si>
  <si>
    <t>2025-05-07 08:09:00,-222956.192161481,-1827357.77635328,-548.008333333331,-44,-13176.4417499999,-621.95,0.0142055102596633,-11.12</t>
  </si>
  <si>
    <t>2025-05-07 08:09:00,14266126.3561735,0,0,0,0,0,0,0</t>
  </si>
  <si>
    <t>2025-05-07 08:10:00,,,,,,555,,,,,,,,,</t>
  </si>
  <si>
    <t>2025-05-07 08:10:00,490,,,,470,,,,,,,,,,</t>
  </si>
  <si>
    <t>2025-05-07 08:10:00,,5540,5650,,,5800,5640,,,,,5700,5500,5860,5450</t>
  </si>
  <si>
    <t>2025-05-07 08:10:00,,,,,19475,,,,,,,,,,</t>
  </si>
  <si>
    <t>2025-05-07 08:10:00,555555761.222864,0,0,0,0,0,0,0</t>
  </si>
  <si>
    <t>2025-05-07 08:10:00,1031726997.62946,0,0,0,0,0,0,0</t>
  </si>
  <si>
    <t>2025-05-07 08:10:00,-213151.097290653,-1864511.75202126,-2773.3,-212,-32929.1686666667,-2130.88,0.292703380653371,-39.92</t>
  </si>
  <si>
    <t>2025-05-07 08:10:00,13952907.230238,0,0,0,0,0,0,0</t>
  </si>
  <si>
    <t>2025-05-07 08:11:00,,,,,,555,,,,,,,,,</t>
  </si>
  <si>
    <t>2025-05-07 08:11:00,490,,,,470,,,,,,,,,,</t>
  </si>
  <si>
    <t>2025-05-07 08:11:00,,5540,5650,,,5800,5640,,,,,5700,5500,5860,5450</t>
  </si>
  <si>
    <t>2025-05-07 08:11:00,,,,,19475,,,,,,,,,,</t>
  </si>
  <si>
    <t>2025-05-07 08:11:00,626721378.709115,0,0,0,0,0,0,0</t>
  </si>
  <si>
    <t>2025-05-07 08:11:00,1083020875.38841,0,0,0,0,0,0,0</t>
  </si>
  <si>
    <t>2025-05-07 08:11:00,-137751.779217826,-1867314.60551001,-1054.675,-53,-22499.5057499999,-924.18,0.166919094093317,-15.77</t>
  </si>
  <si>
    <t>2025-05-07 08:11:00,14312665.3373406,0,0,0,0,0,0,0</t>
  </si>
  <si>
    <t>2025-05-07 08:12:00,,,,,,555,,,,,,,,,</t>
  </si>
  <si>
    <t>2025-05-07 08:12:00,490,,,,470,,,,,,,,,,</t>
  </si>
  <si>
    <t>2025-05-07 08:12:00,,5540,5650,,,5800,5640,,,,,5700,5500,5860,5450</t>
  </si>
  <si>
    <t>2025-05-07 08:12:00,,,,,19475,,,,,,,,,,</t>
  </si>
  <si>
    <t>2025-05-07 08:12:00,600684043.319126,0,0,0,0,0,0,0</t>
  </si>
  <si>
    <t>2025-05-07 08:12:00,1070029309.63257,0,0,0,0,0,0,0</t>
  </si>
  <si>
    <t>2025-05-07 08:12:00,-151561.817704285,-1859858.86277282,-330.5,-54,-2989.92499999999,-277.33,-0.064004994802037,-6.47</t>
  </si>
  <si>
    <t>2025-05-07 08:12:00,14240530.5879482,0,0,0,0,0,0,0</t>
  </si>
  <si>
    <t>2025-05-07 08:13:00,,,,,,555,,,,,,,,,</t>
  </si>
  <si>
    <t>2025-05-07 08:13:00,490,,,,470,,,,,,,,,,</t>
  </si>
  <si>
    <t>2025-05-07 08:13:00,,5540,5650,,,5800,5640,,,,,5700,5500,5860,5450</t>
  </si>
  <si>
    <t>2025-05-07 08:13:00,,,,,19475,,,,,,,,,,</t>
  </si>
  <si>
    <t>2025-05-07 08:13:00,645701017.933582,0,0,0,0,0,0,0</t>
  </si>
  <si>
    <t>2025-05-07 08:13:00,1092628025.95418,0,0,0,0,0,0,0</t>
  </si>
  <si>
    <t>2025-05-07 08:13:00,-232160.293028576,-1858899.4234568,-1072.65,-87,-19373.4468333333,-1278.6,-0.0536276178532846,-23.32</t>
  </si>
  <si>
    <t>2025-05-07 08:13:00,14400466.4577575,0,0,0,0,0,0,0</t>
  </si>
  <si>
    <t>2025-05-07 08:14:00,,,,,,555,,,,,,,,,</t>
  </si>
  <si>
    <t>2025-05-07 08:14:00,490,,,,470,,,,,,,,,,</t>
  </si>
  <si>
    <t>2025-05-07 08:14:00,,5540,5650,,,5800,5640,,,,,5700,5500,5860,5450</t>
  </si>
  <si>
    <t>2025-05-07 08:14:00,,,,,19475,,,,,,,,,,</t>
  </si>
  <si>
    <t>2025-05-07 08:14:00,548937857.891102,0,0,0,0,0,0,0</t>
  </si>
  <si>
    <t>2025-05-07 08:14:00,1044268902.55692,0,0,0,0,0,0,0</t>
  </si>
  <si>
    <t>2025-05-07 08:14:00,-119343.769462846,-1823878.66617871,-1800.68333333333,-70,-27750.0405,-1220.9,0.293435926903027,-21.61</t>
  </si>
  <si>
    <t>2025-05-07 08:14:00,14070423.3231817,0,0,0,0,0,0,0</t>
  </si>
  <si>
    <t>2025-05-07 08:15:00,,,,,,555,,,,,,,,,</t>
  </si>
  <si>
    <t>2025-05-07 08:15:00,490,,,,470,,,,,,,,,,</t>
  </si>
  <si>
    <t>2025-05-07 08:15:00,,5540,5650,,,5700,5640,,,,,5700,5500,5860,5450</t>
  </si>
  <si>
    <t>2025-05-07 08:15:00,,,,,19475,,,,,,,,,,</t>
  </si>
  <si>
    <t>2025-05-07 08:15:00,498173102.450078,0,0,0,0,0,0,0</t>
  </si>
  <si>
    <t>2025-05-07 08:15:00,1018856870.66903,0,0,0,0,0,0,0</t>
  </si>
  <si>
    <t>2025-05-07 08:15:00,7721.67977460896,-1784800.77125422,-616.666666666667,-31,-10291.8456666667,-671.62,0.0546162541704676,-11.6</t>
  </si>
  <si>
    <t>2025-05-07 08:15:00,13882897.1039631,0,0,0,0,0,0,0</t>
  </si>
  <si>
    <t>2025-05-07 08:16:00,,,,,,555,,,,,,,,,</t>
  </si>
  <si>
    <t>2025-05-07 08:16:00,490,,,,470,,,,,,,,,,</t>
  </si>
  <si>
    <t>2025-05-07 08:16:00,,5540,5650,,,5800,5640,,,,,5700,5500,5860,5500</t>
  </si>
  <si>
    <t>2025-05-07 08:16:00,,,,,19475,,,,,,,,,,</t>
  </si>
  <si>
    <t>2025-05-07 08:16:00,717313909.157338,0,0,0,0,0,0,0</t>
  </si>
  <si>
    <t>2025-05-07 08:16:00,1134810663.4252,0,0,0,0,0,0,0</t>
  </si>
  <si>
    <t>2025-05-07 08:16:00,-413862.652788224,-2177013.28904587,-9615.28780487804,-557,-48875.107203252,-2645.76,1.0996452187086,-46.02</t>
  </si>
  <si>
    <t>2025-05-07 08:16:00,14813573.199804,0,0,0,0,0,0,0</t>
  </si>
  <si>
    <t>2025-05-07 08:17:00,,,,,,555,,,,,,,,,</t>
  </si>
  <si>
    <t>2025-05-07 08:17:00,490,,,,470,,,,,,,,,,</t>
  </si>
  <si>
    <t>2025-05-07 08:17:00,,5540,5650,,,5800,5640,,,,,5700,5500,5860,5500</t>
  </si>
  <si>
    <t>2025-05-07 08:17:00,,,,,19475,,,,,,,,,,</t>
  </si>
  <si>
    <t>2025-05-07 08:17:00,749023273.53722,0,0,0,0,0,0,0</t>
  </si>
  <si>
    <t>2025-05-07 08:17:00,1159233115.24561,0,0,0,0,0,0,0</t>
  </si>
  <si>
    <t>2025-05-07 08:17:00,-450251.232813538,-2171021.58633493,-956.249999999997,-54,-32176.8308333332,-1347.94,0.108368439621445,-22.55</t>
  </si>
  <si>
    <t>2025-05-07 08:17:00,14884015.0197223,0,0,0,0,0,0,0</t>
  </si>
  <si>
    <t>2025-05-07 08:18:00,,,,,,555,,,,,,,,,</t>
  </si>
  <si>
    <t>2025-05-07 08:18:00,490,,,,470,,,,,,,,,,</t>
  </si>
  <si>
    <t>2025-05-07 08:18:00,,5540,5650,,,5800,5640,,,,,5700,5500,5860,5500</t>
  </si>
  <si>
    <t>2025-05-07 08:18:00,,,,,19475,,,,,,,,,,</t>
  </si>
  <si>
    <t>2025-05-07 08:18:00,725982325.713987,0,0,0,0,0,0,0</t>
  </si>
  <si>
    <t>2025-05-07 08:18:00,1157969210.30332,0,0,0,0,0,0,0</t>
  </si>
  <si>
    <t>2025-05-07 08:18:00,-470405.407877107,-2224050.01523289,-2365.35,-167,-21789.5575,-1214.26,0.304375077412277,-22.24</t>
  </si>
  <si>
    <t>2025-05-07 08:18:00,14910132.3393956,0,0,0,0,0,0,0</t>
  </si>
  <si>
    <t>2025-05-07 08:19:00,,,,,,555,,,,,,,,,</t>
  </si>
  <si>
    <t>2025-05-07 08:19:00,490,,,,470,,,,,,,,,,</t>
  </si>
  <si>
    <t>2025-05-07 08:19:00,,5540,5650,,,5800,5640,,,,,5700,5500,5860,5500</t>
  </si>
  <si>
    <t>2025-05-07 08:19:00,,,,,19475,,,,,,,,,,</t>
  </si>
  <si>
    <t>2025-05-07 08:19:00,638633235.386803,0,0,0,0,0,0,0</t>
  </si>
  <si>
    <t>2025-05-07 08:19:00,1105275506.07724,0,0,0,0,0,0,0</t>
  </si>
  <si>
    <t>2025-05-07 08:19:00,-141929.271906424,-2165433.72804467,-404.366666666667,-25,-4093.80000000001,-286.56,-0.00417274676229959,-5.85</t>
  </si>
  <si>
    <t>2025-05-07 08:19:00,14525816.4994321,0,0,0,0,0,0,0</t>
  </si>
  <si>
    <t>2025-05-07 08:20:00,,,,,,555,,,,,,,,,</t>
  </si>
  <si>
    <t>2025-05-07 08:20:00,490,,,,470,,,,,,,,,,</t>
  </si>
  <si>
    <t>2025-05-07 08:20:00,,5540,5650,,,5800,5640,,,,,5700,5500,5860,5500</t>
  </si>
  <si>
    <t>2025-05-07 08:20:00,,,,,19475,,,,,,,,,,</t>
  </si>
  <si>
    <t>2025-05-07 08:20:00,631923946.895626,0,0,0,0,0,0,0</t>
  </si>
  <si>
    <t>2025-05-07 08:20:00,1120826477.5978,0,0,0,0,0,0,0</t>
  </si>
  <si>
    <t>2025-05-07 08:20:00,-186139.336726142,-2168522.25073691,-147.1,-19,-312.814,-37.51,0.0193935836791563,-0.82</t>
  </si>
  <si>
    <t>2025-05-07 08:20:00,14621720.9441519,0,0,0,0,0,0,0</t>
  </si>
  <si>
    <t>2025-05-07 08:21:00,,,,,,555,,,,,,,,,</t>
  </si>
  <si>
    <t>2025-05-07 08:21:00,490,,,,470,,,,,,,,,,</t>
  </si>
  <si>
    <t>2025-05-07 08:21:00,,5540,5650,,,5800,5640,,,,,5700,5500,5860,5500</t>
  </si>
  <si>
    <t>2025-05-07 08:21:00,,,,,19475,,,,,,,,,,</t>
  </si>
  <si>
    <t>2025-05-07 08:21:00,566644962.994716,0,0,0,0,0,0,0</t>
  </si>
  <si>
    <t>2025-05-07 08:21:00,1086190518.2167,0,0,0,0,0,0,0</t>
  </si>
  <si>
    <t>2025-05-07 08:21:00,-168825.654297362,-2130677.75563445,-387.816666666666,-43,-4990.21749999999,-446.26,-0.0428328785538316,-9.2</t>
  </si>
  <si>
    <t>2025-05-07 08:21:00,14339794.9328515,0,0,0,0,0,0,0</t>
  </si>
  <si>
    <t>2025-05-07 08:22:00,,,,,,555,,,,,,,,,</t>
  </si>
  <si>
    <t>2025-05-07 08:22:00,490,,,,470,,,,,,,,,,</t>
  </si>
  <si>
    <t>2025-05-07 08:22:00,,5540,5650,,,5800,5640,,,,,5700,5500,5860,5500</t>
  </si>
  <si>
    <t>2025-05-07 08:22:00,,,,,19475,,,,,,,,,,</t>
  </si>
  <si>
    <t>2025-05-07 08:22:00,800176543.753102,0,0,0,0,0,0,0</t>
  </si>
  <si>
    <t>2025-05-07 08:22:00,1171296512.10198,0,0,0,0,0,0,0</t>
  </si>
  <si>
    <t>2025-05-07 08:22:00,-743951.233016575,-2280395.28791927,-719.866666666668,-57,-3181.992,-233.38,0.0583038769613334,-4.6</t>
  </si>
  <si>
    <t>2025-05-07 08:22:00,14988426.0999442,0,0,0,0,0,0,0</t>
  </si>
  <si>
    <t>2025-05-07 08:23:00,,,,,,555,,,,,,,,,</t>
  </si>
  <si>
    <t>2025-05-07 08:23:00,490,,,,470,,,,,,,,,,</t>
  </si>
  <si>
    <t>2025-05-07 08:23:00,5800,,5650,,,5800,5640,,,,,5700,5500,5860,5500</t>
  </si>
  <si>
    <t>2025-05-07 08:23:00,,,,,19475,,,,,,,,,,</t>
  </si>
  <si>
    <t>2025-05-07 08:23:00,863693659.827107,0,0,0,0,0,0,0</t>
  </si>
  <si>
    <t>2025-05-07 08:23:00,1202693708.37456,0,0,0,0,0,0,0</t>
  </si>
  <si>
    <t>2025-05-07 08:23:00,-1119811.27063973,-2400730.95604356,-837.183333333332,-124,-6709.95299999997,-427.11,0.0588980734764079,-7.81</t>
  </si>
  <si>
    <t>2025-05-07 08:23:00,15226231.5208889,0,0,0,0,0,0,0</t>
  </si>
  <si>
    <t>2025-05-07 08:24:00,,,,,,555,,,,,,,,,</t>
  </si>
  <si>
    <t>2025-05-07 08:24:00,490,,,,470,,,,,,,,,,</t>
  </si>
  <si>
    <t>2025-05-07 08:24:00,,5540,5650,,,5800,5640,,,,,5700,5500,5860,5500</t>
  </si>
  <si>
    <t>2025-05-07 08:24:00,,,,,19475,,,,,,,,,,</t>
  </si>
  <si>
    <t>2025-05-07 08:24:00,819197958.845388,0,0,0,0,0,0,0</t>
  </si>
  <si>
    <t>2025-05-07 08:24:00,1162215577.19444,0,0,0,0,0,0,0</t>
  </si>
  <si>
    <t>2025-05-07 08:24:00,-739410.511941768,-2356994.58016476,-1423.41666666667,-56,-40348.1225000003,-1224.38,0.177143869764501,-20.72</t>
  </si>
  <si>
    <t>2025-05-07 08:24:00,14961027.1190592,0,0,0,0,0,0,0</t>
  </si>
  <si>
    <t>2025-05-07 08:25:00,,,,,,555,,,,,,,,,</t>
  </si>
  <si>
    <t>2025-05-07 08:25:00,490,,,,470,,,,,,,,,,</t>
  </si>
  <si>
    <t>2025-05-07 08:25:00,5800,,5650,,,5700,5640,,,,,5700,5500,5860,5500</t>
  </si>
  <si>
    <t>2025-05-07 08:25:00,,,,,19475,,,,,,,,,,</t>
  </si>
  <si>
    <t>2025-05-07 08:25:00,863391889.067201,0,0,0,0,0,0,0</t>
  </si>
  <si>
    <t>2025-05-07 08:25:00,1199577517.55294,0,0,0,0,0,0,0</t>
  </si>
  <si>
    <t>2025-05-07 08:25:00,1142119.7304805,-2227773.33116537,-44.6028599512717,-12,-233.357921794562,-60.73,0.00211760457103436,-1.69</t>
  </si>
  <si>
    <t>2025-05-07 08:25:00,15196808.2328096,0,0,0,0,0,0,0</t>
  </si>
  <si>
    <t>2025-05-07 08:26:00,,,,,,555,,,,,,,,,</t>
  </si>
  <si>
    <t>2025-05-07 08:26:00,490,,,,470,,,,,,,,,,</t>
  </si>
  <si>
    <t>2025-05-07 08:26:00,5800,,5650,,,5700,5640,,,,,5700,5500,5860,5500</t>
  </si>
  <si>
    <t>2025-05-07 08:26:00,,,,,19475,,,,,,,,,,</t>
  </si>
  <si>
    <t>2025-05-07 08:26:00,812156248.610179,0,0,0,0,0,0,0</t>
  </si>
  <si>
    <t>2025-05-07 08:26:00,1177362849.08393,0,0,0,0,0,0,0</t>
  </si>
  <si>
    <t>2025-05-07 08:26:00,696086.238897789,-2329403.9530108,0,0,0,0,0,0</t>
  </si>
  <si>
    <t>2025-05-07 08:26:00,15123242.9097997,0,0,0,0,0,0,0</t>
  </si>
  <si>
    <t>2025-05-07 08:27:00,,,,,,555,,,,,,,,,</t>
  </si>
  <si>
    <t>2025-05-07 08:27:00,490,,,,470,,,,,,,,,,</t>
  </si>
  <si>
    <t>2025-05-07 08:27:00,5800,,5650,,,5700,5640,,,,,5700,5500,5860,5500</t>
  </si>
  <si>
    <t>2025-05-07 08:27:00,,,,,19475,,,,,,,,,,</t>
  </si>
  <si>
    <t>2025-05-07 08:27:00,810641738.049826,0,0,0,0,0,0,0</t>
  </si>
  <si>
    <t>2025-05-07 08:27:00,1175663722.84018,0,0,0,0,0,0,0</t>
  </si>
  <si>
    <t>2025-05-07 08:27:00,693466.643837205,-2331141.05160131,0,0,0,0,0,0</t>
  </si>
  <si>
    <t>2025-05-07 08:27:00,15100082.0798987,0,0,0,0,0,0,0</t>
  </si>
  <si>
    <t>2025-05-07 08:28:00,,,,,,555,,,,,,,,,</t>
  </si>
  <si>
    <t>2025-05-07 08:28:00,490,,,,470,,,,,,,,,,</t>
  </si>
  <si>
    <t>2025-05-07 08:28:00,5800,,5650,,,5700,5640,,,,,5700,5500,5860,5500</t>
  </si>
  <si>
    <t>2025-05-07 08:28:00,,,,,19475,,,,,,,,,,</t>
  </si>
  <si>
    <t>2025-05-07 08:28:00,767030878.022439,0,0,0,0,0,0,0</t>
  </si>
  <si>
    <t>2025-05-07 08:28:00,1120730477.26602,0,0,0,0,0,0,0</t>
  </si>
  <si>
    <t>2025-05-07 08:28:00,472130.737836009,-2380204.70527913,0,0,0,0,0,0</t>
  </si>
  <si>
    <t>2025-05-07 08:28:00,14666938.7057885,0,0,0,0,0,0,0</t>
  </si>
  <si>
    <t>2025-05-07 08:29:00,,,,,,555,,,,,,,,,</t>
  </si>
  <si>
    <t>2025-05-07 08:29:00,490,,,,470,,,,,,,,,,</t>
  </si>
  <si>
    <t>2025-05-07 08:29:00,5800,,5650,,,5700,5640,,,,,5700,5500,5860,5500</t>
  </si>
  <si>
    <t>2025-05-07 08:29:00,,,,,19475,,,,,,,,,,</t>
  </si>
  <si>
    <t>2025-05-07 08:29:00,669566679.925415,0,0,0,0,0,0,0</t>
  </si>
  <si>
    <t>2025-05-07 08:29:00,1087257741.08381,0,0,0,0,0,0,0</t>
  </si>
  <si>
    <t>2025-05-07 08:29:00,-187586.700418955,-2529118.58773661,0,0,0,0,0,0</t>
  </si>
  <si>
    <t>2025-05-07 08:29:00,14365173.4513793,0,0,0,0,0,0,0</t>
  </si>
  <si>
    <t>2025-05-07 08:30:00,,,565,,,555,557.5,,,,,565,550,565,550</t>
  </si>
  <si>
    <t>2025-05-07 08:30:00,490,,486,,470,,482,,,,,490,477,486,490</t>
  </si>
  <si>
    <t>2025-05-07 08:30:00,,5540,5650,,,5800,5630,,,5610,,5700,5500,5610,5500</t>
  </si>
  <si>
    <t>2025-05-07 08:30:00,,,19875,,19475,,,,,,,19875,19500,19875,</t>
  </si>
  <si>
    <t>2025-05-07 08:30:00,121460951.68061,22922098.6419143,3284.81904761903,2446,6178.3211428571,3774.33,82.5868751231401,705.72</t>
  </si>
  <si>
    <t>2025-05-07 08:30:00,937083507.592271,21023008.8743167,2260.41365578865,1581,3458.92858974359,4538.24,18.7998756793364,881.36</t>
  </si>
  <si>
    <t>2025-05-07 08:30:00,3297973.91681408,-2546726.86316932,2683.89582470671,2004,60950.7241652866,41104.39,-7.55727083409965,755.44</t>
  </si>
  <si>
    <t>2025-05-07 08:30:00,13033527.3098561,2169.04359252987,13.9254856254856,12,997.180685314687,824.6,0.00935607591198453,4.3</t>
  </si>
  <si>
    <t>2025-05-07 08:31:00,,,565,,,555,580.5,,,,,565,556,564,575</t>
  </si>
  <si>
    <t>2025-05-07 08:31:00,490,,490,,470,,481,,,,,490,480,486,490</t>
  </si>
  <si>
    <t>2025-05-07 08:31:00,5700,,5650,,,5800,5630,,,,,5700,5500,5610,5500</t>
  </si>
  <si>
    <t>2025-05-07 08:31:00,,,20300,,19475,,19775,,,,,20300,19300,19875,20300</t>
  </si>
  <si>
    <t>2025-05-07 08:31:00,312450733.191285,71968701.061164,12980.2342940685,9025,11853.6413717626,9158.72,-35.7635431705602,2194.45</t>
  </si>
  <si>
    <t>2025-05-07 08:31:00,1030304883.52364,22605073.7135277,706.332416706102,1334,1087.41772024468,3046.16,-104.059961757833,722</t>
  </si>
  <si>
    <t>2025-05-07 08:31:00,6973759.54897548,-1649554.8899654,3588.0003968254,2006,34842.4504801591,24835.88,-0.20499219830241,548.82</t>
  </si>
  <si>
    <t>2025-05-07 08:31:00,15939083.9143446,5284.69177499901,-31.9388766788767,-34,-1070.34511978022,-641.42,-0.013079522208075,-4</t>
  </si>
  <si>
    <t>2025-05-07 08:32:00,,,562,,,555,558.5,,,,,565,555,562,565</t>
  </si>
  <si>
    <t>2025-05-07 08:32:00,490,,490,,470,,481,,482,,,490,480,483,490</t>
  </si>
  <si>
    <t>2025-05-07 08:32:00,5700,,5650,,,5800,5630,,,,,5700,5600,5610,5450</t>
  </si>
  <si>
    <t>2025-05-07 08:32:00,,,20300,,19475,,19775,,,,,20300,19300,19700,20300</t>
  </si>
  <si>
    <t>2025-05-07 08:32:00,325716670.801641,183416841.099088,5266.64040616243,-972,9880.70998949577,-4094.96,-147.204600091467,-686.79</t>
  </si>
  <si>
    <t>2025-05-07 08:32:00,1045110720.55805,42693864.8998812,2306.31003996003,822,4547.42953046951,1258.43,52.4279350146197,259.18</t>
  </si>
  <si>
    <t>2025-05-07 08:32:00,7555627.54355709,-1124211.51817729,977.81190476191,-93,10059.3187857145,4881.26,-3.1240767778861,111.14</t>
  </si>
  <si>
    <t>2025-05-07 08:32:00,15272486.2966222,4475.45679305408,-7.9063616938617,1,-75.4680629342886,768.9,-0.00245641250088879,3.41</t>
  </si>
  <si>
    <t>2025-05-07 08:33:00,,,562,,,555,558.5,,,,,565,550,556,565</t>
  </si>
  <si>
    <t>2025-05-07 08:33:00,490,,487,,470,,481,,482,,,490,480,487,490</t>
  </si>
  <si>
    <t>2025-05-07 08:33:00,5700,,5650,,,5700,5630,,,,,5700,5500,5610,5450</t>
  </si>
  <si>
    <t>2025-05-07 08:33:00,,,20000,,19475,,19775,,,,,20300,19300,19900,20300</t>
  </si>
  <si>
    <t>2025-05-07 08:33:00,294556816.596203,220313125.303949,-199.967753357732,4350,-2507.55689902314,5030.43,281.416544168757,1147.22</t>
  </si>
  <si>
    <t>2025-05-07 08:33:00,1047513593.84358,103042236.727554,11140.6481074481,10367,12395.0085726496,8186.91,127.695885819896,1925.79</t>
  </si>
  <si>
    <t>2025-05-07 08:33:00,6551905.43803232,-1659547.34839141,-300.288571428573,290,1804.62597142853,9371.69,0.788003711381417,201.25</t>
  </si>
  <si>
    <t>2025-05-07 08:33:00,15472925.972992,7925.72377306619,-12.1679945054945,-22,125.760430860804,-188.44,0.00811011502778238,-1.81</t>
  </si>
  <si>
    <t>2025-05-07 08:34:00,,,561,,,555,558.5,,,,,561,550,564,565</t>
  </si>
  <si>
    <t>2025-05-07 08:34:00,490,,487,,470,,481,,482,,,501,480,501,490</t>
  </si>
  <si>
    <t>2025-05-07 08:34:00,5700,,5650,,,5700,5610,,,,,5700,5500,5610,5450</t>
  </si>
  <si>
    <t>2025-05-07 08:34:00,,,20000,,19475,,19775,,,,,20300,19300,20150,20300</t>
  </si>
  <si>
    <t>2025-05-07 08:34:00,280988566.958436,291082149.021892,4995.05173160158,-1527,13391.3460108222,597.11,28.0995967186074,65.3100000000001</t>
  </si>
  <si>
    <t>2025-05-07 08:34:00,1034014934.74427,138954764.393711,-6016.17770141734,-1773,-8911.45759376249,-4622.37,-72.9881222950178,-1177.88</t>
  </si>
  <si>
    <t>2025-05-07 08:34:00,6335728.44957353,-1236929.62053399,-2292.9363095238,-1627,-41028.7260773805,-17859.92,-1.13786246697959,-340.74</t>
  </si>
  <si>
    <t>2025-05-07 08:34:00,14708312.9132657,7056.96471004777,-27.0963816260368,-14,-1871.84923814997,-1011.15,0.0117174372849809,-4.88</t>
  </si>
  <si>
    <t>2025-05-07 08:35:00,,,561,,,555,558.5,,,,,565,550,556,565</t>
  </si>
  <si>
    <t>2025-05-07 08:35:00,490,,487,,470,,481,,,,,501,480,501,482</t>
  </si>
  <si>
    <t>2025-05-07 08:35:00,,5540,5650,,,5700,5610,,,,,5700,5500,5610,5450</t>
  </si>
  <si>
    <t>2025-05-07 08:35:00,,,20000,,19475,,19775,,,,,20300,19300,19700,20300</t>
  </si>
  <si>
    <t>2025-05-07 08:35:00,59327172.3077742,274692016.154421,-3479.47777777776,-1902,-424.844166666609,1949.79,-410.222414352665,-146.35</t>
  </si>
  <si>
    <t>2025-05-07 08:35:00,912802198.42667,130979667.997039,3089.34285714287,847,-824.900912698379,-1506.96,61.4967091303938,-493.07</t>
  </si>
  <si>
    <t>2025-05-07 08:35:00,2886035.1105241,-2798741.78262706,-94.6833333333302,-208,1379.28233333339,-786.14,0.56231704136436,-26.45</t>
  </si>
  <si>
    <t>2025-05-07 08:35:00,12894409.8949739,5015.94765084522,15.1417272241589,16,532.823939707613,1131.63,-0.00581045803976395,4.46</t>
  </si>
  <si>
    <t>2025-05-07 08:36:00,,,562,,,555,558.5,,,,,562,555,556,565</t>
  </si>
  <si>
    <t>2025-05-07 08:36:00,490,,487,,470,,481,,,,,501,480,501,490</t>
  </si>
  <si>
    <t>2025-05-07 08:36:00,,5540,5650,,,5700,5610,,,,,5700,5500,5610,5450</t>
  </si>
  <si>
    <t>2025-05-07 08:36:00,,,,19350,19475,,19775,,,,,20300,19350,19700,19350</t>
  </si>
  <si>
    <t>2025-05-07 08:36:00,193021180.111315,319743204.655661,-19057.4186507938,-4397,-33393.4061706352,-6481.67,-102.84114630851,-1321.7</t>
  </si>
  <si>
    <t>2025-05-07 08:36:00,968301283.657436,140455498.203479,-12265.1744098494,-4993,-22628.4207823565,-10175.09,-25.0473462663736,-1938.97</t>
  </si>
  <si>
    <t>2025-05-07 08:36:00,4492354.3547992,-1847167.71394213,-6300.84999999998,-3847,-102131.4645,-33894.98,1.77321717193478,-703.54</t>
  </si>
  <si>
    <t>2025-05-07 08:36:00,13670318.4563649,-119512.264596705,-1011.82487734488,-1026,-10439.3058807359,-10825.41,0.539247957608753,-75.11</t>
  </si>
  <si>
    <t>2025-05-07 08:37:00,,,562,,,555,558.5,,,,,562,555,556,565</t>
  </si>
  <si>
    <t>2025-05-07 08:37:00,490,,487,,470,,481,,,,,501,480,501,490</t>
  </si>
  <si>
    <t>2025-05-07 08:37:00,5700,,5700,,,5700,5610,,,,,5700,5500,5610,5450</t>
  </si>
  <si>
    <t>2025-05-07 08:37:00,,,,19350,19475,,19775,,,,,20200,19350,20150,19350</t>
  </si>
  <si>
    <t>2025-05-07 08:37:00,140243193.762044,325180638.667998,-732.59877899879,286,308.983736263715,307.549999999999,-34.3065306600175,-67.65</t>
  </si>
  <si>
    <t>2025-05-07 08:37:00,953616955.079574,149933496.484798,7385.88650793651,3180,12469.1973571429,4213.66,-0.540227626253734,920.4</t>
  </si>
  <si>
    <t>2025-05-07 08:37:00,6765941.29342178,-139696.9375704,1509.29,915,102843.057366666,27346.17,1.16463144761665,256.28</t>
  </si>
  <si>
    <t>2025-05-07 08:37:00,14565344.8212565,-102675.807164667,-2.5719797199497,-32,-460.256362317233,-638.58,-0.0363102670881836,-4.71</t>
  </si>
  <si>
    <t>2025-05-07 08:38:00,,,562,,,555,580.5,,,,,562,555,556,565</t>
  </si>
  <si>
    <t>2025-05-07 08:38:00,490,,487,,470,,481,,,,,501,480,501,490</t>
  </si>
  <si>
    <t>2025-05-07 08:38:00,5700,,5650,,,5700,5610,,,,,5700,5500,5610,5450</t>
  </si>
  <si>
    <t>2025-05-07 08:38:00,,,,19350,19475,,20050,,,,,20200,19350,20150,19350</t>
  </si>
  <si>
    <t>2025-05-07 08:38:00,193931207.207006,353973793.838838,7657.38888888887,6957,14659.5285873016,13539.07,-29.8675518948207,2703.48</t>
  </si>
  <si>
    <t>2025-05-07 08:38:00,969548518.580871,159328165.565497,124.251650768587,271,-226.476729198219,1365.36,-11.0862862384118,340.63</t>
  </si>
  <si>
    <t>2025-05-07 08:38:00,6949702.82618869,127016.793648687,1157.28333333334,962,10883.5768333334,8165.08,-0.868337816791203,191.45</t>
  </si>
  <si>
    <t>2025-05-07 08:38:00,15015533.6544134,-101300.500266917,-28.688184268634,-15,-2447.71950467458,-831.33,0.00260025486650734,-4.08</t>
  </si>
  <si>
    <t>2025-05-07 08:39:00,,,562,,,555,558.5,,,,,562,555,556,565</t>
  </si>
  <si>
    <t>2025-05-07 08:39:00,490,,487,,470,,481,,,,,501,480,501,490</t>
  </si>
  <si>
    <t>2025-05-07 08:39:00,5700,,5700,,,5700,5610,,,,,5700,5500,5610,5450</t>
  </si>
  <si>
    <t>2025-05-07 08:39:00,,,,19350,19475,,19775,,,,,20200,19350,20150,19350</t>
  </si>
  <si>
    <t>2025-05-07 08:39:00,218392804.54188,377364865.82264,-728.595238095242,-1684,-3874.46071428573,-5360.56,-77.8541771903703,-934.17</t>
  </si>
  <si>
    <t>2025-05-07 08:39:00,994444556.968479,191934889.330235,-3600.27738095241,-2694,-10215.538904762,-6958.67,-54.520740334326,-1426.28</t>
  </si>
  <si>
    <t>2025-05-07 08:39:00,8095664.08619942,1146832.33096123,-229.85,-357,-2908.81850000002,2279.53,-0.366410661760475,22.01</t>
  </si>
  <si>
    <t>2025-05-07 08:39:00,15758077.7496332,-97166.0713577007,-6.47593984962409,-12,-706.51855680869,-1038.51,0.0147492189713304,-5.27</t>
  </si>
  <si>
    <t>2025-05-07 08:40:00,,,562,,,555,558.5,561,,,,565,555,561,565</t>
  </si>
  <si>
    <t>2025-05-07 08:40:00,490,,485,,470,,481,,,,,501,480,501,490</t>
  </si>
  <si>
    <t>2025-05-07 08:40:00,5700,,5700,,,5700,5610,,,,,5700,5500,5610,5450</t>
  </si>
  <si>
    <t>2025-05-07 08:40:00,,,,19350,19475,,19775,,,,,20200,19350,20150,19350</t>
  </si>
  <si>
    <t>2025-05-07 08:40:00,391934850.99643,526078388.768299,-6000.93706004143,1322,-19560.8335517599,125.660000000001,219.676721376479,418.91</t>
  </si>
  <si>
    <t>2025-05-07 08:40:00,1068183068.33517,235065197.977562,-7351.24572167727,-4366,-18425.992777598,-12330.91,16.8748420759482,-2055.05</t>
  </si>
  <si>
    <t>2025-05-07 08:40:00,11104609.2958584,3565193.65887208,-1153.05034632034,-958,-26389.6096173157,-50512.17,-3.77463080122422,-697.64</t>
  </si>
  <si>
    <t>2025-05-07 08:40:00,17238199.1650402,-82067.1697400102,-36.0553038692574,-25,-2139.37112073224,-1017.45,-0.00796860232997036,-5.68</t>
  </si>
  <si>
    <t>2025-05-07 08:41:00,,,562,,,555,580.5,,,,,565,555,561,565</t>
  </si>
  <si>
    <t>2025-05-07 08:41:00,490,,483,,470,,481,483,,,,501,480,501,490</t>
  </si>
  <si>
    <t>2025-05-07 08:41:00,5700,,5700,,,5700,5610,,,,,5700,5500,5610,5450</t>
  </si>
  <si>
    <t>2025-05-07 08:41:00,,,,19350,19475,,19775,,,,,20200,19350,20150,19350</t>
  </si>
  <si>
    <t>2025-05-07 08:41:00,401313834.769415,636392778.987023,4095.94801587307,1857,8215.37671428585,5862.82,2.72040256774393,994.33</t>
  </si>
  <si>
    <t>2025-05-07 08:41:00,1065132977.45374,272319680.765487,8543.80863593202,6332,21763.4640101961,12999.52,180.082299409401,2655.67</t>
  </si>
  <si>
    <t>2025-05-07 08:41:00,10913779.3586661,3490376.22316595,1536.37333333334,920,36781.1167333334,14882.14,1.03917369002817,319.38</t>
  </si>
  <si>
    <t>2025-05-07 08:41:00,16949023.9966676,-81082.7865665712,1.37483709273183,5,337.732577944861,376.09,-0.00941101163252436,1.59</t>
  </si>
  <si>
    <t>2025-05-07 08:43:00,,,562,,,555,580.5,,,,,565,555,561,567</t>
  </si>
  <si>
    <t>2025-05-07 08:43:00,490,,483,,470,,481,,,,,501,475,501,490</t>
  </si>
  <si>
    <t>2025-05-07 08:43:00,5700,,5700,,,5700,5610,,,,,5700,5500,5610,5450</t>
  </si>
  <si>
    <t>2025-05-07 08:43:00,,,,19350,19475,,19775,,,,,20200,19350,20150,19350</t>
  </si>
  <si>
    <t>2025-05-07 08:43:00,399324388.477642,712616539.433012,7292.2388888889,5398,10442.6261093074,9933.33,34.8205769583688,2007.62</t>
  </si>
  <si>
    <t>2025-05-07 08:43:00,1073038352.64071,281629033.863397,-5332.45357142857,-4726,-9619.39380952382,-8932.43,-1.75792748712968,-1666.93</t>
  </si>
  <si>
    <t>2025-05-07 08:43:00,11555803.0442551,3780683.83831864,20.371666666669,459,3936.75521666675,12712.46,-0.222354752459292,225.35</t>
  </si>
  <si>
    <t>2025-05-07 08:43:00,16950305.7455315,-75819.7718259037,-5.51118686868687,-7,-371.642641919192,-301.7,0.0131273215578884,-1.83</t>
  </si>
  <si>
    <t>2025-05-07 08:44:00,,,562,,,555,580.5,,,,,565,555,561,565</t>
  </si>
  <si>
    <t>2025-05-07 08:44:00,490,,485,,470,,481,,,,,485,475,501,486</t>
  </si>
  <si>
    <t>2025-05-07 08:44:00,5700,,5700,,,5700,5610,,,,,5700,5500,5610,5450</t>
  </si>
  <si>
    <t>2025-05-07 08:44:00,,,,19350,19475,,19775,,,,,20300,19350,20150,19350</t>
  </si>
  <si>
    <t>2025-05-07 08:44:00,454685475.462653,764232291.467693,-7307.27857142858,-3243,-18470.0346428572,-8267.66,29.079242112267,-1589.38</t>
  </si>
  <si>
    <t>2025-05-07 08:44:00,1088209571.4215,327949537.789674,-6961.75147907645,-5555,-10676.9307763347,-8977.72,-202.386936941245,-2064.1</t>
  </si>
  <si>
    <t>2025-05-07 08:44:00,12254223.5958805,4123181.83131328,-1658.8,-2011,-14368.2506,-11149.46,3.74944043753009,-254.34</t>
  </si>
  <si>
    <t>2025-05-07 08:44:00,17179517.1495808,-69905.8846777266,13.4759259259259,21,-127.356944444445,-292.41,0.0158438607578861,-1.28</t>
  </si>
  <si>
    <t>2025-05-07 08:45:00,,,561,,,555,580.5,561,,,,565,555,561,563</t>
  </si>
  <si>
    <t>2025-05-07 08:45:00,490,,485,,470,,481,483,,,,485,475,501,475</t>
  </si>
  <si>
    <t>2025-05-07 08:45:00,5700,,5700,,,5700,5610,,,,,5700,5500,5610,5450</t>
  </si>
  <si>
    <t>2025-05-07 08:45:00,,,,19350,19475,,19825,,,,,20300,19350,20150,19350</t>
  </si>
  <si>
    <t>2025-05-07 08:45:00,494798869.497117,910828210.379442,41520.6515567762,14219,88469.4112454202,23684.46,207.228200222556,4951.03</t>
  </si>
  <si>
    <t>2025-05-07 08:45:00,1108925802.84173,351830248.728511,-1156.4197691198,345,429.565816738759,1594.26,25.7140906658263,311.61</t>
  </si>
  <si>
    <t>2025-05-07 08:45:00,12897776.0395431,5106643.87826744,-405.452666666662,-632,830.740046666781,-9030.84,-5.02359648366316,-254.89</t>
  </si>
  <si>
    <t>2025-05-07 08:45:00,17560133.9483238,-69246.5896553488,-0.761812770562756,2,38.8045578463207,17.5,0.0120049293160671,0.14</t>
  </si>
  <si>
    <t>2025-05-07 08:46:00,,,562,,,555,558.5,,,,,562,555,561,566</t>
  </si>
  <si>
    <t>2025-05-07 08:46:00,490,,485,,470,,481,,,,,485,475,501,475</t>
  </si>
  <si>
    <t>2025-05-07 08:46:00,5700,,5700,,,5700,5610,,,,,5700,5500,5610,5450</t>
  </si>
  <si>
    <t>2025-05-07 08:46:00,,,,19350,19475,,19825,,,,,20300,19350,20150,19350</t>
  </si>
  <si>
    <t>2025-05-07 08:46:00,361395206.036635,925143964.063119,25235.3172827174,-947,46227.7954901768,878.53,-413.00699367311,-284.77</t>
  </si>
  <si>
    <t>2025-05-07 08:46:00,1022127823.62556,316143740.013369,2714.52936507934,2356,2383.4603571428,2828.59,18.2416940689341,611.9</t>
  </si>
  <si>
    <t>2025-05-07 08:46:00,10948513.6083513,4157171.12399263,2577.07156862745,1386,43688.2690490196,15671.19,2.88614022735266,302.33</t>
  </si>
  <si>
    <t>2025-05-07 08:46:00,16954782.3182448,-78952.5517859688,53.0713500240092,23,4047.45437498543,1481.05,-0.00351327459876622,7.46</t>
  </si>
  <si>
    <t>2025-05-07 08:47:00,,,562,,,555,580.5,,,,,565,555,561,566</t>
  </si>
  <si>
    <t>2025-05-07 08:47:00,490,,483,,470,,481,,483,,,485,475,501,475</t>
  </si>
  <si>
    <t>2025-05-07 08:47:00,5700,,5700,,,5700,5610,,,,,5700,5500,5610,5450</t>
  </si>
  <si>
    <t>2025-05-07 08:47:00,,,,19350,19475,,19825,,,,,20300,19350,20150,19350</t>
  </si>
  <si>
    <t>2025-05-07 08:47:00,460796692.53471,1046271207.285,,-7290,,-10386.65,164.303014902814,-2329.58</t>
  </si>
  <si>
    <t>2025-05-07 08:47:00,1068883792.83644,357595558.784524,-4809.25454545453,-5008,-9529.59354545451,-10441.75,-52.1176096649619,-2218.58</t>
  </si>
  <si>
    <t>2025-05-07 08:47:00,12407120.4702506,5626902.54802881,-1082.49545454546,-1316,-21274.2381363637,-15418.08,-2.32678811761555,-327.47</t>
  </si>
  <si>
    <t>2025-05-07 08:47:00,16563398.9575804,-71376.2167797158,-0.521201714951698,-4,-41.6568081709946,-700.11,-0.0124346451474039,-2.87</t>
  </si>
  <si>
    <t>2025-05-07 08:48:00,,,562,,,555,580.5,,,,,565,555,561,566</t>
  </si>
  <si>
    <t>2025-05-07 08:48:00,490,,483,,470,,481,,,,,485,475,501,475</t>
  </si>
  <si>
    <t>2025-05-07 08:48:00,5700,,5700,,,5700,5610,,,,,5700,5500,5610,5450</t>
  </si>
  <si>
    <t>2025-05-07 08:48:00,,,,19350,19475,,19775,,,,,20300,19350,20150,19350</t>
  </si>
  <si>
    <t>2025-05-07 08:48:00,512283941.769049,1100224619.06614,3539.34523809524,4463,2884.92654761906,5270.86,16.7530218478957,1350.09</t>
  </si>
  <si>
    <t>2025-05-07 08:48:00,1094643693.0629,384508677.086583,-1080.681928529,-606,-2548.58589775914,-1150.5,-66.904647184225,-231.27</t>
  </si>
  <si>
    <t>2025-05-07 08:48:00,13729698.6496111,7037442.9438846,186.796666666673,317,-5125.75163333313,-1189.66,-1.11799679850649,6.92</t>
  </si>
  <si>
    <t>2025-05-07 08:48:00,17534624.9620673,-63829.6641019765,1.0719696969697,-4,41.902651515152,-254.6,-0.00444037016496719,-1.38</t>
  </si>
  <si>
    <t>2025-05-07 08:49:00,,,562,,,555,558.5,,,560,,562,555,560,562</t>
  </si>
  <si>
    <t>2025-05-07 08:49:00,490,,483,,470,,481,,,,,485,475,501,486</t>
  </si>
  <si>
    <t>2025-05-07 08:49:00,5700,,5700,,,5700,5610,,,,,5700,5500,5610,5450</t>
  </si>
  <si>
    <t>2025-05-07 08:49:00,,,,19350,19475,,19775,,,,,20300,19350,19400,19350</t>
  </si>
  <si>
    <t>2025-05-07 08:49:00,232565747.786203,945482103.264193,42400.2860275689,6967,65656.7875528025,6597.15,-443.761234978969,1336.51</t>
  </si>
  <si>
    <t>2025-05-07 08:49:00,949516020.539839,317005695.569001,10668.2987070225,6480,22533.3597032346,11040.05,194.596207757327,2149.79</t>
  </si>
  <si>
    <t>2025-05-07 08:49:00,8836836.58983435,3564893.77754841,5107.30145040146,3018,82486.2947720799,31423.59,2.29237248719468,666.36</t>
  </si>
  <si>
    <t>2025-05-07 08:49:00,15055400.1637598,-157381.79744649,311.23774334827,593,6205.85931662616,6724.33,-0.324313068338783,49.35</t>
  </si>
  <si>
    <t>2025-05-07 08:50:00,,,562,,,555,580.5,,560,,560,562,555,575,562</t>
  </si>
  <si>
    <t>2025-05-07 08:50:00,490,,483,,470,,481,,,482,,485,475,501,475</t>
  </si>
  <si>
    <t>2025-05-07 08:50:00,5700,,5700,,,5700,5610,,,,,5700,5500,5610,5450</t>
  </si>
  <si>
    <t>2025-05-07 08:50:00,,,,19350,19475,,19800,,,,,20300,19350,19400,19350</t>
  </si>
  <si>
    <t>2025-05-07 08:50:00,303424082.703736,1025643703.40566,-68192.2084141346,-31135,-130594.560511742,-59245.54,17.868610369052,-11953.77</t>
  </si>
  <si>
    <t>2025-05-07 08:50:00,1007879834.70428,320361651.741141,-31009.4025252525,-16487,-35068.3491969697,-21018.69,115.77405284693,-4540.88</t>
  </si>
  <si>
    <t>2025-05-07 08:50:00,8418092.55692762,3209249.79865769,-5782.71052631578,-3650,-87056.9146140351,-32084.96,3.50927786282301,-696.87</t>
  </si>
  <si>
    <t>2025-05-07 08:50:00,14958369.9335185,-164864.633509258,-148.340513784461,-56,-7679.54626403509,-1865.01,0.0291147773157242,-9.58</t>
  </si>
  <si>
    <t>2025-05-07 08:51:00,,,562,,,555,580.5,,,,,565,555,575,562</t>
  </si>
  <si>
    <t>2025-05-07 08:51:00,490,,483,,470,,481,,482,,,485,475,501,475</t>
  </si>
  <si>
    <t>2025-05-07 08:51:00,5700,,5700,,,5700,5610,,,,,5700,5500,5610,5450</t>
  </si>
  <si>
    <t>2025-05-07 08:51:00,,,,19350,19475,,19800,,,,,20300,19350,19400,19350</t>
  </si>
  <si>
    <t>2025-05-07 08:51:00,338962682.009632,1108572607.97194,-21567.6084249084,-10137,-30443.2051721611,-12111.5,-30.9682758064419,-2908.91</t>
  </si>
  <si>
    <t>2025-05-07 08:51:00,1023381633.20283,337080670.837024,-1733.49981540943,-1259,-11657.7827704717,-10191.88,-177.327261791296,-1851.28</t>
  </si>
  <si>
    <t>2025-05-07 08:51:00,9095984.11185912,4929036.24109378,-2546.80757575756,-931,-59548.0301363633,-13138.52,0.936918375544799,-259.19</t>
  </si>
  <si>
    <t>2025-05-07 08:51:00,14076235.9550557,-166545.285319209,-47.724001933716,-32,-4259.63380850482,-1246.79,0.00188510368000649,-6.82</t>
  </si>
  <si>
    <t>2025-05-07 08:52:00,,,561,,,555,580.5,,,,,565,555,575,562</t>
  </si>
  <si>
    <t>2025-05-07 08:52:00,490,,483,,470,,481,,,,,485,475,501,475</t>
  </si>
  <si>
    <t>2025-05-07 08:52:00,5700,,5700,,,5700,5610,,,,,5700,5500,5610,5450</t>
  </si>
  <si>
    <t>2025-05-07 08:52:00,,,,19350,19475,,19775,,,,,20300,19350,19400,19350</t>
  </si>
  <si>
    <t>2025-05-07 08:52:00,313349104.056027,1140538529.98402,-3911.95558608064,3677,-13532.3643040295,6146.8,-43.2905013394768,1460</t>
  </si>
  <si>
    <t>2025-05-07 08:52:00,989114930.533694,368471494.837828,-9355.47887246853,-5941,-19520.0369488232,-11198.25,-144.731776410924,-2399.28</t>
  </si>
  <si>
    <t>2025-05-07 08:52:00,8637549.01429331,4897958.44676516,-2383.49666666666,-1000,-39056.2233666665,-10654.84,-1.66258791660028,-234.05</t>
  </si>
  <si>
    <t>2025-05-07 08:52:00,14331413.3528503,-168679.234361932,-10.8435055302843,-9,-105.185668760653,208.61,-0.00903773796852703,0.53</t>
  </si>
  <si>
    <t>2025-05-07 08:53:00,,,561,,,555,580.5,,561,,,561,555,575,562</t>
  </si>
  <si>
    <t>2025-05-07 08:53:00,490,,483,,470,,481,,,,,485,475,501,475</t>
  </si>
  <si>
    <t>2025-05-07 08:53:00,5700,,5700,,,5700,5610,,,,,5700,5500,5610,5450</t>
  </si>
  <si>
    <t>2025-05-07 08:53:00,,,,19350,19475,,19800,,,,,20300,19350,19400,19350</t>
  </si>
  <si>
    <t>2025-05-07 08:53:00,413203781.974568,1294437079.19146,-12689.6666666667,-8073,-27014.4566666667,-14156.42,-58.3876794948618,-2907.03</t>
  </si>
  <si>
    <t>2025-05-07 08:53:00,1044725670.402,422290244.60357,-3332.07341269841,-3203,-5628.60684523809,-5842.99,32.9110419508229,-1211.08</t>
  </si>
  <si>
    <t>2025-05-07 08:53:00,10819842.4029288,7103550.58753855,-2333.25,-1329,-47382.9995000001,-19948.81,-0.487042874687093,-416.74</t>
  </si>
  <si>
    <t>2025-05-07 08:53:00,16041767.681314,-148873.136147242,-18.263603063603,-97,-1228.34305194805,-723.1,-0.00637357902549538,-4.41</t>
  </si>
  <si>
    <t>2025-05-07 08:54:00,,,561,,,555,580.5,,,,,561,555,575,562</t>
  </si>
  <si>
    <t>2025-05-07 08:54:00,490,,483,,470,,481,,,,,485,475,501,475</t>
  </si>
  <si>
    <t>2025-05-07 08:54:00,5700,,5700,,,5700,5610,,,,,5700,5500,5700,5450</t>
  </si>
  <si>
    <t>2025-05-07 08:54:00,,,,19350,19475,,19800,,,,,20300,19350,19400,19350</t>
  </si>
  <si>
    <t>2025-05-07 08:54:00,336895624.183279,1244595002.8137,-1406.83333333337,341,-3617.24500000008,2526.18,432.495567756282,650.3</t>
  </si>
  <si>
    <t>2025-05-07 08:54:00,1009534739.47166,393656672.661415,999.251262626264,1029,4699.18862373738,2738.93,0.00898326263804949,435.56</t>
  </si>
  <si>
    <t>2025-05-07 08:54:00,9529260.54678511,7243907.34216197,776.61666666667,315,3305.6455000001,-3595.78,4.12082371849505,-64.55</t>
  </si>
  <si>
    <t>2025-05-07 08:54:00,14962979.8600139,-158993.256758132,-4.45142773892776,0,-559.509928030304,-17.65,0.00976070353705122,0.22</t>
  </si>
  <si>
    <t>2025-05-07 08:55:00,,,561,,,555,580.5,,,,,561,555,575,562</t>
  </si>
  <si>
    <t>2025-05-07 08:55:00,490,,483,,470,,481,,,,,485,475,501,475</t>
  </si>
  <si>
    <t>2025-05-07 08:55:00,5700,,5700,,,5700,5610,,,,,5700,5500,5700,5450</t>
  </si>
  <si>
    <t>2025-05-07 08:55:00,,,,19350,19475,,19800,,,,,20300,19350,19400,19350</t>
  </si>
  <si>
    <t>2025-05-07 08:55:00,430448290.920749,1376304201.70666,-4294.65000000002,-4151,-5810.13750000005,-7261.75,-22.2998351095998,-1505.38</t>
  </si>
  <si>
    <t>2025-05-07 08:55:00,1067192650.20235,438153498.250207,-4953.551384535,-3624,-7865.91665673979,-4948.37,28.1592482340998,-1087.21</t>
  </si>
  <si>
    <t>2025-05-07 08:55:00,11639709.9094926,9321129.77631515,-1152.82333333334,-892,-19846.4530666668,-12310.94,-0.316984909945467,-270.3</t>
  </si>
  <si>
    <t>2025-05-07 08:55:00,15948949.0079107,-125663.598863473,33.6130864233805,-77,-529.101512918454,-853.03,-0.0339840081046615,-6.79</t>
  </si>
  <si>
    <t>2025-05-07 08:56:00,,,561,,,555,580.5,,561,,,561,555,575,562</t>
  </si>
  <si>
    <t>2025-05-07 08:56:00,490,,483,,470,,481,,483,,,483,475,501,483</t>
  </si>
  <si>
    <t>2025-05-07 08:56:00,5700,,5700,,,5700,5610,,5630,,,5700,5500,5700,5450</t>
  </si>
  <si>
    <t>2025-05-07 08:56:00,,,,19350,19475,,19800,,,,,20300,19350,19400,19350</t>
  </si>
  <si>
    <t>2025-05-07 08:56:00,578184195.290276,1662581357.8602,-4431.75164835164,-8862,-6951.72523992672,-15535.05,53.3494636492057,-3311.44</t>
  </si>
  <si>
    <t>2025-05-07 08:56:00,1123057123.81896,530069098.74161,-12324.3170912421,-5310,-23688.8403846154,-14601.71,-153.242934791109,-2826.28</t>
  </si>
  <si>
    <t>2025-05-07 08:56:00,13728101.576145,12971477.9983789,-305.833333333333,-1384,-11053.6363333333,-26024.11,-5.98240787789913,-535.59</t>
  </si>
  <si>
    <t>2025-05-07 08:56:00,17614785.3286477,-111532.939111442,-1.66392764453142,-9,56.920807014657,-340.26,0.00816708787248657,-2.59</t>
  </si>
  <si>
    <t>2025-05-07 08:57:00,,,561,,,555,580.5,,,,,561,555,575,562</t>
  </si>
  <si>
    <t>2025-05-07 08:57:00,490,,483,,470,,481,,,,,483,475,501,483</t>
  </si>
  <si>
    <t>2025-05-07 08:57:00,5700,,5700,,,5700,5610,,,,,5700,5500,5700,5650</t>
  </si>
  <si>
    <t>2025-05-07 08:57:00,,,,19350,19475,,19800,,,,,20300,19350,19400,19350</t>
  </si>
  <si>
    <t>2025-05-07 08:57:00,578440809.56474,1748177576.30107,-8690.50357142842,-9121,-15104.0872499996,-17016.93,-25.2958424634272,-3768.28</t>
  </si>
  <si>
    <t>2025-05-07 08:57:00,1135659556.67779,560880398.609327,-4008.11666666667,-2476,-4450.16783333336,-601.840000000001,14.3486122499915,-604.63</t>
  </si>
  <si>
    <t>2025-05-07 08:57:00,14732407.656721,14429433.0217399,-1324.80666666667,-1309,-21966.3353333333,-19685.12,-0.754324556681753,-435.91</t>
  </si>
  <si>
    <t>2025-05-07 08:57:00,18329656.4417815,-101192.342639255,-13.7552842672552,-15,-1455.22376073695,-1533.6,-0.000672836778297156,-7.25</t>
  </si>
  <si>
    <t>2025-05-07 08:58:00,,,561,,,555,580.5,,,,,561,555,575,562</t>
  </si>
  <si>
    <t>2025-05-07 08:58:00,490,,483,,470,,481,,,,,483,475,501,483</t>
  </si>
  <si>
    <t>2025-05-07 08:58:00,5700,,5700,,,5700,5610,,,,,5700,5500,5700,5540</t>
  </si>
  <si>
    <t>2025-05-07 08:58:00,,,,19350,19475,,19775,,,,,20300,19350,19400,19350</t>
  </si>
  <si>
    <t>2025-05-07 08:58:00,522995251.084463,1732277501.48641,-827.836213786211,-969,-1144.66337662337,-807.74,-64.0041435621091,-259.94</t>
  </si>
  <si>
    <t>2025-05-07 08:58:00,1110544470.28341,542043839.410566,-1742.46439393939,-1440,-1570.25490909092,-284.72,4.04024723759853,-206.04</t>
  </si>
  <si>
    <t>2025-05-07 08:58:00,13932518.8567832,13919105.6662524,-571.741666666666,-581,-8245.51849999999,-5442.24,0.196375330062268,-125.78</t>
  </si>
  <si>
    <t>2025-05-07 08:58:00,17889961.5376141,-105026.348426175,0.974476911976914,1,215.221019300145,275.03,0.00536401083994694,1.1</t>
  </si>
  <si>
    <t>2025-05-07 08:59:00,,,561,,,555,558.5,,,,,562,555,575,562</t>
  </si>
  <si>
    <t>2025-05-07 08:59:00,490,,483,,470,,481,,483,,,483,475,501,483</t>
  </si>
  <si>
    <t>2025-05-07 08:59:00,5700,,5700,,,5700,5610,,,,,5700,5500,5700,5540</t>
  </si>
  <si>
    <t>2025-05-07 08:59:00,,,,19350,19475,,19775,,,,,20300,19350,19400,19350</t>
  </si>
  <si>
    <t>2025-05-07 08:59:00,525264782.23004,1771772125.76792,-39.800000000063,698,-915.860333333444,1076.58,19.0483922831033,115.26</t>
  </si>
  <si>
    <t>2025-05-07 08:59:00,1100403404.12758,545223708.04755,2442.34047619046,2316,6839.06176190473,5957.61,-4.91687675383194,1211.82</t>
  </si>
  <si>
    <t>2025-05-07 08:59:00,14321662.8845049,14534215.9633969,1966.01190476189,1147,39042.1140714281,13900.9,1.95234179368005,317.36</t>
  </si>
  <si>
    <t>2025-05-07 08:59:00,18253795.0028691,-98516.5087456678,47.750021392213,40,2071.8169602319,1096.87,0.00642708999567002,6.73</t>
  </si>
  <si>
    <t>2025-05-07 09:00:00,,,562,,,555,580.5,,,,,562,555,575,562</t>
  </si>
  <si>
    <t>2025-05-07 09:00:00,490,,483,,470,,481,,,,,483,475,501,483</t>
  </si>
  <si>
    <t>2025-05-07 09:00:00,5700,,5700,,,5700,5610,,,,,5700,5500,5700,5540</t>
  </si>
  <si>
    <t>2025-05-07 09:00:00,,,,19350,19475,,19800,,,,,20400,19350,19400,19350</t>
  </si>
  <si>
    <t>2025-05-07 09:00:00,517494014.32506,1768206974.93944,-5189.27857142862,-4570,-8656.1623809525,-6669.5,248.760882586836,-1415.3</t>
  </si>
  <si>
    <t>2025-05-07 09:00:00,1088997110.03605,550309204.580187,489.928210678188,27,127.689466089407,-1499.04,22.3149274528718,-203.96</t>
  </si>
  <si>
    <t>2025-05-07 09:00:00,13460019.5963049,13516271.5255286,-986.183333333333,-831,-11768.2469666667,-9974.84,3.68442477131271,-242.52</t>
  </si>
  <si>
    <t>2025-05-07 09:00:00,18159362.6865966,-102688.384573848,53.652619047619,12,962.636861111109,502.82,-0.00865044734542777,3.2</t>
  </si>
  <si>
    <t>2025-05-07 09:02:00,,,562,,,555,580.5,,,,,562,555,575,562</t>
  </si>
  <si>
    <t>2025-05-07 09:02:00,490,,483,,470,,481,,,,,483,475,501,483</t>
  </si>
  <si>
    <t>2025-05-07 09:02:00,5700,,5700,,,5700,5610,,,,,5700,5500,5700,5540</t>
  </si>
  <si>
    <t>2025-05-07 09:02:00,,,,19350,19475,,19800,,,,,20400,19350,19400,19350</t>
  </si>
  <si>
    <t>2025-05-07 09:02:00,570415556.531299,1837704024.74341,-1428.99166666668,-1113,-2688.27066666666,-2019.87,-33.9680550024475,-438.78</t>
  </si>
  <si>
    <t>2025-05-07 09:02:00,1128420672.79351,586538911.286455,-1774.20258352758,-2047,-3804.61959304584,-3985.46,30.7278473135918,-819.62</t>
  </si>
  <si>
    <t>2025-05-07 09:02:00,15191076.135614,16065738.4286303,210.016666666667,-696,-4043.67649999999,-6953.66,0.612646248234143,-146.43</t>
  </si>
  <si>
    <t>2025-05-07 09:02:00,18777717.9085378,-92245.6591602988,-2.06547815489394,-4,60.783232015431,-444.01,-0.00296602144622627,-1.82</t>
  </si>
  <si>
    <t>2025-05-07 09:03:00,,,562,,,555,580.5,,,,,562,555,575,562</t>
  </si>
  <si>
    <t>2025-05-07 09:03:00,490,,483,,470,,481,,,,,483,475,501,483</t>
  </si>
  <si>
    <t>2025-05-07 09:03:00,5700,,5700,,,5700,5610,,,,,5700,5500,5700,5540</t>
  </si>
  <si>
    <t>2025-05-07 09:03:00,,,,19350,19475,,19800,,,,,20400,19350,19400,19350</t>
  </si>
  <si>
    <t>2025-05-07 09:03:00,564015833.229549,1823658860.49111,,-3129,,-7340.7,71.0254320374619,-1617.97</t>
  </si>
  <si>
    <t>2025-05-07 09:03:00,1111265078.63466,580494886.298348,-387.871031746029,-1266,-401.31789682538,-4684.73,-73.1113110595555,-773.88</t>
  </si>
  <si>
    <t>2025-05-07 09:03:00,14693222.587683,15935145.3802156,-378.45,-461,-7449.88550000001,-9111.82,0.577801838439385,-192.17</t>
  </si>
  <si>
    <t>2025-05-07 09:03:00,18370015.7327488,-90944.6297966886,25.3794047619047,12,318.166575,89.95,0.00304312327416409,0.74</t>
  </si>
  <si>
    <t>2025-05-07 09:04:00,,,562,,,555,580.5,,,,,562,555,575,562</t>
  </si>
  <si>
    <t>2025-05-07 09:04:00,490,,483,,470,,481,,,,,483,475,501,483</t>
  </si>
  <si>
    <t>2025-05-07 09:04:00,5700,,5700,,,5700,5610,,,,,5700,5500,5700,5540</t>
  </si>
  <si>
    <t>2025-05-07 09:04:00,,,,19350,19475,,19800,,,,,20400,19350,19400,19350</t>
  </si>
  <si>
    <t>2025-05-07 09:04:00,551851595.812657,1839115578.37398,-4187.06666666663,-2195,-7192.75699999991,-3997.77,-130.015955358317,-922.18</t>
  </si>
  <si>
    <t>2025-05-07 09:04:00,1117422195.65276,605693322.129497,-1011.42279942281,-1760,-1884.58160173161,-3529.15,-35.7714359595418,-801.67</t>
  </si>
  <si>
    <t>2025-05-07 09:04:00,14282426.0583641,15489749.1024513,-577.13333333333,-310,-5874.52799999986,-320.52,-0.23589913623305,-66.4</t>
  </si>
  <si>
    <t>2025-05-07 09:04:00,18089132.2651367,-93617.087137682,11.1085891198585,18,956.008591788294,1289.74,-0.00055887658714741,6.86</t>
  </si>
  <si>
    <t>2025-05-07 09:05:00,,,562,,,555,580.5,,,,,562,555,575,562</t>
  </si>
  <si>
    <t>2025-05-07 09:05:00,490,,483,,470,,481,,,,,483,475,501,483</t>
  </si>
  <si>
    <t>2025-05-07 09:05:00,5700,,5700,,,5700,5610,,,,,5700,5500,5700,5540</t>
  </si>
  <si>
    <t>2025-05-07 09:05:00,,,,19350,19475,,19800,,,,,20400,19350,19400,19350</t>
  </si>
  <si>
    <t>2025-05-07 09:05:00,594092260.605589,1909941496.89819,-2113.09523809524,-2704,-6710.81066666667,-8800.73,-53.2866998778603,-1591.88</t>
  </si>
  <si>
    <t>2025-05-07 09:05:00,1121840466.46354,614302839.447236,154.074074074081,-182,701.86960317462,-237.05,4.15545796214284,-32.15</t>
  </si>
  <si>
    <t>2025-05-07 09:05:00,14610645.0489066,15401196.582862,-843.966666666665,-931,-20101.0896666665,-16797.8,0.746799482094648,-289.65</t>
  </si>
  <si>
    <t>2025-05-07 09:05:00,18679705.3952449,-88063.6993463657,-1.4352564102564,-23,-460.512815934066,-715.85,0.0055785728946936,-2.85</t>
  </si>
  <si>
    <t>2025-05-07 09:06:00,,,562,,,555,558.5,,,,,562,555,575,562</t>
  </si>
  <si>
    <t>2025-05-07 09:06:00,490,,483,,470,,481,,,,,483,475,501,483</t>
  </si>
  <si>
    <t>2025-05-07 09:06:00,5700,,5700,,,5700,5610,,,,,5700,5500,5700,5540</t>
  </si>
  <si>
    <t>2025-05-07 09:06:00,,,,19350,19475,,19800,,,,,20400,19350,19400,19350</t>
  </si>
  <si>
    <t>2025-05-07 09:06:00,501694179.596493,1830847884.71257,-2492.14087301593,-490,-5041.64869047636,1756,-333.066313712708,223.61</t>
  </si>
  <si>
    <t>2025-05-07 09:06:00,1097785511.13793,604190361.883807,3394.6260822511,2637,6721.49671536801,3218.46,-131.22460073673,765.1</t>
  </si>
  <si>
    <t>2025-05-07 09:06:00,13721718.7969906,14357355.3906231,1225.83212121211,964,25384.1047090906,16892.93,0.108091583885381,393.07</t>
  </si>
  <si>
    <t>2025-05-07 09:06:00,17946650.4909457,-98334.6955001638,18.2177516927517,18,2228.34412631812,933.65,0.0161239537185312,4.88</t>
  </si>
  <si>
    <t>2025-05-07 09:07:00,,,562,,,555,580.5,,,,,562,555,575,562</t>
  </si>
  <si>
    <t>2025-05-07 09:07:00,490,,483,,470,,481,,,,,483,475,501,483</t>
  </si>
  <si>
    <t>2025-05-07 09:07:00,5700,,5700,,,5700,5620,,,,,5700,5500,5700,5540</t>
  </si>
  <si>
    <t>2025-05-07 09:07:00,,,,19350,19475,,19875,,,,,20400,19350,19400,19350</t>
  </si>
  <si>
    <t>2025-05-07 09:07:00,639042680.628866,2085698978.39554,5659.2386946387,7360,11881.3847072927,14037.43,179.217775521226,3218.66</t>
  </si>
  <si>
    <t>2025-05-07 09:07:00,1159099667.3445,677738922.685818,966.028578892364,1256,-313.773934691787,673.4,-34.0481921814075,405.59</t>
  </si>
  <si>
    <t>2025-05-07 09:07:00,15924857.1536966,17072865.0911762,1021.84333333333,1710,11068.0409333333,17849.67,0.149719464369443,485.51</t>
  </si>
  <si>
    <t>2025-05-07 09:07:00,18463001.7430112,-77639.3238530217,-13.1984659621424,-15,-580.468757645785,-848.22,-0.00018326972498287,-4.91</t>
  </si>
  <si>
    <t>2025-05-07 09:08:00,,,562,,,555,580.5,,,,,562,555,575,562</t>
  </si>
  <si>
    <t>2025-05-07 09:08:00,490,,483,,470,,481,,,,,483,475,501,483</t>
  </si>
  <si>
    <t>2025-05-07 09:08:00,5700,,5700,,,5700,5620,,,,,5700,5500,5700,5540</t>
  </si>
  <si>
    <t>2025-05-07 09:08:00,,,,19350,19475,,19875,,,,,20400,19350,19400,19350</t>
  </si>
  <si>
    <t>2025-05-07 09:08:00,611568746.253691,2077124369.89159,-2452.11626984119,-5416,43.1960833334998,-3122.02,-232.142871697223,-881.33</t>
  </si>
  <si>
    <t>2025-05-07 09:08:00,1150284268.65256,668016340.678616,-4800.12760554858,-2918,-6289.1460084951,-3129.88,24.4191161211827,-830.65</t>
  </si>
  <si>
    <t>2025-05-07 09:08:00,15522090.3732811,17115075.7549678,-1534.11666666666,-544,-18993.3991666666,-4753.24,-1.64893837055996,-151.93</t>
  </si>
  <si>
    <t>2025-05-07 09:08:00,18891477.6365438,-80228.8733577458,-9.35079365079366,-7,-302.63961904762,-164.27,0.00401892355243115,-1.08</t>
  </si>
  <si>
    <t>2025-05-07 09:09:00,,,562,,,555,580.5,,,,,562,555,575,562</t>
  </si>
  <si>
    <t>2025-05-07 09:09:00,490,,483,,470,,481,,,,,483,475,501,483</t>
  </si>
  <si>
    <t>2025-05-07 09:09:00,5700,,5700,,,5700,5620,,,,,5700,5500,5700,5540</t>
  </si>
  <si>
    <t>2025-05-07 09:09:00,,,,19350,19475,,19825,,,,,20400,19350,19400,19350</t>
  </si>
  <si>
    <t>2025-05-07 09:09:00,622129554.284441,2149128070.8444,5288.54761904758,4396,9383.01547619038,6134.04,117.232348815076,1373.4</t>
  </si>
  <si>
    <t>2025-05-07 09:09:00,1155828960.21948,677833523.157275,287.323412698417,131,196.40996031747,91.6899999999999,62.2785204539368,12.62</t>
  </si>
  <si>
    <t>2025-05-07 09:09:00,15569124.6094524,17327119.4723128,284.526666666668,655,7438.76696666671,12414.91,-0.307523765093894,273.34</t>
  </si>
  <si>
    <t>2025-05-07 09:09:00,19513553.884452,-70799.4196085857,0.169047619047608,-16,42.2322857142855,-394.59,-0.00958055127324698,-2.76</t>
  </si>
  <si>
    <t>2025-05-07 09:10:00,,,562,,,555,580.5,,,,,562,555,575,562</t>
  </si>
  <si>
    <t>2025-05-07 09:10:00,490,,483,,470,,481,,,,,483,475,501,483</t>
  </si>
  <si>
    <t>2025-05-07 09:10:00,5700,,5700,,,5700,5620,,,,,5700,5500,5700,5540</t>
  </si>
  <si>
    <t>2025-05-07 09:10:00,,,,19350,19475,,19875,,,,,20400,19350,19400,19350</t>
  </si>
  <si>
    <t>2025-05-07 09:10:00,640293320.176281,2222458510.36283,-6492.05238095235,-3725,-11497.6647619047,-5775.45,-48.3877108584261,-1384.56</t>
  </si>
  <si>
    <t>2025-05-07 09:10:00,1165287496.14445,702441270.316194,-2812.70094219508,-2579,-5869.16361675583,-7294.28,-52.8241054542881,-1243.55</t>
  </si>
  <si>
    <t>2025-05-07 09:10:00,15963780.2082245,17065166.3390514,-1816.30523809523,-571,-36900.0155095237,-7106.75,4.08094634692592,-149.95</t>
  </si>
  <si>
    <t>2025-05-07 09:10:00,19551832.1324617,-66674.2760133417,-20.5428571428571,-15,-1604.24833333333,-1124.69,-0.0105376113642816,-6.31</t>
  </si>
  <si>
    <t>2025-05-07 09:11:00,,,562,,,555,558.5,,,,,562,555,575,562</t>
  </si>
  <si>
    <t>2025-05-07 09:11:00,490,,483,,470,,481,,,,,483,475,501,483</t>
  </si>
  <si>
    <t>2025-05-07 09:11:00,5700,,5700,,,5700,5620,,,,,5700,5500,5700,5540</t>
  </si>
  <si>
    <t>2025-05-07 09:11:00,,,,19350,19475,,19875,,,,,20400,19350,19400,19350</t>
  </si>
  <si>
    <t>2025-05-07 09:11:00,635321504.947267,2232921855.13578,8211.71527777777,3850,11962.7750555555,3950.36,-55.4821037526603,995.81</t>
  </si>
  <si>
    <t>2025-05-07 09:11:00,1160406347.12347,734499030.335537,5361.09841269842,3752,9587.96000000001,5921.65,101.232662198622,1350.37</t>
  </si>
  <si>
    <t>2025-05-07 09:11:00,15953396.3758046,17451211.0643927,966.523076923081,928,19136.8351538462,14311.11,-0.204249678387332,327.24</t>
  </si>
  <si>
    <t>2025-05-07 09:11:00,19564124.5625287,-70403.3151332413,15.3908103592314,28,1067.63981244779,1325.58,-0.0182376769055288,8.08</t>
  </si>
  <si>
    <t>2025-05-07 09:12:00,,,562,,,555,558.5,,,,,562,555,575,562</t>
  </si>
  <si>
    <t>2025-05-07 09:12:00,490,,483,,470,,481,,,,,483,475,501,483</t>
  </si>
  <si>
    <t>2025-05-07 09:12:00,5700,,5700,,,5700,5620,,,,,5700,5500,5700,5540</t>
  </si>
  <si>
    <t>2025-05-07 09:12:00,,,,19350,19475,,19875,,,,,20400,19350,19400,19350</t>
  </si>
  <si>
    <t>2025-05-07 09:12:00,567725464.794273,2193880968.42018,16645.6785714285,6607,36385.5997077921,15819.83,76.0183274733606,3430.44</t>
  </si>
  <si>
    <t>2025-05-07 09:12:00,1140078772.8347,701335309.897814,3543.50846560847,3204,8603.38948677249,6491.6,16.4727229734109,1403.94</t>
  </si>
  <si>
    <t>2025-05-07 09:12:00,15347171.1864686,17367599.382001,1936.10294117646,1405,35199.2691862744,19791.37,1.71113084850956,459.78</t>
  </si>
  <si>
    <t>2025-05-07 09:12:00,19569869.232347,-71119.5375280101,-64.5687836438925,4,126.266089285711,410.77,-0.0041584886141383,2.56</t>
  </si>
  <si>
    <t>2025-05-07 09:13:00,,,562,,,555,558.5,,,,,562,555,575,562</t>
  </si>
  <si>
    <t>2025-05-07 09:13:00,490,,483,,470,,481,,,,,483,475,501,483</t>
  </si>
  <si>
    <t>2025-05-07 09:13:00,5700,,5700,,,5700,5620,,,,,5700,5500,5700,5540</t>
  </si>
  <si>
    <t>2025-05-07 09:13:00,,,,19350,19475,,19875,,,,,20400,19350,19400,19350</t>
  </si>
  <si>
    <t>2025-05-07 09:13:00,512743956.937294,2093977159.59482,4786.35,6288,9697.03966666668,11252.47,-95.8359024612682,2487.47</t>
  </si>
  <si>
    <t>2025-05-07 09:13:00,1116269640.61298,681311647.84785,493.249999999999,120,980.709999999997,72.9599999999998,-51.1688969238095,0.340000000000006</t>
  </si>
  <si>
    <t>2025-05-07 09:13:00,13796974.2982019,14949484.6246885,1387.37666666667,1258,19803.9233666668,13714.55,1.06543837754173,333.72</t>
  </si>
  <si>
    <t>2025-05-07 09:13:00,18536198.8851108,-82225.3161203342,31.7309523809523,21,2411.25333333333,1152.9,0.00907371334232472,6.52</t>
  </si>
  <si>
    <t>2025-05-07 09:14:00,,,562,,,555,558.5,,,,,562,555,575,562</t>
  </si>
  <si>
    <t>2025-05-07 09:14:00,490,,483,,470,,481,,,,,483,475,501,483</t>
  </si>
  <si>
    <t>2025-05-07 09:14:00,5700,,5700,,,5700,5620,,,,,5700,5500,5700,5540</t>
  </si>
  <si>
    <t>2025-05-07 09:14:00,,,,19350,19475,,19875,,,,,20400,19350,19400,19350</t>
  </si>
  <si>
    <t>2025-05-07 09:14:00,563802526.771818,2209740807.10249,870.833333333343,621,2096.22833333336,1140,7.38352705524018,272.74</t>
  </si>
  <si>
    <t>2025-05-07 09:14:00,1166691430.88902,732721852.844423,-1163.19642857143,-192,-1400.24,-626.99,85.4370851072426,-112.87</t>
  </si>
  <si>
    <t>2025-05-07 09:14:00,14849143.5969666,16791051.5083761,103.550000000002,122,1989.95883333337,4161.65,1.52731840236055,98.83</t>
  </si>
  <si>
    <t>2025-05-07 09:14:00,19719445.7917956,-70911.2447717887,-7.82953634085213,-2,-305.200526315789,-224.95,0.00336240028628806,-1.14</t>
  </si>
  <si>
    <t>2025-05-07 09:15:00,,,562,,,555,558.5,,,,,562,555,575,562</t>
  </si>
  <si>
    <t>2025-05-07 09:15:00,490,,483,,470,,481,,,,,483,475,501,483</t>
  </si>
  <si>
    <t>2025-05-07 09:15:00,5700,,5700,,,5700,5620,,,,,5700,5500,5700,5540</t>
  </si>
  <si>
    <t>2025-05-07 09:15:00,,,,19350,19475,,19875,,,,,20400,19350,19400,19350</t>
  </si>
  <si>
    <t>2025-05-07 09:15:00,617464214.779874,2367934027.70273,-10589.1130952382,-4709,-15629.1051785716,-6245.87,54.6751860096472,-1624.26</t>
  </si>
  <si>
    <t>2025-05-07 09:15:00,1193894586.96839,774398340.87789,-6637.09444444444,-2317,-11238.2166111111,-3710.88,15.4046589755435,-896.9</t>
  </si>
  <si>
    <t>2025-05-07 09:15:00,14959358.2174684,17154542.044715,-2892.05410256409,-1085,-43810.2514999997,-14875.67,0.277910188558428,-372.96</t>
  </si>
  <si>
    <t>2025-05-07 09:15:00,19511298.2111045,-68369.0935487056,4.06215562215563,18,-27.0709176157181,996.19,-0.0115471224827238,5.12</t>
  </si>
  <si>
    <t>2025-05-07 09:16:00,,,562,,,555,559.5,,,,,562,555,575,562</t>
  </si>
  <si>
    <t>2025-05-07 09:16:00,490,,483,,470,,481,,,,,483,475,501,483</t>
  </si>
  <si>
    <t>2025-05-07 09:16:00,5700,,5700,,,5700,5620,,,,,5700,5500,5700,5540</t>
  </si>
  <si>
    <t>2025-05-07 09:16:00,,,,19350,19475,,19875,,,,,20400,19350,19400,19350</t>
  </si>
  <si>
    <t>2025-05-07 09:16:00,495313042.473229,2136886146.69211,-3239.45952380949,-2025,-5168.44852380944,-1818.92,-0.354122968275846,-539.36</t>
  </si>
  <si>
    <t>2025-05-07 09:16:00,1134313345.14853,697055319.463424,540.499999999998,27,2759.72666666666,1058.33,-59.5090054598742,133.39</t>
  </si>
  <si>
    <t>2025-05-07 09:16:00,13825960.1610134,15434824.740899,201.197142857144,77,7801.20365714289,4757.09,-1.43419801798297,70.59</t>
  </si>
  <si>
    <t>2025-05-07 09:16:00,19153747.9544899,-81568.7010011328,5.34459241323649,4,-2.26025585149291,466.23,0.000280566498062312,1.87</t>
  </si>
  <si>
    <t>2025-05-07 09:17:00,,,562,,,555,559.5,,,,,562,555,575,562</t>
  </si>
  <si>
    <t>2025-05-07 09:17:00,490,,483,,470,,481,,,,,483,475,501,483</t>
  </si>
  <si>
    <t>2025-05-07 09:17:00,5700,,5700,,,5700,5620,,,,,5700,5500,5700,5540</t>
  </si>
  <si>
    <t>2025-05-07 09:17:00,,,,19350,19475,,19875,,,,,20400,19350,19400,19350</t>
  </si>
  <si>
    <t>2025-05-07 09:17:00,604948824.507913,2347748054.78638,6097.76486568991,3550,12580.1682362639,8279.98,143.999466636002,1999.75</t>
  </si>
  <si>
    <t>2025-05-07 09:17:00,1181996812.2774,757360711.912141,78.3998015873111,124,-90.4552182539479,-145.46,28.5567438887447,16.07</t>
  </si>
  <si>
    <t>2025-05-07 09:17:00,15030573.7807927,16218113.257403,-186.410000000005,197,-3717.58130000011,2237.98,2.90368808272393,80.57</t>
  </si>
  <si>
    <t>2025-05-07 09:17:00,19412493.365773,-64354.6181713767,-60.5913257575758,-46,-1757.52230037879,-787.62,-0.0216818748101808,-5.95</t>
  </si>
  <si>
    <t>2025-05-07 09:18:00,,,562,,,555,559.5,,,,,562,555,575,562</t>
  </si>
  <si>
    <t>2025-05-07 09:18:00,490,,483,,470,,481,,,,,483,475,501,483</t>
  </si>
  <si>
    <t>2025-05-07 09:18:00,5700,,5700,,,5700,5620,,,,,5700,5500,5700,5540</t>
  </si>
  <si>
    <t>2025-05-07 09:18:00,,,,19350,19475,,19875,,,,,20400,19350,19400,19350</t>
  </si>
  <si>
    <t>2025-05-07 09:18:00,589932973.624284,2268643595.85225,5724.87676767678,6859,10004.3010202021,10146.09,-53.0316579092003,2423.5</t>
  </si>
  <si>
    <t>2025-05-07 09:18:00,1178165651.91765,753165870.999706,4909.95833333334,4115,9561.24916666668,7033.37,-10.2534029888669,1625.49</t>
  </si>
  <si>
    <t>2025-05-07 09:18:00,15527758.1600545,17990227.0563376,681.416666666663,867,12440.6678333333,10207.2,-1.91934836729278,229.02</t>
  </si>
  <si>
    <t>2025-05-07 09:18:00,20034468.5056623,-58809.7976239523,-0.51687257187255,12,69.0038737373765,381.62,-0.00122862712156374,2.79</t>
  </si>
  <si>
    <t>2025-05-07 09:20:00,,,562,,,555,559.5,,,,,562,555,575,555</t>
  </si>
  <si>
    <t>2025-05-07 09:20:00,490,,483,,470,,481,,,,,483,475,501,475</t>
  </si>
  <si>
    <t>2025-05-07 09:20:00,5700,,5700,,,5700,5620,,,,,5700,5500,5700,5540</t>
  </si>
  <si>
    <t>2025-05-07 09:20:00,,,,19350,19475,,19875,,,,,20400,19350,19400,19350</t>
  </si>
  <si>
    <t>2025-05-07 09:20:00,604582942.533382,2295340979.4247,5942.0833333334,4746,13795.8454761906,10379.96,-47.1480312047159,2390.97</t>
  </si>
  <si>
    <t>2025-05-07 09:20:00,1174139750.27406,754504157.397899,2798.59166666665,2652,6545.11466666663,5070.3,-18.3631572567516,1181.86</t>
  </si>
  <si>
    <t>2025-05-07 09:20:00,15174844.9741991,17259818.052687,-391.149999999997,-352,-925.255999999919,993.52,-2.41097737049901,-2.81999999999998</t>
  </si>
  <si>
    <t>2025-05-07 09:20:00,19794864.6437423,-66501.1233633538,-0.808333333333333,17,98.0009444444447,35.14,-0.00972372868482333,0.76</t>
  </si>
  <si>
    <t>2025-05-07 09:21:00,,,562,,,555,559.5,,,,,562,555,575,555</t>
  </si>
  <si>
    <t>2025-05-07 09:21:00,490,,483,,470,,481,,,,,483,475,501,475</t>
  </si>
  <si>
    <t>2025-05-07 09:21:00,5700,,5700,,,5700,5620,,,,,5700,5500,5700,5540</t>
  </si>
  <si>
    <t>2025-05-07 09:21:00,,,,19350,19475,,19875,,,,,20400,19350,19400,19350</t>
  </si>
  <si>
    <t>2025-05-07 09:21:00,543251298.217866,2084200582.57942,912.223809523828,289,2081.59057142862,1314.78,38.1088359845103,292.73</t>
  </si>
  <si>
    <t>2025-05-07 09:21:00,1132710703.04735,673412321.787622,512.166666666669,689,-63.3492857142805,442.7,26.0954034980959,180.77</t>
  </si>
  <si>
    <t>2025-05-07 09:21:00,15281606.0274138,16268927.6866437,-784.066666666671,-715,-1658.52933333334,-1335.38,2.79206935908427,-19.48</t>
  </si>
  <si>
    <t>2025-05-07 09:21:00,20129501.070609,-66256.7138281989,-5.19393162393165,-1,-286.12681880342,-17.34,0.00201375254163747,-0.07</t>
  </si>
  <si>
    <t>2025-05-07 09:22:00,,,562,,,555,559.5,,,,,562,555,575,555</t>
  </si>
  <si>
    <t>2025-05-07 09:22:00,490,,483,,470,,481,,,,,483,475,501,475</t>
  </si>
  <si>
    <t>2025-05-07 09:22:00,5700,,5700,,,5700,5620,,,,,5700,5500,5700,5540</t>
  </si>
  <si>
    <t>2025-05-07 09:22:00,,,,19350,19475,,19875,,,,,20400,19350,19400,19350</t>
  </si>
  <si>
    <t>2025-05-07 09:22:00,576459846.152401,2259226706.21874,-1947.29682539688,-522,-3557.0835714287,-2143.94,-174.633174293649,-384.16</t>
  </si>
  <si>
    <t>2025-05-07 09:22:00,1166258998.38615,748613849.877481,-1368.78106060605,-1292,-2645.12867424242,-2389.1,-26.2534242384475,-452.48</t>
  </si>
  <si>
    <t>2025-05-07 09:22:00,15434430.7116484,17426421.6949864,-245.970000000007,-38,-18179.5517000001,-8535.3,-0.684611625923614,-92.72</t>
  </si>
  <si>
    <t>2025-05-07 09:22:00,19947102.2772676,-63806.0266855553,-9.91147746301692,1,-1164.71614593472,-840.08,0.0186963620827832,-3.48</t>
  </si>
  <si>
    <t>2025-05-07 09:23:00,,,562,,,555,559.5,,,,,562,555,575,555</t>
  </si>
  <si>
    <t>2025-05-07 09:23:00,490,,483,,470,,481,,,,,483,475,501,475</t>
  </si>
  <si>
    <t>2025-05-07 09:23:00,5700,,5700,,,5700,5620,,,,,5700,5500,5700,5540</t>
  </si>
  <si>
    <t>2025-05-07 09:23:00,,,,19350,19475,,19875,,,,,20400,19350,19400,19350</t>
  </si>
  <si>
    <t>2025-05-07 09:23:00,517770985.385558,2244173599.7553,182.911904761923,-3038,2400.51969047625,-3398.3,-229.537267130622,-919.67</t>
  </si>
  <si>
    <t>2025-05-07 09:23:00,1157097201.42788,766748371.467885,-6090.63760635902,-1598,-20833.5587429462,-3136.2,73.8319074418377,-624.89</t>
  </si>
  <si>
    <t>2025-05-07 09:23:00,12976893.972435,14738075.4152361,-140.986938775508,-475,3100.97530068031,-6508.74,0.389639321412606,-166.11</t>
  </si>
  <si>
    <t>2025-05-07 09:23:00,19464735.021836,-77003.0132622564,48.6198019982831,27,1395.91878258626,1747.61,-0.00851508115800282,8.6</t>
  </si>
  <si>
    <t>2025-05-07 09:24:00,,,562,,,555,559.5,,,,,562,555,575,562</t>
  </si>
  <si>
    <t>2025-05-07 09:24:00,490,,484,,470,,481,,,,,483,475,501,475</t>
  </si>
  <si>
    <t>2025-05-07 09:24:00,5700,,5700,,,5700,5620,,,,,5700,5500,5700,5540</t>
  </si>
  <si>
    <t>2025-05-07 09:24:00,,,,19350,19475,,19925,,,,,20400,19350,19400,19350</t>
  </si>
  <si>
    <t>2025-05-07 09:24:00,552043512.690346,2204833746.28912,3872.47896825397,593,4114.06542063491,-3272.15,-148.140273839677,-726.15</t>
  </si>
  <si>
    <t>2025-05-07 09:24:00,1162142241.04543,693923464.085927,-673.912925842275,623,-1794.57663396387,-1312.67,-27.3689457156391,-122.43</t>
  </si>
  <si>
    <t>2025-05-07 09:24:00,15800066.716741,17635121.1948369,428.896666666662,897,-7235.58956666675,6183.57,1.65387953632322,209.47</t>
  </si>
  <si>
    <t>2025-05-07 09:24:00,20296800.455847,-57476.7814238403,-40.6010458382197,-36,-779.085909929201,-688.22,-0.00295695744691079,-5.27</t>
  </si>
  <si>
    <t>2025-05-07 09:25:00,,,562,,,555,559.5,,,,,562,555,575,562</t>
  </si>
  <si>
    <t>2025-05-07 09:25:00,490,,484,,470,,481,484,,,,484,475,501,475</t>
  </si>
  <si>
    <t>2025-05-07 09:25:00,5700,,5700,,,5700,5620,,,,,5700,5500,5700,5540</t>
  </si>
  <si>
    <t>2025-05-07 09:25:00,,,,19350,19475,,19825,,,,,20400,19350,19400,19350</t>
  </si>
  <si>
    <t>2025-05-07 09:25:00,639540333.560322,2475911720.01006,981.888888888879,871,575.242222222189,773.09,-168.091112160829,141.68</t>
  </si>
  <si>
    <t>2025-05-07 09:25:00,1218406629.15481,890083292.370731,13357.9832722833,9620,27582.53736569,18244.94,319.181283909361,4170.48</t>
  </si>
  <si>
    <t>2025-05-07 09:25:00,16159563.6768535,19047259.8604446,415.440000000002,354,8839.97780000004,3331.12,-0.29705020271871,86.91</t>
  </si>
  <si>
    <t>2025-05-07 09:25:00,21032911.0001623,-47936.7480571605,7.8670441376199,7,579.702740614873,454.36,0.00632874343246942,3.33</t>
  </si>
  <si>
    <t>2025-05-07 09:26:00,,,562,,,555,559.5,,,,,562,555,575,562</t>
  </si>
  <si>
    <t>2025-05-07 09:26:00,490,,484,,470,,481,,,,,484,475,501,475</t>
  </si>
  <si>
    <t>2025-05-07 09:26:00,5700,,5700,,,5700,5620,,,,,5700,5500,5700,5540</t>
  </si>
  <si>
    <t>2025-05-07 09:26:00,,,,19350,19475,,19825,,,,,20400,19350,19400,19350</t>
  </si>
  <si>
    <t>2025-05-07 09:26:00,540895726.529387,2241817592.25639,1772.48593073593,1735,3507.23635281386,2279.5,-38.864668724963,542.1</t>
  </si>
  <si>
    <t>2025-05-07 09:26:00,1203080341.46169,846679262.160333,1920.3992063492,1073,1946.10499999999,379.8,13.3765804524086,146.22</t>
  </si>
  <si>
    <t>2025-05-07 09:26:00,15063426.9626687,17365829.8050956,1140.24285714284,872,15334.4800714283,9069.47,0.592493954656474,234.15</t>
  </si>
  <si>
    <t>2025-05-07 09:26:00,20490879.6241896,-49131.6934898356,14.4019745777099,20,431.697701945931,435.55,0.00801146048974557,3.32</t>
  </si>
  <si>
    <t>2025-05-07 09:27:00,,,562,,,555,559.5,,,,,562,555,575,562</t>
  </si>
  <si>
    <t>2025-05-07 09:27:00,490,,484,,470,,481,,,,,484,475,501,475</t>
  </si>
  <si>
    <t>2025-05-07 09:27:00,5700,,5700,,,5700,5620,,,,,5700,5500,5700,5540</t>
  </si>
  <si>
    <t>2025-05-07 09:27:00,,,,19350,19475,,19825,,,,,20400,19350,19400,19350</t>
  </si>
  <si>
    <t>2025-05-07 09:27:00,624246769.250199,2500886184.28979,2866.83809523809,1831,5493.348,3079.56,40.8481803223348,769.96</t>
  </si>
  <si>
    <t>2025-05-07 09:27:00,1231488823.3857,899747662.475836,2979.98611111111,2574,4676.76055555556,4184.73,-6.84181257878571,1006.98</t>
  </si>
  <si>
    <t>2025-05-07 09:27:00,16392369.7137887,20013988.0060162,718.610000000001,495,16497.1973666667,9265.12,-0.717238769683493,240.91</t>
  </si>
  <si>
    <t>2025-05-07 09:27:00,21290618.6255872,-35657.3705114224,1.08222441809398,6,430.100081247254,677.62,0.0136426138768443,3.75</t>
  </si>
  <si>
    <t>2025-05-07 09:28:00,,,562,,,555,559.5,,,,,562,555,575,562</t>
  </si>
  <si>
    <t>2025-05-07 09:28:00,490,,484,,470,,481,,484,,,484,475,501,475</t>
  </si>
  <si>
    <t>2025-05-07 09:28:00,5700,,5700,,,5700,5620,,,,,5700,5500,5700,5540</t>
  </si>
  <si>
    <t>2025-05-07 09:28:00,,,,19350,19475,,19825,,,,,20400,19350,19400,19350</t>
  </si>
  <si>
    <t>2025-05-07 09:28:00,664326285.918587,2556157347.00532,-364.902380952376,541,-581.546952380925,470.81,34.4575828395756,247.66</t>
  </si>
  <si>
    <t>2025-05-07 09:28:00,1244538080.50645,924583773.58571,-190.955555555557,-1269,-319.218777777789,-7747.22,-74.0903314269474,-1352.54</t>
  </si>
  <si>
    <t>2025-05-07 09:28:00,17248775.3744823,22156925.4744855,-492.936666666668,-1553,-10557.2890000001,-12463.25,0.734818730544049,-350.51</t>
  </si>
  <si>
    <t>2025-05-07 09:28:00,21346298.0058006,-23806.604857621,8.77584195216543,13,1069.52010739603,1686.16,0.0161773138259209,8.57</t>
  </si>
  <si>
    <t>2025-05-07 09:29:00,,,562,,,555,559.5,,,,,562,555,575,555</t>
  </si>
  <si>
    <t>2025-05-07 09:29:00,490,,484,,470,,481,,,,,484,475,501,475</t>
  </si>
  <si>
    <t>2025-05-07 09:29:00,5700,,5700,,,5700,5620,,,,,5700,5500,5700,5540</t>
  </si>
  <si>
    <t>2025-05-07 09:29:00,,,,19350,19475,,19825,,,,,20400,19350,19400,19350</t>
  </si>
  <si>
    <t>2025-05-07 09:29:00,666692180.791457,2566011324.22157,5422.40952380948,5012,12239.2863333332,11356.33,133.743790704952,2508.66</t>
  </si>
  <si>
    <t>2025-05-07 09:29:00,1255371962.99342,920579910.868754,-964.232142857155,-323,1950.41214285711,3005.37,32.8252332414003,637.51</t>
  </si>
  <si>
    <t>2025-05-07 09:29:00,17506288.1063003,22709467.0499285,674.286666666666,770,13548.1502,11013.15,1.76730223196344,248.29</t>
  </si>
  <si>
    <t>2025-05-07 09:29:00,21827540.6681221,-16601.9174792619,-4.23116142543389,-13,-313.95686435168,-516.4,0.00731841764964379,-3.36</t>
  </si>
  <si>
    <t>2025-05-07 09:30:00,,,562,,,555,559.5,,,,,562,555,575,555</t>
  </si>
  <si>
    <t>2025-05-07 09:30:00,490,,484,,470,,481,,484,,,484,475,501,475</t>
  </si>
  <si>
    <t>2025-05-07 09:30:00,5700,,5700,,,5700,5620,,,,,5700,5500,5700,5540</t>
  </si>
  <si>
    <t>2025-05-07 09:30:00,,,,19350,19475,,19825,,,,,20400,19350,19400,19350</t>
  </si>
  <si>
    <t>2025-05-07 09:30:00,712685108.923315,2770208019.8968,-2642.93452380944,-3173,-5224.7878571427,-5932.84,-79.4554000792815,-1406.95</t>
  </si>
  <si>
    <t>2025-05-07 09:30:00,1259443569.83261,933918539.885368,-1802.75952380956,-1474,-3128.73407142865,-3644.77,-136.984543501279,-844.5</t>
  </si>
  <si>
    <t>2025-05-07 09:30:00,17304321.7566962,22710926.0276055,-370.633333333333,-578,-3824.941,-5262.53,-0.778353820504473,-133.31</t>
  </si>
  <si>
    <t>2025-05-07 09:30:00,21447493.6271051,-25486.6330152379,3.25366214667684,11,-286.262510838427,-323.06,0.0141384552922092,-1.51</t>
  </si>
  <si>
    <t>2025-05-07 09:31:00,,,562,,,555,559.5,,,,,562,555,575,555</t>
  </si>
  <si>
    <t>2025-05-07 09:31:00,490,,484,,470,,481,,,,,484,475,501,475</t>
  </si>
  <si>
    <t>2025-05-07 09:31:00,5700,,5700,,,5700,5620,,,,,5700,5500,5700,5540</t>
  </si>
  <si>
    <t>2025-05-07 09:31:00,,,,19350,19475,,19925,,,,,20400,19350,19400,19350</t>
  </si>
  <si>
    <t>2025-05-07 09:31:00,728194554.784486,2861937094.06695,-1277.48214285713,-734,-1395.24667857141,-470.99,11.2227709051767,-159.43</t>
  </si>
  <si>
    <t>2025-05-07 09:31:00,1278136547.38875,983270193.228727,-547.787051971327,-895,-310.962121415771,-1256.57,-69.3537043978299,-345.33</t>
  </si>
  <si>
    <t>2025-05-07 09:31:00,17727461.1730198,23910156.5700858,-517.695000000003,-590,-5779.30113333337,-6668.76,-0.449609731706946,-186.86</t>
  </si>
  <si>
    <t>2025-05-07 09:31:00,21434860.9912355,-29541.1371594527,-14.9603641456582,-28,-1385.4423732493,-1389.01,0.0280427877908172,-8.3</t>
  </si>
  <si>
    <t>2025-05-07 09:32:00,,,562,,,555,559.5,,,,,562,555,575,555</t>
  </si>
  <si>
    <t>2025-05-07 09:32:00,490,,484,,470,,481,,,,,484,475,501,475</t>
  </si>
  <si>
    <t>2025-05-07 09:32:00,5700,,5700,,,5700,5620,,,,,5700,5500,5700,5540</t>
  </si>
  <si>
    <t>2025-05-07 09:32:00,,,,19350,19475,,19925,,,,,20400,19350,19400,19350</t>
  </si>
  <si>
    <t>2025-05-07 09:32:00,667407596.590899,2699634623.0576,-3999.18650793648,-4976,-6234.93369047612,-9077.87,-7.69193356805543,-2237</t>
  </si>
  <si>
    <t>2025-05-07 09:32:00,1242773121.10775,906859365.090618,-1722.63888888889,-2225,-3065.08416666666,-3874.54,12.903702276941,-948.19</t>
  </si>
  <si>
    <t>2025-05-07 09:32:00,17059440.6764928,22405042.0101723,-912.626666666668,-1242,-12272.4999,-13436.77,0.993397525743084,-362.63</t>
  </si>
  <si>
    <t>2025-05-07 09:32:00,21302596.3920883,-35848.6817074716,3.72142857142857,5,112.886428571429,296.68,-0.000320029568900428,1.71</t>
  </si>
  <si>
    <t>2025-05-07 09:33:00,,,562,,,555,559.5,,,,,562,555,575,555</t>
  </si>
  <si>
    <t>2025-05-07 09:33:00,490,,484,,470,,481,,,,,484,475,501,475</t>
  </si>
  <si>
    <t>2025-05-07 09:33:00,5700,,5700,,,5700,5620,,,,,5700,5500,5700,5540</t>
  </si>
  <si>
    <t>2025-05-07 09:33:00,,,,19350,19475,,19925,,,,,20400,19350,19400,19350</t>
  </si>
  <si>
    <t>2025-05-07 09:33:00,606092290.968987,2621549375.42023,2630.67380952383,1302,6703.83664285718,4721.09,42.7053154614812,938.84</t>
  </si>
  <si>
    <t>2025-05-07 09:33:00,1233317750.47921,905255861.026294,-1328.82897793263,-1030,-1820.72118950832,-1492.05,91.9870245037056,-355.35</t>
  </si>
  <si>
    <t>2025-05-07 09:33:00,16199391.1247188,21134553.5904882,-267.583333333334,-558,-5714.25066666667,-9273.67,0.0564666987942229,-222.52</t>
  </si>
  <si>
    <t>2025-05-07 09:33:00,21104168.9721327,-40931.6061366795,3.4,5,92.775,59.4,-0.00620415365206333,0.57</t>
  </si>
  <si>
    <t>2025-05-07 09:34:00,,,562,,,555,559.5,,,,,562,555,575,555</t>
  </si>
  <si>
    <t>2025-05-07 09:34:00,490,,484,,470,,481,,,,,484,475,501,475</t>
  </si>
  <si>
    <t>2025-05-07 09:34:00,5700,,5700,,,5700,5620,,,,,5700,5500,5700,5540</t>
  </si>
  <si>
    <t>2025-05-07 09:34:00,,,,19350,19475,,19925,,,,,20400,19350,19400,19350</t>
  </si>
  <si>
    <t>2025-05-07 09:34:00,599591346.016092,2571719349.83691,-1053.12420634922,-1540,-2206.81890476194,-5606.15,-123.288177025178,-1336.54</t>
  </si>
  <si>
    <t>2025-05-07 09:34:00,1231805670.49337,894223049.408123,-1472.63952380953,-2371,-1534.89063809525,-2157.54,-65.2796485362289,-558.54</t>
  </si>
  <si>
    <t>2025-05-07 09:34:00,16030669.9080938,20612948.8807482,-590.10666666667,-293,-577.764666666724,321.02,0.949941088525288,-15.91</t>
  </si>
  <si>
    <t>2025-05-07 09:34:00,20927123.2535542,-45405.4949043003,-2.58888888888888,-2,-155.906317460317,-124.4,0.00119056914313838,-0.79</t>
  </si>
  <si>
    <t>2025-05-07 09:35:00,,,562,,,555,559.5,,,,,562,555,575,562</t>
  </si>
  <si>
    <t>2025-05-07 09:35:00,490,,484,,470,,481,,,,,484,475,501,475</t>
  </si>
  <si>
    <t>2025-05-07 09:35:00,5700,,5700,,,5700,5620,,,,,5700,5500,5700,5540</t>
  </si>
  <si>
    <t>2025-05-07 09:35:00,,,,19350,19475,,19925,,,,,20400,19350,19400,19350</t>
  </si>
  <si>
    <t>2025-05-07 09:35:00,582415843.601764,2563811801.29146,-4109.2777777778,-3404,-8456.07388888895,-7151.39,18.1719157129418,-1741.32</t>
  </si>
  <si>
    <t>2025-05-07 09:35:00,1218396164.08455,868536186.988438,-999.036435786441,-1358,-1617.55730519482,-2043.92,69.8995220975001,-527.99</t>
  </si>
  <si>
    <t>2025-05-07 09:35:00,15350136.7386998,19109776.9653584,-153.924999999994,-176,360.315250000118,-1744.33,1.07131395685067,-58.83</t>
  </si>
  <si>
    <t>2025-05-07 09:35:00,20858183.1508757,-48017.8233924203,-2.95178571428573,-4,-250.585940476192,-354.96,0.0130707352938365,-2.11</t>
  </si>
  <si>
    <t>2025-05-07 09:36:00,,,562,,,555,559.5,,,,,562,555,575,562</t>
  </si>
  <si>
    <t>2025-05-07 09:36:00,490,,484,,470,,481,,,,,484,475,501,483</t>
  </si>
  <si>
    <t>2025-05-07 09:36:00,5700,,5700,,,5700,5620,,,,,5700,5600,5700,5540</t>
  </si>
  <si>
    <t>2025-05-07 09:36:00,,,,19350,19475,,19925,,,,,20400,19350,19400,19350</t>
  </si>
  <si>
    <t>2025-05-07 09:36:00,577772146.975709,2511909406.98317,-1448.43939393938,-2029,-3959.30669696968,-4049.54,52.5073883386629,-927.72</t>
  </si>
  <si>
    <t>2025-05-07 09:36:00,1231403589.24613,886222777.116543,-966.708333333331,-944,-2159.02958333333,-1871.32,2.38660777534463,-457.69</t>
  </si>
  <si>
    <t>2025-05-07 09:36:00,16139215.1451135,20078258.3785468,-31.4222222222196,355,-5866.56788888883,-3694.51,1.45243062426143,-7.32999999999999</t>
  </si>
  <si>
    <t>2025-05-07 09:36:00,21037050.2879037,-42651.3807340244,-0.138852813852815,0,-9.4290476190476,-42.22,0.00048928656980821,-0.2</t>
  </si>
  <si>
    <t>2025-05-07 09:37:00,,,562,,,555,559.5,,,,,562,555,575,555</t>
  </si>
  <si>
    <t>2025-05-07 09:37:00,490,,484,,470,,481,,,,,484,475,501,483</t>
  </si>
  <si>
    <t>2025-05-07 09:37:00,5700,,5700,,,5700,5620,,,,,5700,5600,5700,5540</t>
  </si>
  <si>
    <t>2025-05-07 09:37:00,19975,,,19350,19475,,19925,,,,,20400,19350,19400,19350</t>
  </si>
  <si>
    <t>2025-05-07 09:37:00,664038047.219832,2769940044.62285,-1237.2,-592,-232.316666666659,756.99,87.9706885863226,176.3</t>
  </si>
  <si>
    <t>2025-05-07 09:37:00,1257381684.74489,936104223.132066,-890.621428571431,-254,-1203.24785714286,-767.38,-38.0299795018138,-138.65</t>
  </si>
  <si>
    <t>2025-05-07 09:37:00,16611997.3538636,20771931.2527939,-633.293333333334,-504,-7734.72380000004,-5165.99,0.170325586826079,-159.44</t>
  </si>
  <si>
    <t>2025-05-07 09:37:00,21469625.7322383,-42916.0097280019,-11.85,-21,-37.9755,-87.9,0.0067669718267199,-0.83</t>
  </si>
  <si>
    <t>2025-05-07 09:38:00,,,562,,,555,559.5,,,,,562,555,575,555</t>
  </si>
  <si>
    <t>2025-05-07 09:38:00,490,,484,,470,,481,,,,,484,475,501,483</t>
  </si>
  <si>
    <t>2025-05-07 09:38:00,5700,,5700,,,5700,5620,,,,,5700,5600,5700,5540</t>
  </si>
  <si>
    <t>2025-05-07 09:38:00,,,,19350,19475,,19925,,,,,20400,19350,19400,19350</t>
  </si>
  <si>
    <t>2025-05-07 09:38:00,619871025.16188,2720589013.17446,784.240259740261,352,1539.16235930737,231.62,44.3895400786507,120.33</t>
  </si>
  <si>
    <t>2025-05-07 09:38:00,1238364545.46527,912877063.25189,157.833333333332,406,460.003333333328,700.96,14.8391301328588,169.05</t>
  </si>
  <si>
    <t>2025-05-07 09:38:00,16430829.0391519,21795473.3323295,1176.55,1161,6816.77149999996,4811.1,2.37526477178585,134.93</t>
  </si>
  <si>
    <t>2025-05-07 09:38:00,21489998.9116981,-41336.5044345001,-0.760238095238112,6,-84.2301214285724,215.25,0.000458174199792864,1.29</t>
  </si>
  <si>
    <t>2025-05-07 09:39:00,,,562,,,555,559.5,,,,,562,555,575,555</t>
  </si>
  <si>
    <t>2025-05-07 09:39:00,490,,484,,470,,481,,,,,484,475,501,483</t>
  </si>
  <si>
    <t>2025-05-07 09:39:00,5700,,5700,,,5700,5620,,,,,5700,5600,5700,5540</t>
  </si>
  <si>
    <t>2025-05-07 09:39:00,,,,19350,19475,,19925,,,,,20400,19350,19400,19350</t>
  </si>
  <si>
    <t>2025-05-07 09:39:00,626003573.419725,2703573423.17865,-165.380952380955,-339,123.663571428565,-820.63,-38.3345693249301,-180.76</t>
  </si>
  <si>
    <t>2025-05-07 09:39:00,1230334636.00238,897941609.502879,871.23863028358,1008,1964.52048956663,1782.7,1.35537334194756,446.25</t>
  </si>
  <si>
    <t>2025-05-07 09:39:00,16386882.9004111,21408987.2652592,202.966666666666,284,1457.20199999999,3796.43,0.0395563667642143,99.43</t>
  </si>
  <si>
    <t>2025-05-07 09:39:00,21038998.6553215,-48193.6942849535,-7.09444444444443,-27,-392.138722222221,-695.22,0.000471036643913403,-5.13</t>
  </si>
  <si>
    <t>2025-05-07 09:40:00,,,562,,,555,559.5,,,,,562,555,575,555</t>
  </si>
  <si>
    <t>2025-05-07 09:40:00,490,,484,,470,,481,,,,,485,475,501,483</t>
  </si>
  <si>
    <t>2025-05-07 09:40:00,5700,,5700,,,5700,5620,,,,,5700,5600,5700,5540</t>
  </si>
  <si>
    <t>2025-05-07 09:40:00,,,,19350,19475,,19925,,,,,20400,19350,19400,19350</t>
  </si>
  <si>
    <t>2025-05-07 09:40:00,636402267.363815,2773849181.19911,2346.46666666664,1307,4917.9376666666,1957.43,82.7580912720157,468.78</t>
  </si>
  <si>
    <t>2025-05-07 09:40:00,1220644900.82124,946193809.243212,4908.38571428571,4554,6883.56809523809,5973.55,248.084263779432,1696.4</t>
  </si>
  <si>
    <t>2025-05-07 09:40:00,16249126.0778098,21358394.6168972,210.016666666667,123,4331.14500000001,1811.1,-0.390554399908948,38.85</t>
  </si>
  <si>
    <t>2025-05-07 09:40:00,20517637.8052469,-54547.7016284471,14.77447786132,15,1222.5191219716,1173.5,0.00715129662891464,7.05</t>
  </si>
  <si>
    <t>2025-05-07 09:41:00,,,562,,,555,559.5,,,,,562,555,575,562</t>
  </si>
  <si>
    <t>2025-05-07 09:41:00,490,,484,,470,,481,,,,,485,475,501,483</t>
  </si>
  <si>
    <t>2025-05-07 09:41:00,5700,,5700,,,5700,5620,,,,,5700,5600,5700,5540</t>
  </si>
  <si>
    <t>2025-05-07 09:41:00,,,,19350,19475,,19925,,,,,20400,19350,19400,19350</t>
  </si>
  <si>
    <t>2025-05-07 09:41:00,603721642.374169,2661943723.59495,-2557.91176046172,-1392,-5910.16394877335,-4086.01,-106.509862116184,-854.38</t>
  </si>
  <si>
    <t>2025-05-07 09:41:00,1205482131.78866,911577443.115982,-685.650747863255,1101,-1665.67610683763,829.28,-94.3959370334045,259.09</t>
  </si>
  <si>
    <t>2025-05-07 09:41:00,15443645.9331219,19153483.7126835,-164.316666666667,-156,-2751.14566666666,-1973.97,0.276743363253445,-36.05</t>
  </si>
  <si>
    <t>2025-05-07 09:41:00,20680134.5051308,-49383.560492514,3.6070857429087,-36,800.481091655833,-5189.8,-0.00922364258743662,-15.87</t>
  </si>
  <si>
    <t>2025-05-07 09:42:00,,,562,,,555,559.5,,,,,562,555,575,562</t>
  </si>
  <si>
    <t>2025-05-07 09:42:00,490,,484,,470,,481,,,,,485,475,501,475</t>
  </si>
  <si>
    <t>2025-05-07 09:42:00,5700,,5700,,,5700,5620,,,,,5700,5500,5700,5540</t>
  </si>
  <si>
    <t>2025-05-07 09:42:00,,,,19350,19475,,19925,,,,,20400,19350,19400,19350</t>
  </si>
  <si>
    <t>2025-05-07 09:42:00,590766337.174538,2630859964.9564,2989.45688858066,3755,5898.16399676371,5019.5,-73.0569878015716,1202.41</t>
  </si>
  <si>
    <t>2025-05-07 09:42:00,1198692384.68027,893428302.139517,1602.56526806527,1559,3420.28564685315,3062.51,-10.3807724174388,701.89</t>
  </si>
  <si>
    <t>2025-05-07 09:42:00,15660701.2620887,20504471.7870999,551.699999999998,352,9755.32399999996,4679.96,0.873184690518577,112.66</t>
  </si>
  <si>
    <t>2025-05-07 09:42:00,20289734.0061858,-39419.7369859999,49.6237762237763,38,2180.45383583084,2036.11,0.0421222771539392,13.49</t>
  </si>
  <si>
    <t>2025-05-07 09:43:00,,,562,,,555,559.5,,,,,562,555,575,562</t>
  </si>
  <si>
    <t>2025-05-07 09:43:00,490,,484,,470,,481,,,,,485,475,501,475</t>
  </si>
  <si>
    <t>2025-05-07 09:43:00,5700,,5700,,,5700,5620,,,,,5700,5500,5700,5540</t>
  </si>
  <si>
    <t>2025-05-07 09:43:00,,,,19350,19475,,19925,,,,,20400,19350,19400,19350</t>
  </si>
  <si>
    <t>2025-05-07 09:43:00,632057601.492537,2757586013.65388,6153.23174603172,3285,10826.320111111,4157.38,-63.7576809548823,1078.52</t>
  </si>
  <si>
    <t>2025-05-07 09:43:00,1207915611.61,917707660.19377,-83.9111111111111,-47,-264.280555555555,-242.58,-20.815922835599,-47.52</t>
  </si>
  <si>
    <t>2025-05-07 09:43:00,16102938.4577662,21071908.4761481,686.413333333333,1147,6861.7742,10205.59,0.0870242034140505,277.95</t>
  </si>
  <si>
    <t>2025-05-07 09:43:00,21010153.6010281,-37100.1458558265,-3.40277777777779,0,-90.0700277777781,110.85,-0.00135370330825498,0.67</t>
  </si>
  <si>
    <t>2025-05-07 09:44:00,,,562,,,555,559.5,,,,,562,555,575,562</t>
  </si>
  <si>
    <t>2025-05-07 09:44:00,490,,484,,470,,481,,,,,485,475,501,475</t>
  </si>
  <si>
    <t>2025-05-07 09:44:00,5700,,5700,,,5700,5620,,,,,5700,5500,5700,5540</t>
  </si>
  <si>
    <t>2025-05-07 09:44:00,,,,19350,19475,,19925,,,,,20400,19350,19400,19350</t>
  </si>
  <si>
    <t>2025-05-07 09:44:00,638821630.060834,2798114318.14069,2131.6,2424,3637.87266666667,4118.22,101.744647553893,989.31</t>
  </si>
  <si>
    <t>2025-05-07 09:44:00,1212438727.41446,924632942.670173,24.6833333333322,-1,-110.667333333336,-197.25,7.95272814072943,-49.96</t>
  </si>
  <si>
    <t>2025-05-07 09:44:00,16256058.4079848,21534902.7496409,251.707142857144,284,3662.72126190476,4784.58,1.48965373363257,113.68</t>
  </si>
  <si>
    <t>2025-05-07 09:44:00,20500535.5982558,-39882.1375526091,-2.66991341991342,2,-93.5872272727272,112.68,-0.000298067539425976,0.74</t>
  </si>
  <si>
    <t>2025-05-07 09:45:00,,,562,,,555,559.5,,,,,562,555,575,562</t>
  </si>
  <si>
    <t>2025-05-07 09:45:00,490,,484,,470,,481,,,,,485,475,501,475</t>
  </si>
  <si>
    <t>2025-05-07 09:45:00,5700,,5700,,,5700,5620,,,,,5700,5600,5700,5540</t>
  </si>
  <si>
    <t>2025-05-07 09:45:00,,,,19350,19475,,19925,,,,,20400,19350,19400,19350</t>
  </si>
  <si>
    <t>2025-05-07 09:45:00,664281883.913636,2866128272.67259,2646.41904761908,3177,5720.43766666675,5403.64,-49.3995665232654,1250.74</t>
  </si>
  <si>
    <t>2025-05-07 09:45:00,1213894861.07621,933416690.80627,426.514285714287,834,746.955285714289,1655.12,17.0033101604904,410.84</t>
  </si>
  <si>
    <t>2025-05-07 09:45:00,16637124.8646541,21846128.3874408,421.585,190,-6713.02795000011,-3157,-1.54962376980263,49.12</t>
  </si>
  <si>
    <t>2025-05-07 09:45:00,20588916.1326672,-40785.1396559721,-8.15555555555556,-4,-480.600083333334,-211.92,0.00358845463914876,-1.29</t>
  </si>
  <si>
    <t>2025-05-07 09:46:00,,,562,,,555,559.5,,,,,562,555,561,562</t>
  </si>
  <si>
    <t>2025-05-07 09:46:00,490,,484,,470,,481,,,,,485,475,501,475</t>
  </si>
  <si>
    <t>2025-05-07 09:46:00,5700,,5700,,,5700,5620,,,,,5700,5600,5700,5540</t>
  </si>
  <si>
    <t>2025-05-07 09:46:00,,,,19350,19475,,19925,,,,,20400,19350,19400,19350</t>
  </si>
  <si>
    <t>2025-05-07 09:46:00,637145527.620183,2788901322.23322,-773.000000000013,134,-1433.32333333337,332.8,101.683179379283,133.06</t>
  </si>
  <si>
    <t>2025-05-07 09:46:00,1205110631.5836,916153514.489507,-1849.40952380952,-2295,-2751.95261904762,-3841.47,34.5946484858701,-941.74</t>
  </si>
  <si>
    <t>2025-05-07 09:46:00,16266096.2795477,21213722.7185759,-462.680000000001,-210,-6113.82660000007,-707.62,-0.282647320973037,-32.35</t>
  </si>
  <si>
    <t>2025-05-07 09:46:00,20211544.145163,-48231.4678828599,-6.25,-3,-170.65,-113.4,0.000238379479518882,-0.76</t>
  </si>
  <si>
    <t>2025-05-07 09:47:00,,,562,,,555,559.5,,,,,562,555,575,562</t>
  </si>
  <si>
    <t>2025-05-07 09:47:00,490,,484,,470,,482,,,,,485,480,501,483</t>
  </si>
  <si>
    <t>2025-05-07 09:47:00,5700,,5700,,,5700,5620,,,,,5700,5600,5700,5540</t>
  </si>
  <si>
    <t>2025-05-07 09:47:00,,,,19350,19475,,19925,,,,,20400,19350,19400,19350</t>
  </si>
  <si>
    <t>2025-05-07 09:47:00,575662267.694925,2695720047.54829,521.205952380957,-743,1090.36141666668,-2059.08,-47.1891320602775,-547.77</t>
  </si>
  <si>
    <t>2025-05-07 09:47:00,1161313460.5682,819687886.36319,-1231.34912008281,-1187,-1712.56997877846,-1059.52,97.3871605824137,-352.4</t>
  </si>
  <si>
    <t>2025-05-07 09:47:00,15265680.3837497,19350027.9510073,903.435714285724,704,28422.8212857146,14045.31,0.139144206048375,261.89</t>
  </si>
  <si>
    <t>2025-05-07 09:47:00,19960794.7520049,-57882.9690518837,12.2357142857143,5,841.092857142857,365,0.00461764687217218,2.23</t>
  </si>
  <si>
    <t>2025-05-07 09:48:00,,,562,,,555,559.5,,,,,562,555,575,562</t>
  </si>
  <si>
    <t>2025-05-07 09:48:00,490,,484,,470,,482,,,,,485,480,501,483</t>
  </si>
  <si>
    <t>2025-05-07 09:48:00,5700,,5700,,,5700,5620,,,,,5700,5600,5700,5540</t>
  </si>
  <si>
    <t>2025-05-07 09:48:00,,,,19350,19475,,19925,,,,,20400,19350,19400,19350</t>
  </si>
  <si>
    <t>2025-05-07 09:48:00,572482502.511881,2715811216.83942,1228.23888888889,-269,3811.579,2186.88,28.6319743385587,445.84</t>
  </si>
  <si>
    <t>2025-05-07 09:48:00,1162369084.03384,813165982.73645,925.221895052346,603,753.493613960653,303.13,15.5529485419454,26.89</t>
  </si>
  <si>
    <t>2025-05-07 09:48:00,15082948.2427122,19001792.5625781,538.144444444445,596,4389.51206666667,8338.47,1.72830449437948,221.06</t>
  </si>
  <si>
    <t>2025-05-07 09:48:00,19883986.9837726,-58384.1166641591,-4.04990842490843,-21,-442.873707875459,-1046.75,-0.00268449570953097,-5.81</t>
  </si>
  <si>
    <t>2025-05-07 09:49:00,,,562,,,555,559.5,,,561,,562,555,561,562</t>
  </si>
  <si>
    <t>2025-05-07 09:49:00,490,,484,,470,,482,483,,483,,485,480,501,475</t>
  </si>
  <si>
    <t>2025-05-07 09:49:00,5700,,5700,,,5700,5620,,,,,5700,5600,5700,5540</t>
  </si>
  <si>
    <t>2025-05-07 09:49:00,,,,19350,19475,,19925,,,,,20400,19350,19400,19350</t>
  </si>
  <si>
    <t>2025-05-07 09:49:00,411293659.612581,2360629345.09099,24649.337878788,7569,37878.0097727274,9447.72,168.244056852506,2504.58</t>
  </si>
  <si>
    <t>2025-05-07 09:49:00,1060267376.75085,631759745.904722,14812.0443043885,8147,26120.4621549954,14387.34,-185.177975295064,3445.95</t>
  </si>
  <si>
    <t>2025-05-07 09:49:00,12623714.7383718,13524143.0463845,3158.72124542126,1623,52823.1032454217,32086.82,-5.47753801206888,659.16</t>
  </si>
  <si>
    <t>2025-05-07 09:49:00,18309056.2242776,-86329.9189009892,62.2553571428571,51,2419.9832077922,1763.38,0.0209899791608147,12.04</t>
  </si>
  <si>
    <t>2025-05-07 09:50:00,,,562,,,555,559.5,,,,,562,555,575,562</t>
  </si>
  <si>
    <t>2025-05-07 09:50:00,490,,484,,470,,482,,,482,,485,480,501,475</t>
  </si>
  <si>
    <t>2025-05-07 09:50:00,5700,,5700,,,5700,5620,,,,5630,5700,5600,5700,5540</t>
  </si>
  <si>
    <t>2025-05-07 09:50:00,,,,19350,19475,,19925,,,,,20400,19350,19400,19350</t>
  </si>
  <si>
    <t>2025-05-07 09:50:00,280135850.461217,1665648483.06094,-29571.3165873017,-10406,-59256.7454682542,-27621.29,-373.594838473817,-5974.54</t>
  </si>
  <si>
    <t>2025-05-07 09:50:00,1024970128.62749,526653216.972996,4033.69028520501,4398,3850.77958696209,3720.3,39.7612003871263,1216.1</t>
  </si>
  <si>
    <t>2025-05-07 09:50:00,10677649.7524677,6389769.54417969,-2986.41666666666,-2224,-61748.193333333,-34600.86,12.8721528874898,-801.25</t>
  </si>
  <si>
    <t>2025-05-07 09:50:00,17343776.9595127,-112269.148815725,-59.0014834434572,-49,-1615.08248793765,-1156.44,0.0300915764385131,-7.49</t>
  </si>
  <si>
    <t>2025-05-07 09:51:00,,,562,,,555,559.5,,,,561,562,555,557,562</t>
  </si>
  <si>
    <t>2025-05-07 09:51:00,490,,484,,470,,482,,,482,,485,480,501,483</t>
  </si>
  <si>
    <t>2025-05-07 09:51:00,5700,,5700,,,5700,5620,,,,,5700,5600,5700,5540</t>
  </si>
  <si>
    <t>2025-05-07 09:51:00,,,,19350,19475,,19925,,,,,20400,19350,19400,19350</t>
  </si>
  <si>
    <t>2025-05-07 09:51:00,303394233.439627,1675757325.7729,-23727.9199874687,-15042,-32225.0075169173,-20091.48,726.289868804888,-4764.63</t>
  </si>
  <si>
    <t>2025-05-07 09:51:00,1013638185.33046,452000060.62498,-2805.65949072296,2443,-5027.83171828388,4345.1,-65.5321841368992,1176.05</t>
  </si>
  <si>
    <t>2025-05-07 09:51:00,9463737.24680546,3186269.18752482,-5901.66212121212,-4306,-69068.6549242424,-38881.89,4.60144628507192,-1025.88</t>
  </si>
  <si>
    <t>2025-05-07 09:51:00,16163918.9966343,-135684.638206641,-2.48088061061745,20,70.9423021645019,866.79,-0.025020993613949,6.24</t>
  </si>
  <si>
    <t>2025-05-07 09:52:00,,,562,,,555,559.5,,,560,,562,555,557,562</t>
  </si>
  <si>
    <t>2025-05-07 09:52:00,490,,484,,470,,482,,,482,,485,480,501,483</t>
  </si>
  <si>
    <t>2025-05-07 09:52:00,5700,,5700,,,5700,5620,,,,,5700,5600,5700,5540</t>
  </si>
  <si>
    <t>2025-05-07 09:52:00,,,,19350,19475,,19925,,,,,20400,19350,19400,19350</t>
  </si>
  <si>
    <t>2025-05-07 09:52:00,217390101.39829,1398293441.30361,8241.7396825395,3866,18904.8110198409,11129.73,-176.707471582639,2430.24</t>
  </si>
  <si>
    <t>2025-05-07 09:52:00,971551626.064379,337414468.108069,-879.90055916307,2596,-851.589250721528,6606.12,-38.8263030345872,1423.88</t>
  </si>
  <si>
    <t>2025-05-07 09:52:00,7325769.0994825,-1174049.46792283,811.564347826093,915,6909.57636811602,16267.35,1.54641844200092,378.8</t>
  </si>
  <si>
    <t>2025-05-07 09:52:00,15318214.3293095,-159254.235535739,5.39327292590448,19,455.176094017092,629.3,-0.0161560703280113,3.8</t>
  </si>
  <si>
    <t>2025-05-07 09:53:00,,,562,,,555,559.5,,,,,562,555,557,562</t>
  </si>
  <si>
    <t>2025-05-07 09:53:00,490,,484,,470,,482,482,,,,485,480,501,475</t>
  </si>
  <si>
    <t>2025-05-07 09:53:00,,5540,5700,,,5700,5620,,,,,5700,5600,5700,5540</t>
  </si>
  <si>
    <t>2025-05-07 09:53:00,,,,19350,19475,,19925,,,,,20400,19350,19400,19350</t>
  </si>
  <si>
    <t>2025-05-07 09:53:00,141716959.110123,1169640944.25349,6902.48302808294,7064,14174.2407326005,14645.29,-148.848348316214,3015.63</t>
  </si>
  <si>
    <t>2025-05-07 09:53:00,933267640.113052,279030711.491809,2352.77049829604,1231,3062.3346767063,1163.52,164.149258303134,327.73</t>
  </si>
  <si>
    <t>2025-05-07 09:53:00,6139410.45291102,-5184854.08067861,445.090000000009,461,5253.07230000022,334,-1.59345110257528,15.55</t>
  </si>
  <si>
    <t>2025-05-07 09:53:00,15393674.0165986,-166795.367184021,68.3470673770675,38,3957.57375389056,1780.81,0.0244408608360373,11.6</t>
  </si>
  <si>
    <t>2025-05-07 09:54:00,,555,562,,,555,559.5,,,559,,562,555,559,555</t>
  </si>
  <si>
    <t>2025-05-07 09:54:00,490,,484,,470,,482,,,481,,485,480,501,475</t>
  </si>
  <si>
    <t>2025-05-07 09:54:00,,5540,,5600,,5700,5620,,,,,5700,5600,5700,5540</t>
  </si>
  <si>
    <t>2025-05-07 09:54:00,,,,19400,19475,,19925,,,,,20400,19400,19400,19350</t>
  </si>
  <si>
    <t>2025-05-07 09:54:00,-11130284.6313689,580448532.4087,-3096.85227272723,6365,1189.71989610401,18488.07,246.394487094225,4289.17</t>
  </si>
  <si>
    <t>2025-05-07 09:54:00,870897182.963317,170872294.417204,-6259.15911868059,-4730,-8364.574165493,-3976.53,-217.364505908,-867.24</t>
  </si>
  <si>
    <t>2025-05-07 09:54:00,3090981.45126862,-13043688.7541657,-318.907639396114,1210,3670.00586688577,7822.2,-5.39259279066737,210.31</t>
  </si>
  <si>
    <t>2025-05-07 09:54:00,13207613.3927814,-283330.193150517,322.31334123251,490,2259.21755222939,6206.82,-0.360703091151236,50.25</t>
  </si>
  <si>
    <t>2025-05-07 09:55:00,,555,562,,,555,559.5,,,559,,562,555,559,555</t>
  </si>
  <si>
    <t>2025-05-07 09:55:00,490,,,480,470,,482,,,,,485,480,501,475</t>
  </si>
  <si>
    <t>2025-05-07 09:55:00,,5540,,5600,,5700,5620,,,,,5700,5600,5700,5540</t>
  </si>
  <si>
    <t>2025-05-07 09:55:00,,,,19400,19475,,19925,,,,,20400,19400,19400,19350</t>
  </si>
  <si>
    <t>2025-05-07 09:55:00,-67897305.6571284,364474317.068639,5207.18296536802,4745,4967.36360086592,2890.36,913.201060436177,1298.31</t>
  </si>
  <si>
    <t>2025-05-07 09:55:00,832532310.066162,86917120.0406861,10716.7323096494,3464,11939.6422007539,2678,13.2218651896652,823.41</t>
  </si>
  <si>
    <t>2025-05-07 09:55:00,2059084.87182599,-16681479.7743838,2305.22945736435,2412,27693.4208881508,29873.14,-1.88753847441381,747.32</t>
  </si>
  <si>
    <t>2025-05-07 09:55:00,12610133.3838756,-298446.692752247,-2.70924977155629,0,587.502427414689,558.46,0.0211490163101855,2.81</t>
  </si>
  <si>
    <t>2025-05-07 09:57:00,,555,562,,,555,559.5,,,,,562,555,559,555</t>
  </si>
  <si>
    <t>2025-05-07 09:57:00,490,,,480,470,,482,,,,,485,480,501,475</t>
  </si>
  <si>
    <t>2025-05-07 09:57:00,,5540,,5600,,5700,5620,,,,,5700,5600,5700,5540</t>
  </si>
  <si>
    <t>2025-05-07 09:57:00,,,,19400,19475,,19925,,,,,20000,19400,19400,19350</t>
  </si>
  <si>
    <t>2025-05-07 09:57:00,-18844739.0986259,533286181.617731,-16789.7757353757,-5341,-27461.482005217,-8873.04,-195.199403636737,-2149.71</t>
  </si>
  <si>
    <t>2025-05-07 09:57:00,852765946.699992,176339035.383411,-290.385693045264,-1255,-4596.85820251243,-5740.79,123.563064818058,-1230.82</t>
  </si>
  <si>
    <t>2025-05-07 09:57:00,2321780.05311987,-16412973.1604484,-1485.34333333334,-1133,-31126.3357666667,-19548.56,0.0680688742477011,-457.86</t>
  </si>
  <si>
    <t>2025-05-07 09:57:00,12646267.9923512,-286652.519686225,17.2574238042659,-35,-26.2275962639694,-729.54,-0.0269881705771079,-6.58</t>
  </si>
  <si>
    <t>2025-05-07 09:58:00,,555,562,,,555,559.5,,,,,562,555,559,555</t>
  </si>
  <si>
    <t>2025-05-07 09:58:00,490,,,480,470,,482,,,,,485,480,501,483</t>
  </si>
  <si>
    <t>2025-05-07 09:58:00,,5540,,5600,,5700,5620,,,,,5700,5600,5700,5540</t>
  </si>
  <si>
    <t>2025-05-07 09:58:00,,,,19400,19475,,19925,,,,,20000,19400,19400,19350</t>
  </si>
  <si>
    <t>2025-05-07 09:58:00,-59634478.0487534,446581832.145349,-5065.4666666666,-8374,-10825.5243333332,-13382.54,-8.09017918571167,-3181.85</t>
  </si>
  <si>
    <t>2025-05-07 09:58:00,827845034.339496,85046014.6800624,-4619.74325478444,-3626,-9996.58214479639,-6410.08,-84.5902743769409,-1351.36</t>
  </si>
  <si>
    <t>2025-05-07 09:58:00,2305393.67352032,-14745101.3918148,-711.033333333334,-1539,-16942.3806666667,-21188.12,-1.66984197415961,-498.72</t>
  </si>
  <si>
    <t>2025-05-07 09:58:00,12478374.6179538,-289017.522285176,-16.6388880566375,-10,-680.777001100483,-676.66,-0.00240597891244634,-3.88</t>
  </si>
  <si>
    <t>2025-05-07 09:59:00,,,562,,,555,559.5,,560,,,562,555,559,558</t>
  </si>
  <si>
    <t>2025-05-07 09:59:00,490,,484,,470,,482,,,,,485,480,501,483</t>
  </si>
  <si>
    <t>2025-05-07 09:59:00,,5540,,5600,,5700,5620,,,,,5700,5600,5700,5540</t>
  </si>
  <si>
    <t>2025-05-07 09:59:00,,,,19400,19475,,19925,,,,,20000,19400,19400,19350</t>
  </si>
  <si>
    <t>2025-05-07 09:59:00,53309316.4320173,931041061.223858,1197.50595238093,-3586,-281.707119047681,-5354.7,-378.089565023009,-1454.06</t>
  </si>
  <si>
    <t>2025-05-07 09:59:00,870652770.644144,222785199.1425,8235.6744949495,4084,15944.7698156566,9229.46,25.7462536142304,2077.97</t>
  </si>
  <si>
    <t>2025-05-07 09:59:00,3445936.17519725,-11866517.6814185,1054.89333333333,202,23863.7463666665,7808.68,-0.377101186112387,151.97</t>
  </si>
  <si>
    <t>2025-05-07 09:59:00,13507416.0550984,-261110.784924315,17.833549043549,12,431.134363166462,352.66,0.0161138340320479,2.35</t>
  </si>
  <si>
    <t>2025-05-07 10:00:00,,,562,,,555,559.5,,,,,562,555,559,558</t>
  </si>
  <si>
    <t>2025-05-07 10:00:00,490,,484,,470,,482,,,,,485,480,501,483</t>
  </si>
  <si>
    <t>2025-05-07 10:00:00,,5540,,5600,,5700,5620,,,,,5700,5600,5700,5540</t>
  </si>
  <si>
    <t>2025-05-07 10:00:00,,,,19400,19475,,19925,,,,,20000,19400,19400,19350</t>
  </si>
  <si>
    <t>2025-05-07 10:00:00,21264176.313834,919616778.696054,10073.7249167499,1521,14457.4846270397,1861.92,92.6479485368654,312.18</t>
  </si>
  <si>
    <t>2025-05-07 10:00:00,845424464.068968,216899512.9312,7139.94145532601,3193,12152.6746998144,6696.02,55.2494244437698,1467.21</t>
  </si>
  <si>
    <t>2025-05-07 10:00:00,3368294.97181601,-11079259.0198042,1107.6,359,9359.07966666667,-3826.34,2.14083082561782,-77</t>
  </si>
  <si>
    <t>2025-05-07 10:00:00,13026494.231226,-267263.074777907,19.6579805068226,16,778.915985029241,560.98,0.00140171375073388,3.57</t>
  </si>
  <si>
    <t>2025-05-07 10:01:00,,555,562,,,555,559.5,,,,,562,555,559,558</t>
  </si>
  <si>
    <t>2025-05-07 10:01:00,490,,,480,470,,482,,,,480,485,480,501,483</t>
  </si>
  <si>
    <t>2025-05-07 10:01:00,,5540,,5600,,5700,5620,,,,,5700,5600,5700,5540</t>
  </si>
  <si>
    <t>2025-05-07 10:01:00,,,,19400,19475,,19925,,,,,20000,19400,19400,19350</t>
  </si>
  <si>
    <t>2025-05-07 10:01:00,-182217688.784642,139649643.258635,-19.6759600614371,30,7528.22170486234,4986.98,-330.879606031731,748.39</t>
  </si>
  <si>
    <t>2025-05-07 10:01:00,747241469.940283,-67830941.8739409,-8584.19393939393,-3612,-18157.4614393939,-7056.47,96.0550368343967,-1570.27</t>
  </si>
  <si>
    <t>2025-05-07 10:01:00,690389.411830763,-18369441.7167711,1652.86952380953,506,19249.135704762,6693.95,-0.70808396486145,164.78</t>
  </si>
  <si>
    <t>2025-05-07 10:01:00,10976414.8888828,-311508.947571025,32.7989123850833,32,1102.61765324075,589.55,0.000334555432862956,3.84</t>
  </si>
  <si>
    <t>2025-05-07 10:02:00,,555,562,,,555,559.5,,,,559,562,555,559,555</t>
  </si>
  <si>
    <t>2025-05-07 10:02:00,490,,,480,470,,481,,,480,,485,480,501,483</t>
  </si>
  <si>
    <t>2025-05-07 10:02:00,,5540,,5600,,5700,5620,,,,,5700,5600,5700,5540</t>
  </si>
  <si>
    <t>2025-05-07 10:02:00,,,,19400,19475,,19925,,,,,20000,19400,19400,19350</t>
  </si>
  <si>
    <t>2025-05-07 10:02:00,-108473635.003763,464184098.909786,19820.5739177488,13250,33190.4926103892,21396.79,317.910635857998,5099.42</t>
  </si>
  <si>
    <t>2025-05-07 10:02:00,774575016.11777,96860723.4888374,10070.1171514503,10020,15096.5044615254,15346.5,17.6673888330532,3578.77</t>
  </si>
  <si>
    <t>2025-05-07 10:02:00,767554.082767169,-17070508.6279895,481.710000000006,960,1941.89970000013,4989.36,-4.04537631011906,169.37</t>
  </si>
  <si>
    <t>2025-05-07 10:02:00,11406264.100916,-312975.861769227,-9.78515716167888,-37,-76.8225647217517,9.91999999999996,0.0100979291157426,-1.19</t>
  </si>
  <si>
    <t>2025-05-07 10:03:00,,555,562,,,555,559.5,,,559,,562,555,559,555</t>
  </si>
  <si>
    <t>2025-05-07 10:03:00,490,,,480,470,,482,,,,480,485,480,501,483</t>
  </si>
  <si>
    <t>2025-05-07 10:03:00,,5540,,5600,,5700,5620,5600,5610,5600,,5700,5500,5700,5540</t>
  </si>
  <si>
    <t>2025-05-07 10:03:00,,,,19400,19475,,19925,,,,,20000,19400,19400,19350</t>
  </si>
  <si>
    <t>2025-05-07 10:03:00,-141318980.130617,165330622.577612,335.606145640601,6819,1543.83431154141,11566.34,11.0625282505044,3099.36</t>
  </si>
  <si>
    <t>2025-05-07 10:03:00,774802319.931472,31469460.3982435,-3424.21967640202,-2520,-6074.00702420128,-5012.96,68.9405321099186,-1047.66</t>
  </si>
  <si>
    <t>2025-05-07 10:03:00,678076.807009756,-16774450.308191,-3532.99666666668,-1511,-35874.1446333335,-1153.02,0.864654152035852,-125.82</t>
  </si>
  <si>
    <t>2025-05-07 10:03:00,11000986.5873186,-322916.176263808,-38.8509189640768,-21,-5296.62497159565,-2686.25,0.0342572808425739,-12.01</t>
  </si>
  <si>
    <t>2025-05-07 10:04:00,,555,562,,,555,580.5,,,,,562,555,559,555</t>
  </si>
  <si>
    <t>2025-05-07 10:04:00,490,,,480,470,,482,,,,,485,480,501,483</t>
  </si>
  <si>
    <t>2025-05-07 10:04:00,,5540,,5600,,5700,5620,,,,,5700,5500,5700,5540</t>
  </si>
  <si>
    <t>2025-05-07 10:04:00,,,,19400,19475,,19925,,,,,20000,19400,19400,19350</t>
  </si>
  <si>
    <t>2025-05-07 10:04:00,-64680272.0676293,463176303.909303,-8813.48266178259,-2375,-17716.9638693527,-2978.67,-169.753104622157,-736.41</t>
  </si>
  <si>
    <t>2025-05-07 10:04:00,783931991.350404,65415777.3487561,-2366.07258297258,1214,-3483.32251803752,2316.51,-2.42515657794065,549.19</t>
  </si>
  <si>
    <t>2025-05-07 10:04:00,1024039.75650144,-16567886.4055032,-1795.91991341992,-955,-35131.8901818182,-14208.31,2.9399314684745,-296.61</t>
  </si>
  <si>
    <t>2025-05-07 10:04:00,10966452.4458634,-302164.28337597,-41.7177748508269,-91,-2414.123655011,-3827.4,-0.0615105873113928,-20.85</t>
  </si>
  <si>
    <t>2025-05-07 10:05:00,,555,562,,,555,559.5,,,,,562,555,559,555</t>
  </si>
  <si>
    <t>2025-05-07 10:05:00,490,,,480,470,,481,,,,,485,480,501,483</t>
  </si>
  <si>
    <t>2025-05-07 10:05:00,,5540,,5600,,5700,5620,,,,,5700,5500,5700,5540</t>
  </si>
  <si>
    <t>2025-05-07 10:05:00,,,,19400,19475,,19925,,,,,20000,19400,19400,19350</t>
  </si>
  <si>
    <t>2025-05-07 10:05:00,-51147859.2638623,573959646.074085,23622.8380952381,8163,45134.1219523809,13302.31,249.606560891449,2918.11</t>
  </si>
  <si>
    <t>2025-05-07 10:05:00,779336644.753755,86703213.6958794,7026.04950977123,4554,9163.78138016074,4494.9,58.3226119180004,1163.54</t>
  </si>
  <si>
    <t>2025-05-07 10:05:00,1325892.77705869,-16028807.1747219,-49.066666666661,-532,-5281.86033333322,-10839.41,-2.02938086806844,-263.22</t>
  </si>
  <si>
    <t>2025-05-07 10:05:00,11249077.503394,-300415.0686777,50.5873444655703,37,1930.91488147337,949.83,0.00307310178943532,6.05</t>
  </si>
  <si>
    <t>2025-05-07 10:06:00,,555,562,,,555,559.5,,,,,562,555,559,555</t>
  </si>
  <si>
    <t>2025-05-07 10:06:00,490,,,480,470,,481,,,,,485,480,501,483</t>
  </si>
  <si>
    <t>2025-05-07 10:06:00,,5540,,5600,,5700,5620,,,,,5700,5500,5700,5540</t>
  </si>
  <si>
    <t>2025-05-07 10:06:00,,,,19400,19475,,19925,,,,,20000,19400,19400,19350</t>
  </si>
  <si>
    <t>2025-05-07 10:06:00,-36461622.3892045,621160845.210257,19277.6055555556,5955,34332.1091269841,10443.71,21.1744584429696,2294.6</t>
  </si>
  <si>
    <t>2025-05-07 10:06:00,815435453.208142,194742605.800065,6744.76717171719,4545,10030.6444545455,5638.28,171.902934586492,1352.85</t>
  </si>
  <si>
    <t>2025-05-07 10:06:00,2787128.91161368,-10888459.8594628,2432.48388888889,1806,28202.2347944445,16199.88,2.48916910098249,407.25</t>
  </si>
  <si>
    <t>2025-05-07 10:06:00,12044344.9306239,-278115.56425003,-3.35269610513923,-4,34.4688798915449,147.29,0.00490723954128762,0.37</t>
  </si>
  <si>
    <t>2025-05-07 10:07:00,,555,562,,,555,558.5,,,,,562,555,559,555</t>
  </si>
  <si>
    <t>2025-05-07 10:07:00,490,,484,,470,,481,,,480,,485,480,501,483</t>
  </si>
  <si>
    <t>2025-05-07 10:07:00,,5540,,5600,,5700,5620,,,,,5700,5500,5700,5540</t>
  </si>
  <si>
    <t>2025-05-07 10:07:00,,,,19350,19475,,19925,,,,,20000,19350,19400,20100</t>
  </si>
  <si>
    <t>2025-05-07 10:07:00,-110658729.889789,481395464.83021,2222.84404761904,497,6712.35221428569,4530.42,-335.916985086585,710.64</t>
  </si>
  <si>
    <t>2025-05-07 10:07:00,764756790.796306,166997779.020507,4244.70678047442,3579,6732.77269129889,8363.09,5.75823006060118,1711.39</t>
  </si>
  <si>
    <t>2025-05-07 10:07:00,218496.399840631,-16992158.1650384,-387.048245614042,-738,1651.25867543842,-6087.79,-1.87214344231244,-175.18</t>
  </si>
  <si>
    <t>2025-05-07 10:07:00,10201612.503794,-475852.647715646,98.8870133362861,1055,6816.34285428469,13524.48,-0.67982479714391,104.72</t>
  </si>
  <si>
    <t>2025-05-07 10:08:00,,555,562,,,555,559.5,,,,,562,555,559,555</t>
  </si>
  <si>
    <t>2025-05-07 10:08:00,490,,,480,470,,481,,,,480,485,480,501,483</t>
  </si>
  <si>
    <t>2025-05-07 10:08:00,,5540,,5600,,5700,5620,,,,,5700,5500,5700,5540</t>
  </si>
  <si>
    <t>2025-05-07 10:08:00,,,,19350,19475,,19925,,,,,20000,19350,19400,20100</t>
  </si>
  <si>
    <t>2025-05-07 10:08:00,-104958552.311734,302115986.823186,-2448.13452380952,-3057,-4962.03577380951,-5440.49,-1.72137244011448,-1196.3</t>
  </si>
  <si>
    <t>2025-05-07 10:08:00,767606147.191554,112320124.137699,-3835.5137799564,-4110,-7528.74075871453,-7782.44,139.059149771711,-1573.64</t>
  </si>
  <si>
    <t>2025-05-07 10:08:00,1410269.5013202,-14364551.5081762,-384.259999999999,-563,-2671.15946666664,-1968.57,0.673691449191058,-51.18</t>
  </si>
  <si>
    <t>2025-05-07 10:08:00,10659809.6793748,-461734.487899186,-5.42729076479077,-2,-658.893877164503,-465,0.0100457797737155,-2.39</t>
  </si>
  <si>
    <t>2025-05-07 10:09:00,,555,562,,,555,559.5,,,,,562,555,559,555</t>
  </si>
  <si>
    <t>2025-05-07 10:09:00,490,,,480,470,,481,,,,,485,480,501,483</t>
  </si>
  <si>
    <t>2025-05-07 10:09:00,,5540,,5600,,5700,5620,,,,,5700,5500,5700,5540</t>
  </si>
  <si>
    <t>2025-05-07 10:09:00,,,,19350,19475,,19925,,,,,20000,19350,19400,20100</t>
  </si>
  <si>
    <t>2025-05-07 10:09:00,-120554836.068931,297860335.553269,1855.19761904753,18,6580.62402380931,1319.79,-115.638873688283,100.16</t>
  </si>
  <si>
    <t>2025-05-07 10:09:00,758438101.822155,63669389.5180711,6549.1324023905,4004,12798.2578992849,5589.25,119.104577253652,1338.42</t>
  </si>
  <si>
    <t>2025-05-07 10:09:00,1496192.71587532,-13485395.3016549,3735.07,1383,50720.8953666666,13353.97,2.33159215294178,333.52</t>
  </si>
  <si>
    <t>2025-05-07 10:09:00,11025722.9128375,-455668.031021734,32.0616402116402,23,1014.07395555556,554.82,-0.0026576124966918,4.2</t>
  </si>
  <si>
    <t>2025-05-07 10:10:00,,,562,,,555,558.5,,,,,562,555,560,555</t>
  </si>
  <si>
    <t>2025-05-07 10:10:00,490,,485,,470,,481,,,,,485,480,501,483</t>
  </si>
  <si>
    <t>2025-05-07 10:10:00,,5540,5700,,,5700,5620,,,,,5700,5500,5700,5540</t>
  </si>
  <si>
    <t>2025-05-07 10:10:00,,,,19350,19475,,19925,,,,,20000,19350,19400,20100</t>
  </si>
  <si>
    <t>2025-05-07 10:10:00,16122287.8789956,936882878.907869,-3645.18333333331,-2536,-3960.99454761899,-2026.34,240.479060365965,-480.31</t>
  </si>
  <si>
    <t>2025-05-07 10:10:00,828170211.908527,316725530.381835,-4241.1252326218,-2397,-9765.71290914072,-4524.35,-54.8061106444762,-897.4</t>
  </si>
  <si>
    <t>2025-05-07 10:10:00,3170993.68698627,-6718691.24157724,-1371.2,-836,-25527.873,-12728.19,-0.639717029027352,-280.12</t>
  </si>
  <si>
    <t>2025-05-07 10:10:00,11554523.9452365,-434001.829626566,-53.5851648351648,-19,-2350.15906227106,-671.78,0.0109424173284053,-3.9</t>
  </si>
  <si>
    <t>2025-05-07 10:11:00,,555,562,,,555,558.5,,,,,562,555,560,555</t>
  </si>
  <si>
    <t>2025-05-07 10:11:00,490,,,480,470,,481,,,,,485,480,501,483</t>
  </si>
  <si>
    <t>2025-05-07 10:11:00,,5540,5700,,,5700,5620,,,,,5700,5500,5700,5540</t>
  </si>
  <si>
    <t>2025-05-07 10:11:00,,,,19350,19475,,19925,,,,,20000,19350,19400,20100</t>
  </si>
  <si>
    <t>2025-05-07 10:11:00,-14029228.1342153,805286156.12543,10938.0771062271,4999,16702.050948718,8733.4,374.537373300206,2143.43</t>
  </si>
  <si>
    <t>2025-05-07 10:11:00,806092603.313628,200166279.605146,2680.41923076923,1791,5074.25112820513,2777.55,100.264939315568,657.6</t>
  </si>
  <si>
    <t>2025-05-07 10:11:00,3193893.88983664,-7908307.57611473,-254.244444444444,-263,-3370.57883333333,-1349.94,-0.43154936615884,-41.71</t>
  </si>
  <si>
    <t>2025-05-07 10:11:00,11112793.2841309,-424020.75876827,30.7437257187258,17,2026.87498329449,1049.11,0.0219586308183133,6.29</t>
  </si>
  <si>
    <t>2025-05-07 10:12:00,,555,562,,,555,558.5,,,,,562,555,560,555</t>
  </si>
  <si>
    <t>2025-05-07 10:12:00,490,,,480,470,,481,,,,,485,480,501,483</t>
  </si>
  <si>
    <t>2025-05-07 10:12:00,,5540,5700,,,5700,5620,,,,,5700,5500,5700,5540</t>
  </si>
  <si>
    <t>2025-05-07 10:12:00,,,,19350,19475,,19925,,,,,20000,19350,19400,20100</t>
  </si>
  <si>
    <t>2025-05-07 10:12:00,-85452191.5682743,556211466.803728,3965.38095238098,293,7052.57404761913,-131.78,-128.652702782177,-69.7900000000001</t>
  </si>
  <si>
    <t>2025-05-07 10:12:00,769881524.592872,123871901.479537,3051.7369047619,2064,4658.53880952381,4214.52,36.497279316538,910.07</t>
  </si>
  <si>
    <t>2025-05-07 10:12:00,2167224.57677723,-9836323.13291113,854.850000000001,345,14933.1928333334,4339.58,-0.324957856603923,101.45</t>
  </si>
  <si>
    <t>2025-05-07 10:12:00,11889637.969165,-433510.594631387,23.0374033374034,25,1165.50864489215,1019.14,0.0142264069666865,6.29</t>
  </si>
  <si>
    <t>2025-05-07 10:13:00,,555,562,,,555,558.5,,,,,562,555,560,555</t>
  </si>
  <si>
    <t>2025-05-07 10:13:00,490,,,480,470,,481,,,,,485,480,482,483</t>
  </si>
  <si>
    <t>2025-05-07 10:13:00,,5540,,5600,,5700,5620,,,,,5700,5500,5700,5540</t>
  </si>
  <si>
    <t>2025-05-07 10:13:00,,,,19350,19475,,19925,,,,,20000,19350,19400,20100</t>
  </si>
  <si>
    <t>2025-05-07 10:13:00,-180417643.69589,189434943.732059,-96.9240620490839,4033,-1894.47251082256,4876.48,-278.916954832405,1250.09</t>
  </si>
  <si>
    <t>2025-05-07 10:13:00,734000116.273274,9795509.67597456,2692.57466039709,5698,6493.72976175552,10125.94,-29.6924542275427,2214.06</t>
  </si>
  <si>
    <t>2025-05-07 10:13:00,-106667.662011468,-15188352.9709177,430.250000000005,609,-2791.86549999985,-1668.82,1.08246455663765,-24.49</t>
  </si>
  <si>
    <t>2025-05-07 10:13:00,10067195.7945575,-558950.585753156,-82.4749702840681,500,97.4519433116909,6122.76,-0.307851733409909,46.77</t>
  </si>
  <si>
    <t>2025-05-07 10:14:00,,555,562,,,555,558.5,,,,,562,555,560,555</t>
  </si>
  <si>
    <t>2025-05-07 10:14:00,490,,,480,470,,481,,,,480,485,480,482,483</t>
  </si>
  <si>
    <t>2025-05-07 10:14:00,,5540,,5600,,5700,5620,,,,,5700,5500,5700,5540</t>
  </si>
  <si>
    <t>2025-05-07 10:14:00,,,,19350,19475,,19925,,,,,20000,19350,19400,19300</t>
  </si>
  <si>
    <t>2025-05-07 10:14:00,-201029493.588823,102148320.536396,1753.44047619056,-1359,-142.899535714105,-3133.91,158.261952502803,-625</t>
  </si>
  <si>
    <t>2025-05-07 10:14:00,715002993.868135,-63079420.7291907,5309.51133033637,5190,5904.80562745598,3822.3,152.84874056104,1098.35</t>
  </si>
  <si>
    <t>2025-05-07 10:14:00,-788336.913423447,-18992388.1831281,1325.19333333333,1659,22662.8941999998,13397.52,-7.67082738088556,324.98</t>
  </si>
  <si>
    <t>2025-05-07 10:14:00,9258242.30132065,-635947.501664707,-825.080059523811,-506,-7454.87763253969,-4820.78,0.279578852894501,-32.46</t>
  </si>
  <si>
    <t>2025-05-07 10:15:00,,555,562,,,555,558.5,,,,,562,555,560,555</t>
  </si>
  <si>
    <t>2025-05-07 10:15:00,490,,,480,470,,481,,,,,485,480,482,483</t>
  </si>
  <si>
    <t>2025-05-07 10:15:00,,5540,,5600,,5700,5620,,,,,5700,5500,5700,5540</t>
  </si>
  <si>
    <t>2025-05-07 10:15:00,,,,19350,19475,,19925,,,,,20000,19350,19400,19300</t>
  </si>
  <si>
    <t>2025-05-07 10:15:00,-168663503.675704,232207938.850124,-222.088095238085,-388,-4431.49364285712,-6387.92,19.5563707450555,-1131.05</t>
  </si>
  <si>
    <t>2025-05-07 10:15:00,737832553.183696,8315451.95927608,1660.34060070753,2163,1946.70296290088,1742,48.6465881010662,432.47</t>
  </si>
  <si>
    <t>2025-05-07 10:15:00,212435.051610894,-14647461.2439027,587.816666666668,578,4672.65483333334,7595.99,0.576355046035026,193.68</t>
  </si>
  <si>
    <t>2025-05-07 10:15:00,10298609.4542578,-598398.001543127,-14.5741386554622,-19,-625.199685504201,-597.79,-0.00276565422122814,-3.94</t>
  </si>
  <si>
    <t>2025-05-07 10:16:00,,555,562,,,555,558.5,,,,,562,555,560,555</t>
  </si>
  <si>
    <t>2025-05-07 10:16:00,490,,,480,470,,481,,,,,485,480,482,483</t>
  </si>
  <si>
    <t>2025-05-07 10:16:00,,5540,,5600,,5700,5620,,,,,5700,5500,5700,5540</t>
  </si>
  <si>
    <t>2025-05-07 10:16:00,,,,19350,19475,,19925,,,,,20000,19350,19400,19300</t>
  </si>
  <si>
    <t>2025-05-07 10:16:00,-119724952.109928,385780851.496587,5470.61233766233,5892,6831.74229220777,6666.73,115.971559275253,1550.85</t>
  </si>
  <si>
    <t>2025-05-07 10:16:00,783740370.521818,163732881.424295,3349.19285714285,3445,6106.43678571427,6063.46,44.1829536931474,1406.39</t>
  </si>
  <si>
    <t>2025-05-07 10:16:00,1399446.73933085,-12555774.2365932,754.863333333336,830,9028.46603333339,12536.93,1.058717913813,294.19</t>
  </si>
  <si>
    <t>2025-05-07 10:16:00,11028412.0118899,-567203.433748262,-17.3136904761905,-6,-1542.80378571428,-471.31,-0.00418461825393204,-2.8</t>
  </si>
  <si>
    <t>2025-05-07 10:17:00,,555,562,,,555,558.5,,,,,562,555,560,555</t>
  </si>
  <si>
    <t>2025-05-07 10:17:00,490,,,480,470,,481,,,,,485,480,482,483</t>
  </si>
  <si>
    <t>2025-05-07 10:17:00,,5540,,5600,,5700,5620,,,,,5700,5500,5700,5540</t>
  </si>
  <si>
    <t>2025-05-07 10:17:00,,,,19350,19475,,19925,,,,,20000,19350,19400,19300</t>
  </si>
  <si>
    <t>2025-05-07 10:17:00,-96711500.828679,502125025.772124,-6890.21111111113,-5059,-11553.1573492064,-6755.64,246.745991289082,-1530.47</t>
  </si>
  <si>
    <t>2025-05-07 10:17:00,779030522.135167,155848028.903919,-2401.01851851852,-2688,-5830.04212962963,-4715.24,-107.300392408746,-1069.14</t>
  </si>
  <si>
    <t>2025-05-07 10:17:00,678274.712499133,-14906810.4046136,-954.137142857145,-705,-19250.3445333334,-11098.82,0.71064020023077,-244.87</t>
  </si>
  <si>
    <t>2025-05-07 10:17:00,10412559.964962,-586620.824171916,-2.6,-3,-72.7,20.4,0.000991978739915743,-0.05</t>
  </si>
  <si>
    <t>2025-05-07 10:18:00,,555,562,,,555,558.5,,,,,562,555,560,555</t>
  </si>
  <si>
    <t>2025-05-07 10:18:00,490,,,480,470,,481,,,,,485,480,482,483</t>
  </si>
  <si>
    <t>2025-05-07 10:18:00,,5540,,5600,,5700,5620,,,,,5700,5500,5700,5540</t>
  </si>
  <si>
    <t>2025-05-07 10:18:00,,,,19350,19475,,19925,,,,,20000,19350,19400,19300</t>
  </si>
  <si>
    <t>2025-05-07 10:18:00,-79982234.7281962,591224533.796198,-5338.15476190477,-4251,-10990.9721428572,-7901.04,27.6673344090639,-1837.34</t>
  </si>
  <si>
    <t>2025-05-07 10:18:00,786739257.317607,155472411.292471,-2240.29999999999,-1708,-3957.34449999998,-2546.08,28.1797498753712,-616.87</t>
  </si>
  <si>
    <t>2025-05-07 10:18:00,1162209.02661258,-12557692.7214195,-793.936666666663,-606,-12386.4474333332,-7539.92,0.227673463116004,-187.18</t>
  </si>
  <si>
    <t>2025-05-07 10:18:00,10591350.4068649,-571172.907872602,3.28743961352657,0,-24.4273623188406,-33.96,-0.00130724917904335,-0.29</t>
  </si>
  <si>
    <t>2025-05-07 10:19:00,,555,562,,,555,558.5,,559,,,562,555,560,555</t>
  </si>
  <si>
    <t>2025-05-07 10:19:00,490,,,480,470,,481,,,,,485,480,482,483</t>
  </si>
  <si>
    <t>2025-05-07 10:19:00,,5540,,5600,,5700,5620,,,,,5700,5500,5700,5540</t>
  </si>
  <si>
    <t>2025-05-07 10:19:00,,,,19350,19475,,19925,,,,,20000,19350,19400,19300</t>
  </si>
  <si>
    <t>2025-05-07 10:19:00,-132915064.601072,350373126.114349,-1013.11428571429,-2871,-1937.25357142858,-6243.89,-137.367931104386,-1376.11</t>
  </si>
  <si>
    <t>2025-05-07 10:19:00,763551310.489022,124357011.920891,-1435.40357142858,-1923,-3302.51022619048,-4010.21,-25.7432936305235,-917.69</t>
  </si>
  <si>
    <t>2025-05-07 10:19:00,1054435.72641606,-12419466.2996721,-2.68333333333182,171,-111.729833333314,-545.51,-2.14792520160269,-3.73999999999999</t>
  </si>
  <si>
    <t>2025-05-07 10:19:00,10355020.8205101,-573239.876712306,4.21017871017871,1,104.31275058275,20,-0.000819969187201874,0.14</t>
  </si>
  <si>
    <t>2025-05-07 10:20:00,,555,562,,,555,558.5,,,,,562,555,560,555</t>
  </si>
  <si>
    <t>2025-05-07 10:20:00,490,,,480,470,,481,,,,,485,480,482,483</t>
  </si>
  <si>
    <t>2025-05-07 10:20:00,,5540,5700,,,5700,5620,,,,,5700,5500,5700,5540</t>
  </si>
  <si>
    <t>2025-05-07 10:20:00,,,,19350,19475,,19925,,,,,20000,19350,19400,19300</t>
  </si>
  <si>
    <t>2025-05-07 10:20:00,-140304835.3721,336454083.255737,8456.66666666674,2657,11806.5433333335,2848.94,-41.992277249558,693.42</t>
  </si>
  <si>
    <t>2025-05-07 10:20:00,761115755.910749,117657767.243866,3447.06826599326,1811,4060.82628451177,1982.72,68.7681097848573,537.04</t>
  </si>
  <si>
    <t>2025-05-07 10:20:00,1350725.81484789,-10990071.3796764,2794.36666666666,1378,35940.4335666666,11368.05,1.15393622873128,285.57</t>
  </si>
  <si>
    <t>2025-05-07 10:20:00,10599097.6915208,-568368.747607651,2.91551606288449,14,219.602311232628,1100.12,-0.0131364277425435,6.25</t>
  </si>
  <si>
    <t>2025-05-07 10:21:00,,,562,,,555,558.5,,,,,562,555,560,555</t>
  </si>
  <si>
    <t>2025-05-07 10:21:00,490,,,480,470,,481,,,,,485,480,482,483</t>
  </si>
  <si>
    <t>2025-05-07 10:21:00,,5540,5700,,,5700,5620,,,,,5700,5500,5700,5540</t>
  </si>
  <si>
    <t>2025-05-07 10:21:00,,,,19350,19475,,19925,,,,,20000,19350,19400,19300</t>
  </si>
  <si>
    <t>2025-05-07 10:21:00,41932212.0000587,1185746629.0917,-481.808823529399,-1481,-2420.36063725487,-6201.24,-189.225361491036,-1335.87</t>
  </si>
  <si>
    <t>2025-05-07 10:21:00,836005601.792104,338880729.502285,-2691.05384642549,-2238,-7685.64928280101,-4226.9,-109.168735550463,-842.44</t>
  </si>
  <si>
    <t>2025-05-07 10:21:00,3194493.06672162,-6218425.46200344,-1419.59666666667,-1110,-24045.6484666665,-14386.16,0.311468873072947,-338.08</t>
  </si>
  <si>
    <t>2025-05-07 10:21:00,12392411.2256214,-509326.28856666,-31.9829617242661,-23,-599.505967855815,-573.08,-0.00236995849468251,-2.82</t>
  </si>
  <si>
    <t>2025-05-07 10:22:00,,555,562,,,555,558.5,,,,,562,555,560,558</t>
  </si>
  <si>
    <t>2025-05-07 10:22:00,490,,,480,470,,481,,,,,485,480,501,483</t>
  </si>
  <si>
    <t>2025-05-07 10:22:00,,5540,5700,,,5700,5620,,,,,5700,5500,5700,5540</t>
  </si>
  <si>
    <t>2025-05-07 10:22:00,,,,19350,19475,,19925,,,,,20000,19350,19400,19300</t>
  </si>
  <si>
    <t>2025-05-07 10:22:00,-62478399.6995944,755046646.652824,-14321.8047619048,-7206,-22970.5197619048,-7878.77,-237.964456400845,-2364.36</t>
  </si>
  <si>
    <t>2025-05-07 10:22:00,787042512.278672,224152790.849519,-10060.3738095238,-5227,-17552.4498809523,-8296.5,-111.171222324162,-1887.17</t>
  </si>
  <si>
    <t>2025-05-07 10:22:00,2033259.6375614,-9089098.85172018,-1449.93333333333,-680,-25932.8933333332,-10866.98,0.0787955521693987,-261</t>
  </si>
  <si>
    <t>2025-05-07 10:22:00,11542121.7085475,-545209.641411629,26.4985994397759,18,705.592386554622,95.64,0.00531049865084556,0.21</t>
  </si>
  <si>
    <t>2025-05-07 10:23:00,,555,562,,,555,558.5,,,,,562,555,560,555</t>
  </si>
  <si>
    <t>2025-05-07 10:23:00,490,,,480,470,,481,,,,,485,480,482,483</t>
  </si>
  <si>
    <t>2025-05-07 10:23:00,,5540,5700,,,5700,5620,,,,,5700,5500,5700,5540</t>
  </si>
  <si>
    <t>2025-05-07 10:23:00,,,,19350,19475,,19925,,,,,20000,19350,19400,19300</t>
  </si>
  <si>
    <t>2025-05-07 10:23:00,-77318406.3344739,666711098.420074,6021.72023809522,3709,11845.8485119047,6346.2,108.234859770279,1459.53</t>
  </si>
  <si>
    <t>2025-05-07 10:23:00,795031314.329964,286669514.970391,2745.57222222224,2243,4485.24894444449,3180.67,79.2301976405241,762.86</t>
  </si>
  <si>
    <t>2025-05-07 10:23:00,2530256.83113717,-6996234.32742726,479.503333333335,474,5504.61536666669,6735.6,-0.0869311760481262,162.82</t>
  </si>
  <si>
    <t>2025-05-07 10:23:00,12051924.3965603,-525110.711591261,3.13540404040404,6,161.698838383838,344.22,-0.000166095783720084,2.06</t>
  </si>
  <si>
    <t>2025-05-07 10:24:00,,555,562,,,555,558.5,,,,,562,555,560,555</t>
  </si>
  <si>
    <t>2025-05-07 10:24:00,490,,,480,470,,481,,,,,485,480,501,483</t>
  </si>
  <si>
    <t>2025-05-07 10:24:00,,5540,5700,,,5700,5620,,,,,5700,5500,5700,5540</t>
  </si>
  <si>
    <t>2025-05-07 10:24:00,,,,19350,19475,,19925,,,,,20000,19350,19400,19300</t>
  </si>
  <si>
    <t>2025-05-07 10:24:00,-41543458.844832,855061493.082744,-2071.46406926405,674,-5637.49450649347,522.21,55.6954467586282,200.51</t>
  </si>
  <si>
    <t>2025-05-07 10:24:00,800202752.894022,284984807.25688,-2358.4816017316,-2067,-2883.27985714285,-2253.36,-4.82559997002309,-558.23</t>
  </si>
  <si>
    <t>2025-05-07 10:24:00,2527529.35168968,-8066032.13225147,-411.766666666667,-361,-6109.11633333335,-4253.57,1.33930314789627,-94</t>
  </si>
  <si>
    <t>2025-05-07 10:24:00,11395547.6455082,-536521.407118497,-0.647619047619046,-7,-129.169357142857,-188.54,-0.00220596456553138,-1.21</t>
  </si>
  <si>
    <t>2025-05-07 10:25:00,,555,562,,,555,558.5,,,,,562,555,560,555</t>
  </si>
  <si>
    <t>2025-05-07 10:25:00,490,,,480,470,,481,,,,,485,480,501,483</t>
  </si>
  <si>
    <t>2025-05-07 10:25:00,,5540,5700,,,5700,5620,,,,,5700,5500,5700,5540</t>
  </si>
  <si>
    <t>2025-05-07 10:25:00,,,,19350,19475,,19925,,,,,20000,19350,19400,19300</t>
  </si>
  <si>
    <t>2025-05-07 10:25:00,-75644185.5286957,715267642.228212,-1170.36538461537,-1338,-2322.31898351645,-2687.86,-7.6037759050572,-632.65</t>
  </si>
  <si>
    <t>2025-05-07 10:25:00,767537194.667171,212700386.218048,247.916666666669,-431,-2029.62666666665,-3627.32,106.053553876027,-535.12</t>
  </si>
  <si>
    <t>2025-05-07 10:25:00,1843625.59017513,-11031423.6290507,-397.20333333333,-395,-7426.36603333327,-5321.91,0.333471389786378,-124.01</t>
  </si>
  <si>
    <t>2025-05-07 10:25:00,10433112.6767695,-569716.918235589,13.5819576719577,17,196.376918518519,274.51,0.00537173125321739,1.85</t>
  </si>
  <si>
    <t>2025-05-07 10:26:00,,555,562,,,555,558.5,,,,,562,555,560,555</t>
  </si>
  <si>
    <t>2025-05-07 10:26:00,490,,,480,470,,481,,,,,485,480,501,483</t>
  </si>
  <si>
    <t>2025-05-07 10:26:00,,5540,,5600,,5700,5620,,,,,5700,5500,5700,5540</t>
  </si>
  <si>
    <t>2025-05-07 10:26:00,,,,19350,19475,,19925,,,,,20000,19350,19400,19300</t>
  </si>
  <si>
    <t>2025-05-07 10:26:00,-98127793.7760787,683016818.624814,-2590.57142857144,-2318,-3646.3152619048,-2724.78,4.31604047988912,-704.28</t>
  </si>
  <si>
    <t>2025-05-07 10:26:00,746885921.992115,169558883.548718,-2754.14393939394,-3897,-4424.71439393938,-5626.43,-12.6768876664097,-1304.9</t>
  </si>
  <si>
    <t>2025-05-07 10:26:00,1167645.4102992,-12299224.452239,36.5733333333423,-556,25830.3737333336,14130.63,-3.56081684352885,99.54</t>
  </si>
  <si>
    <t>2025-05-07 10:26:00,9831708.67515937,-593925.371210117,0.592773892773901,-6,78.8266662004669,133.8,-0.00570962056148115,-0.11</t>
  </si>
  <si>
    <t>2025-05-07 10:27:00,,555,562,,,555,558.5,,,,,562,555,560,555</t>
  </si>
  <si>
    <t>2025-05-07 10:27:00,490,,,480,470,,481,,,,,485,480,501,483</t>
  </si>
  <si>
    <t>2025-05-07 10:27:00,,5540,,5600,,5700,5620,,,,,5700,5500,5700,5540</t>
  </si>
  <si>
    <t>2025-05-07 10:27:00,,,,19350,19475,,19925,,,,,20000,19350,19400,19300</t>
  </si>
  <si>
    <t>2025-05-07 10:27:00,-140408750.448121,488641547.104683,3048.05692640695,1102,5183.92568614724,1703.68,-25.3663305967131,382.32</t>
  </si>
  <si>
    <t>2025-05-07 10:27:00,726401768.866066,141867372.619247,2910.12542735042,2288,4811.7738290598,3605.39,-0.530266911692126,823.28</t>
  </si>
  <si>
    <t>2025-05-07 10:27:00,828410.0522413,-12844737.5777978,476.410000000003,387,10221.0853666667,8946.22,-0.822027495096519,190</t>
  </si>
  <si>
    <t>2025-05-07 10:27:00,9982548.35870383,-603878.851690929,6.10318066157762,22,312.260944020357,399.94,-0.000760827995679482,2.21</t>
  </si>
  <si>
    <t>2025-05-07 10:28:00,,555,562,,,555,558.5,,,,,562,555,560,555</t>
  </si>
  <si>
    <t>2025-05-07 10:28:00,490,,,480,470,,481,,,,,485,480,501,483</t>
  </si>
  <si>
    <t>2025-05-07 10:28:00,,5540,,5600,,5700,5620,,,,,5700,5500,5700,5540</t>
  </si>
  <si>
    <t>2025-05-07 10:28:00,,,,19350,19475,,19925,,,,,20000,19350,19400,19300</t>
  </si>
  <si>
    <t>2025-05-07 10:28:00,-174290355.35343,343065166.855853,4127.46904761903,2249,8893.88430952378,4726.81,-84.2826896791529,977.25</t>
  </si>
  <si>
    <t>2025-05-07 10:28:00,711674952.265836,78938000.2562862,1902.98026695527,1542,5041.45546176045,4730.05,-78.1604216041885,814.97</t>
  </si>
  <si>
    <t>2025-05-07 10:28:00,381613.344322759,-14763188.633222,841.966666666665,1075,12455.9506,10771.43,-0.811244344085331,268.77</t>
  </si>
  <si>
    <t>2025-05-07 10:28:00,10276075.2002993,-606009.909953452,20.8452731092437,14,793.62092962185,381.05,0.0114156041225555,2.58</t>
  </si>
  <si>
    <t>2025-05-07 10:29:00,,555,562,,,555,558.5,,,,,562,555,560,555</t>
  </si>
  <si>
    <t>2025-05-07 10:29:00,490,,,480,470,,481,,,,,485,480,501,483</t>
  </si>
  <si>
    <t>2025-05-07 10:29:00,,5540,5700,,,5700,5620,,,,,5700,5500,5700,5540</t>
  </si>
  <si>
    <t>2025-05-07 10:29:00,,,,19350,19475,,19925,,,,,20000,19350,19400,19300</t>
  </si>
  <si>
    <t>2025-05-07 10:29:00,-59216480.6271129,846747686.119181,3738.88095238089,2100,6624.52023809508,4037.6,143.705233620303,944.28</t>
  </si>
  <si>
    <t>2025-05-07 10:29:00,754604101.364548,193766701.246758,2741.53333333333,2643,3143.433,2484.81,23.8174288072169,708.03</t>
  </si>
  <si>
    <t>2025-05-07 10:29:00,2183875.57261076,-9993336.58786486,676.833333333328,758,4640.49433333322,7425.23,1.18628699104102,211.9</t>
  </si>
  <si>
    <t>2025-05-07 10:29:00,10245994.8074867,-576150.569553962,-6.52841468875951,-5,-577.432858710255,-291.17,-0.0031692380350929,-1.72</t>
  </si>
  <si>
    <t>2025-05-07 10:30:00,,555,562,,,555,558.5,,,,,562,555,560,555</t>
  </si>
  <si>
    <t>2025-05-07 10:30:00,490,,,480,470,,481,,,,,485,480,482,483</t>
  </si>
  <si>
    <t>2025-05-07 10:30:00,,5540,5700,,,5700,5620,,,,,5700,5500,5700,5540</t>
  </si>
  <si>
    <t>2025-05-07 10:30:00,,,,19350,19475,,19925,,,,,20000,19350,19400,19300</t>
  </si>
  <si>
    <t>2025-05-07 10:30:00,-88851809.9473925,731622886.697642,-327.221212121184,-111,-1318.69903030297,-251.08,-71.9619164505824,-73.65</t>
  </si>
  <si>
    <t>2025-05-07 10:30:00,747008416.918931,206302569.884093,1947.26152073733,554,2916.61016897083,2395.29,-6.67161716273821,556.98</t>
  </si>
  <si>
    <t>2025-05-07 10:30:00,1698799.12449005,-10975696.7040986,568.563333333334,449,4810.00696666671,5757.76,-0.576662773158097,154.22</t>
  </si>
  <si>
    <t>2025-05-07 10:30:00,10051923.5794617,-584169.290373865,-2.73586975618649,-8,-47.3448766926887,-449.85,-0.00289394459764447,-2.66</t>
  </si>
  <si>
    <t>2025-05-07 10:31:00,,555,562,,,555,558.5,,,,,562,555,560,555</t>
  </si>
  <si>
    <t>2025-05-07 10:31:00,490,,,480,470,,481,,,,,485,480,482,483</t>
  </si>
  <si>
    <t>2025-05-07 10:31:00,,5540,,5600,,5700,5620,,,,,5700,5500,5700,5540</t>
  </si>
  <si>
    <t>2025-05-07 10:31:00,,,,19350,19475,,19925,,,,,20000,19350,19400,19300</t>
  </si>
  <si>
    <t>2025-05-07 10:31:00,-83017118.1236745,779789567.172437,2579.40984848485,876,5107.51432575757,2483.04,9.29893151108953,601.05</t>
  </si>
  <si>
    <t>2025-05-07 10:31:00,744245227.001556,182388340.156346,495.572222222218,378,1097.04666666666,1291.37,25.3177814036428,267.5</t>
  </si>
  <si>
    <t>2025-05-07 10:31:00,1654142.11476516,-12482383.6865107,77.5909090909093,177,-1484.94706060607,-283.85,0.474823306731584,-1.01</t>
  </si>
  <si>
    <t>2025-05-07 10:31:00,9903808.57699907,-587770.984216337,-1.87194749694749,4,-47.4698870573867,-26.5,-0.00760411855686128,0.02</t>
  </si>
  <si>
    <t>2025-05-07 10:32:00,,555,562,,,555,558.5,,,,,562,555,560,555</t>
  </si>
  <si>
    <t>2025-05-07 10:32:00,490,,,480,470,,481,,,,,485,480,482,483</t>
  </si>
  <si>
    <t>2025-05-07 10:32:00,,5540,,5600,,5700,5620,,,,,5700,5500,5700,5540</t>
  </si>
  <si>
    <t>2025-05-07 10:32:00,,,,19350,19475,,19925,,,,,20000,19350,19400,19300</t>
  </si>
  <si>
    <t>2025-05-07 10:32:00,-105852015.061185,682413605.426861,-1097.13809523807,-1871,-1635.75214285708,-2825.57,-98.4269883573417,-735.28</t>
  </si>
  <si>
    <t>2025-05-07 10:32:00,726201129.070884,188439405.79154,2379.0380952381,260,5001.69414285714,649.78,8.01881004716806,77.29</t>
  </si>
  <si>
    <t>2025-05-07 10:32:00,1348477.57073555,-11811882.8009571,664.60666666667,-159,25013.7128000001,1775.24,-0.105673151227653,-15.99</t>
  </si>
  <si>
    <t>2025-05-07 10:32:00,10159894.5876248,-593330.565601483,12.2039087301587,11,717.853176785713,496.62,-0.00140295258500266,2.89</t>
  </si>
  <si>
    <t>2025-05-07 10:33:00,,555,562,,,555,558.5,,,,,562,555,560,555</t>
  </si>
  <si>
    <t>2025-05-07 10:33:00,490,,,480,470,,481,,,,,485,480,482,483</t>
  </si>
  <si>
    <t>2025-05-07 10:33:00,,5540,5700,,,5700,5620,,,,,5700,5500,5700,5540</t>
  </si>
  <si>
    <t>2025-05-07 10:33:00,,,,19350,19475,,19925,,,,,20000,19350,19400,19300</t>
  </si>
  <si>
    <t>2025-05-07 10:33:00,-93354941.7505134,792897146.747092,3538.04166666666,2066,6257.76708333333,3217.75,-10.8274080894307,713.54</t>
  </si>
  <si>
    <t>2025-05-07 10:33:00,724283551.268711,156074156.720857,2060.59166666667,2052,3596.61658333333,3296.55,27.8064776362045,759.32</t>
  </si>
  <si>
    <t>2025-05-07 10:33:00,1721772.98714297,-10368838.1148431,379.216666666666,250,6590.48383333333,3634.94,0.651100310910121,91.78</t>
  </si>
  <si>
    <t>2025-05-07 10:33:00,9822495.04717893,-598654.796979527,6.16129032258065,9,251.189861751152,433.2,0.00230597261882388,2.21</t>
  </si>
  <si>
    <t>2025-05-07 10:35:00,,555,562,,,555,558.5,,,,,562,555,560,555</t>
  </si>
  <si>
    <t>2025-05-07 10:35:00,490,,,480,470,,481,,,,,485,480,482,483</t>
  </si>
  <si>
    <t>2025-05-07 10:35:00,,5540,5700,,,5700,5620,,,,,5700,5500,5700,5540</t>
  </si>
  <si>
    <t>2025-05-07 10:35:00,,,,19350,19475,,19925,,,,,20000,19350,19400,19300</t>
  </si>
  <si>
    <t>2025-05-07 10:35:00,-160162058.978248,454378710.728725,5246.21904761901,2163,9280.446095238,2965.62,-119.735164566274,701.96</t>
  </si>
  <si>
    <t>2025-05-07 10:35:00,700070464.166867,109608265.542578,2414.36897546898,776,4225.29063492064,2440.35,13.5834354144317,491.54</t>
  </si>
  <si>
    <t>2025-05-07 10:35:00,960684.224941039,-11657322.2456613,143.349999999999,-194,4409.0535,463.58,-1.41191500933079,-11.81</t>
  </si>
  <si>
    <t>2025-05-07 10:35:00,9447613.95999506,-618164.659623579,5.89372294372295,6,368.519327056277,215.44,0.00387659687019286,1.34</t>
  </si>
  <si>
    <t>2025-05-07 10:36:00,,555,562,,,555,558.5,,,,,562,555,560,555</t>
  </si>
  <si>
    <t>2025-05-07 10:36:00,490,,484,,470,,481,,,,,485,480,482,483</t>
  </si>
  <si>
    <t>2025-05-07 10:36:00,,5540,5700,,,5700,5620,,,,,5700,5500,5700,5540</t>
  </si>
  <si>
    <t>2025-05-07 10:36:00,,,,19350,19475,,19925,,,,,20000,19350,19400,19300</t>
  </si>
  <si>
    <t>2025-05-07 10:36:00,-58472248.4839191,975485387.084004,-2050.80000000003,-1135,-4363.61966666674,-2157.41,117.428162252957,-541.64</t>
  </si>
  <si>
    <t>2025-05-07 10:36:00,749841302.986685,267182274.07872,-376.674603174603,-821,-426.621666666665,-1139.75,76.1680990860777,-266.53</t>
  </si>
  <si>
    <t>2025-05-07 10:36:00,1967458.87199819,-9190912.52512574,-404.876666666667,-430,-8065.26943333334,-8064.93,0.320084641129992,-190.99</t>
  </si>
  <si>
    <t>2025-05-07 10:36:00,10262011.0244823,-587740.113347656,-36.4535714285715,-21,-840.183928571429,-433.45,0.0121094083629911,-2.8</t>
  </si>
  <si>
    <t>2025-05-07 10:37:00,,555,562,,,555,558.5,,,,,562,555,560,555</t>
  </si>
  <si>
    <t>2025-05-07 10:37:00,490,,,480,470,,481,,,,,485,480,501,483</t>
  </si>
  <si>
    <t>2025-05-07 10:37:00,,5540,,5600,,5700,5620,,,,,5700,5500,5700,5540</t>
  </si>
  <si>
    <t>2025-05-07 10:37:00,,,,19350,19475,,19925,,,,,20000,19350,19400,19300</t>
  </si>
  <si>
    <t>2025-05-07 10:37:00,-118072960.160819,681194291.442063,-10137.361996337,-5424,-18574.3723626373,-8605.06,117.286351190378,-1951.7</t>
  </si>
  <si>
    <t>2025-05-07 10:37:00,722785034.659961,166037288.361003,,-5018,,-8057.42,-0.694442132821506,-1828.14</t>
  </si>
  <si>
    <t>2025-05-07 10:37:00,1194427.49857996,-13301372.4027646,-1862.54285714286,-1285,-30037.4664285715,-13440.17,0.894875318459318,-322.85</t>
  </si>
  <si>
    <t>2025-05-07 10:37:00,9171390.70047176,-623307.084036425,-41.4957215007216,-30,-1832.03458333333,-1351.76,0.0227685696950517,-8.24</t>
  </si>
  <si>
    <t>2025-05-07 10:38:00,,555,562,,,555,558.5,,,,,562,555,560,555</t>
  </si>
  <si>
    <t>2025-05-07 10:38:00,490,,484,,470,,481,,,,,485,480,482,483</t>
  </si>
  <si>
    <t>2025-05-07 10:38:00,,5540,5700,,,5700,5620,,,,,5700,5500,5700,5540</t>
  </si>
  <si>
    <t>2025-05-07 10:38:00,,,,19350,19475,,19925,,,,,20000,19350,19400,19300</t>
  </si>
  <si>
    <t>2025-05-07 10:38:00,-61163308.7911548,963542933.758225,-1489.03055555555,-1502,-2543.53288888888,-2153.76,-1.30199129858929,-521.55</t>
  </si>
  <si>
    <t>2025-05-07 10:38:00,753868512.075237,284649423.287784,-14.0873015873047,310,-905.041047619058,795.7,-74.2378203335799,215.13</t>
  </si>
  <si>
    <t>2025-05-07 10:38:00,1947508.95240317,-10626037.5032153,-19.3785714285742,261,-3676.56408571437,2636.51,0.202344253213089,87.44</t>
  </si>
  <si>
    <t>2025-05-07 10:38:00,9950695.91455735,-595489.707114657,-18.9928571428571,-9,-315.024285714286,-153.6,0.00386127093037476,-1.15</t>
  </si>
  <si>
    <t>2025-05-07 10:39:00,,,562,,,555,558.5,,,,,562,555,560,555</t>
  </si>
  <si>
    <t>2025-05-07 10:39:00,490,,484,,470,,481,,,,,485,480,482,483</t>
  </si>
  <si>
    <t>2025-05-07 10:39:00,,5540,5700,,,5700,5620,,,,,5700,5500,5700,5540</t>
  </si>
  <si>
    <t>2025-05-07 10:39:00,,,,19350,19475,,19925,,,,,20000,19350,19400,19300</t>
  </si>
  <si>
    <t>2025-05-07 10:39:00,5618620.23466624,1307027393.00552,-1741.4246031746,-3659,-2069.21202380951,-3907.39,34.0312914895024,-1297.18</t>
  </si>
  <si>
    <t>2025-05-07 10:39:00,777852956.764399,360801931.915146,1315,1692,3339.14444444446,3339.39,1.66595856893179,796.2</t>
  </si>
  <si>
    <t>2025-05-07 10:39:00,3150523.86034325,-7232128.22424582,-91.9014285714272,-61,-1682.74129047616,-2081.66,1.51784340951581,-33.53</t>
  </si>
  <si>
    <t>2025-05-07 10:39:00,10589930.2449722,-558475.434003594,17.866990589121,8,711.47151534726,256.75,-0.00413381113606872,1.51</t>
  </si>
  <si>
    <t>2025-05-07 10:40:00,,555,562,,,555,558.5,,,,,562,555,560,555</t>
  </si>
  <si>
    <t>2025-05-07 10:40:00,490,,484,,470,,481,,,,,485,480,482,483</t>
  </si>
  <si>
    <t>2025-05-07 10:40:00,,5540,5700,,,5700,5620,,,,,5700,5500,5700,5540</t>
  </si>
  <si>
    <t>2025-05-07 10:40:00,,,,19350,19475,,19925,,,,,20000,19350,19400,19300</t>
  </si>
  <si>
    <t>2025-05-07 10:40:00,-24460392.5051547,1203008890.47873,-7.65952380951822,-265,-72.9935238095133,-666.52,97.5362199394774,-142.94</t>
  </si>
  <si>
    <t>2025-05-07 10:40:00,761884068.361318,317058650.071282,124.43571428572,94,-730.106142857126,-690.91,19.2156984781421,-111.56</t>
  </si>
  <si>
    <t>2025-05-07 10:40:00,2659337.66454287,-7403961.30828066,-59.616666666667,-154,1222.80949999998,-1403.2,0.758388549234133,-17.42</t>
  </si>
  <si>
    <t>2025-05-07 10:40:00,10291561.1632526,-569513.86908686,3.41286549707603,1,74.9748191632928,-14,0.00337448364829732,-0.01</t>
  </si>
  <si>
    <t>2025-05-07 10:41:00,,,562,,,555,558.5,,560,,,562,555,560,558</t>
  </si>
  <si>
    <t>2025-05-07 10:41:00,490,,484,,470,,481,,,,,485,480,482,483</t>
  </si>
  <si>
    <t>2025-05-07 10:41:00,,5540,5700,,,5700,5620,,,,,5700,5500,5700,5540</t>
  </si>
  <si>
    <t>2025-05-07 10:41:00,,,,19350,19475,,19925,,,,,20000,19350,19400,19300</t>
  </si>
  <si>
    <t>2025-05-07 10:41:00,19463114.9885761,1431486220.3949,-2445.23463203464,-4759,-3508.7226810967,-9194.59,-345.301330487114,-2438.12</t>
  </si>
  <si>
    <t>2025-05-07 10:41:00,778942551.037928,380878827.574297,3702.31666666667,2423,5340.95950000001,3126.55,-1.50780078167456,775.6</t>
  </si>
  <si>
    <t>2025-05-07 10:41:00,3870974.97034816,-3706534.79554041,760.257619047618,678,13156.2630809523,10224.65,0.492292882931218,246.28</t>
  </si>
  <si>
    <t>2025-05-07 10:41:00,11122662.4371065,-535543.783385433,8.81386946386946,6,342.833682983683,219.25,0.00816078011949424,1.54</t>
  </si>
  <si>
    <t>2025-05-07 10:42:00,,,562,,,555,558.5,,560,,,562,555,560,558</t>
  </si>
  <si>
    <t>2025-05-07 10:42:00,490,,485,,470,,480,,,,,485,480,482,483</t>
  </si>
  <si>
    <t>2025-05-07 10:42:00,,5540,5700,,,5700,5620,,,,,5700,5500,5700,5540</t>
  </si>
  <si>
    <t>2025-05-07 10:42:00,,,,19350,19475,,19925,,,,,20000,19350,19400,19300</t>
  </si>
  <si>
    <t>2025-05-07 10:42:00,91341187.0915701,1864436780.24066,3931.02229256251,2342,7150.47600362319,3548.12,-182.709157442073,731.14</t>
  </si>
  <si>
    <t>2025-05-07 10:42:00,824060477.780896,582150462.093291,4640.94627594627,3377,4676.08612332112,5940.2,81.0735891480713,1405.99</t>
  </si>
  <si>
    <t>2025-05-07 10:42:00,5532220.15190432,2963552.76416456,539.743333333336,369,9440.57213333335,4164.67,-2.34466747318901,84.76</t>
  </si>
  <si>
    <t>2025-05-07 10:42:00,11908961.323586,-504651.850435722,-8.79467004310949,-14,-34.7861534841666,-879.18,-0.00375491161117557,-4.06</t>
  </si>
  <si>
    <t>2025-05-07 10:43:00,,,562,,,555,558.5,,560,,,562,555,560,558</t>
  </si>
  <si>
    <t>2025-05-07 10:43:00,490,,484,,470,,480,,,,,485,480,482,483</t>
  </si>
  <si>
    <t>2025-05-07 10:43:00,,5540,5700,,,5700,5620,,,,,5700,5500,5700,5540</t>
  </si>
  <si>
    <t>2025-05-07 10:43:00,,,,19350,19475,,19925,,,,,20000,19350,19400,19300</t>
  </si>
  <si>
    <t>2025-05-07 10:43:00,115297604.540446,2079148296.94498,-680.871428571418,-5361,-1750.48871428569,-10348.37,-186.941996126116,-2461.63</t>
  </si>
  <si>
    <t>2025-05-07 10:43:00,834890621.521171,686242346.617511,591.56047008544,-1750,-1970.78091880348,-4100.17,-63.6934767609897,-1010.62</t>
  </si>
  <si>
    <t>2025-05-07 10:43:00,6018578.73762037,5945907.83379706,-857.826666666666,-981,-16216.9670333333,-13954.14,-0.289699573540555,-333.38</t>
  </si>
  <si>
    <t>2025-05-07 10:43:00,12595141.1014166,-487135.595822206,-3.91894954778251,-20,-118.461678071992,-726.21,-0.00539243439339752,-4.79</t>
  </si>
  <si>
    <t>2025-05-07 10:44:00,,,562,,,555,558.5,,,,,562,555,560,558</t>
  </si>
  <si>
    <t>2025-05-07 10:44:00,490,,484,,470,,480,,,,,485,480,482,483</t>
  </si>
  <si>
    <t>2025-05-07 10:44:00,5700,,5700,,,5700,5620,,,,,5700,5500,5700,5540</t>
  </si>
  <si>
    <t>2025-05-07 10:44:00,,,,19350,19475,,19925,,,,,20000,19350,19400,19300</t>
  </si>
  <si>
    <t>2025-05-07 10:44:00,156037900.018026,2312520470.61507,324.137301587379,781,-1511.24577777761,-935.170000000001,-127.84605028142,-59.3</t>
  </si>
  <si>
    <t>2025-05-07 10:44:00,862776895.562127,799794001.901158,1046.92586580085,535,-9.47339069267186,-1186.54,-6.88491118683708,-151.75</t>
  </si>
  <si>
    <t>2025-05-07 10:44:00,6844830.72593607,9003480.32388911,238.470833333333,625,5583.80499999999,10607.58,1.94826695311007,264.29</t>
  </si>
  <si>
    <t>2025-05-07 10:44:00,13170905.1546614,-459265.496871155,-9.0845238095238,-11,-269.642658730158,-383.9,0.00264445949127435,-2.61</t>
  </si>
  <si>
    <t>2025-05-07 10:45:00,,,562,,,555,558.5,,,,,562,555,560,558</t>
  </si>
  <si>
    <t>2025-05-07 10:45:00,490,,484,,470,,480,,,,,485,480,482,483</t>
  </si>
  <si>
    <t>2025-05-07 10:45:00,5700,,5700,,,5700,5620,,,,,5700,5500,5700,5540</t>
  </si>
  <si>
    <t>2025-05-07 10:45:00,,,,19350,19475,,19925,,,,,20000,19350,19400,19300</t>
  </si>
  <si>
    <t>2025-05-07 10:45:00,159298768.52693,2372087967.50551,-1139.00952380951,-1664,-2259.92857142852,-2822.14,128.226921640872,-541.79</t>
  </si>
  <si>
    <t>2025-05-07 10:45:00,865206232.672432,809661661.122821,-137.999999999999,51,921.505000000004,549.67,-23.1501168370355,139.6</t>
  </si>
  <si>
    <t>2025-05-07 10:45:00,6720338.14779619,9410579.31664722,137.750000000001,-108,1707.6095,3210.07,0.567568152918999,81.96</t>
  </si>
  <si>
    <t>2025-05-07 10:45:00,13246075.3691006,-450209.210762395,-1.72914062365647,-11,-249.482399616825,-541.5,-0.00883288146157246,-3.52</t>
  </si>
  <si>
    <t>2025-05-07 10:46:00,,,562,,,555,558.5,,,,,562,555,560,558</t>
  </si>
  <si>
    <t>2025-05-07 10:46:00,490,,484,,470,,480,,,,,485,480,485,483</t>
  </si>
  <si>
    <t>2025-05-07 10:46:00,,5540,5700,,,5700,5620,,,,,5700,5500,5700,5540</t>
  </si>
  <si>
    <t>2025-05-07 10:46:00,,,,19350,19475,,19925,,,,,20000,19350,19400,19300</t>
  </si>
  <si>
    <t>2025-05-07 10:46:00,151622741.931838,2326899539.40805,-1341.96190476191,-1972,-2815.16238095239,-3745.91,11.7605611155787,-887.28</t>
  </si>
  <si>
    <t>2025-05-07 10:46:00,863773167.063266,824548770.766307,-1340.80403211093,-1859,-3529.36213647146,-4311.53,-35.8296702986042,-940.5</t>
  </si>
  <si>
    <t>2025-05-07 10:46:00,6380182.28110058,6882676.64205751,-364.558333333336,-476,-7136.66391666672,-4989.08,1.10452649025639,-131.73</t>
  </si>
  <si>
    <t>2025-05-07 10:46:00,13071808.7643329,-452262.848983066,-8.23775793650796,-16,-671.039639484128,-732.14,0.00134003640576508,-4.51</t>
  </si>
  <si>
    <t>2025-05-07 10:47:00,,,562,,,555,558.5,,,,,562,555,560,558</t>
  </si>
  <si>
    <t>2025-05-07 10:47:00,490,,484,,470,,480,,,,,485,480,485,483</t>
  </si>
  <si>
    <t>2025-05-07 10:47:00,,5540,5650,,,5700,5620,,,,,5700,5500,5700,5540</t>
  </si>
  <si>
    <t>2025-05-07 10:47:00,,,,19350,19475,,19925,,,,,20000,19350,19400,19300</t>
  </si>
  <si>
    <t>2025-05-07 10:47:00,40140188.1882069,1868027766.32988,-925.911904761918,-2633,-4438.82114285718,-5333.77,-186.637026804851,-1398.68</t>
  </si>
  <si>
    <t>2025-05-07 10:47:00,802392100.926493,659680364.812105,-562.73522167487,-147,-555.00023399013,374.41,-54.1290593980561,3.37999999999997</t>
  </si>
  <si>
    <t>2025-05-07 10:47:00,4517630.51196647,2876459.71607334,-469.416666666662,-39,-3088.4771666666,-5463,-0.159439566786928,-140.82</t>
  </si>
  <si>
    <t>2025-05-07 10:47:00,12281843.5913964,-495118.494353228,5.39444444444444,4,153.003055555556,151.45,0.000188977577496651,1.07</t>
  </si>
  <si>
    <t>2025-05-07 10:48:00,,555,562,,,555,558.5,,,,,562,555,557,558</t>
  </si>
  <si>
    <t>2025-05-07 10:48:00,490,,484,,470,,480,,,480,,485,480,485,483</t>
  </si>
  <si>
    <t>2025-05-07 10:48:00,,5540,,5600,,5700,5620,,,,,5700,5500,5700,5550</t>
  </si>
  <si>
    <t>2025-05-07 10:48:00,,,,19350,19475,,19925,,,,,20000,19350,19400,19300</t>
  </si>
  <si>
    <t>2025-05-07 10:48:00,-102406437.89565,1222142346.37034,-7307.97857142852,-8499,-15504.1588571427,-15707.27,-106.923008244939,-3715.99</t>
  </si>
  <si>
    <t>2025-05-07 10:48:00,732149993.269687,428129868.103678,-173.600288600281,-461,-2698.10678210676,-1335.06,-119.857255803211,-338.64</t>
  </si>
  <si>
    <t>2025-05-07 10:48:00,1608438.75792958,-8374563.39960886,-1146.18333333333,-1080,-12649.1391666667,-6347.48,-0.979171093377949,-217.86</t>
  </si>
  <si>
    <t>2025-05-07 10:48:00,10901404.5061008,-566145.476147014,21.0421088508593,11,658.140393463209,468.91,-0.00206763187473009,2.88</t>
  </si>
  <si>
    <t>2025-05-07 10:49:00,,555,562,,,555,558.5,,,,,562,555,557,558</t>
  </si>
  <si>
    <t>2025-05-07 10:49:00,490,,484,,470,,480,,,,,485,480,485,483</t>
  </si>
  <si>
    <t>2025-05-07 10:49:00,,5540,,5600,,5700,5620,,,,,5700,5500,5700,5540</t>
  </si>
  <si>
    <t>2025-05-07 10:49:00,,,,19350,19475,,19925,,,,,20000,19350,19400,19300</t>
  </si>
  <si>
    <t>2025-05-07 10:49:00,-136403545.540986,1037883963.78648,-12157.0142857142,-7098,-24277.4910952379,-10611.18,104.875690888642,-2533.6</t>
  </si>
  <si>
    <t>2025-05-07 10:49:00,715814509.465574,387746216.122961,-3281.99523809523,-4837,-5878.27435238096,-7133.71,-77.9393382417422,-1733.07</t>
  </si>
  <si>
    <t>2025-05-07 10:49:00,679083.608491014,-12308311.8515345,-1448.54666666667,-2150,-27018.4652,-22846.68,-3.52813753412349,-568.55</t>
  </si>
  <si>
    <t>2025-05-07 10:49:00,9914425.52399329,-594127.60015188,5.31361681502191,4,246.181071376544,10.33,0.00107248205702661,0.51</t>
  </si>
  <si>
    <t>2025-05-07 10:50:00,,555,562,,,555,558.5,,,,,562,555,557,558</t>
  </si>
  <si>
    <t>2025-05-07 10:50:00,490,,484,,470,,480,,,,,485,480,485,483</t>
  </si>
  <si>
    <t>2025-05-07 10:50:00,,5540,,5600,,5700,5620,,,,,5700,5500,5700,5550</t>
  </si>
  <si>
    <t>2025-05-07 10:50:00,,,,19350,19475,,19925,,,,,20000,19350,19400,19300</t>
  </si>
  <si>
    <t>2025-05-07 10:50:00,-95668644.8954633,1272349095.15976,-6181.38809523812,-5166,-10888.5047857143,-9167.07,28.714787449169,-2102.63</t>
  </si>
  <si>
    <t>2025-05-07 10:50:00,730218063.625379,437856243.815182,-6396.83928571429,-3811,-10730.8711904762,-5431.66,106.715530519721,-1274.09</t>
  </si>
  <si>
    <t>2025-05-07 10:50:00,800104.410136023,-12132490.9024799,-2067.8357142857,-1600,-29023.4534999998,-22142.44,0.688113924711184,-522.63</t>
  </si>
  <si>
    <t>2025-05-07 10:50:00,9232144.62582726,-609354.71571792,-16.7038839285714,-28,-264.104250000001,-679.59,0.0154522173920223,-3.99</t>
  </si>
  <si>
    <t>2025-05-07 10:51:00,,555,562,,,555,558.5,,,,,562,555,557,558</t>
  </si>
  <si>
    <t>2025-05-07 10:51:00,490,,484,,470,,480,,,,,485,480,485,483</t>
  </si>
  <si>
    <t>2025-05-07 10:51:00,,5540,,5600,,5700,5620,,,,,5700,5500,5700,5550</t>
  </si>
  <si>
    <t>2025-05-07 10:51:00,,,,19350,19475,,19925,,,,,20000,19350,19400,19300</t>
  </si>
  <si>
    <t>2025-05-07 10:51:00,-143668721.961159,970533213.09139,31903.444047619,14473,44837.9125238095,16572.81,-237.582833102198,4328.78</t>
  </si>
  <si>
    <t>2025-05-07 10:51:00,717024384.6845,371010355.078828,8737.94285714286,4266,15874.9821904762,8054.33,0.220763721545466,1781.97</t>
  </si>
  <si>
    <t>2025-05-07 10:51:00,426049.756422121,-14052404.6563003,3710.44040404041,2593,51998.312919192,27597.76,-0.568038637267745,703.36</t>
  </si>
  <si>
    <t>2025-05-07 10:51:00,9451765.80132072,-607186.992450266,-1.31918903118004,-3,-614.417206512192,-339.94,0.0150149313891205,-0.03</t>
  </si>
  <si>
    <t>2025-05-07 10:52:00,,555,562,,,555,558.5,,,,,562,555,557,558</t>
  </si>
  <si>
    <t>2025-05-07 10:52:00,490,,484,,470,,480,,,,,485,480,485,483</t>
  </si>
  <si>
    <t>2025-05-07 10:52:00,,5540,5700,,,5700,5620,,,,,5700,5500,5700,5550</t>
  </si>
  <si>
    <t>2025-05-07 10:52:00,,,,19350,19475,,19925,,,,,20000,19350,19400,19300</t>
  </si>
  <si>
    <t>2025-05-07 10:52:00,-90645918.8980237,1209649166.97406,-2924.65714285712,-2985,-6476.74423809519,-6257.31,10.9889705818317,-1479.31</t>
  </si>
  <si>
    <t>2025-05-07 10:52:00,747020934.124696,467706481.335045,-616.557142857139,-920,-2177.57457142856,-2749.52,-15.800217910404,-572.38</t>
  </si>
  <si>
    <t>2025-05-07 10:52:00,1745651.93637335,-8783282.62594272,-3.7966666666654,-68,-2543.20876666664,-2521.35,0.151314818883075,-66.84</t>
  </si>
  <si>
    <t>2025-05-07 10:52:00,10223094.9642712,-569693.724272913,-10.4441946396974,-9,-861.535929766184,-320.79,0.00474348072677986,-1.57</t>
  </si>
  <si>
    <t>2025-05-07 10:53:00,,,562,,,555,558.5,,560,,,562,555,557,558</t>
  </si>
  <si>
    <t>2025-05-07 10:53:00,490,,484,,470,,480,,,,,485,480,485,483</t>
  </si>
  <si>
    <t>2025-05-07 10:53:00,,5540,5700,,,5700,5620,,,,,5700,5500,5700,5550</t>
  </si>
  <si>
    <t>2025-05-07 10:53:00,,,,19350,19475,,19925,,,,,20000,19350,19400,19300</t>
  </si>
  <si>
    <t>2025-05-07 10:53:00,50894768.2907211,1942174242.15655,2629.5857142857,575,2076.16495238093,-1211.34,-16.3556999313123,-120.11</t>
  </si>
  <si>
    <t>2025-05-07 10:53:00,821793617.320786,726447218.778581,-4582.91904761903,-1523,-11320.9969999999,-2694.54,22.0596624197708,-319.68</t>
  </si>
  <si>
    <t>2025-05-07 10:53:00,4794879.12858353,1975579.58949394,-458.086666666663,-432,-20151.2938666666,-9360.26,3.43685636561649,-194</t>
  </si>
  <si>
    <t>2025-05-07 10:53:00,11641219.5513944,-495708.786595728,-77.6316017316018,-40,-2535.78094372294,-1118.5,0.0146584826129432,-7.01</t>
  </si>
  <si>
    <t>2025-05-07 10:54:00,,,562,,,555,558.5,,,,,562,555,557,558</t>
  </si>
  <si>
    <t>2025-05-07 10:54:00,490,,484,,470,,480,,,,,485,480,485,483</t>
  </si>
  <si>
    <t>2025-05-07 10:54:00,,5540,5700,,,5700,5620,,,,,5700,5500,5700,5550</t>
  </si>
  <si>
    <t>2025-05-07 10:54:00,,,,19350,19475,,19925,,,,,20000,19350,19400,19300</t>
  </si>
  <si>
    <t>2025-05-07 10:54:00,67767369.6199167,2137761556.1172,2417.40317460319,-212,4629.34007936511,-116.82,-41.8897428183157,-24.38</t>
  </si>
  <si>
    <t>2025-05-07 10:54:00,830300458.39509,795289981.699334,1094.52777777778,-769,1742.91555555557,-1651.99,-57.9239207522854,-371.33</t>
  </si>
  <si>
    <t>2025-05-07 10:54:00,4896844.80861143,4439455.63233816,549.68,449,7633.34879999999,5570.07,1.57855514901785,142.48</t>
  </si>
  <si>
    <t>2025-05-07 10:54:00,11956550.4158319,-489689.561538418,1.33246753246755,10,3.34185714285764,117.15,-0.00225533676137732,1.16</t>
  </si>
  <si>
    <t>2025-05-07 10:55:00,,,562,,,555,558.5,,,,,562,555,557,558</t>
  </si>
  <si>
    <t>2025-05-07 10:55:00,490,,484,,470,,480,,,,,485,480,482,483</t>
  </si>
  <si>
    <t>2025-05-07 10:55:00,,5540,5700,,,5700,5620,,,,,5700,5500,5700,5550</t>
  </si>
  <si>
    <t>2025-05-07 10:55:00,,,,19350,19475,,19925,,,,,20000,19350,19400,19300</t>
  </si>
  <si>
    <t>2025-05-07 10:55:00,38937606.9255982,1999815716.59488,1596.46785714284,2512,3690.05257142853,4785.23,-68.4680324880484,1127.75</t>
  </si>
  <si>
    <t>2025-05-07 10:55:00,805903142.86667,702938936.384997,-445.209523809521,-322,69.0556666666693,298.08,-47.9298696274166,24.94</t>
  </si>
  <si>
    <t>2025-05-07 10:55:00,4102597.42717801,1215645.08753476,-39.7199999999994,98,4108.12620000001,6566.63,0.199378007881558,112.92</t>
  </si>
  <si>
    <t>2025-05-07 10:55:00,11507135.1617386,-511099.528658803,11.020626040626,2,191.022432301033,160.95,-0.0105316290468437,1.24</t>
  </si>
  <si>
    <t>2025-05-07 10:56:00,,,562,,,555,558.5,,,,,562,555,557,558</t>
  </si>
  <si>
    <t>2025-05-07 10:56:00,490,,484,,470,,480,,,,,485,480,485,483</t>
  </si>
  <si>
    <t>2025-05-07 10:56:00,,5540,5700,,,5700,5620,,,,,5700,5500,5700,5550</t>
  </si>
  <si>
    <t>2025-05-07 10:56:00,,,,19350,19475,,19925,,,,,20000,19350,19400,19300</t>
  </si>
  <si>
    <t>2025-05-07 10:56:00,45239386.7166981,2045359603.04621,-1565.88333333334,-2844,-2074.51050000002,-4632.56,-56.5207468323278,-1176.54</t>
  </si>
  <si>
    <t>2025-05-07 10:56:00,827839479.463472,848254447.266759,-1011.24311984312,-2919,-2465.50308084508,-4496.06,-121.665369037534,-1199.68</t>
  </si>
  <si>
    <t>2025-05-07 10:56:00,4178721.67410214,616546.004734568,-296.614285714288,-336,-3400.16869523813,-4785.01,1.3701585168625,-139.99</t>
  </si>
  <si>
    <t>2025-05-07 10:56:00,11470889.5380075,-502033.394455806,3.18571428571428,10,159.829,201.25,0.00396657050894752,1.47</t>
  </si>
  <si>
    <t>2025-05-07 10:57:00,,,562,,,555,558.5,,,,,562,555,557,558</t>
  </si>
  <si>
    <t>2025-05-07 10:57:00,490,,484,,470,,480,,,,,485,480,501,483</t>
  </si>
  <si>
    <t>2025-05-07 10:57:00,,5540,5700,,,5700,5620,,,,,5700,5500,5700,5550</t>
  </si>
  <si>
    <t>2025-05-07 10:57:00,,,,19350,19475,,19925,,,,,20000,19350,19400,19300</t>
  </si>
  <si>
    <t>2025-05-07 10:57:00,99456189.2472902,2313120768.44061,-4785.84999999992,-1699,-8988.4466190475,-2924.91,-231.506215054057,-900.22</t>
  </si>
  <si>
    <t>2025-05-07 10:57:00,839348676.501709,905387052.969954,3264.85800865801,1696,5213.64483549784,1856.74,-28.3050341955616,436.66</t>
  </si>
  <si>
    <t>2025-05-07 10:57:00,5400436.78632763,5845901.85399521,1393.22011904762,1088,17577.701175,12539.39,0.291415127444348,331.95</t>
  </si>
  <si>
    <t>2025-05-07 10:57:00,12536323.7436683,-466268.89238114,5.05221589403848,7,405.495683601982,423.22,0.01534395083852,2.68</t>
  </si>
  <si>
    <t>2025-05-07 10:58:00,,,562,,,555,558.5,,,,,562,555,557,558</t>
  </si>
  <si>
    <t>2025-05-07 10:58:00,490,,484,,470,,480,,,,,485,480,485,483</t>
  </si>
  <si>
    <t>2025-05-07 10:58:00,,5540,5700,,,5700,5610,,,,,5700,5500,5700,5550</t>
  </si>
  <si>
    <t>2025-05-07 10:58:00,,,,19350,19475,,19925,,,,,20000,19350,19400,19300</t>
  </si>
  <si>
    <t>2025-05-07 10:58:00,130405740.027901,2489130772.49892,2342.96904761909,1530,3742.20647619057,2325.05,-2.74105082618869,553.9</t>
  </si>
  <si>
    <t>2025-05-07 10:58:00,865019689.777375,1009582585.08205,2475.45000000001,2039,3332.13466666669,2384.28,5.11669789768907,621.25</t>
  </si>
  <si>
    <t>2025-05-07 10:58:00,6197019.17341648,9537339.40667592,1500.49333333333,986,15585.4418,7865.41,2.9672037220197,206.05</t>
  </si>
  <si>
    <t>2025-05-07 10:58:00,13048265.6398294,-449774.550586189,-4.7156862745098,2,92.2256862745096,222.9,0.00233297449925806,1.29</t>
  </si>
  <si>
    <t>2025-05-07 10:59:00,,,562,,,555,558.5,,,,,562,555,557,558</t>
  </si>
  <si>
    <t>2025-05-07 10:59:00,490,,484,,470,,480,,,,,485,480,485,483</t>
  </si>
  <si>
    <t>2025-05-07 10:59:00,,5540,5700,,,5700,5620,,,,,5700,5500,5700,5550</t>
  </si>
  <si>
    <t>2025-05-07 10:59:00,,,,19350,19475,,19925,,,,,20000,19350,19400,19300</t>
  </si>
  <si>
    <t>2025-05-07 10:59:00,87894321.8047183,2276674137.19372,1018.94047619048,1023,1983.56142857144,2409.69,-14.1630818002297,600.64</t>
  </si>
  <si>
    <t>2025-05-07 10:59:00,836542748.776767,872701970.583525,901.472222222223,1063,1171.06027777778,1743.02,-36.9655673985746,440.15</t>
  </si>
  <si>
    <t>2025-05-07 10:59:00,5234357.80990664,4994474.03990914,298.273333333332,320,4219.10213333332,5268.32,-0.0452023112183404,136.34</t>
  </si>
  <si>
    <t>2025-05-07 10:59:00,12456968.9167038,-474987.46192974,-2.84285714285714,10,-81.4623214285714,-15.45,-0.00373563070082944,-0.06</t>
  </si>
  <si>
    <t>2025-05-07 11:00:00,,,562,,,555,558.5,,,,,562,555,557,558</t>
  </si>
  <si>
    <t>2025-05-07 11:00:00,490,,485,,470,,480,,,,,485,480,485,483</t>
  </si>
  <si>
    <t>2025-05-07 11:00:00,,5540,5700,,,5700,5610,,,,,5700,5500,5700,5550</t>
  </si>
  <si>
    <t>2025-05-07 11:00:00,,,,19350,19475,,19925,,,,,20000,19350,19400,19300</t>
  </si>
  <si>
    <t>2025-05-07 11:00:00,129444617.429834,2732153736.03459,8855.29761904752,992,22343.5930238093,3468.37,84.5739152128315,709.71</t>
  </si>
  <si>
    <t>2025-05-07 11:00:00,849946474.405744,965426232.764799,-1180.04536541888,-230,-1953.72837344026,-346.2,47.59107652444,-119.57</t>
  </si>
  <si>
    <t>2025-05-07 11:00:00,5535411.08418455,7726262.87169307,147.720000000001,-144,544.289533333328,-3163.62,-0.601825719580982,-68.07</t>
  </si>
  <si>
    <t>2025-05-07 11:00:00,12740376.0511364,-471792.336203197,2.02770270270271,5,347.332210102962,355.81,-0.0133412314865184,1.64</t>
  </si>
  <si>
    <t>2025-05-07 11:01:00,,,562,,,555,558.5,,,,,562,555,557,562</t>
  </si>
  <si>
    <t>2025-05-07 11:01:00,490,,484,,470,,480,,,,,485,480,485,483</t>
  </si>
  <si>
    <t>2025-05-07 11:01:00,,5540,5700,,,5700,5620,,,,,5700,5500,5700,5550</t>
  </si>
  <si>
    <t>2025-05-07 11:01:00,,,,19350,19475,,19925,,,,,20000,19350,19400,19300</t>
  </si>
  <si>
    <t>2025-05-07 11:01:00,131296994.625523,2523274671.78821,2948.738095238,639,6244.64619047599,2010.2,95.6623567420953,444.67</t>
  </si>
  <si>
    <t>2025-05-07 11:01:00,848233554.461469,944770466.444923,1582.43463203463,497,6225.45427705628,2007.87,106.177584128128,473.38</t>
  </si>
  <si>
    <t>2025-05-07 11:01:00,6138675.12245342,8271973.79851143,-336.438939393939,-190,-7693.43788787881,-4337.88,-1.64716966175512,-89.7</t>
  </si>
  <si>
    <t>2025-05-07 11:01:00,12712238.7387198,-462646.427664324,-4.89761904761904,-5,-214.277738095238,-57.2,0.00103698163988777,-0.4</t>
  </si>
  <si>
    <t>2025-05-07 11:02:00,,,562,,,555,558.5,,,,,562,555,557,562</t>
  </si>
  <si>
    <t>2025-05-07 11:02:00,490,,484,,470,,480,,,,,485,480,485,483</t>
  </si>
  <si>
    <t>2025-05-07 11:02:00,,5540,5700,,,5700,5610,,,,,5700,5500,5700,5550</t>
  </si>
  <si>
    <t>2025-05-07 11:02:00,,,,19350,19475,,19925,,,,,20000,19350,19400,19300</t>
  </si>
  <si>
    <t>2025-05-07 11:02:00,81014855.216316,2254287677.69927,2454.42592592591,1525,5737.8735185185,3640.62,16.5437686314889,749.25</t>
  </si>
  <si>
    <t>2025-05-07 11:02:00,814836618.382128,789289685.362268,417.433333333333,-294,405.971333333332,516.3,23.005853675392,135.2</t>
  </si>
  <si>
    <t>2025-05-07 11:02:00,5672466.28687219,7269836.04250218,314.73333333333,346,6750.22566666659,5801.35,-1.25701565015476,135.71</t>
  </si>
  <si>
    <t>2025-05-07 11:02:00,12219475.9081235,-491215.146295804,5.73843262001156,11,381.501547137073,740.85,-0.0136091401522038,4.71</t>
  </si>
  <si>
    <t>2025-05-07 11:03:00,,,562,,,555,558.5,,,,,562,555,557,562</t>
  </si>
  <si>
    <t>2025-05-07 11:03:00,490,,484,,470,,480,,,,,485,480,485,483</t>
  </si>
  <si>
    <t>2025-05-07 11:03:00,,5540,5700,,,5700,5620,,,,,5700,5500,5700,5550</t>
  </si>
  <si>
    <t>2025-05-07 11:03:00,,,,19350,19475,,19925,,,,,20000,19350,19400,19300</t>
  </si>
  <si>
    <t>2025-05-07 11:03:00,114153630.053127,2477003994.64397,-11448.8630952381,-5239,-17555.4387738096,-7175.21,63.999149806882,-1634.08</t>
  </si>
  <si>
    <t>2025-05-07 11:03:00,834207639.906265,900699768.638308,-4570.65051282051,-2014,-6034.44708974358,-2457.45,-11.8412171635296,-638.8</t>
  </si>
  <si>
    <t>2025-05-07 11:03:00,5350459.14688673,5788523.75149885,-2307.94999999999,-896,-39667.6354999999,-12802.62,-0.19637817697091,-296.69</t>
  </si>
  <si>
    <t>2025-05-07 11:03:00,12269775.9154287,-488029.854406747,-10.8484761904762,-21,-620.20285047619,-834.68,-0.0109216462639068,-5.89</t>
  </si>
  <si>
    <t>2025-05-07 11:04:00,,,562,,,555,558.5,,,,,562,555,557,562</t>
  </si>
  <si>
    <t>2025-05-07 11:04:00,490,,484,,470,,480,,,,,485,480,485,483</t>
  </si>
  <si>
    <t>2025-05-07 11:04:00,,5540,5700,,,5700,5610,,,,,5700,5500,5700,5550</t>
  </si>
  <si>
    <t>2025-05-07 11:04:00,,,,19350,19475,,19925,,,,,20000,19350,19400,19300</t>
  </si>
  <si>
    <t>2025-05-07 11:04:00,100176536.632728,2415712044.67925,6881.28333333331,4419,5430.93966666663,4392.43,94.1116839763509,1133.51</t>
  </si>
  <si>
    <t>2025-05-07 11:04:00,823072728.295772,880648100.657227,1711.58333333333,1227,3372.25666666666,2021.58,11.7604483625453,478.16</t>
  </si>
  <si>
    <t>2025-05-07 11:04:00,5331282.42869044,7009259.77248057,737.233333333334,419,11740.5439999999,6956.93,0.0966599756181472,183.06</t>
  </si>
  <si>
    <t>2025-05-07 11:04:00,12604857.0363325,-488710.324368184,2.36,4,24.2490000000001,159.45,-0.0019727891865011,1.09</t>
  </si>
  <si>
    <t>2025-05-07 11:05:00,,,562,,,555,558.5,,,,,562,555,557,558</t>
  </si>
  <si>
    <t>2025-05-07 11:05:00,490,,484,,470,,480,,,,,485,475,485,483</t>
  </si>
  <si>
    <t>2025-05-07 11:05:00,5700,,5700,,,5700,5610,,,,,5700,5500,5700,5550</t>
  </si>
  <si>
    <t>2025-05-07 11:05:00,,,,19350,19475,,19925,,,,,20000,19350,19400,19300</t>
  </si>
  <si>
    <t>2025-05-07 11:05:00,178104056.473747,2815271788.32329,1163.02319376027,1617,3129.42086617406,5116.12,503.284722813692,1341.74</t>
  </si>
  <si>
    <t>2025-05-07 11:05:00,859434429.210847,990820665.885244,566.261538461537,-654,760.073371794874,-2003.01,-75.9773009336761,-384.26</t>
  </si>
  <si>
    <t>2025-05-07 11:05:00,7038584.19059806,12558090.7651719,-345.383333333334,-388,-4827.66416666669,-1872.72,-1.72129580817609,-56.51</t>
  </si>
  <si>
    <t>2025-05-07 11:05:00,12828168.7282373,-456896.742692537,-6.88593073593073,11,14.3760714285717,130.7,-0.0039516966051418,0.85</t>
  </si>
  <si>
    <t>2025-05-07 11:06:00,,,562,,,555,558.5,,,,,562,555,557,558</t>
  </si>
  <si>
    <t>2025-05-07 11:06:00,490,,484,,470,,480,,,,,485,475,485,483</t>
  </si>
  <si>
    <t>2025-05-07 11:06:00,,5540,5700,,,5700,5610,,,,,5700,5500,5700,5550</t>
  </si>
  <si>
    <t>2025-05-07 11:06:00,,,,19350,19475,,19925,,,,,20000,19350,19400,19300</t>
  </si>
  <si>
    <t>2025-05-07 11:06:00,75761325.5291593,2354927067.49576,1370.34523809526,-461,2.95428571433547,-1251.15,133.254249918164,-240.85</t>
  </si>
  <si>
    <t>2025-05-07 11:06:00,810486897.033394,840192557.119436,1143.84615384615,144,2378.36512820513,316.02,-71.7573247564036,18.06</t>
  </si>
  <si>
    <t>2025-05-07 11:06:00,4812134.90694367,5632929.55530497,977.116666666666,414,10240.8185,7218.32,-0.0499049278496874,164.15</t>
  </si>
  <si>
    <t>2025-05-07 11:06:00,11789717.73185,-505422.434309764,29.0666666666666,11,773.974666666664,152.44,0.00800769069842607,1.35</t>
  </si>
  <si>
    <t>2025-05-07 11:07:00,,,562,,,555,558.5,,,,,562,555,557,558</t>
  </si>
  <si>
    <t>2025-05-07 11:07:00,490,,484,,470,,480,,,,,485,480,485,483</t>
  </si>
  <si>
    <t>2025-05-07 11:07:00,,5540,5700,,,5700,5610,,,,,5700,5500,5700,5550</t>
  </si>
  <si>
    <t>2025-05-07 11:07:00,,,,19350,19475,,19925,,,,,20000,19350,19400,19300</t>
  </si>
  <si>
    <t>2025-05-07 11:07:00,125583541.285228,2612069071.14544,-7544.69579195323,-4549,-16316.9041211486,-7219.29,-50.6736756026392,-1668.76</t>
  </si>
  <si>
    <t>2025-05-07 11:07:00,838754794.763795,927600044.30813,-3541.40978835978,-1247,-14989.5988492063,-3940.13,80.6616493229961,-606.96</t>
  </si>
  <si>
    <t>2025-05-07 11:07:00,5743213.27181042,7397947.57385332,-515.011111111111,-494,-7819.8098888889,-6447.68,0.0801798537407797,-136.65</t>
  </si>
  <si>
    <t>2025-05-07 11:07:00,11876814.3269076,-498164.218063209,-17.3962081419906,-15,-714.56152597323,-783.57,0.00100497447868317,-3.98</t>
  </si>
  <si>
    <t>2025-05-07 11:08:00,,,562,,,555,558.5,,,,,562,555,557,558</t>
  </si>
  <si>
    <t>2025-05-07 11:08:00,490,,484,,470,,480,,,,,485,480,485,483</t>
  </si>
  <si>
    <t>2025-05-07 11:08:00,,5540,5700,,,5700,5610,,,,,5700,5500,5700,5550</t>
  </si>
  <si>
    <t>2025-05-07 11:08:00,,,,19350,19475,,19925,,,,,20000,19350,19400,19300</t>
  </si>
  <si>
    <t>2025-05-07 11:08:00,100026542.320056,2512207085.55599,-5262.72344322345,-4991,-8695.69014652017,-7644.25,-99.5001486004006,-1906.2</t>
  </si>
  <si>
    <t>2025-05-07 11:08:00,826230747.558127,876925398.414843,-1269.13452380952,-648,-2675.66309523809,-1485.24,4.99214082409872,-390.56</t>
  </si>
  <si>
    <t>2025-05-07 11:08:00,5097953.08619828,5157209.14332854,-701.473333333334,-407,-7154.3498666667,-3438.34,0.574078456424391,-113.58</t>
  </si>
  <si>
    <t>2025-05-07 11:08:00,11589042.4117615,-489582.790594275,-8.92260032102725,-66,111.809337774211,-1438.8,-0.0812640523727982,-12.34</t>
  </si>
  <si>
    <t>2025-05-07 11:09:00,,,562,,,555,558.5,,,,,562,555,557,558</t>
  </si>
  <si>
    <t>2025-05-07 11:09:00,490,,484,,470,,480,,,,,485,480,485,483</t>
  </si>
  <si>
    <t>2025-05-07 11:09:00,,5540,5700,,,5700,5610,,,,,5700,5500,5700,5550</t>
  </si>
  <si>
    <t>2025-05-07 11:09:00,,,,19350,19475,,19925,,,,,20000,19350,19400,19300</t>
  </si>
  <si>
    <t>2025-05-07 11:09:00,136188940.596655,2702555049.06617,2219.66666666667,1560,3445.26,2262.31,11.9847224515696,549.57</t>
  </si>
  <si>
    <t>2025-05-07 11:09:00,831907059.100187,887535900.785556,61.283333333332,-107,-128.218166666669,-451.67,-2.74404200557189,-101.98</t>
  </si>
  <si>
    <t>2025-05-07 11:09:00,5985526.00624819,8961438.62874529,316.060000000001,236,6224.6092,4976.72,0.138449121755804,108.24</t>
  </si>
  <si>
    <t>2025-05-07 11:09:00,12369633.0679352,-464431.371092663,-2.01692307692308,-5,-148.106923076923,-264.2,0.00654421028128499,-1.73</t>
  </si>
  <si>
    <t>2025-05-07 11:10:00,,,562,,,555,558.5,,,,,562,555,557,558</t>
  </si>
  <si>
    <t>2025-05-07 11:10:00,490,,485,,470,,480,,,,,485,475,485,483</t>
  </si>
  <si>
    <t>2025-05-07 11:10:00,5700,,5700,,,5700,5610,,,,,5700,5500,5700,5550</t>
  </si>
  <si>
    <t>2025-05-07 11:10:00,,,,19350,19475,,19925,,,,,20000,19350,19400,19300</t>
  </si>
  <si>
    <t>2025-05-07 11:10:00,162461959.743084,2837060405.36958,5902.51666666666,4357,8446.45483333331,6431.67,57.3414785740956,1550.45</t>
  </si>
  <si>
    <t>2025-05-07 11:10:00,863911827.694217,1043960383.78538,1661.80357142857,444,2201.94392857143,229.78,-19.5363097296839,52.2</t>
  </si>
  <si>
    <t>2025-05-07 11:10:00,6617142.30875778,11525391.2683374,685.766666666668,857,5557.43766666669,7056.31,1.36977090546098,183.43</t>
  </si>
  <si>
    <t>2025-05-07 11:10:00,12448786.5280908,-452367.132293645,2.06,-3,-55.3239999999999,-47.6,0.00172310414955542,-0.25</t>
  </si>
  <si>
    <t>2025-05-07 11:11:00,,,562,,,555,558.5,,,,,562,555,557,558</t>
  </si>
  <si>
    <t>2025-05-07 11:11:00,490,,485,,470,,480,,,,,485,475,485,483</t>
  </si>
  <si>
    <t>2025-05-07 11:11:00,,5540,5700,,,5700,5610,,,,,5700,5500,5700,5550</t>
  </si>
  <si>
    <t>2025-05-07 11:11:00,,,,19350,19475,,19925,,,,,20000,19350,19400,19300</t>
  </si>
  <si>
    <t>2025-05-07 11:11:00,130695694.280268,2624050045.06332,-402.978174603166,-2145,-1243.36158730156,-1859.19,126.020409544357,-421.23</t>
  </si>
  <si>
    <t>2025-05-07 11:11:00,843865747.299909,952133434.624222,-274.488095238096,-301,-307.443452380955,-627.08,-34.5574396518425,-152.48</t>
  </si>
  <si>
    <t>2025-05-07 11:11:00,6348452.52711745,10768528.1504192,977.286666666668,1021,5718.44720000002,6504.46,3.95196884462993,197.66</t>
  </si>
  <si>
    <t>2025-05-07 11:11:00,12217208.3111809,-461280.087325015,7.4029304029304,9,63.96336996337,22,0.00475744978232403,0.24</t>
  </si>
  <si>
    <t>2025-05-07 11:12:00,,,562,,,555,558.5,,,,,562,555,557,558</t>
  </si>
  <si>
    <t>2025-05-07 11:12:00,490,,484,,470,,480,,,,,485,480,485,483</t>
  </si>
  <si>
    <t>2025-05-07 11:12:00,,5540,5700,,,5700,5610,,,,,5700,5500,5700,5550</t>
  </si>
  <si>
    <t>2025-05-07 11:12:00,,,,19350,19475,,19925,,,,,20000,19350,19400,19300</t>
  </si>
  <si>
    <t>2025-05-07 11:12:00,128283367.197818,2658961010.41045,656.316666666667,1143,-706.744166666668,-1016.89,17.8040469450359,-208.4</t>
  </si>
  <si>
    <t>2025-05-07 11:12:00,827332761.652202,896782008.779238,-127.351948051948,-325,-111.681116883117,-448.62,3.70547414010922,-129.46</t>
  </si>
  <si>
    <t>2025-05-07 11:12:00,5884125.788816,9620829.65481212,203.333333333334,189,3001.44766666666,2607.95,-0.513512554974727,57.77</t>
  </si>
  <si>
    <t>2025-05-07 11:12:00,12191695.6148256,-473974.103477294,-8.04444444444444,-10,-452.491111111111,-544.7,0.0130727245480416,-3.59</t>
  </si>
  <si>
    <t>2025-05-07 11:13:00,,,562,,,555,558.5,,,,,562,555,569,549</t>
  </si>
  <si>
    <t>2025-05-07 11:13:00,490,,484,,470,,480,,,,,485,480,485,483</t>
  </si>
  <si>
    <t>2025-05-07 11:13:00,,5540,5700,,,5700,5610,,,,,5700,5500,5700,5550</t>
  </si>
  <si>
    <t>2025-05-07 11:13:00,,,,19350,19475,,19925,,,,,20000,19350,19400,19300</t>
  </si>
  <si>
    <t>2025-05-07 11:13:00,108640145.680026,2576453628.37863,2034.88095238092,283,3162.64404761898,1390.73,400.79742198888,424.1</t>
  </si>
  <si>
    <t>2025-05-07 11:13:00,823232120.576031,869069909.213425,-2817.13333333333,-2180,-2776.73183333334,-1680.87,7.54774493627977,-431.12</t>
  </si>
  <si>
    <t>2025-05-07 11:13:00,5685320.93239683,7982103.54120769,-245.259090909091,-234,-4371.00395454547,-2852.63,-0.458619240132945,-68.45</t>
  </si>
  <si>
    <t>2025-05-07 11:13:00,11935544.6704647,-480352.348682315,0.657142857142853,-2,25.7262857142856,-3.02,-0.00146231910157088,-0.11</t>
  </si>
  <si>
    <t>2025-05-07 11:14:00,,,562,,,555,558.5,,,,,562,555,569,549</t>
  </si>
  <si>
    <t>2025-05-07 11:14:00,490,,484,,470,,480,,,,,485,475,485,483</t>
  </si>
  <si>
    <t>2025-05-07 11:14:00,,5540,5700,,,5700,5610,,,,,5700,5500,5700,5550</t>
  </si>
  <si>
    <t>2025-05-07 11:14:00,,,,19350,19475,,19925,,,,,20000,19350,19400,19300</t>
  </si>
  <si>
    <t>2025-05-07 11:14:00,124576557.647851,2583563006.05982,4486.37460317461,4160,4929.53238095239,3864.91,21.6752791889933,962.87</t>
  </si>
  <si>
    <t>2025-05-07 11:14:00,827208497.632872,888143873.082206,881.242424242426,764,1151.8793939394,952.29,2.30292253757603,230.57</t>
  </si>
  <si>
    <t>2025-05-07 11:14:00,6268355.45461254,11149492.9652488,676.199999999999,479,11419.048,6034.58,-0.21520161151051,151.4</t>
  </si>
  <si>
    <t>2025-05-07 11:14:00,12302151.1502852,-469660.26197552,4.775,15,75.795,145.4,-0.00241560516601,1.32</t>
  </si>
  <si>
    <t>2025-05-07 11:15:00,,,562,,,555,558.5,,,,,562,555,569,549</t>
  </si>
  <si>
    <t>2025-05-07 11:15:00,490,,484,,470,,480,,,,,485,480,485,483</t>
  </si>
  <si>
    <t>2025-05-07 11:15:00,,5540,5700,,,5700,5610,,,,,5700,5500,5700,5550</t>
  </si>
  <si>
    <t>2025-05-07 11:15:00,,,,19350,19475,,19925,,,,,20000,19350,19400,19300</t>
  </si>
  <si>
    <t>2025-05-07 11:15:00,155574115.619066,2920480705.23994,1453.93095238096,1493,2405.1888809524,1638.54,93.342502047436,446.69</t>
  </si>
  <si>
    <t>2025-05-07 11:15:00,817455164.675419,871804032.628376,637.055555555557,652,1176.28833333334,946.79,15.0022643834939,237.39</t>
  </si>
  <si>
    <t>2025-05-07 11:15:00,5785368.36712226,10077217.0412676,315.033333333333,217,8349.57933333334,3069.91,-0.0110091065465021,57.42</t>
  </si>
  <si>
    <t>2025-05-07 11:15:00,12501828.7427314,-475393.844649745,16.4790388784506,0,933.186793343382,506.15,0.00436491372526657,2.52</t>
  </si>
  <si>
    <t>2025-05-07 11:16:00,,,562,,,555,558.5,,,,,562,555,569,558</t>
  </si>
  <si>
    <t>2025-05-07 11:16:00,490,,485,,470,,480,,,,,485,480,485,483</t>
  </si>
  <si>
    <t>2025-05-07 11:16:00,,5540,5700,,,5700,5610,,,,,5700,5500,5700,5550</t>
  </si>
  <si>
    <t>2025-05-07 11:16:00,,,,19350,19475,,19925,,,,,20000,19350,19400,19300</t>
  </si>
  <si>
    <t>2025-05-07 11:16:00,82109031.4941818,2426883507.41487,-3134.55555555558,-2882,-6676.55111111118,-4519.3,-61.0377860473559,-928.21</t>
  </si>
  <si>
    <t>2025-05-07 11:16:00,798087922.257735,782894425.609155,-854.083333333333,-12,-1047.61416666667,313.68,-31.6258835571365,76.32</t>
  </si>
  <si>
    <t>2025-05-07 11:16:00,4967131.76028245,5337145.43533634,-365.999999999998,-277,-2831.57866666664,-1614.42,0.407252198508066,-49.11</t>
  </si>
  <si>
    <t>2025-05-07 11:16:00,11405182.9470363,-505034.117111314,4.12037037037036,-3,90.2143518518517,-1.05,-0.0056542978947435,-0.23</t>
  </si>
  <si>
    <t>2025-05-07 11:17:00,,,562,,,555,558.5,,,,,562,555,569,562</t>
  </si>
  <si>
    <t>2025-05-07 11:17:00,490,,485,,470,,480,,,,,485,480,485,483</t>
  </si>
  <si>
    <t>2025-05-07 11:17:00,5700,,5700,,,5700,5610,,,,,5700,5500,5700,5550</t>
  </si>
  <si>
    <t>2025-05-07 11:17:00,,,,19350,19475,,19925,,,,,20000,19350,19400,19300</t>
  </si>
  <si>
    <t>2025-05-07 11:17:00,188984456.474981,2955600077.90925,2141.78095238095,401,2076.96823809523,1079.61,-136.731708026971,337.89</t>
  </si>
  <si>
    <t>2025-05-07 11:17:00,848249632.733205,935150851.798194,-1036.82142857143,-480,125.737023809521,32.3,-6.78589519389722,9.21</t>
  </si>
  <si>
    <t>2025-05-07 11:17:00,7206068.4504485,12460902.5958855,88.8038095238098,617,976.859176190497,5816.69,-2.63013248995797,156.04</t>
  </si>
  <si>
    <t>2025-05-07 11:17:00,12532899.8393935,-446311.775530408,-0.656746031746032,-9,27.699773809524,-142.54,-0.00443014850114809,-0.99</t>
  </si>
  <si>
    <t>2025-05-07 11:18:00,,,562,,,555,558.5,,,,,562,555,569,562</t>
  </si>
  <si>
    <t>2025-05-07 11:18:00,490,,485,,470,,480,,,,,485,480,485,483</t>
  </si>
  <si>
    <t>2025-05-07 11:18:00,,5540,5700,,,5700,5610,,,,,5700,5500,5700,5550</t>
  </si>
  <si>
    <t>2025-05-07 11:18:00,,,,19350,19475,,19925,,,,,20000,19350,19400,19300</t>
  </si>
  <si>
    <t>2025-05-07 11:18:00,122055860.286704,2693680393.00674,1853.80952380952,1675,3620.02261904762,3898.01,172.571313248794,943.92</t>
  </si>
  <si>
    <t>2025-05-07 11:18:00,810698673.006395,828024981.157729,496.083333333334,91,852.970000000002,-46.4699999999999,-29.724376682954,-9.51999999999997</t>
  </si>
  <si>
    <t>2025-05-07 11:18:00,5829217.50279321,8721481.90527044,103.133333333334,40,3415.58,875.57,-0.286502924509313,9.65</t>
  </si>
  <si>
    <t>2025-05-07 11:18:00,11796227.1318152,-488470.380359193,0.88421052631579,3,55.6522105263158,188.82,-0.00408562584974662,1.23</t>
  </si>
  <si>
    <t>2025-05-07 11:20:00,,,562,,,555,558.5,,,,,562,555,569,549</t>
  </si>
  <si>
    <t>2025-05-07 11:20:00,490,,485,,470,,480,,,,,485,480,485,483</t>
  </si>
  <si>
    <t>2025-05-07 11:20:00,5700,,5700,,,5700,5610,,,,,5700,5500,5700,5550</t>
  </si>
  <si>
    <t>2025-05-07 11:20:00,,,,19350,19475,,19925,,,,,20000,19350,19400,19300</t>
  </si>
  <si>
    <t>2025-05-07 11:20:00,254802234.107627,3396995528.04797,4831.04166666671,3647,8143.24875000009,4180.05,-10.7758642156553,1175.54</t>
  </si>
  <si>
    <t>2025-05-07 11:20:00,865649184.560889,1029248376.93552,-632.166666666665,-422,-932.836666666664,-848.33,-5.03070889890565,-193.55</t>
  </si>
  <si>
    <t>2025-05-07 11:20:00,8063263.93281373,16917262.2205446,28.2583333333333,277,795.524816666665,4354.76,-1.52305791733908,91.11</t>
  </si>
  <si>
    <t>2025-05-07 11:20:00,12710607.8308689,-440415.394880793,-15.5559451985923,-12,-764.858853821017,-343.51,0.00445572744608156,-2.4</t>
  </si>
  <si>
    <t>2025-05-07 11:21:00,,,562,,,555,558.5,,,,,562,555,569,549</t>
  </si>
  <si>
    <t>2025-05-07 11:21:00,490,,485,,470,,480,,,,,485,480,490,470</t>
  </si>
  <si>
    <t>2025-05-07 11:21:00,5700,,5700,,,5700,5610,,,,,5700,5500,5700,5550</t>
  </si>
  <si>
    <t>2025-05-07 11:21:00,,,,19350,19475,,19925,,,,,20000,19350,19400,19300</t>
  </si>
  <si>
    <t>2025-05-07 11:21:00,187075246.274337,3063681842.67238,4869.56666666668,5882,8870.79433333335,10472.73,100.081205943878,2570.53</t>
  </si>
  <si>
    <t>2025-05-07 11:21:00,846235062.61097,993340494.869332,-39318.5283094683,1245,-5968.44888178487,2098.42,977.808823243366,589.88</t>
  </si>
  <si>
    <t>2025-05-07 11:21:00,7349641.23470092,16698515.8505317,387.166666666666,650,6661.8003333333,8169.57,0.545126234106866,212.23</t>
  </si>
  <si>
    <t>2025-05-07 11:21:00,12916407.6516949,-439123.149827536,0.184693618103233,4,4.19540503432524,184.62,-0.00952878505724209,1.11</t>
  </si>
  <si>
    <t>2025-05-07 11:22:00,,,562,,,555,558.5,,,,,562,555,569,549</t>
  </si>
  <si>
    <t>2025-05-07 11:22:00,490,,484,,470,,480,,,,,485,480,490,470</t>
  </si>
  <si>
    <t>2025-05-07 11:22:00,,5540,5700,,,5700,5610,,,,,5700,5500,5700,5550</t>
  </si>
  <si>
    <t>2025-05-07 11:22:00,,,,19350,19475,,19925,,,,,20000,19350,19400,19300</t>
  </si>
  <si>
    <t>2025-05-07 11:22:00,65906521.9316239,2496565408.07477,-1894.748015873,-3484,-4001.13595238091,-5608.39,100.002749567919,-1414.91</t>
  </si>
  <si>
    <t>2025-05-07 11:22:00,785322214.072127,780695228.738289,-1441.49206349207,-1227,-2678.86396825397,-2105.93,6.54987154370346,-552.58</t>
  </si>
  <si>
    <t>2025-05-07 11:22:00,4942880.14495461,6998581.0781446,103.8,272,2976.67033333334,9964.51,-1.34997013002153,227.71</t>
  </si>
  <si>
    <t>2025-05-07 11:22:00,12063256.7102092,-494455.861896702,14.1438397129187,19,292.012649521531,383.85,0.0100120743854926,3.04</t>
  </si>
  <si>
    <t>2025-05-07 11:23:00,,555,562,,,555,558.5,,,,,562,555,569,562</t>
  </si>
  <si>
    <t>2025-05-07 11:23:00,490,,485,,470,,480,,,,,485,480,490,470</t>
  </si>
  <si>
    <t>2025-05-07 11:23:00,,5540,5700,,,5700,5610,,,,,5700,5500,5700,5550</t>
  </si>
  <si>
    <t>2025-05-07 11:23:00,,,,19350,19475,,19925,,,,,20000,19350,19400,19300</t>
  </si>
  <si>
    <t>2025-05-07 11:23:00,-1413433.86883247,2076567074.0287,-5550.61742424243,-2538,-7199.80956060607,-7777.84,-175.059883433017,-1967.1</t>
  </si>
  <si>
    <t>2025-05-07 11:23:00,757245637.520249,669688121.304314,-61.9841269841214,354,-182.499563492044,640.92,-46.6305051656614,163.78</t>
  </si>
  <si>
    <t>2025-05-07 11:23:00,3703337.87302955,2489765.52389232,-412.257142857143,-669,-3366.28828571427,-6584.5,-0.9935743071238,-162.98</t>
  </si>
  <si>
    <t>2025-05-07 11:23:00,11132723.1607761,-529617.38227151,15.5451479076479,19,360.532927308803,313.35,0.00940437409999666,2.82</t>
  </si>
  <si>
    <t>2025-05-07 11:24:00,,555,562,,,555,558.5,,,,,562,555,569,562</t>
  </si>
  <si>
    <t>2025-05-07 11:24:00,490,,485,,470,,480,,,,,485,480,490,470</t>
  </si>
  <si>
    <t>2025-05-07 11:24:00,,5540,5700,,,5700,5610,,,,,5700,5500,5700,5550</t>
  </si>
  <si>
    <t>2025-05-07 11:24:00,,,,19350,19475,,19925,,,,,20000,19350,19400,19300</t>
  </si>
  <si>
    <t>2025-05-07 11:24:00,-29996466.1827901,1810323320.62053,-1008.66428571429,822,-1803.99757142857,4300.09,114.24428100677,943.24</t>
  </si>
  <si>
    <t>2025-05-07 11:24:00,752463090.412513,626379010.776677,-132.466666666674,-100,-14.8346666666827,438.99,-3.31851231572323,109.31</t>
  </si>
  <si>
    <t>2025-05-07 11:24:00,3531099.61680072,906355.260877894,-58.4366666666669,-383,-1550.50770000002,-4467.02,-2.03959826117357,-113.1</t>
  </si>
  <si>
    <t>2025-05-07 11:24:00,11301043.724014,-530619.467055303,-4.19071590174532,-9,-251.165190530058,-336.44,0.00274796399464297,-2.17</t>
  </si>
  <si>
    <t>2025-05-07 11:25:00,,,562,,,555,558.5,,,,,562,555,569,562</t>
  </si>
  <si>
    <t>2025-05-07 11:25:00,490,,485,,470,,480,,,,,485,480,490,470</t>
  </si>
  <si>
    <t>2025-05-07 11:25:00,,5540,5700,,,5700,5610,,,,,5700,5500,5700,5550</t>
  </si>
  <si>
    <t>2025-05-07 11:25:00,,,,19350,19475,,19925,,,,,20000,19350,19400,19300</t>
  </si>
  <si>
    <t>2025-05-07 11:25:00,18581252.2954055,2170503992.26477,-3270.33333333335,-2258,-6572.3266666667,-4655.63,-21.8559315322447,-1104.79</t>
  </si>
  <si>
    <t>2025-05-07 11:25:00,769791165.049695,695931947.95999,-498.166125541126,-150,-1221.82094155844,-465.49,35.510713944463,-90.7</t>
  </si>
  <si>
    <t>2025-05-07 11:25:00,4019829.49545312,4304539.2740605,-843.743157894736,-1189,-11699.4809894737,-11783.87,-1.63332548598736,-310.01</t>
  </si>
  <si>
    <t>2025-05-07 11:25:00,11269816.6134772,-517484.429135022,-7.69915966386556,-7,-276.910084033614,-156.5,0.00212920008746229,-1.1</t>
  </si>
  <si>
    <t>2025-05-07 11:26:00,,,562,,,555,558.5,,,,,562,555,569,562</t>
  </si>
  <si>
    <t>2025-05-07 11:26:00,490,,485,,470,,480,,,,,485,480,490,470</t>
  </si>
  <si>
    <t>2025-05-07 11:26:00,,5540,5700,,,5700,5610,,,,,5700,5500,5700,5550</t>
  </si>
  <si>
    <t>2025-05-07 11:26:00,,,,19350,19475,,19925,,,,,20000,19350,19400,19300</t>
  </si>
  <si>
    <t>2025-05-07 11:26:00,60185528.6138911,2404726261.68424,-1621.61688311689,-2004,-3529.28811688312,-4311.22,-19.6562512143177,-960.03</t>
  </si>
  <si>
    <t>2025-05-07 11:26:00,792492406.16802,794556685.71299,-316.162637362637,-463,-896.905688644686,-1146.02,36.2838001386243,-248.95</t>
  </si>
  <si>
    <t>2025-05-07 11:26:00,4152025.01890555,3426808.9792262,-219.716666666665,-293,-3511.02833333328,-5257.13,0.281301713003573,-115.65</t>
  </si>
  <si>
    <t>2025-05-07 11:26:00,11404215.5411459,-504807.155102088,1.80607315389925,-2,43.3930986887511,-94.2,-0.00231670342567947,-0.62</t>
  </si>
  <si>
    <t>2025-05-07 11:27:00,,,562,,,555,558.5,,,,,562,555,569,562</t>
  </si>
  <si>
    <t>2025-05-07 11:27:00,490,,485,,470,,480,,,,,485,480,490,470</t>
  </si>
  <si>
    <t>2025-05-07 11:27:00,,5540,5700,,,5700,5610,,,,,5700,5500,5700,5550</t>
  </si>
  <si>
    <t>2025-05-07 11:27:00,,,,19350,19475,,19925,,,,,20000,19350,19400,19300</t>
  </si>
  <si>
    <t>2025-05-07 11:27:00,16812408.882587,2031406293.08295,-7237.84126984123,-3751,-13709.4066666666,-7080.17,98.3983367284857,-1619.54</t>
  </si>
  <si>
    <t>2025-05-07 11:27:00,794349338.908416,792724189.454177,84.8857142857148,95,-575.428857142854,-201.29,70.816669587393,-42.59</t>
  </si>
  <si>
    <t>2025-05-07 11:27:00,3869303.48914531,1102499.47830567,-421.319172932333,-646,-6138.26601503762,-8685.88,-1.10640835687664,-217.59</t>
  </si>
  <si>
    <t>2025-05-07 11:27:00,11733748.9180118,-501152.467313521,7.46364556622772,-5,243.242918667695,150.65,-0.00581002946856962,0.5</t>
  </si>
  <si>
    <t>2025-05-07 11:28:00,,,562,,,555,558.5,,,,,562,555,569,562</t>
  </si>
  <si>
    <t>2025-05-07 11:28:00,490,,485,,470,,480,,,,,485,480,490,470</t>
  </si>
  <si>
    <t>2025-05-07 11:28:00,,5540,5700,,,5700,5610,,,,,5700,5500,5700,5550</t>
  </si>
  <si>
    <t>2025-05-07 11:28:00,,,,19350,19475,,19925,,,,,20000,19350,19400,19300</t>
  </si>
  <si>
    <t>2025-05-07 11:28:00,40297892.3010803,2240985567.72966,-707.194444444439,-89,-762.851111111098,-96.5199999999999,72.1254808823978,-27.72</t>
  </si>
  <si>
    <t>2025-05-07 11:28:00,779696023.250944,713936278.908284,333.436080586082,378,332.438474358976,-1.94000000000001,-32.937159801059,28.79</t>
  </si>
  <si>
    <t>2025-05-07 11:28:00,4176427.55882202,4503421.54571747,238.2,197,3200.17933333333,2756.87,1.06647477220405,68.98</t>
  </si>
  <si>
    <t>2025-05-07 11:28:00,11762234.7508529,-500339.138415528,-0.79051587301587,-1,12.4085003968255,37.27,-0.00136010665858553,0.26</t>
  </si>
  <si>
    <t>2025-05-07 11:29:00,,555,562,,,555,558.5,,,,,562,555,569,562</t>
  </si>
  <si>
    <t>2025-05-07 11:29:00,490,,485,,470,,480,,,,,485,480,490,470</t>
  </si>
  <si>
    <t>2025-05-07 11:29:00,,5540,5700,,,5700,5610,,,,,5700,5500,5700,5550</t>
  </si>
  <si>
    <t>2025-05-07 11:29:00,,,,19350,19475,,19925,,,,,20000,19350,19400,19300</t>
  </si>
  <si>
    <t>2025-05-07 11:29:00,-10406385.1057595,2084188320.44595,-4671.60476190475,-2508,-10173.017047619,-5841.96,140.675353397684,-1236.73</t>
  </si>
  <si>
    <t>2025-05-07 11:29:00,752873306.945138,622481882.770235,-954.990740740737,-475,-2217.98731481481,-1132.26,16.6948646131795,-302.49</t>
  </si>
  <si>
    <t>2025-05-07 11:29:00,2846325.31298635,319799.877936806,-710.858333333334,-686,-8394.62541666667,-10007.06,-0.735965572882434,-265.89</t>
  </si>
  <si>
    <t>2025-05-07 11:29:00,11114234.5727827,-529951.764503449,8.72261904761904,12,246.183571428571,348.59,0.000633351919288423,2.37</t>
  </si>
  <si>
    <t>2025-05-07 11:30:00,,555,562,,,555,558.5,,,,,562,555,569,562</t>
  </si>
  <si>
    <t>2025-05-07 11:30:00,490,,485,,470,,480,,,,,485,480,490,470</t>
  </si>
  <si>
    <t>2025-05-07 11:30:00,,5540,5700,,,5700,5610,,,,,5700,5500,5700,5550</t>
  </si>
  <si>
    <t>2025-05-07 11:30:00,,,,19350,19475,,19925,,,,,20000,19350,19400,19300</t>
  </si>
  <si>
    <t>2025-05-07 11:30:00,-36909335.913131,1845135102.60332,1132.10714285714,141,1676.33126190476,454.220000000001,18.7681578621441,152.8</t>
  </si>
  <si>
    <t>2025-05-07 11:30:00,758802348.670208,650816699.826754,171.976190476186,293,-2.0954761904859,448.64,-11.0890507968859,121.4</t>
  </si>
  <si>
    <t>2025-05-07 11:30:00,2660506.30253278,-3737411.6458998,-677.48333333333,-463,-13486.5858333333,-7934.3,0.444265342417505,-186.52</t>
  </si>
  <si>
    <t>2025-05-07 11:30:00,10604797.0370252,-545505.727419393,-0.833333333333334,-1,-18.9166666666667,-22.7,0.000944718681604073,-0.17</t>
  </si>
  <si>
    <t>2025-05-07 11:31:00,,555,562,,,555,558.5,,,,,562,555,569,562</t>
  </si>
  <si>
    <t>2025-05-07 11:31:00,490,,485,,470,,480,,,,,485,480,490,470</t>
  </si>
  <si>
    <t>2025-05-07 11:31:00,,5540,5700,,,5700,5610,,,,,5700,5500,5700,5550</t>
  </si>
  <si>
    <t>2025-05-07 11:31:00,,,,19350,19475,,19925,,,,,20000,19350,19400,19300</t>
  </si>
  <si>
    <t>2025-05-07 11:31:00,-19222747.5008045,1883676147.10685,-6837.43333333341,-3213,-14420.0266666668,-7211.4,330.928124921499,-1598.31</t>
  </si>
  <si>
    <t>2025-05-07 11:31:00,758648005.363343,613526268.094233,-5350.77261904762,-3749,-3706.6415952381,-914.88,100.216137179213,-275.56</t>
  </si>
  <si>
    <t>2025-05-07 11:31:00,2779526.32163533,-2954008.22661916,-1475.23333333332,-350,-22917.4816666665,-5227.39,-1.26251704685048,-124.65</t>
  </si>
  <si>
    <t>2025-05-07 11:31:00,10258764.6100759,-546173.000539304,1.96552287581701,8,20.390590569562,240.19,-0.00412370117285533,1.73</t>
  </si>
  <si>
    <t>2025-05-07 11:32:00,,,562,,,555,558.5,,,,,562,555,569,562</t>
  </si>
  <si>
    <t>2025-05-07 11:32:00,490,,485,,470,,480,,,,,485,480,490,470</t>
  </si>
  <si>
    <t>2025-05-07 11:32:00,,5540,5700,,,5700,5610,,,,,5700,5500,5700,5550</t>
  </si>
  <si>
    <t>2025-05-07 11:32:00,,,,19350,19475,,19925,,,,,20000,19350,19400,19300</t>
  </si>
  <si>
    <t>2025-05-07 11:32:00,13667315.5933444,2047890331.76459,-3592.95238095235,-1533,-7628.39952380944,-2436.33,-113.436683720146,-529.38</t>
  </si>
  <si>
    <t>2025-05-07 11:32:00,776154206.191749,670374803.067871,-289.100000000004,-802,-306.127000000008,-745,9.33703822355366,-173.99</t>
  </si>
  <si>
    <t>2025-05-07 11:32:00,3257564.71725251,-1646547.31186559,-933.616666666668,-637,-12995.6025,-7206.36,0.866305323097591,-186.02</t>
  </si>
  <si>
    <t>2025-05-07 11:32:00,10613770.8892218,-533392.424271607,-29.704126984127,-27,-1672.0720015873,-1261.19,0.00533110368576567,-7.59</t>
  </si>
  <si>
    <t>2025-05-07 11:33:00,,,562,,,555,558.5,,,,,562,555,569,562</t>
  </si>
  <si>
    <t>2025-05-07 11:33:00,490,,485,,470,,480,,,,,485,480,490,470</t>
  </si>
  <si>
    <t>2025-05-07 11:33:00,,5540,5700,,,5700,5610,,,,,5700,5500,5700,5550</t>
  </si>
  <si>
    <t>2025-05-07 11:33:00,,,,19350,19475,,19925,,,,,20000,19350,19400,19300</t>
  </si>
  <si>
    <t>2025-05-07 11:33:00,27954930.1824836,2129154493.0567,-1692.74285714287,-1776,-4614.80285714289,-4470.68,-24.6511411714582,-1062.18</t>
  </si>
  <si>
    <t>2025-05-07 11:33:00,786480529.826798,732271272.277981,-188.032142857144,-647,-343.341940476192,-832.48,-17.624409553543,-220.71</t>
  </si>
  <si>
    <t>2025-05-07 11:33:00,4016976.06334768,1705737.77292874,-235.349999999999,-446,-4161.10249999998,-6734.2,0.806494810545873,-160.95</t>
  </si>
  <si>
    <t>2025-05-07 11:33:00,10762063.2749816,-523458.860723274,-3.01515151515153,-12,25.6818181818176,-472.8,-0.00419557024479127,-3.16</t>
  </si>
  <si>
    <t>2025-05-07 11:34:00,,,562,,,555,558.5,,,,,562,555,570,562</t>
  </si>
  <si>
    <t>2025-05-07 11:34:00,490,,485,,470,,480,,,,,485,480,490,470</t>
  </si>
  <si>
    <t>2025-05-07 11:34:00,,5540,5700,,,5700,5610,,,,,5700,5500,5700,5550</t>
  </si>
  <si>
    <t>2025-05-07 11:34:00,,,,19350,19475,,19925,,,,,20000,19350,19400,19300</t>
  </si>
  <si>
    <t>2025-05-07 11:34:00,32273815.4749442,2177338884.35562,6510.49365079364,10061,963.516761904734,-1.90999999999929,-42.5730517951993,242.98</t>
  </si>
  <si>
    <t>2025-05-07 11:34:00,774397153.000359,652881997.952595,-411.474358974359,-103,-583.365384615384,-220.57,-62.9083629463225,-63.23</t>
  </si>
  <si>
    <t>2025-05-07 11:34:00,3814450.56769012,1025964.83758882,306.25,441,5282.7815,7446.63,0.538006481455332,176.65</t>
  </si>
  <si>
    <t>2025-05-07 11:34:00,10473817.2054924,-527432.179871928,2.00952380952381,4,110.690857142857,149.48,0.00305883319175977,1</t>
  </si>
  <si>
    <t>2025-05-07 11:35:00,,,562,,,555,558.5,,,,,562,555,570,562</t>
  </si>
  <si>
    <t>2025-05-07 11:35:00,490,,485,,470,,480,,,,,485,480,490,470</t>
  </si>
  <si>
    <t>2025-05-07 11:35:00,,5540,5700,,,5700,5610,,,,,5700,5500,5700,5550</t>
  </si>
  <si>
    <t>2025-05-07 11:35:00,,,,19350,19475,,19925,,,,,20000,19350,19400,19300</t>
  </si>
  <si>
    <t>2025-05-07 11:35:00,56425011.1962092,2326482320.22714,-1846.5873015873,-560,-3122.40357142857,-379.29,65.0452617934966,-74.32</t>
  </si>
  <si>
    <t>2025-05-07 11:35:00,787954504.487281,722248605.593229,-1090.29487179487,-487,-1776.62000000001,-536.38,6.65421428400998,-126.04</t>
  </si>
  <si>
    <t>2025-05-07 11:35:00,4283657.14305806,2841289.36126922,-663.300000000001,-461,-10083.585,-5632.75,-0.360849236688982,-142.8</t>
  </si>
  <si>
    <t>2025-05-07 11:35:00,10670343.231358,-518313.872024992,6,9,46.8,70.2,0.00611518551285055,0.63</t>
  </si>
  <si>
    <t>2025-05-07 11:36:00,,,562,,,555,558.5,,,,,562,555,570,562</t>
  </si>
  <si>
    <t>2025-05-07 11:36:00,490,,485,,470,,480,,,,,485,480,490,470</t>
  </si>
  <si>
    <t>2025-05-07 11:36:00,,5540,5700,,,5700,5610,,,,,5700,5500,5700,5550</t>
  </si>
  <si>
    <t>2025-05-07 11:36:00,,,,19350,19475,,19925,,,,,20000,19350,19400,19300</t>
  </si>
  <si>
    <t>2025-05-07 11:36:00,91299692.7088952,2474899661.5605,3811.98571428571,10256,4445.82671428571,7344.77,-76.1731774918183,1870.62</t>
  </si>
  <si>
    <t>2025-05-07 11:36:00,807661492.508987,796445367.370657,-314.794761904762,1089,-495.696961904763,398.96,2.85148997024216,125.89</t>
  </si>
  <si>
    <t>2025-05-07 11:36:00,4527842.58838804,5160528.34053535,319.433333333331,267,3615.0509333333,3513.4,-0.479423246432761,84.5</t>
  </si>
  <si>
    <t>2025-05-07 11:36:00,10745843.4956939,-505295.258912213,-1.3436507936508,-7,-344.861912698413,-213.82,0.0067671699254555,-1.31</t>
  </si>
  <si>
    <t>2025-05-07 11:37:00,,,562,,,555,558.5,,,,,562,555,570,562</t>
  </si>
  <si>
    <t>2025-05-07 11:37:00,490,,485,,470,,480,,,,,485,480,490,470</t>
  </si>
  <si>
    <t>2025-05-07 11:37:00,,5540,5700,,,5700,5610,,,,,5700,5500,5700,5550</t>
  </si>
  <si>
    <t>2025-05-07 11:37:00,,,,19350,19475,,19925,,,,,20000,19350,19400,19300</t>
  </si>
  <si>
    <t>2025-05-07 11:37:00,45096357.8329353,2216768854.14867,-5117,-2162,-9683.98500000001,-4176.99,9.81585589306705,-985.31</t>
  </si>
  <si>
    <t>2025-05-07 11:37:00,786676358.591251,716977112.018677,156.834615384616,-310,452.100692307691,-188.21,-6.54879840684895,-100.7</t>
  </si>
  <si>
    <t>2025-05-07 11:37:00,3933121.61274409,2551798.35488596,-264.133333333334,-464,-3001.87200000002,-4677.7,-0.210475393291558,-108.65</t>
  </si>
  <si>
    <t>2025-05-07 11:37:00,10600856.9516493,-515263.204607413,-1.61746031746032,0,-57.4403333333333,-46,0.00223374482245972,-0.25</t>
  </si>
  <si>
    <t>2025-05-07 11:38:00,,,562,,,555,558.5,,,,,562,555,570,562</t>
  </si>
  <si>
    <t>2025-05-07 11:38:00,490,,485,,470,,480,,,,,485,480,490,470</t>
  </si>
  <si>
    <t>2025-05-07 11:38:00,,5540,5700,,,5700,5610,,,,,5700,5500,5700,5550</t>
  </si>
  <si>
    <t>2025-05-07 11:38:00,,,,19350,19475,,19925,,,,,20000,19350,19400,19300</t>
  </si>
  <si>
    <t>2025-05-07 11:38:00,82037498.1899767,2482570672.44966,-2572.96428571429,-1592,-4418.23750000002,-2230.45,8.90097005661434,-543.77</t>
  </si>
  <si>
    <t>2025-05-07 11:38:00,813782078.83958,850542624.985569,-396.07222222222,-365,-1293.10833333333,-1114.28,4.39982369098692,-263.91</t>
  </si>
  <si>
    <t>2025-05-07 11:38:00,4288944.13594503,4437743.58551312,-224.379999999999,-163,-2618.83419999999,-3186.05,-0.193413824239026,-69.27</t>
  </si>
  <si>
    <t>2025-05-07 11:38:00,10842650.1024212,-507537.016945775,0.142857142857142,-1,1.08571428571428,-7.6,-0.000684627068730336,-0.07</t>
  </si>
  <si>
    <t>2025-05-07 11:39:00,,,562,,,555,558.5,,,,,562,555,570,562</t>
  </si>
  <si>
    <t>2025-05-07 11:39:00,490,,485,,470,,480,,,,,485,480,490,470</t>
  </si>
  <si>
    <t>2025-05-07 11:39:00,,5540,5700,,,5700,5610,,,,,5700,5500,5700,5550</t>
  </si>
  <si>
    <t>2025-05-07 11:39:00,,,,19350,19475,,19925,,,,,20000,19350,19400,19300</t>
  </si>
  <si>
    <t>2025-05-07 11:39:00,116150413.967122,2605256188.33436,2257.725,3128,2964.5485,3677.69,-75.0764786294845,919.67</t>
  </si>
  <si>
    <t>2025-05-07 11:39:00,824621636.641703,884860144.259251,950.728787878786,1385,1594.50128787878,2831.6,-0.520589046442799,599.3</t>
  </si>
  <si>
    <t>2025-05-07 11:39:00,5708871.23965893,9455643.02744486,-7674.90333333331,-2257,-29378.5523666666,-10249.67,6.15902681197149,-251.23</t>
  </si>
  <si>
    <t>2025-05-07 11:39:00,11522587.0425084,-480379.267955534,0.375000000000001,-3,5.81250000000001,-27.6,-0.00216618353602796,-0.26</t>
  </si>
  <si>
    <t>2025-05-07 11:40:00,,,562,,,555,558.5,,,,,562,555,570,562</t>
  </si>
  <si>
    <t>2025-05-07 11:40:00,490,,485,,470,,480,,,,,485,480,490,470</t>
  </si>
  <si>
    <t>2025-05-07 11:40:00,5700,,5700,,,5700,5610,,,,,5700,5500,5700,5550</t>
  </si>
  <si>
    <t>2025-05-07 11:40:00,,,,19350,19475,,19925,,,,,20000,19350,19400,19300</t>
  </si>
  <si>
    <t>2025-05-07 11:40:00,204060156.465243,3077422046.50336,-1775.52727272726,-2599,-4740.72845454543,-5772.94,22.2150010156153,-1339.64</t>
  </si>
  <si>
    <t>2025-05-07 11:40:00,860840372.849727,1011404465.47998,-2094.42476190476,-2242,-3730.89804047619,-4389.42,-63.5788188051782,-1038.65</t>
  </si>
  <si>
    <t>2025-05-07 11:40:00,7125986.44495833,13261290.8166897,-640.853732718889,-766,-21348.1456488476,-10858.87,-0.60768962973426,-213.41</t>
  </si>
  <si>
    <t>2025-05-07 11:40:00,12262509.0430328,-438763.824999,-9.85869963369963,-7,-535.252515567766,-266.28,0.00214315556121217,-1.66</t>
  </si>
  <si>
    <t>2025-05-07 11:41:00,,,562,,,555,558.5,,,,,562,555,570,562</t>
  </si>
  <si>
    <t>2025-05-07 11:41:00,490,,485,,470,,480,,,,,485,480,490,470</t>
  </si>
  <si>
    <t>2025-05-07 11:41:00,5700,,5700,,,5700,5610,,,,,5700,5500,5700,5550</t>
  </si>
  <si>
    <t>2025-05-07 11:41:00,,,,19350,19475,,19925,,,,,20000,19350,19400,19300</t>
  </si>
  <si>
    <t>2025-05-07 11:41:00,254979598.035872,3434479317.55488,418.371428571406,-637,-1235.26133333339,-3486.02,-18.8123744002365,-738.58</t>
  </si>
  <si>
    <t>2025-05-07 11:41:00,897004277.487661,1195475718.16511,-3197.74055829229,-2943,-3338.63594581281,-3895.05,-34.0961172369158,-1031.38</t>
  </si>
  <si>
    <t>2025-05-07 11:41:00,8194011.18541888,19812419.6544567,-572.193333333331,-744,-10817.7448666666,-10990.93,-2.41775351457179,-273.63</t>
  </si>
  <si>
    <t>2025-05-07 11:41:00,12912452.5160185,-404703.615439794,-2.66493742368742,-14,-155.014544123932,-481.81,-0.0133407353643049,-3.62</t>
  </si>
  <si>
    <t>2025-05-07 11:42:00,,,562,,,555,558.5,,,,,562,555,570,562</t>
  </si>
  <si>
    <t>2025-05-07 11:42:00,490,,485,,470,,480,,,,,485,480,490,470</t>
  </si>
  <si>
    <t>2025-05-07 11:42:00,5700,,5700,,,5700,5610,,,,,5700,5500,5700,5550</t>
  </si>
  <si>
    <t>2025-05-07 11:42:00,,,,19350,19475,,19925,,,,,20000,19350,19400,19300</t>
  </si>
  <si>
    <t>2025-05-07 11:42:00,282835394.243609,3615450091.27623,395.6238095238,35,7328.03347619046,6874.98,246.549703327254,1636.97</t>
  </si>
  <si>
    <t>2025-05-07 11:42:00,918072140.59072,1294729343.29563,473.525356125348,-1282,2050.12427065525,-480.4,-112.776413336817,-204.08</t>
  </si>
  <si>
    <t>2025-05-07 11:42:00,8938478.53709022,22594035.4724267,359.049999999999,491,4736.17749999995,6177.75,1.92143937076853,147.41</t>
  </si>
  <si>
    <t>2025-05-07 11:42:00,13411556.1289738,-380631.002096478,-11.3794871794872,-20,-624.182124999999,-671.88,-0.00740014056401438,-4.12</t>
  </si>
  <si>
    <t>2025-05-07 11:43:00,,,562,,,555,558.5,,,,,562,555,570,562</t>
  </si>
  <si>
    <t>2025-05-07 11:43:00,490,,485,,470,,480,,,,,485,480,490,470</t>
  </si>
  <si>
    <t>2025-05-07 11:43:00,5700,,5700,,,5700,5610,,,,,5700,5500,5700,5550</t>
  </si>
  <si>
    <t>2025-05-07 11:43:00,,,,19350,19475,,19925,,,,,20000,19350,19400,19300</t>
  </si>
  <si>
    <t>2025-05-07 11:43:00,247793694.219366,3509109990.60331,16221.8857142857,9757,21893.0633809523,13386.13,31.6822422219239,3331.49</t>
  </si>
  <si>
    <t>2025-05-07 11:43:00,895199126.368734,1215281740.71442,2834.46666666666,1108,5015.12266666666,1428.37,-22.3679269737408,390</t>
  </si>
  <si>
    <t>2025-05-07 11:43:00,8604633.96559241,23429463.5070689,1420.36,829,22513.8178,13033.75,0.418312135734339,326.33</t>
  </si>
  <si>
    <t>2025-05-07 11:43:00,13873414.8169292,-380276.279810606,3.85875,0,-47.5499708333333,-146.31,0.000323421489174732,-0.83</t>
  </si>
  <si>
    <t>2025-05-07 11:44:00,,,562,,,555,558.5,,,,,562,555,570,562</t>
  </si>
  <si>
    <t>2025-05-07 11:44:00,490,,485,,470,,480,,,,,485,480,490,470</t>
  </si>
  <si>
    <t>2025-05-07 11:44:00,5700,,5700,,,5700,5610,,,,,5700,5500,5700,5550</t>
  </si>
  <si>
    <t>2025-05-07 11:44:00,,,,19350,19475,,19925,,,,,20000,19350,19400,19300</t>
  </si>
  <si>
    <t>2025-05-07 11:44:00,271449168.041101,3611881023.18502,5185.75555555556,4706,8106.02500000001,7785.69,20.211520862514,1880.01</t>
  </si>
  <si>
    <t>2025-05-07 11:44:00,914264615.909019,1293180946.88545,460.916149068325,470,347.404503105593,220.44,-4.43732574939137,80.14</t>
  </si>
  <si>
    <t>2025-05-07 11:44:00,8877748.94447805,23973764.5604285,630.616666666668,661,5234.79283333335,5961.78,1.39136328004853,156.64</t>
  </si>
  <si>
    <t>2025-05-07 11:44:00,13903158.8288405,-370528.892980861,0.225086266390613,-6,-72.0462850241546,-221.3,-0.00575751402170716,-1.43</t>
  </si>
  <si>
    <t>2025-05-07 11:45:00,,,562,,,555,558.5,,,,,562,555,570,562</t>
  </si>
  <si>
    <t>2025-05-07 11:45:00,490,,485,,470,,480,,,,,485,480,490,470</t>
  </si>
  <si>
    <t>2025-05-07 11:45:00,5700,,5700,,,5700,5610,,,,,5700,5500,5700,5550</t>
  </si>
  <si>
    <t>2025-05-07 11:45:00,,,,19350,19475,,19800,,,,,20000,19350,19400,19300</t>
  </si>
  <si>
    <t>2025-05-07 11:45:00,315582907.656981,3983550357.04866,4492.19264069254,-660,10695.3284848482,2772.38,60.8265631595567,616.63</t>
  </si>
  <si>
    <t>2025-05-07 11:45:00,925017173.743089,1342249998.88692,1016.41688311686,74,1631.18982251076,576.25,42.0746632366447,122.21</t>
  </si>
  <si>
    <t>2025-05-07 11:45:00,9328059.41762782,26679866.1436306,230.156666666667,51,3833.52836666667,2695.63,0.92573233328234,67.79</t>
  </si>
  <si>
    <t>2025-05-07 11:45:00,13970209.9788348,-349459.465327372,-4.45407647907647,-21,-346.789739177489,-1397.84,-0.0188690838207527,-8.61</t>
  </si>
  <si>
    <t>2025-05-07 11:46:00,,,562,,,555,558.5,,,,,562,555,570,562</t>
  </si>
  <si>
    <t>2025-05-07 11:46:00,490,,485,,470,,480,,,,,485,480,490,470</t>
  </si>
  <si>
    <t>2025-05-07 11:46:00,5700,,5700,,,5700,5610,,,,,5700,5500,5700,5550</t>
  </si>
  <si>
    <t>2025-05-07 11:46:00,,,,19350,19475,,19800,,,,,20000,19350,19400,19300</t>
  </si>
  <si>
    <t>2025-05-07 11:46:00,259976159.758359,3764454465.69121,1674.99841269841,-1402,2882.13409523808,611.4,-63.1082342535579,95.6299999999999</t>
  </si>
  <si>
    <t>2025-05-07 11:46:00,904033084.904893,1271074758.45248,2113.05714285714,5858,3530.75385714286,3811.58,-72.479799712297,1041.06</t>
  </si>
  <si>
    <t>2025-05-07 11:46:00,8777226.91639724,25834746.2643979,518.199999999998,486,8900.00079999998,6401.21,0.55519401333447,155.93</t>
  </si>
  <si>
    <t>2025-05-07 11:46:00,14160085.7690553,-353484.953459174,8.37142857142857,9,278.990714285714,309,0.00957151209110963,2.3</t>
  </si>
  <si>
    <t>2025-05-07 11:47:00,,,562,,,555,558.5,,,,,562,555,570,562</t>
  </si>
  <si>
    <t>2025-05-07 11:47:00,490,,485,,470,,480,,,,,485,480,490,470</t>
  </si>
  <si>
    <t>2025-05-07 11:47:00,5700,,5700,,,5700,5610,,,,,5700,5500,5700,5550</t>
  </si>
  <si>
    <t>2025-05-07 11:47:00,,,,19350,19475,,19800,,,,,20000,19350,19400,19300</t>
  </si>
  <si>
    <t>2025-05-07 11:47:00,313405985.179034,4016230597.86421,435.148989898985,1579,-419.574889971146,1481.45,-3.91511115888019,483.92</t>
  </si>
  <si>
    <t>2025-05-07 11:47:00,924545416.756097,1348061882.33029,-1844.3835978836,-1567,-10132.5693518518,-6888.27,-29.9089490412676,-982.59</t>
  </si>
  <si>
    <t>2025-05-07 11:47:00,9422504.92291477,27402634.2808334,205.583333333333,174,2435.41416666667,3928.75,0.0502710144616893,94.32</t>
  </si>
  <si>
    <t>2025-05-07 11:47:00,14074553.9875839,-342686.359688978,-9.2679853200803,-21,-185.429785883577,-623.44,-0.00808336825602922,-3.59</t>
  </si>
  <si>
    <t>2025-05-07 11:48:00,,,562,,,555,558.5,561,,,,562,555,570,562</t>
  </si>
  <si>
    <t>2025-05-07 11:48:00,490,,485,,470,,480,,,,,485,480,490,470</t>
  </si>
  <si>
    <t>2025-05-07 11:48:00,5700,,5700,,,5700,5610,,,,,5700,5500,5700,5550</t>
  </si>
  <si>
    <t>2025-05-07 11:48:00,,,,19350,19475,,19800,,,,,20000,19350,19400,19300</t>
  </si>
  <si>
    <t>2025-05-07 11:48:00,340914533.308095,4271259965.19706,3208.081232493,712,4943.10955882355,2986.09,172.952634096699,700.93</t>
  </si>
  <si>
    <t>2025-05-07 11:48:00,938906316.403702,1462897126.98072,761.282020757019,658,865.915057997556,92.8699999999999,23.9103608384078,27.45</t>
  </si>
  <si>
    <t>2025-05-07 11:48:00,9410221.94653612,27478562.0506767,426.093333333335,259,11216.4368000001,3077.41,0.904471285266146,46.09</t>
  </si>
  <si>
    <t>2025-05-07 11:48:00,14251780.8942988,-338203.619529793,6.39142857142857,8,161.127428571428,170.1,0.0048859815888306,1.14</t>
  </si>
  <si>
    <t>2025-05-07 11:49:00,,,562,,,555,558.5,561,,,,562,555,570,562</t>
  </si>
  <si>
    <t>2025-05-07 11:49:00,490,,485,,470,,480,,,,,485,480,490,470</t>
  </si>
  <si>
    <t>2025-05-07 11:49:00,5700,,5700,,,5700,5610,,,,,5700,5500,5700,5550</t>
  </si>
  <si>
    <t>2025-05-07 11:49:00,,,,19350,19475,,19800,,,,,20000,19350,19400,19300</t>
  </si>
  <si>
    <t>2025-05-07 11:49:00,318456135.069201,4177566325.45684,7944.9666666666,4045,16099.1553333332,9320.67,328.609085446297,2257.35</t>
  </si>
  <si>
    <t>2025-05-07 11:49:00,931705136.440863,1408878693.53906,196.038552188552,240,212.960351851851,513.67,40.7145020359282,115.44</t>
  </si>
  <si>
    <t>2025-05-07 11:49:00,9637366.29285995,29820569.0125121,186.986666666666,144,2034.71146666666,865.12,0.34831914365789,23.83</t>
  </si>
  <si>
    <t>2025-05-07 11:49:00,14449583.2290861,-331453.192853211,0.716666666666666,1,-7.335,-10.3,0.00206344830601542,-0.05</t>
  </si>
  <si>
    <t>2025-05-07 11:50:00,,,562,,,555,558.5,,561,,,562,555,570,562</t>
  </si>
  <si>
    <t>2025-05-07 11:50:00,490,,485,,470,,480,,,,,485,480,490,470</t>
  </si>
  <si>
    <t>2025-05-07 11:50:00,5700,,5700,,,5700,5610,,,,,5700,5500,5700,5550</t>
  </si>
  <si>
    <t>2025-05-07 11:50:00,,,,19350,19475,,19800,,,,,20000,19350,19400,19300</t>
  </si>
  <si>
    <t>2025-05-07 11:50:00,306132577.994444,4081598940.74541,-7708.83333333326,-4485,-14228.5933333332,-8030.89,-191.143136427346,-2025.41</t>
  </si>
  <si>
    <t>2025-05-07 11:50:00,938555341.872562,1416034277.80175,-2320.47301587302,-1545,-2779.81334920636,-1889.08,7.19298972910069,-489.79</t>
  </si>
  <si>
    <t>2025-05-07 11:50:00,9479121.80133017,28647649.2701257,-209.85,-292,-3763.95283333334,-4329.01,0.0398076318985663,-104.92</t>
  </si>
  <si>
    <t>2025-05-07 11:50:00,14142130.0233977,-334676.011816735,3.32142857142858,6,130.407142857143,249.8,0.00530869106720031,1.84</t>
  </si>
  <si>
    <t>2025-05-07 11:51:00,,,562,,,555,558.5,,,,,562,555,570,562</t>
  </si>
  <si>
    <t>2025-05-07 11:51:00,490,,485,,470,,480,,,,,485,480,490,470</t>
  </si>
  <si>
    <t>2025-05-07 11:51:00,5700,,5700,,,5700,5610,,,,,5700,5500,5700,5550</t>
  </si>
  <si>
    <t>2025-05-07 11:51:00,,,,19350,19475,,19800,,,,,20000,19350,19400,19300</t>
  </si>
  <si>
    <t>2025-05-07 11:51:00,317335157.246219,4286061928.2999,-1897.25714285716,-614,-3864.42800000003,-2535.92,-41.3562016583821,-586.9</t>
  </si>
  <si>
    <t>2025-05-07 11:51:00,929307084.78376,1397807521.22588,-1340.92261904761,-1232,-3678.6932738095,-2726.22,-32.2195165643639,-670.46</t>
  </si>
  <si>
    <t>2025-05-07 11:51:00,9308626.32477764,27760408.4972817,-216.756666666666,-41,-4862.68136666664,-1149.39,0.14597814980844,-23.61</t>
  </si>
  <si>
    <t>2025-05-07 11:51:00,14247899.5299952,-337532.357434456,-2.90871645516955,-8,-334.451428403024,-246.29,1.42270047190952E-05,-1.58</t>
  </si>
  <si>
    <t>2025-05-07 11:53:00,,,562,,,555,558.5,,,,,562,555,570,549</t>
  </si>
  <si>
    <t>2025-05-07 11:53:00,490,,485,,470,,480,,,,,485,480,490,470</t>
  </si>
  <si>
    <t>2025-05-07 11:53:00,5700,,5700,,,5700,5610,,,,,5700,5500,5700,5550</t>
  </si>
  <si>
    <t>2025-05-07 11:53:00,,,,19350,19475,,19800,,,,,20000,19350,19400,19300</t>
  </si>
  <si>
    <t>2025-05-07 11:53:00,377623887.859294,4593499845.7768,5489.86309523803,2000,10700.4216666665,5909.56,-48.0852662940162,1455.82</t>
  </si>
  <si>
    <t>2025-05-07 11:53:00,964386719.39777,1527754244.75296,1264.87683150183,6875,2763.95710927961,3720.59,-122.828583179465,1047.05</t>
  </si>
  <si>
    <t>2025-05-07 11:53:00,10655977.7233741,33654053.067337,561.307763975151,693,8375.94421842641,8816.22,-0.692597005454729,237.44</t>
  </si>
  <si>
    <t>2025-05-07 11:53:00,14816314.7204516,-313892.056590485,-9.08765900765909,17,-489.570151714956,725.24,-0.0260782733595156,5.26</t>
  </si>
  <si>
    <t>2025-05-07 11:54:00,,,562,,,555,558.5,,,,,562,555,570,562</t>
  </si>
  <si>
    <t>2025-05-07 11:54:00,490,,485,,470,,480,,,,,485,480,490,470</t>
  </si>
  <si>
    <t>2025-05-07 11:54:00,5700,,5700,,,5700,5610,,,,,5700,5500,5700,5550</t>
  </si>
  <si>
    <t>2025-05-07 11:54:00,,,,19350,19475,,19800,,,,,20000,19350,19400,19300</t>
  </si>
  <si>
    <t>2025-05-07 11:54:00,392240121.641989,4615254949.53231,-825.671536796564,-1529,-3479.65410389617,-3806.16,-82.8905264575883,-834.19</t>
  </si>
  <si>
    <t>2025-05-07 11:54:00,976176802.855049,1549374776.9634,-5954.54183594183,-4455,-1602.4581941392,-889.77,68.8302687851595,-308.12</t>
  </si>
  <si>
    <t>2025-05-07 11:54:00,11354875.5028371,36044682.5397351,-10.6000000000005,-169,797.364999999991,-1514.33,0.0602358703209325,-41.92</t>
  </si>
  <si>
    <t>2025-05-07 11:54:00,14181763.6946403,-296906.009958119,-7.40708216619982,-14,-404.866504341737,-809.54,-0.00180521231714483,-5.01</t>
  </si>
  <si>
    <t>2025-05-07 11:55:00,,,562,,,555,558.5,,,,,562,555,570,562</t>
  </si>
  <si>
    <t>2025-05-07 11:55:00,490,,485,,470,,480,,482,,,485,480,490,470</t>
  </si>
  <si>
    <t>2025-05-07 11:55:00,5700,,5700,,,5700,5610,,,,,5700,5500,5700,5550</t>
  </si>
  <si>
    <t>2025-05-07 11:55:00,,,,19350,19475,,19800,,,,,20000,19350,19400,19300</t>
  </si>
  <si>
    <t>2025-05-07 11:55:00,447174173.94685,4846786730.96756,-15420.8261904764,-6196,-25068.0609285718,-9046.01,38.5307585598835,-2311.46</t>
  </si>
  <si>
    <t>2025-05-07 11:55:00,993259999.815909,1627159506.52335,-4881.325,-2957,-8033.19875,-4651.06,-85.5047879988557,-1198.02</t>
  </si>
  <si>
    <t>2025-05-07 11:55:00,11783766.753613,36895192.4927348,-1743.46000000002,-1092,-33052.179466667,-15097.34,-1.99411442719108,-371.75</t>
  </si>
  <si>
    <t>2025-05-07 11:55:00,14473956.2804418,-293562.717018043,-13.4714705882353,-19,-1007.46307563025,-1082.04,-0.0161638384792692,-6.93</t>
  </si>
  <si>
    <t>2025-05-07 11:56:00,,,562,,,555,558.5,,,,,562,555,570,562</t>
  </si>
  <si>
    <t>2025-05-07 11:56:00,490,,485,,470,,480,,,,,485,480,490,470</t>
  </si>
  <si>
    <t>2025-05-07 11:56:00,5700,,5700,,,5700,5610,,,,,5700,5500,5700,5550</t>
  </si>
  <si>
    <t>2025-05-07 11:56:00,,,,19350,19475,,19800,,,,,20000,19350,19400,19300</t>
  </si>
  <si>
    <t>2025-05-07 11:56:00,457949404.417977,5086627093.23088,-5129.60476190478,-3961,-6942.55147619053,-5388.5,-18.1604283354418,-1366.46</t>
  </si>
  <si>
    <t>2025-05-07 11:56:00,993622979.101655,1647194171.38946,-1111.95833333334,-1429,-282.758750000011,-726.22,10.2184933247764,-238.76</t>
  </si>
  <si>
    <t>2025-05-07 11:56:00,11760598.3282199,38527140.2301856,-515.999999999999,-428,-5113.98599999998,-3468.67,0.11071903473427,-88.41</t>
  </si>
  <si>
    <t>2025-05-07 11:56:00,14369630.7954593,-280837.867229686,-1.74976190476191,-8,-225.079169047619,-295.78,-0.00879517773458473,-1.98</t>
  </si>
  <si>
    <t>2025-05-07 11:57:00,,,562,,,555,558.5,,,,,562,555,570,562</t>
  </si>
  <si>
    <t>2025-05-07 11:57:00,490,,485,,470,,480,482,,,,485,480,490,470</t>
  </si>
  <si>
    <t>2025-05-07 11:57:00,5700,,5700,,,5700,5610,,,,,5700,5500,5700,5550</t>
  </si>
  <si>
    <t>2025-05-07 11:57:00,,,,19350,19475,,19800,,,,,20000,19350,19400,19300</t>
  </si>
  <si>
    <t>2025-05-07 11:57:00,516240958.232983,5280420986.05128,-1679.26666666665,-1857,-2507.76361904756,-3355.58,-69.1537607869138,-868.86</t>
  </si>
  <si>
    <t>2025-05-07 11:57:00,1021259862.23191,1764870971.88715,2022.15454545455,1524,3548.13424242426,2884.34,56.1441545020847,692.24</t>
  </si>
  <si>
    <t>2025-05-07 11:57:00,13547864.4664329,45876203.2354814,350.935000000002,121,4690.45895000003,902.76,0.395595037359348,32.86</t>
  </si>
  <si>
    <t>2025-05-07 11:57:00,15711672.8237455,-244310.403129781,-36.4026515151516,-35,-1109.91540530303,-1348.26,-0.000761683880006741,-9.17</t>
  </si>
  <si>
    <t>2025-05-07 11:58:00,,,562,,,555,558.5,,,,,562,555,570,562</t>
  </si>
  <si>
    <t>2025-05-07 11:58:00,490,,485,,470,,480,,,,,485,480,490,470</t>
  </si>
  <si>
    <t>2025-05-07 11:58:00,5700,,5700,,,5700,5610,,,,,5700,5500,5700,5550</t>
  </si>
  <si>
    <t>2025-05-07 11:58:00,,,,19350,19475,,19800,,,,,20000,19350,19400,19300</t>
  </si>
  <si>
    <t>2025-05-07 11:58:00,507178179.045113,5290846993.51346,812.919047619052,-617,-193.625690476179,-2624.32,-42.5837122305064,-538.66</t>
  </si>
  <si>
    <t>2025-05-07 11:58:00,1008467186.47202,1720838330.57056,-1495.94871794872,-1006,-1549.05384615386,-1205.59,-24.2488322150763,-292.19</t>
  </si>
  <si>
    <t>2025-05-07 11:58:00,13327054.815634,46231987.8883542,-318.209999999999,-519,-2471.15509999997,-3062.51,-0.695325940113121,-105.75</t>
  </si>
  <si>
    <t>2025-05-07 11:58:00,15414280.3017562,-242393.631659766,-24.8769047619048,-25,-213.655323809524,-249.45,0.0153642588114609,-2.03</t>
  </si>
  <si>
    <t>2025-05-07 11:59:00,,,562,,,555,558.5,,,,,562,555,570,562</t>
  </si>
  <si>
    <t>2025-05-07 11:59:00,490,,485,,470,,480,,,,,485,480,490,470</t>
  </si>
  <si>
    <t>2025-05-07 11:59:00,5700,,5700,,,5700,5610,,,,,5700,5500,5700,5550</t>
  </si>
  <si>
    <t>2025-05-07 11:59:00,,,,19350,19475,,19800,,,,,20000,19350,19400,19300</t>
  </si>
  <si>
    <t>2025-05-07 11:59:00,517457958.86544,5306755138.77373,-1980.25303030303,-3871,-3301.88004545455,-7793.09,-36.5849876435808,-1806.57</t>
  </si>
  <si>
    <t>2025-05-07 11:59:00,1014520239.5561,1757696545.86501,257.952380952382,-190,198.822857142861,-626.55,-29.0254450883719,-183.13</t>
  </si>
  <si>
    <t>2025-05-07 11:59:00,13482063.2264606,47512503.6835557,184.849999999998,-119,5319.12333333332,2856.41,-2.0439977872916,16.46</t>
  </si>
  <si>
    <t>2025-05-07 11:59:00,15294950.8340185,-244081.220142981,-4.01041666666668,-6,-277.702145833334,-253.39,-0.00184047308132221,-1.79</t>
  </si>
  <si>
    <t>2025-05-07 12:00:00,,,562,,,555,558.5,,,,,562,555,570,562</t>
  </si>
  <si>
    <t>2025-05-07 12:00:00,490,,485,,470,,480,,,,,485,480,490,470</t>
  </si>
  <si>
    <t>2025-05-07 12:00:00,5700,,5700,,,5700,5610,,,,,5700,5500,5700,5550</t>
  </si>
  <si>
    <t>2025-05-07 12:00:00,,,,19350,19475,,19800,,,,,20000,19350,19400,19300</t>
  </si>
  <si>
    <t>2025-05-07 12:00:00,541886428.824376,5616128084.88024,-888.791666666655,-135,-1566.58741666664,-23.5399999999998,-137.04060313555,25.3200000000001</t>
  </si>
  <si>
    <t>2025-05-07 12:00:00,1020847547.75785,1812955273.43851,-1919.04166666669,-157,-4448.17194444449,-1094.27,103.692884592866,-173.51</t>
  </si>
  <si>
    <t>2025-05-07 12:00:00,13553612.6683297,50318012.3668504,-203.703333333333,-200,-42.1742666666579,3535.56,-1.55131239569851,47.93</t>
  </si>
  <si>
    <t>2025-05-07 12:00:00,16235516.4625356,-238642.196027169,0.792460317460304,0,-162.530460317462,-196.59,0.00397017924792341,-1.06</t>
  </si>
  <si>
    <t>2025-05-07 12:01:00,,,562,,,555,558.5,561,,,,562,555,570,562</t>
  </si>
  <si>
    <t>2025-05-07 12:01:00,490,,485,,470,,480,,,,,485,480,490,470</t>
  </si>
  <si>
    <t>2025-05-07 12:01:00,5700,,5700,,,5700,5610,,,,,5700,5500,5700,5550</t>
  </si>
  <si>
    <t>2025-05-07 12:01:00,,,,19350,19475,,19800,,,,,20000,19350,19400,19300</t>
  </si>
  <si>
    <t>2025-05-07 12:01:00,533301391.04047,5437439677.00848,-4136.0476190476,-3060,-5496.73261904758,-3617.02,231.496072684928,-990.2</t>
  </si>
  <si>
    <t>2025-05-07 12:01:00,1016839881.08268,1785357944.81177,311.699999999999,-296,140.084285714283,-854.25,-30.244797280762,-159.95</t>
  </si>
  <si>
    <t>2025-05-07 12:01:00,13662528.5427487,49401994.7886512,23.7099999999977,349,1775.35609999996,7974.93,0.756294162256071,163.74</t>
  </si>
  <si>
    <t>2025-05-07 12:01:00,15280498.8804431,-247212.677463245,-29.6848484848485,-22,-1344.30493506494,-867.88,0.00379136455797588,-6.16</t>
  </si>
  <si>
    <t>2025-05-07 12:02:00,,,562,,,555,558.5,,,,,562,555,570,562</t>
  </si>
  <si>
    <t>2025-05-07 12:02:00,490,,485,,470,,480,,,,,485,480,490,470</t>
  </si>
  <si>
    <t>2025-05-07 12:02:00,5700,,5700,,,5700,5610,,,,,5700,5500,5700,5550</t>
  </si>
  <si>
    <t>2025-05-07 12:02:00,,,,19350,19475,,19800,,,,,20000,19350,19400,19300</t>
  </si>
  <si>
    <t>2025-05-07 12:02:00,506423576.945442,5244871633.10487,-2712.40714285714,-2853,-1548.8242142857,-1377.7,140.965086826075,-418.08</t>
  </si>
  <si>
    <t>2025-05-07 12:02:00,1006969731.79478,1730756507.22145,-166.476923076925,-104,-523.63161538462,-4.52000000000011,-10.6232596157594,2.47999999999997</t>
  </si>
  <si>
    <t>2025-05-07 12:02:00,13222723.9031009,46711962.3931234,226.530000000001,213,2403.99060000002,2381.92,1.10753059315472,79.41</t>
  </si>
  <si>
    <t>2025-05-07 12:02:00,15229464.6480379,-257048.449849908,-8.26726190476188,-19,-327.994998809523,-370.95,-0.00920539897968282,-2.6</t>
  </si>
  <si>
    <t>2025-05-07 12:03:00,,,562,,,555,558.5,,,,,562,555,570,562</t>
  </si>
  <si>
    <t>2025-05-07 12:03:00,490,,485,,470,,480,,,,,485,480,490,470</t>
  </si>
  <si>
    <t>2025-05-07 12:03:00,5700,,5700,,,5700,5610,,,,,5700,5500,5700,5550</t>
  </si>
  <si>
    <t>2025-05-07 12:03:00,,,,19350,19475,,19800,,,,,20000,19350,19400,19300</t>
  </si>
  <si>
    <t>2025-05-07 12:03:00,543047499.785529,5446180701.14815,-3588.26666666666,-2366,-5581.85766666665,-3489.65,-106.76561124173,-875.55</t>
  </si>
  <si>
    <t>2025-05-07 12:03:00,1029092976.37551,1859159145.50752,-3587.14603174603,-4787,-5006.26669841269,-3052.07,-71.8651945838246,-868.56</t>
  </si>
  <si>
    <t>2025-05-07 12:03:00,13840013.9692775,48727526.6210035,-150.045238095238,-486,-1328.08526190475,-4047.26,0.165157314073846,-132.33</t>
  </si>
  <si>
    <t>2025-05-07 12:03:00,15220923.2721869,-244783.489599716,-11.1677719940878,-7,-468.614343615449,-333.61,0.00226427637593798,-2.14</t>
  </si>
  <si>
    <t>2025-05-07 12:04:00,,,562,,,555,558.5,,,,,562,555,570,562</t>
  </si>
  <si>
    <t>2025-05-07 12:04:00,490,,485,,470,,480,,,,,485,480,490,470</t>
  </si>
  <si>
    <t>2025-05-07 12:04:00,5700,,5700,,,5700,5610,,,,,5700,5500,5700,5550</t>
  </si>
  <si>
    <t>2025-05-07 12:04:00,,,,19350,19475,,19800,,,,,20000,19350,19400,19300</t>
  </si>
  <si>
    <t>2025-05-07 12:04:00,554248367.445487,5526382854.87137,-4292.32857142858,-4471,-5124.91892857143,-7385.96,24.8601599009012,-1938.27</t>
  </si>
  <si>
    <t>2025-05-07 12:04:00,1025225073.25756,1848899188.78799,183.773015873015,-663,-736.522317460319,-2996.29,-55.2959697276965,-751.83</t>
  </si>
  <si>
    <t>2025-05-07 12:04:00,14111814.8187854,51703653.947099,112.026666666668,-203,6455.64309999999,2266.98,2.73758751649603,4.3</t>
  </si>
  <si>
    <t>2025-05-07 12:04:00,15503275.0841694,-233217.83814972,-2.22924603174603,-2,5.08971626984117,39.86,0.00634590577027897,0.0799999999999999</t>
  </si>
  <si>
    <t>2025-05-07 12:05:00,,,562,,,555,558.5,,,,,562,555,570,562</t>
  </si>
  <si>
    <t>2025-05-07 12:05:00,490,,485,,470,,480,,,,,485,480,490,470</t>
  </si>
  <si>
    <t>2025-05-07 12:05:00,5700,,5700,,,5700,5610,,,,,5700,5500,5700,5550</t>
  </si>
  <si>
    <t>2025-05-07 12:05:00,,,,19350,19475,,19800,,,,,20000,19350,19400,19300</t>
  </si>
  <si>
    <t>2025-05-07 12:05:00,560055748.680415,5660435078.46127,-4451.93333333334,-1728,-4984.44666666667,-2203,32.9379082069207,-650.21</t>
  </si>
  <si>
    <t>2025-05-07 12:05:00,1024427604.96684,1846209879.2323,-2418.16502463055,-2349,-4128.66994252874,-2989.36,-3.93335158675801,-786.54</t>
  </si>
  <si>
    <t>2025-05-07 12:05:00,13724170.7158577,51351817.3438811,-437.323333333332,-353,-4745.53363333328,-3429.31,-0.3405456220503,-102.34</t>
  </si>
  <si>
    <t>2025-05-07 12:05:00,15561154.1177828,-233580.375557554,6.18083131557707,-6,-50.1108422114612,450.77,-0.00836842317063525,0.54</t>
  </si>
  <si>
    <t>2025-05-07 12:06:00,,,562,,,555,558.5,,,,,562,555,570,562</t>
  </si>
  <si>
    <t>2025-05-07 12:06:00,490,,485,,470,,480,,,,,485,480,490,470</t>
  </si>
  <si>
    <t>2025-05-07 12:06:00,5700,,5700,,,5700,5610,,,,,5700,5500,5700,5550</t>
  </si>
  <si>
    <t>2025-05-07 12:06:00,,,,19350,19475,,19800,,,,,20000,19350,19400,19300</t>
  </si>
  <si>
    <t>2025-05-07 12:06:00,557553583.135456,5599649737.8253,789.880952380947,1829,938.417857142845,1571,-1.53246412807526,397.25</t>
  </si>
  <si>
    <t>2025-05-07 12:06:00,1032201008.13533,1869023197.06497,1025.21428571429,1100,1768.92785714286,1424.23,5.7512127463652,362.08</t>
  </si>
  <si>
    <t>2025-05-07 12:06:00,14113313.4773411,51834533.4323677,158.623333333334,53,1188.18236666667,847.21,-0.752360823883028,21.75</t>
  </si>
  <si>
    <t>2025-05-07 12:06:00,16046886.266086,-217222.830166163,1.13888888888889,4,15.0305555555555,52.4,0.000275253822419993,0.44</t>
  </si>
  <si>
    <t>2025-05-07 12:07:00,,,562,,,555,558.5,,,,,562,555,570,562</t>
  </si>
  <si>
    <t>2025-05-07 12:07:00,490,,485,,470,,480,,,,,485,480,490,470</t>
  </si>
  <si>
    <t>2025-05-07 12:07:00,5700,,5700,,,5700,5610,,,,,5700,5500,5700,5550</t>
  </si>
  <si>
    <t>2025-05-07 12:07:00,,,,19350,19475,,19800,,,,,20000,19350,19400,19300</t>
  </si>
  <si>
    <t>2025-05-07 12:07:00,546094093.373815,5550005591.75529,288.566666666672,-614,476.661333333346,-1460.34,-37.1790655204068,-370.95</t>
  </si>
  <si>
    <t>2025-05-07 12:07:00,1025996068.1139,1881098990.83338,107.071428571427,332,438.758571428568,894.25,-43.2177027050619,220.96</t>
  </si>
  <si>
    <t>2025-05-07 12:07:00,13987967.5856327,51775060.3332939,8.19999999999947,153,752.854999999998,1886.66,-0.181870409200639,48.22</t>
  </si>
  <si>
    <t>2025-05-07 12:07:00,15789950.7494373,-224378.231650744,4.65959595959597,3,142.079626262626,131.12,0.00392208499400212,0.93</t>
  </si>
  <si>
    <t>2025-05-07 12:08:00,,,562,,,555,558.5,,,,,562,555,570,562</t>
  </si>
  <si>
    <t>2025-05-07 12:08:00,490,,485,,470,,480,,,,,485,480,490,470</t>
  </si>
  <si>
    <t>2025-05-07 12:08:00,5700,,5700,,,5700,5610,,,,,5700,5500,5600,5550</t>
  </si>
  <si>
    <t>2025-05-07 12:08:00,,,,19350,19475,,19800,,,,,20000,19350,19400,19300</t>
  </si>
  <si>
    <t>2025-05-07 12:08:00,545597234.11729,5499593819.05396,-1071.31388888889,-899,-2548.77663888888,-3137.76,16.0708921337322,-674.43</t>
  </si>
  <si>
    <t>2025-05-07 12:08:00,1027468334.45036,1862098637.8076,-415.523809523815,-262,-1192.22000000001,-971.99,-6.37012861425264,-212.97</t>
  </si>
  <si>
    <t>2025-05-07 12:08:00,13859215.8854802,51222024.66499,-259.981666666666,-1164,-4193.82839999998,-5136.83,-2.64855953453855,-136.85</t>
  </si>
  <si>
    <t>2025-05-07 12:08:00,15933666.7633907,-215708.969224364,-0.051666666666662,1,-32.2543499999995,-34.65,0.00451646058212283,-0.1</t>
  </si>
  <si>
    <t>2025-05-07 12:09:00,,,562,,,555,558.5,,,,,562,555,570,562</t>
  </si>
  <si>
    <t>2025-05-07 12:09:00,490,,485,,470,,480,,,,,485,480,490,470</t>
  </si>
  <si>
    <t>2025-05-07 12:09:00,5700,,5700,,,5700,5610,,,,,5700,5500,5600,5550</t>
  </si>
  <si>
    <t>2025-05-07 12:09:00,,,,19350,19475,,19800,,,,,20000,19350,19400,19300</t>
  </si>
  <si>
    <t>2025-05-07 12:09:00,543884960.969541,5501146041.06518,-1975.49999999999,-2872,-3641.02499999999,-4604.89,-35.7674829366189,-1180.11</t>
  </si>
  <si>
    <t>2025-05-07 12:09:00,1023132138.85551,1851837752.71135,-432.172043010748,-600,-482.595268817196,-673.07,-31.9898358178651,-185.32</t>
  </si>
  <si>
    <t>2025-05-07 12:09:00,13465348.1320936,48140699.3723868,-333.35,-347,-4970.43649999999,-3994.95,-0.71286720053904,-103.27</t>
  </si>
  <si>
    <t>2025-05-07 12:09:00,15638934.5217142,-225020.173613956,0.197222222222219,-1,-5.67227777777785,-22.6,0.000982019615344401,-0.17</t>
  </si>
  <si>
    <t>2025-05-07 12:10:00,,,562,,,555,558.5,,,,,562,555,570,562</t>
  </si>
  <si>
    <t>2025-05-07 12:10:00,490,,485,,470,,480,,,,,485,480,490,470</t>
  </si>
  <si>
    <t>2025-05-07 12:10:00,5700,,5700,,,5700,5610,,,,,5700,5500,5600,5550</t>
  </si>
  <si>
    <t>2025-05-07 12:10:00,,,,19350,19475,,19800,,,,,20000,19350,19400,19300</t>
  </si>
  <si>
    <t>2025-05-07 12:10:00,521157994.538938,5391561043.51606,4199.81493506495,2262,8138.59120129874,4423.08,1.838889889972,1058.01</t>
  </si>
  <si>
    <t>2025-05-07 12:10:00,1025217471.91492,1858328109.81252,888.116883116885,731,1358.19292207793,1063.36,11.2693376034408,277.71</t>
  </si>
  <si>
    <t>2025-05-07 12:10:00,13996116.2228657,52440401.8855554,427.453333333333,609,5923.05173333333,6243.55,-0.3962504956124,165.39</t>
  </si>
  <si>
    <t>2025-05-07 12:10:00,16098404.6607575,-211153.002782659,-0.569567099567104,1,-18.8325528138533,35.27,0.00680384950955567,0.29</t>
  </si>
  <si>
    <t>2025-05-07 12:11:00,,,562,,,555,558.5,,,,,562,555,570,562</t>
  </si>
  <si>
    <t>2025-05-07 12:11:00,490,,485,,470,,480,,,,,485,480,490,470</t>
  </si>
  <si>
    <t>2025-05-07 12:11:00,5700,,5700,,,5700,5610,,,,,5700,5500,5700,5550</t>
  </si>
  <si>
    <t>2025-05-07 12:11:00,,,,19350,19475,,19800,,,,,20000,19350,19400,19300</t>
  </si>
  <si>
    <t>2025-05-07 12:11:00,559124804.066548,5665261701.89686,-1714.23333333333,-1762,-2202.36133333334,-2668.99,16.3016728664604,-677.03</t>
  </si>
  <si>
    <t>2025-05-07 12:11:00,1043107138.64006,1965337082.37939,-1039.75,-1059,-826.632500000003,-975.5,34.0424651640456,-255.87</t>
  </si>
  <si>
    <t>2025-05-07 12:11:00,13898865.1673519,50279373.1181497,-253.716666666667,-391,-3036.05516666667,-3825.71,1.13370646726506,-111</t>
  </si>
  <si>
    <t>2025-05-07 12:11:00,16004859.1629947,-211179.735271803,-1.80394736842105,-3,-57.0468486842105,-118.03,0.00348416819342311,-0.83</t>
  </si>
  <si>
    <t>2025-05-07 12:12:00,,,562,,,555,558.5,,,,,562,555,570,562</t>
  </si>
  <si>
    <t>2025-05-07 12:12:00,490,,485,,470,,480,,,,,485,480,490,470</t>
  </si>
  <si>
    <t>2025-05-07 12:12:00,5700,,5700,,,5700,5610,,,,,5700,5500,5700,5550</t>
  </si>
  <si>
    <t>2025-05-07 12:12:00,,,,19350,19475,,19800,,,,,20000,19350,19400,19300</t>
  </si>
  <si>
    <t>2025-05-07 12:12:00,568040453.458631,5807578298.57953,-454.58333333333,-1286,-2711.40716666666,-3215.84,-4.24032470978658,-822.23</t>
  </si>
  <si>
    <t>2025-05-07 12:12:00,1034479909.2007,1906353823.30024,-3325.5591954023,-6700,-5483.1588697318,-3665.36,-142.246681608814,-1064.56</t>
  </si>
  <si>
    <t>2025-05-07 12:12:00,13819703.6504005,48801864.7556041,-678.385,-282,-11037.34505,-3011.15,-2.22231337273668,-70.85</t>
  </si>
  <si>
    <t>2025-05-07 12:12:00,15762361.3361007,-214830.091760523,-0.93642857142857,-10,-62.6166357142857,-117.54,-0.0031699833394623,-1.03</t>
  </si>
  <si>
    <t>2025-05-07 12:13:00,,,562,,,555,558.5,,,,,562,555,570,562</t>
  </si>
  <si>
    <t>2025-05-07 12:13:00,490,,485,,470,,480,,,,,485,480,490,470</t>
  </si>
  <si>
    <t>2025-05-07 12:13:00,5700,,5700,,,5700,5610,,,,,5700,5500,5700,5550</t>
  </si>
  <si>
    <t>2025-05-07 12:13:00,,,,19350,19475,,19800,,,,,20000,19350,19400,19300</t>
  </si>
  <si>
    <t>2025-05-07 12:13:00,675436368.674865,6448401358.45289,10164.7476190474,2910,29252.9887380946,5301.95,13.7735019684746,1223.2</t>
  </si>
  <si>
    <t>2025-05-07 12:13:00,1100971488.52028,2286182973.88682,-1626.45535714285,-1259,-3590.14504960317,-2636.93,13.3267404981092,-619.57</t>
  </si>
  <si>
    <t>2025-05-07 12:13:00,15790330.4282357,58676888.5072026,-2061.81666666667,-1212,-16973.5366666666,-12137.57,4.37339684421661,-348.19</t>
  </si>
  <si>
    <t>2025-05-07 12:13:00,16873684.2131642,-167158.258717585,-8.67216880341881,-24,-365.47052190171,-872.65,-0.0106035835536289,-6.02</t>
  </si>
  <si>
    <t>2025-05-07 12:14:00,,,562,,,555,558.5,,,,,562,555,570,562</t>
  </si>
  <si>
    <t>2025-05-07 12:14:00,490,,485,,470,,480,,,,,485,480,490,470</t>
  </si>
  <si>
    <t>2025-05-07 12:14:00,5700,,5700,,,5700,5610,,,,,5700,5500,5700,5550</t>
  </si>
  <si>
    <t>2025-05-07 12:14:00,,,,19350,19475,,19800,,,,,20000,19350,19400,19300</t>
  </si>
  <si>
    <t>2025-05-07 12:14:00,634370008.10279,6142985341.25965,-2797.69595959602,-3288,-10484.2156717173,-6012.15,1.31439111727591,-1408.15</t>
  </si>
  <si>
    <t>2025-05-07 12:14:00,1072356648.84594,2080480464.80029,-2742.4,-3889,-3985.07899999999,-5279.07,-14.4448458494947,-1391.76</t>
  </si>
  <si>
    <t>2025-05-07 12:14:00,15598067.1609862,58642214.1464187,-939.194999999998,-932,-9943.10439999993,-10144.52,-2.12637401791185,-271.65</t>
  </si>
  <si>
    <t>2025-05-07 12:14:00,16647626.6889105,-166425.726729711,2.2275493025493,-3,390.341682299182,536.46,0.00648987586542517,2.35</t>
  </si>
  <si>
    <t>2025-05-07 12:15:00,,,562,,,555,558.5,,,,,562,555,570,562</t>
  </si>
  <si>
    <t>2025-05-07 12:15:00,490,,485,,470,,480,,,,,485,480,490,470</t>
  </si>
  <si>
    <t>2025-05-07 12:15:00,5700,,5700,,,5700,5610,,,,,5700,5500,5700,5550</t>
  </si>
  <si>
    <t>2025-05-07 12:15:00,,,,19350,19475,,19800,,,,,20000,19350,19400,19300</t>
  </si>
  <si>
    <t>2025-05-07 12:15:00,598187647.751397,6077892922.8768,2472.97619047619,837,-2734.86133333334,-4508.35,238.801203841319,-1047.08</t>
  </si>
  <si>
    <t>2025-05-07 12:15:00,1058972462.93222,2061208084.78701,-313.651111111108,-2003,-453.66591111111,-1715.49,-108.449087547057,-453.94</t>
  </si>
  <si>
    <t>2025-05-07 12:15:00,14931835.7612399,56166401.6049429,-621.850000000001,-438,-7162.29050000001,-8388.53,-1.46294510126472,-234.19</t>
  </si>
  <si>
    <t>2025-05-07 12:15:00,16496945.0461168,-180309.888309475,7.38944444444444,7,253.634727777777,137.41,0.000249682932699861,1.04</t>
  </si>
  <si>
    <t>2025-05-07 12:16:00,,,562,,,555,558.5,,,,,562,555,570,562</t>
  </si>
  <si>
    <t>2025-05-07 12:16:00,490,,485,,470,,480,,,,,485,480,490,470</t>
  </si>
  <si>
    <t>2025-05-07 12:16:00,5700,,5700,,,5700,5610,,,,,5700,5500,5700,5550</t>
  </si>
  <si>
    <t>2025-05-07 12:16:00,,,,19350,19475,,19800,,,,,20000,19350,19400,19300</t>
  </si>
  <si>
    <t>2025-05-07 12:16:00,628088555.387663,6283372254.11157,1146.52932900434,1456,2553.04115151519,2822.52,38.7374220136427,704.07</t>
  </si>
  <si>
    <t>2025-05-07 12:16:00,1065824800.28235,2104909876.58313,1060.60394265233,399,1683.30878136201,566.22,6.47447208863523,175.14</t>
  </si>
  <si>
    <t>2025-05-07 12:16:00,15648269.4238429,59628639.6180231,249.309999999999,46,4284.4563,655.56,-0.0742014599742967,13.4</t>
  </si>
  <si>
    <t>2025-05-07 12:16:00,17080403.2794835,-155952.684855301,0.490277777777774,0,78.7576388888886,11.3,0.00081931414374874,0.0800000000000001</t>
  </si>
  <si>
    <t>2025-05-07 12:17:00,,,562,,,555,558.5,,,,,562,555,570,562</t>
  </si>
  <si>
    <t>2025-05-07 12:17:00,490,,485,,470,,480,,,,,485,480,490,470</t>
  </si>
  <si>
    <t>2025-05-07 12:17:00,5700,,5700,,,5700,5610,,,,,5700,5500,5700,5550</t>
  </si>
  <si>
    <t>2025-05-07 12:17:00,,,,19350,19475,,19800,,,,,20000,19350,19400,19300</t>
  </si>
  <si>
    <t>2025-05-07 12:17:00,542013384.716206,5740833363.59278,1524.79761904762,1600,2121.94726190475,2665.14,67.4717230945943,730.19</t>
  </si>
  <si>
    <t>2025-05-07 12:17:00,1031731456.46821,2004567036.17222,1262.1,981,1905.005,1565.75,-19.6790719679274,398.76</t>
  </si>
  <si>
    <t>2025-05-07 12:17:00,14327062.0901161,55053779.6145423,252.926666666667,-113,4876.34936666667,2127.63,-0.743637967594561,33.53</t>
  </si>
  <si>
    <t>2025-05-07 12:17:00,16658696.6824721,-192548.598766331,4.10257936507939,2,456.279440476192,369.57,-0.0064187382922656,1.96</t>
  </si>
  <si>
    <t>2025-05-07 12:18:00,,,562,,,555,558.5,,,,,562,555,570,562</t>
  </si>
  <si>
    <t>2025-05-07 12:18:00,490,,485,,470,,480,,,,,485,480,490,470</t>
  </si>
  <si>
    <t>2025-05-07 12:18:00,5700,,5700,,,5700,5610,,,,,5700,5500,5700,5550</t>
  </si>
  <si>
    <t>2025-05-07 12:18:00,,,,19350,19475,,19800,,,,,20000,19350,19400,19300</t>
  </si>
  <si>
    <t>2025-05-07 12:18:00,569145129.504459,5978952874.42622,2039.29912280702,4647,3101.45543421053,7383.13,-102.630619138643,1896.19</t>
  </si>
  <si>
    <t>2025-05-07 12:18:00,1041648530.33076,2063035102.23892,545.447619047628,1135,1964.77280952383,2062.73,-27.4629174587228,521.72</t>
  </si>
  <si>
    <t>2025-05-07 12:18:00,14468535.7514309,56297905.2647801,806.245833333333,846,6312.74487499999,6453.78,0.661568410655132,183.31</t>
  </si>
  <si>
    <t>2025-05-07 12:18:00,17416602.4115118,-183086.054048223,1.88682432432432,-2,204.613006756757,-424.6,-0.00238076063660668,-1.84</t>
  </si>
  <si>
    <t>2025-05-07 12:19:00,,,562,,,555,558.5,,,,,562,555,570,562</t>
  </si>
  <si>
    <t>2025-05-07 12:19:00,490,,485,,470,,480,,,,,485,480,490,470</t>
  </si>
  <si>
    <t>2025-05-07 12:19:00,5700,,5700,,,5700,5610,,,,,5700,5500,5700,5550</t>
  </si>
  <si>
    <t>2025-05-07 12:19:00,,,,19350,19475,,19800,,,,,20000,19350,19400,19300</t>
  </si>
  <si>
    <t>2025-05-07 12:19:00,536176835.691797,5779515648.79093,941.490476190475,890,1617.26452380952,1014.66,-70.3253233102345,289.73</t>
  </si>
  <si>
    <t>2025-05-07 12:19:00,1021193631.54043,1954872002.17356,209.607142857142,264,366.041785714285,495.13,6.61044126121014,140.83</t>
  </si>
  <si>
    <t>2025-05-07 12:19:00,13880984.0937904,53679273.32151,974.466666666664,705,3926.04299999997,3453.28,1.97275161433795,108.76</t>
  </si>
  <si>
    <t>2025-05-07 12:19:00,16259181.4916283,-202299.42734414,5.13174603174602,5,209.780063492063,157.6,0.00625160248019738,1.21</t>
  </si>
  <si>
    <t>2025-05-07 12:21:00,,,562,,,555,558.5,,,,,562,555,570,562</t>
  </si>
  <si>
    <t>2025-05-07 12:21:00,490,,485,,470,,480,,,,,485,480,490,470</t>
  </si>
  <si>
    <t>2025-05-07 12:21:00,5700,,5700,,,5700,5610,,,,,5700,5500,5700,5550</t>
  </si>
  <si>
    <t>2025-05-07 12:21:00,,,,19350,19475,,19925,,,,,20000,19350,19400,19300</t>
  </si>
  <si>
    <t>2025-05-07 12:21:00,409936547.553886,4926543736.856,-4323.12857142857,-4745,-5579.63321428571,-5219.8,286.654265405813,-1567.51</t>
  </si>
  <si>
    <t>2025-05-07 12:21:00,957649084.478747,1604080369.85279,-3105.41166666665,-493,-5205.37056666663,-3094.19,-11.2796749816713,-919.16</t>
  </si>
  <si>
    <t>2025-05-07 12:21:00,12126394.7696265,44839235.4274594,-54.965476190479,130,-486.519702381019,4554.04,-0.745466945256981,89.91</t>
  </si>
  <si>
    <t>2025-05-07 12:21:00,15081405.1865092,-253032.109756566,11.4131720769652,20,81.5172217275057,416.43,0.00162888036729537,3.06</t>
  </si>
  <si>
    <t>2025-05-07 12:22:00,,,562,,,555,558.5,,,,,562,555,570,562</t>
  </si>
  <si>
    <t>2025-05-07 12:22:00,490,,485,,470,,480,,,,,485,480,490,470</t>
  </si>
  <si>
    <t>2025-05-07 12:22:00,5700,,5700,,,5700,5610,,,,,5700,5500,5700,5550</t>
  </si>
  <si>
    <t>2025-05-07 12:22:00,,,,19350,19475,,19800,,,,,20000,19350,19400,19300</t>
  </si>
  <si>
    <t>2025-05-07 12:22:00,433724773.779275,5179832537.07039,-2674.35714285714,404,-4233.51257142857,-2162.24,49.1177960005056,-363.36</t>
  </si>
  <si>
    <t>2025-05-07 12:22:00,964608002.553183,1687471555.05653,1104.43650793651,1007,422.344206349215,-2058.29,23.8274002099516,-233.81</t>
  </si>
  <si>
    <t>2025-05-07 12:22:00,11586041.9441358,41819774.2629953,-848.326666666665,156,-11805.7567999999,-2198.4,-1.12273468026594,-21.18</t>
  </si>
  <si>
    <t>2025-05-07 12:22:00,15021606.7617099,-264383.569244635,-2.93158008658011,3,-112.982094660896,265.28,0.00710735398192381,2.09</t>
  </si>
  <si>
    <t>2025-05-07 12:23:00,,,562,,,555,558.5,,,,,562,555,570,562</t>
  </si>
  <si>
    <t>2025-05-07 12:23:00,490,,485,,470,,480,,,,,485,480,490,470</t>
  </si>
  <si>
    <t>2025-05-07 12:23:00,5700,,5700,,,5700,5610,,,,,5700,5500,5700,5550</t>
  </si>
  <si>
    <t>2025-05-07 12:23:00,,,,19350,19475,,19800,,,,,20000,19350,19400,19300</t>
  </si>
  <si>
    <t>2025-05-07 12:23:00,521587147.865589,5900023761.66268,-2017.05833333334,-1297,-1159.42150000001,-1070.09,2.9996161631013,-243.87</t>
  </si>
  <si>
    <t>2025-05-07 12:23:00,1019388431.21999,1983034954.62205,-1765.33333333333,-904,-3072.39666666666,-1559.56,19.4294080398407,-401.33</t>
  </si>
  <si>
    <t>2025-05-07 12:23:00,12342488.140584,45896434.2323545,107.085000000005,-203,3255.86571666676,-961.75,0.163471872982977,-20.42</t>
  </si>
  <si>
    <t>2025-05-07 12:23:00,15371533.0268067,-250122.835687783,1.26488095238093,-7,-523.626375,-479.77,0.00257253989145077,-3.32</t>
  </si>
  <si>
    <t>2025-05-07 12:24:00,,,562,,,555,558.5,,,,,562,555,570,562</t>
  </si>
  <si>
    <t>2025-05-07 12:24:00,490,,485,,470,,480,,,,,485,480,490,470</t>
  </si>
  <si>
    <t>2025-05-07 12:24:00,5700,,5700,,,5700,5610,,,,,5700,5500,5700,5550</t>
  </si>
  <si>
    <t>2025-05-07 12:24:00,,,,19350,19475,,19925,,,,,20000,19350,19400,19300</t>
  </si>
  <si>
    <t>2025-05-07 12:24:00,552215242.899395,5855368267.54265,-2988.20952380955,-3761,-5967.11500000006,-5992.96,-9.20205384890258,-1402.17</t>
  </si>
  <si>
    <t>2025-05-07 12:24:00,1027804380.36589,1965868715.20677,-1829.72886904761,-1621,-2245.04192261904,-1943.71,33.6426656353619,-478.73</t>
  </si>
  <si>
    <t>2025-05-07 12:24:00,13537842.048833,47118988.3124771,-1439.34285714286,-976,-19809.4123809525,-9761.34,0.591898491021429,-258.66</t>
  </si>
  <si>
    <t>2025-05-07 12:24:00,15439670.4167305,-239441.154814696,-9.23025793650794,-7,-304.944669642857,-265.8,-9.30478185729054E-05,-1.8</t>
  </si>
  <si>
    <t>2025-05-07 12:25:00,,,562,,,555,558.5,,,,,562,555,570,562</t>
  </si>
  <si>
    <t>2025-05-07 12:25:00,490,,485,,470,,480,,,,,485,480,490,470</t>
  </si>
  <si>
    <t>2025-05-07 12:25:00,5700,,5700,,,5700,5610,,,,,5700,5500,5700,5550</t>
  </si>
  <si>
    <t>2025-05-07 12:25:00,,,,19350,19475,,19925,,,,,20000,19350,19400,19300</t>
  </si>
  <si>
    <t>2025-05-07 12:25:00,587111396.145861,5860107445.36828,-4732.8119047619,-5341,-6725.1038095238,-6651.18,158.697365107408,-1712.57</t>
  </si>
  <si>
    <t>2025-05-07 12:25:00,1046810052.34881,2048877226.11596,-3278.75238095241,-2891,-5198.71478571435,-4297.34,-75.7452832749373,-1162.46</t>
  </si>
  <si>
    <t>2025-05-07 12:25:00,14684324.316817,53312029.69164,-377.176666666667,-715,-4680.21823333331,-7935.55,-1.52805356041135,-194.27</t>
  </si>
  <si>
    <t>2025-05-07 12:25:00,16259885.0860535,-208344.771585989,-2.56209235209236,-2,-287.695456132758,-198.32,-0.00232243314705682,-0.96</t>
  </si>
  <si>
    <t>2025-05-07 12:26:00,,,562,,,555,558.5,,,,,562,555,570,562</t>
  </si>
  <si>
    <t>2025-05-07 12:26:00,490,,485,,470,,480,,,,,485,480,490,470</t>
  </si>
  <si>
    <t>2025-05-07 12:26:00,5700,,5700,,,5700,5610,,,,,5700,5500,5700,5550</t>
  </si>
  <si>
    <t>2025-05-07 12:26:00,,,,19350,19475,,19925,,,,,20000,19350,19400,19300</t>
  </si>
  <si>
    <t>2025-05-07 12:26:00,581636355.775428,5919051848.83389,640.333333333334,-479,969.01833333333,300.65,79.279246452339,133.53</t>
  </si>
  <si>
    <t>2025-05-07 12:26:00,1043614191.30731,2008557609.41992,750.096059113302,218,1584.7413546798,654.82,2.29100387359986,157.88</t>
  </si>
  <si>
    <t>2025-05-07 12:26:00,14792483.5531807,56984250.6678184,-155.249999999999,-72,-603.821499999982,-5.05999999999939,-0.146433932897391,6.74999999999999</t>
  </si>
  <si>
    <t>2025-05-07 12:26:00,16211080.4536786,-197010.711461676,2.55398363332574,4,76.5228646863368,76.36,0.00201424813574077,0.79</t>
  </si>
  <si>
    <t>2025-05-07 12:27:00,,,562,,,555,558.5,,,,,562,555,570,562</t>
  </si>
  <si>
    <t>2025-05-07 12:27:00,490,,485,,470,,480,,,,,485,480,490,470</t>
  </si>
  <si>
    <t>2025-05-07 12:27:00,5700,,5700,,,5700,5610,,,,,5700,5500,5700,5550</t>
  </si>
  <si>
    <t>2025-05-07 12:27:00,,,,19350,19475,,19925,,,,,20000,19350,19400,19300</t>
  </si>
  <si>
    <t>2025-05-07 12:27:00,526882461.421535,5521717911.64104,-2584.49047619049,-2699,-3397.32719047622,-3181.53,65.4169892000861,-864.5</t>
  </si>
  <si>
    <t>2025-05-07 12:27:00,1014808795.02432,1864908068.20162,-568.289682539679,-462,-1380.25785714285,-1022.26,36.6182708780596,-242.48</t>
  </si>
  <si>
    <t>2025-05-07 12:27:00,13704785.5623697,49927898.941915,-407.916666666666,-439,-7903.03716666667,-8249.51,0.482563002643443,-174.86</t>
  </si>
  <si>
    <t>2025-05-07 12:27:00,15723572.4798821,-217223.96797081,-3.74103848636744,0,-185.694262312031,-210.78,-0.00176507747851581,-1.32</t>
  </si>
  <si>
    <t>2025-05-07 12:28:00,,,562,,,555,558.5,,,,,562,555,570,562</t>
  </si>
  <si>
    <t>2025-05-07 12:28:00,490,,485,,470,,480,,,,,485,480,490,470</t>
  </si>
  <si>
    <t>2025-05-07 12:28:00,5700,,5700,,,5700,5610,,,,,5700,5500,5700,5550</t>
  </si>
  <si>
    <t>2025-05-07 12:28:00,,,,19350,19475,,19925,,,,,20000,19350,19400,19300</t>
  </si>
  <si>
    <t>2025-05-07 12:28:00,528384091.502939,5520448873.85738,-1773.5,-1354,-2843.11,-2468.41,55.0997661470308,-608.93</t>
  </si>
  <si>
    <t>2025-05-07 12:28:00,1034005752.047,1990949022.8517,-167.916666666667,-361,-345.230833333333,-471.09,-6.84304039912908,-131.21</t>
  </si>
  <si>
    <t>2025-05-07 12:28:00,13833802.4539715,51463080.0950861,-130.95,-147,-2518.56249999999,-2651.73,0.594039404126042,-64.89</t>
  </si>
  <si>
    <t>2025-05-07 12:28:00,16076699.6812774,-207019.795047767,-17.1075465243569,-18,-870.961425492612,-742.85,0.0130042021948492,-5.18</t>
  </si>
  <si>
    <t>2025-05-07 12:29:00,,,562,,,555,558.5,,,,,562,555,570,562</t>
  </si>
  <si>
    <t>2025-05-07 12:29:00,490,,485,,470,,480,,,,,485,480,490,470</t>
  </si>
  <si>
    <t>2025-05-07 12:29:00,5700,,5700,,,5700,5610,,,,,5700,5500,5700,5550</t>
  </si>
  <si>
    <t>2025-05-07 12:29:00,,,,19350,19475,,19925,,,,,20000,19350,19400,19300</t>
  </si>
  <si>
    <t>2025-05-07 12:29:00,508382816.033869,5442381002.69067,1194.71428571429,2031,2013.69309523812,3090.48,-42.1147789929441,800.58</t>
  </si>
  <si>
    <t>2025-05-07 12:29:00,1011571470.45415,1932485460.35753,1213.61309523809,736,1800.53529761905,1058.57,8.53695808662044,290.75</t>
  </si>
  <si>
    <t>2025-05-07 12:29:00,13620302.929622,52218366.8637423,357.533333333332,322,6134.54166666665,4568.29,-0.0323619354677593,102.47</t>
  </si>
  <si>
    <t>2025-05-07 12:29:00,16065101.9548575,-215717.56976869,5.27645833333334,7,238.529139583334,428.99,-0.0027797850617459,2.66</t>
  </si>
  <si>
    <t>2025-05-07 12:30:00,,,562,,,555,558.5,,,,,562,555,570,562</t>
  </si>
  <si>
    <t>2025-05-07 12:30:00,490,,485,,470,,480,,,,,485,480,490,470</t>
  </si>
  <si>
    <t>2025-05-07 12:30:00,5700,,5700,,,5700,5610,,,,,5700,5500,5700,5550</t>
  </si>
  <si>
    <t>2025-05-07 12:30:00,,,,19350,19475,,19925,,,,,20000,19350,19400,19300</t>
  </si>
  <si>
    <t>2025-05-07 12:30:00,533156495.212453,5565265911.1747,-6036.53611111109,-3340,-12765.9699722222,-5735.91,31.2416040106465,-1434.37</t>
  </si>
  <si>
    <t>2025-05-07 12:30:00,1032001894.31046,1989478053.75022,-1869.61111111111,-974,-2729.26944444444,-1041.55,38.4041041966544,-298.92</t>
  </si>
  <si>
    <t>2025-05-07 12:30:00,13876352.9380509,52707817.572034,-614.986666666667,-211,-8836.13613333337,-2418.73,-0.057602159074819,-51.53</t>
  </si>
  <si>
    <t>2025-05-07 12:30:00,16266808.8131396,-220824.898330099,-8.11259157509157,-8,-687.066673534798,-618.75,0.00513802862501141,-3.37</t>
  </si>
  <si>
    <t>2025-05-07 12:31:00,,,562,,,555,558.5,,,,,562,555,570,562</t>
  </si>
  <si>
    <t>2025-05-07 12:31:00,490,,485,,470,,480,,,,,485,480,501,470</t>
  </si>
  <si>
    <t>2025-05-07 12:31:00,5700,,5700,,,5700,5610,,,,,5700,5500,5700,5550</t>
  </si>
  <si>
    <t>2025-05-07 12:31:00,,,,19350,19475,,19925,,,,,20000,19350,19400,19300</t>
  </si>
  <si>
    <t>2025-05-07 12:31:00,523118692.907242,5503537991.34233,-2101.63636363637,-1608,-3448.58045454547,-2307.89,6.56540852710196,-611.75</t>
  </si>
  <si>
    <t>2025-05-07 12:31:00,1023274353.20569,1960683844.3577,-780.619047619046,-6364,-1551.85999999999,-3420.23,-194.51420946124,-1052.53</t>
  </si>
  <si>
    <t>2025-05-07 12:31:00,13483238.297182,50755742.0436248,-64.4500000000012,120,-1559.63216666671,-1924.44,-0.635855016272035,-4.35</t>
  </si>
  <si>
    <t>2025-05-07 12:31:00,15869296.6840578,-218178.25610089,0.55833333333333,2,-1.84883333333353,82.42,-0.00218305830792049,0.56</t>
  </si>
  <si>
    <t>2025-05-07 12:32:00,,,562,,,555,558.5,,,,,562,555,570,562</t>
  </si>
  <si>
    <t>2025-05-07 12:32:00,490,,485,,470,,480,,,,,485,480,501,470</t>
  </si>
  <si>
    <t>2025-05-07 12:32:00,5700,,5700,,,5700,5610,,,,,5700,5500,5700,5550</t>
  </si>
  <si>
    <t>2025-05-07 12:32:00,,,,19350,19475,,19925,,,,,20000,19350,19400,19300</t>
  </si>
  <si>
    <t>2025-05-07 12:32:00,517444003.15094,5510927721.18552,-1520.58095238095,-981,-2563.14452380952,-2440.18,105.240591653262,-573.79</t>
  </si>
  <si>
    <t>2025-05-07 12:32:00,1018640015.84139,1975656129.14126,1219.69404761904,633,-19.4132738095318,-926.02,124.481408865813,-251.18</t>
  </si>
  <si>
    <t>2025-05-07 12:32:00,13144204.7834202,48983535.8470695,-180.150000000002,-353,-772.496333333352,-2308.97,-0.609043493693434,-55.23</t>
  </si>
  <si>
    <t>2025-05-07 12:32:00,15851461.5335594,-224063.061094296,2.40833333333333,-2,13.161,11.41,-0.00185137587173415,-0.00999999999999995</t>
  </si>
  <si>
    <t>2025-05-07 12:33:00,,,562,,,555,558.5,,,,,562,555,570,562</t>
  </si>
  <si>
    <t>2025-05-07 12:33:00,490,,485,,470,,480,,,,,485,480,501,470</t>
  </si>
  <si>
    <t>2025-05-07 12:33:00,5700,,5700,,,5700,5610,,,,,5700,5500,5700,5550</t>
  </si>
  <si>
    <t>2025-05-07 12:33:00,,,,19350,19475,,19925,,,,,20000,19350,19400,19300</t>
  </si>
  <si>
    <t>2025-05-07 12:33:00,448414858.03452,5054183697.98129,-2871.82222222221,-1877,-5688.39577777774,-2959.16,33.9405600726997,-762.59</t>
  </si>
  <si>
    <t>2025-05-07 12:33:00,992788769.127729,1859914146.78706,-517.376190476189,-589,-687.088190476189,-1004.57,-1.1301290732025,-304.23</t>
  </si>
  <si>
    <t>2025-05-07 12:33:00,11748105.4634692,42530504.0514439,11.6666666666625,183,-621.185333333414,8.47000000000052,0.413941881049162,-20.91</t>
  </si>
  <si>
    <t>2025-05-07 12:33:00,15337306.1133499,-252722.341306192,7.27972222222223,32,331.717727777778,810.25,-0.0130503241418261,6.32</t>
  </si>
  <si>
    <t>2025-05-07 12:34:00,,,562,,,555,558.5,,,,,562,555,570,562</t>
  </si>
  <si>
    <t>2025-05-07 12:34:00,490,,485,,470,,480,,,,,485,480,501,470</t>
  </si>
  <si>
    <t>2025-05-07 12:34:00,5700,,5700,,,5700,5610,,,,,5700,5500,5700,5550</t>
  </si>
  <si>
    <t>2025-05-07 12:34:00,,,,19350,19475,,19925,,,,,20000,19350,19400,19300</t>
  </si>
  <si>
    <t>2025-05-07 12:34:00,430024050.590207,4851512656.55725,-1453.35714285714,-414,-2570.11892857141,-1014.35,32.5588543331722,-243.32</t>
  </si>
  <si>
    <t>2025-05-07 12:34:00,979158088.155598,1762879625.00043,477.059523809519,598,-629.506904761917,-490.65,43.5656885104458,-72.33</t>
  </si>
  <si>
    <t>2025-05-07 12:34:00,11430540.0605335,41073311.2482573,348.366666666667,-18,-840.674000000004,-2085.3,0.778012146268087,-43.76</t>
  </si>
  <si>
    <t>2025-05-07 12:34:00,15261383.9224236,-255157.9111515,-3.82847222222223,-11,-222.581298611111,-373.49,0.00351751193583667,-2.8</t>
  </si>
  <si>
    <t>2025-05-07 12:35:00,,,562,,,555,558.5,,,,,562,555,570,562</t>
  </si>
  <si>
    <t>2025-05-07 12:35:00,490,,485,,470,,480,,,,,485,480,485,470</t>
  </si>
  <si>
    <t>2025-05-07 12:35:00,5700,,5700,,,5700,5610,,,,,5700,5500,5700,5550</t>
  </si>
  <si>
    <t>2025-05-07 12:35:00,,,,19350,19475,,19925,,,,,20000,19350,19400,19300</t>
  </si>
  <si>
    <t>2025-05-07 12:35:00,353806504.14892,4359114236.43353,595.07301587302,1765,2172.54209523811,3758.48,-66.2690496579648,803.04</t>
  </si>
  <si>
    <t>2025-05-07 12:35:00,961519416.693615,1718080140.54429,-152.804761904761,-120,-843.767428571427,-1030.31,21.6596704907912,-241.97</t>
  </si>
  <si>
    <t>2025-05-07 12:35:00,10413891.0288953,37113595.3641424,316.087777777777,-108,7083.33524444441,1490.96,2.22084474181075,0.460000000000009</t>
  </si>
  <si>
    <t>2025-05-07 12:35:00,15599668.6818998,-276856.59467279,2.42499999999999,-1,56.3252499999995,159.43,-0.00810085760870626,0.91</t>
  </si>
  <si>
    <t>2025-05-07 12:36:00,,,562,,,555,558.5,,,,560,562,555,570,562</t>
  </si>
  <si>
    <t>2025-05-07 12:36:00,490,,485,,470,,480,,,,,485,480,485,470</t>
  </si>
  <si>
    <t>2025-05-07 12:36:00,5700,,5700,,,5700,5610,,,,,5700,5500,5700,5550</t>
  </si>
  <si>
    <t>2025-05-07 12:36:00,,,,19350,19475,,19925,,,,,20000,19350,19400,19300</t>
  </si>
  <si>
    <t>2025-05-07 12:36:00,267281390.925506,3854484728.57605,-7779.79642857138,-3409,-14758.6239285713,-6863.1,32.0773865292635,-1760.15</t>
  </si>
  <si>
    <t>2025-05-07 12:36:00,919126715.875,1620516904.21921,-279.341414141406,-3343,-1629.73513636362,-2750.44,-69.9933022647679,-783.77</t>
  </si>
  <si>
    <t>2025-05-07 12:36:00,8596456.21629123,29976325.6737491,-325.973333333331,-1104,-4073.7477333333,-11072.85,-0.0550360842621484,-319.54</t>
  </si>
  <si>
    <t>2025-05-07 12:36:00,14768012.4721377,-317140.521750141,100.641978270322,63,3337.84460696185,2076.1,0.0377834549014936,13.13</t>
  </si>
  <si>
    <t>2025-05-07 12:37:00,,,562,,,555,558.5,,,,,562,555,570,562</t>
  </si>
  <si>
    <t>2025-05-07 12:37:00,490,,485,,470,,480,,,,,485,480,485,470</t>
  </si>
  <si>
    <t>2025-05-07 12:37:00,5700,,5700,,,5700,5610,,,,,5700,5500,5700,5550</t>
  </si>
  <si>
    <t>2025-05-07 12:37:00,,,,19350,19475,,19925,,,,,20000,19350,19400,19300</t>
  </si>
  <si>
    <t>2025-05-07 12:37:00,241659612.46593,3506216756.72166,-7331.94047619046,-1687,-10655.9348809524,-4464.82,16.9349790990375,-1377.25</t>
  </si>
  <si>
    <t>2025-05-07 12:37:00,901843125.266158,1523556645.27472,717.31428571429,766,664.964285714298,688.15,39.6435365200816,173.38</t>
  </si>
  <si>
    <t>2025-05-07 12:37:00,8204117.06568738,25614451.279926,2329.6793939394,1188,89525.7409121212,58487.73,-6.72662970607051,876.07</t>
  </si>
  <si>
    <t>2025-05-07 12:37:00,14646110.8932088,-337549.974063327,16.7042539682539,7,36.0193777777752,-1272.15,0.00670166409140629,-3.19</t>
  </si>
  <si>
    <t>2025-05-07 12:38:00,,,562,,,555,558.5,,,,,562,555,570,562</t>
  </si>
  <si>
    <t>2025-05-07 12:38:00,490,,485,,470,,480,,,,,485,480,485,470</t>
  </si>
  <si>
    <t>2025-05-07 12:38:00,5700,,5700,,,5700,5610,,,,,5700,5500,5700,5550</t>
  </si>
  <si>
    <t>2025-05-07 12:38:00,,,,19350,19475,,19925,,,,,20000,19350,19400,19300</t>
  </si>
  <si>
    <t>2025-05-07 12:38:00,240059129.934662,3506948617.62169,652.442568542588,3221,686.22107359312,3470.43,-54.8387716202107,915.73</t>
  </si>
  <si>
    <t>2025-05-07 12:38:00,898004990.819469,1481463555.78787,448.685185185188,1546,969.305555555565,1795.57,-25.1939677912006,437.31</t>
  </si>
  <si>
    <t>2025-05-07 12:38:00,7696869.50853246,20981797.3645558,82.2199999999993,268,883.219933333315,2595.3,0.30919455306585,90.32</t>
  </si>
  <si>
    <t>2025-05-07 12:38:00,14144219.7638695,-359935.412654762,-3.44473143026327,1,-521.14965557647,-117.75,0.0100404093443709,-0.62</t>
  </si>
  <si>
    <t>2025-05-07 12:39:00,,,562,,,555,558.5,,,,,562,555,570,562</t>
  </si>
  <si>
    <t>2025-05-07 12:39:00,490,,485,,470,,480,,,,,485,480,485,470</t>
  </si>
  <si>
    <t>2025-05-07 12:39:00,5700,,5700,,,5700,5610,,,,,5700,5500,5700,5550</t>
  </si>
  <si>
    <t>2025-05-07 12:39:00,,,,19350,19475,,19925,,,,,20000,19350,19400,19300</t>
  </si>
  <si>
    <t>2025-05-07 12:39:00,265717159.187571,3644496913.87373,1667.83030303031,2249,2913.5350909091,3632.37,3.21419213628694,931.07</t>
  </si>
  <si>
    <t>2025-05-07 12:39:00,909397989.747586,1500440657.61851,615.041666666667,1608,1635.49291666667,3567.73,16.5414746392327,878.76</t>
  </si>
  <si>
    <t>2025-05-07 12:39:00,8278136.9531313,23475891.589003,484.798333333334,683,7789.01708333333,8146.99,-0.144335784262756,222.29</t>
  </si>
  <si>
    <t>2025-05-07 12:39:00,14331391.0174093,-346005.697777424,-4.9777995056466,-6,-130.77025319713,-639.6,0.00159555830399372,-2.65</t>
  </si>
  <si>
    <t>2025-05-07 12:40:00,,,562,,,555,558.5,,,,,562,555,570,562</t>
  </si>
  <si>
    <t>2025-05-07 12:40:00,490,,485,,470,,480,,,,,485,480,485,470</t>
  </si>
  <si>
    <t>2025-05-07 12:40:00,5700,,5700,,,5700,5610,,,,,5700,5600,5700,5550</t>
  </si>
  <si>
    <t>2025-05-07 12:40:00,,,,19350,19475,,19925,,,,,20000,19350,19400,19300</t>
  </si>
  <si>
    <t>2025-05-07 12:40:00,215444130.881003,3343638800.60871,4210.6003968254,2664,8039.98692460318,4801.43,-19.7869778244022,1147.8</t>
  </si>
  <si>
    <t>2025-05-07 12:40:00,888978551.055584,1427191397.92105,2545.95714285714,1738,3344.72428571428,2284.71,28.7967889887899,600.85</t>
  </si>
  <si>
    <t>2025-05-07 12:40:00,8003335.13210462,24466712.6713205,3769.27,1716,145830.1033,55971.71,0.309116888958429,940.43</t>
  </si>
  <si>
    <t>2025-05-07 12:40:00,14104815.5294735,-363067.672703329,0.754578754578753,12,-260.646919746919,1090,-0.00879701506834425,5.13</t>
  </si>
  <si>
    <t>2025-05-07 12:41:00,,,562,,,555,558.5,,,,,562,555,570,562</t>
  </si>
  <si>
    <t>2025-05-07 12:41:00,490,,485,,470,,480,,,,,485,480,485,470</t>
  </si>
  <si>
    <t>2025-05-07 12:41:00,5700,,5700,,,5700,5610,,,,,5700,5500,5700,5550</t>
  </si>
  <si>
    <t>2025-05-07 12:41:00,,,,19350,19475,,19925,,,,,20000,19350,19400,19300</t>
  </si>
  <si>
    <t>2025-05-07 12:41:00,235228146.985199,3535729302.55442,17000.8976190477,6574,25837.8017857144,6753.26,113.305878783937,1904</t>
  </si>
  <si>
    <t>2025-05-07 12:41:00,886505793.388991,1361080363.5203,1080.87409812409,778,1667.46777417026,986.58,80.2471194491681,288.3</t>
  </si>
  <si>
    <t>2025-05-07 12:41:00,8398265.64981081,25215796.4400227,-480.433333333327,-1283,-29270.6363333329,-77225.21,-8.24348046015376,-1129.59</t>
  </si>
  <si>
    <t>2025-05-07 12:41:00,13978560.6958584,-359485.471864998,-7.82285714285713,-5,-825.094219047618,-714.72,0.00671577823256748,-3.32</t>
  </si>
  <si>
    <t>2025-05-07 12:42:00,,,562,,,555,558.5,,,,,562,555,570,562</t>
  </si>
  <si>
    <t>2025-05-07 12:42:00,490,,485,,470,,480,,,,,485,480,485,470</t>
  </si>
  <si>
    <t>2025-05-07 12:42:00,5700,,5700,,,5700,5610,,,,,5700,5500,5700,5550</t>
  </si>
  <si>
    <t>2025-05-07 12:42:00,,,,19350,19475,,19925,,,,,20000,19350,19400,19300</t>
  </si>
  <si>
    <t>2025-05-07 12:42:00,294834589.881979,3742492653.69456,-368.738095238094,-438,-261.284999999994,-350.87,133.814901295129,-21.1800000000001</t>
  </si>
  <si>
    <t>2025-05-07 12:42:00,938156848.24603,1633428551.83565,-2148.76190476191,-1422,-3017.39452380953,-1881.78,4.70627052753545,-501.89</t>
  </si>
  <si>
    <t>2025-05-07 12:42:00,8926552.92292611,25987564.0029899,-902.116666666668,-711,-11613.0965,-9137.87,-0.120530268597449,-213.51</t>
  </si>
  <si>
    <t>2025-05-07 12:42:00,14111183.2764166,-349600.736197273,-2.232,-5,-320.18208,-455.68,-0.00232847082958458,-2.24</t>
  </si>
  <si>
    <t>2025-05-07 12:43:00,,,562,,,555,558.5,,,,,562,555,570,562</t>
  </si>
  <si>
    <t>2025-05-07 12:43:00,490,,485,,470,,480,,,,,485,480,485,470</t>
  </si>
  <si>
    <t>2025-05-07 12:43:00,5700,,5700,,,5700,5610,,,,,5700,5500,5700,5550</t>
  </si>
  <si>
    <t>2025-05-07 12:43:00,,,,19350,19475,,19925,,,,,20000,19350,19400,19300</t>
  </si>
  <si>
    <t>2025-05-07 12:43:00,288192863.07548,3755994440.93464,5830.37777777778,5283,9358.6613968254,8200.48,28.0367670817637,2080.59</t>
  </si>
  <si>
    <t>2025-05-07 12:43:00,905465428.668311,1422005386.59233,254.502645502645,89,2592.92256613757,1860.29,65.7297074279061,432.67</t>
  </si>
  <si>
    <t>2025-05-07 12:43:00,9178668.84721795,28705788.1392728,678.458333333331,1070,-19021.4837500001,2111.24,2.09750338626642,156.74</t>
  </si>
  <si>
    <t>2025-05-07 12:43:00,14518297.9446907,-337212.595110304,4.19848484848485,5,142.451712121212,197.04,0.000504306034425327,1.37</t>
  </si>
  <si>
    <t>2025-05-07 12:44:00,,,562,,,555,558.5,,,,,562,555,570,562</t>
  </si>
  <si>
    <t>2025-05-07 12:44:00,490,,485,,470,,480,,,,,485,480,485,470</t>
  </si>
  <si>
    <t>2025-05-07 12:44:00,5700,,5700,,,5700,5610,,,,,5700,5500,5700,5550</t>
  </si>
  <si>
    <t>2025-05-07 12:44:00,,,,19350,19475,,19925,,,,,20000,19350,19400,19300</t>
  </si>
  <si>
    <t>2025-05-07 12:44:00,246119163.838693,3594818467.60224,4800.30714285715,5202,6948.71571428574,7987.68,34.9085382778021,2044.7</t>
  </si>
  <si>
    <t>2025-05-07 12:44:00,882029625.893574,1350586934.31853,905.94176245211,1494,1604.92357854407,2140.44,33.1314375807437,557.69</t>
  </si>
  <si>
    <t>2025-05-07 12:44:00,7883955.34418458,24724881.9738059,424.149999999999,701,11808.7885,11035.84,0.0454317972298604,259.37</t>
  </si>
  <si>
    <t>2025-05-07 12:44:00,14277858.3745815,-362983.228852296,1.15606825282383,4,99.9519668348948,622.6,-0.00224065803734264,2.84</t>
  </si>
  <si>
    <t>2025-05-07 12:45:00,,,562,,,555,558.5,,,,,562,555,570,562</t>
  </si>
  <si>
    <t>2025-05-07 12:45:00,490,,485,,470,,480,,,,,485,480,485,470</t>
  </si>
  <si>
    <t>2025-05-07 12:45:00,5700,,5700,,,5700,5610,,,,,5700,5500,5700,5550</t>
  </si>
  <si>
    <t>2025-05-07 12:45:00,,,,19350,19475,,19925,,,,,20000,19350,19400,19300</t>
  </si>
  <si>
    <t>2025-05-07 12:45:00,251294171.696981,3533022334.60879,1794.40476190476,2417,2405.31666666667,3681.75,-23.5095821789082,973.73</t>
  </si>
  <si>
    <t>2025-05-07 12:45:00,899313267.793893,1434500888.60569,517.444444444444,976,1222.10888888889,2227.11,-3.37289591364353,551.32</t>
  </si>
  <si>
    <t>2025-05-07 12:45:00,8168696.8180645,24913203.4701952,256.366666666667,150,3213.34583333334,3054.69,0.794667488212378,96.62</t>
  </si>
  <si>
    <t>2025-05-07 12:45:00,14234356.9262619,-362069.032822619,-5.35527210884352,-6,-64.8299353741489,-236.8,-0.00205424858588704,-1.51</t>
  </si>
  <si>
    <t>2025-05-07 12:46:00,,,562,,,555,558.5,,,,,562,555,570,562</t>
  </si>
  <si>
    <t>2025-05-07 12:46:00,490,,485,,470,,480,,,,,485,480,485,470</t>
  </si>
  <si>
    <t>2025-05-07 12:46:00,5700,,5700,,,5700,5610,,,,,5700,5500,5700,5550</t>
  </si>
  <si>
    <t>2025-05-07 12:46:00,,,,19350,19475,,19925,,,,,20000,19350,19400,19300</t>
  </si>
  <si>
    <t>2025-05-07 12:46:00,313941627.913848,3871290128.02228,-2273.49999999998,-1845,-3900.82333333328,-2753.11,129.337955912869,-676.75</t>
  </si>
  <si>
    <t>2025-05-07 12:46:00,940669492.931356,1590785768.88573,-785.107407407409,-1204,-1428.79,-1540.86,-49.9170222201755,-369.15</t>
  </si>
  <si>
    <t>2025-05-07 12:46:00,9168537.79589566,26603008.2885908,-890.233333333331,-635,-9250.41933333331,-7184.46,1.47560815338673,-187.05</t>
  </si>
  <si>
    <t>2025-05-07 12:46:00,14339835.6443778,-329484.201940418,-5.49882352941179,-7,-318.176192156865,-270.29,-0.00196228402482975,-1.83</t>
  </si>
  <si>
    <t>2025-05-07 12:47:00,,,562,,,555,558.5,,,,,562,555,570,562</t>
  </si>
  <si>
    <t>2025-05-07 12:47:00,490,,485,,470,,480,,,,,485,480,485,470</t>
  </si>
  <si>
    <t>2025-05-07 12:47:00,5700,,5700,,,5700,5610,,,,,5700,5500,5700,5550</t>
  </si>
  <si>
    <t>2025-05-07 12:47:00,,,,19350,19475,,19925,,,,,20000,19350,19400,19300</t>
  </si>
  <si>
    <t>2025-05-07 12:47:00,313206815.355032,3895153332.54722,-283.766666666667,-1383,-1181.236,-4567.38,-128.163649838196,-991.88</t>
  </si>
  <si>
    <t>2025-05-07 12:47:00,936314155.970397,1575864831.99541,149.585714285715,720,316.427571428573,545.01,31.064510724003,164.38</t>
  </si>
  <si>
    <t>2025-05-07 12:47:00,9390129.60625526,28244092.6910429,-1524.73999999999,-618,-99139.0751999997,-48861.27,1.90145375622555,-677.33</t>
  </si>
  <si>
    <t>2025-05-07 12:47:00,14779828.9263929,-317169.371920283,5.45495449949444,-40,-78.1827588473207,-746.02,-0.0319237511691745,-4.73</t>
  </si>
  <si>
    <t>2025-05-07 12:49:00,,,562,,,555,558.5,,,,,562,555,570,562</t>
  </si>
  <si>
    <t>2025-05-07 12:49:00,490,,485,,470,,480,,,,,485,480,485,470</t>
  </si>
  <si>
    <t>2025-05-07 12:49:00,5700,,5700,,,5700,5610,,,,,5700,5500,5700,5550</t>
  </si>
  <si>
    <t>2025-05-07 12:49:00,,,,19350,19475,,19925,,,,,20000,19350,19400,19300</t>
  </si>
  <si>
    <t>2025-05-07 12:49:00,312241927.052218,3899791390.3155,438.78333333335,924,-1032.81599999997,-8.62000000000002,101.589839223963,62.85</t>
  </si>
  <si>
    <t>2025-05-07 12:49:00,938236695.679293,1591980576.26694,-828.564285714286,-809,-1255.99335714286,-1288.57,-27.0409569174573,-338.01</t>
  </si>
  <si>
    <t>2025-05-07 12:49:00,9648956.13734822,30216610.3441258,-308.359999999997,-260,-4647.62759999994,-2955.99,-1.19147922821649,-80.47</t>
  </si>
  <si>
    <t>2025-05-07 12:49:00,15078746.6201337,-283869.679051888,103.63779577702,140,1231.86298218496,1409.76,0.0920925698539577,12.66</t>
  </si>
  <si>
    <t>2025-05-07 12:50:00,,,562,,,555,558.5,,,,,562,555,570,562</t>
  </si>
  <si>
    <t>2025-05-07 12:50:00,490,,485,,470,,480,,,,,485,480,485,470</t>
  </si>
  <si>
    <t>2025-05-07 12:50:00,5700,,5700,,,5700,5610,,,,,5700,5500,5700,5550</t>
  </si>
  <si>
    <t>2025-05-07 12:50:00,,,,19350,19475,,19925,,,,,20000,19350,19400,19300</t>
  </si>
  <si>
    <t>2025-05-07 12:50:00,326798811.503781,3874443208.84377,4571.29523809527,7133,7743.27238095245,8926.89,-154.633385414911,2315.58</t>
  </si>
  <si>
    <t>2025-05-07 12:50:00,935757762.463047,1530338263.08091,1419.5,920,2139.805,1498.15,-29.9241184891553,411.8</t>
  </si>
  <si>
    <t>2025-05-07 12:50:00,9965160.33343885,32425186.2253769,522.15,565,5390.38050000002,4863.95,-0.302898064946001,136.28</t>
  </si>
  <si>
    <t>2025-05-07 12:50:00,14893322.0081958,-278636.65772148,-5.43690476190477,-15,-29.6209880952382,-272.6,-0.004396342765462,-2.24</t>
  </si>
  <si>
    <t>2025-05-07 12:51:00,,,562,,,555,558.5,,,,,562,555,570,562</t>
  </si>
  <si>
    <t>2025-05-07 12:51:00,490,,485,,470,,480,,,,,485,480,485,470</t>
  </si>
  <si>
    <t>2025-05-07 12:51:00,5700,,5700,,,5700,5610,,,,,5700,5500,5700,5550</t>
  </si>
  <si>
    <t>2025-05-07 12:51:00,,,,19350,19475,,19925,,,,,20000,19350,19400,19300</t>
  </si>
  <si>
    <t>2025-05-07 12:51:00,292944195.340545,3693348259.47837,-1502.71046176046,-374,-4942.44039610388,-3178.08,-39.2787137758348,-703.08</t>
  </si>
  <si>
    <t>2025-05-07 12:51:00,937862173.38871,1610037007.301,-1277.78304597701,-2095,-3429.3621408046,-4034.94,-77.3203179891501,-900.61</t>
  </si>
  <si>
    <t>2025-05-07 12:51:00,8971025.99540646,26218791.2705507,-1120.40142857143,-739,-16842.2265571429,-10840.06,0.928962243782409,-286.29</t>
  </si>
  <si>
    <t>2025-05-07 12:51:00,14960498.3685595,-290245.43192042,4.42307963354475,-2,-91.2956594684384,-199.25,-0.00592276626808938,-1.35</t>
  </si>
  <si>
    <t>2025-05-07 12:52:00,,555,562,,,555,558.5,,,,560,562,555,570,562</t>
  </si>
  <si>
    <t>2025-05-07 12:52:00,490,,485,,470,,480,,,,,485,480,485,470</t>
  </si>
  <si>
    <t>2025-05-07 12:52:00,,5540,5700,,,5700,5610,,,,,5700,5500,5700,5550</t>
  </si>
  <si>
    <t>2025-05-07 12:52:00,,,,19350,19475,,19925,,,,,20000,19350,19400,19300</t>
  </si>
  <si>
    <t>2025-05-07 12:52:00,-52686925.0183293,522130607.386347,-37502.2321362292,-14835,-53422.6240077423,-19006.62,166.967954100748,-5039.16</t>
  </si>
  <si>
    <t>2025-05-07 12:52:00,793030241.886827,668071594.253676,-2002.4412929135,-532,-3721.94571558472,-66.1300000000001,-106.36760336514,-132.2</t>
  </si>
  <si>
    <t>2025-05-07 12:52:00,4079182.40361968,-1207731.51557344,-3985.30661774122,-2145,-77008.673744619,-29147.15,-0.247160576958511,-629.35</t>
  </si>
  <si>
    <t>2025-05-07 12:52:00,13152687.6511718,-391967.924367503,35.7819984924976,36,2053.70952125515,213.54,-0.0290959058315169,2.44</t>
  </si>
  <si>
    <t>2025-05-07 12:53:00,,,562,,,555,558.5,,,559,,562,555,570,562</t>
  </si>
  <si>
    <t>2025-05-07 12:53:00,490,,484,,470,,480,,,,480,485,480,485,470</t>
  </si>
  <si>
    <t>2025-05-07 12:53:00,,5540,5700,,,5700,5610,,,,,5700,5500,5700,5550</t>
  </si>
  <si>
    <t>2025-05-07 12:53:00,,,,19350,19475,,19925,,,,,20000,19350,19400,19300</t>
  </si>
  <si>
    <t>2025-05-07 12:53:00,31292712.0824823,1927251236.12634,143.394372294348,-3191,4751.67421245417,338.91,-219.55059134149,-199.68</t>
  </si>
  <si>
    <t>2025-05-07 12:53:00,795957098.873194,930280758.666617,-1362.49970029971,-1015,-2530.06008491511,-459.96,-206.018738248983,-221</t>
  </si>
  <si>
    <t>2025-05-07 12:53:00,3303784.00171983,-591993.11244538,1429.84448275862,-954,227372.219086207,33428.99,0.0427099778740903,366.23</t>
  </si>
  <si>
    <t>2025-05-07 12:53:00,11955089.9292128,-453842.971551744,50.1959332042227,26,1723.74324156414,672.71,-0.00794465411976898,5.19</t>
  </si>
  <si>
    <t>2025-05-07 12:54:00,,,562,,,555,558.5,,,,559,562,555,570,562</t>
  </si>
  <si>
    <t>2025-05-07 12:54:00,490,,485,,470,,480,,,,,485,480,485,470</t>
  </si>
  <si>
    <t>2025-05-07 12:54:00,,5540,5700,,,5700,5610,,,,,5700,5500,5700,5550</t>
  </si>
  <si>
    <t>2025-05-07 12:54:00,,,,19350,19475,,19925,,,,,20000,19350,19400,19300</t>
  </si>
  <si>
    <t>2025-05-07 12:54:00,7088651.61806913,1358816813.93723,26573.2069042069,16729,25146.3171506271,9570.95,199.383357546747,2696.4</t>
  </si>
  <si>
    <t>2025-05-07 12:54:00,786404506.653447,899218835.039233,13634.6837606838,10358,14516.875940171,10988.51,145.407431611974,2847.04</t>
  </si>
  <si>
    <t>2025-05-07 12:54:00,3249693.31865239,-3579480.37490787,631.440974025972,1050,18806.2878246752,11477.48,0.376827519530405,283.18</t>
  </si>
  <si>
    <t>2025-05-07 12:54:00,11980519.7476201,-455054.166253674,17.0205064161539,30,269.74746179229,1383.18,0.00648874396402036,9.04</t>
  </si>
  <si>
    <t>2025-05-07 12:55:00,,555,562,,,555,558.5,,,,,562,555,570,562</t>
  </si>
  <si>
    <t>2025-05-07 12:55:00,490,,485,,470,,480,,,,,485,480,485,470</t>
  </si>
  <si>
    <t>2025-05-07 12:55:00,,5540,5700,,,5700,5610,,,,,5700,5500,5700,5550</t>
  </si>
  <si>
    <t>2025-05-07 12:55:00,,,,19350,19475,,19925,,,,,20000,19350,19400,19300</t>
  </si>
  <si>
    <t>2025-05-07 12:55:00,-66995298.1586515,824380896.619075,14210.2166666667,5104,28280.1627500003,9151.55,-110.998568879576,2021.88</t>
  </si>
  <si>
    <t>2025-05-07 12:55:00,752860776.736822,663800021.998765,3434.98006993007,3984,4931.75202680653,4793,-41.981092700835,1178.24</t>
  </si>
  <si>
    <t>2025-05-07 12:55:00,2544682.92260575,-6676155.852534,2318.8380952381,1989,24626.0984285716,20890.44,-1.82613027968094,507.36</t>
  </si>
  <si>
    <t>2025-05-07 12:55:00,11102372.4645195,-491515.028962214,6.60084561890099,15,177.956872415729,1411.27,-0.00820578668632676,6.38</t>
  </si>
  <si>
    <t>2025-05-07 12:56:00,,,562,,,555,558.5,,,,,562,555,570,562</t>
  </si>
  <si>
    <t>2025-05-07 12:56:00,490,,485,,470,,480,,,,,485,480,485,470</t>
  </si>
  <si>
    <t>2025-05-07 12:56:00,,5540,5700,,,5700,5610,,,,,5700,5500,5700,5550</t>
  </si>
  <si>
    <t>2025-05-07 12:56:00,,,,19350,19475,,19925,,,,,20000,19350,19400,19300</t>
  </si>
  <si>
    <t>2025-05-07 12:56:00,4829375.32594289,1116303511.32961,-5999.83905228759,-3782,-12806.2869869281,-4266.29,121.331174004421,-830.36</t>
  </si>
  <si>
    <t>2025-05-07 12:56:00,785618717.631721,792205329.261397,-1243.77588245088,-1043,-2255.11666275392,-893.32,-77.3174759907415,-270.23</t>
  </si>
  <si>
    <t>2025-05-07 12:56:00,2622191.20884873,-12993485.1903195,-749.592857142859,-763,-11246.7807857143,-6532.24,4.19590965864148,-152.41</t>
  </si>
  <si>
    <t>2025-05-07 12:56:00,10842318.4808795,-489875.688252368,-20.4580484005196,-21,-1044.15921071073,-688.79,0.0141211480915663,-4.14</t>
  </si>
  <si>
    <t>2025-05-07 12:57:00,,,562,,,555,558.5,,,,,562,555,570,562</t>
  </si>
  <si>
    <t>2025-05-07 12:57:00,490,,485,,470,,480,,,,,485,480,485,470</t>
  </si>
  <si>
    <t>2025-05-07 12:57:00,,5540,5700,,,5700,5610,,,,,5700,5500,5700,5550</t>
  </si>
  <si>
    <t>2025-05-07 12:57:00,,,,19350,19475,,19925,,,,,20000,19350,19400,19300</t>
  </si>
  <si>
    <t>2025-05-07 12:57:00,13321307.4333727,1263393484.00576,,7112,,9288.75,-35.936508392771,2204.9</t>
  </si>
  <si>
    <t>2025-05-07 12:57:00,777728203.177276,745195576.328725,-953.155264180268,-1580,-3952.98116491842,-4844.5,91.755835057787,-1097.27</t>
  </si>
  <si>
    <t>2025-05-07 12:57:00,2611944.06819988,-11822357.659037,-935.508241758242,-1134,-13690.8006593407,-13412.41,0.82683292940498,-331.62</t>
  </si>
  <si>
    <t>2025-05-07 12:57:00,11111101.8729134,-493322.145771604,-20.6128927111536,-18,-852.402138132399,-929,0.00940172499669861,-3.47</t>
  </si>
  <si>
    <t>2025-05-07 12:58:00,,,562,,,555,558.5,,,,,562,555,570,562</t>
  </si>
  <si>
    <t>2025-05-07 12:58:00,490,,485,,470,,480,,,,,485,480,485,470</t>
  </si>
  <si>
    <t>2025-05-07 12:58:00,,5540,5700,,,5700,5610,,,,,5700,5500,5700,5550</t>
  </si>
  <si>
    <t>2025-05-07 12:58:00,,,,19350,19475,,19925,,,,,20000,19350,19400,19300</t>
  </si>
  <si>
    <t>2025-05-07 12:58:00,87959183.9866673,1696155968.35477,2251.24719169719,3055,3695.39350793651,7781.35,70.4208306506572,1985.59</t>
  </si>
  <si>
    <t>2025-05-07 12:58:00,803167257.326164,895778602.394189,-6383.99880952381,-12705,79.6623008658026,-2026.54,141.102846261919,-646.53</t>
  </si>
  <si>
    <t>2025-05-07 12:58:00,3822322.76806139,-5662687.26224552,-56.5041125541128,-591,-1179.6505901876,-8748.28,-1.37499976470486,-188.26</t>
  </si>
  <si>
    <t>2025-05-07 12:58:00,11323588.6054873,-473492.552736089,-51.6873717785483,-33,-538.670228330492,-422.45,0.0198817643033277,-2.64</t>
  </si>
  <si>
    <t>2025-05-07 12:59:00,,,562,,,555,558.5,,,,,562,555,570,562</t>
  </si>
  <si>
    <t>2025-05-07 12:59:00,490,,485,,470,,480,,,,,485,480,485,470</t>
  </si>
  <si>
    <t>2025-05-07 12:59:00,,5540,5700,,,5700,5610,,,,,5700,5500,5700,5550</t>
  </si>
  <si>
    <t>2025-05-07 12:59:00,,,,19350,19475,,19925,,,,,20000,19350,19400,19300</t>
  </si>
  <si>
    <t>2025-05-07 12:59:00,97765643.8532841,1662485164.2885,-5318.56689735702,-1359,-2555.9211060606,-582.940000000001,548.314525242126,-22.7899999999998</t>
  </si>
  <si>
    <t>2025-05-07 12:59:00,826774483.959015,963220072.351207,-20.5431734416281,2460,507.596078880355,2336.25,38.1923175257179,591.86</t>
  </si>
  <si>
    <t>2025-05-07 12:59:00,4184147.68032496,-5955506.83776661,375.172554945055,769,551.484682417575,1133.26,-1.19830502435243,45.27</t>
  </si>
  <si>
    <t>2025-05-07 12:59:00,11789330.3642329,-465592.227646399,8.25730781447812,12,1194.61495218328,1933.56,0.00451916780379741,6.98</t>
  </si>
  <si>
    <t>2025-05-07 13:00:00,,,562,,,555,558.5,,,,,562,555,570,562</t>
  </si>
  <si>
    <t>2025-05-07 13:00:00,490,,485,,470,,480,,,,,490,470,485,483</t>
  </si>
  <si>
    <t>2025-05-07 13:00:00,,5540,5700,,,5700,5610,,,,,5700,5500,5700,5550</t>
  </si>
  <si>
    <t>2025-05-07 13:00:00,,,,19350,19475,,19925,,,,,20000,19350,19400,19300</t>
  </si>
  <si>
    <t>2025-05-07 13:00:00,284080921.493477,4212837865.09778,27958.2636060401,-4448,-5116.35929947301,-6102.68,-600.610490329914,-1314.94</t>
  </si>
  <si>
    <t>2025-05-07 13:00:00,905732305.506532,1662621679.85671,3865.7309273057,21849,565.678161131915,2732.11,-107.930624874726,1138.55</t>
  </si>
  <si>
    <t>2025-05-07 13:00:00,4742866.27846899,7002764.48576055,-606.296850215194,-42,-10247.4330797787,-5367.42,3.17781907443999,-119.51</t>
  </si>
  <si>
    <t>2025-05-07 13:00:00,12752445.9654619,-428039.01546201,-8.55077956718027,-10,-771.366853131883,-963.01,0.00350141436795822,-4.44</t>
  </si>
  <si>
    <t>2025-05-07 13:01:00,,,562,,,555,558.5,,,,,562,555,570,562</t>
  </si>
  <si>
    <t>2025-05-07 13:01:00,490,,485,,470,,480,,,,,490,470,485,483</t>
  </si>
  <si>
    <t>2025-05-07 13:01:00,,5540,5700,,,5700,5610,,,,,5700,5500,5700,5550</t>
  </si>
  <si>
    <t>2025-05-07 13:01:00,,,,19350,19475,,19925,,,,,20000,19350,19400,19300</t>
  </si>
  <si>
    <t>2025-05-07 13:01:00,59085053.5303941,1615954895.78989,-4663.96686507936,-2862,-10666.1783869048,-7756.78,45.5488803352878,-2045.49</t>
  </si>
  <si>
    <t>2025-05-07 13:01:00,799939571.916011,871955797.104261,-1510.24372863978,137,-1817.39935440875,-937.31,-318.493122516606,-276.95</t>
  </si>
  <si>
    <t>2025-05-07 13:01:00,4353141.07265866,-1986494.83753732,559.656934731936,1004,4376.84720920748,7973.61,0.521350343246662,222.47</t>
  </si>
  <si>
    <t>2025-05-07 13:01:00,12004497.1646193,-457118.342113263,-12.5790627455721,-9,-146.128553874277,-154.09,0.0136934711604586,-0.96</t>
  </si>
  <si>
    <t>2025-05-07 13:02:00,,,562,,,555,558.5,,,,,562,555,570,562</t>
  </si>
  <si>
    <t>2025-05-07 13:02:00,490,,485,,470,,480,,,,,490,470,485,483</t>
  </si>
  <si>
    <t>2025-05-07 13:02:00,5700,,5700,,,5700,5610,,,,,5700,5500,5700,5550</t>
  </si>
  <si>
    <t>2025-05-07 13:02:00,,,,19350,19475,,19925,,,,,20000,19350,19400,19300</t>
  </si>
  <si>
    <t>2025-05-07 13:02:00,173345229.243616,2690394178.27953,9424.72193362194,10985,13452.4159077034,12876.68,-98.8756850636768,3381.85</t>
  </si>
  <si>
    <t>2025-05-07 13:02:00,864009604.055053,1322954030.61447,214.984848484843,974,-131.392030303037,-446.84,198.439378572577,16.17</t>
  </si>
  <si>
    <t>2025-05-07 13:02:00,6974918.40795284,15946643.5565714,-511.821818181818,-230,-4430.50825454545,-3660.8,-5.12422735612668,-138.2</t>
  </si>
  <si>
    <t>2025-05-07 13:02:00,13970144.9889861,-370306.430941914,5.69700532809284,8,-41.9951859446051,331.39,0.0140566451991493,1.22</t>
  </si>
  <si>
    <t>2025-05-07 13:03:00,,,562,,,555,558.5,,,,,562,555,570,562</t>
  </si>
  <si>
    <t>2025-05-07 13:03:00,490,,485,,470,,480,,,,,490,470,485,483</t>
  </si>
  <si>
    <t>2025-05-07 13:03:00,,5540,5700,,,5700,5610,,,,,5700,5500,5700,5550</t>
  </si>
  <si>
    <t>2025-05-07 13:03:00,,,,19350,19475,,19925,,,,,20000,19350,19400,19300</t>
  </si>
  <si>
    <t>2025-05-07 13:03:00,9762248.28891803,1010945858.30332,-867.988997114005,-1567,-6222.51055916307,-1785.17,5.85809222554632,-126.49</t>
  </si>
  <si>
    <t>2025-05-07 13:03:00,788978952.475318,824326421.62384,-1220.94761904762,-1215,-902.461857142858,628.63,-36.4627397198207,92.68</t>
  </si>
  <si>
    <t>2025-05-07 13:03:00,5118596.91970961,951390.917733151,-1196.85238095238,-1411,-11222.1579047619,-9971.59,1.42747161456409,-270.76</t>
  </si>
  <si>
    <t>2025-05-07 13:03:00,12580661.2194905,-424717.584696594,0.902141950273765,0,23.5255010489262,379.74,0.0116882266347701,1.58</t>
  </si>
  <si>
    <t>2025-05-07 13:04:00,,,562,,,555,558.5,,,,,562,555,570,562</t>
  </si>
  <si>
    <t>2025-05-07 13:04:00,490,,485,,470,,480,,,,,490,470,485,483</t>
  </si>
  <si>
    <t>2025-05-07 13:04:00,,5540,5700,,,5700,5610,,,,,5700,5500,5700,5550</t>
  </si>
  <si>
    <t>2025-05-07 13:04:00,,,,19350,19475,,19925,,,,,20000,19350,19400,19300</t>
  </si>
  <si>
    <t>2025-05-07 13:04:00,57509867.8165944,1971014745.04544,6129.33852813848,3746,8029.92657575748,5548.16,-103.321916237604,1445.99</t>
  </si>
  <si>
    <t>2025-05-07 13:04:00,787879839.012631,956767991.468326,1347.56298003072,1643,256.932949308755,1777.73,-119.474475222989,518.15</t>
  </si>
  <si>
    <t>2025-05-07 13:04:00,4465024.10427845,2645583.23478043,1049.51252525252,920,10108.8589656566,9491.14,-0.523532724690371,258.23</t>
  </si>
  <si>
    <t>2025-05-07 13:04:00,11881169.8036488,-444741.508505573,4.32085231193927,7,109.698836231884,381.13,-0.000660516716960924,2.51</t>
  </si>
  <si>
    <t>2025-05-07 13:05:00,,555,562,,,555,558.5,,,,,562,555,570,562</t>
  </si>
  <si>
    <t>2025-05-07 13:05:00,490,,485,,470,,480,,,,480,490,470,485,483</t>
  </si>
  <si>
    <t>2025-05-07 13:05:00,,5540,5650,,,5700,5610,,,,,5700,5500,5700,5550</t>
  </si>
  <si>
    <t>2025-05-07 13:05:00,,,,19350,19475,,19925,,,,,20000,19350,19400,19300</t>
  </si>
  <si>
    <t>2025-05-07 13:05:00,-99027505.4196046,847784941.365525,-7116.29476911977,-4990,-14386.9317792208,-4324.48,-136.739103978408,-1447.24</t>
  </si>
  <si>
    <t>2025-05-07 13:05:00,727781258.019583,633284589.587067,-113.799468989795,-1898,-800.074149049883,-4312.33,-9.54452225334295,-1000.11</t>
  </si>
  <si>
    <t>2025-05-07 13:05:00,1538794.5520354,-11195941.5139863,975.446388888891,884,5316.51275833338,3959.09,3.00591470719776,119.2</t>
  </si>
  <si>
    <t>2025-05-07 13:05:00,10502525.7129899,-550392.750782772,42.5343256866191,119,883.057728696701,1369.94,-0.0299168388136412,10.16</t>
  </si>
  <si>
    <t>2025-05-07 13:06:00,,555,,555,,555,558.5,,,,558,562,555,570,562</t>
  </si>
  <si>
    <t>2025-05-07 13:06:00,490,,,480,470,,480,,,,,490,470,485,483</t>
  </si>
  <si>
    <t>2025-05-07 13:06:00,,5540,,5600,,5700,5610,,,,5600,5700,5500,5700,5550</t>
  </si>
  <si>
    <t>2025-05-07 13:06:00,,,,19350,19475,,19925,,,,,20000,19350,19400,19300</t>
  </si>
  <si>
    <t>2025-05-07 13:06:00,-424585553.343508,-2049032671.31989,-5793.09128889153,-10226,-28664.3804330147,-2172.26,385.237565940405,-771.64</t>
  </si>
  <si>
    <t>2025-05-07 13:06:00,556784938.916398,-521872155.372048,6090.6238200975,8383,3238.94594122252,11842.76,-40.4775609512174,2944.35</t>
  </si>
  <si>
    <t>2025-05-07 13:06:00,-4664226.1599779,-49831431.2199546,3959.75674603176,1406,22415.9775436511,-141.290000000002,2.49718107595685,80.3</t>
  </si>
  <si>
    <t>2025-05-07 13:06:00,6933974.6470547,-763366.836347018,67.1948127900684,95,1872.52094441396,6793.91,-0.0679116441217766,38.5</t>
  </si>
  <si>
    <t>2025-05-07 13:07:00,,555,,555,,555,558.5,,,,,562,555,570,562</t>
  </si>
  <si>
    <t>2025-05-07 13:07:00,490,,485,,470,,480,,,478,,490,470,485,483</t>
  </si>
  <si>
    <t>2025-05-07 13:07:00,,5540,,5600,,5700,5610,,,5600,,5700,5500,5700,5550</t>
  </si>
  <si>
    <t>2025-05-07 13:07:00,,,,19350,19475,,19925,,,,,20000,19350,19400,19300</t>
  </si>
  <si>
    <t>2025-05-07 13:07:00,-371965465.901691,-1339217426.09843,-4870.02243728497,-6008,-10897.3611342963,-310.540000000001,-511.639261061108,-24.68</t>
  </si>
  <si>
    <t>2025-05-07 13:07:00,582151178.81039,-193038371.312059,-12259.4896024063,-11045,-26465.0851141043,-15681.64,137.453780254335,-3487.63</t>
  </si>
  <si>
    <t>2025-05-07 13:07:00,-5499840.23779414,-50846229.1806386,-6777.34014438742,-2863,-121657.761291668,-30580.81,8.64746016398208,-714.21</t>
  </si>
  <si>
    <t>2025-05-07 13:07:00,5275511.55545679,-827274.79343955,-98.7965316907755,-76,-8434.49726256981,-5227.65,0.0283316514172959,-24.12</t>
  </si>
  <si>
    <t>2025-05-07 13:08:00,,555,,555,,555,558.5,,,,557,562,555,570,562</t>
  </si>
  <si>
    <t>2025-05-07 13:08:00,490,,,475,470,,480,,,,477,490,470,485,483</t>
  </si>
  <si>
    <t>2025-05-07 13:08:00,,5540,,5550,,5700,5610,,,,,5700,5500,5700,5550</t>
  </si>
  <si>
    <t>2025-05-07 13:08:00,,,,19350,19475,,19925,,,,,20000,19350,19400,19300</t>
  </si>
  <si>
    <t>2025-05-07 13:08:00,-560197019.622084,-3054729047.12654,-3492.70631894986,-2647,-8256.16111667361,3018.67,308.711402327872,205.12</t>
  </si>
  <si>
    <t>2025-05-07 13:08:00,493110568.823849,-750090133.284844,5134.42460242459,7125,5102.20310441807,11762.79,44.0283096119248,2775.4</t>
  </si>
  <si>
    <t>2025-05-07 13:08:00,-8321122.73711327,-62814356.1553412,850.044047619046,2285,23488.2568253968,27523.01,-9.16344309943199,572.79</t>
  </si>
  <si>
    <t>2025-05-07 13:08:00,3708657.2729776,-911037.442031201,14.1297404311562,47,-75.6240433929074,704.47,-0.0176745305190481,4.99</t>
  </si>
  <si>
    <t>2025-05-07 13:09:00,,555,,555,,555,558.5,,,,,562,555,570,562</t>
  </si>
  <si>
    <t>2025-05-07 13:09:00,490,,,475,470,,480,,,,477,490,470,485,483</t>
  </si>
  <si>
    <t>2025-05-07 13:09:00,,5540,,5550,,5700,5610,,,,,5700,5500,5700,5550</t>
  </si>
  <si>
    <t>2025-05-07 13:09:00,,,,19350,19475,,19925,,,,,20000,19350,19400,19300</t>
  </si>
  <si>
    <t>2025-05-07 13:09:00,-586520574.889981,-3566007971.69551,-9168.11944444444,-5268,-22123.332017094,-8559.62,-159.045172786134,-1927.44</t>
  </si>
  <si>
    <t>2025-05-07 13:09:00,473403576.160059,-932716130.396062,-6019.22412758381,-4751,-13844.2353285003,-7436.09,94.0030783428603,-1874.23</t>
  </si>
  <si>
    <t>2025-05-07 13:09:00,-8944550.79874603,-69194413.2918491,-1818.44416666666,-2718,-35773.0551416666,-26265.86,4.59005187751817,-598.17</t>
  </si>
  <si>
    <t>2025-05-07 13:09:00,3040445.16389689,-901544.805896204,69.440200741336,-25,-892.721828576365,-58.44,-0.0042425167169254,-0.899999999999999</t>
  </si>
  <si>
    <t>2025-05-07 13:10:00,,555,,555,,555,558.5,,,,,562,555,570,562</t>
  </si>
  <si>
    <t>2025-05-07 13:10:00,490,,,475,470,,480,,,,,490,470,485,483</t>
  </si>
  <si>
    <t>2025-05-07 13:10:00,,5540,,5550,,5700,5610,,,,,5700,5500,5700,5550</t>
  </si>
  <si>
    <t>2025-05-07 13:10:00,,,,19350,19475,,19925,,,,,20000,19350,19400,19300</t>
  </si>
  <si>
    <t>2025-05-07 13:10:00,-589431060.886936,-3905914835.8025,12029.9628374443,12385,11483.1511370968,19500.13,-300.556647954521,4433.72</t>
  </si>
  <si>
    <t>2025-05-07 13:10:00,519317398.617836,-861369144.91963,5632.38258580224,4383,7848.02193083821,9613.86,-126.715639326069,2309.59</t>
  </si>
  <si>
    <t>2025-05-07 13:10:00,-8370354.9106066,-71806745.2778354,2531.56861111111,2472,19600.3923805556,21320.52,0.692446898291296,610.48</t>
  </si>
  <si>
    <t>2025-05-07 13:10:00,3628286.47367107,-878584.305674229,3.09997354583265,16,-2137.84784765251,-1114.56,0.0440739213138748,-5.55</t>
  </si>
  <si>
    <t>2025-05-07 13:11:00,,555,,555,,555,558.5,,,,,562,555,570,562</t>
  </si>
  <si>
    <t>2025-05-07 13:11:00,490,,,475,470,,480,,,,,490,470,485,483</t>
  </si>
  <si>
    <t>2025-05-07 13:11:00,,5540,,5550,,5700,5610,,,,,5700,5500,5700,5550</t>
  </si>
  <si>
    <t>2025-05-07 13:11:00,,,,19350,19475,,19925,,,,,20000,19350,19400,19300</t>
  </si>
  <si>
    <t>2025-05-07 13:11:00,-570987381.80038,-3813449462.83327,17963.4192912093,22561,32116.3774527394,40685.66,-351.088306626649,8809.81</t>
  </si>
  <si>
    <t>2025-05-07 13:11:00,520941915.140366,-874145924.26996,13517.0754256458,10389,20306.1665130868,13405.94,91.2417280197653,3445.55</t>
  </si>
  <si>
    <t>2025-05-07 13:11:00,-7726794.82729849,-65710104.1947435,793.890277777779,450,11923.9834583334,-2195.28,5.88579801572268,-87.56</t>
  </si>
  <si>
    <t>2025-05-07 13:11:00,4272641.77244504,-853842.419248899,91.3063443144402,226,1456.13354300345,1705.37,0.00515763655071108,14.12</t>
  </si>
  <si>
    <t>2025-05-07 13:12:00,,555,,555,,555,558.5,,,,,562,555,565,562</t>
  </si>
  <si>
    <t>2025-05-07 13:12:00,490,,,475,470,,480,,,,,490,470,485,483</t>
  </si>
  <si>
    <t>2025-05-07 13:12:00,,5540,,5600,,5700,5610,,,,,5700,5500,5700,5550</t>
  </si>
  <si>
    <t>2025-05-07 13:12:00,,,,19350,19475,,19925,,,,,20000,19350,19400,19300</t>
  </si>
  <si>
    <t>2025-05-07 13:12:00,-565594126.473973,-3917319617.0416,-6953.62222222222,-7450,-11479.3952380952,-7225.62,201.427336832519,-1881.84</t>
  </si>
  <si>
    <t>2025-05-07 13:12:00,496178897.044174,-941348287.181955,-1013.83638583639,-1966,-3975.3648983696,-3446.51,-1.22008668314231,-685</t>
  </si>
  <si>
    <t>2025-05-07 13:12:00,-8519383.42778542,-75294987.9408683,-403.169206349207,68,-12698.3745920635,-5324.87,2.3460983116192,-73.48</t>
  </si>
  <si>
    <t>2025-05-07 13:12:00,3116758.67714989,-874938.518976888,14.4103670412556,-62,-2982.36919773725,-3092.35,0.0277129564640489,-11.95</t>
  </si>
  <si>
    <t>2025-05-07 13:13:00,,555,,555,,555,558.5,,,,,562,555,565,562</t>
  </si>
  <si>
    <t>2025-05-07 13:13:00,490,,,475,470,,480,,,,,490,470,485,483</t>
  </si>
  <si>
    <t>2025-05-07 13:13:00,,5540,,5550,,5700,5610,,,,,5700,5500,5700,5550</t>
  </si>
  <si>
    <t>2025-05-07 13:13:00,,,,19350,19475,,19925,,,,,20000,19350,19400,19300</t>
  </si>
  <si>
    <t>2025-05-07 13:13:00,-537984554.543036,-3603699743.25771,-10164.6359029859,-19434,-4136.26867332667,-3487.36,-111.873070872093,-1222.62</t>
  </si>
  <si>
    <t>2025-05-07 13:13:00,506451289.401491,-805040717.317476,-1280.2439129498,-2229,-3637.67245545141,-3568.16,-1.0930765868687,-880.94</t>
  </si>
  <si>
    <t>2025-05-07 13:13:00,-8150325.5454853,-69735206.8308232,-1212.52583333333,-1328,-15067.0303440476,-11164.22,1.51663351219883,-335.07</t>
  </si>
  <si>
    <t>2025-05-07 13:13:00,3660028.24808144,-855465.545323558,40.9665123765124,50,198.412395948496,528.62,0.0129128054640342,4</t>
  </si>
  <si>
    <t>2025-05-07 13:14:00,,555,,555,,555,558.5,,,,,562,555,565,562</t>
  </si>
  <si>
    <t>2025-05-07 13:14:00,490,,,475,470,,480,,,,,490,470,485,483</t>
  </si>
  <si>
    <t>2025-05-07 13:14:00,,5540,,5550,,5700,5610,,,,,5700,5500,5700,5550</t>
  </si>
  <si>
    <t>2025-05-07 13:14:00,,,,19350,19475,,19925,,,,,20000,19350,19400,19300</t>
  </si>
  <si>
    <t>2025-05-07 13:14:00,-587814691.71686,-4044393068.15909,3267.72244699745,-508,964.428872904877,238.78,-116.933801122185,93.5399999999999</t>
  </si>
  <si>
    <t>2025-05-07 13:14:00,492576199.61776,-893716288.428883,533.948051948051,690,-693.845584415584,1313.61,-38.2537278480735,324.01</t>
  </si>
  <si>
    <t>2025-05-07 13:14:00,-8869587.2524293,-73219591.5158824,202.888095238094,227,12773.5243095238,25891.01,-3.81890088377898,416.56</t>
  </si>
  <si>
    <t>2025-05-07 13:14:00,4037738.73325663,-859957.644063328,9.95482456140351,7,-21.0501929824562,-64.05,0.0104504470488216,-0.35</t>
  </si>
  <si>
    <t>2025-05-07 13:16:00,,555,,555,,555,558.5,,,,,562,555,565,562</t>
  </si>
  <si>
    <t>2025-05-07 13:16:00,490,,,475,470,,480,,,477,,490,470,485,483</t>
  </si>
  <si>
    <t>2025-05-07 13:16:00,,5540,,5550,,5700,5610,,,,,5700,5500,5600,5550</t>
  </si>
  <si>
    <t>2025-05-07 13:16:00,,,,19350,19475,,19925,,,,,20000,19350,19400,19300</t>
  </si>
  <si>
    <t>2025-05-07 13:16:00,-589793685.788771,-4012675290.41348,10215.6081585082,10212,11819.2173310024,16971.64,-117.859142112935,4353.92</t>
  </si>
  <si>
    <t>2025-05-07 13:16:00,498459305.385175,-1117016528.13875,-174.653918449969,1102,-145.215489586516,2351.21,1.64820371236713,563.19</t>
  </si>
  <si>
    <t>2025-05-07 13:16:00,-9332225.53816416,-77746760.8483706,1905.33952380952,1520,25420.4630761904,22632.47,-6.78093209435098,600.84</t>
  </si>
  <si>
    <t>2025-05-07 13:16:00,3046423.70920419,-891216.059266251,8.81202067963335,3,350.728535711034,166.94,0.00936198925248137,0.57</t>
  </si>
  <si>
    <t>2025-05-07 13:17:00,,555,,555,,555,558.5,,,,556,562,555,565,562</t>
  </si>
  <si>
    <t>2025-05-07 13:17:00,490,,,475,470,,480,,,,477,490,470,485,483</t>
  </si>
  <si>
    <t>2025-05-07 13:17:00,,5540,,5550,,5700,5610,,,,,5700,5500,5600,5550</t>
  </si>
  <si>
    <t>2025-05-07 13:17:00,,,,19350,19475,,19925,,,,,20000,19350,19400,19300</t>
  </si>
  <si>
    <t>2025-05-07 13:17:00,-608373265.554199,-4135717222.65027,-12941.4898157398,-15271,-21699.7324077589,-15861.32,104.923490350703,-4142.05</t>
  </si>
  <si>
    <t>2025-05-07 13:17:00,471038496.707449,-975383519.357442,710.078806348088,1713,-2765.93673148576,-1820.37,154.600072303895,-154.97</t>
  </si>
  <si>
    <t>2025-05-07 13:17:00,-10367602.2534859,-81907154.635508,549.81071428571,1095,23656.9874047618,23122.19,-1.40678033142281,326.55</t>
  </si>
  <si>
    <t>2025-05-07 13:17:00,2547891.60849037,-921348.494287219,-19.0193224083751,-30,-3624.3314278828,-3916.48,0.0092918389419781,-14.63</t>
  </si>
  <si>
    <t>2025-05-07 13:18:00,,555,,555,,555,558.5,,,,,562,555,565,562</t>
  </si>
  <si>
    <t>2025-05-07 13:18:00,490,,,475,470,,480,,478,,,490,470,485,483</t>
  </si>
  <si>
    <t>2025-05-07 13:18:00,,5540,,5550,,5700,5610,,,,,5700,5500,5600,5550</t>
  </si>
  <si>
    <t>2025-05-07 13:18:00,,,,19350,19475,,19925,,,,,20000,19350,19400,19300</t>
  </si>
  <si>
    <t>2025-05-07 13:18:00,-439747086.512256,-2194129276.15181,1387.9717893218,1043,-906.134929292898,1641.71,81.48633069981,455.12</t>
  </si>
  <si>
    <t>2025-05-07 13:18:00,543814407.82986,-492470469.307576,629.796762241591,980,276.461006294473,737.63,58.2455451976515,183.99</t>
  </si>
  <si>
    <t>2025-05-07 13:18:00,-7756034.04396911,-65888993.7874471,132.722619047619,-556,-4318.74452380953,-2344.57,-4.40410104800966,-65.08</t>
  </si>
  <si>
    <t>2025-05-07 13:18:00,3591461.12767985,-856062.92605011,-23.3126236315439,-7,-1862.95979564326,-765.61,0.00365590679946753,-3.28</t>
  </si>
  <si>
    <t>2025-05-07 13:19:00,,555,,555,,555,558.5,,,,,562,555,565,562</t>
  </si>
  <si>
    <t>2025-05-07 13:19:00,490,,,475,470,,480,,,,,490,470,485,483</t>
  </si>
  <si>
    <t>2025-05-07 13:19:00,,5540,,5550,,5700,5610,,,,,5700,5500,5600,5550</t>
  </si>
  <si>
    <t>2025-05-07 13:19:00,,,,19350,19475,,19925,,,,,20000,19350,19400,19300</t>
  </si>
  <si>
    <t>2025-05-07 13:19:00,-582013469.020641,-4101941737.94393,7689.65396825404,6291,12119.0157619049,10909.75,53.566823407267,2698.14</t>
  </si>
  <si>
    <t>2025-05-07 13:19:00,500001825.97896,-1013710968.61972,2292.64158157221,3121,2352.55850578758,4511.53,14.2855564162719,1246.25</t>
  </si>
  <si>
    <t>2025-05-07 13:19:00,-8200257.62220687,-70625767.6084388,661.639104554868,-148,6803.51749767086,1800.83,1.80707403490023,36.49</t>
  </si>
  <si>
    <t>2025-05-07 13:19:00,3523682.06680568,-859871.519841148,7.46011653724606,-2,596.231283802293,-39.89,0.0044181863023038,-0.4</t>
  </si>
  <si>
    <t>2025-05-07 13:20:00,,555,,555,,555,558.5,,,,,562,555,565,562</t>
  </si>
  <si>
    <t>2025-05-07 13:20:00,490,,,475,470,,480,,,,,490,470,485,483</t>
  </si>
  <si>
    <t>2025-05-07 13:20:00,,5540,,5550,,5700,5610,,,,,5700,5500,5600,5550</t>
  </si>
  <si>
    <t>2025-05-07 13:20:00,,,,19350,19475,,19925,,,,,20000,19350,19400,19300</t>
  </si>
  <si>
    <t>2025-05-07 13:20:00,-415009143.929944,-2063173938.66085,3270.01243756245,2102,6590.21218548121,4509.07,-35.6649118565256,1070.06</t>
  </si>
  <si>
    <t>2025-05-07 13:20:00,582239806.171608,-247683631.194916,-3624.48458485959,-2523,-6469.41925641026,-3631.82,41.8841048190658,-845.87</t>
  </si>
  <si>
    <t>2025-05-07 13:20:00,-6992214.33413741,-60585497.0184212,-450.448795681065,-116,-8710.38798380401,-3012.18,0.985763239418189,-64.01</t>
  </si>
  <si>
    <t>2025-05-07 13:20:00,4623660.8442997,-798104.776853397,12.2622434067115,17,-38.0867567467992,41.94,0.014207880267375,0.55</t>
  </si>
  <si>
    <t>2025-05-07 13:21:00,,555,,555,,555,558.5,,,,,562,555,565,562</t>
  </si>
  <si>
    <t>2025-05-07 13:21:00,490,,485,,470,,480,,479,,,490,470,485,483</t>
  </si>
  <si>
    <t>2025-05-07 13:21:00,,5540,5650,,,5700,5610,,,,,5700,5500,5600,5550</t>
  </si>
  <si>
    <t>2025-05-07 13:21:00,,,,19350,19475,,19925,,,,,20000,19350,19400,19300</t>
  </si>
  <si>
    <t>2025-05-07 13:21:00,-340239997.261737,-1611913664.42968,-3187.96987179487,734,-4796.96316849818,-926.029999999998,161.674989190329,-297.88</t>
  </si>
  <si>
    <t>2025-05-07 13:21:00,610503609.539912,-228757291.046074,-3134.1702020202,-5555,-5855.41224242424,-9222.19,-59.7030378215862,-2202.94</t>
  </si>
  <si>
    <t>2025-05-07 13:21:00,-3684708.70944535,-43915964.3153316,-1482.6244047619,-1088,-28793.333267857,-12392.83,-0.230451440303477,-293.01</t>
  </si>
  <si>
    <t>2025-05-07 13:21:00,6104300.61056466,-703847.919169513,-26.7366141769761,-30,-1177.74780854096,-1164.88,-0.0066117993221726,-7.22</t>
  </si>
  <si>
    <t>2025-05-07 13:22:00,,555,,555,,555,558.5,557,,,,562,555,565,562</t>
  </si>
  <si>
    <t>2025-05-07 13:22:00,490,,,475,470,,480,,,,,490,470,485,483</t>
  </si>
  <si>
    <t>2025-05-07 13:22:00,,5540,,5550,,5700,5610,,,,,5700,5500,5600,5550</t>
  </si>
  <si>
    <t>2025-05-07 13:22:00,,,,19350,19475,,19925,,,,,20000,19350,19400,19300</t>
  </si>
  <si>
    <t>2025-05-07 13:22:00,-404695012.825902,-1893713972.85998,-5409.04120879117,-2216,-7033.60930402922,-1155.05,-13.2301853708801,-640.8</t>
  </si>
  <si>
    <t>2025-05-07 13:22:00,553002668.844976,-511912583.571319,-14740.0201308495,-7621,-16822.9922136795,-5016.12,-88.4647953609378,-2216.57</t>
  </si>
  <si>
    <t>2025-05-07 13:22:00,-6138897.94534674,-51066617.3270984,-391.632738095238,-678,6641.88642261905,-5476.12,-1.44237406076058,-192.03</t>
  </si>
  <si>
    <t>2025-05-07 13:22:00,5608286.340118,-751513.235588119,71.0612123321732,50,3907.16730815662,2231.94,0.013100785202831,12.88</t>
  </si>
  <si>
    <t>2025-05-07 13:23:00,,555,,555,,555,558.5,,,,,562,555,565,562</t>
  </si>
  <si>
    <t>2025-05-07 13:23:00,490,,485,,470,,480,,,,,490,470,485,483</t>
  </si>
  <si>
    <t>2025-05-07 13:23:00,,5540,5650,,,5700,5610,,,,,5700,5500,5600,5550</t>
  </si>
  <si>
    <t>2025-05-07 13:23:00,,,,19350,19475,,19925,,,,,20000,19350,19400,19300</t>
  </si>
  <si>
    <t>2025-05-07 13:23:00,-351591918.100876,-1455980693.52779,6475.68528138528,7515,4083.30277922077,7926.3,19.8054225564649,2119.38</t>
  </si>
  <si>
    <t>2025-05-07 13:23:00,603765964.823189,-218122415.694374,1472.36724619467,1840,3034.83035923754,3492.3,54.2800979600757,961.01</t>
  </si>
  <si>
    <t>2025-05-07 13:23:00,-3989550.56755521,-39869854.6143066,809.261904761903,651,4410.17709523801,5322.93,-1.38427989951748,153.6</t>
  </si>
  <si>
    <t>2025-05-07 13:23:00,6059420.19813267,-699478.16301418,-0.774999999999966,14,540.306277777781,846.79,0.0256714379712757,5.45</t>
  </si>
  <si>
    <t>2025-05-07 13:24:00,,555,,555,,555,558.5,,,,,562,555,565,562</t>
  </si>
  <si>
    <t>2025-05-07 13:24:00,490,,485,,470,,480,,,,,490,470,485,483</t>
  </si>
  <si>
    <t>2025-05-07 13:24:00,,5540,5650,,,5700,5610,,,,,5700,5500,5600,5550</t>
  </si>
  <si>
    <t>2025-05-07 13:24:00,,,,19350,19475,,19925,,,,,20000,19350,19400,19300</t>
  </si>
  <si>
    <t>2025-05-07 13:24:00,-301989115.725602,-928484453.457542,3340.41666666669,2191,1505.70123737378,2046.02,7.26457892753205,715.81</t>
  </si>
  <si>
    <t>2025-05-07 13:24:00,611919551.322039,-108138022.857896,-1894.79696969697,-547,-5999.54687878786,-3568.64,-0.0360878912520697,-716.71</t>
  </si>
  <si>
    <t>2025-05-07 13:24:00,-3839561.11125137,-39732837.8702881,381.726785714288,740,4319.21158928577,8540.3,-0.68317450539993,235.06</t>
  </si>
  <si>
    <t>2025-05-07 13:24:00,6222592.28247003,-685835.060951035,-10.4577980393198,-27,-375.383068792721,-456.36,-0.00491923997948354,-3.28</t>
  </si>
  <si>
    <t>2025-05-07 13:25:00,,555,,555,,555,558.5,,,,,562,555,565,562</t>
  </si>
  <si>
    <t>2025-05-07 13:25:00,490,,,475,470,,480,,,,,490,470,485,483</t>
  </si>
  <si>
    <t>2025-05-07 13:25:00,,5540,,5550,,5700,5610,,,,,5700,5550,5600,5550</t>
  </si>
  <si>
    <t>2025-05-07 13:25:00,,,,19350,19475,,19925,,,,,20000,19350,19400,19300</t>
  </si>
  <si>
    <t>2025-05-07 13:25:00,-437618050.655258,-2247163932.36242,409.120454545444,778,-3373.65217929296,-1237.84,-76.5266143511792,-205.85</t>
  </si>
  <si>
    <t>2025-05-07 13:25:00,570152508.255437,-378568048.633019,-1055.18642647675,-1122,-1196.53929493087,-3955.35,-35.0980182795117,-732.55</t>
  </si>
  <si>
    <t>2025-05-07 13:25:00,-5881553.05193462,-52691935.9181781,-966.423809523809,-387,-13563.1375,-6780.4,3.95775058206244,-162.4</t>
  </si>
  <si>
    <t>2025-05-07 13:25:00,5609599.40970421,-725315.066939502,14.5190476190476,23,102.235285714286,19.99,-0.00760321567977898,0.45</t>
  </si>
  <si>
    <t>2025-05-07 13:26:00,,555,,555,,555,558.5,,,,,562,555,565,562</t>
  </si>
  <si>
    <t>2025-05-07 13:26:00,490,,485,,470,,480,,,,,490,470,485,483</t>
  </si>
  <si>
    <t>2025-05-07 13:26:00,,5540,5650,,,5700,5610,,,,,5700,5550,5600,5550</t>
  </si>
  <si>
    <t>2025-05-07 13:26:00,,,,19350,19475,,19925,,,,,20000,19350,19400,19300</t>
  </si>
  <si>
    <t>2025-05-07 13:26:00,-331781318.634915,-1386074364.70201,-5082.56666666666,-3269,-9567.01399999999,-6439.7,84.6570461299,-1467.94</t>
  </si>
  <si>
    <t>2025-05-07 13:26:00,619445673.186949,19176995.1205051,-1551.98076923076,-1109,-2629.65076923076,-2236.16,-64.3196960828759,-556.01</t>
  </si>
  <si>
    <t>2025-05-07 13:26:00,-4836366.45901306,-48321177.0351129,-8.60119047618953,285,-7375.17813095235,-2917.59,2.57046828525634,-64.23</t>
  </si>
  <si>
    <t>2025-05-07 13:26:00,6056335.53778003,-684958.125540249,3.17383727383727,-8,-168.772841380842,-256.04,-0.00493839590958036,-2.15</t>
  </si>
  <si>
    <t>2025-05-07 13:27:00,,555,,555,,555,558.5,,,,,562,555,565,562</t>
  </si>
  <si>
    <t>2025-05-07 13:27:00,490,,485,,470,,480,,,,,490,470,485,483</t>
  </si>
  <si>
    <t>2025-05-07 13:27:00,,5540,5650,,,5700,5610,,,,,5700,5500,5600,5550</t>
  </si>
  <si>
    <t>2025-05-07 13:27:00,,,,19350,19475,,19925,,,,,20000,19350,19400,19300</t>
  </si>
  <si>
    <t>2025-05-07 13:27:00,-337820221.724277,-1475040711.23863,-2996.51850649351,-2289,-5403.35619588745,-3575.44,18.3971563991307,-901.92</t>
  </si>
  <si>
    <t>2025-05-07 13:27:00,625263308.089059,-65210277.9199923,-5702.62518796993,-5830,-6253.52277067671,-6861.75,35.9442681469546,-1773.32</t>
  </si>
  <si>
    <t>2025-05-07 13:27:00,-3528685.2201155,-43273099.3186172,-3499.02523809524,-1665,-24188.8623285716,-5835.84,5.40618831926039,-116.05</t>
  </si>
  <si>
    <t>2025-05-07 13:27:00,6680881.4657533,-637782.944964543,8.10793371455623,3,-29.7461966852139,-721.56,0.00478425190436237,-2.79</t>
  </si>
  <si>
    <t>2025-05-07 13:28:00,,555,,555,,555,558.5,,,,,562,555,565,562</t>
  </si>
  <si>
    <t>2025-05-07 13:28:00,490,,485,,470,,480,,,,,490,470,485,483</t>
  </si>
  <si>
    <t>2025-05-07 13:28:00,,5540,5650,,,5700,5610,,,,,5700,5500,5600,5550</t>
  </si>
  <si>
    <t>2025-05-07 13:28:00,,,,19350,19475,,19925,,,,,20000,19350,19400,19300</t>
  </si>
  <si>
    <t>2025-05-07 13:28:00,-283860426.166863,-830705929.942645,-5951.4571187584,-2024,-8131.50049921275,-5845.11,242.28243873734,-1416.13</t>
  </si>
  <si>
    <t>2025-05-07 13:28:00,655694530.201347,215003588.132806,-4032.37386853888,-4094,-5079.51373015875,-5615.29,-103.201396859687,-1514.62</t>
  </si>
  <si>
    <t>2025-05-07 13:28:00,-2322635.99871729,-32135170.7124646,-1683.34285714286,-883,-13159.0269523809,-17721.03,1.98219318032173,-429.83</t>
  </si>
  <si>
    <t>2025-05-07 13:28:00,7745441.50523432,-581340.158052899,-0.14238045508773,-24,-195.863830167339,-798.36,-0.0119261295662501,-5.15</t>
  </si>
  <si>
    <t>2025-05-07 13:29:00,,555,,555,,555,558.5,,,,,562,555,565,558</t>
  </si>
  <si>
    <t>2025-05-07 13:29:00,490,,485,,470,,480,,,,,490,470,485,483</t>
  </si>
  <si>
    <t>2025-05-07 13:29:00,,5540,5650,,,5700,5610,,,,,5700,5500,5600,5550</t>
  </si>
  <si>
    <t>2025-05-07 13:29:00,,,,19350,19475,,19925,,,,,20000,19350,19400,19300</t>
  </si>
  <si>
    <t>2025-05-07 13:29:00,-315184605.659611,-1038890415.27428,1736.78095238096,1439,2064.40408333333,2210.69,-6.02944955791025,542.1</t>
  </si>
  <si>
    <t>2025-05-07 13:29:00,636898631.475402,38771778.669523,491.698571428579,1980,827.252266666676,1397.37,-70.7865838044665,381.52</t>
  </si>
  <si>
    <t>2025-05-07 13:29:00,-2888651.45519693,-33355542.8624354,489.983214285716,840,10496.7278369048,13077.55,-0.367721949161434,255.17</t>
  </si>
  <si>
    <t>2025-05-07 13:29:00,8255429.64095851,-582342.781668552,-17.0441511022759,32,324.808254293504,833.05,0.0215168963054588,5.46</t>
  </si>
  <si>
    <t>2025-05-07 13:30:00,,555,,555,,555,558.5,,,,,562,555,565,562</t>
  </si>
  <si>
    <t>2025-05-07 13:30:00,490,,,475,470,,480,,,,,490,470,485,483</t>
  </si>
  <si>
    <t>2025-05-07 13:30:00,,5540,5650,,,5700,5610,,,,,5700,5500,5600,5550</t>
  </si>
  <si>
    <t>2025-05-07 13:30:00,,,,19350,19475,,19925,,,,,20000,19350,19400,19300</t>
  </si>
  <si>
    <t>2025-05-07 13:30:00,-444430189.321742,-2228819004.04735,4337.4147907648,2538,1887.41487301589,521.99,31.3281860148268,88.5700000000001</t>
  </si>
  <si>
    <t>2025-05-07 13:30:00,576047945.938842,-348863916.04148,2853.70284178187,2690,3552.76450537634,3340.08,-19.4725374660931,887.24</t>
  </si>
  <si>
    <t>2025-05-07 13:30:00,-5057205.40556144,-46165156.2497702,1542.2744047619,1300,25724.1553988095,16554.4,0.0152062385251371,433.33</t>
  </si>
  <si>
    <t>2025-05-07 13:30:00,7078378.79728001,-660639.674669471,15.9713418890949,12,546.092224548565,619.74,-0.000607613445301862,3.33</t>
  </si>
  <si>
    <t>2025-05-07 13:31:00,,555,,555,,555,558.5,,,,,562,555,565,562</t>
  </si>
  <si>
    <t>2025-05-07 13:31:00,490,,485,,470,,480,,,,,490,470,485,483</t>
  </si>
  <si>
    <t>2025-05-07 13:31:00,,5540,5650,,,5700,5610,,5600,,,5700,5500,5600,5550</t>
  </si>
  <si>
    <t>2025-05-07 13:31:00,,,,19350,19475,,19925,,,,,20000,19350,19400,19300</t>
  </si>
  <si>
    <t>2025-05-07 13:31:00,-252364609.15191,-429633576.559048,921.686965811957,3215,2081.45465811963,4646.95,-102.717562400927,1360.48</t>
  </si>
  <si>
    <t>2025-05-07 13:31:00,667380693.449458,284390212.23242,536.879509379508,1776,59.5345815295851,1242.61,-47.6524894491319,391.7</t>
  </si>
  <si>
    <t>2025-05-07 13:31:00,-2741864.02395965,-36911505.809051,-4660.99523809523,-2042,-67555.0139285714,-18212.49,-4.53766603130741,-490.67</t>
  </si>
  <si>
    <t>2025-05-07 13:31:00,7293674.84808389,-597422.494381899,-32.5345710577473,-66,-2051.88680684706,-1049.14,-0.0179834420127635,-6.34</t>
  </si>
  <si>
    <t>2025-05-07 13:32:00,,555,,,,555,558.5,559,,,,562,555,565,562</t>
  </si>
  <si>
    <t>2025-05-07 13:32:00,490,,485,,470,,480,,,,,490,470,485,483</t>
  </si>
  <si>
    <t>2025-05-07 13:32:00,,5540,5650,,,5700,5610,5600,,,,5700,5500,5700,5550</t>
  </si>
  <si>
    <t>2025-05-07 13:32:00,,,,19350,19475,,19925,,,,,20000,19350,19400,19300</t>
  </si>
  <si>
    <t>2025-05-07 13:32:00,-168670832.999122,223200661.679296,-4812.32395937398,-9754,4126.43619330668,-3521.87,-277.246726793859,-1567.91</t>
  </si>
  <si>
    <t>2025-05-07 13:32:00,723927602.272106,579013122.178849,-3758.94603886662,2190,-3864.25122097271,-5340.39,-221.958443960403,-1430.25</t>
  </si>
  <si>
    <t>2025-05-07 13:32:00,-219656.867482277,-18615462.9653142,-643.427142857128,-442,-14120.2659952378,-7775.78,0.246601459732456,-195.52</t>
  </si>
  <si>
    <t>2025-05-07 13:32:00,9784716.11097589,-453099.641985738,51.0615069734187,-20,4817.53085613161,1090.95,-0.00280078358614159,4.86</t>
  </si>
  <si>
    <t>2025-05-07 13:33:00,,555,562,,,555,558.5,,,,,562,555,565,562</t>
  </si>
  <si>
    <t>2025-05-07 13:33:00,490,,485,,470,,480,,,,,490,470,485,483</t>
  </si>
  <si>
    <t>2025-05-07 13:33:00,,5540,5650,,,5700,5610,,,,,5700,5500,5600,5550</t>
  </si>
  <si>
    <t>2025-05-07 13:33:00,,,,19350,19475,,19925,,,,,20000,19350,19400,19300</t>
  </si>
  <si>
    <t>2025-05-07 13:33:00,-74588890.7703842,1350988529.17482,1862.72296725014,-690,1227.31307825146,-5805.13,-270.022431061504,-1439.6</t>
  </si>
  <si>
    <t>2025-05-07 13:33:00,739729804.903371,658225233.134957,2665.65591058558,2318,4720.51960731724,3745,93.0605333362388,980.16</t>
  </si>
  <si>
    <t>2025-05-07 13:33:00,1375485.44111245,-10853810.0240054,-245.084761904761,-671,-2096.73754285712,-9596.95,-2.02270746381629,-317.51</t>
  </si>
  <si>
    <t>2025-05-07 13:33:00,10180902.4331081,-416649.764877718,9.47720389138065,-8,140.411129662924,-349.24,0.00221955865449578,-2.35</t>
  </si>
  <si>
    <t>2025-05-07 13:34:00,,555,562,,,555,558.5,,,,,562,555,565,562</t>
  </si>
  <si>
    <t>2025-05-07 13:34:00,490,,485,,470,,480,,,,,490,470,485,483</t>
  </si>
  <si>
    <t>2025-05-07 13:34:00,,5540,5650,,,5700,5610,,,,,5700,5500,5700,5550</t>
  </si>
  <si>
    <t>2025-05-07 13:34:00,,,,19350,19475,,19925,,,,,20000,19350,19400,19300</t>
  </si>
  <si>
    <t>2025-05-07 13:34:00,-26974270.7146023,1840739793.3422,3337.5777056277,5077,7674.98675468974,8484.61,348.756943548241,2100.13</t>
  </si>
  <si>
    <t>2025-05-07 13:34:00,760895241.449371,838689328.659389,-4803.60396505376,-5285,-4032.41975998464,-5523.88,69.1080904234358,-1714.54</t>
  </si>
  <si>
    <t>2025-05-07 13:34:00,2713622.78828283,-849303.441189357,-5.32345238095112,-387,-2227.77827261906,-3452.61,4.26917673707776,-64.7</t>
  </si>
  <si>
    <t>2025-05-07 13:34:00,11211835.5234499,-364857.369550374,9.17853448231356,0,-699.060787966878,-982.73,0.0197089586957633,-4.25</t>
  </si>
  <si>
    <t>2025-05-07 13:35:00,,555,,555,,555,558.5,,,,,562,555,565,562</t>
  </si>
  <si>
    <t>2025-05-07 13:35:00,490,,485,,470,,480,,,,,490,470,485,483</t>
  </si>
  <si>
    <t>2025-05-07 13:35:00,,5540,5650,,,5700,5610,,,,,5700,5500,5700,5550</t>
  </si>
  <si>
    <t>2025-05-07 13:35:00,,,,19350,19475,,19925,,,,,20000,19350,19400,19300</t>
  </si>
  <si>
    <t>2025-05-07 13:35:00,-263094175.990639,-1738489523.99216,-6524.37298534797,-6382,-8763.93144963366,-10426.35,-92.5359868354966,-2809.49</t>
  </si>
  <si>
    <t>2025-05-07 13:35:00,692504635.058611,-143067699.328486,-5138.39184686282,-4640,-4999.29911430507,-4826.28,160.865393667354,-1492.3</t>
  </si>
  <si>
    <t>2025-05-07 13:35:00,-421104.519751126,-24929961.8151699,-1831.07619047619,-1995,-20000.6912857142,-19441.97,-0.826572621102243,-599.29</t>
  </si>
  <si>
    <t>2025-05-07 13:35:00,9904210.98416687,-439334.522410381,17.4305230880231,9,673.520423196248,475.89,-0.00382748266496293,3.25</t>
  </si>
  <si>
    <t>2025-05-07 13:36:00,,,562,,,555,558.5,,560,,,562,555,565,562</t>
  </si>
  <si>
    <t>2025-05-07 13:36:00,490,,485,,470,,480,,,,,490,470,485,483</t>
  </si>
  <si>
    <t>2025-05-07 13:36:00,,5540,5650,,,5700,5610,,,,,5700,5500,5700,5550</t>
  </si>
  <si>
    <t>2025-05-07 13:36:00,,,,19350,19475,,19925,,,,,20000,19350,19400,19300</t>
  </si>
  <si>
    <t>2025-05-07 13:36:00,22216165.1415953,2814776955.96653,-6684.05952380951,-7542,-10968.8987380952,-12762.16,-312.745198737763,-3414.94</t>
  </si>
  <si>
    <t>2025-05-07 13:36:00,781510252.552806,997991107.631439,-8155.08955404996,-5242,-9271.59044618601,-6118.61,-11.3334786397734,-1744.52</t>
  </si>
  <si>
    <t>2025-05-07 13:36:00,2672326.1333695,-2843338.70538692,-1894.84666666666,-884,-17744.2964190475,-10109.21,0.281857200716532,-274.28</t>
  </si>
  <si>
    <t>2025-05-07 13:36:00,10476596.3944373,-380184.418463944,-32.9097927388756,-33,-521.230420353298,-423.64,-0.00362729922979624,-3.51</t>
  </si>
  <si>
    <t>2025-05-07 13:37:00,,,562,,,555,558.5,,560,,,565,555,565,562</t>
  </si>
  <si>
    <t>2025-05-07 13:37:00,490,,485,,470,,480,,,,,490,470,485,483</t>
  </si>
  <si>
    <t>2025-05-07 13:37:00,5700,,5650,,,5700,5610,,,,,5700,5500,5700,5550</t>
  </si>
  <si>
    <t>2025-05-07 13:37:00,,,,19350,19475,,19925,,,,,20000,19350,19400,19300</t>
  </si>
  <si>
    <t>2025-05-07 13:37:00,103193029.182649,3188924387.21284,4907.95927318296,5660,2359.61903884712,-3539.18,-234.953789599722,-529.43</t>
  </si>
  <si>
    <t>2025-05-07 13:37:00,823836150.519092,1305954091.49351,730.677699582392,-46,5175.58374590157,3230.25,194.052915605483,836.97</t>
  </si>
  <si>
    <t>2025-05-07 13:37:00,6241751.82705688,29881821.8127348,1681.23640552995,2275,27181.2220268817,21150.82,1.31903602770037,643.47</t>
  </si>
  <si>
    <t>2025-05-07 13:37:00,12924680.7881516,-169147.595936013,210.17550458261,210,1310.54189788648,1631.75,0.201021796011849,18.91</t>
  </si>
  <si>
    <t>2025-05-07 13:39:00,,555,,558,,555,558.5,,,,,565,555,565,562</t>
  </si>
  <si>
    <t>2025-05-07 13:39:00,490,,,480,470,,480,,480,,,490,470,485,483</t>
  </si>
  <si>
    <t>2025-05-07 13:39:00,,5540,,5600,,5700,5620,,,,,5700,5500,5700,5550</t>
  </si>
  <si>
    <t>2025-05-07 13:39:00,,,,19350,19475,,19800,,,,,20000,19350,19400,19300</t>
  </si>
  <si>
    <t>2025-05-07 13:39:00,-491977949.719872,-5374742734.14937,64308.1954761902,13392,94826.2423595233,17286.7,-76.4612714277735,5074.55</t>
  </si>
  <si>
    <t>2025-05-07 13:39:00,607550454.088685,-1118466884.52587,8531.71611721611,5717,8958.55310439558,4127.18,-146.640545034154,1416.5</t>
  </si>
  <si>
    <t>2025-05-07 13:39:00,-3193191.4993548,-62043341.6509832,4203.3938095238,2637,52756.6835142856,19798.78,1.23369324559979,549.37</t>
  </si>
  <si>
    <t>2025-05-07 13:39:00,8690042.60450243,-430588.223062283,4.30440708353422,-1,373.74363829308,301.66,0.0130670531817071,1.85</t>
  </si>
  <si>
    <t>2025-05-07 13:40:00,,,562,,,555,558.5,,560,,,565,555,565,562</t>
  </si>
  <si>
    <t>2025-05-07 13:40:00,490,,485,,470,,480,,480,,,490,470,485,483</t>
  </si>
  <si>
    <t>2025-05-07 13:40:00,,5540,5650,,,5700,5610,,,,,5700,5500,5700,5550</t>
  </si>
  <si>
    <t>2025-05-07 13:40:00,,,,19350,19475,,19925,,,,,20000,19350,19400,19300</t>
  </si>
  <si>
    <t>2025-05-07 13:40:00,53172457.0709321,3295312029.66342,6560.4202438547,10145,4232.88577186862,3791.47,-133.8190502092,1330.28</t>
  </si>
  <si>
    <t>2025-05-07 13:40:00,784753890.459957,1066904351.64513,3446.80058830059,2186,4491.93636197137,364.81,-108.40744130042,224.5</t>
  </si>
  <si>
    <t>2025-05-07 13:40:00,3724560.66882307,8612993.78536918,2426.34007936509,1958,5843.99090873036,13120.6,2.665444338821,437.19</t>
  </si>
  <si>
    <t>2025-05-07 13:40:00,11916603.0621274,-235607.002518636,2.4989113611755,-3,-550.416823006134,-598.83,0.0042585533063714,-3.06</t>
  </si>
  <si>
    <t>2025-05-07 13:41:00,,,562,,,555,558.5,,,,,565,555,565,562</t>
  </si>
  <si>
    <t>2025-05-07 13:41:00,490,,485,,470,,480,,,,,490,470,485,483</t>
  </si>
  <si>
    <t>2025-05-07 13:41:00,,5540,5650,,,5700,5610,,,,,5700,5500,5700,5550</t>
  </si>
  <si>
    <t>2025-05-07 13:41:00,,,,19350,19475,,19925,,,,,20000,19350,19400,19300</t>
  </si>
  <si>
    <t>2025-05-07 13:41:00,107540394.56822,3922662757.91353,-869.92213462866,-3177,-103.066326113509,-2885,-87.9988513588034,-900.55</t>
  </si>
  <si>
    <t>2025-05-07 13:41:00,813622983.415299,1388312128.5647,-205.663403263399,468,546.445396270398,46.99,12.2116315606644,17.48</t>
  </si>
  <si>
    <t>2025-05-07 13:41:00,5721598.38595452,27470851.1738099,471.796428571428,420,8440.80698809524,7966.6,4.51293418851981,221.4</t>
  </si>
  <si>
    <t>2025-05-07 13:41:00,12569153.0798888,-187547.078757251,14.1133361083361,6,836.572754645353,605.13,0.000826944754976772,3.13</t>
  </si>
  <si>
    <t>2025-05-07 13:42:00,,,562,,,555,558.5,,,,,565,555,565,562</t>
  </si>
  <si>
    <t>2025-05-07 13:42:00,490,,485,,470,,480,,,,,490,470,485,483</t>
  </si>
  <si>
    <t>2025-05-07 13:42:00,,5540,5650,,,5700,5610,,,,,5700,5500,5600,5510</t>
  </si>
  <si>
    <t>2025-05-07 13:42:00,,,,19350,19475,,19925,,,,,20000,19350,19400,19300</t>
  </si>
  <si>
    <t>2025-05-07 13:42:00,105073806.001226,4239581877.07745,11821.4305555556,8591,15094.6000555556,9062.19,-157.053941065459,2422.66</t>
  </si>
  <si>
    <t>2025-05-07 13:42:00,830960029.381101,1537450696.20284,4114.97564102563,3513,6818.28967599066,4366.6,123.45278351498,1266.16</t>
  </si>
  <si>
    <t>2025-05-07 13:42:00,5969867.46229727,33872907.9785911,1221.56011904763,1329,18132.9306011905,10399.07,-8.31377424705179,388.81</t>
  </si>
  <si>
    <t>2025-05-07 13:42:00,13002525.060282,-156888.205917283,-129.087879706165,-97,-655.785730491815,-521.85,0.0594795941789616,-4.6</t>
  </si>
  <si>
    <t>2025-05-07 13:43:00,,,562,,,555,558.5,,,,,565,555,565,562</t>
  </si>
  <si>
    <t>2025-05-07 13:43:00,490,,485,,470,,480,,,,,490,470,485,483</t>
  </si>
  <si>
    <t>2025-05-07 13:43:00,,5540,5650,,,5700,5610,,,,,5700,5500,5600,5510</t>
  </si>
  <si>
    <t>2025-05-07 13:43:00,,,,19350,19475,,19925,,,,,20000,19350,19400,19300</t>
  </si>
  <si>
    <t>2025-05-07 13:43:00,89303361.0012972,3964762339.3859,754.785875235872,98,1614.31067349316,1855.65,-355.110483798256,494.47</t>
  </si>
  <si>
    <t>2025-05-07 13:43:00,812066461.281954,1473380250.90417,-655.82821986443,-200,640.773356763921,340.56,31.8091519582616,62.9</t>
  </si>
  <si>
    <t>2025-05-07 13:43:00,5646107.48866651,33433297.6904369,-109.366666666665,-6,7730.30600000003,2630.36,-1.25341470002236,40.02</t>
  </si>
  <si>
    <t>2025-05-07 13:43:00,13167784.6970075,-144402.901954829,9.61144190925183,20,991.842582641465,1239.29,0.00530111037730322,7.57</t>
  </si>
  <si>
    <t>2025-05-07 13:44:00,,555,562,,,555,558.5,,,,,565,555,565,562</t>
  </si>
  <si>
    <t>2025-05-07 13:44:00,490,,485,,470,,480,,,,,490,470,485,483</t>
  </si>
  <si>
    <t>2025-05-07 13:44:00,,5540,5650,,,5700,5610,,,,,5700,5500,5600,5510</t>
  </si>
  <si>
    <t>2025-05-07 13:44:00,,,,19350,19475,,19925,,,,,20000,19350,19400,19300</t>
  </si>
  <si>
    <t>2025-05-07 13:44:00,-28401989.4652889,3023242046.9781,12627.0904761905,4548,13227.1191547618,1907.77,3.91269427203189,399.46</t>
  </si>
  <si>
    <t>2025-05-07 13:44:00,767895570.617797,830613845.412796,3525.32606837608,926,3139.99791452992,807.9,77.6393942529603,299.82</t>
  </si>
  <si>
    <t>2025-05-07 13:44:00,3307515.68380606,19448128.1775075,3741.1071969697,1114,53394.1915200218,8967.88,2.6398314831535,266.24</t>
  </si>
  <si>
    <t>2025-05-07 13:44:00,11896980.6426515,-209403.518044494,12.0170701374649,39,185.689809115592,349.76,-0.0210186948933884,3.81</t>
  </si>
  <si>
    <t>2025-05-07 13:45:00,,,562,,,555,558.5,,,,,565,555,565,562</t>
  </si>
  <si>
    <t>2025-05-07 13:45:00,490,,485,,470,,480,481,,,,490,470,485,483</t>
  </si>
  <si>
    <t>2025-05-07 13:45:00,,5540,5650,,,5700,5610,,,,,5700,5500,5600,5510</t>
  </si>
  <si>
    <t>2025-05-07 13:45:00,,,,19350,19475,,19925,,,,,20000,19350,19400,19300</t>
  </si>
  <si>
    <t>2025-05-07 13:45:00,67321081.3341786,4468473476.22217,-3828.68071428572,-1669,-10183.4607476191,-6186.3,354.55269164062,-1785.86</t>
  </si>
  <si>
    <t>2025-05-07 13:45:00,819528707.474372,1642056514.23453,-5400.32368742369,-2213,-7911.8808968254,-1622.19,29.2877383520912,-469.97</t>
  </si>
  <si>
    <t>2025-05-07 13:45:00,3664785.50117048,15785685.9067233,-7031.69639016895,-1872,-245961.364589093,-36625.41,4.7973016778778,-861.37</t>
  </si>
  <si>
    <t>2025-05-07 13:45:00,12311367.2591768,-202621.967582459,-13.4422685810921,-21,-447.198758159488,-792.99,0.00397877241862949,-5.1</t>
  </si>
  <si>
    <t>2025-05-07 13:46:00,,,562,,,555,558.5,,,,,565,555,565,562</t>
  </si>
  <si>
    <t>2025-05-07 13:46:00,490,,483,,470,,480,,,,,490,470,485,483</t>
  </si>
  <si>
    <t>2025-05-07 13:46:00,,5540,5650,,,5700,5610,,,,,5700,5550,5600,5550</t>
  </si>
  <si>
    <t>2025-05-07 13:46:00,,,,19350,19475,,19925,,,,,20000,19350,19400,19300</t>
  </si>
  <si>
    <t>2025-05-07 13:46:00,15125033.9726627,5286014300.16556,15926.0352534562,10386,17376.0209347159,6872.59,-313.258871258402,1761.07</t>
  </si>
  <si>
    <t>2025-05-07 13:46:00,774363305.706824,1726712275.28853,1298.94839891292,1145,649.452282233894,1959.98,-68.9016899659698,466.27</t>
  </si>
  <si>
    <t>2025-05-07 13:46:00,1066140.06773518,2874973.49794454,771.150000000003,629,19216.1674761906,5804.69,0.172869641789275,125.91</t>
  </si>
  <si>
    <t>2025-05-07 13:46:00,11820171.8337826,-274043.769247485,195.233984249936,46,559.96898366074,461.41,-0.0054743505706456,3.97</t>
  </si>
  <si>
    <t>2025-05-07 13:47:00,,555,562,,,555,558.5,,,,,565,555,565,562</t>
  </si>
  <si>
    <t>2025-05-07 13:47:00,490,,485,,470,,480,,,,480,490,470,485,483</t>
  </si>
  <si>
    <t>2025-05-07 13:47:00,,5540,5650,,,5700,5610,,,,,5700,5550,5600,5550</t>
  </si>
  <si>
    <t>2025-05-07 13:47:00,,,,19350,19475,,19925,,,,,20000,19350,19400,19300</t>
  </si>
  <si>
    <t>2025-05-07 13:47:00,-128311137.164135,2145869480.3474,-1323.00770487682,-6173,1307.04119717376,-2467.85,-353.242375707924,-730.54</t>
  </si>
  <si>
    <t>2025-05-07 13:47:00,733567472.406256,928343498.866937,-6707.96717474778,-3214,-7436.74665869584,-3117.44,286.404530079964,-967.46</t>
  </si>
  <si>
    <t>2025-05-07 13:47:00,-110398.994101259,-14676484.4294504,-3291.87857142857,-2685,-28195.2562857143,-14079.94,1.58896156663801,-463.73</t>
  </si>
  <si>
    <t>2025-05-07 13:47:00,10713999.496345,-315967.372605028,-31.6552119817057,-73,-2222.38703677315,-2376.01,-0.0472064661983828,-16.51</t>
  </si>
  <si>
    <t>2025-05-07 13:48:00,,555,,555,,555,558.5,,,,,565,555,565,562</t>
  </si>
  <si>
    <t>2025-05-07 13:48:00,490,,,475,470,,480,,,,,490,470,485,483</t>
  </si>
  <si>
    <t>2025-05-07 13:48:00,,5540,5650,,,5700,5610,,,,,5700,5550,5600,5550</t>
  </si>
  <si>
    <t>2025-05-07 13:48:00,,,,19350,19475,,19925,,,,,20000,19350,19400,19300</t>
  </si>
  <si>
    <t>2025-05-07 13:48:00,-437772813.918311,-2304471546.87404,-1552.01931039973,1827,-3234.37612219301,1428.51,331.147880200111,559.44</t>
  </si>
  <si>
    <t>2025-05-07 13:48:00,575064110.441689,-723454649.274737,4600.4567891221,2490,5985.2663461944,5321.88,-312.852046064864,1504.19</t>
  </si>
  <si>
    <t>2025-05-07 13:48:00,-5320666.10197311,-56479781.9226014,-158.152272727266,-531,-935.225343434281,-5590.24,0.258584977011742,-230.76</t>
  </si>
  <si>
    <t>2025-05-07 13:48:00,5751241.8593754,-554130.627616821,39.0947336858333,53,1755.85520293016,1417,0.0054577082952409,9.58</t>
  </si>
  <si>
    <t>2025-05-07 13:49:00,,555,,555,,555,558.5,,,557,,565,555,565,562</t>
  </si>
  <si>
    <t>2025-05-07 13:49:00,490,,,475,470,,480,,,,,490,470,485,475</t>
  </si>
  <si>
    <t>2025-05-07 13:49:00,,5540,,5550,,5700,5610,,,,,5700,5500,5710,5500</t>
  </si>
  <si>
    <t>2025-05-07 13:49:00,,,,19350,19475,,19925,,,,,20000,19350,19400,19300</t>
  </si>
  <si>
    <t>2025-05-07 13:49:00,-613291371.806692,-4356827037.00173,10867.7532340209,10598,-4056.89662286728,11777.37,-101.104353507335,4510.23</t>
  </si>
  <si>
    <t>2025-05-07 13:49:00,529608886.617174,-1229690732.91219,-14344.9732385431,-8725,-9654.34506500969,-790.22,381.743420209732,-759.65</t>
  </si>
  <si>
    <t>2025-05-07 13:49:00,-8794875.08476469,-85408808.6740017,756.933608058616,527,14697.0321410257,7733.64,14.1346764001812,135.45</t>
  </si>
  <si>
    <t>2025-05-07 13:49:00,5427156.8525455,-715053.134772994,28.9106402779182,38,897.590398831504,935.05,0.0112681167307647,7.6</t>
  </si>
  <si>
    <t>2025-05-07 13:50:00,,555,,555,,555,558.5,,,,,565,555,565,562</t>
  </si>
  <si>
    <t>2025-05-07 13:50:00,490,,,475,470,,480,,,,,490,470,485,475</t>
  </si>
  <si>
    <t>2025-05-07 13:50:00,,5540,5650,,,5700,5610,,,,,5700,5500,5710,5500</t>
  </si>
  <si>
    <t>2025-05-07 13:50:00,,,,19350,19475,,19925,,,,,20000,19350,19400,19300</t>
  </si>
  <si>
    <t>2025-05-07 13:50:00,-421662662.084871,-1671468163.87781,-2265.65372764488,-293,4119.33414637653,5327.85,-322.880493434308,1001.3</t>
  </si>
  <si>
    <t>2025-05-07 13:50:00,597900567.843682,-506864623.614816,6514.46544704932,3944,11502.9607072966,5689.26,106.877398880138,1605.07</t>
  </si>
  <si>
    <t>2025-05-07 13:50:00,-5662346.22978182,-61744347.5972928,3590.97619047619,666,48575.3953809523,13730.74,-6.03562310468813,329.1</t>
  </si>
  <si>
    <t>2025-05-07 13:50:00,7316185.89517296,-563960.547701928,56.7815147166198,46,1227.86655824316,1227.45,0.0242591670847501,10.34</t>
  </si>
  <si>
    <t>2025-05-07 13:51:00,,555,,555,,555,558.5,,,,,565,555,565,562</t>
  </si>
  <si>
    <t>2025-05-07 13:51:00,490,,,475,470,,480,,,,,485,475,485,475</t>
  </si>
  <si>
    <t>2025-05-07 13:51:00,,5540,5650,,,5700,5610,,,,,5700,5500,5710,5500</t>
  </si>
  <si>
    <t>2025-05-07 13:51:00,,,,19350,19475,,19925,,,,,20000,19350,19400,19300</t>
  </si>
  <si>
    <t>2025-05-07 13:51:00,-460842937.667207,-1873566568.31963,10405.3308746809,5900,11067.6172038517,10924.61,-272.802748080655,3333.95</t>
  </si>
  <si>
    <t>2025-05-07 13:51:00,577378451.330827,-625851111.269881,-3535.82974137931,-4346,-1691.45902265694,-2293.89,140.866229991966,-924.8</t>
  </si>
  <si>
    <t>2025-05-07 13:51:00,-6152844.24633965,-60708121.4273027,969.664523809523,912,4198.56457857144,3518.6,-1.16151686710135,120.89</t>
  </si>
  <si>
    <t>2025-05-07 13:51:00,6648287.19161777,-558075.265071633,74.9203861171509,99,666.235866332361,974.67,0.0637217255564969,11.26</t>
  </si>
  <si>
    <t>2025-05-07 13:52:00,,555,,555,,555,558.5,,,,,565,555,565,562</t>
  </si>
  <si>
    <t>2025-05-07 13:52:00,490,,,475,470,,480,,,,,485,475,485,475</t>
  </si>
  <si>
    <t>2025-05-07 13:52:00,,5540,,5550,,5700,5610,,,,,5700,5500,5710,5500</t>
  </si>
  <si>
    <t>2025-05-07 13:52:00,,,,19350,19475,,19925,,,,,20000,19350,19400,19300</t>
  </si>
  <si>
    <t>2025-05-07 13:52:00,-511174056.940199,-2683663487.32567,-2807.35982905983,-4000,-4805.76242735043,-4554.53,312.615364828783,-1804.88</t>
  </si>
  <si>
    <t>2025-05-07 13:52:00,549570112.178905,-887763233.221075,-2449.43347947551,-1193,-2802.99984900875,-1548.47,-99.4555406872957,-504.84</t>
  </si>
  <si>
    <t>2025-05-07 13:52:00,-7263198.71612719,-69517332.994327,-528.935000000003,-515,-1878.57979999998,-4531.91,2.20028142301821,-188.21</t>
  </si>
  <si>
    <t>2025-05-07 13:52:00,6192412.26718948,-641190.466841629,31.4092106227106,35,590.274200094904,1465.25,-0.0492503730055716,9.73</t>
  </si>
  <si>
    <t>2025-05-07 13:53:00,,555,,555,,555,558.5,,,,,565,555,565,562</t>
  </si>
  <si>
    <t>2025-05-07 13:53:00,490,,,475,470,,480,479,,,,485,475,485,475</t>
  </si>
  <si>
    <t>2025-05-07 13:53:00,,5540,5650,,,5700,5610,,,,,5700,5500,5710,5500</t>
  </si>
  <si>
    <t>2025-05-07 13:53:00,,,,19350,19475,,19925,,,,,20000,19350,19400,19300</t>
  </si>
  <si>
    <t>2025-05-07 13:53:00,-464022340.860656,-2311763692.55723,9553.7737649605,7840,7808.07466698494,7672.09,2.94012827997377,2957.07</t>
  </si>
  <si>
    <t>2025-05-07 13:53:00,617746237.918171,-686196584.427731,4637.34690168007,4353,5502.19430576541,5150.85,130.103386335329,1717.55</t>
  </si>
  <si>
    <t>2025-05-07 13:53:00,-5856158.89865055,-62045238.3790957,2211.69984126984,2873,4574.47917301586,14452.59,-2.80401425713371,586.06</t>
  </si>
  <si>
    <t>2025-05-07 13:53:00,7515999.57727543,-557848.427117358,-18.9106064414888,-31,-252.236413783384,-35.54,-0.00315117602595875,-0.14</t>
  </si>
  <si>
    <t>2025-05-07 13:54:00,,555,,555,,555,558.5,,,,,565,555,565,562</t>
  </si>
  <si>
    <t>2025-05-07 13:54:00,490,,,475,470,,480,,,,,485,475,485,475</t>
  </si>
  <si>
    <t>2025-05-07 13:54:00,,5540,5650,,,5700,5610,,,,,5700,5500,5710,5500</t>
  </si>
  <si>
    <t>2025-05-07 13:54:00,,,,19350,19475,,19925,,,,,20000,19350,19400,19300</t>
  </si>
  <si>
    <t>2025-05-07 13:54:00,-392831814.52745,-1262374926.39658,5194.02554112554,1852,3468.92239249639,1739.54,-132.131279843916,488.29</t>
  </si>
  <si>
    <t>2025-05-07 13:54:00,620584672.284663,-416321576.857814,241.330136530135,3181,-241.509080253082,2824.03,-17.280420373819,1055.52</t>
  </si>
  <si>
    <t>2025-05-07 13:54:00,-4472936.36670617,-56031234.1751329,1176.9498015873,1149,13594.4337202381,11686.39,-1.81424582455097,448.88</t>
  </si>
  <si>
    <t>2025-05-07 13:54:00,8161944.27522531,-507297.56841163,-15.9119192025152,-10,-958.057345885582,-613.92,0.00644702993687023,-3.92</t>
  </si>
  <si>
    <t>2025-05-07 13:56:00,,555,562,,,555,558.5,,559,,,565,555,557,562</t>
  </si>
  <si>
    <t>2025-05-07 13:56:00,490,,485,,470,,480,,,,,485,475,485,475</t>
  </si>
  <si>
    <t>2025-05-07 13:56:00,,5540,5650,,,5700,5610,,,,,5700,5500,5710,5500</t>
  </si>
  <si>
    <t>2025-05-07 13:56:00,,,,19350,19475,,19775,,,,,20000,19350,19400,19300</t>
  </si>
  <si>
    <t>2025-05-07 13:56:00,-113902275.315601,2778107137.91816,3336.50576923076,3188,-6131.22212606843,-3130.83,245.518483594473,-121.78</t>
  </si>
  <si>
    <t>2025-05-07 13:56:00,747112250.747189,1042143214.7797,-2954.29197274197,-3321,-3240.57841349042,-2617.1,-162.28558643335,-843.09</t>
  </si>
  <si>
    <t>2025-05-07 13:56:00,46989.2832162815,-20130834.9324543,-1462.62619047619,-1829,-16052.6529523809,-5587.84,0.571281814062071,-245.64</t>
  </si>
  <si>
    <t>2025-05-07 13:56:00,11650201.0279698,-294642.766947004,-32.1460126267224,-56,-1445.14632949569,-1209,-0.00105546228058995,-9.25</t>
  </si>
  <si>
    <t>2025-05-07 13:57:00,,,562,,,555,558.5,,,,,565,555,557,562</t>
  </si>
  <si>
    <t>2025-05-07 13:57:00,490,,485,,470,,480,,,,,485,475,485,475</t>
  </si>
  <si>
    <t>2025-05-07 13:57:00,,5540,5650,,,5700,5610,,,,,5700,5500,5710,5500</t>
  </si>
  <si>
    <t>2025-05-07 13:57:00,,,20000,,19475,,19925,,,,,20000,19350,19400,19300</t>
  </si>
  <si>
    <t>2025-05-07 13:57:00,237029792.041496,8471129512.20738,-13263.8341269838,-7327,-25507.3404047613,-7695.72,-872.692437600419,-2341.65</t>
  </si>
  <si>
    <t>2025-05-07 13:57:00,883905672.827198,2550107795.72399,-14885.7863574165,-12940,-932.383310755335,-450.84,549.64079426963,-452.42</t>
  </si>
  <si>
    <t>2025-05-07 13:57:00,4583971.31747316,28085789.1044108,-2037.43234022652,-1293,-45039.6027965038,-21906.94,-5.35959325561632,-566.19</t>
  </si>
  <si>
    <t>2025-05-07 13:57:00,13577794.2883957,6423.96829143274,-74.666782864978,-67,-2028.70553592506,-2641.02,-0.0361580699383809,-22.56</t>
  </si>
  <si>
    <t>2025-05-07 13:58:00,,,562,,,555,558.5,,,,,565,555,557,562</t>
  </si>
  <si>
    <t>2025-05-07 13:58:00,490,,485,,470,,480,,,,,485,475,481,475</t>
  </si>
  <si>
    <t>2025-05-07 13:58:00,5700,,5650,,,5700,5610,,,,,5700,5500,5710,5500</t>
  </si>
  <si>
    <t>2025-05-07 13:58:00,,,20000,,19475,,19925,,,,,20000,19350,19400,19300</t>
  </si>
  <si>
    <t>2025-05-07 13:58:00,353891459.500916,9633887757.96216,13981.9988657738,16171,22642.4379633013,15178.68,-269.653536061504,5451.66</t>
  </si>
  <si>
    <t>2025-05-07 13:58:00,974165472.127057,3243822763.83728,12419.0367927696,8328,17326.6551670709,6366.4,-43.9340432903789,2223.83</t>
  </si>
  <si>
    <t>2025-05-07 13:58:00,9869308.24571302,87880219.30926,3062.51083743843,2195,-1877.5826531197,1860.36,-5.99350270050349,434.67</t>
  </si>
  <si>
    <t>2025-05-07 13:58:00,16069311.2358352,298395.767441903,-55.733240850884,-22,654.060789407085,939.63,-0.0315419010672629,10.89</t>
  </si>
  <si>
    <t>2025-05-07 13:59:00,,,562,,,555,558.5,,,,,565,555,557,562</t>
  </si>
  <si>
    <t>2025-05-07 13:59:00,490,,485,,470,,480,482,,,,485,475,481,475</t>
  </si>
  <si>
    <t>2025-05-07 13:59:00,5700,,5650,,,5700,5610,,,,,5700,5500,5710,5500</t>
  </si>
  <si>
    <t>2025-05-07 13:59:00,,,20000,,19475,,19925,,,,,20000,19350,19400,19300</t>
  </si>
  <si>
    <t>2025-05-07 13:59:00,200731186.458783,6437813014.71694,-2172.97729076478,4049,3524.82918921357,8783.72,233.419432841417,2507.62</t>
  </si>
  <si>
    <t>2025-05-07 13:59:00,887085429.033546,2231937657.44929,-857.407923692281,-1574,2400.66109821043,191.69,257.268786757632,84.2699999999999</t>
  </si>
  <si>
    <t>2025-05-07 13:59:00,7835710.92999642,66131654.0862863,-2050.51239177489,-1705,-12646.8835773809,-9268.79,0.603471589052372,-345.16</t>
  </si>
  <si>
    <t>2025-05-07 13:59:00,15745788.4374837,214517.298369147,13.7430500749251,1,623.377489398796,374.8,-0.0127635622063641,2.16</t>
  </si>
  <si>
    <t>2025-05-07 14:00:00,,,562,,,555,558.5,,,,,565,555,557,562</t>
  </si>
  <si>
    <t>2025-05-07 14:00:00,490,,485,,470,,480,,482,,,485,475,481,475</t>
  </si>
  <si>
    <t>2025-05-07 14:00:00,5700,,5650,,,5700,5610,,,,,5700,5500,5710,5500</t>
  </si>
  <si>
    <t>2025-05-07 14:00:00,,,20000,,19475,,19925,,,,,20000,19350,19400,19300</t>
  </si>
  <si>
    <t>2025-05-07 14:00:00,280004036.035156,7418858049.46358,262.362213445042,-434,2500.21316185728,-457.66,-137.963687494563,-154.99</t>
  </si>
  <si>
    <t>2025-05-07 14:00:00,933576642.216733,2722716390.61822,-75.9749992923809,123,864.17832005471,273.95,-19.3668224443881,123.56</t>
  </si>
  <si>
    <t>2025-05-07 14:00:00,9044146.12110879,79306761.1236356,375.775483941581,831,7894.37111466052,6109.11,4.74696496184556,251.02</t>
  </si>
  <si>
    <t>2025-05-07 14:00:00,15737524.754294,311594.74338723,13.00505667456,1,249.551410157669,176.2,0.00394966820760424,1.98</t>
  </si>
  <si>
    <t>2025-05-07 14:01:00,,,562,,,555,558.5,,,,,565,555,557,562</t>
  </si>
  <si>
    <t>2025-05-07 14:01:00,490,,485,,470,,480,,,,,485,475,481,475</t>
  </si>
  <si>
    <t>2025-05-07 14:01:00,5700,,5650,,,5700,5610,,,,,5700,5500,5600,5500</t>
  </si>
  <si>
    <t>2025-05-07 14:01:00,,,20000,,19475,,19925,,,,,20000,19350,19400,19300</t>
  </si>
  <si>
    <t>2025-05-07 14:01:00,240087015.1815,7653871734.98253,-15928.2917748918,-13872,-16992.1885780886,-13383.27,-257.864766898935,-4957.08</t>
  </si>
  <si>
    <t>2025-05-07 14:01:00,906010810.405552,2294721497.52686,-10566.2850690976,-7944,-11910.8317919164,-6522.39,-190.444203113962,-2634.04</t>
  </si>
  <si>
    <t>2025-05-07 14:01:00,7823626.50519668,58741500.7096343,-1856.74481851482,-1427,-20948.3521320014,-13077.46,0.490634643867152,-477.33</t>
  </si>
  <si>
    <t>2025-05-07 14:01:00,15164079.0255107,181126.172169817,-0.452652717652714,-19,155.004894540645,-95.87,-0.00408055473798463,-2.15</t>
  </si>
  <si>
    <t>2025-05-07 14:02:00,,,562,,,555,558.5,,,,,565,555,557,562</t>
  </si>
  <si>
    <t>2025-05-07 14:02:00,490,,485,,470,,480,,,,,485,475,481,475</t>
  </si>
  <si>
    <t>2025-05-07 14:02:00,,5540,5650,,,5700,5610,,,,,5700,5500,5600,5500</t>
  </si>
  <si>
    <t>2025-05-07 14:02:00,,,20000,,19475,,19925,,,,,20000,19350,19400,19300</t>
  </si>
  <si>
    <t>2025-05-07 14:02:00,102625543.929888,6442237427.86875,4914.21946525697,3108,5768.00654711956,3141.25,146.547515865677,975.3</t>
  </si>
  <si>
    <t>2025-05-07 14:02:00,874817082.366464,2225216809.90251,3343.18421855922,3004,1348.1875030525,1871.24,191.696873832512,724.14</t>
  </si>
  <si>
    <t>2025-05-07 14:02:00,4776322.40785881,57810740.1225325,1031.19761904762,1497,13567.0455714286,10469.75,9.63398863168042,372.49</t>
  </si>
  <si>
    <t>2025-05-07 14:02:00,13852302.3007832,213315.114759752,35.9764316487718,22,1384.21578328346,507.85,0.0097412550017762,4.92</t>
  </si>
  <si>
    <t>2025-05-07 14:03:00,,,562,,,555,558.5,,,,560,565,555,557,562</t>
  </si>
  <si>
    <t>2025-05-07 14:03:00,490,,485,,470,,480,,,,,485,475,485,475</t>
  </si>
  <si>
    <t>2025-05-07 14:03:00,,5540,5650,,,5700,5610,,,,,5700,5500,5710,5500</t>
  </si>
  <si>
    <t>2025-05-07 14:03:00,,,20000,,19475,,19925,,,,,20000,19350,19400,19300</t>
  </si>
  <si>
    <t>2025-05-07 14:03:00,116831964.535456,7130649242.79171,-10283.8315351315,164,-12804.1437707292,-1659.96,53.77777264389,-346.89</t>
  </si>
  <si>
    <t>2025-05-07 14:03:00,876420521.524608,2600992602.00289,-5666.89247316674,-314,-5488.9655535101,-504.75,-13.9578910353111,-244.34</t>
  </si>
  <si>
    <t>2025-05-07 14:03:00,3402535.58100368,45920688.3461159,-4094.73571428571,-2240,-34035.7620238095,-11743.7,0.316330437453861,-509.63</t>
  </si>
  <si>
    <t>2025-05-07 14:03:00,14064528.2629987,30752.6446114723,-15.7651982814003,-3,-147.083827377837,62.76,-0.0238516403651289,-0.21</t>
  </si>
  <si>
    <t>2025-05-07 14:04:00,,,562,,,555,558.5,,,,,565,555,557,562</t>
  </si>
  <si>
    <t>2025-05-07 14:04:00,490,,485,,470,,480,,,,,485,475,485,475</t>
  </si>
  <si>
    <t>2025-05-07 14:04:00,,5540,5650,,,5700,5610,,,,,5700,5500,5710,5500</t>
  </si>
  <si>
    <t>2025-05-07 14:04:00,,,20000,,19475,,19925,,,,,20000,19350,19400,19300</t>
  </si>
  <si>
    <t>2025-05-07 14:04:00,178822184.818392,8392217155.5056,-7953.7536172161,-6266,-8497.56223122708,-4042.05,87.9072222865928,-1614.34</t>
  </si>
  <si>
    <t>2025-05-07 14:04:00,897303170.895063,2785243938.32313,-5151.47605007019,-4336,-3778.94491130625,-2812.51,-44.9191231013132,-1089.17</t>
  </si>
  <si>
    <t>2025-05-07 14:04:00,5638906.90328694,58658712.907622,-386.609199134199,-383,1290.92320779221,-452.48,1.31768692975248,-70.66</t>
  </si>
  <si>
    <t>2025-05-07 14:04:00,13163553.0388535,181348.08041301,-9.53100427350427,-3,-101.539863034188,-45.98,0.0116936604204304,-0.47</t>
  </si>
  <si>
    <t>2025-05-07 14:05:00,,,562,,,555,558.5,,,,,565,555,557,562</t>
  </si>
  <si>
    <t>2025-05-07 14:05:00,490,,485,,470,,480,,,,,485,475,485,475</t>
  </si>
  <si>
    <t>2025-05-07 14:05:00,,5540,5650,,,5700,5610,,,,,5700,5500,5710,5500</t>
  </si>
  <si>
    <t>2025-05-07 14:05:00,,,20000,,19475,,19925,,,,,20000,19350,19400,19300</t>
  </si>
  <si>
    <t>2025-05-07 14:05:00,64289508.5854104,6307581731.59338,-6408.08659818442,-4626,-4379.50171643573,-2491.41,-22.1629342942535,-1275.31</t>
  </si>
  <si>
    <t>2025-05-07 14:05:00,838322750.885377,2272204639.0118,-4905.38184790121,-3813,-3696.28586697532,-3016.11,-121.207436940972,-1414.71</t>
  </si>
  <si>
    <t>2025-05-07 14:05:00,3767733.85105225,40986984.7782615,-195.894576012226,-572,9350.59508097783,247.84,-3.89756330124863,-182.64</t>
  </si>
  <si>
    <t>2025-05-07 14:05:00,13819288.6660496,89711.2840218718,14.7725363838484,22,251.996822465914,615.47,-0.0114523034190356,5.19</t>
  </si>
  <si>
    <t>2025-05-07 14:06:00,,,562,,,555,558.5,,,,,565,555,557,562</t>
  </si>
  <si>
    <t>2025-05-07 14:06:00,490,,485,,470,,480,,,,,485,475,485,475</t>
  </si>
  <si>
    <t>2025-05-07 14:06:00,,5540,5650,,,5700,5610,,,,,5700,5500,5710,5500</t>
  </si>
  <si>
    <t>2025-05-07 14:06:00,,,20000,,19475,,19925,,,,,20000,19350,19400,19300</t>
  </si>
  <si>
    <t>2025-05-07 14:06:00,10443799.4417967,5054843040.34097,2439.3080993081,-1560,1059.84535205535,-2221.91,-106.579475766271,-675.87</t>
  </si>
  <si>
    <t>2025-05-07 14:06:00,837517712.208071,2310456488.57763,-1009.5065018315,-1987,-1083.43378479853,-235.74,1.99371808194594,-56.54</t>
  </si>
  <si>
    <t>2025-05-07 14:06:00,4090666.51942147,37923962.5323585,995.433333333333,3348,4059.90004761905,6264.85,6.02499533760199,327.22</t>
  </si>
  <si>
    <t>2025-05-07 14:06:00,14209505.0881106,74271.997798242,-10.2378992127154,-31,132.203126814362,-54.71,0.000337330899763877,-0.63</t>
  </si>
  <si>
    <t>2025-05-07 14:07:00,,,562,,,555,558.5,,,,,565,555,557,562</t>
  </si>
  <si>
    <t>2025-05-07 14:07:00,490,,483,,470,,480,,,,,485,475,485,475</t>
  </si>
  <si>
    <t>2025-05-07 14:07:00,,5540,5650,,,5700,5610,,,,,5700,5500,5710,5500</t>
  </si>
  <si>
    <t>2025-05-07 14:07:00,,,20000,,19475,,19925,,,,,20000,19350,19400,19300</t>
  </si>
  <si>
    <t>2025-05-07 14:07:00,129908824.316821,8479002906.00303,3172.38943001443,1057,3933.23992424242,1196.2,119.660083369464,478.74</t>
  </si>
  <si>
    <t>2025-05-07 14:07:00,858917562.918857,2793904906.09794,4893.62474747475,4529,2496.06806161616,729.67,152.268029600806,483.9</t>
  </si>
  <si>
    <t>2025-05-07 14:07:00,4459333.08753774,61652519.6831697,1408.77797619048,1032,20029.8608869048,9104.35,1.19194769782149,336.93</t>
  </si>
  <si>
    <t>2025-05-07 14:07:00,13236995.3411027,185805.482262466,8.38398962148962,6,217.384667429793,435.47,0.0106993318825081,3.5</t>
  </si>
  <si>
    <t>2025-05-07 14:08:00,,,562,,,555,558.5,,,,,565,555,557,562</t>
  </si>
  <si>
    <t>2025-05-07 14:08:00,490,,485,,470,,480,,,,,485,475,481,475</t>
  </si>
  <si>
    <t>2025-05-07 14:08:00,5700,,5650,,,5700,5610,,,,,5700,5500,5710,5500</t>
  </si>
  <si>
    <t>2025-05-07 14:08:00,,,20000,,19475,,19925,,,,,20000,19350,19400,19300</t>
  </si>
  <si>
    <t>2025-05-07 14:08:00,178556196.084037,7952938872.0642,2674.85421245419,1798,3015.9818131868,1140.9,278.927518643337,627.63</t>
  </si>
  <si>
    <t>2025-05-07 14:08:00,886684071.569076,3179417211.57325,-174.8,-1298,-43.5080000000001,-203.46,-156.207783741362,-352.5</t>
  </si>
  <si>
    <t>2025-05-07 14:08:00,6683853.55199298,65522918.4602531,-418.211111111111,172,-2433.38228174601,-285.84,-3.17709466217005,17.65</t>
  </si>
  <si>
    <t>2025-05-07 14:08:00,15489240.7110798,191040.363522844,3.61676235089696,-5,89.6611780959426,-83.17,0.0177200199544798,-0.92</t>
  </si>
  <si>
    <t>2025-05-07 14:09:00,,,562,,,555,558.5,,561,,,562,555,557,562</t>
  </si>
  <si>
    <t>2025-05-07 14:09:00,490,,483,,470,,480,,,,,485,475,481,475</t>
  </si>
  <si>
    <t>2025-05-07 14:09:00,5700,,5650,,,5700,5610,,,,,5700,5500,5710,5500</t>
  </si>
  <si>
    <t>2025-05-07 14:09:00,,,20000,,19475,,19925,,,,,20000,19350,19400,19300</t>
  </si>
  <si>
    <t>2025-05-07 14:09:00,188478990.441249,9159720017.65033,-2432.53777056276,-2845,1014.85794047617,-133.02,-450.00251447735,-1115.98</t>
  </si>
  <si>
    <t>2025-05-07 14:09:00,903765210.022475,3588871507.06685,386.376008638914,-9,1603.99483085195,869.59,103.855641746731,174.48</t>
  </si>
  <si>
    <t>2025-05-07 14:09:00,7408874.90455838,81207432.8049836,1180.89663865546,1120,27243.2855434173,6417.63,6.505487510754,182.59</t>
  </si>
  <si>
    <t>2025-05-07 14:09:00,13376678.973177,258451.830842274,22.4335906685907,63,596.593742477893,682.48,-0.0163864441085142,6.99</t>
  </si>
  <si>
    <t>2025-05-07 14:10:00,,,562,,,555,558.5,,,,,562,555,557,562</t>
  </si>
  <si>
    <t>2025-05-07 14:10:00,490,,483,,470,,480,,,,,485,475,481,475</t>
  </si>
  <si>
    <t>2025-05-07 14:10:00,,5540,5650,,,5700,5610,,,,,5700,5500,5710,5500</t>
  </si>
  <si>
    <t>2025-05-07 14:10:00,,,20000,,19475,,19925,,,,,20000,19350,19400,19300</t>
  </si>
  <si>
    <t>2025-05-07 14:10:00,165769080.801284,8259261974.83624,3749.98265068265,5374,5198.07899433899,7009.38,-212.502412026951,2524.4</t>
  </si>
  <si>
    <t>2025-05-07 14:10:00,879159875.017326,2975378163.95556,4281.20761049408,2660,3803.63013346588,3170.26,-275.407426916743,1302.69</t>
  </si>
  <si>
    <t>2025-05-07 14:10:00,5195768.16435718,73336370.2364419,323.792857142857,339,8428.57700000006,2705.09,1.923365903311,104.5</t>
  </si>
  <si>
    <t>2025-05-07 14:10:00,13442233.691064,237487.441222487,32.7773626373627,62,998.193411122213,905.97,-0.0331516569472712,11</t>
  </si>
  <si>
    <t>2025-05-07 14:11:00,,555,562,,,555,558.5,,560,,,562,555,557,562</t>
  </si>
  <si>
    <t>2025-05-07 14:11:00,490,,483,,470,,480,,,,,485,475,481,475</t>
  </si>
  <si>
    <t>2025-05-07 14:11:00,,5540,5650,,,5700,5610,,,,,5700,5500,5710,5500</t>
  </si>
  <si>
    <t>2025-05-07 14:11:00,,,,,19475,,19925,,,,,20000,19350,19400,19300</t>
  </si>
  <si>
    <t>2025-05-07 14:11:00,-87512708.0349502,3895438303.25329,-2275.61518759018,-5563,-3711.84983080808,-4556.32,-494.341279703251,-1812.36</t>
  </si>
  <si>
    <t>2025-05-07 14:11:00,768531026.194655,1660791929.76453,-4379.49556489262,-2511,-1651.59412928248,4.18999999999995,-102.618008966656,-161.14</t>
  </si>
  <si>
    <t>2025-05-07 14:11:00,1312359.97846374,17456900.1555427,-439.459523809524,110,-4076.09895238095,2341.31,0.849900562825334,150.55</t>
  </si>
  <si>
    <t>2025-05-07 14:11:00,12008746.2380172,-44167.9550559696,-2.47362733389758,-24,-200.742559234075,102.91,-0.018955642299941,-2.45</t>
  </si>
  <si>
    <t>2025-05-07 14:12:00,,555,562,,,555,558.5,,,,,562,555,557,562</t>
  </si>
  <si>
    <t>2025-05-07 14:12:00,490,,483,,470,,480,,,,,485,475,481,475</t>
  </si>
  <si>
    <t>2025-05-07 14:12:00,,5540,5650,,,5700,5610,,,,,5700,5500,5710,5500</t>
  </si>
  <si>
    <t>2025-05-07 14:12:00,,,,,19475,,19925,,,,,20000,19350,19400,19300</t>
  </si>
  <si>
    <t>2025-05-07 14:12:00,-50326026.5634547,5564733692.62909,1131.15970418471,3592,-2431.55328463203,-466.72,440.373342047026,364.69</t>
  </si>
  <si>
    <t>2025-05-07 14:12:00,773387588.204696,1896431737.34745,75.0346790890284,686,45.6634782608725,-160.91,-172.122837679012,127.49</t>
  </si>
  <si>
    <t>2025-05-07 14:12:00,1769388.44817174,17908632.0086373,-639.986904761903,-202,-7868.33879761903,-13.4999999999999,6.58221089863492,0.38000000000001</t>
  </si>
  <si>
    <t>2025-05-07 14:12:00,13192131.1610355,-46091.951277883,-17.0484509317843,-31,-14.5881585254263,-683.9,-0.0169990461310616,-6.25</t>
  </si>
  <si>
    <t>2025-05-07 14:13:00,,,562,,,555,558.5,,,,,562,555,557,562</t>
  </si>
  <si>
    <t>2025-05-07 14:13:00,490,,485,,470,,480,481,,,,485,475,481,475</t>
  </si>
  <si>
    <t>2025-05-07 14:13:00,,5540,5650,,,5700,5610,,,,,5700,5500,5710,5500</t>
  </si>
  <si>
    <t>2025-05-07 14:13:00,,,20000,,19475,,19925,,,,,20000,19350,19400,19300</t>
  </si>
  <si>
    <t>2025-05-07 14:13:00,87231563.4530555,6978746791.87852,1334.71593406593,131,3574.60836263736,2315.74,-168.046284102819,615.55</t>
  </si>
  <si>
    <t>2025-05-07 14:13:00,905873707.023603,2833330129.7979,1117.81111111111,1283,1947.50611111111,1892.15,210.321843232557,614.51</t>
  </si>
  <si>
    <t>2025-05-07 14:13:00,5040189.39804793,56077619.1189847,753.194368131869,1307,7596.31853708792,11041.73,3.16952181989123,543.16</t>
  </si>
  <si>
    <t>2025-05-07 14:13:00,15218321.1783513,171026.211734315,-10.2286203458196,2,-264.700320269643,311.94,-0.0384902324659595,3.06</t>
  </si>
  <si>
    <t>2025-05-07 14:14:00,,,562,,,555,558.5,,,,,562,555,557,562</t>
  </si>
  <si>
    <t>2025-05-07 14:14:00,490,,483,,470,,480,,,,,485,475,481,475</t>
  </si>
  <si>
    <t>2025-05-07 14:14:00,,5540,5650,,,5700,5610,,,,,5700,5500,5600,5500</t>
  </si>
  <si>
    <t>2025-05-07 14:14:00,,,20000,,19475,,19925,,,,,20000,19350,19400,19300</t>
  </si>
  <si>
    <t>2025-05-07 14:14:00,35618330.1550554,7358944945.98436,5733.66290931291,3799,6371.15921556222,3610.21,-17.5776560538452,1542.19</t>
  </si>
  <si>
    <t>2025-05-07 14:14:00,825252570.636225,2150404361.58069,4225.6873015873,2587,2834.33942063492,1778.58,58.1376711313994,709.14</t>
  </si>
  <si>
    <t>2025-05-07 14:14:00,4948719.01093541,57703402.7484867,2016.00476190476,1373,17027.4548095238,10230.25,-1.94594231174905,456.73</t>
  </si>
  <si>
    <t>2025-05-07 14:14:00,13636348.6079122,178789.057475097,16.5158400809716,23,901.936640519567,1048.36,-0.0224509553117808,9.41</t>
  </si>
  <si>
    <t>2025-05-07 14:15:00,,,562,,,555,558.5,,,,,562,555,557,562</t>
  </si>
  <si>
    <t>2025-05-07 14:15:00,490,,483,,470,,480,,,,,485,475,481,475</t>
  </si>
  <si>
    <t>2025-05-07 14:15:00,,5540,5650,,,5700,5610,,,,,5700,5500,5600,5500</t>
  </si>
  <si>
    <t>2025-05-07 14:15:00,,,20000,,19475,,19925,,,,,20000,19350,19400,19300</t>
  </si>
  <si>
    <t>2025-05-07 14:15:00,125959722.877441,8614061519.89745,-4488.92626262626,-5612,-10.2670707070745,-1204.08,110.896588085395,-834.85</t>
  </si>
  <si>
    <t>2025-05-07 14:15:00,859650797.629534,2956576364.40938,-591.755358360496,-972,-1095.43060133378,-1372.51,11.2740316117268,-562.83</t>
  </si>
  <si>
    <t>2025-05-07 14:15:00,5565805.52022771,49846278.6417674,-696.892857142857,-625,1313.46457142857,-827.69,-2.40287924802223,-87.3</t>
  </si>
  <si>
    <t>2025-05-07 14:15:00,15230925.3544614,155571.62870364,6.49282824059998,5,450.000402139708,359.58,0.00206701395784462,2.63</t>
  </si>
  <si>
    <t>2025-05-07 14:16:00,,555,562,,,555,558.5,,,,,562,555,557,562</t>
  </si>
  <si>
    <t>2025-05-07 14:16:00,490,,483,,470,,480,,,481,,485,475,481,475</t>
  </si>
  <si>
    <t>2025-05-07 14:16:00,,5540,5650,,,5700,5610,,,,5610,5700,5500,5600,5500</t>
  </si>
  <si>
    <t>2025-05-07 14:16:00,,,20000,,19475,,19925,,,,,20000,19350,19400,19300</t>
  </si>
  <si>
    <t>2025-05-07 14:16:00,-93423999.6221982,3488855284.28453,-282.348412698432,164,-876.86120418472,-575.56,172.525535817752,-353.07</t>
  </si>
  <si>
    <t>2025-05-07 14:16:00,818356490.24892,1618449178.36919,1279.05722969405,1977,1477.13847358457,2146.88,-48.6354665543635,830.15</t>
  </si>
  <si>
    <t>2025-05-07 14:16:00,1226609.15061742,23579269.8748028,-1338.64368131868,-1469,8.43115934069235,-5463.33,5.71027699178148,-336.73</t>
  </si>
  <si>
    <t>2025-05-07 14:16:00,12599404.742066,67466.8650665415,26.5214510399732,40,1159.2741462131,2858.77,0.0119496459978806,20.36</t>
  </si>
  <si>
    <t>2025-05-07 14:17:00,,,562,,,555,558.5,,,,,562,555,557,562</t>
  </si>
  <si>
    <t>2025-05-07 14:17:00,490,,483,,470,,480,,,,,485,475,481,475</t>
  </si>
  <si>
    <t>2025-05-07 14:17:00,,5540,5650,,,5700,5610,,,,,5700,5500,5600,5500</t>
  </si>
  <si>
    <t>2025-05-07 14:17:00,,,20000,,19475,,19925,,,,,20000,19350,19400,19300</t>
  </si>
  <si>
    <t>2025-05-07 14:17:00,10189865.1268704,5981375482.74136,-5619.77417027416,-3288,-6886.35954906203,-2133.05,-192.600012546291,-1084.56</t>
  </si>
  <si>
    <t>2025-05-07 14:17:00,824450113.222377,2471487791.74424,-951.941613338354,-1564,-650.941800850117,-1170.58,17.283995048405,-531.06</t>
  </si>
  <si>
    <t>2025-05-07 14:17:00,3810263.44607456,32489095.6888329,-902.424398853835,-1146,-224.785280559513,909.66,-2.51515927176108,16.13</t>
  </si>
  <si>
    <t>2025-05-07 14:17:00,14305791.9420845,52561.1479509147,-30.6148541114058,-24,-718.413681034483,-204.19,0.00293705817908181,-2.35</t>
  </si>
  <si>
    <t>2025-05-07 14:19:00,,555,562,,,555,558.5,,,,,562,555,557,562</t>
  </si>
  <si>
    <t>2025-05-07 14:19:00,490,,483,,470,,480,,,,,485,475,481,475</t>
  </si>
  <si>
    <t>2025-05-07 14:19:00,,5540,5650,,,5700,5610,,,,,5700,5500,5600,5500</t>
  </si>
  <si>
    <t>2025-05-07 14:19:00,,,,,19475,,19925,,,,,20000,19350,19400,19300</t>
  </si>
  <si>
    <t>2025-05-07 14:19:00,-40261182.6688947,6385969376.66103,1435.17611832612,1916,35.6072402597398,4053.39,-74.2281092894997,2037.17</t>
  </si>
  <si>
    <t>2025-05-07 14:19:00,786316692.388111,2223707883.74585,-1147.43488480119,-2137,-1144.71840484153,-2403.5,-22.8839878512727,-925.03</t>
  </si>
  <si>
    <t>2025-05-07 14:19:00,661149.127282957,-1681531.36687039,-631.748967698968,111,-7328.62492715618,-7003.77,-2.24157269473871,-142.48</t>
  </si>
  <si>
    <t>2025-05-07 14:19:00,12709672.6764386,-104943.614016102,-1.87218847818848,-16,-44.5177304428905,-303.18,-0.0243154944251617,-3.99</t>
  </si>
  <si>
    <t>2025-05-07 14:20:00,,,562,,,555,558.5,,,,,562,555,557,562</t>
  </si>
  <si>
    <t>2025-05-07 14:20:00,490,,483,,470,,480,,,,,485,475,481,475</t>
  </si>
  <si>
    <t>2025-05-07 14:20:00,5700,,5650,,,5700,5610,,,,,5700,5500,5600,5500</t>
  </si>
  <si>
    <t>2025-05-07 14:20:00,,,20000,,19475,,19925,,,,,20000,19350,19400,19300</t>
  </si>
  <si>
    <t>2025-05-07 14:20:00,171133173.819851,8271757068.79961,3821.328993229,-1000,1393.91953046955,-1665.15,-474.587841441645,-98.5</t>
  </si>
  <si>
    <t>2025-05-07 14:20:00,870722716.341156,3104807491.41051,807.695310245316,-533,-3675.15694949493,-5010.74,-54.0581488708947,-1091.44</t>
  </si>
  <si>
    <t>2025-05-07 14:20:00,6383207.06821899,54312029.8424186,21.7972619047627,-1777,-9122.66923690478,-5163.58,6.36914279373828,-70.19</t>
  </si>
  <si>
    <t>2025-05-07 14:20:00,15584454.2925429,147309.791668122,-21.8306880019579,-20,-2055.50048569875,-971.79,0.00166552656089943,-7.2</t>
  </si>
  <si>
    <t>2025-05-07 14:21:00,,,562,,,555,558.5,,,,,562,555,557,562</t>
  </si>
  <si>
    <t>2025-05-07 14:21:00,490,,483,,470,,480,,,481,,485,475,481,475</t>
  </si>
  <si>
    <t>2025-05-07 14:21:00,,5540,5650,,,5700,5610,,,,,5700,5500,5600,5500</t>
  </si>
  <si>
    <t>2025-05-07 14:21:00,,,20000,,19475,,19925,,,,,20000,19350,19400,19300</t>
  </si>
  <si>
    <t>2025-05-07 14:21:00,116134730.024034,7879234617.46444,-10031.4563492064,-8142,-7806.06490079366,-5113.52,-52.812454345252,-2733.89</t>
  </si>
  <si>
    <t>2025-05-07 14:21:00,842387763.777912,2862694584.64939,-5585.58935776867,-1930,-2663.8662320553,-529.78,-106.030102909376,-293.21</t>
  </si>
  <si>
    <t>2025-05-07 14:21:00,5700431.03587826,55102929.2848661,-2153.82619047619,-1177,-17563.2827380952,-9134.29,-3.57079506886905,-443.73</t>
  </si>
  <si>
    <t>2025-05-07 14:21:00,16120014.1058978,145538.600847156,-9.63066293921134,-8,-589.788955168757,-171.59,0.0185907397500935,-1.75</t>
  </si>
  <si>
    <t>2025-05-07 14:22:00,,,562,,,555,558.5,,,,,562,555,557,562</t>
  </si>
  <si>
    <t>2025-05-07 14:22:00,490,,485,,470,,480,,,,,485,475,481,475</t>
  </si>
  <si>
    <t>2025-05-07 14:22:00,,5540,5650,,,5700,5610,,,,,5700,5500,5600,5500</t>
  </si>
  <si>
    <t>2025-05-07 14:22:00,,,20000,,19475,,19925,,,,,20000,19350,19400,19300</t>
  </si>
  <si>
    <t>2025-05-07 14:22:00,1136923.97995683,6773475457.54722,20967.1401376401,7058,16246.0769447219,5605.33,-74.8083547598931,2435.94</t>
  </si>
  <si>
    <t>2025-05-07 14:22:00,864279360.870884,2254618199.28603,2552.95274170274,1810,1543.3385551948,1126.51,14.2189084207276,575.41</t>
  </si>
  <si>
    <t>2025-05-07 14:22:00,3221296.49534205,50966856.9336572,2814.36167582417,1500,22995.8942477106,7866.37,2.48481614624924,422.18</t>
  </si>
  <si>
    <t>2025-05-07 14:22:00,13350715.5399963,61804.2620685803,8.66757631257632,12,12.1491673382178,354.13,-0.0106843055657427,2.72</t>
  </si>
  <si>
    <t>2025-05-07 14:23:00,,,562,,,555,558.5,,,,,562,555,557,562</t>
  </si>
  <si>
    <t>2025-05-07 14:23:00,490,,483,,470,,480,,,,,485,475,481,475</t>
  </si>
  <si>
    <t>2025-05-07 14:23:00,,5540,5650,,,5700,5610,,,,,5700,5500,5600,5500</t>
  </si>
  <si>
    <t>2025-05-07 14:23:00,,,20000,,19475,,19925,,,,,20000,19350,19400,19300</t>
  </si>
  <si>
    <t>2025-05-07 14:23:00,66004029.7830089,8879237350.76102,3318.2152905574,2290,3632.273946755,2636.5,-18.1420688493187,1170.27</t>
  </si>
  <si>
    <t>2025-05-07 14:23:00,816350845.408892,2964644569.48943,2260.35270562771,1439,1520.38047835498,992.19,-38.7077955394139,447.89</t>
  </si>
  <si>
    <t>2025-05-07 14:23:00,2726730.19287148,50531433.7007954,895.744047619046,700,9978.50338095237,4970.24,1.84583282726594,202.22</t>
  </si>
  <si>
    <t>2025-05-07 14:23:00,11850949.7550907,62867.7209053594,20.857191974692,10,523.570815501165,322.06,0.00966040507476699,4.46</t>
  </si>
  <si>
    <t>2025-05-07 14:24:00,,555,562,,,555,558.5,,,,,562,555,557,562</t>
  </si>
  <si>
    <t>2025-05-07 14:24:00,490,,483,,470,,480,,,,,485,475,481,475</t>
  </si>
  <si>
    <t>2025-05-07 14:24:00,,5540,5650,,,5700,5610,,,,,5700,5500,5600,5500</t>
  </si>
  <si>
    <t>2025-05-07 14:24:00,,,20000,,19475,,19925,,,,,20000,19350,19400,19300</t>
  </si>
  <si>
    <t>2025-05-07 14:24:00,-73785840.3401305,4635709643.48638,3673.35090595679,4305,1715.85837262737,2558.75,-53.129239744598,1232.75</t>
  </si>
  <si>
    <t>2025-05-07 14:24:00,796526890.270525,1778217841.6906,-1613.61589497459,-2525,-755.806630434784,-1526.36,-67.4163326007974,-758.73</t>
  </si>
  <si>
    <t>2025-05-07 14:24:00,2056691.418079,25919069.2589153,-504.859523809522,-156,1188.48149999998,-404.48,0.312460477733365,-53.41</t>
  </si>
  <si>
    <t>2025-05-07 14:24:00,10688047.3500532,3233.3850302729,5.92062728937729,17,82.6157076465201,94.84,0.0107837406560125,1.68</t>
  </si>
  <si>
    <t>2025-05-07 14:25:00,,555,562,,,555,558.5,,,,,562,555,557,562</t>
  </si>
  <si>
    <t>2025-05-07 14:25:00,490,,483,,470,,480,,,,,485,475,481,475</t>
  </si>
  <si>
    <t>2025-05-07 14:25:00,,5540,5650,,,5700,5610,,,,,5700,5500,5710,5500</t>
  </si>
  <si>
    <t>2025-05-07 14:25:00,,,,,19475,,19925,,,,,20000,19350,19400,19300</t>
  </si>
  <si>
    <t>2025-05-07 14:25:00,-176052874.514091,2986645350.64006,-401.516026809449,-1843,1101.10977694235,-289.54,-138.861964277421,-435.28</t>
  </si>
  <si>
    <t>2025-05-07 14:25:00,710692221.614959,1334503908.35126,-1613.91234739773,-4144,-841.690349198112,-1656.09,-162.965582429627,-953.11</t>
  </si>
  <si>
    <t>2025-05-07 14:25:00,-855861.524043411,-4765606.81112078,-270.500357142857,-696,46626.0909273811,35259.06,0.984053950782785,127.34</t>
  </si>
  <si>
    <t>2025-05-07 14:25:00,9853406.78525798,-136958.7208628,32.8860764890765,40,225.349798676529,1481.36,0.00559513510056148,10.92</t>
  </si>
  <si>
    <t>2025-05-07 14:26:00,,555,562,,,555,558.5,,,,,562,555,557,562</t>
  </si>
  <si>
    <t>2025-05-07 14:26:00,490,,,475,470,,480,,,,480,485,475,481,475</t>
  </si>
  <si>
    <t>2025-05-07 14:26:00,,5540,5650,,,5700,5610,,,,,5700,5500,5710,5500</t>
  </si>
  <si>
    <t>2025-05-07 14:26:00,,,,19350,19475,,19925,,,,,20000,19350,19400,19300</t>
  </si>
  <si>
    <t>2025-05-07 14:26:00,-337454966.012326,590727600.600109,-751.028790206216,-1978,-332.334260810883,4162.45,87.8900723907847,1367.25</t>
  </si>
  <si>
    <t>2025-05-07 14:26:00,720372027.698309,562132922.470579,3085.21070168728,-1874,1302.85729093884,775.32,-128.85636083153,225.65</t>
  </si>
  <si>
    <t>2025-05-07 14:26:00,-4714751.99107033,-50849677.0808137,862.492857142858,1276,7976.3685714286,11544.86,-0.0590796967014055,509.62</t>
  </si>
  <si>
    <t>2025-05-07 14:26:00,8768412.92037391,-319766.322106996,26.3244879056296,36,390.582334528648,1650.86,0.00327245605547013,14.33</t>
  </si>
  <si>
    <t>2025-05-07 14:27:00,,555,,558,,555,558.5,,,,558,562,555,557,562</t>
  </si>
  <si>
    <t>2025-05-07 14:27:00,490,,,475,470,,480,,,479,,485,475,481,475</t>
  </si>
  <si>
    <t>2025-05-07 14:27:00,,5540,,5600,,5700,5610,,,,5600,5700,5500,5710,5500</t>
  </si>
  <si>
    <t>2025-05-07 14:27:00,,,,19350,19475,,19925,,,,,20000,19350,19400,19300</t>
  </si>
  <si>
    <t>2025-05-07 14:27:00,-600786795.881184,-6704956932.41715,-3973.95494782995,-10611,-3468.88567696193,-4193.56,-626.486463781822,-2234.88</t>
  </si>
  <si>
    <t>2025-05-07 14:27:00,603658312.524079,-1169427128.01399,1957.08463643738,150,-168.024144892313,-845.95,88.1902347290672,-123.39</t>
  </si>
  <si>
    <t>2025-05-07 14:27:00,-8419428.41126068,-112305292.069585,-1729.89761904762,-1533,-13317.3761666666,-5662.02,8.12054216333956,-356.29</t>
  </si>
  <si>
    <t>2025-05-07 14:27:00,7544620.01300751,-469539.310536396,123.736096310904,63,1493.212630775,1557.01,0.0108324399539092,9.45</t>
  </si>
  <si>
    <t>2025-05-07 14:28:00,,555,,558,,555,558.5,,,,,562,555,557,562</t>
  </si>
  <si>
    <t>2025-05-07 14:28:00,490,,,475,470,,480,,,479,,485,475,481,475</t>
  </si>
  <si>
    <t>2025-05-07 14:28:00,,5540,,5600,,5700,5610,,,5600,,5700,5500,5710,5500</t>
  </si>
  <si>
    <t>2025-05-07 14:28:00,,,,19350,19475,,19925,,,,,20000,19350,19400,19300</t>
  </si>
  <si>
    <t>2025-05-07 14:28:00,-565876401.385881,-5455382599.73381,-8094.77611393446,-8907,-7422.70042540883,-4854.03,-66.0938531074466,-2636.31</t>
  </si>
  <si>
    <t>2025-05-07 14:28:00,593974107.118579,-1097837455.36926,-2292.52932300674,-2106,-2074.97875031957,-265.57,-369.575714306194,79.3299999999999</t>
  </si>
  <si>
    <t>2025-05-07 14:28:00,-8710217.76230132,-130307945.052326,-1862.10714285714,-1912,-8387.57938095234,-4375.78,2.13398325409665,-282.97</t>
  </si>
  <si>
    <t>2025-05-07 14:28:00,6005459.02935462,-596491.931392499,-19.8624980162473,-14,-839.219122989672,-774.05,0.0274116100819899,-8.16</t>
  </si>
  <si>
    <t>2025-05-07 14:29:00,,555,,555,,555,558.5,,,,,562,555,557,562</t>
  </si>
  <si>
    <t>2025-05-07 14:29:00,490,,,475,470,,480,,,,,485,475,481,475</t>
  </si>
  <si>
    <t>2025-05-07 14:29:00,,5540,,5600,,5700,5610,,,5600,,5700,5550,5710,5500</t>
  </si>
  <si>
    <t>2025-05-07 14:29:00,,,,19350,19475,,19925,,,,,20000,19350,19400,19300</t>
  </si>
  <si>
    <t>2025-05-07 14:29:00,-513886691.247209,-3684807669.98886,12745.715876229,5066,9969.95257788702,3947.02,-158.22085166237,2016.4</t>
  </si>
  <si>
    <t>2025-05-07 14:29:00,603851979.848408,-763134337.27902,3398.06884707287,2638,1928.06903117193,1860.05,157.419641817304,877.8</t>
  </si>
  <si>
    <t>2025-05-07 14:29:00,-7540219.1008822,-116113537.319266,-1488.02544122546,-321,-86105.3514668671,-22388.8,-10.0628024083787,-213.98</t>
  </si>
  <si>
    <t>2025-05-07 14:29:00,7727300.53778962,-580788.565577124,-14.5393073593074,-5,-814.67567987013,-732.62,0.000714802481791124,-6.29</t>
  </si>
  <si>
    <t>2025-05-07 14:30:00,,555,,555,,555,558.5,,,,558,562,555,557,562</t>
  </si>
  <si>
    <t>2025-05-07 14:30:00,490,,,475,470,,480,,,,,485,475,481,475</t>
  </si>
  <si>
    <t>2025-05-07 14:30:00,,5540,,5600,,5700,5610,,,5590,,5700,5550,5710,5500</t>
  </si>
  <si>
    <t>2025-05-07 14:30:00,,,,19350,19475,,19925,,,,,20000,19350,19400,19300</t>
  </si>
  <si>
    <t>2025-05-07 14:30:00,-600464095.276458,-5536249296.42712,-3656.66021085196,2240,-5814.12387029975,-3070.24,68.3443017625589,347.94</t>
  </si>
  <si>
    <t>2025-05-07 14:30:00,550604272.314344,-1040987062.40953,1087.41152033152,-873,-698.778376353277,-1346.96,136.552157289563,-12.3400000000001</t>
  </si>
  <si>
    <t>2025-05-07 14:30:00,-9265589.3384385,-146057339.43669,-2341.54542124542,-2819,-17305.9044358974,-17158.8,-3.3394777355583,-613.14</t>
  </si>
  <si>
    <t>2025-05-07 14:30:00,6168215.56676481,-612316.658532276,-9.03423205965004,-32,-709.293446179621,-756.41,0.101766929519475,-10.23</t>
  </si>
  <si>
    <t>2025-05-07 14:31:00,,555,,558,,555,558.5,,,,,562,555,557,562</t>
  </si>
  <si>
    <t>2025-05-07 14:31:00,490,,,475,470,,480,,,,,485,475,481,475</t>
  </si>
  <si>
    <t>2025-05-07 14:31:00,,5540,,5600,,5700,5610,,,,,5700,5550,5710,5500</t>
  </si>
  <si>
    <t>2025-05-07 14:31:00,,,,19350,19475,,19750,,,,,20000,19350,19400,19300</t>
  </si>
  <si>
    <t>2025-05-07 14:31:00,-540528634.669041,-5865210163.14046,12098.348026973,10400,11088.6421828172,6549.55,-486.382387860038,3759.08</t>
  </si>
  <si>
    <t>2025-05-07 14:31:00,597976804.758404,-813641312.677087,4101.7081418648,2954,1462.83108341004,1241.98,-176.914336220522,904.46</t>
  </si>
  <si>
    <t>2025-05-07 14:31:00,-7561408.84733001,-139727033.45856,723.302380952383,1145,3289.41052380954,2634.8,9.80292692018367,217.47</t>
  </si>
  <si>
    <t>2025-05-07 14:31:00,11724842.1704456,-534597.516815914,-25.4451387948602,-15,-1582.44773231526,-1055.5,0.0828833713017458,-7.07</t>
  </si>
  <si>
    <t>2025-05-07 14:32:00,,555,,558,,555,558.5,,,,,562,555,557,562</t>
  </si>
  <si>
    <t>2025-05-07 14:32:00,490,,,475,470,,480,,,,,485,475,481,475</t>
  </si>
  <si>
    <t>2025-05-07 14:32:00,,5540,,5600,,5700,5610,,,,,5700,5550,5710,5500</t>
  </si>
  <si>
    <t>2025-05-07 14:32:00,,,,19350,19475,,19725,,,,,20000,19350,19400,19300</t>
  </si>
  <si>
    <t>2025-05-07 14:32:00,-566506407.212149,-6005737308.03053,-6601.83867798867,-4535,-4336.0286045621,-3149.42,58.1726649399348,-1593.18</t>
  </si>
  <si>
    <t>2025-05-07 14:32:00,579836200.291886,-914869337.575016,91.4049580368542,318,-591.393365717935,-580.37,145.596897640397,-198.51</t>
  </si>
  <si>
    <t>2025-05-07 14:32:00,-8710584.91045826,-135182343.78887,-2171.62804695305,-747,-77109.7427357646,-28680.32,6.15532460339326,-586.47</t>
  </si>
  <si>
    <t>2025-05-07 14:32:00,12605254.9014566,-472519.156797212,-3.8388888888889,-12,-635.704972222223,-850.17,0.0125901615153754,-11.46</t>
  </si>
  <si>
    <t>2025-05-07 14:33:00,,555,,558,,555,558.5,,,,,562,555,557,562</t>
  </si>
  <si>
    <t>2025-05-07 14:33:00,490,,,475,470,,480,,,,,485,475,481,475</t>
  </si>
  <si>
    <t>2025-05-07 14:33:00,,5540,,5600,,5700,5610,,,,,5700,5550,5710,5500</t>
  </si>
  <si>
    <t>2025-05-07 14:33:00,,,,19350,19475,,19750,,,,,20000,19350,19400,19300</t>
  </si>
  <si>
    <t>2025-05-07 14:33:00,-553917185.253393,-5080329012.96509,-705.251373626373,-1254,-568.233557692307,-566.77,0.532332887162445,-259.26</t>
  </si>
  <si>
    <t>2025-05-07 14:33:00,570188821.625978,-200860113.959159,-1166.80060881148,-1056,-1208.57636388973,-767.82,55.4222676603992,-362.88</t>
  </si>
  <si>
    <t>2025-05-07 14:33:00,-8299832.12663296,-133569111.072356,-82.0039377289376,866,-7312.40771611723,870.07,-3.68606346768528,187.1</t>
  </si>
  <si>
    <t>2025-05-07 14:33:00,12702321.4595068,-455719.703501319,-13.8253557744937,-21,-358.685014641489,-333.92,-0.0268202590027026,-5.62</t>
  </si>
  <si>
    <t>2025-05-07 14:34:00,,555,,555,,555,558.5,,,,,562,555,557,562</t>
  </si>
  <si>
    <t>2025-05-07 14:34:00,490,,,475,470,,480,,,,,485,475,481,475</t>
  </si>
  <si>
    <t>2025-05-07 14:34:00,,5540,,5550,,5700,5610,,,,,5700,5550,5710,5500</t>
  </si>
  <si>
    <t>2025-05-07 14:34:00,,,,19350,19475,,19925,,,,,20000,19350,19400,19300</t>
  </si>
  <si>
    <t>2025-05-07 14:34:00,-676219663.536212,-7555526246.58088,1689.19667919799,5506,1097.65867293233,3895.08,65.6171717970449,1717.05</t>
  </si>
  <si>
    <t>2025-05-07 14:34:00,588425472.483668,-792577161.081284,2124.97769170401,1760,1555.17976699324,1346.84,-63.1869738029787,421.39</t>
  </si>
  <si>
    <t>2025-05-07 14:34:00,-9943939.70905973,-134092338.462556,1138.14047619048,1562,12460.876,11808.46,-1.56358535312763,682.46</t>
  </si>
  <si>
    <t>2025-05-07 14:34:00,7968506.65584726,-474448.540600365,108.922320100128,85,1041.05512140632,1031.85,0.0151533642935799,11.02</t>
  </si>
  <si>
    <t>2025-05-07 14:35:00,,555,,555,,555,558.5,,,,,562,555,557,562</t>
  </si>
  <si>
    <t>2025-05-07 14:35:00,490,,,475,470,,480,,,,479,485,475,481,475</t>
  </si>
  <si>
    <t>2025-05-07 14:35:00,,5540,,5600,,5700,5610,,,,,5700,5550,5710,5500</t>
  </si>
  <si>
    <t>2025-05-07 14:35:00,,,,19350,19475,,19925,,,,,20000,19350,19400,19300</t>
  </si>
  <si>
    <t>2025-05-07 14:35:00,-636468104.226238,-6164150123.21439,-5340.72378205127,-937,-4218.12053141025,-573.96,73.048479498294,-226.01</t>
  </si>
  <si>
    <t>2025-05-07 14:35:00,601471692.835205,-883682022.910044,-2648.74563733539,-2897,-3202.85926019833,-2599.95,97.5083393886242,-1171.75</t>
  </si>
  <si>
    <t>2025-05-07 14:35:00,-9357195.55704146,-160874673.16512,-2081.60571428571,-1475,-27789.190847619,-10969.18,2.2514588123804,-479.53</t>
  </si>
  <si>
    <t>2025-05-07 14:35:00,5658136.36360173,-559954.028512641,-11.6578733766234,-10,-451.745047889611,-367.58,0.00838040115159841,-2.4</t>
  </si>
  <si>
    <t>2025-05-07 14:36:00,,555,,558,,555,558.5,,,,,562,555,557,562</t>
  </si>
  <si>
    <t>2025-05-07 14:36:00,490,,482,,470,,480,,,,,485,475,481,475</t>
  </si>
  <si>
    <t>2025-05-07 14:36:00,,5540,,5600,,5700,5610,,,,,5700,5550,5710,5500</t>
  </si>
  <si>
    <t>2025-05-07 14:36:00,,,,19350,19475,,19750,,,,,20000,19350,19400,19300</t>
  </si>
  <si>
    <t>2025-05-07 14:36:00,-400419924.001435,-2692697564.49991,-14903.6448117502,-5899,-10482.899201314,-6502.75,-297.400556638178,-3162.24</t>
  </si>
  <si>
    <t>2025-05-07 14:36:00,634489956.394764,775432052.846455,-1884.26111111111,-623,-2127.47994444445,-1142.06,-73.19957648232,-418.25</t>
  </si>
  <si>
    <t>2025-05-07 14:36:00,-4664956.90716179,-131517797.933302,-2172.4125,-1644,-16681.6138154762,-6186.15,5.5017143228875,-381.05</t>
  </si>
  <si>
    <t>2025-05-07 14:36:00,12854586.0906572,-376690.515710817,-18.4029858737753,-38,-100.764894759626,-67.81,-0.021299233360169,-2.14</t>
  </si>
  <si>
    <t>2025-05-07 14:37:00,,555,,558,,555,558.5,,,,,562,555,557,562</t>
  </si>
  <si>
    <t>2025-05-07 14:37:00,490,,483,,470,,480,,480,,,485,475,481,475</t>
  </si>
  <si>
    <t>2025-05-07 14:37:00,,5540,,5600,,5700,5610,,,,,5700,5550,5710,5500</t>
  </si>
  <si>
    <t>2025-05-07 14:37:00,,,,19350,19475,,19775,,,,,20000,19350,19400,19300</t>
  </si>
  <si>
    <t>2025-05-07 14:37:00,-315745286.590339,-1647381943.96217,-15010.2268323996,-6096,-12484.7221609477,-6789.79,-507.238547415429,-3448.39</t>
  </si>
  <si>
    <t>2025-05-07 14:37:00,667302991.653941,1119397480.85013,-5611.0129456249,-148,-5613.04962153596,-1845.06,-172.998030865675,-845.12</t>
  </si>
  <si>
    <t>2025-05-07 14:37:00,-1754255.92563979,-74423153.342749,-1726.36125541125,-2660,-3878.335495671,-8843.86,-6.90832956004887,-762.36</t>
  </si>
  <si>
    <t>2025-05-07 14:37:00,12838313.4469767,-219446.265447864,2.48454219615511,-34,-529.440209449332,-755.77,-0.0667794652287032,-10.75</t>
  </si>
  <si>
    <t>2025-05-07 14:38:00,,555,,558,,555,558.5,,,,,562,555,557,562</t>
  </si>
  <si>
    <t>2025-05-07 14:38:00,490,,483,,470,,480,,,,,485,475,481,475</t>
  </si>
  <si>
    <t>2025-05-07 14:38:00,,5540,,5600,,5700,5610,5610,,,,5700,5550,5710,5500</t>
  </si>
  <si>
    <t>2025-05-07 14:38:00,,,,19350,19475,,19725,,,,,20000,19350,19400,19300</t>
  </si>
  <si>
    <t>2025-05-07 14:38:00,-502393459.744649,-4157617175.67073,17773.6903202353,7402,13385.9959923299,6056.45,224.565709774944,2746.18</t>
  </si>
  <si>
    <t>2025-05-07 14:38:00,674609013.131487,-93523687.5833822,2623.34716292242,997,1607.4773885825,-60.5500000000002,174.662945764179,466.55</t>
  </si>
  <si>
    <t>2025-05-07 14:38:00,-5069453.23522041,-98066583.5959553,3917.39107142857,3262,28893.9730357143,15868.88,5.12861897680219,932.45</t>
  </si>
  <si>
    <t>2025-05-07 14:38:00,13217973.9157915,-265323.292619282,36.0231368065763,84,372.2358662887,406.51,-0.0801516587911426,9.59</t>
  </si>
  <si>
    <t>2025-05-07 14:40:00,,555,562,,,555,558.5,,,,,562,555,557,562</t>
  </si>
  <si>
    <t>2025-05-07 14:40:00,490,,483,,470,,480,,,,,485,475,481,475</t>
  </si>
  <si>
    <t>2025-05-07 14:40:00,,5540,,5600,,5700,5610,,5610,,,5700,5550,5600,5500</t>
  </si>
  <si>
    <t>2025-05-07 14:40:00,,,,19350,19475,,19925,,,,,20000,19350,19400,19300</t>
  </si>
  <si>
    <t>2025-05-07 14:40:00,-322519842.971373,1199378559.31871,-8852.12010864953,-973,-7439.0211836856,-1825.53,183.743282181943,-824.96</t>
  </si>
  <si>
    <t>2025-05-07 14:40:00,701808668.292204,2113006458.0697,-4295.4338302502,-5449,-3234.32621058252,-1994.11,-76.7611773488019,-901.84</t>
  </si>
  <si>
    <t>2025-05-07 14:40:00,-4432789.26995853,-82852070.0534722,-5762.59047619049,-1305,-37659.4626785715,-8527.61,-5.69807459623126,-466.9</t>
  </si>
  <si>
    <t>2025-05-07 14:40:00,8228179.16581701,-188956.803497486,-25.8713333333333,-30,-463.823307619048,-422.34,-0.0595763871288305,-8.18</t>
  </si>
  <si>
    <t>2025-05-07 14:41:00,,555,,,,555,558.5,,,,,562,555,557,562</t>
  </si>
  <si>
    <t>2025-05-07 14:41:00,490,,483,,470,,480,,,,,485,475,481,475</t>
  </si>
  <si>
    <t>2025-05-07 14:41:00,,5540,,5600,,5700,5610,,,,,5700,5550,5600,5500</t>
  </si>
  <si>
    <t>2025-05-07 14:41:00,,,,19350,19475,,19725,,,,,20000,19350,19400,19300</t>
  </si>
  <si>
    <t>2025-05-07 14:41:00,-318645026.005438,-498822419.573188,1833.25960297162,2620,1833.13251455365,1773.24,251.792282379691,652.73</t>
  </si>
  <si>
    <t>2025-05-07 14:41:00,698230267.84814,1012460348.63875,-1776.70328612669,-2502,-1859.66234807594,-1952.41,38.3710498712168,-1068.11</t>
  </si>
  <si>
    <t>2025-05-07 14:41:00,-4660475.36061725,-59263749.3059241,-194.89365079365,-659,541.614523809523,1077.71,-0.69356552034137,28.59</t>
  </si>
  <si>
    <t>2025-05-07 14:41:00,13741471.4889256,-138291.916630354,37.6224567099567,32,601.715330266955,228.56,0.00443415624382639,3.66</t>
  </si>
  <si>
    <t>2025-05-07 14:42:00,,,560,,558,,558.5,,,,,562,555,557,562</t>
  </si>
  <si>
    <t>2025-05-07 14:42:00,490,,482,,470,,480,,,,,485,475,481,475</t>
  </si>
  <si>
    <t>2025-05-07 14:42:00,5700,,5650,,,5700,5610,5630,5640,,,5700,5550,5600,5500</t>
  </si>
  <si>
    <t>2025-05-07 14:42:00,19975,,20000,,19475,,19925,,,,,20000,19350,19400,19300</t>
  </si>
  <si>
    <t>2025-05-07 14:42:00,796651922.131096,24703723576.9409,-64762.3178736469,1087,-55776.2831406285,-1048.97,-733.148522011592,-1918.35</t>
  </si>
  <si>
    <t>2025-05-07 14:42:00,1428210508.43855,11571679272.542,-1204.61745094992,-3513,-1998.62321885774,-8080.22,-56.4078168516791,-2234.04</t>
  </si>
  <si>
    <t>2025-05-07 14:42:00,17050819.0562015,286649381.391227,4381.05619696418,2584,14647.801962325,7060.33000000001,13.4203895994622,614.52</t>
  </si>
  <si>
    <t>2025-05-07 14:42:00,21080103.5270861,1341322.74581145,-266.936136324004,-156,-4710.7431643603,-3974.68,-0.224949342152608,-64.04</t>
  </si>
  <si>
    <t>2025-05-07 14:43:00,,,562,,575,,558.5,563,,,,562,555,557,562</t>
  </si>
  <si>
    <t>2025-05-07 14:43:00,490,,485,,470,,480,,,,,485,475,481,475</t>
  </si>
  <si>
    <t>2025-05-07 14:43:00,5700,,5650,,5600,,5610,5650,,,,5700,5550,5600,5500</t>
  </si>
  <si>
    <t>2025-05-07 14:43:00,19975,,20000,,19475,,19925,,,,,20000,19350,19400,19300</t>
  </si>
  <si>
    <t>2025-05-07 14:43:00,1217733883.9486,19666255143.0053,6226.75359108098,2552,12609.6825538855,7769.63,164.774104488923,692.43</t>
  </si>
  <si>
    <t>2025-05-07 14:43:00,1540600582.36777,8427972423.76316,1694.93443292409,-6103,3601.78046431214,-8458.59,-323.77011304393,-2804.9</t>
  </si>
  <si>
    <t>2025-05-07 14:43:00,24970386.396542,228572778.757191,11299.8667092398,7114,127627.508548179,88128.81,27.6532404069905,3761.25</t>
  </si>
  <si>
    <t>2025-05-07 14:43:00,22339563.2394957,1347262.45840948,-114.581548976094,-77,-3239.82579456055,-4187.35,-0.0879035223287983,-39.24</t>
  </si>
  <si>
    <t>2025-05-07 14:44:00,,,562,,558,,558.5,,,,,562,555,557,562</t>
  </si>
  <si>
    <t>2025-05-07 14:44:00,490,,485,,470,,480,,,,,485,475,481,475</t>
  </si>
  <si>
    <t>2025-05-07 14:44:00,5700,,5650,,,5700,5610,,5650,,5640,5700,5550,5600,5500</t>
  </si>
  <si>
    <t>2025-05-07 14:44:00,19975,,20000,,19475,,19925,,,,,20000,19350,19400,19300</t>
  </si>
  <si>
    <t>2025-05-07 14:44:00,876400843.252716,18651960962.8189,18613.6830188765,4582,24974.0472774989,6860.87,-10.8237667761569,2080.43</t>
  </si>
  <si>
    <t>2025-05-07 14:44:00,1343058767.50895,6555740866.81394,10090.0121596517,3944,15395.5500219324,7613.64,114.105160491749,2004.26</t>
  </si>
  <si>
    <t>2025-05-07 14:44:00,21427530.8269813,255556896.610957,713.837679425837,-2745,43663.455837799,-8831.49,-30.4183057179106,-858.07</t>
  </si>
  <si>
    <t>2025-05-07 14:44:00,21637112.1749794,1632201.57326138,245.420239106629,124,11110.801473215,5199.72,0.208564745312164,52.13</t>
  </si>
  <si>
    <t>2025-05-07 14:45:00,,,562,,558,,558.5,,563,,,565,555,557,562</t>
  </si>
  <si>
    <t>2025-05-07 14:45:00,490,,485,,470,,480,,,,,485,475,482,475</t>
  </si>
  <si>
    <t>2025-05-07 14:45:00,5700,,5650,,,5700,5610,,5650,,,5700,5550,5600,5500</t>
  </si>
  <si>
    <t>2025-05-07 14:45:00,19975,,20000,,19475,,19925,,,,,20000,19350,19400,19300</t>
  </si>
  <si>
    <t>2025-05-07 14:45:00,959735627.170065,18378191697.6647,2602.16053407362,-4475,927.308445942413,-4142.79,-673.819642305558,-1841.6</t>
  </si>
  <si>
    <t>2025-05-07 14:45:00,1484576432.45802,8051476486.79852,-4347.87245590667,-8046,-4930.73200140796,-8969.99,-424.367063846966,-3431.3</t>
  </si>
  <si>
    <t>2025-05-07 14:45:00,21655511.2909091,274288023.943178,-641.637820512821,-1674,-27914.0541148019,-18698.73,-12.6851458056396,-796.96</t>
  </si>
  <si>
    <t>2025-05-07 14:45:00,22265854.8365116,1471272.39289776,-91.5746024723849,-127,-2971.20861043631,-3526.47,-0.101682000334951,-35.42</t>
  </si>
  <si>
    <t>2025-05-07 14:46:00,,,562,,558,,558.5,,,,,565,555,557,562</t>
  </si>
  <si>
    <t>2025-05-07 14:46:00,490,,485,,470,,480,,,484,,485,475,482,475</t>
  </si>
  <si>
    <t>2025-05-07 14:46:00,5700,,5650,,,5700,5610,,,,,5700,5550,5600,5500</t>
  </si>
  <si>
    <t>2025-05-07 14:46:00,19975,,20000,,19475,,19925,,,,,20000,19350,19400,19300</t>
  </si>
  <si>
    <t>2025-05-07 14:46:00,650860590.045289,20593092937.7856,,5775,,4750.48,-36.0282609458243,2392.82</t>
  </si>
  <si>
    <t>2025-05-07 14:46:00,1316802201.10822,8084626987.94839,3795.24429207012,507,3996.5449126746,2440.63,-266.573568888789,631.43</t>
  </si>
  <si>
    <t>2025-05-07 14:46:00,15645619.2027723,250455214.803459,446.810128934527,-82,19209.3073131733,8810.57,-5.00411170391537,385.89</t>
  </si>
  <si>
    <t>2025-05-07 14:46:00,18317438.5558159,1337687.72665807,97.2715402741707,84,3703.70894278273,1645.42,-0.00768937749361493,21.38</t>
  </si>
  <si>
    <t>2025-05-07 14:47:00,,,562,,,555,558.5,,,,,565,555,557,562</t>
  </si>
  <si>
    <t>2025-05-07 14:47:00,490,,485,,470,,480,,,,,485,475,482,475</t>
  </si>
  <si>
    <t>2025-05-07 14:47:00,5700,,5650,,,5700,5610,,,,,5700,5550,5600,5500</t>
  </si>
  <si>
    <t>2025-05-07 14:47:00,,,20000,,19475,,19925,,,,,20000,19350,19400,19300</t>
  </si>
  <si>
    <t>2025-05-07 14:47:00,245572157.161196,10456858260.9675,6764.61077343576,3307,3621.43560114496,715.91,-192.758672363279,1043.29</t>
  </si>
  <si>
    <t>2025-05-07 14:47:00,1150054452.11647,6015336163.66591,5663.81792303843,3191,5312.59232397505,4089.29,-161.091556841542,1718.92</t>
  </si>
  <si>
    <t>2025-05-07 14:47:00,8075303.87866025,117709233.283227,5260.3847979798,3655,22238.4436767677,15930.91,2.42450828272066,993.6</t>
  </si>
  <si>
    <t>2025-05-07 14:47:00,17036685.2289378,1222343.05284475,49.0987264934054,214,5536.22935565969,1739.99,-0.234862184207452,19.47</t>
  </si>
  <si>
    <t>2025-05-07 14:48:00,,,562,,558,,558.5,,,,,565,555,557,562</t>
  </si>
  <si>
    <t>2025-05-07 14:48:00,490,,485,,470,,480,,,,,485,475,481,475</t>
  </si>
  <si>
    <t>2025-05-07 14:48:00,5700,,5650,,,5700,5610,,,,,5700,5550,5600,5500</t>
  </si>
  <si>
    <t>2025-05-07 14:48:00,,,20000,,19475,,19925,,,,,20000,19350,19400,19300</t>
  </si>
  <si>
    <t>2025-05-07 14:48:00,547946744.985605,16164063885.3131,-6898.31594516594,28,-4501.93559090909,-1307.71,290.684709589782,-404.35</t>
  </si>
  <si>
    <t>2025-05-07 14:48:00,1236182396.61054,6729935297.85276,-4299.00291060291,-2035,-2999.6332042042,-1345.47,-21.46910779751,-546.32</t>
  </si>
  <si>
    <t>2025-05-07 14:48:00,11444729.2460052,159250706.024369,-33.7567699551861,1280,-12417.2458263158,-2979.63,-20.0095105648019,-12.22</t>
  </si>
  <si>
    <t>2025-05-07 14:48:00,17379850.7546549,990274.878996541,-48.7182910027881,-62,-899.881347499279,-794.49,0.0134399845379343,-10.49</t>
  </si>
  <si>
    <t>2025-05-07 14:49:00,,,562,,,555,558.5,,,,,565,555,557,562</t>
  </si>
  <si>
    <t>2025-05-07 14:49:00,490,,485,,470,,480,,,,,485,475,482,475</t>
  </si>
  <si>
    <t>2025-05-07 14:49:00,5700,,5650,,,5700,5610,,,,,5700,5550,5600,5500</t>
  </si>
  <si>
    <t>2025-05-07 14:49:00,,,20000,,19475,,19925,,,,,20000,19350,19400,19300</t>
  </si>
  <si>
    <t>2025-05-07 14:49:00,333879497.329339,16508278896.0489,4777.65024685456,3281,1686.68371396716,1738.09,109.030822975547,837.82</t>
  </si>
  <si>
    <t>2025-05-07 14:49:00,1145358388.39281,7410896375.50452,697.835135471342,824,661.535657783331,438.93,59.0952411519811,82.11</t>
  </si>
  <si>
    <t>2025-05-07 14:49:00,7687992.94255798,147882002.12785,-1188.02662698413,-1667,2849.47928690478,-5008.19,14.5700140490065,-445.09</t>
  </si>
  <si>
    <t>2025-05-07 14:49:00,17471785.5781556,1013149.63720357,107.886451829337,53,2181.02550302202,1559.79,0.0668683464758868,21.5</t>
  </si>
  <si>
    <t>2025-05-07 14:50:00,,,560,,,555,558.5,,,,,565,555,557,562</t>
  </si>
  <si>
    <t>2025-05-07 14:50:00,490,,482,,470,,480,,,,,485,475,482,475</t>
  </si>
  <si>
    <t>2025-05-07 14:50:00,,5540,5650,,,5700,5610,,,5610,,5700,5550,5600,5500</t>
  </si>
  <si>
    <t>2025-05-07 14:50:00,,,20000,,19475,,19925,,,,,20000,19350,19400,19300</t>
  </si>
  <si>
    <t>2025-05-07 14:50:00,169581973.042753,15336587622.4736,10802.4993216462,12941,2534.90077972379,5270.61,331.875035010894,2462.92</t>
  </si>
  <si>
    <t>2025-05-07 14:50:00,904775033.148247,5590859030.34892,1172.88606018251,1339,643.801874346122,1723.54,-100.747801144287,759.07</t>
  </si>
  <si>
    <t>2025-05-07 14:50:00,1867698.12383635,31222310.8885039,-73.0588636363624,-2036,26077.3505022727,7457.97,17.8221032863669,21.93</t>
  </si>
  <si>
    <t>2025-05-07 14:50:00,13518677.7105656,370616.239478352,38.0056703681625,16,660.240936424875,630.53,0.0437320740027949,6.79</t>
  </si>
  <si>
    <t>2025-05-07 14:51:00,,,562,,,555,558.5,,,,,565,555,557,562</t>
  </si>
  <si>
    <t>2025-05-07 14:51:00,490,,485,,470,,480,,,,,485,475,482,475</t>
  </si>
  <si>
    <t>2025-05-07 14:51:00,5700,,5650,,,5700,5610,,,,,5700,5550,5600,5500</t>
  </si>
  <si>
    <t>2025-05-07 14:51:00,,,20000,,19475,,19775,,,,,20000,19350,19400,19300</t>
  </si>
  <si>
    <t>2025-05-07 14:51:00,26389956.5187945,11518725095.4759,3717.30321984593,2908,-392.836391068554,-749.99,176.767984393581,228.22</t>
  </si>
  <si>
    <t>2025-05-07 14:51:00,978201513.587865,4889000336.20344,-4306.78458725183,-5204,-1494.16183893118,280.62,361.306220942141,-331.2</t>
  </si>
  <si>
    <t>2025-05-07 14:51:00,5209316.8441082,40153501.3826316,-1255.32597402598,-253,-4788.18493939396,-334.74,-18.4418135565288,-148.42</t>
  </si>
  <si>
    <t>2025-05-07 14:51:00,16434490.0715105,701455.835141097,34.6439183436252,-212,-2149.58447874076,-1421.2,-0.25384670590049,-21.18</t>
  </si>
  <si>
    <t>2025-05-07 14:52:00,,,562,,,555,558.5,,,,,565,555,557,562</t>
  </si>
  <si>
    <t>2025-05-07 14:52:00,490,,483,,470,,480,,483,,,485,475,482,475</t>
  </si>
  <si>
    <t>2025-05-07 14:52:00,5700,,5650,,,5700,5610,,,,,5700,5550,5600,5500</t>
  </si>
  <si>
    <t>2025-05-07 14:52:00,,,20000,,19475,,19925,,,,,20000,19350,19400,19300</t>
  </si>
  <si>
    <t>2025-05-07 14:52:00,444572242.306735,23711058162.4124,-4296.62414252414,-4162,-2640.70082450882,-3898.01,-467.118546656571,-2404.65</t>
  </si>
  <si>
    <t>2025-05-07 14:52:00,1167547268.4429,8367373437.1086,783.55460008809,735,369.163206291525,-521.65,1.78333540757079,-324.23</t>
  </si>
  <si>
    <t>2025-05-07 14:52:00,11975201.9575484,250005860.041002,-1515.63198412698,-3765,-6444.32471111111,-10079.74,-6.18760878623484,-911.53</t>
  </si>
  <si>
    <t>2025-05-07 14:52:00,18411534.5809424,1328041.70652282,79.5992689981976,63,-171.448737633002,-69.32,-0.0702482455348167,-2.19</t>
  </si>
  <si>
    <t>2025-05-07 14:54:00,,,562,,,555,558.5,,,,,565,555,557,562</t>
  </si>
  <si>
    <t>2025-05-07 14:54:00,490,,485,,470,,480,,,,,485,475,482,475</t>
  </si>
  <si>
    <t>2025-05-07 14:54:00,5700,,5650,,,5700,5610,5630,,,,5700,5550,5600,5620</t>
  </si>
  <si>
    <t>2025-05-07 14:54:00,,,20000,,19475,,19925,,,,,20000,19350,19400,19300</t>
  </si>
  <si>
    <t>2025-05-07 14:54:00,243237157.582048,14854727376.528,653.97452498482,2060,126.211731861276,309.73,278.039279112884,523.69</t>
  </si>
  <si>
    <t>2025-05-07 14:54:00,1116816444.31061,6658327642.31881,203.250709115187,549,128.587597427788,818.79,-46.4435483486446,513.73</t>
  </si>
  <si>
    <t>2025-05-07 14:54:00,9566920.07301725,240073014.134271,-1304.95944444445,-563,1358.55175555555,1029.12,23.2164602327545,75.7899999999999</t>
  </si>
  <si>
    <t>2025-05-07 14:54:00,16833292.3845314,1166803.12496304,0.155927889024634,63,-154.871404792865,-159.6,0.0270246938203691,-1.51</t>
  </si>
  <si>
    <t>2025-05-07 14:55:00,,,560,,,555,558.5,,,,,565,555,557,562</t>
  </si>
  <si>
    <t>2025-05-07 14:55:00,490,,483,,470,,480,,,,,485,475,482,475</t>
  </si>
  <si>
    <t>2025-05-07 14:55:00,5700,,5630,,,5700,5610,,,,,5700,5550,5600,5500</t>
  </si>
  <si>
    <t>2025-05-07 14:55:00,19975,,20000,,19475,,19925,,,,,20000,19350,19400,19300</t>
  </si>
  <si>
    <t>2025-05-07 14:55:00,679655966.833075,43931461061.2125,642.155937323966,1931,346.567630654115,1524.56,-118.152168026616,1041</t>
  </si>
  <si>
    <t>2025-05-07 14:55:00,1208777387.48615,9571061191.21033,116.620649815457,-451,367.64052908891,178.19,-155.260695488704,161.57</t>
  </si>
  <si>
    <t>2025-05-07 14:55:00,14599868.5775651,432300775.875909,2855.0334237932,1741,8845.49833588483,8947.13,-18.2909155788034,678.97</t>
  </si>
  <si>
    <t>2025-05-07 14:55:00,15801036.9530205,1441363.09416854,-1.83172828236364,-17,85.0112829970164,-243.89,0.0399972274840166,-2.83</t>
  </si>
  <si>
    <t>2025-05-07 14:56:00,,,562,,558,,558.5,,,,,565,555,557,562</t>
  </si>
  <si>
    <t>2025-05-07 14:56:00,490,,485,,470,,480,,,,,485,475,482,475</t>
  </si>
  <si>
    <t>2025-05-07 14:56:00,5700,,5630,,,5700,5610,5630,,,,5700,5550,5600,5620</t>
  </si>
  <si>
    <t>2025-05-07 14:56:00,19975,,20000,,19475,,19925,,,,,20000,19350,19400,19300</t>
  </si>
  <si>
    <t>2025-05-07 14:56:00,583906956.662541,34278989038.5721,540.668565747978,2433,-163.960156941094,468.82,260.206454439917,1086.08</t>
  </si>
  <si>
    <t>2025-05-07 14:56:00,1231606496.48138,10310197441.1682,-1652.9418033669,-1569,-737.414939338491,-977.68,5.69631455566875,-395.11</t>
  </si>
  <si>
    <t>2025-05-07 14:56:00,14938773.3423606,454655171.419645,-2276.88252525252,-151,-936.188748484885,6131.49,115.785221083229,1191.84</t>
  </si>
  <si>
    <t>2025-05-07 14:56:00,19186609.9006118,1886920.86443518,-25.1878006210122,-50,-1283.37116050706,18.31,-0.114924677589668,-11.5</t>
  </si>
  <si>
    <t>2025-05-07 14:57:00,,,562,,558,,558.5,,,,,565,555,557,562</t>
  </si>
  <si>
    <t>2025-05-07 14:57:00,490,,485,,470,,480,,,,,485,475,482,475</t>
  </si>
  <si>
    <t>2025-05-07 14:57:00,5700,,5640,,,5700,5610,,5630,5630,,5700,5550,5600,5620</t>
  </si>
  <si>
    <t>2025-05-07 14:57:00,19975,,20000,,19475,,19775,,,,,20000,19350,19400,19300</t>
  </si>
  <si>
    <t>2025-05-07 14:57:00,597652451.432107,33704628436.0439,1349.53177402158,-3594,609.822730825358,-486,-639.485980384489,188.31</t>
  </si>
  <si>
    <t>2025-05-07 14:57:00,1203436626.15026,8811475353.83512,-136.470200368436,-907,-236.877784738941,-1151.06,41.5255462164242,-616.88</t>
  </si>
  <si>
    <t>2025-05-07 14:57:00,15434363.6227207,451889154.788912,-1088.00393939394,-1612,-2292.21250606061,-4524.8,-70.036152924765,-513.59</t>
  </si>
  <si>
    <t>2025-05-07 14:57:00,14003306.3077409,2316718.90339635,3.41611279240756,-19,190.490992447967,122.1,-0.0645372946083348,0.45</t>
  </si>
  <si>
    <t>2025-05-07 14:58:00,,,562,,558,,558.5,,,,,565,555,557,562</t>
  </si>
  <si>
    <t>2025-05-07 14:58:00,490,,485,,470,,480,,,,,485,475,482,475</t>
  </si>
  <si>
    <t>2025-05-07 14:58:00,5700,,5630,,,5700,5610,5630,5640,5630,,5700,5550,5630,5620</t>
  </si>
  <si>
    <t>2025-05-07 14:58:00,19975,,19850,,19475,,19775,,,,,20000,19350,19400,19300</t>
  </si>
  <si>
    <t>2025-05-07 14:58:00,555531535.988326,31446540980.8122,29.7561469032057,-664,686.568395191409,-487.91,-593.372841715311,-627.47</t>
  </si>
  <si>
    <t>2025-05-07 14:58:00,1313517225.05049,10597496494.0408,-63.3172610444671,-171,679.072554457532,471.7,-88.4899286795491,305.36</t>
  </si>
  <si>
    <t>2025-05-07 14:58:00,17593293.8728911,752546363.05077,-378.939014416953,666,9696.87310715265,7992.19,4.34796532107831,951.66</t>
  </si>
  <si>
    <t>2025-05-07 14:58:00,15497819.9319531,2792979.4696811,8.43209597293696,-22,49.046833828003,116.14,-0.0444922548119982,-0.59</t>
  </si>
  <si>
    <t>2025-05-07 14:59:00,,,562,,558,,558.5,,,,,565,555,557,562</t>
  </si>
  <si>
    <t>2025-05-07 14:59:00,490,,484,,470,,480,,,,,485,475,482,475</t>
  </si>
  <si>
    <t>2025-05-07 14:59:00,5700,,5630,,,5700,5610,,5640,,5630,5700,5550,5600,5620</t>
  </si>
  <si>
    <t>2025-05-07 14:59:00,19975,,19850,,19475,,19775,,,,,20000,19350,19400,19300</t>
  </si>
  <si>
    <t>2025-05-07 14:59:00,558468953.97153,32283264775.1413,-4651.49433367685,-6928,119.319773061802,-490.65,-361.664957259507,-877.55</t>
  </si>
  <si>
    <t>2025-05-07 14:59:00,1347307864.93626,12647983854.2865,217.047012987014,2598,66.3372808524815,-141.5,-460.718471676147,-109.09</t>
  </si>
  <si>
    <t>2025-05-07 14:59:00,14772481.9242792,674194831.506916,-1915.03622988435,-2118,-670.928033481951,-1979.95,-9.22126449141189,-888.91</t>
  </si>
  <si>
    <t>2025-05-07 14:59:00,17986629.1294372,3206305.69061998,-78.5375137136259,-50,25.3399978449965,-339.93,-0.0289994075226168,-6.35</t>
  </si>
  <si>
    <t>2025-05-07 15:00:00,,,562,,558,,558.5,,,,,565,555,557,562</t>
  </si>
  <si>
    <t>2025-05-07 15:00:00,490,,483,,470,,480,484,,,,485,475,482,475</t>
  </si>
  <si>
    <t>2025-05-07 15:00:00,5700,,5630,,,5700,5610,5640,,5630,,5700,5550,5630,5620</t>
  </si>
  <si>
    <t>2025-05-07 15:00:00,,,19900,,19475,,19775,,,,,20000,19350,19400,19300</t>
  </si>
  <si>
    <t>2025-05-07 15:00:00,896666158.159496,49782668369.7042,7456.33070527406,6678,7617.66774169109,4161.15,922.553133425648,2694.33</t>
  </si>
  <si>
    <t>2025-05-07 15:00:00,1407474803.17289,14205482307.211,2454.28412518807,1441,1141.15199131479,317.18,-3.52929735598769,367.09</t>
  </si>
  <si>
    <t>2025-05-07 15:00:00,12812633.0161985,623929832.100309,1565.35991310799,2613,7196.68532000248,6022.62,-86.5176966684204,1101.94</t>
  </si>
  <si>
    <t>2025-05-07 15:00:00,10884585.410809,3032781.06787554,16.9217761071759,10,1395.7014360315,1077.4,-0.0184939038224902,12.98</t>
  </si>
  <si>
    <t>2025-05-07 15:01:00,,,562,,558,,558.5,,,,,565,555,557,562</t>
  </si>
  <si>
    <t>2025-05-07 15:01:00,490,,485,,470,,480,,,,,485,475,482,475</t>
  </si>
  <si>
    <t>2025-05-07 15:01:00,5700,,5630,,,5700,5610,,,,,5700,5550,5630,5620</t>
  </si>
  <si>
    <t>2025-05-07 15:01:00,,,19900,,19475,,19775,,,,,20000,19350,19400,19300</t>
  </si>
  <si>
    <t>2025-05-07 15:01:00,974586341.066851,50326350624.4225,726.924404147624,-1250,2347.15802609465,1788.28,-837.174335768982,258.35</t>
  </si>
  <si>
    <t>2025-05-07 15:01:00,1509541968.00865,14316296548.2187,986.987768414018,-1,560.327586188248,114.62,-221.581075237451,77</t>
  </si>
  <si>
    <t>2025-05-07 15:01:00,14374567.102733,741146205.641861,0,0,0,0,0,0</t>
  </si>
  <si>
    <t>2025-05-07 15:01:00,9588860.66435125,3041510.94954241,0,0,0,0,0,0</t>
  </si>
  <si>
    <t>2025-05-07 15:02:00,,,562,,558,,558.5,,,,,565,555,557,562</t>
  </si>
  <si>
    <t>2025-05-07 15:02:00,490,,484,,470,,480,,,,,485,475,482,475</t>
  </si>
  <si>
    <t>2025-05-07 15:02:00,5700,,5630,,,5700,5610,,,,,5700,5550,5630,5620</t>
  </si>
  <si>
    <t>2025-05-07 15:02:00,,,19900,,19475,,19775,,,,,20000,19350,19400,19300</t>
  </si>
  <si>
    <t>2025-05-07 15:02:00,749022335.779996,45686613312.7174,-990.430171722505,-2675,617.674883666809,990.41,-265.047180938602,18.51</t>
  </si>
  <si>
    <t>2025-05-07 15:02:00,1452907545.13113,15895624644.929,1171.54834434571,1712,536.448086845903,685.52,378.709088642006,660.22</t>
  </si>
  <si>
    <t>2025-05-07 15:02:00,14892492.3264983,736746731.460996,0,0,0,0,0,0</t>
  </si>
  <si>
    <t>2025-05-07 15:02:00,11182578.1717001,3049153.96088911,0,0,0,0,0,0</t>
  </si>
  <si>
    <t>2025-05-07 15:03:00,,,562,,558,,558.5,,,,,565,555,557,562</t>
  </si>
  <si>
    <t>2025-05-07 15:03:00,490,,484,,470,,480,,,,,485,475,482,475</t>
  </si>
  <si>
    <t>2025-05-07 15:03:00,5700,,5630,,,5700,5610,,,,,5700,5550,5630,5620</t>
  </si>
  <si>
    <t>2025-05-07 15:03:00,,,19900,,19475,,19775,,,,,20000,19350,19400,19300</t>
  </si>
  <si>
    <t>2025-05-07 15:03:00,676244050.723386,50368051320.6182,925.524218293784,1222,754.318420130594,1084.05,182.810312480908,910.58</t>
  </si>
  <si>
    <t>2025-05-07 15:03:00,1419095214.0137,16901977349.8569,3539.25061225077,3536,461.781223399367,383.18,166.973532033209,335.5</t>
  </si>
  <si>
    <t>2025-05-07 15:03:00,15233693.5837163,749091559.102519,0,0,0,0,0,0</t>
  </si>
  <si>
    <t>2025-05-07 15:03:00,11889554.2977298,3057356.41009913,0,0,0,0,0,0</t>
  </si>
  <si>
    <t>2025-05-07 15:04:00,,,562,,558,,558.5,,,,,565,555,557,562</t>
  </si>
  <si>
    <t>2025-05-07 15:04:00,490,,485,,470,,481,,,,,485,475,482,475</t>
  </si>
  <si>
    <t>2025-05-07 15:04:00,5700,,5630,,,5700,5610,,,,,5700,5550,5630,5620</t>
  </si>
  <si>
    <t>2025-05-07 15:04:00,,,19900,,19475,,19775,,,,,20000,19350,19400,19300</t>
  </si>
  <si>
    <t>2025-05-07 15:04:00,865776850.158356,54677257406.0753,-517.871486356781,-368,-302.942135952283,-348.68,-114.906312121263,-156.44</t>
  </si>
  <si>
    <t>2025-05-07 15:04:00,1449098384.65777,14420717189.3726,-170.882158119658,172,-35.7459850427351,-167.1,-123.849980468123,-129.03</t>
  </si>
  <si>
    <t>2025-05-07 15:04:00,14516587.9819431,754068753.79094,0,0,0,0,0,0</t>
  </si>
  <si>
    <t>2025-05-07 15:04:00,9930536.99004235,3066543.95471644,0,0,0,0,0,0</t>
  </si>
  <si>
    <t>2025-05-07 15:05:00,,,562,,558,,558.5,,,,,565,555,557,562</t>
  </si>
  <si>
    <t>2025-05-07 15:05:00,490,,484,,470,,480,,,,,485,475,482,475</t>
  </si>
  <si>
    <t>2025-05-07 15:05:00,5700,,5630,,,5700,5610,,,,,5700,5550,5630,5620</t>
  </si>
  <si>
    <t>2025-05-07 15:05:00,,,19900,,19475,,19775,,,,,20000,19350,19400,19300</t>
  </si>
  <si>
    <t>2025-05-07 15:05:00,839327246.192938,49735564042.2901,173.271351455562,11,162.533247734722,92.39,-34.4100710162786,78.42</t>
  </si>
  <si>
    <t>2025-05-07 15:05:00,1469778841.99605,16054487059.874,109.421492085206,21,136.814574359977,-11.08,-68.3683559477605,3.71</t>
  </si>
  <si>
    <t>2025-05-07 15:05:00,14923440.4108427,765308707.329746,0,0,0,0,0,0</t>
  </si>
  <si>
    <t>2025-05-07 15:05:00,10304377.3203876,3074230.86519458,0,0,0,0,0,0</t>
  </si>
  <si>
    <t>2025-05-07 15:06:00,,,562,,558,,558.5,,,,,565,555,557,562</t>
  </si>
  <si>
    <t>2025-05-07 15:06:00,490,,484,,470,,480,,,,,485,475,482,475</t>
  </si>
  <si>
    <t>2025-05-07 15:06:00,5700,,5630,,,5700,5610,,,,,5700,5550,5630,5620</t>
  </si>
  <si>
    <t>2025-05-07 15:06:00,,,19900,,19475,,19775,,,,,20000,19350,19400,19300</t>
  </si>
  <si>
    <t>2025-05-07 15:06:00,573115524.292454,48215903601.9122,184.507282629651,-2790,274.32335839599,132.79,-527.46759552622,-49.15</t>
  </si>
  <si>
    <t>2025-05-07 15:06:00,1364125041.508,17492232630.9896,155.245394792326,-354,732.004509761754,543.51,15.7750418243305,106.71</t>
  </si>
  <si>
    <t>2025-05-07 15:06:00,15318294.5693683,769330747.007506,0,0,0,0,0,0</t>
  </si>
  <si>
    <t>2025-05-07 15:06:00,11754146.7307434,3082047.50715669,0,0,0,0,0,0</t>
  </si>
  <si>
    <t>2025-05-07 15:07:00,,,561,,558,,558.5,,,,,565,555,557,562</t>
  </si>
  <si>
    <t>2025-05-07 15:07:00,490,,483,,470,,480,,,,,485,475,482,475</t>
  </si>
  <si>
    <t>2025-05-07 15:07:00,5700,,5630,,,5700,5610,,,,,5700,5550,5630,5620</t>
  </si>
  <si>
    <t>2025-05-07 15:07:00,,,19900,,19475,,19775,,,,,20000,19350,19400,19300</t>
  </si>
  <si>
    <t>2025-05-07 15:07:00,617645145.808896,51711471868.9668,1584.43919886032,1515,478.860560158388,169.66,-150.190658109075,742.68</t>
  </si>
  <si>
    <t>2025-05-07 15:07:00,1266618893.93609,15243930419.1207,1135.17686637687,937,1271.29423114723,978.16,189.129260516541,227.5</t>
  </si>
  <si>
    <t>2025-05-07 15:07:00,15398169.1865891,772892243.874938,0,0,0,0,0,0</t>
  </si>
  <si>
    <t>2025-05-07 15:07:00,12706156.0961772,3088737.32251088,0,0,0,0,0,0</t>
  </si>
  <si>
    <t>2025-05-07 15:08:00,,,562,,558,,558.5,,,,,565,555,557,562</t>
  </si>
  <si>
    <t>2025-05-07 15:08:00,490,,483,,470,,480,,,,,485,475,482,475</t>
  </si>
  <si>
    <t>2025-05-07 15:08:00,5700,,5630,,,5700,5610,,,,,5700,5550,5630,5620</t>
  </si>
  <si>
    <t>2025-05-07 15:08:00,,,19900,,19475,,19775,,,,,20000,19350,19400,19300</t>
  </si>
  <si>
    <t>2025-05-07 15:08:00,340740220.807633,41656010405.9815,-879.177687590187,-927,-50.2443944805193,-416.98,-180.213427664002,-483.45</t>
  </si>
  <si>
    <t>2025-05-07 15:08:00,1228596920.13908,14801914067.4924,56.6552017522707,-9,75.05460155936,215.57,-16.8603878311151,58.92</t>
  </si>
  <si>
    <t>2025-05-07 15:08:00,15795363.9889222,777442690.482397,0,0,0,0,0,0</t>
  </si>
  <si>
    <t>2025-05-07 15:08:00,13359835.3709847,3097606.03509605,0,0,0,0,0,0</t>
  </si>
  <si>
    <t>2025-05-07 15:10:00,,,561,,558,,558.5,,,,,562,555,557,562</t>
  </si>
  <si>
    <t>2025-05-07 15:10:00,490,,483,,470,,480,,,,,485,475,482,475</t>
  </si>
  <si>
    <t>2025-05-07 15:10:00,5700,,5630,,,5700,5610,,,,,5700,5550,5630,5620</t>
  </si>
  <si>
    <t>2025-05-07 15:10:00,,,19850,,19475,,19775,,,,,20000,19350,19400,19300</t>
  </si>
  <si>
    <t>2025-05-07 15:10:00,405929780.789472,50563280067.8295,87.5498317113407,110,7.08471027778709,113.35,-1219.11617085682,163.11</t>
  </si>
  <si>
    <t>2025-05-07 15:10:00,1175048365.74797,15603791632.9935,-427.216299485272,-343,-55.1719363058184,-157.36,54.3609904475252,-48.16</t>
  </si>
  <si>
    <t>2025-05-07 15:10:00,16108479.5022707,782282205.435466,0,0,0,0,0,0</t>
  </si>
  <si>
    <t>2025-05-07 15:10:00,13741766.9060947,3106576.79505571,0,0,0,0,0,0</t>
  </si>
  <si>
    <t>2025-05-07 15:11:00,,,562,,558,,558.5,,,,,562,555,557,562</t>
  </si>
  <si>
    <t>2025-05-07 15:11:00,490,,484,,470,,480,,,,,485,475,482,475</t>
  </si>
  <si>
    <t>2025-05-07 15:11:00,5700,,5630,,,5700,5610,,,,,5700,5550,5630,5620</t>
  </si>
  <si>
    <t>2025-05-07 15:11:00,,,19850,,19475,,19775,,,,,20000,19350,19400,19300</t>
  </si>
  <si>
    <t>2025-05-07 15:11:00,489804992.386342,43294800422.8484,-396.44426916221,80,-331.315443850267,-345.33,-18.1693717516704,-209.5</t>
  </si>
  <si>
    <t>2025-05-07 15:11:00,1333651725.17554,16715099013.4642,-771.810899636762,-393,-688.775818007663,-433.23,-26.8100164206993,-321.69</t>
  </si>
  <si>
    <t>2025-05-07 15:11:00,15272256.3730463,788706954.372688,0,0,0,0,0,0</t>
  </si>
  <si>
    <t>2025-05-07 15:11:00,11605756.9852116,3119055.58247616,0,0,0,0,0,0</t>
  </si>
  <si>
    <t>2025-05-07 15:12:00,,,562,,558,,558.5,,,,,562,555,557,562</t>
  </si>
  <si>
    <t>2025-05-07 15:12:00,490,,484,,470,,480,,,,,485,475,482,475</t>
  </si>
  <si>
    <t>2025-05-07 15:12:00,5700,,5630,,,5700,5610,,,,,5700,5550,5630,5620</t>
  </si>
  <si>
    <t>2025-05-07 15:12:00,,,19850,,19475,,19775,,,,,20000,19350,19400,19300</t>
  </si>
  <si>
    <t>2025-05-07 15:12:00,527760674.912464,43684288927.4998,178.245604395605,89,55.3762435897436,-396.72,89.729028742683,-144.58</t>
  </si>
  <si>
    <t>2025-05-07 15:12:00,1444427352.12847,17872202454.0899,-94.4393719806763,-310,80.747876121463,11.85,-48.92482447115,-54.93</t>
  </si>
  <si>
    <t>2025-05-07 15:12:00,15318495.1004294,793824245.508185,0,0,0,0,0,0</t>
  </si>
  <si>
    <t>2025-05-07 15:12:00,10911983.2843261,3127358.09408164,0,0,0,0,0,0</t>
  </si>
  <si>
    <t>2025-05-07 15:13:00,,,562,,558,,558.5,,,,,562,555,557,562</t>
  </si>
  <si>
    <t>2025-05-07 15:13:00,490,,484,,470,,481,,,,,485,475,482,475</t>
  </si>
  <si>
    <t>2025-05-07 15:13:00,5700,,5630,,,5700,5610,,,,,5700,5550,5630,5620</t>
  </si>
  <si>
    <t>2025-05-07 15:13:00,,,19850,,19475,,19775,,,,,20000,19350,19400,19300</t>
  </si>
  <si>
    <t>2025-05-07 15:13:00,552644988.070624,51653808472.3103,-44.2886904761905,-102,60.0431547619046,55.98,-63.7828739429812,-34.06</t>
  </si>
  <si>
    <t>2025-05-07 15:13:00,1408463151.79256,16517682213.1695,-8.10129870129873,-95,4.17199999999997,-41.32,-17.8799175770921,-41.89</t>
  </si>
  <si>
    <t>2025-05-07 15:13:00,15392694.2582226,799122359.179791,0,0,0,0,0,0</t>
  </si>
  <si>
    <t>2025-05-07 15:13:00,10031263.3972267,3136674.36033066,0,0,0,0,0,0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</si>
</sst>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.0000"/>
    <numFmt numFmtId="166" formatCode="[$-F400]h:mm:ss\ AM/PM"/>
    <numFmt numFmtId="167" formatCode="0.E+00"/>
    <numFmt numFmtId="168" formatCode="d/mm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6">
    <xf numFmtId="0" fontId="0" fillId="0" borderId="0" xfId="0"/>
    <xf numFmtId="0" fontId="2" fillId="0" borderId="0" xfId="0" applyFont="1"/>
    <xf numFmtId="1" fontId="2" fillId="2" borderId="7" xfId="0" applyNumberFormat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/>
    </xf>
    <xf numFmtId="0" fontId="2" fillId="0" borderId="6" xfId="0" applyFont="1" applyBorder="1"/>
    <xf numFmtId="0" fontId="2" fillId="0" borderId="8" xfId="0" applyFont="1" applyBorder="1"/>
    <xf numFmtId="1" fontId="2" fillId="0" borderId="6" xfId="0" applyNumberFormat="1" applyFont="1" applyBorder="1"/>
    <xf numFmtId="1" fontId="2" fillId="0" borderId="0" xfId="0" applyNumberFormat="1" applyFont="1"/>
    <xf numFmtId="0" fontId="2" fillId="0" borderId="3" xfId="0" applyFont="1" applyBorder="1" applyAlignment="1">
      <alignment horizontal="center" vertical="center"/>
    </xf>
    <xf numFmtId="164" fontId="2" fillId="2" borderId="5" xfId="0" applyNumberFormat="1" applyFont="1" applyFill="1" applyBorder="1" applyAlignment="1">
      <alignment horizontal="center" vertical="center"/>
    </xf>
    <xf numFmtId="0" fontId="2" fillId="0" borderId="3" xfId="0" applyFont="1" applyBorder="1"/>
    <xf numFmtId="0" fontId="2" fillId="0" borderId="2" xfId="0" applyFont="1" applyBorder="1"/>
    <xf numFmtId="164" fontId="2" fillId="2" borderId="12" xfId="0" applyNumberFormat="1" applyFont="1" applyFill="1" applyBorder="1" applyAlignment="1">
      <alignment horizontal="center" vertical="center"/>
    </xf>
    <xf numFmtId="0" fontId="2" fillId="0" borderId="9" xfId="0" applyFont="1" applyBorder="1"/>
    <xf numFmtId="0" fontId="2" fillId="0" borderId="10" xfId="0" applyFont="1" applyBorder="1"/>
    <xf numFmtId="0" fontId="3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6" fillId="0" borderId="4" xfId="0" applyFont="1" applyBorder="1"/>
    <xf numFmtId="0" fontId="4" fillId="2" borderId="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/>
    </xf>
    <xf numFmtId="0" fontId="4" fillId="2" borderId="1" xfId="0" quotePrefix="1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3" xfId="0" applyFont="1" applyBorder="1"/>
    <xf numFmtId="0" fontId="2" fillId="0" borderId="1" xfId="0" applyFont="1" applyBorder="1"/>
    <xf numFmtId="0" fontId="2" fillId="0" borderId="11" xfId="0" applyFont="1" applyBorder="1"/>
    <xf numFmtId="1" fontId="2" fillId="0" borderId="0" xfId="0" applyNumberFormat="1" applyFont="1" applyBorder="1"/>
    <xf numFmtId="0" fontId="7" fillId="0" borderId="3" xfId="0" applyFont="1" applyBorder="1" applyAlignment="1">
      <alignment horizontal="center" vertical="center"/>
    </xf>
    <xf numFmtId="164" fontId="7" fillId="2" borderId="5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4" xfId="0" applyFont="1" applyBorder="1"/>
    <xf numFmtId="1" fontId="6" fillId="0" borderId="0" xfId="0" applyNumberFormat="1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2" fillId="0" borderId="0" xfId="0" applyFont="1" applyAlignment="1">
      <alignment horizontal="center"/>
    </xf>
    <xf numFmtId="16" fontId="4" fillId="0" borderId="0" xfId="0" applyNumberFormat="1" applyFont="1" applyFill="1" applyBorder="1" applyAlignment="1">
      <alignment horizontal="center" vertical="center"/>
    </xf>
    <xf numFmtId="16" fontId="6" fillId="0" borderId="0" xfId="0" applyNumberFormat="1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2" fontId="4" fillId="2" borderId="7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/>
    <xf numFmtId="1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2" fontId="4" fillId="2" borderId="7" xfId="0" applyNumberFormat="1" applyFont="1" applyFill="1" applyBorder="1"/>
    <xf numFmtId="9" fontId="2" fillId="0" borderId="0" xfId="1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1" fontId="6" fillId="0" borderId="0" xfId="0" applyNumberFormat="1" applyFont="1" applyFill="1" applyBorder="1" applyAlignment="1">
      <alignment horizontal="center"/>
    </xf>
    <xf numFmtId="22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/>
    <xf numFmtId="166" fontId="6" fillId="0" borderId="0" xfId="0" applyNumberFormat="1" applyFont="1" applyFill="1" applyBorder="1"/>
    <xf numFmtId="22" fontId="6" fillId="0" borderId="0" xfId="0" applyNumberFormat="1" applyFont="1" applyFill="1" applyBorder="1"/>
    <xf numFmtId="0" fontId="6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/>
    </xf>
    <xf numFmtId="167" fontId="6" fillId="0" borderId="0" xfId="0" applyNumberFormat="1" applyFont="1" applyFill="1" applyBorder="1"/>
    <xf numFmtId="1" fontId="6" fillId="0" borderId="0" xfId="0" applyNumberFormat="1" applyFont="1" applyFill="1" applyBorder="1"/>
    <xf numFmtId="1" fontId="6" fillId="0" borderId="0" xfId="0" quotePrefix="1" applyNumberFormat="1" applyFont="1" applyFill="1" applyBorder="1" applyAlignment="1"/>
    <xf numFmtId="0" fontId="6" fillId="0" borderId="0" xfId="0" quotePrefix="1" applyFont="1" applyFill="1" applyBorder="1" applyAlignment="1"/>
    <xf numFmtId="0" fontId="2" fillId="0" borderId="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7" xfId="0" applyFont="1" applyBorder="1"/>
    <xf numFmtId="0" fontId="2" fillId="0" borderId="12" xfId="0" applyFont="1" applyBorder="1"/>
    <xf numFmtId="0" fontId="2" fillId="0" borderId="15" xfId="0" applyFont="1" applyBorder="1"/>
    <xf numFmtId="0" fontId="2" fillId="0" borderId="7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Border="1"/>
    <xf numFmtId="9" fontId="2" fillId="0" borderId="0" xfId="1" applyFont="1" applyBorder="1"/>
    <xf numFmtId="1" fontId="6" fillId="0" borderId="0" xfId="0" applyNumberFormat="1" applyFont="1" applyFill="1" applyBorder="1" applyAlignment="1">
      <alignment horizontal="center" vertical="center"/>
    </xf>
    <xf numFmtId="2" fontId="6" fillId="0" borderId="0" xfId="0" applyNumberFormat="1" applyFont="1" applyFill="1" applyBorder="1" applyAlignment="1">
      <alignment horizontal="center" vertical="center"/>
    </xf>
    <xf numFmtId="14" fontId="6" fillId="0" borderId="0" xfId="0" applyNumberFormat="1" applyFont="1" applyFill="1" applyBorder="1"/>
    <xf numFmtId="2" fontId="6" fillId="0" borderId="0" xfId="0" applyNumberFormat="1" applyFont="1" applyFill="1" applyBorder="1"/>
    <xf numFmtId="0" fontId="4" fillId="3" borderId="1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2" fillId="0" borderId="4" xfId="0" applyFont="1" applyBorder="1"/>
    <xf numFmtId="1" fontId="2" fillId="0" borderId="2" xfId="0" applyNumberFormat="1" applyFont="1" applyBorder="1"/>
    <xf numFmtId="2" fontId="6" fillId="0" borderId="0" xfId="0" applyNumberFormat="1" applyFont="1" applyFill="1" applyBorder="1" applyAlignment="1">
      <alignment horizontal="left" vertical="center"/>
    </xf>
    <xf numFmtId="21" fontId="6" fillId="0" borderId="0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2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</cellXfs>
  <cellStyles count="2">
    <cellStyle name="Normal" xfId="0" builtinId="0"/>
    <cellStyle name="Porcentaje" xfId="1" builtinId="5"/>
  </cellStyles>
  <dxfs count="17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 t="s">
        <v>N/A</v>
        <stp/>
        <stp>VOLUME</stp>
        <stp>.SPXWC5780</stp>
        <tr r="D95" s="2"/>
        <tr r="F95" s="2"/>
        <tr r="E95" s="2"/>
        <tr r="C95" s="2"/>
        <tr r="B95" s="2"/>
        <tr r="G95" s="2"/>
      </tp>
      <tp t="s">
        <v>N/A</v>
        <stp/>
        <stp>VOLUME</stp>
        <stp>.SPXWP5780</stp>
        <tr r="D95" s="2"/>
        <tr r="F95" s="2"/>
        <tr r="E95" s="2"/>
        <tr r="C95" s="2"/>
        <tr r="B95" s="2"/>
        <tr r="G95" s="2"/>
      </tp>
      <tp t="s">
        <v>N/A</v>
        <stp/>
        <stp>VOLUME</stp>
        <stp>.SPXWC5790</stp>
        <tr r="F94" s="2"/>
        <tr r="D94" s="2"/>
        <tr r="E94" s="2"/>
        <tr r="B94" s="2"/>
        <tr r="C94" s="2"/>
        <tr r="G94" s="2"/>
      </tp>
      <tp t="s">
        <v>N/A</v>
        <stp/>
        <stp>VOLUME</stp>
        <stp>.SPXWP5790</stp>
        <tr r="F94" s="2"/>
        <tr r="D94" s="2"/>
        <tr r="E94" s="2"/>
        <tr r="B94" s="2"/>
        <tr r="C94" s="2"/>
        <tr r="G94" s="2"/>
      </tp>
      <tp t="s">
        <v>N/A</v>
        <stp/>
        <stp>VOLUME</stp>
        <stp>.SPXWC5740</stp>
        <tr r="C99" s="2"/>
        <tr r="B99" s="2"/>
        <tr r="G99" s="2"/>
        <tr r="F99" s="2"/>
        <tr r="D99" s="2"/>
        <tr r="E99" s="2"/>
      </tp>
      <tp t="s">
        <v>N/A</v>
        <stp/>
        <stp>VOLUME</stp>
        <stp>.SPXWP5740</stp>
        <tr r="C99" s="2"/>
        <tr r="B99" s="2"/>
        <tr r="G99" s="2"/>
        <tr r="F99" s="2"/>
        <tr r="D99" s="2"/>
        <tr r="E99" s="2"/>
      </tp>
      <tp t="s">
        <v>N/A</v>
        <stp/>
        <stp>VOLUME</stp>
        <stp>.SPXWC5750</stp>
        <tr r="C98" s="2"/>
        <tr r="E98" s="2"/>
        <tr r="D98" s="2"/>
        <tr r="F98" s="2"/>
        <tr r="B98" s="2"/>
        <tr r="G98" s="2"/>
      </tp>
      <tp t="s">
        <v>N/A</v>
        <stp/>
        <stp>VOLUME</stp>
        <stp>.SPXWP5750</stp>
        <tr r="C98" s="2"/>
        <tr r="E98" s="2"/>
        <tr r="D98" s="2"/>
        <tr r="F98" s="2"/>
        <tr r="B98" s="2"/>
        <tr r="G98" s="2"/>
      </tp>
      <tp t="s">
        <v>N/A</v>
        <stp/>
        <stp>VOLUME</stp>
        <stp>.SPXWC5760</stp>
        <tr r="F97" s="2"/>
        <tr r="B97" s="2"/>
        <tr r="G97" s="2"/>
        <tr r="D97" s="2"/>
        <tr r="E97" s="2"/>
        <tr r="C97" s="2"/>
      </tp>
      <tp t="s">
        <v>N/A</v>
        <stp/>
        <stp>VOLUME</stp>
        <stp>.SPXWP5760</stp>
        <tr r="F97" s="2"/>
        <tr r="B97" s="2"/>
        <tr r="G97" s="2"/>
        <tr r="D97" s="2"/>
        <tr r="E97" s="2"/>
        <tr r="C97" s="2"/>
      </tp>
      <tp t="s">
        <v>N/A</v>
        <stp/>
        <stp>VOLUME</stp>
        <stp>.SPXWC5770</stp>
        <tr r="F96" s="2"/>
        <tr r="B96" s="2"/>
        <tr r="D96" s="2"/>
        <tr r="E96" s="2"/>
        <tr r="G96" s="2"/>
        <tr r="C96" s="2"/>
      </tp>
      <tp t="s">
        <v>N/A</v>
        <stp/>
        <stp>VOLUME</stp>
        <stp>.SPXWP5770</stp>
        <tr r="F96" s="2"/>
        <tr r="B96" s="2"/>
        <tr r="D96" s="2"/>
        <tr r="E96" s="2"/>
        <tr r="G96" s="2"/>
        <tr r="C96" s="2"/>
      </tp>
      <tp t="s">
        <v>N/A</v>
        <stp/>
        <stp>VOLUME</stp>
        <stp>.SPXWC5700</stp>
        <tr r="F103" s="2"/>
        <tr r="C103" s="2"/>
        <tr r="E103" s="2"/>
        <tr r="B103" s="2"/>
        <tr r="G103" s="2"/>
        <tr r="D103" s="2"/>
      </tp>
      <tp t="s">
        <v>N/A</v>
        <stp/>
        <stp>VOLUME</stp>
        <stp>.SPXWP5700</stp>
        <tr r="F103" s="2"/>
        <tr r="C103" s="2"/>
        <tr r="E103" s="2"/>
        <tr r="B103" s="2"/>
        <tr r="G103" s="2"/>
        <tr r="D103" s="2"/>
      </tp>
      <tp t="s">
        <v>N/A</v>
        <stp/>
        <stp>VOLUME</stp>
        <stp>.SPXWC5710</stp>
        <tr r="C102" s="2"/>
        <tr r="E102" s="2"/>
        <tr r="D102" s="2"/>
        <tr r="B102" s="2"/>
        <tr r="G102" s="2"/>
        <tr r="F102" s="2"/>
      </tp>
      <tp t="s">
        <v>N/A</v>
        <stp/>
        <stp>VOLUME</stp>
        <stp>.SPXWP5710</stp>
        <tr r="C102" s="2"/>
        <tr r="E102" s="2"/>
        <tr r="D102" s="2"/>
        <tr r="B102" s="2"/>
        <tr r="G102" s="2"/>
        <tr r="F102" s="2"/>
      </tp>
      <tp t="s">
        <v>N/A</v>
        <stp/>
        <stp>VOLUME</stp>
        <stp>.SPXWC5720</stp>
        <tr r="F101" s="2"/>
        <tr r="D101" s="2"/>
        <tr r="E101" s="2"/>
        <tr r="G101" s="2"/>
        <tr r="B101" s="2"/>
        <tr r="C101" s="2"/>
      </tp>
      <tp t="s">
        <v>N/A</v>
        <stp/>
        <stp>VOLUME</stp>
        <stp>.SPXWP5720</stp>
        <tr r="F101" s="2"/>
        <tr r="D101" s="2"/>
        <tr r="E101" s="2"/>
        <tr r="G101" s="2"/>
        <tr r="B101" s="2"/>
        <tr r="C101" s="2"/>
      </tp>
      <tp t="s">
        <v>N/A</v>
        <stp/>
        <stp>VOLUME</stp>
        <stp>.SPXWC5730</stp>
        <tr r="C100" s="2"/>
        <tr r="D100" s="2"/>
        <tr r="E100" s="2"/>
        <tr r="F100" s="2"/>
        <tr r="G100" s="2"/>
        <tr r="B100" s="2"/>
      </tp>
      <tp t="s">
        <v>N/A</v>
        <stp/>
        <stp>VOLUME</stp>
        <stp>.SPXWP5730</stp>
        <tr r="C100" s="2"/>
        <tr r="D100" s="2"/>
        <tr r="E100" s="2"/>
        <tr r="F100" s="2"/>
        <tr r="G100" s="2"/>
        <tr r="B100" s="2"/>
      </tp>
      <tp>
        <v>21.97</v>
        <stp/>
        <stp>LAST</stp>
        <stp>.SPY250507P582</stp>
        <tr r="DB4" s="1"/>
        <tr r="DB4" s="1"/>
      </tp>
      <tp>
        <v>0.01</v>
        <stp/>
        <stp>LAST</stp>
        <stp>.SPY250507C582</stp>
        <tr r="DA4" s="1"/>
        <tr r="DA4" s="1"/>
      </tp>
      <tp>
        <v>20.62</v>
        <stp/>
        <stp>LAST</stp>
        <stp>.SPY250507P581</stp>
        <tr r="DB5" s="1"/>
        <tr r="DB5" s="1"/>
      </tp>
      <tp>
        <v>0.01</v>
        <stp/>
        <stp>LAST</stp>
        <stp>.SPY250507C581</stp>
        <tr r="DA5" s="1"/>
        <tr r="DA5" s="1"/>
      </tp>
      <tp>
        <v>21.78</v>
        <stp/>
        <stp>LAST</stp>
        <stp>.SPY250507P580</stp>
        <tr r="DB6" s="1"/>
        <tr r="DB6" s="1"/>
      </tp>
      <tp>
        <v>0.01</v>
        <stp/>
        <stp>LAST</stp>
        <stp>.SPY250507C580</stp>
        <tr r="DA6" s="1"/>
        <tr r="DA6" s="1"/>
      </tp>
      <tp>
        <v>7.52</v>
        <stp/>
        <stp>LAST</stp>
        <stp>.SPY250507P569</stp>
        <tr r="DB17" s="1"/>
        <tr r="DB17" s="1"/>
      </tp>
      <tp>
        <v>0.01</v>
        <stp/>
        <stp>LAST</stp>
        <stp>.SPY250507C569</stp>
        <tr r="DA17" s="1"/>
        <tr r="DA17" s="1"/>
      </tp>
      <tp>
        <v>6.51</v>
        <stp/>
        <stp>LAST</stp>
        <stp>.SPY250507P568</stp>
        <tr r="DB18" s="1"/>
        <tr r="DB18" s="1"/>
      </tp>
      <tp>
        <v>0.01</v>
        <stp/>
        <stp>LAST</stp>
        <stp>.SPY250507C568</stp>
        <tr r="DA18" s="1"/>
        <tr r="DA18" s="1"/>
      </tp>
      <tp>
        <v>1.71</v>
        <stp/>
        <stp>LAST</stp>
        <stp>.SPY250507P563</stp>
        <tr r="DB23" s="1"/>
        <tr r="DB23" s="1"/>
      </tp>
      <tp>
        <v>0.01</v>
        <stp/>
        <stp>LAST</stp>
        <stp>.SPY250507C563</stp>
        <tr r="DA23" s="1"/>
        <tr r="DA23" s="1"/>
      </tp>
      <tp>
        <v>0.6</v>
        <stp/>
        <stp>LAST</stp>
        <stp>.SPY250507P562</stp>
        <tr r="DB24" s="1"/>
        <tr r="DB24" s="1"/>
      </tp>
      <tp>
        <v>0.05</v>
        <stp/>
        <stp>LAST</stp>
        <stp>.SPY250507C562</stp>
        <tr r="DA24" s="1"/>
        <tr r="DA24" s="1"/>
      </tp>
      <tp>
        <v>0.1</v>
        <stp/>
        <stp>LAST</stp>
        <stp>.SPY250507P561</stp>
        <tr r="DB25" s="1"/>
        <tr r="DB25" s="1"/>
      </tp>
      <tp>
        <v>0.47</v>
        <stp/>
        <stp>LAST</stp>
        <stp>.SPY250507C561</stp>
        <tr r="DA25" s="1"/>
        <tr r="DA25" s="1"/>
      </tp>
      <tp>
        <v>0.01</v>
        <stp/>
        <stp>LAST</stp>
        <stp>.SPY250507P560</stp>
        <tr r="DB26" s="1"/>
        <tr r="DB26" s="1"/>
      </tp>
      <tp>
        <v>1.47</v>
        <stp/>
        <stp>LAST</stp>
        <stp>.SPY250507C560</stp>
        <tr r="DA26" s="1"/>
        <tr r="DA26" s="1"/>
      </tp>
      <tp>
        <v>5.48</v>
        <stp/>
        <stp>LAST</stp>
        <stp>.SPY250507P567</stp>
        <tr r="DB19" s="1"/>
        <tr r="DB19" s="1"/>
      </tp>
      <tp>
        <v>0.03</v>
        <stp/>
        <stp>LAST</stp>
        <stp>.SPY250507C567</stp>
        <tr r="DA19" s="1"/>
        <tr r="DA19" s="1"/>
      </tp>
      <tp>
        <v>4.55</v>
        <stp/>
        <stp>LAST</stp>
        <stp>.SPY250507P566</stp>
        <tr r="DB20" s="1"/>
        <tr r="DB20" s="1"/>
      </tp>
      <tp>
        <v>0.01</v>
        <stp/>
        <stp>LAST</stp>
        <stp>.SPY250507C566</stp>
        <tr r="DA20" s="1"/>
        <tr r="DA20" s="1"/>
      </tp>
      <tp>
        <v>3.85</v>
        <stp/>
        <stp>LAST</stp>
        <stp>.SPY250507P565</stp>
        <tr r="DB21" s="1"/>
        <tr r="DB21" s="1"/>
      </tp>
      <tp>
        <v>0.01</v>
        <stp/>
        <stp>LAST</stp>
        <stp>.SPY250507C565</stp>
        <tr r="DA21" s="1"/>
        <tr r="DA21" s="1"/>
      </tp>
      <tp>
        <v>2.84</v>
        <stp/>
        <stp>LAST</stp>
        <stp>.SPY250507P564</stp>
        <tr r="DB22" s="1"/>
        <tr r="DB22" s="1"/>
      </tp>
      <tp>
        <v>0.01</v>
        <stp/>
        <stp>LAST</stp>
        <stp>.SPY250507C564</stp>
        <tr r="DA22" s="1"/>
        <tr r="DA22" s="1"/>
      </tp>
      <tp>
        <v>20.07</v>
        <stp/>
        <stp>LAST</stp>
        <stp>.SPY250507P579</stp>
        <tr r="DB7" s="1"/>
        <tr r="DB7" s="1"/>
      </tp>
      <tp>
        <v>0.01</v>
        <stp/>
        <stp>LAST</stp>
        <stp>.SPY250507C579</stp>
        <tr r="DA7" s="1"/>
        <tr r="DA7" s="1"/>
      </tp>
      <tp>
        <v>19.13</v>
        <stp/>
        <stp>LAST</stp>
        <stp>.SPY250507P578</stp>
        <tr r="DB8" s="1"/>
        <tr r="DB8" s="1"/>
      </tp>
      <tp>
        <v>0.01</v>
        <stp/>
        <stp>LAST</stp>
        <stp>.SPY250507C578</stp>
        <tr r="DA8" s="1"/>
        <tr r="DA8" s="1"/>
      </tp>
      <tp>
        <v>11.67</v>
        <stp/>
        <stp>LAST</stp>
        <stp>.SPY250507P573</stp>
        <tr r="DB13" s="1"/>
        <tr r="DB13" s="1"/>
      </tp>
      <tp>
        <v>0.01</v>
        <stp/>
        <stp>LAST</stp>
        <stp>.SPY250507C573</stp>
        <tr r="DA13" s="1"/>
        <tr r="DA13" s="1"/>
      </tp>
      <tp>
        <v>11.15</v>
        <stp/>
        <stp>LAST</stp>
        <stp>.SPY250507P572</stp>
        <tr r="DB14" s="1"/>
        <tr r="DB14" s="1"/>
      </tp>
      <tp>
        <v>0.01</v>
        <stp/>
        <stp>LAST</stp>
        <stp>.SPY250507C572</stp>
        <tr r="DA14" s="1"/>
        <tr r="DA14" s="1"/>
      </tp>
      <tp>
        <v>9.5</v>
        <stp/>
        <stp>LAST</stp>
        <stp>.SPY250507P571</stp>
        <tr r="DB15" s="1"/>
        <tr r="DB15" s="1"/>
      </tp>
      <tp>
        <v>0.01</v>
        <stp/>
        <stp>LAST</stp>
        <stp>.SPY250507C571</stp>
        <tr r="DA15" s="1"/>
        <tr r="DA15" s="1"/>
      </tp>
      <tp>
        <v>8.9600000000000009</v>
        <stp/>
        <stp>LAST</stp>
        <stp>.SPY250507P570</stp>
        <tr r="DB16" s="1"/>
        <tr r="DB16" s="1"/>
      </tp>
      <tp>
        <v>0.01</v>
        <stp/>
        <stp>LAST</stp>
        <stp>.SPY250507C570</stp>
        <tr r="DA16" s="1"/>
        <tr r="DA16" s="1"/>
      </tp>
      <tp>
        <v>14.95</v>
        <stp/>
        <stp>LAST</stp>
        <stp>.SPY250507P577</stp>
        <tr r="DB9" s="1"/>
        <tr r="DB9" s="1"/>
      </tp>
      <tp>
        <v>0.01</v>
        <stp/>
        <stp>LAST</stp>
        <stp>.SPY250507C577</stp>
        <tr r="DA9" s="1"/>
        <tr r="DA9" s="1"/>
      </tp>
      <tp>
        <v>15.22</v>
        <stp/>
        <stp>LAST</stp>
        <stp>.SPY250507P576</stp>
        <tr r="DB10" s="1"/>
        <tr r="DB10" s="1"/>
      </tp>
      <tp>
        <v>0.01</v>
        <stp/>
        <stp>LAST</stp>
        <stp>.SPY250507C576</stp>
        <tr r="DA10" s="1"/>
        <tr r="DA10" s="1"/>
      </tp>
      <tp>
        <v>17</v>
        <stp/>
        <stp>LAST</stp>
        <stp>.SPY250507P575</stp>
        <tr r="DB11" s="1"/>
        <tr r="DB11" s="1"/>
      </tp>
      <tp>
        <v>0.01</v>
        <stp/>
        <stp>LAST</stp>
        <stp>.SPY250507C575</stp>
        <tr r="DA11" s="1"/>
        <tr r="DA11" s="1"/>
      </tp>
      <tp>
        <v>12.5</v>
        <stp/>
        <stp>LAST</stp>
        <stp>.SPY250507P574</stp>
        <tr r="DB12" s="1"/>
        <tr r="DB12" s="1"/>
      </tp>
      <tp>
        <v>0.01</v>
        <stp/>
        <stp>LAST</stp>
        <stp>.SPY250507C574</stp>
        <tr r="DA12" s="1"/>
        <tr r="DA12" s="1"/>
      </tp>
      <tp>
        <v>0.01</v>
        <stp/>
        <stp>LAST</stp>
        <stp>.SPY250507P549</stp>
        <tr r="DB37" s="1"/>
        <tr r="DB37" s="1"/>
      </tp>
      <tp>
        <v>12.7</v>
        <stp/>
        <stp>LAST</stp>
        <stp>.SPY250507C549</stp>
        <tr r="DA37" s="1"/>
        <tr r="DA37" s="1"/>
      </tp>
      <tp>
        <v>0.01</v>
        <stp/>
        <stp>LAST</stp>
        <stp>.SPY250507P548</stp>
        <tr r="DB38" s="1"/>
        <tr r="DB38" s="1"/>
      </tp>
      <tp>
        <v>13.2</v>
        <stp/>
        <stp>LAST</stp>
        <stp>.SPY250507C548</stp>
        <tr r="DA38" s="1"/>
        <tr r="DA38" s="1"/>
      </tp>
      <tp>
        <v>0.01</v>
        <stp/>
        <stp>LAST</stp>
        <stp>.SPY250507P559</stp>
        <tr r="DB27" s="1"/>
        <tr r="DB27" s="1"/>
      </tp>
      <tp>
        <v>2.2400000000000002</v>
        <stp/>
        <stp>LAST</stp>
        <stp>.SPY250507C559</stp>
        <tr r="DA27" s="1"/>
        <tr r="DA27" s="1"/>
      </tp>
      <tp>
        <v>0.01</v>
        <stp/>
        <stp>LAST</stp>
        <stp>.SPY250507P558</stp>
        <tr r="DB28" s="1"/>
        <tr r="DB28" s="1"/>
      </tp>
      <tp>
        <v>3.23</v>
        <stp/>
        <stp>LAST</stp>
        <stp>.SPY250507C558</stp>
        <tr r="DA28" s="1"/>
        <tr r="DA28" s="1"/>
      </tp>
      <tp>
        <v>0.01</v>
        <stp/>
        <stp>LAST</stp>
        <stp>.SPY250507P553</stp>
        <tr r="DB33" s="1"/>
        <tr r="DB33" s="1"/>
      </tp>
      <tp>
        <v>8.07</v>
        <stp/>
        <stp>LAST</stp>
        <stp>.SPY250507C553</stp>
        <tr r="DA33" s="1"/>
        <tr r="DA33" s="1"/>
      </tp>
      <tp>
        <v>0.01</v>
        <stp/>
        <stp>LAST</stp>
        <stp>.SPY250507P552</stp>
        <tr r="DB34" s="1"/>
        <tr r="DB34" s="1"/>
      </tp>
      <tp>
        <v>9.4600000000000009</v>
        <stp/>
        <stp>LAST</stp>
        <stp>.SPY250507C552</stp>
        <tr r="DA34" s="1"/>
        <tr r="DA34" s="1"/>
      </tp>
      <tp>
        <v>0.01</v>
        <stp/>
        <stp>LAST</stp>
        <stp>.SPY250507P551</stp>
        <tr r="DB35" s="1"/>
        <tr r="DB35" s="1"/>
      </tp>
      <tp>
        <v>10.49</v>
        <stp/>
        <stp>LAST</stp>
        <stp>.SPY250507C551</stp>
        <tr r="DA35" s="1"/>
        <tr r="DA35" s="1"/>
      </tp>
      <tp>
        <v>0.01</v>
        <stp/>
        <stp>LAST</stp>
        <stp>.SPY250507P550</stp>
        <tr r="DB36" s="1"/>
        <tr r="DB36" s="1"/>
      </tp>
      <tp>
        <v>10.78</v>
        <stp/>
        <stp>LAST</stp>
        <stp>.SPY250507C550</stp>
        <tr r="DA36" s="1"/>
        <tr r="DA36" s="1"/>
      </tp>
      <tp>
        <v>0.01</v>
        <stp/>
        <stp>LAST</stp>
        <stp>.SPY250507P557</stp>
        <tr r="DB29" s="1"/>
        <tr r="DB29" s="1"/>
      </tp>
      <tp>
        <v>4.09</v>
        <stp/>
        <stp>LAST</stp>
        <stp>.SPY250507C557</stp>
        <tr r="DA29" s="1"/>
        <tr r="DA29" s="1"/>
      </tp>
      <tp>
        <v>0.01</v>
        <stp/>
        <stp>LAST</stp>
        <stp>.SPY250507P556</stp>
        <tr r="DB30" s="1"/>
        <tr r="DB30" s="1"/>
      </tp>
      <tp>
        <v>5.62</v>
        <stp/>
        <stp>LAST</stp>
        <stp>.SPY250507C556</stp>
        <tr r="DA30" s="1"/>
        <tr r="DA30" s="1"/>
      </tp>
      <tp>
        <v>0.01</v>
        <stp/>
        <stp>LAST</stp>
        <stp>.SPY250507P555</stp>
        <tr r="DB31" s="1"/>
        <tr r="DB31" s="1"/>
      </tp>
      <tp>
        <v>6.3</v>
        <stp/>
        <stp>LAST</stp>
        <stp>.SPY250507C555</stp>
        <tr r="DA31" s="1"/>
        <tr r="DA31" s="1"/>
      </tp>
      <tp>
        <v>0.01</v>
        <stp/>
        <stp>LAST</stp>
        <stp>.SPY250507P554</stp>
        <tr r="DB32" s="1"/>
        <tr r="DB32" s="1"/>
      </tp>
      <tp>
        <v>6.83</v>
        <stp/>
        <stp>LAST</stp>
        <stp>.SPY250507C554</stp>
        <tr r="DA32" s="1"/>
        <tr r="DA32" s="1"/>
      </tp>
      <tp t="s">
        <v>N/A</v>
        <stp/>
        <stp>VOLUME</stp>
        <stp>.SPXWC5680</stp>
        <tr r="F105" s="2"/>
        <tr r="D105" s="2"/>
        <tr r="E105" s="2"/>
        <tr r="G105" s="2"/>
        <tr r="B105" s="2"/>
        <tr r="C105" s="2"/>
      </tp>
      <tp t="s">
        <v>N/A</v>
        <stp/>
        <stp>VOLUME</stp>
        <stp>.SPXWP5680</stp>
        <tr r="F105" s="2"/>
        <tr r="D105" s="2"/>
        <tr r="E105" s="2"/>
        <tr r="G105" s="2"/>
        <tr r="B105" s="2"/>
        <tr r="C105" s="2"/>
      </tp>
      <tp t="s">
        <v>N/A</v>
        <stp/>
        <stp>VOLUME</stp>
        <stp>.SPXWC5690</stp>
        <tr r="C104" s="2"/>
        <tr r="F104" s="2"/>
        <tr r="D104" s="2"/>
        <tr r="G104" s="2"/>
        <tr r="E104" s="2"/>
        <tr r="B104" s="2"/>
      </tp>
      <tp t="s">
        <v>N/A</v>
        <stp/>
        <stp>VOLUME</stp>
        <stp>.SPXWP5690</stp>
        <tr r="C104" s="2"/>
        <tr r="F104" s="2"/>
        <tr r="D104" s="2"/>
        <tr r="G104" s="2"/>
        <tr r="E104" s="2"/>
        <tr r="B104" s="2"/>
      </tp>
      <tp t="s">
        <v>N/A</v>
        <stp/>
        <stp>VOLUME</stp>
        <stp>.SPXWC5640</stp>
        <tr r="G109" s="2"/>
        <tr r="C109" s="2"/>
        <tr r="B109" s="2"/>
        <tr r="D109" s="2"/>
        <tr r="F109" s="2"/>
        <tr r="E109" s="2"/>
      </tp>
      <tp t="s">
        <v>N/A</v>
        <stp/>
        <stp>VOLUME</stp>
        <stp>.SPXWP5640</stp>
        <tr r="G109" s="2"/>
        <tr r="C109" s="2"/>
        <tr r="B109" s="2"/>
        <tr r="D109" s="2"/>
        <tr r="F109" s="2"/>
        <tr r="E109" s="2"/>
      </tp>
      <tp t="s">
        <v>N/A</v>
        <stp/>
        <stp>VOLUME</stp>
        <stp>.SPXWC5650</stp>
        <tr r="B108" s="2"/>
        <tr r="G108" s="2"/>
        <tr r="D108" s="2"/>
        <tr r="F108" s="2"/>
        <tr r="E108" s="2"/>
        <tr r="C108" s="2"/>
      </tp>
      <tp t="s">
        <v>N/A</v>
        <stp/>
        <stp>VOLUME</stp>
        <stp>.SPXWP5650</stp>
        <tr r="B108" s="2"/>
        <tr r="G108" s="2"/>
        <tr r="D108" s="2"/>
        <tr r="F108" s="2"/>
        <tr r="E108" s="2"/>
        <tr r="C108" s="2"/>
      </tp>
      <tp t="s">
        <v>N/A</v>
        <stp/>
        <stp>VOLUME</stp>
        <stp>.SPXWC5660</stp>
        <tr r="B107" s="2"/>
        <tr r="D107" s="2"/>
        <tr r="F107" s="2"/>
        <tr r="E107" s="2"/>
        <tr r="G107" s="2"/>
        <tr r="C107" s="2"/>
      </tp>
      <tp t="s">
        <v>N/A</v>
        <stp/>
        <stp>VOLUME</stp>
        <stp>.SPXWP5660</stp>
        <tr r="B107" s="2"/>
        <tr r="D107" s="2"/>
        <tr r="F107" s="2"/>
        <tr r="E107" s="2"/>
        <tr r="G107" s="2"/>
        <tr r="C107" s="2"/>
      </tp>
      <tp t="s">
        <v>N/A</v>
        <stp/>
        <stp>VOLUME</stp>
        <stp>.SPXWC5670</stp>
        <tr r="E106" s="2"/>
        <tr r="B106" s="2"/>
        <tr r="D106" s="2"/>
        <tr r="C106" s="2"/>
        <tr r="F106" s="2"/>
        <tr r="G106" s="2"/>
      </tp>
      <tp t="s">
        <v>N/A</v>
        <stp/>
        <stp>VOLUME</stp>
        <stp>.SPXWP5670</stp>
        <tr r="E106" s="2"/>
        <tr r="B106" s="2"/>
        <tr r="D106" s="2"/>
        <tr r="C106" s="2"/>
        <tr r="F106" s="2"/>
        <tr r="G106" s="2"/>
      </tp>
      <tp t="s">
        <v>N/A</v>
        <stp/>
        <stp>VOLUME</stp>
        <stp>.SPXWC5600</stp>
        <tr r="C113" s="2"/>
        <tr r="D113" s="2"/>
        <tr r="F113" s="2"/>
        <tr r="G113" s="2"/>
        <tr r="E113" s="2"/>
        <tr r="B113" s="2"/>
      </tp>
      <tp t="s">
        <v>N/A</v>
        <stp/>
        <stp>VOLUME</stp>
        <stp>.SPXWP5600</stp>
        <tr r="C113" s="2"/>
        <tr r="D113" s="2"/>
        <tr r="F113" s="2"/>
        <tr r="G113" s="2"/>
        <tr r="E113" s="2"/>
        <tr r="B113" s="2"/>
      </tp>
      <tp t="s">
        <v>N/A</v>
        <stp/>
        <stp>VOLUME</stp>
        <stp>.SPXWC5610</stp>
        <tr r="C112" s="2"/>
        <tr r="E112" s="2"/>
        <tr r="D112" s="2"/>
        <tr r="B112" s="2"/>
        <tr r="F112" s="2"/>
        <tr r="G112" s="2"/>
      </tp>
      <tp t="s">
        <v>N/A</v>
        <stp/>
        <stp>VOLUME</stp>
        <stp>.SPXWP5610</stp>
        <tr r="C112" s="2"/>
        <tr r="E112" s="2"/>
        <tr r="D112" s="2"/>
        <tr r="B112" s="2"/>
        <tr r="F112" s="2"/>
        <tr r="G112" s="2"/>
      </tp>
      <tp t="s">
        <v>N/A</v>
        <stp/>
        <stp>VOLUME</stp>
        <stp>.SPXWC5620</stp>
        <tr r="E111" s="2"/>
        <tr r="F111" s="2"/>
        <tr r="G111" s="2"/>
        <tr r="C111" s="2"/>
        <tr r="B111" s="2"/>
        <tr r="D111" s="2"/>
      </tp>
      <tp t="s">
        <v>N/A</v>
        <stp/>
        <stp>VOLUME</stp>
        <stp>.SPXWP5620</stp>
        <tr r="E111" s="2"/>
        <tr r="F111" s="2"/>
        <tr r="G111" s="2"/>
        <tr r="C111" s="2"/>
        <tr r="B111" s="2"/>
        <tr r="D111" s="2"/>
      </tp>
      <tp t="s">
        <v>N/A</v>
        <stp/>
        <stp>VOLUME</stp>
        <stp>.SPXWC5630</stp>
        <tr r="F110" s="2"/>
        <tr r="G110" s="2"/>
        <tr r="C110" s="2"/>
        <tr r="B110" s="2"/>
        <tr r="E110" s="2"/>
        <tr r="D110" s="2"/>
      </tp>
      <tp t="s">
        <v>N/A</v>
        <stp/>
        <stp>VOLUME</stp>
        <stp>.SPXWP5630</stp>
        <tr r="F110" s="2"/>
        <tr r="G110" s="2"/>
        <tr r="C110" s="2"/>
        <tr r="B110" s="2"/>
        <tr r="E110" s="2"/>
        <tr r="D110" s="2"/>
      </tp>
      <tp t="s">
        <v>N/A</v>
        <stp/>
        <stp>VOLUME</stp>
        <stp>.SPXWC5580</stp>
        <tr r="D115" s="2"/>
        <tr r="B115" s="2"/>
        <tr r="G115" s="2"/>
        <tr r="F115" s="2"/>
        <tr r="C115" s="2"/>
        <tr r="E115" s="2"/>
      </tp>
      <tp t="s">
        <v>N/A</v>
        <stp/>
        <stp>VOLUME</stp>
        <stp>.SPXWP5580</stp>
        <tr r="D115" s="2"/>
        <tr r="B115" s="2"/>
        <tr r="G115" s="2"/>
        <tr r="F115" s="2"/>
        <tr r="C115" s="2"/>
        <tr r="E115" s="2"/>
      </tp>
      <tp t="s">
        <v>N/A</v>
        <stp/>
        <stp>VOLUME</stp>
        <stp>.SPXWC5590</stp>
        <tr r="F114" s="2"/>
        <tr r="D114" s="2"/>
        <tr r="B114" s="2"/>
        <tr r="C114" s="2"/>
        <tr r="G114" s="2"/>
        <tr r="E114" s="2"/>
      </tp>
      <tp t="s">
        <v>N/A</v>
        <stp/>
        <stp>VOLUME</stp>
        <stp>.SPXWP5590</stp>
        <tr r="F114" s="2"/>
        <tr r="D114" s="2"/>
        <tr r="B114" s="2"/>
        <tr r="C114" s="2"/>
        <tr r="G114" s="2"/>
        <tr r="E114" s="2"/>
      </tp>
      <tp t="s">
        <v>N/A</v>
        <stp/>
        <stp>VOLUME</stp>
        <stp>.SPXWC5540</stp>
        <tr r="E119" s="2"/>
        <tr r="D119" s="2"/>
        <tr r="F119" s="2"/>
        <tr r="C119" s="2"/>
        <tr r="B119" s="2"/>
        <tr r="G119" s="2"/>
      </tp>
      <tp t="s">
        <v>N/A</v>
        <stp/>
        <stp>VOLUME</stp>
        <stp>.SPXWP5540</stp>
        <tr r="E119" s="2"/>
        <tr r="D119" s="2"/>
        <tr r="F119" s="2"/>
        <tr r="C119" s="2"/>
        <tr r="B119" s="2"/>
        <tr r="G119" s="2"/>
      </tp>
      <tp t="s">
        <v>N/A</v>
        <stp/>
        <stp>VOLUME</stp>
        <stp>.SPXWC5550</stp>
        <tr r="C118" s="2"/>
        <tr r="G118" s="2"/>
        <tr r="D118" s="2"/>
        <tr r="B118" s="2"/>
        <tr r="F118" s="2"/>
        <tr r="E118" s="2"/>
      </tp>
      <tp t="s">
        <v>N/A</v>
        <stp/>
        <stp>VOLUME</stp>
        <stp>.SPXWP5550</stp>
        <tr r="C118" s="2"/>
        <tr r="G118" s="2"/>
        <tr r="D118" s="2"/>
        <tr r="B118" s="2"/>
        <tr r="F118" s="2"/>
        <tr r="E118" s="2"/>
      </tp>
      <tp t="s">
        <v>N/A</v>
        <stp/>
        <stp>VOLUME</stp>
        <stp>.SPXWC5560</stp>
        <tr r="C117" s="2"/>
        <tr r="F117" s="2"/>
        <tr r="D117" s="2"/>
        <tr r="G117" s="2"/>
        <tr r="B117" s="2"/>
        <tr r="E117" s="2"/>
      </tp>
      <tp t="s">
        <v>N/A</v>
        <stp/>
        <stp>VOLUME</stp>
        <stp>.SPXWP5560</stp>
        <tr r="C117" s="2"/>
        <tr r="F117" s="2"/>
        <tr r="D117" s="2"/>
        <tr r="G117" s="2"/>
        <tr r="B117" s="2"/>
        <tr r="E117" s="2"/>
      </tp>
      <tp t="s">
        <v>N/A</v>
        <stp/>
        <stp>VOLUME</stp>
        <stp>.SPXWC5570</stp>
        <tr r="C116" s="2"/>
        <tr r="G116" s="2"/>
        <tr r="E116" s="2"/>
        <tr r="F116" s="2"/>
        <tr r="D116" s="2"/>
        <tr r="B116" s="2"/>
      </tp>
      <tp t="s">
        <v>N/A</v>
        <stp/>
        <stp>VOLUME</stp>
        <stp>.SPXWP5570</stp>
        <tr r="C116" s="2"/>
        <tr r="G116" s="2"/>
        <tr r="E116" s="2"/>
        <tr r="F116" s="2"/>
        <tr r="D116" s="2"/>
        <tr r="B116" s="2"/>
      </tp>
      <tp t="s">
        <v>N/A</v>
        <stp/>
        <stp>VOLUME</stp>
        <stp>.SPXWC5500</stp>
        <tr r="E123" s="2"/>
        <tr r="G123" s="2"/>
        <tr r="F123" s="2"/>
        <tr r="D123" s="2"/>
        <tr r="B123" s="2"/>
        <tr r="C123" s="2"/>
      </tp>
      <tp t="s">
        <v>N/A</v>
        <stp/>
        <stp>VOLUME</stp>
        <stp>.SPXWP5500</stp>
        <tr r="E123" s="2"/>
        <tr r="G123" s="2"/>
        <tr r="F123" s="2"/>
        <tr r="D123" s="2"/>
        <tr r="B123" s="2"/>
        <tr r="C123" s="2"/>
      </tp>
      <tp t="s">
        <v>N/A</v>
        <stp/>
        <stp>VOLUME</stp>
        <stp>.SPXWC5510</stp>
        <tr r="C122" s="2"/>
        <tr r="D122" s="2"/>
        <tr r="E122" s="2"/>
        <tr r="F122" s="2"/>
        <tr r="B122" s="2"/>
        <tr r="G122" s="2"/>
      </tp>
      <tp t="s">
        <v>N/A</v>
        <stp/>
        <stp>VOLUME</stp>
        <stp>.SPXWP5510</stp>
        <tr r="C122" s="2"/>
        <tr r="D122" s="2"/>
        <tr r="E122" s="2"/>
        <tr r="F122" s="2"/>
        <tr r="B122" s="2"/>
        <tr r="G122" s="2"/>
      </tp>
      <tp t="s">
        <v>N/A</v>
        <stp/>
        <stp>VOLUME</stp>
        <stp>.SPXWC5520</stp>
        <tr r="E121" s="2"/>
        <tr r="D121" s="2"/>
        <tr r="F121" s="2"/>
        <tr r="G121" s="2"/>
        <tr r="C121" s="2"/>
        <tr r="B121" s="2"/>
      </tp>
      <tp t="s">
        <v>N/A</v>
        <stp/>
        <stp>VOLUME</stp>
        <stp>.SPXWP5520</stp>
        <tr r="E121" s="2"/>
        <tr r="D121" s="2"/>
        <tr r="F121" s="2"/>
        <tr r="G121" s="2"/>
        <tr r="C121" s="2"/>
        <tr r="B121" s="2"/>
      </tp>
      <tp t="s">
        <v>N/A</v>
        <stp/>
        <stp>VOLUME</stp>
        <stp>.SPXWC5530</stp>
        <tr r="C120" s="2"/>
        <tr r="B120" s="2"/>
        <tr r="D120" s="2"/>
        <tr r="E120" s="2"/>
        <tr r="F120" s="2"/>
        <tr r="G120" s="2"/>
      </tp>
      <tp t="s">
        <v>N/A</v>
        <stp/>
        <stp>VOLUME</stp>
        <stp>.SPXWP5530</stp>
        <tr r="C120" s="2"/>
        <tr r="B120" s="2"/>
        <tr r="D120" s="2"/>
        <tr r="E120" s="2"/>
        <tr r="F120" s="2"/>
        <tr r="G120" s="2"/>
      </tp>
      <tp t="s">
        <v>N/A</v>
        <stp/>
        <stp>VOLUME</stp>
        <stp>.SPXWC5480</stp>
        <tr r="F125" s="2"/>
        <tr r="D125" s="2"/>
        <tr r="C125" s="2"/>
        <tr r="B125" s="2"/>
        <tr r="E125" s="2"/>
        <tr r="G125" s="2"/>
      </tp>
      <tp t="s">
        <v>N/A</v>
        <stp/>
        <stp>VOLUME</stp>
        <stp>.SPXWP5480</stp>
        <tr r="F125" s="2"/>
        <tr r="D125" s="2"/>
        <tr r="C125" s="2"/>
        <tr r="B125" s="2"/>
        <tr r="E125" s="2"/>
        <tr r="G125" s="2"/>
      </tp>
      <tp t="s">
        <v>N/A</v>
        <stp/>
        <stp>VOLUME</stp>
        <stp>.SPXWC5490</stp>
        <tr r="C124" s="2"/>
        <tr r="B124" s="2"/>
        <tr r="F124" s="2"/>
        <tr r="G124" s="2"/>
        <tr r="E124" s="2"/>
        <tr r="D124" s="2"/>
      </tp>
      <tp t="s">
        <v>N/A</v>
        <stp/>
        <stp>VOLUME</stp>
        <stp>.SPXWP5490</stp>
        <tr r="C124" s="2"/>
        <tr r="B124" s="2"/>
        <tr r="F124" s="2"/>
        <tr r="G124" s="2"/>
        <tr r="E124" s="2"/>
        <tr r="D124" s="2"/>
      </tp>
      <tp t="s">
        <v>N/A</v>
        <stp/>
        <stp>VOLUME</stp>
        <stp>.SPXWC5440</stp>
        <tr r="E129" s="2"/>
        <tr r="G129" s="2"/>
        <tr r="F129" s="2"/>
        <tr r="B129" s="2"/>
        <tr r="C129" s="2"/>
        <tr r="D129" s="2"/>
      </tp>
      <tp t="s">
        <v>N/A</v>
        <stp/>
        <stp>VOLUME</stp>
        <stp>.SPXWP5440</stp>
        <tr r="E129" s="2"/>
        <tr r="G129" s="2"/>
        <tr r="F129" s="2"/>
        <tr r="B129" s="2"/>
        <tr r="C129" s="2"/>
        <tr r="D129" s="2"/>
      </tp>
      <tp t="s">
        <v>N/A</v>
        <stp/>
        <stp>VOLUME</stp>
        <stp>.SPXWC5450</stp>
        <tr r="E128" s="2"/>
        <tr r="G128" s="2"/>
        <tr r="B128" s="2"/>
        <tr r="F128" s="2"/>
        <tr r="C128" s="2"/>
        <tr r="D128" s="2"/>
      </tp>
      <tp t="s">
        <v>N/A</v>
        <stp/>
        <stp>VOLUME</stp>
        <stp>.SPXWP5450</stp>
        <tr r="E128" s="2"/>
        <tr r="G128" s="2"/>
        <tr r="B128" s="2"/>
        <tr r="F128" s="2"/>
        <tr r="C128" s="2"/>
        <tr r="D128" s="2"/>
      </tp>
      <tp t="s">
        <v>N/A</v>
        <stp/>
        <stp>VOLUME</stp>
        <stp>.SPXWC5460</stp>
        <tr r="D127" s="2"/>
        <tr r="G127" s="2"/>
        <tr r="C127" s="2"/>
        <tr r="F127" s="2"/>
        <tr r="B127" s="2"/>
        <tr r="E127" s="2"/>
      </tp>
      <tp t="s">
        <v>N/A</v>
        <stp/>
        <stp>VOLUME</stp>
        <stp>.SPXWP5460</stp>
        <tr r="D127" s="2"/>
        <tr r="G127" s="2"/>
        <tr r="C127" s="2"/>
        <tr r="F127" s="2"/>
        <tr r="B127" s="2"/>
        <tr r="E127" s="2"/>
      </tp>
      <tp t="s">
        <v>N/A</v>
        <stp/>
        <stp>VOLUME</stp>
        <stp>.SPXWC5470</stp>
        <tr r="C126" s="2"/>
        <tr r="B126" s="2"/>
        <tr r="G126" s="2"/>
        <tr r="F126" s="2"/>
        <tr r="E126" s="2"/>
        <tr r="D126" s="2"/>
      </tp>
      <tp t="s">
        <v>N/A</v>
        <stp/>
        <stp>VOLUME</stp>
        <stp>.SPXWP5470</stp>
        <tr r="C126" s="2"/>
        <tr r="B126" s="2"/>
        <tr r="G126" s="2"/>
        <tr r="F126" s="2"/>
        <tr r="E126" s="2"/>
        <tr r="D126" s="2"/>
      </tp>
      <tp t="s">
        <v>N/A</v>
        <stp/>
        <stp>VOLUME</stp>
        <stp>.SPXWC5420</stp>
        <tr r="F131" s="2"/>
        <tr r="E131" s="2"/>
        <tr r="C131" s="2"/>
        <tr r="B131" s="2"/>
        <tr r="G131" s="2"/>
        <tr r="D131" s="2"/>
      </tp>
      <tp t="s">
        <v>N/A</v>
        <stp/>
        <stp>VOLUME</stp>
        <stp>.SPXWP5420</stp>
        <tr r="F131" s="2"/>
        <tr r="E131" s="2"/>
        <tr r="C131" s="2"/>
        <tr r="B131" s="2"/>
        <tr r="G131" s="2"/>
        <tr r="D131" s="2"/>
      </tp>
      <tp t="s">
        <v>N/A</v>
        <stp/>
        <stp>VOLUME</stp>
        <stp>.SPXWC5430</stp>
        <tr r="C130" s="2"/>
        <tr r="E130" s="2"/>
        <tr r="B130" s="2"/>
        <tr r="G130" s="2"/>
        <tr r="F130" s="2"/>
        <tr r="D130" s="2"/>
      </tp>
      <tp t="s">
        <v>N/A</v>
        <stp/>
        <stp>VOLUME</stp>
        <stp>.SPXWP5430</stp>
        <tr r="C130" s="2"/>
        <tr r="E130" s="2"/>
        <tr r="B130" s="2"/>
        <tr r="G130" s="2"/>
        <tr r="F130" s="2"/>
        <tr r="D130" s="2"/>
      </tp>
      <tp>
        <v>564.33000000000004</v>
        <stp/>
        <stp>MARK</stp>
        <stp>SPY</stp>
        <tr r="G84" s="1"/>
        <tr r="A3" s="1"/>
      </tp>
      <tp>
        <v>5631.28</v>
        <stp/>
        <stp>MARK</stp>
        <stp>SPX</stp>
        <tr r="E82" s="1"/>
      </tp>
      <tp>
        <v>-0.75</v>
        <stp/>
        <stp>DELTA</stp>
        <stp>.SPY250516P582</stp>
        <tr r="CI4" s="1"/>
        <tr r="CI4" s="1"/>
      </tp>
      <tp>
        <v>0.11</v>
        <stp/>
        <stp>DELTA</stp>
        <stp>.SPY250516C582</stp>
        <tr r="CH4" s="1"/>
        <tr r="CH4" s="1"/>
      </tp>
      <tp>
        <v>-0.74</v>
        <stp/>
        <stp>DELTA</stp>
        <stp>.SPY250516P581</stp>
        <tr r="CI5" s="1"/>
        <tr r="CI5" s="1"/>
      </tp>
      <tp>
        <v>0.13</v>
        <stp/>
        <stp>DELTA</stp>
        <stp>.SPY250516C581</stp>
        <tr r="CH5" s="1"/>
        <tr r="CH5" s="1"/>
      </tp>
      <tp>
        <v>-0.73</v>
        <stp/>
        <stp>DELTA</stp>
        <stp>.SPY250516P580</stp>
        <tr r="CI6" s="1"/>
        <tr r="CI6" s="1"/>
      </tp>
      <tp>
        <v>0.14000000000000001</v>
        <stp/>
        <stp>DELTA</stp>
        <stp>.SPY250516C580</stp>
        <tr r="CH6" s="1"/>
        <tr r="CH6" s="1"/>
      </tp>
      <tp>
        <v>-0.77</v>
        <stp/>
        <stp>DELTA</stp>
        <stp>.SPY250507P582</stp>
        <tr r="CE4" s="1"/>
        <tr r="CE4" s="1"/>
      </tp>
      <tp>
        <v>0</v>
        <stp/>
        <stp>DELTA</stp>
        <stp>.SPY250507C582</stp>
        <tr r="CD4" s="1"/>
        <tr r="CD4" s="1"/>
      </tp>
      <tp>
        <v>-0.76</v>
        <stp/>
        <stp>DELTA</stp>
        <stp>.SPY250507P580</stp>
        <tr r="CE6" s="1"/>
        <tr r="CE6" s="1"/>
      </tp>
      <tp>
        <v>0</v>
        <stp/>
        <stp>DELTA</stp>
        <stp>.SPY250507C580</stp>
        <tr r="CD6" s="1"/>
        <tr r="CD6" s="1"/>
      </tp>
      <tp>
        <v>-0.76</v>
        <stp/>
        <stp>DELTA</stp>
        <stp>.SPY250507P581</stp>
        <tr r="CE5" s="1"/>
        <tr r="CE5" s="1"/>
      </tp>
      <tp>
        <v>0</v>
        <stp/>
        <stp>DELTA</stp>
        <stp>.SPY250507C581</stp>
        <tr r="CD5" s="1"/>
        <tr r="CD5" s="1"/>
      </tp>
      <tp>
        <v>-0.76</v>
        <stp/>
        <stp>DELTA</stp>
        <stp>.SPY250509P580</stp>
        <tr r="CG6" s="1"/>
        <tr r="CG6" s="1"/>
      </tp>
      <tp>
        <v>0.02</v>
        <stp/>
        <stp>DELTA</stp>
        <stp>.SPY250509C580</stp>
        <tr r="CF6" s="1"/>
        <tr r="CF6" s="1"/>
      </tp>
      <tp>
        <v>-0.76</v>
        <stp/>
        <stp>DELTA</stp>
        <stp>.SPY250509P581</stp>
        <tr r="CG5" s="1"/>
        <tr r="CG5" s="1"/>
      </tp>
      <tp>
        <v>0.02</v>
        <stp/>
        <stp>DELTA</stp>
        <stp>.SPY250509C581</stp>
        <tr r="CF5" s="1"/>
        <tr r="CF5" s="1"/>
      </tp>
      <tp>
        <v>-0.77</v>
        <stp/>
        <stp>DELTA</stp>
        <stp>.SPY250509P582</stp>
        <tr r="CG4" s="1"/>
        <tr r="CG4" s="1"/>
      </tp>
      <tp>
        <v>0.02</v>
        <stp/>
        <stp>DELTA</stp>
        <stp>.SPY250509C582</stp>
        <tr r="CF4" s="1"/>
        <tr r="CF4" s="1"/>
      </tp>
      <tp>
        <v>0</v>
        <stp/>
        <stp>DELTA</stp>
        <stp>.SPY250507P556</stp>
        <tr r="CE30" s="1"/>
        <tr r="CE30" s="1"/>
      </tp>
      <tp>
        <v>-0.3</v>
        <stp/>
        <stp>DELTA</stp>
        <stp>.SPY250509P558</stp>
        <tr r="CG28" s="1"/>
        <tr r="CG28" s="1"/>
      </tp>
      <tp>
        <v>1</v>
        <stp/>
        <stp>DELTA</stp>
        <stp>.SPY250507C556</stp>
        <tr r="CD30" s="1"/>
        <tr r="CD30" s="1"/>
      </tp>
      <tp>
        <v>1</v>
        <stp/>
        <stp>DELTA</stp>
        <stp>.SPY250509C558</stp>
        <tr r="CF28" s="1"/>
        <tr r="CF28" s="1"/>
      </tp>
      <tp>
        <v>-0.01</v>
        <stp/>
        <stp>DELTA</stp>
        <stp>.SPY250507P557</stp>
        <tr r="CE29" s="1"/>
        <tr r="CE29" s="1"/>
      </tp>
      <tp>
        <v>-0.33</v>
        <stp/>
        <stp>DELTA</stp>
        <stp>.SPY250509P559</stp>
        <tr r="CG27" s="1"/>
        <tr r="CG27" s="1"/>
      </tp>
      <tp>
        <v>1</v>
        <stp/>
        <stp>DELTA</stp>
        <stp>.SPY250507C557</stp>
        <tr r="CD29" s="1"/>
        <tr r="CD29" s="1"/>
      </tp>
      <tp>
        <v>1</v>
        <stp/>
        <stp>DELTA</stp>
        <stp>.SPY250509C559</stp>
        <tr r="CF27" s="1"/>
        <tr r="CF27" s="1"/>
      </tp>
      <tp>
        <v>0</v>
        <stp/>
        <stp>DELTA</stp>
        <stp>.SPY250507P554</stp>
        <tr r="CE32" s="1"/>
        <tr r="CE32" s="1"/>
      </tp>
      <tp>
        <v>1</v>
        <stp/>
        <stp>DELTA</stp>
        <stp>.SPY250507C554</stp>
        <tr r="CD32" s="1"/>
        <tr r="CD32" s="1"/>
      </tp>
      <tp>
        <v>0</v>
        <stp/>
        <stp>DELTA</stp>
        <stp>.SPY250507P555</stp>
        <tr r="CE31" s="1"/>
        <tr r="CE31" s="1"/>
      </tp>
      <tp>
        <v>1</v>
        <stp/>
        <stp>DELTA</stp>
        <stp>.SPY250507C555</stp>
        <tr r="CD31" s="1"/>
        <tr r="CD31" s="1"/>
      </tp>
      <tp>
        <v>0</v>
        <stp/>
        <stp>DELTA</stp>
        <stp>.SPY250507P552</stp>
        <tr r="CE34" s="1"/>
        <tr r="CE34" s="1"/>
      </tp>
      <tp>
        <v>1</v>
        <stp/>
        <stp>DELTA</stp>
        <stp>.SPY250507C552</stp>
        <tr r="CD34" s="1"/>
        <tr r="CD34" s="1"/>
      </tp>
      <tp>
        <v>0</v>
        <stp/>
        <stp>DELTA</stp>
        <stp>.SPY250507P553</stp>
        <tr r="CE33" s="1"/>
        <tr r="CE33" s="1"/>
      </tp>
      <tp>
        <v>1</v>
        <stp/>
        <stp>DELTA</stp>
        <stp>.SPY250507C553</stp>
        <tr r="CD33" s="1"/>
        <tr r="CD33" s="1"/>
      </tp>
      <tp>
        <v>0</v>
        <stp/>
        <stp>DELTA</stp>
        <stp>.SPY250507P550</stp>
        <tr r="CE36" s="1"/>
        <tr r="CE36" s="1"/>
      </tp>
      <tp>
        <v>1</v>
        <stp/>
        <stp>DELTA</stp>
        <stp>.SPY250507C550</stp>
        <tr r="CD36" s="1"/>
        <tr r="CD36" s="1"/>
      </tp>
      <tp>
        <v>0</v>
        <stp/>
        <stp>DELTA</stp>
        <stp>.SPY250507P551</stp>
        <tr r="CE35" s="1"/>
        <tr r="CE35" s="1"/>
      </tp>
      <tp>
        <v>1</v>
        <stp/>
        <stp>DELTA</stp>
        <stp>.SPY250507C551</stp>
        <tr r="CD35" s="1"/>
        <tr r="CD35" s="1"/>
      </tp>
      <tp>
        <v>-0.12</v>
        <stp/>
        <stp>DELTA</stp>
        <stp>.SPY250509P550</stp>
        <tr r="CG36" s="1"/>
        <tr r="CG36" s="1"/>
      </tp>
      <tp>
        <v>1</v>
        <stp/>
        <stp>DELTA</stp>
        <stp>.SPY250509C550</stp>
        <tr r="CF36" s="1"/>
        <tr r="CF36" s="1"/>
      </tp>
      <tp>
        <v>-0.14000000000000001</v>
        <stp/>
        <stp>DELTA</stp>
        <stp>.SPY250509P551</stp>
        <tr r="CG35" s="1"/>
        <tr r="CG35" s="1"/>
      </tp>
      <tp>
        <v>1</v>
        <stp/>
        <stp>DELTA</stp>
        <stp>.SPY250509C551</stp>
        <tr r="CF35" s="1"/>
        <tr r="CF35" s="1"/>
      </tp>
      <tp>
        <v>-0.16</v>
        <stp/>
        <stp>DELTA</stp>
        <stp>.SPY250509P552</stp>
        <tr r="CG34" s="1"/>
        <tr r="CG34" s="1"/>
      </tp>
      <tp>
        <v>1</v>
        <stp/>
        <stp>DELTA</stp>
        <stp>.SPY250509C552</stp>
        <tr r="CF34" s="1"/>
        <tr r="CF34" s="1"/>
      </tp>
      <tp>
        <v>-0.18</v>
        <stp/>
        <stp>DELTA</stp>
        <stp>.SPY250509P553</stp>
        <tr r="CG33" s="1"/>
        <tr r="CG33" s="1"/>
      </tp>
      <tp>
        <v>1</v>
        <stp/>
        <stp>DELTA</stp>
        <stp>.SPY250509C553</stp>
        <tr r="CF33" s="1"/>
        <tr r="CF33" s="1"/>
      </tp>
      <tp>
        <v>-0.2</v>
        <stp/>
        <stp>DELTA</stp>
        <stp>.SPY250509P554</stp>
        <tr r="CG32" s="1"/>
        <tr r="CG32" s="1"/>
      </tp>
      <tp>
        <v>1</v>
        <stp/>
        <stp>DELTA</stp>
        <stp>.SPY250509C554</stp>
        <tr r="CF32" s="1"/>
        <tr r="CF32" s="1"/>
      </tp>
      <tp>
        <v>-0.22</v>
        <stp/>
        <stp>DELTA</stp>
        <stp>.SPY250509P555</stp>
        <tr r="CG31" s="1"/>
        <tr r="CG31" s="1"/>
      </tp>
      <tp>
        <v>1</v>
        <stp/>
        <stp>DELTA</stp>
        <stp>.SPY250509C555</stp>
        <tr r="CF31" s="1"/>
        <tr r="CF31" s="1"/>
      </tp>
      <tp>
        <v>-0.01</v>
        <stp/>
        <stp>DELTA</stp>
        <stp>.SPY250507P558</stp>
        <tr r="CE28" s="1"/>
        <tr r="CE28" s="1"/>
      </tp>
      <tp>
        <v>-0.25</v>
        <stp/>
        <stp>DELTA</stp>
        <stp>.SPY250509P556</stp>
        <tr r="CG30" s="1"/>
        <tr r="CG30" s="1"/>
      </tp>
      <tp>
        <v>-0.24</v>
        <stp/>
        <stp>DELTA</stp>
        <stp>.SPY250516P549</stp>
        <tr r="CI37" s="1"/>
        <tr r="CI37" s="1"/>
      </tp>
      <tp>
        <v>1</v>
        <stp/>
        <stp>DELTA</stp>
        <stp>.SPY250507C558</stp>
        <tr r="CD28" s="1"/>
        <tr r="CD28" s="1"/>
      </tp>
      <tp>
        <v>1</v>
        <stp/>
        <stp>DELTA</stp>
        <stp>.SPY250509C556</stp>
        <tr r="CF30" s="1"/>
        <tr r="CF30" s="1"/>
      </tp>
      <tp>
        <v>0.9</v>
        <stp/>
        <stp>DELTA</stp>
        <stp>.SPY250516C549</stp>
        <tr r="CH37" s="1"/>
        <tr r="CH37" s="1"/>
      </tp>
      <tp>
        <v>-0.01</v>
        <stp/>
        <stp>DELTA</stp>
        <stp>.SPY250507P559</stp>
        <tr r="CE27" s="1"/>
        <tr r="CE27" s="1"/>
      </tp>
      <tp>
        <v>-0.27</v>
        <stp/>
        <stp>DELTA</stp>
        <stp>.SPY250509P557</stp>
        <tr r="CG29" s="1"/>
        <tr r="CG29" s="1"/>
      </tp>
      <tp>
        <v>-0.23</v>
        <stp/>
        <stp>DELTA</stp>
        <stp>.SPY250516P548</stp>
        <tr r="CI38" s="1"/>
        <tr r="CI38" s="1"/>
      </tp>
      <tp>
        <v>1</v>
        <stp/>
        <stp>DELTA</stp>
        <stp>.SPY250507C559</stp>
        <tr r="CD27" s="1"/>
        <tr r="CD27" s="1"/>
      </tp>
      <tp>
        <v>1</v>
        <stp/>
        <stp>DELTA</stp>
        <stp>.SPY250509C557</stp>
        <tr r="CF29" s="1"/>
        <tr r="CF29" s="1"/>
      </tp>
      <tp>
        <v>0.93</v>
        <stp/>
        <stp>DELTA</stp>
        <stp>.SPY250516C548</stp>
        <tr r="CH38" s="1"/>
        <tr r="CH38" s="1"/>
      </tp>
      <tp>
        <v>-0.1</v>
        <stp/>
        <stp>DELTA</stp>
        <stp>.SPY250509P548</stp>
        <tr r="CG38" s="1"/>
        <tr r="CG38" s="1"/>
      </tp>
      <tp>
        <v>-0.36</v>
        <stp/>
        <stp>DELTA</stp>
        <stp>.SPY250516P557</stp>
        <tr r="CI29" s="1"/>
        <tr r="CI29" s="1"/>
      </tp>
      <tp>
        <v>1</v>
        <stp/>
        <stp>DELTA</stp>
        <stp>.SPY250509C548</stp>
        <tr r="CF38" s="1"/>
        <tr r="CF38" s="1"/>
      </tp>
      <tp>
        <v>0.71</v>
        <stp/>
        <stp>DELTA</stp>
        <stp>.SPY250516C557</stp>
        <tr r="CH29" s="1"/>
        <tr r="CH29" s="1"/>
      </tp>
      <tp>
        <v>-0.11</v>
        <stp/>
        <stp>DELTA</stp>
        <stp>.SPY250509P549</stp>
        <tr r="CG37" s="1"/>
        <tr r="CG37" s="1"/>
      </tp>
      <tp>
        <v>-0.34</v>
        <stp/>
        <stp>DELTA</stp>
        <stp>.SPY250516P556</stp>
        <tr r="CI30" s="1"/>
        <tr r="CI30" s="1"/>
      </tp>
      <tp>
        <v>1</v>
        <stp/>
        <stp>DELTA</stp>
        <stp>.SPY250509C549</stp>
        <tr r="CF37" s="1"/>
        <tr r="CF37" s="1"/>
      </tp>
      <tp>
        <v>0.73</v>
        <stp/>
        <stp>DELTA</stp>
        <stp>.SPY250516C556</stp>
        <tr r="CH30" s="1"/>
        <tr r="CH30" s="1"/>
      </tp>
      <tp>
        <v>-0.32</v>
        <stp/>
        <stp>DELTA</stp>
        <stp>.SPY250516P555</stp>
        <tr r="CI31" s="1"/>
        <tr r="CI31" s="1"/>
      </tp>
      <tp>
        <v>0.76</v>
        <stp/>
        <stp>DELTA</stp>
        <stp>.SPY250516C555</stp>
        <tr r="CH31" s="1"/>
        <tr r="CH31" s="1"/>
      </tp>
      <tp>
        <v>-0.31</v>
        <stp/>
        <stp>DELTA</stp>
        <stp>.SPY250516P554</stp>
        <tr r="CI32" s="1"/>
        <tr r="CI32" s="1"/>
      </tp>
      <tp>
        <v>0.78</v>
        <stp/>
        <stp>DELTA</stp>
        <stp>.SPY250516C554</stp>
        <tr r="CH32" s="1"/>
        <tr r="CH32" s="1"/>
      </tp>
      <tp>
        <v>-0.28999999999999998</v>
        <stp/>
        <stp>DELTA</stp>
        <stp>.SPY250516P553</stp>
        <tr r="CI33" s="1"/>
        <tr r="CI33" s="1"/>
      </tp>
      <tp>
        <v>0.8</v>
        <stp/>
        <stp>DELTA</stp>
        <stp>.SPY250516C553</stp>
        <tr r="CH33" s="1"/>
        <tr r="CH33" s="1"/>
      </tp>
      <tp>
        <v>-0.28000000000000003</v>
        <stp/>
        <stp>DELTA</stp>
        <stp>.SPY250516P552</stp>
        <tr r="CI34" s="1"/>
        <tr r="CI34" s="1"/>
      </tp>
      <tp>
        <v>0.83</v>
        <stp/>
        <stp>DELTA</stp>
        <stp>.SPY250516C552</stp>
        <tr r="CH34" s="1"/>
        <tr r="CH34" s="1"/>
      </tp>
      <tp>
        <v>-0.26</v>
        <stp/>
        <stp>DELTA</stp>
        <stp>.SPY250516P551</stp>
        <tr r="CI35" s="1"/>
        <tr r="CI35" s="1"/>
      </tp>
      <tp>
        <v>0.85</v>
        <stp/>
        <stp>DELTA</stp>
        <stp>.SPY250516C551</stp>
        <tr r="CH35" s="1"/>
        <tr r="CH35" s="1"/>
      </tp>
      <tp>
        <v>-0.25</v>
        <stp/>
        <stp>DELTA</stp>
        <stp>.SPY250516P550</stp>
        <tr r="CI36" s="1"/>
        <tr r="CI36" s="1"/>
      </tp>
      <tp>
        <v>0.88</v>
        <stp/>
        <stp>DELTA</stp>
        <stp>.SPY250516C550</stp>
        <tr r="CH36" s="1"/>
        <tr r="CH36" s="1"/>
      </tp>
      <tp>
        <v>0</v>
        <stp/>
        <stp>DELTA</stp>
        <stp>.SPY250507P548</stp>
        <tr r="CE38" s="1"/>
        <tr r="CE38" s="1"/>
      </tp>
      <tp>
        <v>-0.39</v>
        <stp/>
        <stp>DELTA</stp>
        <stp>.SPY250516P559</stp>
        <tr r="CI27" s="1"/>
        <tr r="CI27" s="1"/>
      </tp>
      <tp>
        <v>1</v>
        <stp/>
        <stp>DELTA</stp>
        <stp>.SPY250507C548</stp>
        <tr r="CD38" s="1"/>
        <tr r="CD38" s="1"/>
      </tp>
      <tp>
        <v>0.66</v>
        <stp/>
        <stp>DELTA</stp>
        <stp>.SPY250516C559</stp>
        <tr r="CH27" s="1"/>
        <tr r="CH27" s="1"/>
      </tp>
      <tp>
        <v>0</v>
        <stp/>
        <stp>DELTA</stp>
        <stp>.SPY250507P549</stp>
        <tr r="CE37" s="1"/>
        <tr r="CE37" s="1"/>
      </tp>
      <tp>
        <v>-0.37</v>
        <stp/>
        <stp>DELTA</stp>
        <stp>.SPY250516P558</stp>
        <tr r="CI28" s="1"/>
        <tr r="CI28" s="1"/>
      </tp>
      <tp>
        <v>1</v>
        <stp/>
        <stp>DELTA</stp>
        <stp>.SPY250507C549</stp>
        <tr r="CD37" s="1"/>
        <tr r="CD37" s="1"/>
      </tp>
      <tp>
        <v>0.68</v>
        <stp/>
        <stp>DELTA</stp>
        <stp>.SPY250516C558</stp>
        <tr r="CH28" s="1"/>
        <tr r="CH28" s="1"/>
      </tp>
      <tp>
        <v>-0.73</v>
        <stp/>
        <stp>DELTA</stp>
        <stp>.SPY250507P576</stp>
        <tr r="CE10" s="1"/>
        <tr r="CE10" s="1"/>
      </tp>
      <tp>
        <v>-0.73</v>
        <stp/>
        <stp>DELTA</stp>
        <stp>.SPY250509P578</stp>
        <tr r="CG8" s="1"/>
        <tr r="CG8" s="1"/>
      </tp>
      <tp>
        <v>-0.53</v>
        <stp/>
        <stp>DELTA</stp>
        <stp>.SPY250516P567</stp>
        <tr r="CI19" s="1"/>
        <tr r="CI19" s="1"/>
      </tp>
      <tp>
        <v>0</v>
        <stp/>
        <stp>DELTA</stp>
        <stp>.SPY250507C576</stp>
        <tr r="CD10" s="1"/>
        <tr r="CD10" s="1"/>
      </tp>
      <tp>
        <v>0.03</v>
        <stp/>
        <stp>DELTA</stp>
        <stp>.SPY250509C578</stp>
        <tr r="CF8" s="1"/>
        <tr r="CF8" s="1"/>
      </tp>
      <tp>
        <v>0.44</v>
        <stp/>
        <stp>DELTA</stp>
        <stp>.SPY250516C567</stp>
        <tr r="CH19" s="1"/>
        <tr r="CH19" s="1"/>
      </tp>
      <tp>
        <v>-0.74</v>
        <stp/>
        <stp>DELTA</stp>
        <stp>.SPY250507P577</stp>
        <tr r="CE9" s="1"/>
        <tr r="CE9" s="1"/>
      </tp>
      <tp>
        <v>-0.74</v>
        <stp/>
        <stp>DELTA</stp>
        <stp>.SPY250509P579</stp>
        <tr r="CG7" s="1"/>
        <tr r="CG7" s="1"/>
      </tp>
      <tp>
        <v>-0.52</v>
        <stp/>
        <stp>DELTA</stp>
        <stp>.SPY250516P566</stp>
        <tr r="CI20" s="1"/>
        <tr r="CI20" s="1"/>
      </tp>
      <tp>
        <v>0</v>
        <stp/>
        <stp>DELTA</stp>
        <stp>.SPY250507C577</stp>
        <tr r="CD9" s="1"/>
        <tr r="CD9" s="1"/>
      </tp>
      <tp>
        <v>0.03</v>
        <stp/>
        <stp>DELTA</stp>
        <stp>.SPY250509C579</stp>
        <tr r="CF7" s="1"/>
        <tr r="CF7" s="1"/>
      </tp>
      <tp>
        <v>0.47</v>
        <stp/>
        <stp>DELTA</stp>
        <stp>.SPY250516C566</stp>
        <tr r="CH20" s="1"/>
        <tr r="CH20" s="1"/>
      </tp>
      <tp>
        <v>-0.71</v>
        <stp/>
        <stp>DELTA</stp>
        <stp>.SPY250507P574</stp>
        <tr r="CE12" s="1"/>
        <tr r="CE12" s="1"/>
      </tp>
      <tp>
        <v>-0.5</v>
        <stp/>
        <stp>DELTA</stp>
        <stp>.SPY250516P565</stp>
        <tr r="CI21" s="1"/>
        <tr r="CI21" s="1"/>
      </tp>
      <tp>
        <v>0</v>
        <stp/>
        <stp>DELTA</stp>
        <stp>.SPY250507C574</stp>
        <tr r="CD12" s="1"/>
        <tr r="CD12" s="1"/>
      </tp>
      <tp>
        <v>0.5</v>
        <stp/>
        <stp>DELTA</stp>
        <stp>.SPY250516C565</stp>
        <tr r="CH21" s="1"/>
        <tr r="CH21" s="1"/>
      </tp>
      <tp>
        <v>-0.72</v>
        <stp/>
        <stp>DELTA</stp>
        <stp>.SPY250507P575</stp>
        <tr r="CE11" s="1"/>
        <tr r="CE11" s="1"/>
      </tp>
      <tp>
        <v>-0.48</v>
        <stp/>
        <stp>DELTA</stp>
        <stp>.SPY250516P564</stp>
        <tr r="CI22" s="1"/>
        <tr r="CI22" s="1"/>
      </tp>
      <tp>
        <v>0</v>
        <stp/>
        <stp>DELTA</stp>
        <stp>.SPY250507C575</stp>
        <tr r="CD11" s="1"/>
        <tr r="CD11" s="1"/>
      </tp>
      <tp>
        <v>0.53</v>
        <stp/>
        <stp>DELTA</stp>
        <stp>.SPY250516C564</stp>
        <tr r="CH22" s="1"/>
        <tr r="CH22" s="1"/>
      </tp>
      <tp>
        <v>-0.69</v>
        <stp/>
        <stp>DELTA</stp>
        <stp>.SPY250507P572</stp>
        <tr r="CE14" s="1"/>
        <tr r="CE14" s="1"/>
      </tp>
      <tp>
        <v>-0.46</v>
        <stp/>
        <stp>DELTA</stp>
        <stp>.SPY250516P563</stp>
        <tr r="CI23" s="1"/>
        <tr r="CI23" s="1"/>
      </tp>
      <tp>
        <v>0.01</v>
        <stp/>
        <stp>DELTA</stp>
        <stp>.SPY250507C572</stp>
        <tr r="CD14" s="1"/>
        <tr r="CD14" s="1"/>
      </tp>
      <tp>
        <v>0.55000000000000004</v>
        <stp/>
        <stp>DELTA</stp>
        <stp>.SPY250516C563</stp>
        <tr r="CH23" s="1"/>
        <tr r="CH23" s="1"/>
      </tp>
      <tp>
        <v>-0.7</v>
        <stp/>
        <stp>DELTA</stp>
        <stp>.SPY250507P573</stp>
        <tr r="CE13" s="1"/>
        <tr r="CE13" s="1"/>
      </tp>
      <tp>
        <v>-0.44</v>
        <stp/>
        <stp>DELTA</stp>
        <stp>.SPY250516P562</stp>
        <tr r="CI24" s="1"/>
        <tr r="CI24" s="1"/>
      </tp>
      <tp>
        <v>0</v>
        <stp/>
        <stp>DELTA</stp>
        <stp>.SPY250507C573</stp>
        <tr r="CD13" s="1"/>
        <tr r="CD13" s="1"/>
      </tp>
      <tp>
        <v>0.57999999999999996</v>
        <stp/>
        <stp>DELTA</stp>
        <stp>.SPY250516C562</stp>
        <tr r="CH24" s="1"/>
        <tr r="CH24" s="1"/>
      </tp>
      <tp>
        <v>-0.66</v>
        <stp/>
        <stp>DELTA</stp>
        <stp>.SPY250507P570</stp>
        <tr r="CE16" s="1"/>
        <tr r="CE16" s="1"/>
      </tp>
      <tp>
        <v>-0.42</v>
        <stp/>
        <stp>DELTA</stp>
        <stp>.SPY250516P561</stp>
        <tr r="CI25" s="1"/>
        <tr r="CI25" s="1"/>
      </tp>
      <tp>
        <v>0.01</v>
        <stp/>
        <stp>DELTA</stp>
        <stp>.SPY250507C570</stp>
        <tr r="CD16" s="1"/>
        <tr r="CD16" s="1"/>
      </tp>
      <tp>
        <v>0.61</v>
        <stp/>
        <stp>DELTA</stp>
        <stp>.SPY250516C561</stp>
        <tr r="CH25" s="1"/>
        <tr r="CH25" s="1"/>
      </tp>
      <tp>
        <v>-0.68</v>
        <stp/>
        <stp>DELTA</stp>
        <stp>.SPY250507P571</stp>
        <tr r="CE15" s="1"/>
        <tr r="CE15" s="1"/>
      </tp>
      <tp>
        <v>-0.41</v>
        <stp/>
        <stp>DELTA</stp>
        <stp>.SPY250516P560</stp>
        <tr r="CI26" s="1"/>
        <tr r="CI26" s="1"/>
      </tp>
      <tp>
        <v>0.01</v>
        <stp/>
        <stp>DELTA</stp>
        <stp>.SPY250507C571</stp>
        <tr r="CD15" s="1"/>
        <tr r="CD15" s="1"/>
      </tp>
      <tp>
        <v>0.63</v>
        <stp/>
        <stp>DELTA</stp>
        <stp>.SPY250516C560</stp>
        <tr r="CH26" s="1"/>
        <tr r="CH26" s="1"/>
      </tp>
      <tp>
        <v>-0.64</v>
        <stp/>
        <stp>DELTA</stp>
        <stp>.SPY250509P570</stp>
        <tr r="CG16" s="1"/>
        <tr r="CG16" s="1"/>
      </tp>
      <tp>
        <v>0.2</v>
        <stp/>
        <stp>DELTA</stp>
        <stp>.SPY250509C570</stp>
        <tr r="CF16" s="1"/>
        <tr r="CF16" s="1"/>
      </tp>
      <tp>
        <v>-0.66</v>
        <stp/>
        <stp>DELTA</stp>
        <stp>.SPY250509P571</stp>
        <tr r="CG15" s="1"/>
        <tr r="CG15" s="1"/>
      </tp>
      <tp>
        <v>0.17</v>
        <stp/>
        <stp>DELTA</stp>
        <stp>.SPY250509C571</stp>
        <tr r="CF15" s="1"/>
        <tr r="CF15" s="1"/>
      </tp>
      <tp>
        <v>-0.68</v>
        <stp/>
        <stp>DELTA</stp>
        <stp>.SPY250509P572</stp>
        <tr r="CG14" s="1"/>
        <tr r="CG14" s="1"/>
      </tp>
      <tp>
        <v>0.13</v>
        <stp/>
        <stp>DELTA</stp>
        <stp>.SPY250509C572</stp>
        <tr r="CF14" s="1"/>
        <tr r="CF14" s="1"/>
      </tp>
      <tp>
        <v>-0.69</v>
        <stp/>
        <stp>DELTA</stp>
        <stp>.SPY250509P573</stp>
        <tr r="CG13" s="1"/>
        <tr r="CG13" s="1"/>
      </tp>
      <tp>
        <v>0.11</v>
        <stp/>
        <stp>DELTA</stp>
        <stp>.SPY250509C573</stp>
        <tr r="CF13" s="1"/>
        <tr r="CF13" s="1"/>
      </tp>
      <tp>
        <v>-0.71</v>
        <stp/>
        <stp>DELTA</stp>
        <stp>.SPY250509P574</stp>
        <tr r="CG12" s="1"/>
        <tr r="CG12" s="1"/>
      </tp>
      <tp>
        <v>0.09</v>
        <stp/>
        <stp>DELTA</stp>
        <stp>.SPY250509C574</stp>
        <tr r="CF12" s="1"/>
        <tr r="CF12" s="1"/>
      </tp>
      <tp>
        <v>-0.72</v>
        <stp/>
        <stp>DELTA</stp>
        <stp>.SPY250509P575</stp>
        <tr r="CG11" s="1"/>
        <tr r="CG11" s="1"/>
      </tp>
      <tp>
        <v>7.0000000000000007E-2</v>
        <stp/>
        <stp>DELTA</stp>
        <stp>.SPY250509C575</stp>
        <tr r="CF11" s="1"/>
        <tr r="CF11" s="1"/>
      </tp>
      <tp>
        <v>-0.75</v>
        <stp/>
        <stp>DELTA</stp>
        <stp>.SPY250507P578</stp>
        <tr r="CE8" s="1"/>
        <tr r="CE8" s="1"/>
      </tp>
      <tp>
        <v>-0.73</v>
        <stp/>
        <stp>DELTA</stp>
        <stp>.SPY250509P576</stp>
        <tr r="CG10" s="1"/>
        <tr r="CG10" s="1"/>
      </tp>
      <tp>
        <v>-0.56999999999999995</v>
        <stp/>
        <stp>DELTA</stp>
        <stp>.SPY250516P569</stp>
        <tr r="CI17" s="1"/>
        <tr r="CI17" s="1"/>
      </tp>
      <tp>
        <v>0</v>
        <stp/>
        <stp>DELTA</stp>
        <stp>.SPY250507C578</stp>
        <tr r="CD8" s="1"/>
        <tr r="CD8" s="1"/>
      </tp>
      <tp>
        <v>0.05</v>
        <stp/>
        <stp>DELTA</stp>
        <stp>.SPY250509C576</stp>
        <tr r="CF10" s="1"/>
        <tr r="CF10" s="1"/>
      </tp>
      <tp>
        <v>0.39</v>
        <stp/>
        <stp>DELTA</stp>
        <stp>.SPY250516C569</stp>
        <tr r="CH17" s="1"/>
        <tr r="CH17" s="1"/>
      </tp>
      <tp>
        <v>-0.75</v>
        <stp/>
        <stp>DELTA</stp>
        <stp>.SPY250507P579</stp>
        <tr r="CE7" s="1"/>
        <tr r="CE7" s="1"/>
      </tp>
      <tp>
        <v>-0.74</v>
        <stp/>
        <stp>DELTA</stp>
        <stp>.SPY250509P577</stp>
        <tr r="CG9" s="1"/>
        <tr r="CG9" s="1"/>
      </tp>
      <tp>
        <v>-0.55000000000000004</v>
        <stp/>
        <stp>DELTA</stp>
        <stp>.SPY250516P568</stp>
        <tr r="CI18" s="1"/>
        <tr r="CI18" s="1"/>
      </tp>
      <tp>
        <v>0</v>
        <stp/>
        <stp>DELTA</stp>
        <stp>.SPY250507C579</stp>
        <tr r="CD7" s="1"/>
        <tr r="CD7" s="1"/>
      </tp>
      <tp>
        <v>0.04</v>
        <stp/>
        <stp>DELTA</stp>
        <stp>.SPY250509C577</stp>
        <tr r="CF9" s="1"/>
        <tr r="CF9" s="1"/>
      </tp>
      <tp>
        <v>0.42</v>
        <stp/>
        <stp>DELTA</stp>
        <stp>.SPY250516C568</stp>
        <tr r="CH18" s="1"/>
        <tr r="CH18" s="1"/>
      </tp>
      <tp>
        <v>-0.56999999999999995</v>
        <stp/>
        <stp>DELTA</stp>
        <stp>.SPY250507P566</stp>
        <tr r="CE20" s="1"/>
        <tr r="CE20" s="1"/>
      </tp>
      <tp>
        <v>-0.6</v>
        <stp/>
        <stp>DELTA</stp>
        <stp>.SPY250509P568</stp>
        <tr r="CG18" s="1"/>
        <tr r="CG18" s="1"/>
      </tp>
      <tp>
        <v>-0.7</v>
        <stp/>
        <stp>DELTA</stp>
        <stp>.SPY250516P577</stp>
        <tr r="CI9" s="1"/>
        <tr r="CI9" s="1"/>
      </tp>
      <tp>
        <v>0.02</v>
        <stp/>
        <stp>DELTA</stp>
        <stp>.SPY250507C566</stp>
        <tr r="CD20" s="1"/>
        <tr r="CD20" s="1"/>
      </tp>
      <tp>
        <v>0.3</v>
        <stp/>
        <stp>DELTA</stp>
        <stp>.SPY250509C568</stp>
        <tr r="CF18" s="1"/>
        <tr r="CF18" s="1"/>
      </tp>
      <tp>
        <v>0.2</v>
        <stp/>
        <stp>DELTA</stp>
        <stp>.SPY250516C577</stp>
        <tr r="CH9" s="1"/>
        <tr r="CH9" s="1"/>
      </tp>
      <tp>
        <v>-0.6</v>
        <stp/>
        <stp>DELTA</stp>
        <stp>.SPY250507P567</stp>
        <tr r="CE19" s="1"/>
        <tr r="CE19" s="1"/>
      </tp>
      <tp>
        <v>-0.62</v>
        <stp/>
        <stp>DELTA</stp>
        <stp>.SPY250509P569</stp>
        <tr r="CG17" s="1"/>
        <tr r="CG17" s="1"/>
      </tp>
      <tp>
        <v>-0.68</v>
        <stp/>
        <stp>DELTA</stp>
        <stp>.SPY250516P576</stp>
        <tr r="CI10" s="1"/>
        <tr r="CI10" s="1"/>
      </tp>
      <tp>
        <v>0.01</v>
        <stp/>
        <stp>DELTA</stp>
        <stp>.SPY250507C567</stp>
        <tr r="CD19" s="1"/>
        <tr r="CD19" s="1"/>
      </tp>
      <tp>
        <v>0.25</v>
        <stp/>
        <stp>DELTA</stp>
        <stp>.SPY250509C569</stp>
        <tr r="CF17" s="1"/>
        <tr r="CF17" s="1"/>
      </tp>
      <tp>
        <v>0.22</v>
        <stp/>
        <stp>DELTA</stp>
        <stp>.SPY250516C576</stp>
        <tr r="CH10" s="1"/>
        <tr r="CH10" s="1"/>
      </tp>
      <tp>
        <v>-0.48</v>
        <stp/>
        <stp>DELTA</stp>
        <stp>.SPY250507P564</stp>
        <tr r="CE22" s="1"/>
        <tr r="CE22" s="1"/>
      </tp>
      <tp>
        <v>-0.67</v>
        <stp/>
        <stp>DELTA</stp>
        <stp>.SPY250516P575</stp>
        <tr r="CI11" s="1"/>
        <tr r="CI11" s="1"/>
      </tp>
      <tp>
        <v>1</v>
        <stp/>
        <stp>DELTA</stp>
        <stp>.SPY250507C564</stp>
        <tr r="CD22" s="1"/>
        <tr r="CD22" s="1"/>
      </tp>
      <tp>
        <v>0.24</v>
        <stp/>
        <stp>DELTA</stp>
        <stp>.SPY250516C575</stp>
        <tr r="CH11" s="1"/>
        <tr r="CH11" s="1"/>
      </tp>
      <tp>
        <v>-0.53</v>
        <stp/>
        <stp>DELTA</stp>
        <stp>.SPY250507P565</stp>
        <tr r="CE21" s="1"/>
        <tr r="CE21" s="1"/>
      </tp>
      <tp>
        <v>-0.66</v>
        <stp/>
        <stp>DELTA</stp>
        <stp>.SPY250516P574</stp>
        <tr r="CI12" s="1"/>
        <tr r="CI12" s="1"/>
      </tp>
      <tp>
        <v>0.03</v>
        <stp/>
        <stp>DELTA</stp>
        <stp>.SPY250507C565</stp>
        <tr r="CD21" s="1"/>
        <tr r="CD21" s="1"/>
      </tp>
      <tp>
        <v>0.26</v>
        <stp/>
        <stp>DELTA</stp>
        <stp>.SPY250516C574</stp>
        <tr r="CH12" s="1"/>
        <tr r="CH12" s="1"/>
      </tp>
      <tp>
        <v>-0.27</v>
        <stp/>
        <stp>DELTA</stp>
        <stp>.SPY250507P562</stp>
        <tr r="CE24" s="1"/>
        <tr r="CE24" s="1"/>
      </tp>
      <tp>
        <v>-0.64</v>
        <stp/>
        <stp>DELTA</stp>
        <stp>.SPY250516P573</stp>
        <tr r="CI13" s="1"/>
        <tr r="CI13" s="1"/>
      </tp>
      <tp>
        <v>1</v>
        <stp/>
        <stp>DELTA</stp>
        <stp>.SPY250507C562</stp>
        <tr r="CD24" s="1"/>
        <tr r="CD24" s="1"/>
      </tp>
      <tp>
        <v>0.28999999999999998</v>
        <stp/>
        <stp>DELTA</stp>
        <stp>.SPY250516C573</stp>
        <tr r="CH13" s="1"/>
        <tr r="CH13" s="1"/>
      </tp>
      <tp>
        <v>-0.4</v>
        <stp/>
        <stp>DELTA</stp>
        <stp>.SPY250507P563</stp>
        <tr r="CE23" s="1"/>
        <tr r="CE23" s="1"/>
      </tp>
      <tp>
        <v>-0.62</v>
        <stp/>
        <stp>DELTA</stp>
        <stp>.SPY250516P572</stp>
        <tr r="CI14" s="1"/>
        <tr r="CI14" s="1"/>
      </tp>
      <tp>
        <v>1</v>
        <stp/>
        <stp>DELTA</stp>
        <stp>.SPY250507C563</stp>
        <tr r="CD23" s="1"/>
        <tr r="CD23" s="1"/>
      </tp>
      <tp>
        <v>0.31</v>
        <stp/>
        <stp>DELTA</stp>
        <stp>.SPY250516C572</stp>
        <tr r="CH14" s="1"/>
        <tr r="CH14" s="1"/>
      </tp>
      <tp>
        <v>-0.02</v>
        <stp/>
        <stp>DELTA</stp>
        <stp>.SPY250507P560</stp>
        <tr r="CE26" s="1"/>
        <tr r="CE26" s="1"/>
      </tp>
      <tp>
        <v>-0.61</v>
        <stp/>
        <stp>DELTA</stp>
        <stp>.SPY250516P571</stp>
        <tr r="CI15" s="1"/>
        <tr r="CI15" s="1"/>
      </tp>
      <tp>
        <v>1</v>
        <stp/>
        <stp>DELTA</stp>
        <stp>.SPY250507C560</stp>
        <tr r="CD26" s="1"/>
        <tr r="CD26" s="1"/>
      </tp>
      <tp>
        <v>0.34</v>
        <stp/>
        <stp>DELTA</stp>
        <stp>.SPY250516C571</stp>
        <tr r="CH15" s="1"/>
        <tr r="CH15" s="1"/>
      </tp>
      <tp>
        <v>-0.08</v>
        <stp/>
        <stp>DELTA</stp>
        <stp>.SPY250507P561</stp>
        <tr r="CE25" s="1"/>
        <tr r="CE25" s="1"/>
      </tp>
      <tp>
        <v>-0.59</v>
        <stp/>
        <stp>DELTA</stp>
        <stp>.SPY250516P570</stp>
        <tr r="CI16" s="1"/>
        <tr r="CI16" s="1"/>
      </tp>
      <tp>
        <v>1</v>
        <stp/>
        <stp>DELTA</stp>
        <stp>.SPY250507C561</stp>
        <tr r="CD25" s="1"/>
        <tr r="CD25" s="1"/>
      </tp>
      <tp>
        <v>0.36</v>
        <stp/>
        <stp>DELTA</stp>
        <stp>.SPY250516C570</stp>
        <tr r="CH16" s="1"/>
        <tr r="CH16" s="1"/>
      </tp>
      <tp>
        <v>-0.36</v>
        <stp/>
        <stp>DELTA</stp>
        <stp>.SPY250509P560</stp>
        <tr r="CG26" s="1"/>
        <tr r="CG26" s="1"/>
      </tp>
      <tp>
        <v>0.85</v>
        <stp/>
        <stp>DELTA</stp>
        <stp>.SPY250509C560</stp>
        <tr r="CF26" s="1"/>
        <tr r="CF26" s="1"/>
      </tp>
      <tp>
        <v>-0.39</v>
        <stp/>
        <stp>DELTA</stp>
        <stp>.SPY250509P561</stp>
        <tr r="CG25" s="1"/>
        <tr r="CG25" s="1"/>
      </tp>
      <tp>
        <v>0.75</v>
        <stp/>
        <stp>DELTA</stp>
        <stp>.SPY250509C561</stp>
        <tr r="CF25" s="1"/>
        <tr r="CF25" s="1"/>
      </tp>
      <tp>
        <v>-0.42</v>
        <stp/>
        <stp>DELTA</stp>
        <stp>.SPY250509P562</stp>
        <tr r="CG24" s="1"/>
        <tr r="CG24" s="1"/>
      </tp>
      <tp>
        <v>0.67</v>
        <stp/>
        <stp>DELTA</stp>
        <stp>.SPY250509C562</stp>
        <tr r="CF24" s="1"/>
        <tr r="CF24" s="1"/>
      </tp>
      <tp>
        <v>-0.45</v>
        <stp/>
        <stp>DELTA</stp>
        <stp>.SPY250509P563</stp>
        <tr r="CG23" s="1"/>
        <tr r="CG23" s="1"/>
      </tp>
      <tp>
        <v>0.6</v>
        <stp/>
        <stp>DELTA</stp>
        <stp>.SPY250509C563</stp>
        <tr r="CF23" s="1"/>
        <tr r="CF23" s="1"/>
      </tp>
      <tp>
        <v>-0.48</v>
        <stp/>
        <stp>DELTA</stp>
        <stp>.SPY250509P564</stp>
        <tr r="CG22" s="1"/>
        <tr r="CG22" s="1"/>
      </tp>
      <tp>
        <v>0.53</v>
        <stp/>
        <stp>DELTA</stp>
        <stp>.SPY250509C564</stp>
        <tr r="CF22" s="1"/>
        <tr r="CF22" s="1"/>
      </tp>
      <tp>
        <v>-0.51</v>
        <stp/>
        <stp>DELTA</stp>
        <stp>.SPY250509P565</stp>
        <tr r="CG21" s="1"/>
        <tr r="CG21" s="1"/>
      </tp>
      <tp>
        <v>0.47</v>
        <stp/>
        <stp>DELTA</stp>
        <stp>.SPY250509C565</stp>
        <tr r="CF21" s="1"/>
        <tr r="CF21" s="1"/>
      </tp>
      <tp>
        <v>-0.62</v>
        <stp/>
        <stp>DELTA</stp>
        <stp>.SPY250507P568</stp>
        <tr r="CE18" s="1"/>
        <tr r="CE18" s="1"/>
      </tp>
      <tp>
        <v>-0.54</v>
        <stp/>
        <stp>DELTA</stp>
        <stp>.SPY250509P566</stp>
        <tr r="CG20" s="1"/>
        <tr r="CG20" s="1"/>
      </tp>
      <tp>
        <v>-0.72</v>
        <stp/>
        <stp>DELTA</stp>
        <stp>.SPY250516P579</stp>
        <tr r="CI7" s="1"/>
        <tr r="CI7" s="1"/>
      </tp>
      <tp>
        <v>0.01</v>
        <stp/>
        <stp>DELTA</stp>
        <stp>.SPY250507C568</stp>
        <tr r="CD18" s="1"/>
        <tr r="CD18" s="1"/>
      </tp>
      <tp>
        <v>0.4</v>
        <stp/>
        <stp>DELTA</stp>
        <stp>.SPY250509C566</stp>
        <tr r="CF20" s="1"/>
        <tr r="CF20" s="1"/>
      </tp>
      <tp>
        <v>0.16</v>
        <stp/>
        <stp>DELTA</stp>
        <stp>.SPY250516C579</stp>
        <tr r="CH7" s="1"/>
        <tr r="CH7" s="1"/>
      </tp>
      <tp>
        <v>-0.65</v>
        <stp/>
        <stp>DELTA</stp>
        <stp>.SPY250507P569</stp>
        <tr r="CE17" s="1"/>
        <tr r="CE17" s="1"/>
      </tp>
      <tp>
        <v>-0.56999999999999995</v>
        <stp/>
        <stp>DELTA</stp>
        <stp>.SPY250509P567</stp>
        <tr r="CG19" s="1"/>
        <tr r="CG19" s="1"/>
      </tp>
      <tp>
        <v>-0.71</v>
        <stp/>
        <stp>DELTA</stp>
        <stp>.SPY250516P578</stp>
        <tr r="CI8" s="1"/>
        <tr r="CI8" s="1"/>
      </tp>
      <tp>
        <v>0.01</v>
        <stp/>
        <stp>DELTA</stp>
        <stp>.SPY250507C569</stp>
        <tr r="CD17" s="1"/>
        <tr r="CD17" s="1"/>
      </tp>
      <tp>
        <v>0.35</v>
        <stp/>
        <stp>DELTA</stp>
        <stp>.SPY250509C567</stp>
        <tr r="CF19" s="1"/>
        <tr r="CF19" s="1"/>
      </tp>
      <tp>
        <v>0.18</v>
        <stp/>
        <stp>DELTA</stp>
        <stp>.SPY250516C578</stp>
        <tr r="CH8" s="1"/>
        <tr r="CH8" s="1"/>
      </tp>
      <tp>
        <v>486.85</v>
        <stp/>
        <stp>MARK</stp>
        <stp>QQQ</stp>
        <tr r="G136" s="1"/>
        <tr r="A44" s="1"/>
      </tp>
      <tp>
        <v>17.64</v>
        <stp/>
        <stp>LAST</stp>
        <stp>.QQQ250507P501</stp>
        <tr r="DB46" s="1"/>
        <tr r="DB46" s="1"/>
      </tp>
      <tp>
        <v>0.01</v>
        <stp/>
        <stp>LAST</stp>
        <stp>.QQQ250507C501</stp>
        <tr r="DA46" s="1"/>
        <tr r="DA46" s="1"/>
      </tp>
      <tp>
        <v>19.989999999999998</v>
        <stp/>
        <stp>LAST</stp>
        <stp>.QQQ250507P500</stp>
        <tr r="DB47" s="1"/>
        <tr r="DB47" s="1"/>
      </tp>
      <tp>
        <v>0.01</v>
        <stp/>
        <stp>LAST</stp>
        <stp>.QQQ250507C500</stp>
        <tr r="DA47" s="1"/>
        <tr r="DA47" s="1"/>
      </tp>
      <tp>
        <v>23.75</v>
        <stp/>
        <stp>LAST</stp>
        <stp>.QQQ250507P502</stp>
        <tr r="DB45" s="1"/>
        <tr r="DB45" s="1"/>
      </tp>
      <tp>
        <v>0.01</v>
        <stp/>
        <stp>LAST</stp>
        <stp>.QQQ250507C502</stp>
        <tr r="DA45" s="1"/>
        <tr r="DA45" s="1"/>
      </tp>
      <tp>
        <v>6.32</v>
        <stp/>
        <stp>LAST</stp>
        <stp>.QQQ250507P489</stp>
        <tr r="DB58" s="1"/>
        <tr r="DB58" s="1"/>
      </tp>
      <tp>
        <v>0.01</v>
        <stp/>
        <stp>LAST</stp>
        <stp>.QQQ250507C489</stp>
        <tr r="DA58" s="1"/>
        <tr r="DA58" s="1"/>
      </tp>
      <tp>
        <v>4.3099999999999996</v>
        <stp/>
        <stp>LAST</stp>
        <stp>.QQQ250507P488</stp>
        <tr r="DB59" s="1"/>
        <tr r="DB59" s="1"/>
      </tp>
      <tp>
        <v>0.01</v>
        <stp/>
        <stp>LAST</stp>
        <stp>.QQQ250507C488</stp>
        <tr r="DA59" s="1"/>
        <tr r="DA59" s="1"/>
      </tp>
      <tp>
        <v>0.01</v>
        <stp/>
        <stp>LAST</stp>
        <stp>.QQQ250507P481</stp>
        <tr r="DB66" s="1"/>
        <tr r="DB66" s="1"/>
      </tp>
      <tp>
        <v>2.56</v>
        <stp/>
        <stp>LAST</stp>
        <stp>.QQQ250507C481</stp>
        <tr r="DA66" s="1"/>
        <tr r="DA66" s="1"/>
      </tp>
      <tp>
        <v>0.01</v>
        <stp/>
        <stp>LAST</stp>
        <stp>.QQQ250507P480</stp>
        <tr r="DB67" s="1"/>
        <tr r="DB67" s="1"/>
      </tp>
      <tp>
        <v>4</v>
        <stp/>
        <stp>LAST</stp>
        <stp>.QQQ250507C480</stp>
        <tr r="DA67" s="1"/>
        <tr r="DA67" s="1"/>
      </tp>
      <tp>
        <v>0.05</v>
        <stp/>
        <stp>LAST</stp>
        <stp>.QQQ250507P483</stp>
        <tr r="DB64" s="1"/>
        <tr r="DB64" s="1"/>
      </tp>
      <tp>
        <v>1.06</v>
        <stp/>
        <stp>LAST</stp>
        <stp>.QQQ250507C483</stp>
        <tr r="DA64" s="1"/>
        <tr r="DA64" s="1"/>
      </tp>
      <tp>
        <v>0.01</v>
        <stp/>
        <stp>LAST</stp>
        <stp>.QQQ250507P482</stp>
        <tr r="DB65" s="1"/>
        <tr r="DB65" s="1"/>
      </tp>
      <tp>
        <v>2</v>
        <stp/>
        <stp>LAST</stp>
        <stp>.QQQ250507C482</stp>
        <tr r="DA65" s="1"/>
        <tr r="DA65" s="1"/>
      </tp>
      <tp>
        <v>1.62</v>
        <stp/>
        <stp>LAST</stp>
        <stp>.QQQ250507P485</stp>
        <tr r="DB62" s="1"/>
        <tr r="DB62" s="1"/>
      </tp>
      <tp>
        <v>0.05</v>
        <stp/>
        <stp>LAST</stp>
        <stp>.QQQ250507C485</stp>
        <tr r="DA62" s="1"/>
        <tr r="DA62" s="1"/>
      </tp>
      <tp>
        <v>0.3</v>
        <stp/>
        <stp>LAST</stp>
        <stp>.QQQ250507P484</stp>
        <tr r="DB63" s="1"/>
        <tr r="DB63" s="1"/>
      </tp>
      <tp>
        <v>0.34</v>
        <stp/>
        <stp>LAST</stp>
        <stp>.QQQ250507C484</stp>
        <tr r="DA63" s="1"/>
        <tr r="DA63" s="1"/>
      </tp>
      <tp>
        <v>4.66</v>
        <stp/>
        <stp>LAST</stp>
        <stp>.QQQ250507P487</stp>
        <tr r="DB60" s="1"/>
        <tr r="DB60" s="1"/>
      </tp>
      <tp>
        <v>0.01</v>
        <stp/>
        <stp>LAST</stp>
        <stp>.QQQ250507C487</stp>
        <tr r="DA60" s="1"/>
        <tr r="DA60" s="1"/>
      </tp>
      <tp>
        <v>2.4</v>
        <stp/>
        <stp>LAST</stp>
        <stp>.QQQ250507P486</stp>
        <tr r="DB61" s="1"/>
        <tr r="DB61" s="1"/>
      </tp>
      <tp>
        <v>0.01</v>
        <stp/>
        <stp>LAST</stp>
        <stp>.QQQ250507C486</stp>
        <tr r="DA61" s="1"/>
        <tr r="DA61" s="1"/>
      </tp>
      <tp>
        <v>17.670000000000002</v>
        <stp/>
        <stp>LAST</stp>
        <stp>.QQQ250507P499</stp>
        <tr r="DB48" s="1"/>
        <tr r="DB48" s="1"/>
      </tp>
      <tp>
        <v>0.01</v>
        <stp/>
        <stp>LAST</stp>
        <stp>.QQQ250507C499</stp>
        <tr r="DA48" s="1"/>
        <tr r="DA48" s="1"/>
      </tp>
      <tp>
        <v>16.48</v>
        <stp/>
        <stp>LAST</stp>
        <stp>.QQQ250507P498</stp>
        <tr r="DB49" s="1"/>
        <tr r="DB49" s="1"/>
      </tp>
      <tp>
        <v>0.01</v>
        <stp/>
        <stp>LAST</stp>
        <stp>.QQQ250507C498</stp>
        <tr r="DA49" s="1"/>
        <tr r="DA49" s="1"/>
      </tp>
      <tp>
        <v>10.3</v>
        <stp/>
        <stp>LAST</stp>
        <stp>.QQQ250507P491</stp>
        <tr r="DB56" s="1"/>
        <tr r="DB56" s="1"/>
      </tp>
      <tp>
        <v>0.01</v>
        <stp/>
        <stp>LAST</stp>
        <stp>.QQQ250507C491</stp>
        <tr r="DA56" s="1"/>
        <tr r="DA56" s="1"/>
      </tp>
      <tp>
        <v>7.35</v>
        <stp/>
        <stp>LAST</stp>
        <stp>.QQQ250507P490</stp>
        <tr r="DB57" s="1"/>
        <tr r="DB57" s="1"/>
      </tp>
      <tp>
        <v>0.01</v>
        <stp/>
        <stp>LAST</stp>
        <stp>.QQQ250507C490</stp>
        <tr r="DA57" s="1"/>
        <tr r="DA57" s="1"/>
      </tp>
      <tp>
        <v>12.97</v>
        <stp/>
        <stp>LAST</stp>
        <stp>.QQQ250507P493</stp>
        <tr r="DB54" s="1"/>
        <tr r="DB54" s="1"/>
      </tp>
      <tp>
        <v>0.01</v>
        <stp/>
        <stp>LAST</stp>
        <stp>.QQQ250507C493</stp>
        <tr r="DA54" s="1"/>
        <tr r="DA54" s="1"/>
      </tp>
      <tp>
        <v>7.34</v>
        <stp/>
        <stp>LAST</stp>
        <stp>.QQQ250507P492</stp>
        <tr r="DB55" s="1"/>
        <tr r="DB55" s="1"/>
      </tp>
      <tp>
        <v>0.01</v>
        <stp/>
        <stp>LAST</stp>
        <stp>.QQQ250507C492</stp>
        <tr r="DA55" s="1"/>
        <tr r="DA55" s="1"/>
      </tp>
      <tp>
        <v>10.029999999999999</v>
        <stp/>
        <stp>LAST</stp>
        <stp>.QQQ250507P495</stp>
        <tr r="DB52" s="1"/>
        <tr r="DB52" s="1"/>
      </tp>
      <tp>
        <v>0.01</v>
        <stp/>
        <stp>LAST</stp>
        <stp>.QQQ250507C495</stp>
        <tr r="DA52" s="1"/>
        <tr r="DA52" s="1"/>
      </tp>
      <tp>
        <v>14.43</v>
        <stp/>
        <stp>LAST</stp>
        <stp>.QQQ250507P494</stp>
        <tr r="DB53" s="1"/>
        <tr r="DB53" s="1"/>
      </tp>
      <tp>
        <v>0.01</v>
        <stp/>
        <stp>LAST</stp>
        <stp>.QQQ250507C494</stp>
        <tr r="DA53" s="1"/>
        <tr r="DA53" s="1"/>
      </tp>
      <tp>
        <v>14.77</v>
        <stp/>
        <stp>LAST</stp>
        <stp>.QQQ250507P497</stp>
        <tr r="DB50" s="1"/>
        <tr r="DB50" s="1"/>
      </tp>
      <tp>
        <v>0.01</v>
        <stp/>
        <stp>LAST</stp>
        <stp>.QQQ250507C497</stp>
        <tr r="DA50" s="1"/>
        <tr r="DA50" s="1"/>
      </tp>
      <tp>
        <v>13.03</v>
        <stp/>
        <stp>LAST</stp>
        <stp>.QQQ250507P496</stp>
        <tr r="DB51" s="1"/>
        <tr r="DB51" s="1"/>
      </tp>
      <tp>
        <v>0.01</v>
        <stp/>
        <stp>LAST</stp>
        <stp>.QQQ250507C496</stp>
        <tr r="DA51" s="1"/>
        <tr r="DA51" s="1"/>
      </tp>
      <tp>
        <v>0.01</v>
        <stp/>
        <stp>LAST</stp>
        <stp>.QQQ250507P469</stp>
        <tr r="DB78" s="1"/>
        <tr r="DB78" s="1"/>
      </tp>
      <tp>
        <v>14.39</v>
        <stp/>
        <stp>LAST</stp>
        <stp>.QQQ250507C469</stp>
        <tr r="DA78" s="1"/>
        <tr r="DA78" s="1"/>
      </tp>
      <tp>
        <v>0.01</v>
        <stp/>
        <stp>LAST</stp>
        <stp>.QQQ250507P468</stp>
        <tr r="DB79" s="1"/>
        <tr r="DB79" s="1"/>
      </tp>
      <tp>
        <v>10.48</v>
        <stp/>
        <stp>LAST</stp>
        <stp>.QQQ250507C468</stp>
        <tr r="DA79" s="1"/>
        <tr r="DA79" s="1"/>
      </tp>
      <tp>
        <v>0.01</v>
        <stp/>
        <stp>LAST</stp>
        <stp>.QQQ250507P479</stp>
        <tr r="DB68" s="1"/>
        <tr r="DB68" s="1"/>
      </tp>
      <tp>
        <v>3.56</v>
        <stp/>
        <stp>LAST</stp>
        <stp>.QQQ250507C479</stp>
        <tr r="DA68" s="1"/>
        <tr r="DA68" s="1"/>
      </tp>
      <tp>
        <v>0.01</v>
        <stp/>
        <stp>LAST</stp>
        <stp>.QQQ250507P478</stp>
        <tr r="DB69" s="1"/>
        <tr r="DB69" s="1"/>
      </tp>
      <tp>
        <v>4.55</v>
        <stp/>
        <stp>LAST</stp>
        <stp>.QQQ250507C478</stp>
        <tr r="DA69" s="1"/>
        <tr r="DA69" s="1"/>
      </tp>
      <tp>
        <v>0.01</v>
        <stp/>
        <stp>LAST</stp>
        <stp>.QQQ250507P471</stp>
        <tr r="DB76" s="1"/>
        <tr r="DB76" s="1"/>
      </tp>
      <tp>
        <v>8.2899999999999991</v>
        <stp/>
        <stp>LAST</stp>
        <stp>.QQQ250507C471</stp>
        <tr r="DA76" s="1"/>
        <tr r="DA76" s="1"/>
      </tp>
      <tp>
        <v>0.02</v>
        <stp/>
        <stp>LAST</stp>
        <stp>.QQQ250507P470</stp>
        <tr r="DB77" s="1"/>
        <tr r="DB77" s="1"/>
      </tp>
      <tp>
        <v>12.92</v>
        <stp/>
        <stp>LAST</stp>
        <stp>.QQQ250507C470</stp>
        <tr r="DA77" s="1"/>
        <tr r="DA77" s="1"/>
      </tp>
      <tp>
        <v>0.01</v>
        <stp/>
        <stp>LAST</stp>
        <stp>.QQQ250507P473</stp>
        <tr r="DB74" s="1"/>
        <tr r="DB74" s="1"/>
      </tp>
      <tp>
        <v>9.59</v>
        <stp/>
        <stp>LAST</stp>
        <stp>.QQQ250507C473</stp>
        <tr r="DA74" s="1"/>
        <tr r="DA74" s="1"/>
      </tp>
      <tp>
        <v>0.01</v>
        <stp/>
        <stp>LAST</stp>
        <stp>.QQQ250507P472</stp>
        <tr r="DB75" s="1"/>
        <tr r="DB75" s="1"/>
      </tp>
      <tp>
        <v>11.6</v>
        <stp/>
        <stp>LAST</stp>
        <stp>.QQQ250507C472</stp>
        <tr r="DA75" s="1"/>
        <tr r="DA75" s="1"/>
      </tp>
      <tp>
        <v>0.01</v>
        <stp/>
        <stp>LAST</stp>
        <stp>.QQQ250507P475</stp>
        <tr r="DB72" s="1"/>
        <tr r="DB72" s="1"/>
      </tp>
      <tp>
        <v>8.83</v>
        <stp/>
        <stp>LAST</stp>
        <stp>.QQQ250507C475</stp>
        <tr r="DA72" s="1"/>
        <tr r="DA72" s="1"/>
      </tp>
      <tp>
        <v>0.01</v>
        <stp/>
        <stp>LAST</stp>
        <stp>.QQQ250507P474</stp>
        <tr r="DB73" s="1"/>
        <tr r="DB73" s="1"/>
      </tp>
      <tp>
        <v>9.32</v>
        <stp/>
        <stp>LAST</stp>
        <stp>.QQQ250507C474</stp>
        <tr r="DA73" s="1"/>
        <tr r="DA73" s="1"/>
      </tp>
      <tp>
        <v>0.01</v>
        <stp/>
        <stp>LAST</stp>
        <stp>.QQQ250507P477</stp>
        <tr r="DB70" s="1"/>
        <tr r="DB70" s="1"/>
      </tp>
      <tp>
        <v>6.31</v>
        <stp/>
        <stp>LAST</stp>
        <stp>.QQQ250507C477</stp>
        <tr r="DA70" s="1"/>
        <tr r="DA70" s="1"/>
      </tp>
      <tp>
        <v>0.01</v>
        <stp/>
        <stp>LAST</stp>
        <stp>.QQQ250507P476</stp>
        <tr r="DB71" s="1"/>
        <tr r="DB71" s="1"/>
      </tp>
      <tp>
        <v>6.91</v>
        <stp/>
        <stp>LAST</stp>
        <stp>.QQQ250507C476</stp>
        <tr r="DA71" s="1"/>
        <tr r="DA71" s="1"/>
      </tp>
      <tp>
        <v>-0.67</v>
        <stp/>
        <stp>DELTA</stp>
        <stp>.QQQ250507P494</stp>
        <tr r="CE53" s="1"/>
        <tr r="CE53" s="1"/>
      </tp>
      <tp>
        <v>-0.45</v>
        <stp/>
        <stp>DELTA</stp>
        <stp>.QQQ250516P485</stp>
        <tr r="CI62" s="1"/>
        <tr r="CI62" s="1"/>
      </tp>
      <tp>
        <v>0.01</v>
        <stp/>
        <stp>DELTA</stp>
        <stp>.QQQ250507C494</stp>
        <tr r="CD53" s="1"/>
        <tr r="CD53" s="1"/>
      </tp>
      <tp>
        <v>0.56999999999999995</v>
        <stp/>
        <stp>DELTA</stp>
        <stp>.QQQ250516C485</stp>
        <tr r="CH62" s="1"/>
        <tr r="CH62" s="1"/>
      </tp>
      <tp>
        <v>-0.68</v>
        <stp/>
        <stp>DELTA</stp>
        <stp>.QQQ250507P495</stp>
        <tr r="CE52" s="1"/>
        <tr r="CE52" s="1"/>
      </tp>
      <tp>
        <v>-0.43</v>
        <stp/>
        <stp>DELTA</stp>
        <stp>.QQQ250516P484</stp>
        <tr r="CI63" s="1"/>
        <tr r="CI63" s="1"/>
      </tp>
      <tp>
        <v>0.01</v>
        <stp/>
        <stp>DELTA</stp>
        <stp>.QQQ250507C495</stp>
        <tr r="CD52" s="1"/>
        <tr r="CD52" s="1"/>
      </tp>
      <tp>
        <v>0.59</v>
        <stp/>
        <stp>DELTA</stp>
        <stp>.QQQ250516C484</stp>
        <tr r="CH63" s="1"/>
        <tr r="CH63" s="1"/>
      </tp>
      <tp>
        <v>-0.7</v>
        <stp/>
        <stp>DELTA</stp>
        <stp>.QQQ250507P496</stp>
        <tr r="CE51" s="1"/>
        <tr r="CE51" s="1"/>
      </tp>
      <tp>
        <v>-0.72</v>
        <stp/>
        <stp>DELTA</stp>
        <stp>.QQQ250509P498</stp>
        <tr r="CG49" s="1"/>
        <tr r="CG49" s="1"/>
      </tp>
      <tp>
        <v>-0.49</v>
        <stp/>
        <stp>DELTA</stp>
        <stp>.QQQ250516P487</stp>
        <tr r="CI60" s="1"/>
        <tr r="CI60" s="1"/>
      </tp>
      <tp>
        <v>0</v>
        <stp/>
        <stp>DELTA</stp>
        <stp>.QQQ250507C496</stp>
        <tr r="CD51" s="1"/>
        <tr r="CD51" s="1"/>
      </tp>
      <tp>
        <v>0.08</v>
        <stp/>
        <stp>DELTA</stp>
        <stp>.QQQ250509C498</stp>
        <tr r="CF49" s="1"/>
        <tr r="CF49" s="1"/>
      </tp>
      <tp>
        <v>0.51</v>
        <stp/>
        <stp>DELTA</stp>
        <stp>.QQQ250516C487</stp>
        <tr r="CH60" s="1"/>
        <tr r="CH60" s="1"/>
      </tp>
      <tp>
        <v>-0.71</v>
        <stp/>
        <stp>DELTA</stp>
        <stp>.QQQ250507P497</stp>
        <tr r="CE50" s="1"/>
        <tr r="CE50" s="1"/>
      </tp>
      <tp>
        <v>-0.73</v>
        <stp/>
        <stp>DELTA</stp>
        <stp>.QQQ250509P499</stp>
        <tr r="CG48" s="1"/>
        <tr r="CG48" s="1"/>
      </tp>
      <tp>
        <v>-0.47</v>
        <stp/>
        <stp>DELTA</stp>
        <stp>.QQQ250516P486</stp>
        <tr r="CI61" s="1"/>
        <tr r="CI61" s="1"/>
      </tp>
      <tp>
        <v>0</v>
        <stp/>
        <stp>DELTA</stp>
        <stp>.QQQ250507C497</stp>
        <tr r="CD50" s="1"/>
        <tr r="CD50" s="1"/>
      </tp>
      <tp>
        <v>0.06</v>
        <stp/>
        <stp>DELTA</stp>
        <stp>.QQQ250509C499</stp>
        <tr r="CF48" s="1"/>
        <tr r="CF48" s="1"/>
      </tp>
      <tp>
        <v>0.54</v>
        <stp/>
        <stp>DELTA</stp>
        <stp>.QQQ250516C486</stp>
        <tr r="CH61" s="1"/>
        <tr r="CH61" s="1"/>
      </tp>
      <tp>
        <v>-0.6</v>
        <stp/>
        <stp>DELTA</stp>
        <stp>.QQQ250507P490</stp>
        <tr r="CE57" s="1"/>
        <tr r="CE57" s="1"/>
      </tp>
      <tp>
        <v>-0.38</v>
        <stp/>
        <stp>DELTA</stp>
        <stp>.QQQ250516P481</stp>
        <tr r="CI66" s="1"/>
        <tr r="CI66" s="1"/>
      </tp>
      <tp>
        <v>0.01</v>
        <stp/>
        <stp>DELTA</stp>
        <stp>.QQQ250507C490</stp>
        <tr r="CD57" s="1"/>
        <tr r="CD57" s="1"/>
      </tp>
      <tp>
        <v>0.67</v>
        <stp/>
        <stp>DELTA</stp>
        <stp>.QQQ250516C481</stp>
        <tr r="CH66" s="1"/>
        <tr r="CH66" s="1"/>
      </tp>
      <tp>
        <v>-0.62</v>
        <stp/>
        <stp>DELTA</stp>
        <stp>.QQQ250507P491</stp>
        <tr r="CE56" s="1"/>
        <tr r="CE56" s="1"/>
      </tp>
      <tp>
        <v>-0.36</v>
        <stp/>
        <stp>DELTA</stp>
        <stp>.QQQ250516P480</stp>
        <tr r="CI67" s="1"/>
        <tr r="CI67" s="1"/>
      </tp>
      <tp>
        <v>0.01</v>
        <stp/>
        <stp>DELTA</stp>
        <stp>.QQQ250507C491</stp>
        <tr r="CD56" s="1"/>
        <tr r="CD56" s="1"/>
      </tp>
      <tp>
        <v>0.7</v>
        <stp/>
        <stp>DELTA</stp>
        <stp>.QQQ250516C480</stp>
        <tr r="CH67" s="1"/>
        <tr r="CH67" s="1"/>
      </tp>
      <tp>
        <v>-0.64</v>
        <stp/>
        <stp>DELTA</stp>
        <stp>.QQQ250507P492</stp>
        <tr r="CE55" s="1"/>
        <tr r="CE55" s="1"/>
      </tp>
      <tp>
        <v>-0.41</v>
        <stp/>
        <stp>DELTA</stp>
        <stp>.QQQ250516P483</stp>
        <tr r="CI64" s="1"/>
        <tr r="CI64" s="1"/>
      </tp>
      <tp>
        <v>0.01</v>
        <stp/>
        <stp>DELTA</stp>
        <stp>.QQQ250507C492</stp>
        <tr r="CD55" s="1"/>
        <tr r="CD55" s="1"/>
      </tp>
      <tp>
        <v>0.62</v>
        <stp/>
        <stp>DELTA</stp>
        <stp>.QQQ250516C483</stp>
        <tr r="CH64" s="1"/>
        <tr r="CH64" s="1"/>
      </tp>
      <tp>
        <v>-0.66</v>
        <stp/>
        <stp>DELTA</stp>
        <stp>.QQQ250507P493</stp>
        <tr r="CE54" s="1"/>
        <tr r="CE54" s="1"/>
      </tp>
      <tp>
        <v>-0.4</v>
        <stp/>
        <stp>DELTA</stp>
        <stp>.QQQ250516P482</stp>
        <tr r="CI65" s="1"/>
        <tr r="CI65" s="1"/>
      </tp>
      <tp>
        <v>0.01</v>
        <stp/>
        <stp>DELTA</stp>
        <stp>.QQQ250507C493</stp>
        <tr r="CD54" s="1"/>
        <tr r="CD54" s="1"/>
      </tp>
      <tp>
        <v>0.64</v>
        <stp/>
        <stp>DELTA</stp>
        <stp>.QQQ250516C482</stp>
        <tr r="CH65" s="1"/>
        <tr r="CH65" s="1"/>
      </tp>
      <tp>
        <v>-0.63</v>
        <stp/>
        <stp>DELTA</stp>
        <stp>.QQQ250509P492</stp>
        <tr r="CG55" s="1"/>
        <tr r="CG55" s="1"/>
      </tp>
      <tp>
        <v>0.24</v>
        <stp/>
        <stp>DELTA</stp>
        <stp>.QQQ250509C492</stp>
        <tr r="CF55" s="1"/>
        <tr r="CF55" s="1"/>
      </tp>
      <tp>
        <v>-0.65</v>
        <stp/>
        <stp>DELTA</stp>
        <stp>.QQQ250509P493</stp>
        <tr r="CG54" s="1"/>
        <tr r="CG54" s="1"/>
      </tp>
      <tp>
        <v>0.2</v>
        <stp/>
        <stp>DELTA</stp>
        <stp>.QQQ250509C493</stp>
        <tr r="CF54" s="1"/>
        <tr r="CF54" s="1"/>
      </tp>
      <tp>
        <v>-0.56999999999999995</v>
        <stp/>
        <stp>DELTA</stp>
        <stp>.QQQ250509P490</stp>
        <tr r="CG57" s="1"/>
        <tr r="CG57" s="1"/>
      </tp>
      <tp>
        <v>0.33</v>
        <stp/>
        <stp>DELTA</stp>
        <stp>.QQQ250509C490</stp>
        <tr r="CF57" s="1"/>
        <tr r="CF57" s="1"/>
      </tp>
      <tp>
        <v>-0.62</v>
        <stp/>
        <stp>DELTA</stp>
        <stp>.QQQ250509P491</stp>
        <tr r="CG56" s="1"/>
        <tr r="CG56" s="1"/>
      </tp>
      <tp>
        <v>0.28000000000000003</v>
        <stp/>
        <stp>DELTA</stp>
        <stp>.QQQ250509C491</stp>
        <tr r="CF56" s="1"/>
        <tr r="CF56" s="1"/>
      </tp>
      <tp>
        <v>-0.72</v>
        <stp/>
        <stp>DELTA</stp>
        <stp>.QQQ250507P498</stp>
        <tr r="CE49" s="1"/>
        <tr r="CE49" s="1"/>
      </tp>
      <tp>
        <v>-0.69</v>
        <stp/>
        <stp>DELTA</stp>
        <stp>.QQQ250509P496</stp>
        <tr r="CG51" s="1"/>
        <tr r="CG51" s="1"/>
      </tp>
      <tp>
        <v>-0.52</v>
        <stp/>
        <stp>DELTA</stp>
        <stp>.QQQ250516P489</stp>
        <tr r="CI58" s="1"/>
        <tr r="CI58" s="1"/>
      </tp>
      <tp>
        <v>0</v>
        <stp/>
        <stp>DELTA</stp>
        <stp>.QQQ250507C498</stp>
        <tr r="CD49" s="1"/>
        <tr r="CD49" s="1"/>
      </tp>
      <tp>
        <v>0.11</v>
        <stp/>
        <stp>DELTA</stp>
        <stp>.QQQ250509C496</stp>
        <tr r="CF51" s="1"/>
        <tr r="CF51" s="1"/>
      </tp>
      <tp>
        <v>0.46</v>
        <stp/>
        <stp>DELTA</stp>
        <stp>.QQQ250516C489</stp>
        <tr r="CH58" s="1"/>
        <tr r="CH58" s="1"/>
      </tp>
      <tp>
        <v>-0.73</v>
        <stp/>
        <stp>DELTA</stp>
        <stp>.QQQ250507P499</stp>
        <tr r="CE48" s="1"/>
        <tr r="CE48" s="1"/>
      </tp>
      <tp>
        <v>-0.71</v>
        <stp/>
        <stp>DELTA</stp>
        <stp>.QQQ250509P497</stp>
        <tr r="CG50" s="1"/>
        <tr r="CG50" s="1"/>
      </tp>
      <tp>
        <v>-0.5</v>
        <stp/>
        <stp>DELTA</stp>
        <stp>.QQQ250516P488</stp>
        <tr r="CI59" s="1"/>
        <tr r="CI59" s="1"/>
      </tp>
      <tp>
        <v>0</v>
        <stp/>
        <stp>DELTA</stp>
        <stp>.QQQ250507C499</stp>
        <tr r="CD48" s="1"/>
        <tr r="CD48" s="1"/>
      </tp>
      <tp>
        <v>0.09</v>
        <stp/>
        <stp>DELTA</stp>
        <stp>.QQQ250509C497</stp>
        <tr r="CF50" s="1"/>
        <tr r="CF50" s="1"/>
      </tp>
      <tp>
        <v>0.49</v>
        <stp/>
        <stp>DELTA</stp>
        <stp>.QQQ250516C488</stp>
        <tr r="CH59" s="1"/>
        <tr r="CH59" s="1"/>
      </tp>
      <tp>
        <v>-0.66</v>
        <stp/>
        <stp>DELTA</stp>
        <stp>.QQQ250509P494</stp>
        <tr r="CG53" s="1"/>
        <tr r="CG53" s="1"/>
      </tp>
      <tp>
        <v>0.16</v>
        <stp/>
        <stp>DELTA</stp>
        <stp>.QQQ250509C494</stp>
        <tr r="CF53" s="1"/>
        <tr r="CF53" s="1"/>
      </tp>
      <tp>
        <v>-0.67</v>
        <stp/>
        <stp>DELTA</stp>
        <stp>.QQQ250509P495</stp>
        <tr r="CG52" s="1"/>
        <tr r="CG52" s="1"/>
      </tp>
      <tp>
        <v>0.14000000000000001</v>
        <stp/>
        <stp>DELTA</stp>
        <stp>.QQQ250509C495</stp>
        <tr r="CF52" s="1"/>
        <tr r="CF52" s="1"/>
      </tp>
      <tp>
        <v>-0.19</v>
        <stp/>
        <stp>DELTA</stp>
        <stp>.QQQ250507P484</stp>
        <tr r="CE63" s="1"/>
        <tr r="CE63" s="1"/>
      </tp>
      <tp>
        <v>-0.62</v>
        <stp/>
        <stp>DELTA</stp>
        <stp>.QQQ250516P495</stp>
        <tr r="CI52" s="1"/>
        <tr r="CI52" s="1"/>
      </tp>
      <tp>
        <v>1</v>
        <stp/>
        <stp>DELTA</stp>
        <stp>.QQQ250507C484</stp>
        <tr r="CD63" s="1"/>
        <tr r="CD63" s="1"/>
      </tp>
      <tp>
        <v>0.31</v>
        <stp/>
        <stp>DELTA</stp>
        <stp>.QQQ250516C495</stp>
        <tr r="CH52" s="1"/>
        <tr r="CH52" s="1"/>
      </tp>
      <tp>
        <v>-0.34</v>
        <stp/>
        <stp>DELTA</stp>
        <stp>.QQQ250507P485</stp>
        <tr r="CE62" s="1"/>
        <tr r="CE62" s="1"/>
      </tp>
      <tp>
        <v>-0.61</v>
        <stp/>
        <stp>DELTA</stp>
        <stp>.QQQ250516P494</stp>
        <tr r="CI53" s="1"/>
        <tr r="CI53" s="1"/>
      </tp>
      <tp>
        <v>1</v>
        <stp/>
        <stp>DELTA</stp>
        <stp>.QQQ250507C485</stp>
        <tr r="CD62" s="1"/>
        <tr r="CD62" s="1"/>
      </tp>
      <tp>
        <v>0.34</v>
        <stp/>
        <stp>DELTA</stp>
        <stp>.QQQ250516C494</stp>
        <tr r="CH53" s="1"/>
        <tr r="CH53" s="1"/>
      </tp>
      <tp>
        <v>-0.45</v>
        <stp/>
        <stp>DELTA</stp>
        <stp>.QQQ250507P486</stp>
        <tr r="CE61" s="1"/>
        <tr r="CE61" s="1"/>
      </tp>
      <tp>
        <v>-0.53</v>
        <stp/>
        <stp>DELTA</stp>
        <stp>.QQQ250509P488</stp>
        <tr r="CG59" s="1"/>
        <tr r="CG59" s="1"/>
      </tp>
      <tp>
        <v>-0.65</v>
        <stp/>
        <stp>DELTA</stp>
        <stp>.QQQ250516P497</stp>
        <tr r="CI50" s="1"/>
        <tr r="CI50" s="1"/>
      </tp>
      <tp>
        <v>1</v>
        <stp/>
        <stp>DELTA</stp>
        <stp>.QQQ250507C486</stp>
        <tr r="CD61" s="1"/>
        <tr r="CD61" s="1"/>
      </tp>
      <tp>
        <v>0.44</v>
        <stp/>
        <stp>DELTA</stp>
        <stp>.QQQ250509C488</stp>
        <tr r="CF59" s="1"/>
        <tr r="CF59" s="1"/>
      </tp>
      <tp>
        <v>0.27</v>
        <stp/>
        <stp>DELTA</stp>
        <stp>.QQQ250516C497</stp>
        <tr r="CH50" s="1"/>
        <tr r="CH50" s="1"/>
      </tp>
      <tp>
        <v>-0.5</v>
        <stp/>
        <stp>DELTA</stp>
        <stp>.QQQ250507P487</stp>
        <tr r="CE60" s="1"/>
        <tr r="CE60" s="1"/>
      </tp>
      <tp>
        <v>-0.55000000000000004</v>
        <stp/>
        <stp>DELTA</stp>
        <stp>.QQQ250509P489</stp>
        <tr r="CG58" s="1"/>
        <tr r="CG58" s="1"/>
      </tp>
      <tp>
        <v>-0.64</v>
        <stp/>
        <stp>DELTA</stp>
        <stp>.QQQ250516P496</stp>
        <tr r="CI51" s="1"/>
        <tr r="CI51" s="1"/>
      </tp>
      <tp>
        <v>0.09</v>
        <stp/>
        <stp>DELTA</stp>
        <stp>.QQQ250507C487</stp>
        <tr r="CD60" s="1"/>
        <tr r="CD60" s="1"/>
      </tp>
      <tp>
        <v>0.38</v>
        <stp/>
        <stp>DELTA</stp>
        <stp>.QQQ250509C489</stp>
        <tr r="CF58" s="1"/>
        <tr r="CF58" s="1"/>
      </tp>
      <tp>
        <v>0.28999999999999998</v>
        <stp/>
        <stp>DELTA</stp>
        <stp>.QQQ250516C496</stp>
        <tr r="CH51" s="1"/>
        <tr r="CH51" s="1"/>
      </tp>
      <tp>
        <v>-0.01</v>
        <stp/>
        <stp>DELTA</stp>
        <stp>.QQQ250507P480</stp>
        <tr r="CE67" s="1"/>
        <tr r="CE67" s="1"/>
      </tp>
      <tp>
        <v>-0.56000000000000005</v>
        <stp/>
        <stp>DELTA</stp>
        <stp>.QQQ250516P491</stp>
        <tr r="CI56" s="1"/>
        <tr r="CI56" s="1"/>
      </tp>
      <tp>
        <v>1</v>
        <stp/>
        <stp>DELTA</stp>
        <stp>.QQQ250507C480</stp>
        <tr r="CD67" s="1"/>
        <tr r="CD67" s="1"/>
      </tp>
      <tp>
        <v>0.41</v>
        <stp/>
        <stp>DELTA</stp>
        <stp>.QQQ250516C491</stp>
        <tr r="CH56" s="1"/>
        <tr r="CH56" s="1"/>
      </tp>
      <tp>
        <v>-0.01</v>
        <stp/>
        <stp>DELTA</stp>
        <stp>.QQQ250507P481</stp>
        <tr r="CE66" s="1"/>
        <tr r="CE66" s="1"/>
      </tp>
      <tp>
        <v>-0.54</v>
        <stp/>
        <stp>DELTA</stp>
        <stp>.QQQ250516P490</stp>
        <tr r="CI57" s="1"/>
        <tr r="CI57" s="1"/>
      </tp>
      <tp>
        <v>1</v>
        <stp/>
        <stp>DELTA</stp>
        <stp>.QQQ250507C481</stp>
        <tr r="CD66" s="1"/>
        <tr r="CD66" s="1"/>
      </tp>
      <tp>
        <v>0.44</v>
        <stp/>
        <stp>DELTA</stp>
        <stp>.QQQ250516C490</stp>
        <tr r="CH57" s="1"/>
        <tr r="CH57" s="1"/>
      </tp>
      <tp>
        <v>-0.01</v>
        <stp/>
        <stp>DELTA</stp>
        <stp>.QQQ250507P482</stp>
        <tr r="CE65" s="1"/>
        <tr r="CE65" s="1"/>
      </tp>
      <tp>
        <v>-0.59</v>
        <stp/>
        <stp>DELTA</stp>
        <stp>.QQQ250516P493</stp>
        <tr r="CI54" s="1"/>
        <tr r="CI54" s="1"/>
      </tp>
      <tp>
        <v>1</v>
        <stp/>
        <stp>DELTA</stp>
        <stp>.QQQ250507C482</stp>
        <tr r="CD65" s="1"/>
        <tr r="CD65" s="1"/>
      </tp>
      <tp>
        <v>0.36</v>
        <stp/>
        <stp>DELTA</stp>
        <stp>.QQQ250516C493</stp>
        <tr r="CH54" s="1"/>
        <tr r="CH54" s="1"/>
      </tp>
      <tp>
        <v>-0.06</v>
        <stp/>
        <stp>DELTA</stp>
        <stp>.QQQ250507P483</stp>
        <tr r="CE64" s="1"/>
        <tr r="CE64" s="1"/>
      </tp>
      <tp>
        <v>-0.56999999999999995</v>
        <stp/>
        <stp>DELTA</stp>
        <stp>.QQQ250516P492</stp>
        <tr r="CI55" s="1"/>
        <tr r="CI55" s="1"/>
      </tp>
      <tp>
        <v>1</v>
        <stp/>
        <stp>DELTA</stp>
        <stp>.QQQ250507C483</stp>
        <tr r="CD64" s="1"/>
        <tr r="CD64" s="1"/>
      </tp>
      <tp>
        <v>0.39</v>
        <stp/>
        <stp>DELTA</stp>
        <stp>.QQQ250516C492</stp>
        <tr r="CH55" s="1"/>
        <tr r="CH55" s="1"/>
      </tp>
      <tp>
        <v>-0.34</v>
        <stp/>
        <stp>DELTA</stp>
        <stp>.QQQ250509P482</stp>
        <tr r="CG65" s="1"/>
        <tr r="CG65" s="1"/>
      </tp>
      <tp>
        <v>0.88</v>
        <stp/>
        <stp>DELTA</stp>
        <stp>.QQQ250509C482</stp>
        <tr r="CF65" s="1"/>
        <tr r="CF65" s="1"/>
      </tp>
      <tp>
        <v>-0.37</v>
        <stp/>
        <stp>DELTA</stp>
        <stp>.QQQ250509P483</stp>
        <tr r="CG64" s="1"/>
        <tr r="CG64" s="1"/>
      </tp>
      <tp>
        <v>0.78</v>
        <stp/>
        <stp>DELTA</stp>
        <stp>.QQQ250509C483</stp>
        <tr r="CF64" s="1"/>
        <tr r="CF64" s="1"/>
      </tp>
      <tp>
        <v>-0.28000000000000003</v>
        <stp/>
        <stp>DELTA</stp>
        <stp>.QQQ250509P480</stp>
        <tr r="CG67" s="1"/>
        <tr r="CG67" s="1"/>
      </tp>
      <tp>
        <v>1</v>
        <stp/>
        <stp>DELTA</stp>
        <stp>.QQQ250509C480</stp>
        <tr r="CF67" s="1"/>
        <tr r="CF67" s="1"/>
      </tp>
      <tp>
        <v>-0.31</v>
        <stp/>
        <stp>DELTA</stp>
        <stp>.QQQ250509P481</stp>
        <tr r="CG66" s="1"/>
        <tr r="CG66" s="1"/>
      </tp>
      <tp>
        <v>1</v>
        <stp/>
        <stp>DELTA</stp>
        <stp>.QQQ250509C481</stp>
        <tr r="CF66" s="1"/>
        <tr r="CF66" s="1"/>
      </tp>
      <tp>
        <v>-0.55000000000000004</v>
        <stp/>
        <stp>DELTA</stp>
        <stp>.QQQ250507P488</stp>
        <tr r="CE59" s="1"/>
        <tr r="CE59" s="1"/>
      </tp>
      <tp>
        <v>-0.47</v>
        <stp/>
        <stp>DELTA</stp>
        <stp>.QQQ250509P486</stp>
        <tr r="CG61" s="1"/>
        <tr r="CG61" s="1"/>
      </tp>
      <tp>
        <v>-0.68</v>
        <stp/>
        <stp>DELTA</stp>
        <stp>.QQQ250516P499</stp>
        <tr r="CI48" s="1"/>
        <tr r="CI48" s="1"/>
      </tp>
      <tp>
        <v>0.02</v>
        <stp/>
        <stp>DELTA</stp>
        <stp>.QQQ250507C488</stp>
        <tr r="CD59" s="1"/>
        <tr r="CD59" s="1"/>
      </tp>
      <tp>
        <v>0.56000000000000005</v>
        <stp/>
        <stp>DELTA</stp>
        <stp>.QQQ250509C486</stp>
        <tr r="CF61" s="1"/>
        <tr r="CF61" s="1"/>
      </tp>
      <tp>
        <v>0.23</v>
        <stp/>
        <stp>DELTA</stp>
        <stp>.QQQ250516C499</stp>
        <tr r="CH48" s="1"/>
        <tr r="CH48" s="1"/>
      </tp>
      <tp>
        <v>-0.57999999999999996</v>
        <stp/>
        <stp>DELTA</stp>
        <stp>.QQQ250507P489</stp>
        <tr r="CE58" s="1"/>
        <tr r="CE58" s="1"/>
      </tp>
      <tp>
        <v>-0.5</v>
        <stp/>
        <stp>DELTA</stp>
        <stp>.QQQ250509P487</stp>
        <tr r="CG60" s="1"/>
        <tr r="CG60" s="1"/>
      </tp>
      <tp>
        <v>-0.67</v>
        <stp/>
        <stp>DELTA</stp>
        <stp>.QQQ250516P498</stp>
        <tr r="CI49" s="1"/>
        <tr r="CI49" s="1"/>
      </tp>
      <tp>
        <v>0.01</v>
        <stp/>
        <stp>DELTA</stp>
        <stp>.QQQ250507C489</stp>
        <tr r="CD58" s="1"/>
        <tr r="CD58" s="1"/>
      </tp>
      <tp>
        <v>0.5</v>
        <stp/>
        <stp>DELTA</stp>
        <stp>.QQQ250509C487</stp>
        <tr r="CF60" s="1"/>
        <tr r="CF60" s="1"/>
      </tp>
      <tp>
        <v>0.25</v>
        <stp/>
        <stp>DELTA</stp>
        <stp>.QQQ250516C498</stp>
        <tr r="CH49" s="1"/>
        <tr r="CH49" s="1"/>
      </tp>
      <tp>
        <v>-0.4</v>
        <stp/>
        <stp>DELTA</stp>
        <stp>.QQQ250509P484</stp>
        <tr r="CG63" s="1"/>
        <tr r="CG63" s="1"/>
      </tp>
      <tp>
        <v>0.7</v>
        <stp/>
        <stp>DELTA</stp>
        <stp>.QQQ250509C484</stp>
        <tr r="CF63" s="1"/>
        <tr r="CF63" s="1"/>
      </tp>
      <tp>
        <v>-0.44</v>
        <stp/>
        <stp>DELTA</stp>
        <stp>.QQQ250509P485</stp>
        <tr r="CG62" s="1"/>
        <tr r="CG62" s="1"/>
      </tp>
      <tp>
        <v>0.63</v>
        <stp/>
        <stp>DELTA</stp>
        <stp>.QQQ250509C485</stp>
        <tr r="CF62" s="1"/>
        <tr r="CF62" s="1"/>
      </tp>
      <tp>
        <v>0</v>
        <stp/>
        <stp>DELTA</stp>
        <stp>.QQQ250507P474</stp>
        <tr r="CE73" s="1"/>
        <tr r="CE73" s="1"/>
      </tp>
      <tp>
        <v>1</v>
        <stp/>
        <stp>DELTA</stp>
        <stp>.QQQ250507C474</stp>
        <tr r="CD73" s="1"/>
        <tr r="CD73" s="1"/>
      </tp>
      <tp>
        <v>0</v>
        <stp/>
        <stp>DELTA</stp>
        <stp>.QQQ250507P475</stp>
        <tr r="CE72" s="1"/>
        <tr r="CE72" s="1"/>
      </tp>
      <tp>
        <v>1</v>
        <stp/>
        <stp>DELTA</stp>
        <stp>.QQQ250507C475</stp>
        <tr r="CD72" s="1"/>
        <tr r="CD72" s="1"/>
      </tp>
      <tp>
        <v>0</v>
        <stp/>
        <stp>DELTA</stp>
        <stp>.QQQ250507P476</stp>
        <tr r="CE71" s="1"/>
        <tr r="CE71" s="1"/>
      </tp>
      <tp>
        <v>-0.23</v>
        <stp/>
        <stp>DELTA</stp>
        <stp>.QQQ250509P478</stp>
        <tr r="CG69" s="1"/>
        <tr r="CG69" s="1"/>
      </tp>
      <tp>
        <v>1</v>
        <stp/>
        <stp>DELTA</stp>
        <stp>.QQQ250507C476</stp>
        <tr r="CD71" s="1"/>
        <tr r="CD71" s="1"/>
      </tp>
      <tp>
        <v>1</v>
        <stp/>
        <stp>DELTA</stp>
        <stp>.QQQ250509C478</stp>
        <tr r="CF69" s="1"/>
        <tr r="CF69" s="1"/>
      </tp>
      <tp>
        <v>0</v>
        <stp/>
        <stp>DELTA</stp>
        <stp>.QQQ250507P477</stp>
        <tr r="CE70" s="1"/>
        <tr r="CE70" s="1"/>
      </tp>
      <tp>
        <v>-0.26</v>
        <stp/>
        <stp>DELTA</stp>
        <stp>.QQQ250509P479</stp>
        <tr r="CG68" s="1"/>
        <tr r="CG68" s="1"/>
      </tp>
      <tp>
        <v>1</v>
        <stp/>
        <stp>DELTA</stp>
        <stp>.QQQ250507C477</stp>
        <tr r="CD70" s="1"/>
        <tr r="CD70" s="1"/>
      </tp>
      <tp>
        <v>1</v>
        <stp/>
        <stp>DELTA</stp>
        <stp>.QQQ250509C479</stp>
        <tr r="CF68" s="1"/>
        <tr r="CF68" s="1"/>
      </tp>
      <tp>
        <v>0</v>
        <stp/>
        <stp>DELTA</stp>
        <stp>.QQQ250507P470</stp>
        <tr r="CE77" s="1"/>
        <tr r="CE77" s="1"/>
      </tp>
      <tp>
        <v>1</v>
        <stp/>
        <stp>DELTA</stp>
        <stp>.QQQ250507C470</stp>
        <tr r="CD77" s="1"/>
        <tr r="CD77" s="1"/>
      </tp>
      <tp>
        <v>0</v>
        <stp/>
        <stp>DELTA</stp>
        <stp>.QQQ250507P471</stp>
        <tr r="CE76" s="1"/>
        <tr r="CE76" s="1"/>
      </tp>
      <tp>
        <v>1</v>
        <stp/>
        <stp>DELTA</stp>
        <stp>.QQQ250507C471</stp>
        <tr r="CD76" s="1"/>
        <tr r="CD76" s="1"/>
      </tp>
      <tp>
        <v>0</v>
        <stp/>
        <stp>DELTA</stp>
        <stp>.QQQ250507P472</stp>
        <tr r="CE75" s="1"/>
        <tr r="CE75" s="1"/>
      </tp>
      <tp>
        <v>1</v>
        <stp/>
        <stp>DELTA</stp>
        <stp>.QQQ250507C472</stp>
        <tr r="CD75" s="1"/>
        <tr r="CD75" s="1"/>
      </tp>
      <tp>
        <v>0</v>
        <stp/>
        <stp>DELTA</stp>
        <stp>.QQQ250507P473</stp>
        <tr r="CE74" s="1"/>
        <tr r="CE74" s="1"/>
      </tp>
      <tp>
        <v>1</v>
        <stp/>
        <stp>DELTA</stp>
        <stp>.QQQ250507C473</stp>
        <tr r="CD74" s="1"/>
        <tr r="CD74" s="1"/>
      </tp>
      <tp>
        <v>-0.11</v>
        <stp/>
        <stp>DELTA</stp>
        <stp>.QQQ250509P472</stp>
        <tr r="CG75" s="1"/>
        <tr r="CG75" s="1"/>
      </tp>
      <tp>
        <v>1</v>
        <stp/>
        <stp>DELTA</stp>
        <stp>.QQQ250509C472</stp>
        <tr r="CF75" s="1"/>
        <tr r="CF75" s="1"/>
      </tp>
      <tp>
        <v>-0.13</v>
        <stp/>
        <stp>DELTA</stp>
        <stp>.QQQ250509P473</stp>
        <tr r="CG74" s="1"/>
        <tr r="CG74" s="1"/>
      </tp>
      <tp>
        <v>1</v>
        <stp/>
        <stp>DELTA</stp>
        <stp>.QQQ250509C473</stp>
        <tr r="CF74" s="1"/>
        <tr r="CF74" s="1"/>
      </tp>
      <tp>
        <v>-0.09</v>
        <stp/>
        <stp>DELTA</stp>
        <stp>.QQQ250509P470</stp>
        <tr r="CG77" s="1"/>
        <tr r="CG77" s="1"/>
      </tp>
      <tp>
        <v>1</v>
        <stp/>
        <stp>DELTA</stp>
        <stp>.QQQ250509C470</stp>
        <tr r="CF77" s="1"/>
        <tr r="CF77" s="1"/>
      </tp>
      <tp>
        <v>-0.1</v>
        <stp/>
        <stp>DELTA</stp>
        <stp>.QQQ250509P471</stp>
        <tr r="CG76" s="1"/>
        <tr r="CG76" s="1"/>
      </tp>
      <tp>
        <v>1</v>
        <stp/>
        <stp>DELTA</stp>
        <stp>.QQQ250509C471</stp>
        <tr r="CF76" s="1"/>
        <tr r="CF76" s="1"/>
      </tp>
      <tp>
        <v>0</v>
        <stp/>
        <stp>DELTA</stp>
        <stp>.QQQ250507P478</stp>
        <tr r="CE69" s="1"/>
        <tr r="CE69" s="1"/>
      </tp>
      <tp>
        <v>-0.19</v>
        <stp/>
        <stp>DELTA</stp>
        <stp>.QQQ250509P476</stp>
        <tr r="CG71" s="1"/>
        <tr r="CG71" s="1"/>
      </tp>
      <tp>
        <v>-0.2</v>
        <stp/>
        <stp>DELTA</stp>
        <stp>.QQQ250516P469</stp>
        <tr r="CI78" s="1"/>
        <tr r="CI78" s="1"/>
      </tp>
      <tp>
        <v>1</v>
        <stp/>
        <stp>DELTA</stp>
        <stp>.QQQ250507C478</stp>
        <tr r="CD69" s="1"/>
        <tr r="CD69" s="1"/>
      </tp>
      <tp>
        <v>1</v>
        <stp/>
        <stp>DELTA</stp>
        <stp>.QQQ250509C476</stp>
        <tr r="CF71" s="1"/>
        <tr r="CF71" s="1"/>
      </tp>
      <tp>
        <v>1</v>
        <stp/>
        <stp>DELTA</stp>
        <stp>.QQQ250516C469</stp>
        <tr r="CH78" s="1"/>
        <tr r="CH78" s="1"/>
      </tp>
      <tp>
        <v>-0.01</v>
        <stp/>
        <stp>DELTA</stp>
        <stp>.QQQ250507P479</stp>
        <tr r="CE68" s="1"/>
        <tr r="CE68" s="1"/>
      </tp>
      <tp>
        <v>-0.21</v>
        <stp/>
        <stp>DELTA</stp>
        <stp>.QQQ250509P477</stp>
        <tr r="CG70" s="1"/>
        <tr r="CG70" s="1"/>
      </tp>
      <tp>
        <v>-0.19</v>
        <stp/>
        <stp>DELTA</stp>
        <stp>.QQQ250516P468</stp>
        <tr r="CI79" s="1"/>
        <tr r="CI79" s="1"/>
      </tp>
      <tp>
        <v>1</v>
        <stp/>
        <stp>DELTA</stp>
        <stp>.QQQ250507C479</stp>
        <tr r="CD68" s="1"/>
        <tr r="CD68" s="1"/>
      </tp>
      <tp>
        <v>1</v>
        <stp/>
        <stp>DELTA</stp>
        <stp>.QQQ250509C477</stp>
        <tr r="CF70" s="1"/>
        <tr r="CF70" s="1"/>
      </tp>
      <tp>
        <v>1</v>
        <stp/>
        <stp>DELTA</stp>
        <stp>.QQQ250516C468</stp>
        <tr r="CH79" s="1"/>
        <tr r="CH79" s="1"/>
      </tp>
      <tp>
        <v>-0.15</v>
        <stp/>
        <stp>DELTA</stp>
        <stp>.QQQ250509P474</stp>
        <tr r="CG73" s="1"/>
        <tr r="CG73" s="1"/>
      </tp>
      <tp>
        <v>1</v>
        <stp/>
        <stp>DELTA</stp>
        <stp>.QQQ250509C474</stp>
        <tr r="CF73" s="1"/>
        <tr r="CF73" s="1"/>
      </tp>
      <tp>
        <v>-0.16</v>
        <stp/>
        <stp>DELTA</stp>
        <stp>.QQQ250509P475</stp>
        <tr r="CG72" s="1"/>
        <tr r="CG72" s="1"/>
      </tp>
      <tp>
        <v>1</v>
        <stp/>
        <stp>DELTA</stp>
        <stp>.QQQ250509C475</stp>
        <tr r="CF72" s="1"/>
        <tr r="CF72" s="1"/>
      </tp>
      <tp>
        <v>-0.28000000000000003</v>
        <stp/>
        <stp>DELTA</stp>
        <stp>.QQQ250516P475</stp>
        <tr r="CI72" s="1"/>
        <tr r="CI72" s="1"/>
      </tp>
      <tp>
        <v>0.82</v>
        <stp/>
        <stp>DELTA</stp>
        <stp>.QQQ250516C475</stp>
        <tr r="CH72" s="1"/>
        <tr r="CH72" s="1"/>
      </tp>
      <tp>
        <v>-0.27</v>
        <stp/>
        <stp>DELTA</stp>
        <stp>.QQQ250516P474</stp>
        <tr r="CI73" s="1"/>
        <tr r="CI73" s="1"/>
      </tp>
      <tp>
        <v>0.85</v>
        <stp/>
        <stp>DELTA</stp>
        <stp>.QQQ250516C474</stp>
        <tr r="CH73" s="1"/>
        <tr r="CH73" s="1"/>
      </tp>
      <tp>
        <v>-7.0000000000000007E-2</v>
        <stp/>
        <stp>DELTA</stp>
        <stp>.QQQ250509P468</stp>
        <tr r="CG79" s="1"/>
        <tr r="CG79" s="1"/>
      </tp>
      <tp>
        <v>-0.31</v>
        <stp/>
        <stp>DELTA</stp>
        <stp>.QQQ250516P477</stp>
        <tr r="CI70" s="1"/>
        <tr r="CI70" s="1"/>
      </tp>
      <tp>
        <v>1</v>
        <stp/>
        <stp>DELTA</stp>
        <stp>.QQQ250509C468</stp>
        <tr r="CF79" s="1"/>
        <tr r="CF79" s="1"/>
      </tp>
      <tp>
        <v>0.77</v>
        <stp/>
        <stp>DELTA</stp>
        <stp>.QQQ250516C477</stp>
        <tr r="CH70" s="1"/>
        <tr r="CH70" s="1"/>
      </tp>
      <tp>
        <v>-0.08</v>
        <stp/>
        <stp>DELTA</stp>
        <stp>.QQQ250509P469</stp>
        <tr r="CG78" s="1"/>
        <tr r="CG78" s="1"/>
      </tp>
      <tp>
        <v>-0.3</v>
        <stp/>
        <stp>DELTA</stp>
        <stp>.QQQ250516P476</stp>
        <tr r="CI71" s="1"/>
        <tr r="CI71" s="1"/>
      </tp>
      <tp>
        <v>1</v>
        <stp/>
        <stp>DELTA</stp>
        <stp>.QQQ250509C469</stp>
        <tr r="CF78" s="1"/>
        <tr r="CF78" s="1"/>
      </tp>
      <tp>
        <v>0.8</v>
        <stp/>
        <stp>DELTA</stp>
        <stp>.QQQ250516C476</stp>
        <tr r="CH71" s="1"/>
        <tr r="CH71" s="1"/>
      </tp>
      <tp>
        <v>-0.23</v>
        <stp/>
        <stp>DELTA</stp>
        <stp>.QQQ250516P471</stp>
        <tr r="CI76" s="1"/>
        <tr r="CI76" s="1"/>
      </tp>
      <tp>
        <v>0.92</v>
        <stp/>
        <stp>DELTA</stp>
        <stp>.QQQ250516C471</stp>
        <tr r="CH76" s="1"/>
        <tr r="CH76" s="1"/>
      </tp>
      <tp>
        <v>-0.22</v>
        <stp/>
        <stp>DELTA</stp>
        <stp>.QQQ250516P470</stp>
        <tr r="CI77" s="1"/>
        <tr r="CI77" s="1"/>
      </tp>
      <tp>
        <v>0.95</v>
        <stp/>
        <stp>DELTA</stp>
        <stp>.QQQ250516C470</stp>
        <tr r="CH77" s="1"/>
        <tr r="CH77" s="1"/>
      </tp>
      <tp>
        <v>-0.26</v>
        <stp/>
        <stp>DELTA</stp>
        <stp>.QQQ250516P473</stp>
        <tr r="CI74" s="1"/>
        <tr r="CI74" s="1"/>
      </tp>
      <tp>
        <v>0.87</v>
        <stp/>
        <stp>DELTA</stp>
        <stp>.QQQ250516C473</stp>
        <tr r="CH74" s="1"/>
        <tr r="CH74" s="1"/>
      </tp>
      <tp>
        <v>-0.24</v>
        <stp/>
        <stp>DELTA</stp>
        <stp>.QQQ250516P472</stp>
        <tr r="CI75" s="1"/>
        <tr r="CI75" s="1"/>
      </tp>
      <tp>
        <v>0.89</v>
        <stp/>
        <stp>DELTA</stp>
        <stp>.QQQ250516C472</stp>
        <tr r="CH75" s="1"/>
        <tr r="CH75" s="1"/>
      </tp>
      <tp>
        <v>0</v>
        <stp/>
        <stp>DELTA</stp>
        <stp>.QQQ250507P468</stp>
        <tr r="CE79" s="1"/>
        <tr r="CE79" s="1"/>
      </tp>
      <tp>
        <v>-0.35</v>
        <stp/>
        <stp>DELTA</stp>
        <stp>.QQQ250516P479</stp>
        <tr r="CI68" s="1"/>
        <tr r="CI68" s="1"/>
      </tp>
      <tp>
        <v>1</v>
        <stp/>
        <stp>DELTA</stp>
        <stp>.QQQ250507C468</stp>
        <tr r="CD79" s="1"/>
        <tr r="CD79" s="1"/>
      </tp>
      <tp>
        <v>0.72</v>
        <stp/>
        <stp>DELTA</stp>
        <stp>.QQQ250516C479</stp>
        <tr r="CH68" s="1"/>
        <tr r="CH68" s="1"/>
      </tp>
      <tp>
        <v>0</v>
        <stp/>
        <stp>DELTA</stp>
        <stp>.QQQ250507P469</stp>
        <tr r="CE78" s="1"/>
        <tr r="CE78" s="1"/>
      </tp>
      <tp>
        <v>-0.33</v>
        <stp/>
        <stp>DELTA</stp>
        <stp>.QQQ250516P478</stp>
        <tr r="CI69" s="1"/>
        <tr r="CI69" s="1"/>
      </tp>
      <tp>
        <v>1</v>
        <stp/>
        <stp>DELTA</stp>
        <stp>.QQQ250507C469</stp>
        <tr r="CD78" s="1"/>
        <tr r="CD78" s="1"/>
      </tp>
      <tp>
        <v>0.74</v>
        <stp/>
        <stp>DELTA</stp>
        <stp>.QQQ250516C478</stp>
        <tr r="CH69" s="1"/>
        <tr r="CH69" s="1"/>
      </tp>
      <tp>
        <v>-0.7</v>
        <stp/>
        <stp>DELTA</stp>
        <stp>.QQQ250516P501</stp>
        <tr r="CI46" s="1"/>
        <tr r="CI46" s="1"/>
      </tp>
      <tp>
        <v>0.19</v>
        <stp/>
        <stp>DELTA</stp>
        <stp>.QQQ250516C501</stp>
        <tr r="CH46" s="1"/>
        <tr r="CH46" s="1"/>
      </tp>
      <tp>
        <v>-0.69</v>
        <stp/>
        <stp>DELTA</stp>
        <stp>.QQQ250516P500</stp>
        <tr r="CI47" s="1"/>
        <tr r="CI47" s="1"/>
      </tp>
      <tp>
        <v>0.21</v>
        <stp/>
        <stp>DELTA</stp>
        <stp>.QQQ250516C500</stp>
        <tr r="CH47" s="1"/>
        <tr r="CH47" s="1"/>
      </tp>
      <tp>
        <v>-0.71</v>
        <stp/>
        <stp>DELTA</stp>
        <stp>.QQQ250516P502</stp>
        <tr r="CI45" s="1"/>
        <tr r="CI45" s="1"/>
      </tp>
      <tp>
        <v>0.17</v>
        <stp/>
        <stp>DELTA</stp>
        <stp>.QQQ250516C502</stp>
        <tr r="CH45" s="1"/>
        <tr r="CH45" s="1"/>
      </tp>
      <tp>
        <v>-0.73</v>
        <stp/>
        <stp>DELTA</stp>
        <stp>.QQQ250507P500</stp>
        <tr r="CE47" s="1"/>
        <tr r="CE47" s="1"/>
      </tp>
      <tp>
        <v>0</v>
        <stp/>
        <stp>DELTA</stp>
        <stp>.QQQ250507C500</stp>
        <tr r="CD47" s="1"/>
        <tr r="CD47" s="1"/>
      </tp>
      <tp>
        <v>-0.74</v>
        <stp/>
        <stp>DELTA</stp>
        <stp>.QQQ250507P501</stp>
        <tr r="CE46" s="1"/>
        <tr r="CE46" s="1"/>
      </tp>
      <tp>
        <v>0</v>
        <stp/>
        <stp>DELTA</stp>
        <stp>.QQQ250507C501</stp>
        <tr r="CD46" s="1"/>
        <tr r="CD46" s="1"/>
      </tp>
      <tp>
        <v>-0.75</v>
        <stp/>
        <stp>DELTA</stp>
        <stp>.QQQ250507P502</stp>
        <tr r="CE45" s="1"/>
        <tr r="CE45" s="1"/>
      </tp>
      <tp>
        <v>0</v>
        <stp/>
        <stp>DELTA</stp>
        <stp>.QQQ250507C502</stp>
        <tr r="CD45" s="1"/>
        <tr r="CD45" s="1"/>
      </tp>
      <tp>
        <v>-0.75</v>
        <stp/>
        <stp>DELTA</stp>
        <stp>.QQQ250509P502</stp>
        <tr r="CG45" s="1"/>
        <tr r="CG45" s="1"/>
      </tp>
      <tp>
        <v>0.04</v>
        <stp/>
        <stp>DELTA</stp>
        <stp>.QQQ250509C502</stp>
        <tr r="CF45" s="1"/>
        <tr r="CF45" s="1"/>
      </tp>
      <tp>
        <v>-0.74</v>
        <stp/>
        <stp>DELTA</stp>
        <stp>.QQQ250509P500</stp>
        <tr r="CG47" s="1"/>
        <tr r="CG47" s="1"/>
      </tp>
      <tp>
        <v>0.05</v>
        <stp/>
        <stp>DELTA</stp>
        <stp>.QQQ250509C500</stp>
        <tr r="CF47" s="1"/>
        <tr r="CF47" s="1"/>
      </tp>
      <tp>
        <v>-0.74</v>
        <stp/>
        <stp>DELTA</stp>
        <stp>.QQQ250509P501</stp>
        <tr r="CG46" s="1"/>
        <tr r="CG46" s="1"/>
      </tp>
      <tp>
        <v>0.05</v>
        <stp/>
        <stp>DELTA</stp>
        <stp>.QQQ250509C501</stp>
        <tr r="CF46" s="1"/>
        <tr r="CF46" s="1"/>
      </tp>
      <tp t="s">
        <v>N/A</v>
        <stp/>
        <stp>VOLUME</stp>
        <stp>.SPXWC5840</stp>
        <tr r="E89" s="2"/>
        <tr r="D89" s="2"/>
        <tr r="C89" s="2"/>
        <tr r="B89" s="2"/>
        <tr r="G89" s="2"/>
        <tr r="F89" s="2"/>
      </tp>
      <tp t="s">
        <v>N/A</v>
        <stp/>
        <stp>VOLUME</stp>
        <stp>.SPXWP5840</stp>
        <tr r="E89" s="2"/>
        <tr r="D89" s="2"/>
        <tr r="C89" s="2"/>
        <tr r="B89" s="2"/>
        <tr r="G89" s="2"/>
        <tr r="F89" s="2"/>
      </tp>
      <tp t="s">
        <v>N/A</v>
        <stp/>
        <stp>VOLUME</stp>
        <stp>.SPXWC5850</stp>
        <tr r="D88" s="2"/>
        <tr r="B88" s="2"/>
        <tr r="G88" s="2"/>
        <tr r="F88" s="2"/>
        <tr r="C88" s="2"/>
        <tr r="E88" s="2"/>
      </tp>
      <tp t="s">
        <v>N/A</v>
        <stp/>
        <stp>VOLUME</stp>
        <stp>.SPXWP5850</stp>
        <tr r="D88" s="2"/>
        <tr r="B88" s="2"/>
        <tr r="G88" s="2"/>
        <tr r="F88" s="2"/>
        <tr r="C88" s="2"/>
        <tr r="E88" s="2"/>
      </tp>
      <tp t="s">
        <v>N/A</v>
        <stp/>
        <stp>VOLUME</stp>
        <stp>.SPXWC5860</stp>
        <tr r="G87" s="2"/>
        <tr r="D87" s="2"/>
        <tr r="C87" s="2"/>
        <tr r="F87" s="2"/>
        <tr r="E87" s="2"/>
        <tr r="B87" s="2"/>
      </tp>
      <tp t="s">
        <v>N/A</v>
        <stp/>
        <stp>VOLUME</stp>
        <stp>.SPXWP5860</stp>
        <tr r="G87" s="2"/>
        <tr r="D87" s="2"/>
        <tr r="C87" s="2"/>
        <tr r="F87" s="2"/>
        <tr r="E87" s="2"/>
        <tr r="B87" s="2"/>
      </tp>
      <tp t="s">
        <v>N/A</v>
        <stp/>
        <stp>VOLUME</stp>
        <stp>.SPXWC5870</stp>
        <tr r="G86" s="2"/>
        <tr r="F86" s="2"/>
        <tr r="E86" s="2"/>
        <tr r="D86" s="2"/>
        <tr r="C86" s="2"/>
        <tr r="B86" s="2"/>
      </tp>
      <tp t="s">
        <v>N/A</v>
        <stp/>
        <stp>VOLUME</stp>
        <stp>.SPXWP5870</stp>
        <tr r="G86" s="2"/>
        <tr r="F86" s="2"/>
        <tr r="E86" s="2"/>
        <tr r="D86" s="2"/>
        <tr r="C86" s="2"/>
        <tr r="B86" s="2"/>
      </tp>
      <tp t="s">
        <v>N/A</v>
        <stp/>
        <stp>VOLUME</stp>
        <stp>.SPXWC5800</stp>
        <tr r="G93" s="2"/>
        <tr r="F93" s="2"/>
        <tr r="D93" s="2"/>
        <tr r="B93" s="2"/>
        <tr r="C93" s="2"/>
        <tr r="E93" s="2"/>
      </tp>
      <tp t="s">
        <v>N/A</v>
        <stp/>
        <stp>VOLUME</stp>
        <stp>.SPXWP5800</stp>
        <tr r="G93" s="2"/>
        <tr r="F93" s="2"/>
        <tr r="D93" s="2"/>
        <tr r="B93" s="2"/>
        <tr r="C93" s="2"/>
        <tr r="E93" s="2"/>
      </tp>
      <tp t="s">
        <v>N/A</v>
        <stp/>
        <stp>VOLUME</stp>
        <stp>.SPXWC5810</stp>
        <tr r="D92" s="2"/>
        <tr r="F92" s="2"/>
        <tr r="G92" s="2"/>
        <tr r="B92" s="2"/>
        <tr r="E92" s="2"/>
        <tr r="C92" s="2"/>
      </tp>
      <tp t="s">
        <v>N/A</v>
        <stp/>
        <stp>VOLUME</stp>
        <stp>.SPXWP5810</stp>
        <tr r="D92" s="2"/>
        <tr r="F92" s="2"/>
        <tr r="G92" s="2"/>
        <tr r="B92" s="2"/>
        <tr r="E92" s="2"/>
        <tr r="C92" s="2"/>
      </tp>
      <tp t="s">
        <v>N/A</v>
        <stp/>
        <stp>VOLUME</stp>
        <stp>.SPXWC5820</stp>
        <tr r="E91" s="2"/>
        <tr r="C91" s="2"/>
        <tr r="F91" s="2"/>
        <tr r="B91" s="2"/>
        <tr r="G91" s="2"/>
        <tr r="D91" s="2"/>
      </tp>
      <tp t="s">
        <v>N/A</v>
        <stp/>
        <stp>VOLUME</stp>
        <stp>.SPXWP5820</stp>
        <tr r="E91" s="2"/>
        <tr r="C91" s="2"/>
        <tr r="F91" s="2"/>
        <tr r="B91" s="2"/>
        <tr r="G91" s="2"/>
        <tr r="D91" s="2"/>
      </tp>
      <tp t="s">
        <v>N/A</v>
        <stp/>
        <stp>VOLUME</stp>
        <stp>.SPXWC5830</stp>
        <tr r="F90" s="2"/>
        <tr r="G90" s="2"/>
        <tr r="D90" s="2"/>
        <tr r="E90" s="2"/>
        <tr r="C90" s="2"/>
        <tr r="B90" s="2"/>
      </tp>
      <tp t="s">
        <v>N/A</v>
        <stp/>
        <stp>VOLUME</stp>
        <stp>.SPXWP5830</stp>
        <tr r="F90" s="2"/>
        <tr r="G90" s="2"/>
        <tr r="D90" s="2"/>
        <tr r="E90" s="2"/>
        <tr r="C90" s="2"/>
        <tr r="B90" s="2"/>
      </tp>
      <tp>
        <v>415</v>
        <stp/>
        <stp>ASK</stp>
        <stp>.NDXP250507C19475</stp>
        <tr r="DC176" s="1"/>
        <tr r="DC176" s="1"/>
      </tp>
      <tp>
        <v>442</v>
        <stp/>
        <stp>ASK</stp>
        <stp>.NDXP250507C19450</stp>
        <tr r="DC177" s="1"/>
        <tr r="DC177" s="1"/>
      </tp>
      <tp>
        <v>19.8</v>
        <stp/>
        <stp>ASK</stp>
        <stp>.NDXP250507C20450</stp>
        <tr r="DC137" s="1"/>
        <tr r="DC137" s="1"/>
      </tp>
      <tp>
        <v>482</v>
        <stp/>
        <stp>ASK</stp>
        <stp>.NDXP250507C19425</stp>
        <tr r="DC178" s="1"/>
        <tr r="DC178" s="1"/>
      </tp>
      <tp>
        <v>19.8</v>
        <stp/>
        <stp>ASK</stp>
        <stp>.NDXP250507C20425</stp>
        <tr r="DC138" s="1"/>
        <tr r="DC138" s="1"/>
      </tp>
      <tp>
        <v>502.8</v>
        <stp/>
        <stp>ASK</stp>
        <stp>.NDXP250507C19400</stp>
        <tr r="DC179" s="1"/>
        <tr r="DC179" s="1"/>
      </tp>
      <tp>
        <v>0.05</v>
        <stp/>
        <stp>ASK</stp>
        <stp>.NDXP250507C20400</stp>
        <tr r="DC139" s="1"/>
        <tr r="DC139" s="1"/>
      </tp>
      <tp>
        <v>19.8</v>
        <stp/>
        <stp>ASK</stp>
        <stp>.NDXP250507P19450</stp>
        <tr r="DD177" s="1"/>
        <tr r="DD177" s="1"/>
      </tp>
      <tp>
        <v>624</v>
        <stp/>
        <stp>ASK</stp>
        <stp>.NDXP250507P20450</stp>
        <tr r="DD137" s="1"/>
        <tr r="DD137" s="1"/>
      </tp>
      <tp>
        <v>19.8</v>
        <stp/>
        <stp>ASK</stp>
        <stp>.NDXP250507P19475</stp>
        <tr r="DD176" s="1"/>
        <tr r="DD176" s="1"/>
      </tp>
      <tp>
        <v>0.05</v>
        <stp/>
        <stp>ASK</stp>
        <stp>.NDXP250507P19400</stp>
        <tr r="DD179" s="1"/>
        <tr r="DD179" s="1"/>
      </tp>
      <tp>
        <v>574</v>
        <stp/>
        <stp>ASK</stp>
        <stp>.NDXP250507P20400</stp>
        <tr r="DD139" s="1"/>
        <tr r="DD139" s="1"/>
      </tp>
      <tp>
        <v>19.8</v>
        <stp/>
        <stp>ASK</stp>
        <stp>.NDXP250507P19425</stp>
        <tr r="DD178" s="1"/>
        <tr r="DD178" s="1"/>
      </tp>
      <tp>
        <v>602.5</v>
        <stp/>
        <stp>ASK</stp>
        <stp>.NDXP250507P20425</stp>
        <tr r="DD138" s="1"/>
        <tr r="DD138" s="1"/>
      </tp>
      <tp>
        <v>315.7</v>
        <stp/>
        <stp>ASK</stp>
        <stp>.NDXP250507C19575</stp>
        <tr r="DC172" s="1"/>
        <tr r="DC172" s="1"/>
      </tp>
      <tp>
        <v>340.5</v>
        <stp/>
        <stp>ASK</stp>
        <stp>.NDXP250507C19550</stp>
        <tr r="DC173" s="1"/>
        <tr r="DC173" s="1"/>
      </tp>
      <tp>
        <v>365.5</v>
        <stp/>
        <stp>ASK</stp>
        <stp>.NDXP250507C19525</stp>
        <tr r="DC174" s="1"/>
        <tr r="DC174" s="1"/>
      </tp>
      <tp>
        <v>390.5</v>
        <stp/>
        <stp>ASK</stp>
        <stp>.NDXP250507C19500</stp>
        <tr r="DC175" s="1"/>
        <tr r="DC175" s="1"/>
      </tp>
      <tp>
        <v>19.8</v>
        <stp/>
        <stp>ASK</stp>
        <stp>.NDXP250507P19550</stp>
        <tr r="DD173" s="1"/>
        <tr r="DD173" s="1"/>
      </tp>
      <tp>
        <v>0.2</v>
        <stp/>
        <stp>ASK</stp>
        <stp>.NDXP250507P19575</stp>
        <tr r="DD172" s="1"/>
        <tr r="DD172" s="1"/>
      </tp>
      <tp>
        <v>0.25</v>
        <stp/>
        <stp>ASK</stp>
        <stp>.NDXP250507P19500</stp>
        <tr r="DD175" s="1"/>
        <tr r="DD175" s="1"/>
      </tp>
      <tp>
        <v>19.8</v>
        <stp/>
        <stp>ASK</stp>
        <stp>.NDXP250507P19525</stp>
        <tr r="DD174" s="1"/>
        <tr r="DD174" s="1"/>
      </tp>
      <tp>
        <v>199.7</v>
        <stp/>
        <stp>ASK</stp>
        <stp>.NDXP250507C19675</stp>
        <tr r="DC168" s="1"/>
        <tr r="DC168" s="1"/>
      </tp>
      <tp>
        <v>0</v>
        <stp/>
        <stp>BID</stp>
        <stp>.NDXP250507C19975</stp>
        <tr r="DE156" s="1"/>
        <tr r="DE156" s="1"/>
      </tp>
      <tp>
        <v>225.3</v>
        <stp/>
        <stp>ASK</stp>
        <stp>.NDXP250507C19650</stp>
        <tr r="DC169" s="1"/>
        <tr r="DC169" s="1"/>
      </tp>
      <tp>
        <v>0</v>
        <stp/>
        <stp>BID</stp>
        <stp>.NDXP250507C19950</stp>
        <tr r="DE157" s="1"/>
        <tr r="DE157" s="1"/>
      </tp>
      <tp>
        <v>262.89999999999998</v>
        <stp/>
        <stp>ASK</stp>
        <stp>.NDXP250507C19625</stp>
        <tr r="DC170" s="1"/>
        <tr r="DC170" s="1"/>
      </tp>
      <tp>
        <v>0</v>
        <stp/>
        <stp>BID</stp>
        <stp>.NDXP250507C19925</stp>
        <tr r="DE158" s="1"/>
        <tr r="DE158" s="1"/>
      </tp>
      <tp>
        <v>287.89999999999998</v>
        <stp/>
        <stp>ASK</stp>
        <stp>.NDXP250507C19600</stp>
        <tr r="DC171" s="1"/>
        <tr r="DC171" s="1"/>
      </tp>
      <tp>
        <v>0.05</v>
        <stp/>
        <stp>BID</stp>
        <stp>.NDXP250507C19900</stp>
        <tr r="DE159" s="1"/>
        <tr r="DE159" s="1"/>
      </tp>
      <tp>
        <v>0.25</v>
        <stp/>
        <stp>ASK</stp>
        <stp>.NDXP250507P19650</stp>
        <tr r="DD169" s="1"/>
        <tr r="DD169" s="1"/>
      </tp>
      <tp>
        <v>75.900000000000006</v>
        <stp/>
        <stp>BID</stp>
        <stp>.NDXP250507P19950</stp>
        <tr r="DF157" s="1"/>
        <tr r="DF157" s="1"/>
      </tp>
      <tp>
        <v>19.8</v>
        <stp/>
        <stp>ASK</stp>
        <stp>.NDXP250507P19675</stp>
        <tr r="DD168" s="1"/>
        <tr r="DD168" s="1"/>
      </tp>
      <tp>
        <v>100.8</v>
        <stp/>
        <stp>BID</stp>
        <stp>.NDXP250507P19975</stp>
        <tr r="DF156" s="1"/>
        <tr r="DF156" s="1"/>
      </tp>
      <tp>
        <v>0.05</v>
        <stp/>
        <stp>ASK</stp>
        <stp>.NDXP250507P19600</stp>
        <tr r="DD171" s="1"/>
        <tr r="DD171" s="1"/>
      </tp>
      <tp>
        <v>28</v>
        <stp/>
        <stp>BID</stp>
        <stp>.NDXP250507P19900</stp>
        <tr r="DF159" s="1"/>
        <tr r="DF159" s="1"/>
      </tp>
      <tp>
        <v>19.8</v>
        <stp/>
        <stp>ASK</stp>
        <stp>.NDXP250507P19625</stp>
        <tr r="DD170" s="1"/>
        <tr r="DD170" s="1"/>
      </tp>
      <tp>
        <v>50.8</v>
        <stp/>
        <stp>BID</stp>
        <stp>.NDXP250507P19925</stp>
        <tr r="DF158" s="1"/>
        <tr r="DF158" s="1"/>
      </tp>
      <tp t="s">
        <v>N/A</v>
        <stp/>
        <stp>VOLUME</stp>
        <stp>.NDXPP19975</stp>
        <tr r="E157" s="2"/>
        <tr r="D157" s="2"/>
        <tr r="F157" s="2"/>
        <tr r="B157" s="2"/>
        <tr r="G157" s="2"/>
        <tr r="C157" s="2"/>
      </tp>
      <tp t="s">
        <v>N/A</v>
        <stp/>
        <stp>VOLUME</stp>
        <stp>.NDXPP19950</stp>
        <tr r="G158" s="2"/>
        <tr r="F158" s="2"/>
        <tr r="B158" s="2"/>
        <tr r="D158" s="2"/>
        <tr r="E158" s="2"/>
        <tr r="C158" s="2"/>
      </tp>
      <tp t="s">
        <v>N/A</v>
        <stp/>
        <stp>VOLUME</stp>
        <stp>.NDXPP19925</stp>
        <tr r="F159" s="2"/>
        <tr r="D159" s="2"/>
        <tr r="G159" s="2"/>
        <tr r="B159" s="2"/>
        <tr r="E159" s="2"/>
        <tr r="C159" s="2"/>
      </tp>
      <tp t="s">
        <v>N/A</v>
        <stp/>
        <stp>VOLUME</stp>
        <stp>.NDXPP19900</stp>
        <tr r="E160" s="2"/>
        <tr r="B160" s="2"/>
        <tr r="G160" s="2"/>
        <tr r="F160" s="2"/>
        <tr r="C160" s="2"/>
        <tr r="D160" s="2"/>
      </tp>
      <tp t="s">
        <v>N/A</v>
        <stp/>
        <stp>VOLUME</stp>
        <stp>.NDXPC19950</stp>
        <tr r="G158" s="2"/>
        <tr r="F158" s="2"/>
        <tr r="B158" s="2"/>
        <tr r="D158" s="2"/>
        <tr r="E158" s="2"/>
        <tr r="C158" s="2"/>
      </tp>
      <tp t="s">
        <v>N/A</v>
        <stp/>
        <stp>VOLUME</stp>
        <stp>.NDXPC19975</stp>
        <tr r="E157" s="2"/>
        <tr r="D157" s="2"/>
        <tr r="F157" s="2"/>
        <tr r="B157" s="2"/>
        <tr r="G157" s="2"/>
        <tr r="C157" s="2"/>
      </tp>
      <tp t="s">
        <v>N/A</v>
        <stp/>
        <stp>VOLUME</stp>
        <stp>.NDXPC19900</stp>
        <tr r="E160" s="2"/>
        <tr r="B160" s="2"/>
        <tr r="G160" s="2"/>
        <tr r="F160" s="2"/>
        <tr r="C160" s="2"/>
        <tr r="D160" s="2"/>
      </tp>
      <tp t="s">
        <v>N/A</v>
        <stp/>
        <stp>VOLUME</stp>
        <stp>.NDXPC19925</stp>
        <tr r="F159" s="2"/>
        <tr r="D159" s="2"/>
        <tr r="G159" s="2"/>
        <tr r="B159" s="2"/>
        <tr r="E159" s="2"/>
        <tr r="C159" s="2"/>
      </tp>
      <tp>
        <v>99.2</v>
        <stp/>
        <stp>ASK</stp>
        <stp>.NDXP250507C19775</stp>
        <tr r="DC164" s="1"/>
        <tr r="DC164" s="1"/>
      </tp>
      <tp>
        <v>2</v>
        <stp/>
        <stp>BID</stp>
        <stp>.NDXP250507C19875</stp>
        <tr r="DE160" s="1"/>
        <tr r="DE160" s="1"/>
      </tp>
      <tp>
        <v>124.2</v>
        <stp/>
        <stp>ASK</stp>
        <stp>.NDXP250507C19750</stp>
        <tr r="DC165" s="1"/>
        <tr r="DC165" s="1"/>
      </tp>
      <tp>
        <v>20</v>
        <stp/>
        <stp>BID</stp>
        <stp>.NDXP250507C19850</stp>
        <tr r="DE161" s="1"/>
        <tr r="DE161" s="1"/>
      </tp>
      <tp>
        <v>149.30000000000001</v>
        <stp/>
        <stp>ASK</stp>
        <stp>.NDXP250507C19725</stp>
        <tr r="DC166" s="1"/>
        <tr r="DC166" s="1"/>
      </tp>
      <tp>
        <v>34</v>
        <stp/>
        <stp>BID</stp>
        <stp>.NDXP250507C19825</stp>
        <tr r="DE162" s="1"/>
        <tr r="DE162" s="1"/>
      </tp>
      <tp>
        <v>174.3</v>
        <stp/>
        <stp>ASK</stp>
        <stp>.NDXP250507C19700</stp>
        <tr r="DC167" s="1"/>
        <tr r="DC167" s="1"/>
      </tp>
      <tp>
        <v>58</v>
        <stp/>
        <stp>BID</stp>
        <stp>.NDXP250507C19800</stp>
        <tr r="DE163" s="1"/>
        <tr r="DE163" s="1"/>
      </tp>
      <tp>
        <v>1</v>
        <stp/>
        <stp>ASK</stp>
        <stp>.NDXP250507P19750</stp>
        <tr r="DD165" s="1"/>
        <tr r="DD165" s="1"/>
      </tp>
      <tp>
        <v>0.05</v>
        <stp/>
        <stp>BID</stp>
        <stp>.NDXP250507P19850</stp>
        <tr r="DF161" s="1"/>
        <tr r="DF161" s="1"/>
      </tp>
      <tp>
        <v>0.05</v>
        <stp/>
        <stp>ASK</stp>
        <stp>.NDXP250507P19775</stp>
        <tr r="DD164" s="1"/>
        <tr r="DD164" s="1"/>
      </tp>
      <tp>
        <v>6</v>
        <stp/>
        <stp>BID</stp>
        <stp>.NDXP250507P19875</stp>
        <tr r="DF160" s="1"/>
        <tr r="DF160" s="1"/>
      </tp>
      <tp>
        <v>0.05</v>
        <stp/>
        <stp>ASK</stp>
        <stp>.NDXP250507P19700</stp>
        <tr r="DD167" s="1"/>
        <tr r="DD167" s="1"/>
      </tp>
      <tp>
        <v>0</v>
        <stp/>
        <stp>BID</stp>
        <stp>.NDXP250507P19800</stp>
        <tr r="DF163" s="1"/>
        <tr r="DF163" s="1"/>
      </tp>
      <tp>
        <v>6.8</v>
        <stp/>
        <stp>ASK</stp>
        <stp>.NDXP250507P19725</stp>
        <tr r="DD166" s="1"/>
        <tr r="DD166" s="1"/>
      </tp>
      <tp>
        <v>0</v>
        <stp/>
        <stp>BID</stp>
        <stp>.NDXP250507P19825</stp>
        <tr r="DF162" s="1"/>
        <tr r="DF162" s="1"/>
      </tp>
      <tp t="s">
        <v>N/A</v>
        <stp/>
        <stp>VOLUME</stp>
        <stp>.NDXPP19875</stp>
        <tr r="B161" s="2"/>
        <tr r="E161" s="2"/>
        <tr r="C161" s="2"/>
        <tr r="D161" s="2"/>
        <tr r="F161" s="2"/>
        <tr r="G161" s="2"/>
      </tp>
      <tp t="s">
        <v>N/A</v>
        <stp/>
        <stp>VOLUME</stp>
        <stp>.NDXPP19850</stp>
        <tr r="F162" s="2"/>
        <tr r="D162" s="2"/>
        <tr r="C162" s="2"/>
        <tr r="B162" s="2"/>
        <tr r="G162" s="2"/>
        <tr r="E162" s="2"/>
      </tp>
      <tp t="s">
        <v>N/A</v>
        <stp/>
        <stp>VOLUME</stp>
        <stp>.NDXPP19825</stp>
        <tr r="G163" s="2"/>
        <tr r="E163" s="2"/>
        <tr r="C163" s="2"/>
        <tr r="D163" s="2"/>
        <tr r="F163" s="2"/>
        <tr r="B163" s="2"/>
      </tp>
      <tp t="s">
        <v>N/A</v>
        <stp/>
        <stp>VOLUME</stp>
        <stp>.NDXPP19800</stp>
        <tr r="C164" s="2"/>
        <tr r="F164" s="2"/>
        <tr r="B164" s="2"/>
        <tr r="E164" s="2"/>
        <tr r="D164" s="2"/>
        <tr r="G164" s="2"/>
      </tp>
      <tp>
        <v>186</v>
        <stp/>
        <stp>LAST</stp>
        <stp>.SPXW250507P5840</stp>
        <tr r="DB88" s="1"/>
        <tr r="DB88" s="1"/>
      </tp>
      <tp>
        <v>0.03</v>
        <stp/>
        <stp>LAST</stp>
        <stp>.SPXW250507C5840</stp>
        <tr r="DA88" s="1"/>
        <tr r="DA88" s="1"/>
      </tp>
      <tp>
        <v>249.33</v>
        <stp/>
        <stp>LAST</stp>
        <stp>.SPXW250507P5850</stp>
        <tr r="DB87" s="1"/>
        <tr r="DB87" s="1"/>
      </tp>
      <tp>
        <v>0.05</v>
        <stp/>
        <stp>LAST</stp>
        <stp>.SPXW250507C5850</stp>
        <tr r="DA87" s="1"/>
        <tr r="DA87" s="1"/>
      </tp>
      <tp>
        <v>0</v>
        <stp/>
        <stp>LAST</stp>
        <stp>.SPXW250507P5860</stp>
        <tr r="DB86" s="1"/>
        <tr r="DB86" s="1"/>
      </tp>
      <tp>
        <v>0.05</v>
        <stp/>
        <stp>LAST</stp>
        <stp>.SPXW250507C5860</stp>
        <tr r="DA86" s="1"/>
        <tr r="DA86" s="1"/>
      </tp>
      <tp>
        <v>253.9</v>
        <stp/>
        <stp>LAST</stp>
        <stp>.SPXW250507P5870</stp>
        <tr r="DB85" s="1"/>
        <tr r="DB85" s="1"/>
      </tp>
      <tp>
        <v>0.03</v>
        <stp/>
        <stp>LAST</stp>
        <stp>.SPXW250507C5870</stp>
        <tr r="DA85" s="1"/>
        <tr r="DA85" s="1"/>
      </tp>
      <tp>
        <v>169.13</v>
        <stp/>
        <stp>LAST</stp>
        <stp>.SPXW250507P5800</stp>
        <tr r="DB92" s="1"/>
        <tr r="DB92" s="1"/>
      </tp>
      <tp>
        <v>0.03</v>
        <stp/>
        <stp>LAST</stp>
        <stp>.SPXW250507C5800</stp>
        <tr r="DA92" s="1"/>
        <tr r="DA92" s="1"/>
      </tp>
      <tp>
        <v>182.3</v>
        <stp/>
        <stp>LAST</stp>
        <stp>.SPXW250507P5810</stp>
        <tr r="DB91" s="1"/>
        <tr r="DB91" s="1"/>
      </tp>
      <tp>
        <v>0.03</v>
        <stp/>
        <stp>LAST</stp>
        <stp>.SPXW250507C5810</stp>
        <tr r="DA91" s="1"/>
        <tr r="DA91" s="1"/>
      </tp>
      <tp>
        <v>204.93</v>
        <stp/>
        <stp>LAST</stp>
        <stp>.SPXW250507P5820</stp>
        <tr r="DB90" s="1"/>
        <tr r="DB90" s="1"/>
      </tp>
      <tp>
        <v>0.03</v>
        <stp/>
        <stp>LAST</stp>
        <stp>.SPXW250507C5820</stp>
        <tr r="DA90" s="1"/>
        <tr r="DA90" s="1"/>
      </tp>
      <tp>
        <v>179.3</v>
        <stp/>
        <stp>LAST</stp>
        <stp>.SPXW250507P5830</stp>
        <tr r="DB89" s="1"/>
        <tr r="DB89" s="1"/>
      </tp>
      <tp>
        <v>0.03</v>
        <stp/>
        <stp>LAST</stp>
        <stp>.SPXW250507C5830</stp>
        <tr r="DA89" s="1"/>
        <tr r="DA89" s="1"/>
      </tp>
      <tp t="s">
        <v>N/A</v>
        <stp/>
        <stp>VOLUME</stp>
        <stp>.NDXPC19850</stp>
        <tr r="F162" s="2"/>
        <tr r="D162" s="2"/>
        <tr r="C162" s="2"/>
        <tr r="B162" s="2"/>
        <tr r="G162" s="2"/>
        <tr r="E162" s="2"/>
      </tp>
      <tp t="s">
        <v>N/A</v>
        <stp/>
        <stp>VOLUME</stp>
        <stp>.NDXPC19875</stp>
        <tr r="B161" s="2"/>
        <tr r="E161" s="2"/>
        <tr r="C161" s="2"/>
        <tr r="D161" s="2"/>
        <tr r="F161" s="2"/>
        <tr r="G161" s="2"/>
      </tp>
      <tp t="s">
        <v>N/A</v>
        <stp/>
        <stp>VOLUME</stp>
        <stp>.NDXPC19800</stp>
        <tr r="C164" s="2"/>
        <tr r="F164" s="2"/>
        <tr r="B164" s="2"/>
        <tr r="E164" s="2"/>
        <tr r="D164" s="2"/>
        <tr r="G164" s="2"/>
      </tp>
      <tp t="s">
        <v>N/A</v>
        <stp/>
        <stp>VOLUME</stp>
        <stp>.NDXPC19825</stp>
        <tr r="G163" s="2"/>
        <tr r="E163" s="2"/>
        <tr r="C163" s="2"/>
        <tr r="D163" s="2"/>
        <tr r="F163" s="2"/>
        <tr r="B163" s="2"/>
      </tp>
      <tp>
        <v>19.8</v>
        <stp/>
        <stp>ASK</stp>
        <stp>.NDXP250507C20075</stp>
        <tr r="DC152" s="1"/>
        <tr r="DC152" s="1"/>
      </tp>
      <tp>
        <v>19.8</v>
        <stp/>
        <stp>ASK</stp>
        <stp>.NDXP250507C20050</stp>
        <tr r="DC153" s="1"/>
        <tr r="DC153" s="1"/>
      </tp>
      <tp>
        <v>19.8</v>
        <stp/>
        <stp>ASK</stp>
        <stp>.NDXP250507C20025</stp>
        <tr r="DC154" s="1"/>
        <tr r="DC154" s="1"/>
      </tp>
      <tp>
        <v>0.05</v>
        <stp/>
        <stp>ASK</stp>
        <stp>.NDXP250507C20000</stp>
        <tr r="DC155" s="1"/>
        <tr r="DC155" s="1"/>
      </tp>
      <tp>
        <v>194</v>
        <stp/>
        <stp>ASK</stp>
        <stp>.NDXP250507P20050</stp>
        <tr r="DD153" s="1"/>
        <tr r="DD153" s="1"/>
      </tp>
      <tp>
        <v>219.7</v>
        <stp/>
        <stp>ASK</stp>
        <stp>.NDXP250507P20075</stp>
        <tr r="DD152" s="1"/>
        <tr r="DD152" s="1"/>
      </tp>
      <tp>
        <v>144</v>
        <stp/>
        <stp>ASK</stp>
        <stp>.NDXP250507P20000</stp>
        <tr r="DD155" s="1"/>
        <tr r="DD155" s="1"/>
      </tp>
      <tp>
        <v>170</v>
        <stp/>
        <stp>ASK</stp>
        <stp>.NDXP250507P20025</stp>
        <tr r="DD154" s="1"/>
        <tr r="DD154" s="1"/>
      </tp>
      <tp>
        <v>728</v>
        <stp/>
        <stp>ASK</stp>
        <stp>.NDXP250507C19175</stp>
        <tr r="DC188" s="1"/>
        <tr r="DC188" s="1"/>
      </tp>
      <tp>
        <v>19.8</v>
        <stp/>
        <stp>ASK</stp>
        <stp>.NDXP250507C20175</stp>
        <tr r="DC148" s="1"/>
        <tr r="DC148" s="1"/>
      </tp>
      <tp>
        <v>753</v>
        <stp/>
        <stp>ASK</stp>
        <stp>.NDXP250507C19150</stp>
        <tr r="DC189" s="1"/>
        <tr r="DC189" s="1"/>
      </tp>
      <tp>
        <v>19.8</v>
        <stp/>
        <stp>ASK</stp>
        <stp>.NDXP250507C20150</stp>
        <tr r="DC149" s="1"/>
        <tr r="DC149" s="1"/>
      </tp>
      <tp>
        <v>19.8</v>
        <stp/>
        <stp>ASK</stp>
        <stp>.NDXP250507C20125</stp>
        <tr r="DC150" s="1"/>
        <tr r="DC150" s="1"/>
      </tp>
      <tp>
        <v>3</v>
        <stp/>
        <stp>ASK</stp>
        <stp>.NDXP250507C20100</stp>
        <tr r="DC151" s="1"/>
        <tr r="DC151" s="1"/>
      </tp>
      <tp>
        <v>15</v>
        <stp/>
        <stp>ASK</stp>
        <stp>.NDXP250507P19150</stp>
        <tr r="DD189" s="1"/>
        <tr r="DD189" s="1"/>
      </tp>
      <tp>
        <v>308.7</v>
        <stp/>
        <stp>ASK</stp>
        <stp>.NDXP250507P20150</stp>
        <tr r="DD149" s="1"/>
        <tr r="DD149" s="1"/>
      </tp>
      <tp>
        <v>19.8</v>
        <stp/>
        <stp>ASK</stp>
        <stp>.NDXP250507P19175</stp>
        <tr r="DD188" s="1"/>
        <tr r="DD188" s="1"/>
      </tp>
      <tp>
        <v>333.7</v>
        <stp/>
        <stp>ASK</stp>
        <stp>.NDXP250507P20175</stp>
        <tr r="DD148" s="1"/>
        <tr r="DD148" s="1"/>
      </tp>
      <tp>
        <v>260</v>
        <stp/>
        <stp>ASK</stp>
        <stp>.NDXP250507P20100</stp>
        <tr r="DD151" s="1"/>
        <tr r="DD151" s="1"/>
      </tp>
      <tp>
        <v>283.5</v>
        <stp/>
        <stp>ASK</stp>
        <stp>.NDXP250507P20125</stp>
        <tr r="DD150" s="1"/>
        <tr r="DD150" s="1"/>
      </tp>
      <tp>
        <v>628</v>
        <stp/>
        <stp>ASK</stp>
        <stp>.NDXP250507C19275</stp>
        <tr r="DC184" s="1"/>
        <tr r="DC184" s="1"/>
      </tp>
      <tp>
        <v>5.0999999999999996</v>
        <stp/>
        <stp>ASK</stp>
        <stp>.NDXP250507C20275</stp>
        <tr r="DC144" s="1"/>
        <tr r="DC144" s="1"/>
      </tp>
      <tp>
        <v>653</v>
        <stp/>
        <stp>ASK</stp>
        <stp>.NDXP250507C19250</stp>
        <tr r="DC185" s="1"/>
        <tr r="DC185" s="1"/>
      </tp>
      <tp>
        <v>0.5</v>
        <stp/>
        <stp>ASK</stp>
        <stp>.NDXP250507C20250</stp>
        <tr r="DC145" s="1"/>
        <tr r="DC145" s="1"/>
      </tp>
      <tp>
        <v>678</v>
        <stp/>
        <stp>ASK</stp>
        <stp>.NDXP250507C19225</stp>
        <tr r="DC186" s="1"/>
        <tr r="DC186" s="1"/>
      </tp>
      <tp>
        <v>19.8</v>
        <stp/>
        <stp>ASK</stp>
        <stp>.NDXP250507C20225</stp>
        <tr r="DC146" s="1"/>
        <tr r="DC146" s="1"/>
      </tp>
      <tp>
        <v>703</v>
        <stp/>
        <stp>ASK</stp>
        <stp>.NDXP250507C19200</stp>
        <tr r="DC187" s="1"/>
        <tr r="DC187" s="1"/>
      </tp>
      <tp>
        <v>0.5</v>
        <stp/>
        <stp>ASK</stp>
        <stp>.NDXP250507C20200</stp>
        <tr r="DC147" s="1"/>
        <tr r="DC147" s="1"/>
      </tp>
      <tp>
        <v>19.8</v>
        <stp/>
        <stp>ASK</stp>
        <stp>.NDXP250507P19250</stp>
        <tr r="DD185" s="1"/>
        <tr r="DD185" s="1"/>
      </tp>
      <tp>
        <v>409.7</v>
        <stp/>
        <stp>ASK</stp>
        <stp>.NDXP250507P20250</stp>
        <tr r="DD145" s="1"/>
        <tr r="DD145" s="1"/>
      </tp>
      <tp>
        <v>9.6</v>
        <stp/>
        <stp>ASK</stp>
        <stp>.NDXP250507P19275</stp>
        <tr r="DD184" s="1"/>
        <tr r="DD184" s="1"/>
      </tp>
      <tp>
        <v>428.7</v>
        <stp/>
        <stp>ASK</stp>
        <stp>.NDXP250507P20275</stp>
        <tr r="DD144" s="1"/>
        <tr r="DD144" s="1"/>
      </tp>
      <tp>
        <v>0.05</v>
        <stp/>
        <stp>ASK</stp>
        <stp>.NDXP250507P19200</stp>
        <tr r="DD187" s="1"/>
        <tr r="DD187" s="1"/>
      </tp>
      <tp>
        <v>358.7</v>
        <stp/>
        <stp>ASK</stp>
        <stp>.NDXP250507P20200</stp>
        <tr r="DD147" s="1"/>
        <tr r="DD147" s="1"/>
      </tp>
      <tp>
        <v>0.05</v>
        <stp/>
        <stp>ASK</stp>
        <stp>.NDXP250507P19225</stp>
        <tr r="DD186" s="1"/>
        <tr r="DD186" s="1"/>
      </tp>
      <tp>
        <v>383.7</v>
        <stp/>
        <stp>ASK</stp>
        <stp>.NDXP250507P20225</stp>
        <tr r="DD146" s="1"/>
        <tr r="DD146" s="1"/>
      </tp>
      <tp>
        <v>527.79999999999995</v>
        <stp/>
        <stp>ASK</stp>
        <stp>.NDXP250507C19375</stp>
        <tr r="DC180" s="1"/>
        <tr r="DC180" s="1"/>
      </tp>
      <tp>
        <v>0.3</v>
        <stp/>
        <stp>ASK</stp>
        <stp>.NDXP250507C20375</stp>
        <tr r="DC140" s="1"/>
        <tr r="DC140" s="1"/>
      </tp>
      <tp>
        <v>556</v>
        <stp/>
        <stp>ASK</stp>
        <stp>.NDXP250507C19350</stp>
        <tr r="DC181" s="1"/>
        <tr r="DC181" s="1"/>
      </tp>
      <tp>
        <v>0.5</v>
        <stp/>
        <stp>ASK</stp>
        <stp>.NDXP250507C20350</stp>
        <tr r="DC141" s="1"/>
        <tr r="DC141" s="1"/>
      </tp>
      <tp>
        <v>582</v>
        <stp/>
        <stp>ASK</stp>
        <stp>.NDXP250507C19325</stp>
        <tr r="DC182" s="1"/>
        <tr r="DC182" s="1"/>
      </tp>
      <tp>
        <v>19.8</v>
        <stp/>
        <stp>ASK</stp>
        <stp>.NDXP250507C20325</stp>
        <tr r="DC142" s="1"/>
        <tr r="DC142" s="1"/>
      </tp>
      <tp>
        <v>603</v>
        <stp/>
        <stp>ASK</stp>
        <stp>.NDXP250507C19300</stp>
        <tr r="DC183" s="1"/>
        <tr r="DC183" s="1"/>
      </tp>
      <tp>
        <v>0.1</v>
        <stp/>
        <stp>ASK</stp>
        <stp>.NDXP250507C20300</stp>
        <tr r="DC143" s="1"/>
        <tr r="DC143" s="1"/>
      </tp>
      <tp>
        <v>19.8</v>
        <stp/>
        <stp>ASK</stp>
        <stp>.NDXP250507P19350</stp>
        <tr r="DD181" s="1"/>
        <tr r="DD181" s="1"/>
      </tp>
      <tp>
        <v>524</v>
        <stp/>
        <stp>ASK</stp>
        <stp>.NDXP250507P20350</stp>
        <tr r="DD141" s="1"/>
        <tr r="DD141" s="1"/>
      </tp>
      <tp>
        <v>19.8</v>
        <stp/>
        <stp>ASK</stp>
        <stp>.NDXP250507P19375</stp>
        <tr r="DD180" s="1"/>
        <tr r="DD180" s="1"/>
      </tp>
      <tp>
        <v>550</v>
        <stp/>
        <stp>ASK</stp>
        <stp>.NDXP250507P20375</stp>
        <tr r="DD140" s="1"/>
        <tr r="DD140" s="1"/>
      </tp>
      <tp>
        <v>3.6</v>
        <stp/>
        <stp>ASK</stp>
        <stp>.NDXP250507P19300</stp>
        <tr r="DD183" s="1"/>
        <tr r="DD183" s="1"/>
      </tp>
      <tp>
        <v>452.5</v>
        <stp/>
        <stp>ASK</stp>
        <stp>.NDXP250507P20300</stp>
        <tr r="DD143" s="1"/>
        <tr r="DD143" s="1"/>
      </tp>
      <tp>
        <v>19.8</v>
        <stp/>
        <stp>ASK</stp>
        <stp>.NDXP250507P19325</stp>
        <tr r="DD182" s="1"/>
        <tr r="DD182" s="1"/>
      </tp>
      <tp>
        <v>500</v>
        <stp/>
        <stp>ASK</stp>
        <stp>.NDXP250507P20325</stp>
        <tr r="DD142" s="1"/>
        <tr r="DD142" s="1"/>
      </tp>
      <tp>
        <v>0</v>
        <stp/>
        <stp>BID</stp>
        <stp>.NDXP250507C20375</stp>
        <tr r="DE140" s="1"/>
        <tr r="DE140" s="1"/>
      </tp>
      <tp>
        <v>452</v>
        <stp/>
        <stp>BID</stp>
        <stp>.NDXP250507C19375</stp>
        <tr r="DE180" s="1"/>
        <tr r="DE180" s="1"/>
      </tp>
      <tp>
        <v>0</v>
        <stp/>
        <stp>BID</stp>
        <stp>.NDXP250507C20350</stp>
        <tr r="DE141" s="1"/>
        <tr r="DE141" s="1"/>
      </tp>
      <tp>
        <v>489.7</v>
        <stp/>
        <stp>BID</stp>
        <stp>.NDXP250507C19350</stp>
        <tr r="DE181" s="1"/>
        <tr r="DE181" s="1"/>
      </tp>
      <tp>
        <v>0</v>
        <stp/>
        <stp>BID</stp>
        <stp>.NDXP250507C20325</stp>
        <tr r="DE142" s="1"/>
        <tr r="DE142" s="1"/>
      </tp>
      <tp>
        <v>516.79999999999995</v>
        <stp/>
        <stp>BID</stp>
        <stp>.NDXP250507C19325</stp>
        <tr r="DE182" s="1"/>
        <tr r="DE182" s="1"/>
      </tp>
      <tp>
        <v>0</v>
        <stp/>
        <stp>BID</stp>
        <stp>.NDXP250507C20300</stp>
        <tr r="DE143" s="1"/>
        <tr r="DE143" s="1"/>
      </tp>
      <tp>
        <v>526</v>
        <stp/>
        <stp>BID</stp>
        <stp>.NDXP250507C19300</stp>
        <tr r="DE183" s="1"/>
        <tr r="DE183" s="1"/>
      </tp>
      <tp>
        <v>445.1</v>
        <stp/>
        <stp>BID</stp>
        <stp>.NDXP250507P20350</stp>
        <tr r="DF141" s="1"/>
        <tr r="DF141" s="1"/>
      </tp>
      <tp>
        <v>0</v>
        <stp/>
        <stp>BID</stp>
        <stp>.NDXP250507P19350</stp>
        <tr r="DF181" s="1"/>
        <tr r="DF181" s="1"/>
      </tp>
      <tp>
        <v>470.1</v>
        <stp/>
        <stp>BID</stp>
        <stp>.NDXP250507P20375</stp>
        <tr r="DF140" s="1"/>
        <tr r="DF140" s="1"/>
      </tp>
      <tp>
        <v>0</v>
        <stp/>
        <stp>BID</stp>
        <stp>.NDXP250507P19375</stp>
        <tr r="DF180" s="1"/>
        <tr r="DF180" s="1"/>
      </tp>
      <tp>
        <v>402.5</v>
        <stp/>
        <stp>BID</stp>
        <stp>.NDXP250507P20300</stp>
        <tr r="DF143" s="1"/>
        <tr r="DF143" s="1"/>
      </tp>
      <tp>
        <v>0</v>
        <stp/>
        <stp>BID</stp>
        <stp>.NDXP250507P19300</stp>
        <tr r="DF183" s="1"/>
        <tr r="DF183" s="1"/>
      </tp>
      <tp>
        <v>420.1</v>
        <stp/>
        <stp>BID</stp>
        <stp>.NDXP250507P20325</stp>
        <tr r="DF142" s="1"/>
        <tr r="DF142" s="1"/>
      </tp>
      <tp>
        <v>0</v>
        <stp/>
        <stp>BID</stp>
        <stp>.NDXP250507P19325</stp>
        <tr r="DF182" s="1"/>
        <tr r="DF182" s="1"/>
      </tp>
      <tp t="s">
        <v>N/A</v>
        <stp/>
        <stp>VOLUME</stp>
        <stp>.NDXPP19375</stp>
        <tr r="E181" s="2"/>
        <tr r="G181" s="2"/>
        <tr r="B181" s="2"/>
        <tr r="C181" s="2"/>
        <tr r="D181" s="2"/>
        <tr r="F181" s="2"/>
      </tp>
      <tp t="s">
        <v>N/A</v>
        <stp/>
        <stp>VOLUME</stp>
        <stp>.NDXPP20375</stp>
        <tr r="G141" s="2"/>
        <tr r="F141" s="2"/>
        <tr r="E141" s="2"/>
        <tr r="D141" s="2"/>
        <tr r="C141" s="2"/>
        <tr r="B141" s="2"/>
      </tp>
      <tp t="s">
        <v>N/A</v>
        <stp/>
        <stp>VOLUME</stp>
        <stp>.NDXPP19350</stp>
        <tr r="D182" s="2"/>
        <tr r="B182" s="2"/>
        <tr r="F182" s="2"/>
        <tr r="G182" s="2"/>
        <tr r="E182" s="2"/>
        <tr r="C182" s="2"/>
      </tp>
      <tp t="s">
        <v>N/A</v>
        <stp/>
        <stp>VOLUME</stp>
        <stp>.NDXPP20350</stp>
        <tr r="G142" s="2"/>
        <tr r="F142" s="2"/>
        <tr r="E142" s="2"/>
        <tr r="D142" s="2"/>
        <tr r="B142" s="2"/>
        <tr r="C142" s="2"/>
      </tp>
      <tp t="s">
        <v>N/A</v>
        <stp/>
        <stp>VOLUME</stp>
        <stp>.NDXPP19325</stp>
        <tr r="E183" s="2"/>
        <tr r="G183" s="2"/>
        <tr r="F183" s="2"/>
        <tr r="D183" s="2"/>
        <tr r="B183" s="2"/>
        <tr r="C183" s="2"/>
      </tp>
      <tp t="s">
        <v>N/A</v>
        <stp/>
        <stp>VOLUME</stp>
        <stp>.NDXPP20325</stp>
        <tr r="G143" s="2"/>
        <tr r="F143" s="2"/>
        <tr r="E143" s="2"/>
        <tr r="D143" s="2"/>
        <tr r="B143" s="2"/>
        <tr r="C143" s="2"/>
      </tp>
      <tp t="s">
        <v>N/A</v>
        <stp/>
        <stp>VOLUME</stp>
        <stp>.NDXPP19300</stp>
        <tr r="D184" s="2"/>
        <tr r="C184" s="2"/>
        <tr r="G184" s="2"/>
        <tr r="E184" s="2"/>
        <tr r="F184" s="2"/>
        <tr r="B184" s="2"/>
      </tp>
      <tp t="s">
        <v>N/A</v>
        <stp/>
        <stp>VOLUME</stp>
        <stp>.NDXPP20300</stp>
        <tr r="G144" s="2"/>
        <tr r="F144" s="2"/>
        <tr r="D144" s="2"/>
        <tr r="E144" s="2"/>
        <tr r="B144" s="2"/>
        <tr r="C144" s="2"/>
      </tp>
      <tp t="s">
        <v>N/A</v>
        <stp/>
        <stp>VOLUME</stp>
        <stp>.NDXPC19350</stp>
        <tr r="D182" s="2"/>
        <tr r="B182" s="2"/>
        <tr r="F182" s="2"/>
        <tr r="G182" s="2"/>
        <tr r="E182" s="2"/>
        <tr r="C182" s="2"/>
      </tp>
      <tp t="s">
        <v>N/A</v>
        <stp/>
        <stp>VOLUME</stp>
        <stp>.NDXPC20350</stp>
        <tr r="G142" s="2"/>
        <tr r="F142" s="2"/>
        <tr r="E142" s="2"/>
        <tr r="D142" s="2"/>
        <tr r="B142" s="2"/>
        <tr r="C142" s="2"/>
      </tp>
      <tp t="s">
        <v>N/A</v>
        <stp/>
        <stp>VOLUME</stp>
        <stp>.NDXPC19375</stp>
        <tr r="E181" s="2"/>
        <tr r="G181" s="2"/>
        <tr r="B181" s="2"/>
        <tr r="C181" s="2"/>
        <tr r="D181" s="2"/>
        <tr r="F181" s="2"/>
      </tp>
      <tp t="s">
        <v>N/A</v>
        <stp/>
        <stp>VOLUME</stp>
        <stp>.NDXPC20375</stp>
        <tr r="G141" s="2"/>
        <tr r="F141" s="2"/>
        <tr r="E141" s="2"/>
        <tr r="D141" s="2"/>
        <tr r="C141" s="2"/>
        <tr r="B141" s="2"/>
      </tp>
      <tp t="s">
        <v>N/A</v>
        <stp/>
        <stp>VOLUME</stp>
        <stp>.NDXPC19300</stp>
        <tr r="D184" s="2"/>
        <tr r="C184" s="2"/>
        <tr r="G184" s="2"/>
        <tr r="E184" s="2"/>
        <tr r="F184" s="2"/>
        <tr r="B184" s="2"/>
      </tp>
      <tp t="s">
        <v>N/A</v>
        <stp/>
        <stp>VOLUME</stp>
        <stp>.NDXPC20300</stp>
        <tr r="G144" s="2"/>
        <tr r="F144" s="2"/>
        <tr r="D144" s="2"/>
        <tr r="E144" s="2"/>
        <tr r="B144" s="2"/>
        <tr r="C144" s="2"/>
      </tp>
      <tp>
        <v>19867.973000000002</v>
        <stp/>
        <stp>MARK</stp>
        <stp>NDX</stp>
        <tr r="E134" s="1"/>
      </tp>
      <tp t="s">
        <v>N/A</v>
        <stp/>
        <stp>VOLUME</stp>
        <stp>.NDXPC19325</stp>
        <tr r="E183" s="2"/>
        <tr r="G183" s="2"/>
        <tr r="F183" s="2"/>
        <tr r="D183" s="2"/>
        <tr r="B183" s="2"/>
        <tr r="C183" s="2"/>
      </tp>
      <tp t="s">
        <v>N/A</v>
        <stp/>
        <stp>VOLUME</stp>
        <stp>.NDXPC20325</stp>
        <tr r="G143" s="2"/>
        <tr r="F143" s="2"/>
        <tr r="E143" s="2"/>
        <tr r="D143" s="2"/>
        <tr r="B143" s="2"/>
        <tr r="C143" s="2"/>
      </tp>
      <tp>
        <v>0</v>
        <stp/>
        <stp>BID</stp>
        <stp>.NDXP250507C20275</stp>
        <tr r="DE144" s="1"/>
        <tr r="DE144" s="1"/>
      </tp>
      <tp>
        <v>552</v>
        <stp/>
        <stp>BID</stp>
        <stp>.NDXP250507C19275</stp>
        <tr r="DE184" s="1"/>
        <tr r="DE184" s="1"/>
      </tp>
      <tp>
        <v>0</v>
        <stp/>
        <stp>BID</stp>
        <stp>.NDXP250507C20250</stp>
        <tr r="DE145" s="1"/>
        <tr r="DE145" s="1"/>
      </tp>
      <tp>
        <v>576</v>
        <stp/>
        <stp>BID</stp>
        <stp>.NDXP250507C19250</stp>
        <tr r="DE185" s="1"/>
        <tr r="DE185" s="1"/>
      </tp>
      <tp>
        <v>0</v>
        <stp/>
        <stp>BID</stp>
        <stp>.NDXP250507C20225</stp>
        <tr r="DE146" s="1"/>
        <tr r="DE146" s="1"/>
      </tp>
      <tp>
        <v>602</v>
        <stp/>
        <stp>BID</stp>
        <stp>.NDXP250507C19225</stp>
        <tr r="DE186" s="1"/>
        <tr r="DE186" s="1"/>
      </tp>
      <tp>
        <v>0</v>
        <stp/>
        <stp>BID</stp>
        <stp>.NDXP250507C20200</stp>
        <tr r="DE147" s="1"/>
        <tr r="DE147" s="1"/>
      </tp>
      <tp>
        <v>626</v>
        <stp/>
        <stp>BID</stp>
        <stp>.NDXP250507C19200</stp>
        <tr r="DE187" s="1"/>
        <tr r="DE187" s="1"/>
      </tp>
      <tp>
        <v>359.7</v>
        <stp/>
        <stp>BID</stp>
        <stp>.NDXP250507P20250</stp>
        <tr r="DF145" s="1"/>
        <tr r="DF145" s="1"/>
      </tp>
      <tp>
        <v>0</v>
        <stp/>
        <stp>BID</stp>
        <stp>.NDXP250507P19250</stp>
        <tr r="DF185" s="1"/>
        <tr r="DF185" s="1"/>
      </tp>
      <tp>
        <v>384</v>
        <stp/>
        <stp>BID</stp>
        <stp>.NDXP250507P20275</stp>
        <tr r="DF144" s="1"/>
        <tr r="DF144" s="1"/>
      </tp>
      <tp>
        <v>0</v>
        <stp/>
        <stp>BID</stp>
        <stp>.NDXP250507P19275</stp>
        <tr r="DF184" s="1"/>
        <tr r="DF184" s="1"/>
      </tp>
      <tp>
        <v>310</v>
        <stp/>
        <stp>BID</stp>
        <stp>.NDXP250507P20200</stp>
        <tr r="DF147" s="1"/>
        <tr r="DF147" s="1"/>
      </tp>
      <tp>
        <v>0</v>
        <stp/>
        <stp>BID</stp>
        <stp>.NDXP250507P19200</stp>
        <tr r="DF187" s="1"/>
        <tr r="DF187" s="1"/>
      </tp>
      <tp>
        <v>334</v>
        <stp/>
        <stp>BID</stp>
        <stp>.NDXP250507P20225</stp>
        <tr r="DF146" s="1"/>
        <tr r="DF146" s="1"/>
      </tp>
      <tp>
        <v>0</v>
        <stp/>
        <stp>BID</stp>
        <stp>.NDXP250507P19225</stp>
        <tr r="DF186" s="1"/>
        <tr r="DF186" s="1"/>
      </tp>
      <tp t="s">
        <v>N/A</v>
        <stp/>
        <stp>VOLUME</stp>
        <stp>.NDXPP19275</stp>
        <tr r="E185" s="2"/>
        <tr r="C185" s="2"/>
        <tr r="G185" s="2"/>
        <tr r="F185" s="2"/>
        <tr r="D185" s="2"/>
        <tr r="B185" s="2"/>
      </tp>
      <tp t="s">
        <v>N/A</v>
        <stp/>
        <stp>VOLUME</stp>
        <stp>.NDXPP20275</stp>
        <tr r="G145" s="2"/>
        <tr r="C145" s="2"/>
        <tr r="D145" s="2"/>
        <tr r="B145" s="2"/>
        <tr r="F145" s="2"/>
        <tr r="E145" s="2"/>
      </tp>
      <tp t="s">
        <v>N/A</v>
        <stp/>
        <stp>VOLUME</stp>
        <stp>.NDXPP19250</stp>
        <tr r="D186" s="2"/>
        <tr r="B186" s="2"/>
        <tr r="F186" s="2"/>
        <tr r="C186" s="2"/>
        <tr r="E186" s="2"/>
        <tr r="G186" s="2"/>
      </tp>
      <tp t="s">
        <v>N/A</v>
        <stp/>
        <stp>VOLUME</stp>
        <stp>.NDXPP20250</stp>
        <tr r="B146" s="2"/>
        <tr r="G146" s="2"/>
        <tr r="C146" s="2"/>
        <tr r="F146" s="2"/>
        <tr r="E146" s="2"/>
        <tr r="D146" s="2"/>
      </tp>
      <tp t="s">
        <v>N/A</v>
        <stp/>
        <stp>VOLUME</stp>
        <stp>.NDXPP19225</stp>
        <tr r="C187" s="2"/>
        <tr r="F187" s="2"/>
        <tr r="B187" s="2"/>
        <tr r="D187" s="2"/>
        <tr r="E187" s="2"/>
        <tr r="G187" s="2"/>
      </tp>
      <tp t="s">
        <v>N/A</v>
        <stp/>
        <stp>VOLUME</stp>
        <stp>.NDXPP20225</stp>
        <tr r="E147" s="2"/>
        <tr r="D147" s="2"/>
        <tr r="C147" s="2"/>
        <tr r="F147" s="2"/>
        <tr r="G147" s="2"/>
        <tr r="B147" s="2"/>
      </tp>
      <tp t="s">
        <v>N/A</v>
        <stp/>
        <stp>VOLUME</stp>
        <stp>.NDXPP19200</stp>
        <tr r="D188" s="2"/>
        <tr r="E188" s="2"/>
        <tr r="C188" s="2"/>
        <tr r="B188" s="2"/>
        <tr r="G188" s="2"/>
        <tr r="F188" s="2"/>
      </tp>
      <tp t="s">
        <v>N/A</v>
        <stp/>
        <stp>VOLUME</stp>
        <stp>.NDXPP20200</stp>
        <tr r="F148" s="2"/>
        <tr r="C148" s="2"/>
        <tr r="B148" s="2"/>
        <tr r="G148" s="2"/>
        <tr r="E148" s="2"/>
        <tr r="D148" s="2"/>
      </tp>
      <tp t="s">
        <v>N/A</v>
        <stp/>
        <stp>VOLUME</stp>
        <stp>.NDXPC19250</stp>
        <tr r="D186" s="2"/>
        <tr r="B186" s="2"/>
        <tr r="F186" s="2"/>
        <tr r="C186" s="2"/>
        <tr r="E186" s="2"/>
        <tr r="G186" s="2"/>
      </tp>
      <tp t="s">
        <v>N/A</v>
        <stp/>
        <stp>VOLUME</stp>
        <stp>.NDXPC20250</stp>
        <tr r="B146" s="2"/>
        <tr r="G146" s="2"/>
        <tr r="C146" s="2"/>
        <tr r="F146" s="2"/>
        <tr r="E146" s="2"/>
        <tr r="D146" s="2"/>
      </tp>
      <tp t="s">
        <v>N/A</v>
        <stp/>
        <stp>VOLUME</stp>
        <stp>.NDXPC19275</stp>
        <tr r="E185" s="2"/>
        <tr r="C185" s="2"/>
        <tr r="G185" s="2"/>
        <tr r="F185" s="2"/>
        <tr r="D185" s="2"/>
        <tr r="B185" s="2"/>
      </tp>
      <tp t="s">
        <v>N/A</v>
        <stp/>
        <stp>VOLUME</stp>
        <stp>.NDXPC20275</stp>
        <tr r="G145" s="2"/>
        <tr r="C145" s="2"/>
        <tr r="D145" s="2"/>
        <tr r="B145" s="2"/>
        <tr r="F145" s="2"/>
        <tr r="E145" s="2"/>
      </tp>
      <tp t="s">
        <v>N/A</v>
        <stp/>
        <stp>VOLUME</stp>
        <stp>.NDXPC19200</stp>
        <tr r="D188" s="2"/>
        <tr r="E188" s="2"/>
        <tr r="C188" s="2"/>
        <tr r="B188" s="2"/>
        <tr r="G188" s="2"/>
        <tr r="F188" s="2"/>
      </tp>
      <tp t="s">
        <v>N/A</v>
        <stp/>
        <stp>VOLUME</stp>
        <stp>.NDXPC20200</stp>
        <tr r="F148" s="2"/>
        <tr r="C148" s="2"/>
        <tr r="B148" s="2"/>
        <tr r="G148" s="2"/>
        <tr r="E148" s="2"/>
        <tr r="D148" s="2"/>
      </tp>
      <tp t="s">
        <v>N/A</v>
        <stp/>
        <stp>VOLUME</stp>
        <stp>.NDXPC19225</stp>
        <tr r="C187" s="2"/>
        <tr r="F187" s="2"/>
        <tr r="B187" s="2"/>
        <tr r="D187" s="2"/>
        <tr r="E187" s="2"/>
        <tr r="G187" s="2"/>
      </tp>
      <tp t="s">
        <v>N/A</v>
        <stp/>
        <stp>VOLUME</stp>
        <stp>.NDXPC20225</stp>
        <tr r="E147" s="2"/>
        <tr r="D147" s="2"/>
        <tr r="C147" s="2"/>
        <tr r="F147" s="2"/>
        <tr r="G147" s="2"/>
        <tr r="B147" s="2"/>
      </tp>
      <tp>
        <v>0</v>
        <stp/>
        <stp>BID</stp>
        <stp>.NDXP250507C20175</stp>
        <tr r="DE148" s="1"/>
        <tr r="DE148" s="1"/>
      </tp>
      <tp>
        <v>652</v>
        <stp/>
        <stp>BID</stp>
        <stp>.NDXP250507C19175</stp>
        <tr r="DE188" s="1"/>
        <tr r="DE188" s="1"/>
      </tp>
      <tp>
        <v>0</v>
        <stp/>
        <stp>BID</stp>
        <stp>.NDXP250507C20150</stp>
        <tr r="DE149" s="1"/>
        <tr r="DE149" s="1"/>
      </tp>
      <tp>
        <v>676</v>
        <stp/>
        <stp>BID</stp>
        <stp>.NDXP250507C19150</stp>
        <tr r="DE189" s="1"/>
        <tr r="DE189" s="1"/>
      </tp>
      <tp>
        <v>0</v>
        <stp/>
        <stp>BID</stp>
        <stp>.NDXP250507C20125</stp>
        <tr r="DE150" s="1"/>
        <tr r="DE150" s="1"/>
      </tp>
      <tp>
        <v>0</v>
        <stp/>
        <stp>BID</stp>
        <stp>.NDXP250507C20100</stp>
        <tr r="DE151" s="1"/>
        <tr r="DE151" s="1"/>
      </tp>
      <tp>
        <v>260</v>
        <stp/>
        <stp>BID</stp>
        <stp>.NDXP250507P20150</stp>
        <tr r="DF149" s="1"/>
        <tr r="DF149" s="1"/>
      </tp>
      <tp>
        <v>0</v>
        <stp/>
        <stp>BID</stp>
        <stp>.NDXP250507P19150</stp>
        <tr r="DF189" s="1"/>
        <tr r="DF189" s="1"/>
      </tp>
      <tp>
        <v>284</v>
        <stp/>
        <stp>BID</stp>
        <stp>.NDXP250507P20175</stp>
        <tr r="DF148" s="1"/>
        <tr r="DF148" s="1"/>
      </tp>
      <tp>
        <v>0</v>
        <stp/>
        <stp>BID</stp>
        <stp>.NDXP250507P19175</stp>
        <tr r="DF188" s="1"/>
        <tr r="DF188" s="1"/>
      </tp>
      <tp>
        <v>212.6</v>
        <stp/>
        <stp>BID</stp>
        <stp>.NDXP250507P20100</stp>
        <tr r="DF151" s="1"/>
        <tr r="DF151" s="1"/>
      </tp>
      <tp>
        <v>234</v>
        <stp/>
        <stp>BID</stp>
        <stp>.NDXP250507P20125</stp>
        <tr r="DF150" s="1"/>
        <tr r="DF150" s="1"/>
      </tp>
      <tp t="s">
        <v>N/A</v>
        <stp/>
        <stp>VOLUME</stp>
        <stp>.NDXPP19175</stp>
        <tr r="C189" s="2"/>
        <tr r="G189" s="2"/>
        <tr r="E189" s="2"/>
        <tr r="B189" s="2"/>
        <tr r="D189" s="2"/>
        <tr r="F189" s="2"/>
      </tp>
      <tp t="s">
        <v>N/A</v>
        <stp/>
        <stp>VOLUME</stp>
        <stp>.NDXPP20175</stp>
        <tr r="F149" s="2"/>
        <tr r="G149" s="2"/>
        <tr r="C149" s="2"/>
        <tr r="D149" s="2"/>
        <tr r="B149" s="2"/>
        <tr r="E149" s="2"/>
      </tp>
      <tp t="s">
        <v>N/A</v>
        <stp/>
        <stp>VOLUME</stp>
        <stp>.NDXPP19150</stp>
        <tr r="E190" s="2"/>
        <tr r="B190" s="2"/>
        <tr r="G190" s="2"/>
        <tr r="F190" s="2"/>
        <tr r="D190" s="2"/>
        <tr r="C190" s="2"/>
      </tp>
      <tp t="s">
        <v>N/A</v>
        <stp/>
        <stp>VOLUME</stp>
        <stp>.NDXPP20150</stp>
        <tr r="D150" s="2"/>
        <tr r="C150" s="2"/>
        <tr r="E150" s="2"/>
        <tr r="G150" s="2"/>
        <tr r="F150" s="2"/>
        <tr r="B150" s="2"/>
      </tp>
      <tp t="s">
        <v>N/A</v>
        <stp/>
        <stp>VOLUME</stp>
        <stp>.NDXPP20125</stp>
        <tr r="G151" s="2"/>
        <tr r="D151" s="2"/>
        <tr r="C151" s="2"/>
        <tr r="B151" s="2"/>
        <tr r="F151" s="2"/>
        <tr r="E151" s="2"/>
      </tp>
      <tp t="s">
        <v>N/A</v>
        <stp/>
        <stp>VOLUME</stp>
        <stp>.NDXPP20100</stp>
        <tr r="E152" s="2"/>
        <tr r="F152" s="2"/>
        <tr r="C152" s="2"/>
        <tr r="G152" s="2"/>
        <tr r="D152" s="2"/>
        <tr r="B152" s="2"/>
      </tp>
      <tp t="s">
        <v>N/A</v>
        <stp/>
        <stp>VOLUME</stp>
        <stp>.NDXPC19150</stp>
        <tr r="E190" s="2"/>
        <tr r="B190" s="2"/>
        <tr r="G190" s="2"/>
        <tr r="F190" s="2"/>
        <tr r="D190" s="2"/>
        <tr r="C190" s="2"/>
      </tp>
      <tp t="s">
        <v>N/A</v>
        <stp/>
        <stp>VOLUME</stp>
        <stp>.NDXPC20150</stp>
        <tr r="D150" s="2"/>
        <tr r="C150" s="2"/>
        <tr r="E150" s="2"/>
        <tr r="G150" s="2"/>
        <tr r="F150" s="2"/>
        <tr r="B150" s="2"/>
      </tp>
      <tp t="s">
        <v>N/A</v>
        <stp/>
        <stp>VOLUME</stp>
        <stp>.NDXPC19175</stp>
        <tr r="C189" s="2"/>
        <tr r="G189" s="2"/>
        <tr r="E189" s="2"/>
        <tr r="B189" s="2"/>
        <tr r="D189" s="2"/>
        <tr r="F189" s="2"/>
      </tp>
      <tp t="s">
        <v>N/A</v>
        <stp/>
        <stp>VOLUME</stp>
        <stp>.NDXPC20175</stp>
        <tr r="F149" s="2"/>
        <tr r="G149" s="2"/>
        <tr r="C149" s="2"/>
        <tr r="D149" s="2"/>
        <tr r="B149" s="2"/>
        <tr r="E149" s="2"/>
      </tp>
      <tp t="s">
        <v>N/A</v>
        <stp/>
        <stp>VOLUME</stp>
        <stp>.NDXPC20100</stp>
        <tr r="E152" s="2"/>
        <tr r="F152" s="2"/>
        <tr r="C152" s="2"/>
        <tr r="G152" s="2"/>
        <tr r="D152" s="2"/>
        <tr r="B152" s="2"/>
      </tp>
      <tp t="s">
        <v>N/A</v>
        <stp/>
        <stp>VOLUME</stp>
        <stp>.NDXPC20125</stp>
        <tr r="G151" s="2"/>
        <tr r="D151" s="2"/>
        <tr r="C151" s="2"/>
        <tr r="B151" s="2"/>
        <tr r="F151" s="2"/>
        <tr r="E151" s="2"/>
      </tp>
      <tp>
        <v>0</v>
        <stp/>
        <stp>BID</stp>
        <stp>.NDXP250507C20075</stp>
        <tr r="DE152" s="1"/>
        <tr r="DE152" s="1"/>
      </tp>
      <tp>
        <v>0</v>
        <stp/>
        <stp>BID</stp>
        <stp>.NDXP250507C20050</stp>
        <tr r="DE153" s="1"/>
        <tr r="DE153" s="1"/>
      </tp>
      <tp>
        <v>0</v>
        <stp/>
        <stp>BID</stp>
        <stp>.NDXP250507C20025</stp>
        <tr r="DE154" s="1"/>
        <tr r="DE154" s="1"/>
      </tp>
      <tp>
        <v>0</v>
        <stp/>
        <stp>BID</stp>
        <stp>.NDXP250507C20000</stp>
        <tr r="DE155" s="1"/>
        <tr r="DE155" s="1"/>
      </tp>
      <tp>
        <v>175.1</v>
        <stp/>
        <stp>BID</stp>
        <stp>.NDXP250507P20050</stp>
        <tr r="DF153" s="1"/>
        <tr r="DF153" s="1"/>
      </tp>
      <tp>
        <v>200</v>
        <stp/>
        <stp>BID</stp>
        <stp>.NDXP250507P20075</stp>
        <tr r="DF152" s="1"/>
        <tr r="DF152" s="1"/>
      </tp>
      <tp>
        <v>125.4</v>
        <stp/>
        <stp>BID</stp>
        <stp>.NDXP250507P20000</stp>
        <tr r="DF155" s="1"/>
        <tr r="DF155" s="1"/>
      </tp>
      <tp>
        <v>150.4</v>
        <stp/>
        <stp>BID</stp>
        <stp>.NDXP250507P20025</stp>
        <tr r="DF154" s="1"/>
        <tr r="DF154" s="1"/>
      </tp>
      <tp t="s">
        <v>N/A</v>
        <stp/>
        <stp>VOLUME</stp>
        <stp>.NDXPP20075</stp>
        <tr r="C153" s="2"/>
        <tr r="D153" s="2"/>
        <tr r="B153" s="2"/>
        <tr r="E153" s="2"/>
        <tr r="G153" s="2"/>
        <tr r="F153" s="2"/>
      </tp>
      <tp t="s">
        <v>N/A</v>
        <stp/>
        <stp>VOLUME</stp>
        <stp>.NDXPP20050</stp>
        <tr r="C154" s="2"/>
        <tr r="B154" s="2"/>
        <tr r="E154" s="2"/>
        <tr r="F154" s="2"/>
        <tr r="G154" s="2"/>
        <tr r="D154" s="2"/>
      </tp>
      <tp t="s">
        <v>N/A</v>
        <stp/>
        <stp>VOLUME</stp>
        <stp>.NDXPP20025</stp>
        <tr r="B155" s="2"/>
        <tr r="G155" s="2"/>
        <tr r="C155" s="2"/>
        <tr r="F155" s="2"/>
        <tr r="E155" s="2"/>
        <tr r="D155" s="2"/>
      </tp>
      <tp t="s">
        <v>N/A</v>
        <stp/>
        <stp>VOLUME</stp>
        <stp>.NDXPP20000</stp>
        <tr r="B156" s="2"/>
        <tr r="C156" s="2"/>
        <tr r="G156" s="2"/>
        <tr r="D156" s="2"/>
        <tr r="E156" s="2"/>
        <tr r="F156" s="2"/>
      </tp>
      <tp t="s">
        <v>N/A</v>
        <stp/>
        <stp>VOLUME</stp>
        <stp>.NDXPC20050</stp>
        <tr r="C154" s="2"/>
        <tr r="B154" s="2"/>
        <tr r="E154" s="2"/>
        <tr r="F154" s="2"/>
        <tr r="G154" s="2"/>
        <tr r="D154" s="2"/>
      </tp>
      <tp t="s">
        <v>N/A</v>
        <stp/>
        <stp>VOLUME</stp>
        <stp>.NDXPC20075</stp>
        <tr r="C153" s="2"/>
        <tr r="D153" s="2"/>
        <tr r="B153" s="2"/>
        <tr r="E153" s="2"/>
        <tr r="G153" s="2"/>
        <tr r="F153" s="2"/>
      </tp>
      <tp t="s">
        <v>N/A</v>
        <stp/>
        <stp>VOLUME</stp>
        <stp>.NDXPC20000</stp>
        <tr r="B156" s="2"/>
        <tr r="C156" s="2"/>
        <tr r="G156" s="2"/>
        <tr r="D156" s="2"/>
        <tr r="E156" s="2"/>
        <tr r="F156" s="2"/>
      </tp>
      <tp t="s">
        <v>N/A</v>
        <stp/>
        <stp>VOLUME</stp>
        <stp>.NDXPC20025</stp>
        <tr r="B155" s="2"/>
        <tr r="G155" s="2"/>
        <tr r="C155" s="2"/>
        <tr r="F155" s="2"/>
        <tr r="E155" s="2"/>
        <tr r="D155" s="2"/>
      </tp>
      <tp>
        <v>19.8</v>
        <stp/>
        <stp>ASK</stp>
        <stp>.NDXP250507C19875</stp>
        <tr r="DC160" s="1"/>
        <tr r="DC160" s="1"/>
      </tp>
      <tp>
        <v>82</v>
        <stp/>
        <stp>BID</stp>
        <stp>.NDXP250507C19775</stp>
        <tr r="DE164" s="1"/>
        <tr r="DE164" s="1"/>
      </tp>
      <tp>
        <v>25.6</v>
        <stp/>
        <stp>ASK</stp>
        <stp>.NDXP250507C19850</stp>
        <tr r="DC161" s="1"/>
        <tr r="DC161" s="1"/>
      </tp>
      <tp>
        <v>106</v>
        <stp/>
        <stp>BID</stp>
        <stp>.NDXP250507C19750</stp>
        <tr r="DE165" s="1"/>
        <tr r="DE165" s="1"/>
      </tp>
      <tp>
        <v>49.9</v>
        <stp/>
        <stp>ASK</stp>
        <stp>.NDXP250507C19825</stp>
        <tr r="DC162" s="1"/>
        <tr r="DC162" s="1"/>
      </tp>
      <tp>
        <v>132</v>
        <stp/>
        <stp>BID</stp>
        <stp>.NDXP250507C19725</stp>
        <tr r="DE166" s="1"/>
        <tr r="DE166" s="1"/>
      </tp>
      <tp>
        <v>74</v>
        <stp/>
        <stp>ASK</stp>
        <stp>.NDXP250507C19800</stp>
        <tr r="DC163" s="1"/>
        <tr r="DC163" s="1"/>
      </tp>
      <tp>
        <v>156</v>
        <stp/>
        <stp>BID</stp>
        <stp>.NDXP250507C19700</stp>
        <tr r="DE167" s="1"/>
        <tr r="DE167" s="1"/>
      </tp>
      <tp>
        <v>19.8</v>
        <stp/>
        <stp>ASK</stp>
        <stp>.NDXP250507P19850</stp>
        <tr r="DD161" s="1"/>
        <tr r="DD161" s="1"/>
      </tp>
      <tp>
        <v>0</v>
        <stp/>
        <stp>BID</stp>
        <stp>.NDXP250507P19750</stp>
        <tr r="DF165" s="1"/>
        <tr r="DF165" s="1"/>
      </tp>
      <tp>
        <v>24.5</v>
        <stp/>
        <stp>ASK</stp>
        <stp>.NDXP250507P19875</stp>
        <tr r="DD160" s="1"/>
        <tr r="DD160" s="1"/>
      </tp>
      <tp>
        <v>0</v>
        <stp/>
        <stp>BID</stp>
        <stp>.NDXP250507P19775</stp>
        <tr r="DF164" s="1"/>
        <tr r="DF164" s="1"/>
      </tp>
      <tp>
        <v>1.1499999999999999</v>
        <stp/>
        <stp>ASK</stp>
        <stp>.NDXP250507P19800</stp>
        <tr r="DD163" s="1"/>
        <tr r="DD163" s="1"/>
      </tp>
      <tp>
        <v>0</v>
        <stp/>
        <stp>BID</stp>
        <stp>.NDXP250507P19700</stp>
        <tr r="DF167" s="1"/>
        <tr r="DF167" s="1"/>
      </tp>
      <tp>
        <v>12.7</v>
        <stp/>
        <stp>ASK</stp>
        <stp>.NDXP250507P19825</stp>
        <tr r="DD162" s="1"/>
        <tr r="DD162" s="1"/>
      </tp>
      <tp>
        <v>0</v>
        <stp/>
        <stp>BID</stp>
        <stp>.NDXP250507P19725</stp>
        <tr r="DF166" s="1"/>
        <tr r="DF166" s="1"/>
      </tp>
      <tp t="s">
        <v>N/A</v>
        <stp/>
        <stp>VOLUME</stp>
        <stp>.NDXPP19775</stp>
        <tr r="D165" s="2"/>
        <tr r="C165" s="2"/>
        <tr r="G165" s="2"/>
        <tr r="B165" s="2"/>
        <tr r="E165" s="2"/>
        <tr r="F165" s="2"/>
      </tp>
      <tp t="s">
        <v>N/A</v>
        <stp/>
        <stp>VOLUME</stp>
        <stp>.NDXPP19750</stp>
        <tr r="C166" s="2"/>
        <tr r="F166" s="2"/>
        <tr r="G166" s="2"/>
        <tr r="E166" s="2"/>
        <tr r="D166" s="2"/>
        <tr r="B166" s="2"/>
      </tp>
      <tp t="s">
        <v>N/A</v>
        <stp/>
        <stp>VOLUME</stp>
        <stp>.NDXPP19725</stp>
        <tr r="B167" s="2"/>
        <tr r="D167" s="2"/>
        <tr r="F167" s="2"/>
        <tr r="C167" s="2"/>
        <tr r="G167" s="2"/>
        <tr r="E167" s="2"/>
      </tp>
      <tp t="s">
        <v>N/A</v>
        <stp/>
        <stp>VOLUME</stp>
        <stp>.NDXPP19700</stp>
        <tr r="E168" s="2"/>
        <tr r="D168" s="2"/>
        <tr r="B168" s="2"/>
        <tr r="F168" s="2"/>
        <tr r="G168" s="2"/>
        <tr r="C168" s="2"/>
      </tp>
      <tp>
        <v>144.12</v>
        <stp/>
        <stp>LAST</stp>
        <stp>.SPXW250507P5740</stp>
        <tr r="DB98" s="1"/>
        <tr r="DB98" s="1"/>
      </tp>
      <tp>
        <v>0.03</v>
        <stp/>
        <stp>LAST</stp>
        <stp>.SPXW250507C5740</stp>
        <tr r="DA98" s="1"/>
        <tr r="DA98" s="1"/>
      </tp>
      <tp>
        <v>120.38</v>
        <stp/>
        <stp>LAST</stp>
        <stp>.SPXW250507P5750</stp>
        <tr r="DB97" s="1"/>
        <tr r="DB97" s="1"/>
      </tp>
      <tp>
        <v>0.05</v>
        <stp/>
        <stp>LAST</stp>
        <stp>.SPXW250507C5750</stp>
        <tr r="DA97" s="1"/>
        <tr r="DA97" s="1"/>
      </tp>
      <tp>
        <v>162.15</v>
        <stp/>
        <stp>LAST</stp>
        <stp>.SPXW250507P5760</stp>
        <tr r="DB96" s="1"/>
        <tr r="DB96" s="1"/>
      </tp>
      <tp>
        <v>0.03</v>
        <stp/>
        <stp>LAST</stp>
        <stp>.SPXW250507C5760</stp>
        <tr r="DA96" s="1"/>
        <tr r="DA96" s="1"/>
      </tp>
      <tp>
        <v>137.19</v>
        <stp/>
        <stp>LAST</stp>
        <stp>.SPXW250507P5770</stp>
        <tr r="DB95" s="1"/>
        <tr r="DB95" s="1"/>
      </tp>
      <tp>
        <v>0.03</v>
        <stp/>
        <stp>LAST</stp>
        <stp>.SPXW250507C5770</stp>
        <tr r="DA95" s="1"/>
        <tr r="DA95" s="1"/>
      </tp>
      <tp>
        <v>69.739999999999995</v>
        <stp/>
        <stp>LAST</stp>
        <stp>.SPXW250507P5700</stp>
        <tr r="DB102" s="1"/>
        <tr r="DB102" s="1"/>
      </tp>
      <tp>
        <v>0.05</v>
        <stp/>
        <stp>LAST</stp>
        <stp>.SPXW250507C5700</stp>
        <tr r="DA102" s="1"/>
        <tr r="DA102" s="1"/>
      </tp>
      <tp>
        <v>55</v>
        <stp/>
        <stp>LAST</stp>
        <stp>.SPXW250507P5710</stp>
        <tr r="DB101" s="1"/>
        <tr r="DB101" s="1"/>
      </tp>
      <tp>
        <v>0.05</v>
        <stp/>
        <stp>LAST</stp>
        <stp>.SPXW250507C5710</stp>
        <tr r="DA101" s="1"/>
        <tr r="DA101" s="1"/>
      </tp>
      <tp>
        <v>89.14</v>
        <stp/>
        <stp>LAST</stp>
        <stp>.SPXW250507P5720</stp>
        <tr r="DB100" s="1"/>
        <tr r="DB100" s="1"/>
      </tp>
      <tp>
        <v>0.04</v>
        <stp/>
        <stp>LAST</stp>
        <stp>.SPXW250507C5720</stp>
        <tr r="DA100" s="1"/>
        <tr r="DA100" s="1"/>
      </tp>
      <tp>
        <v>129.57</v>
        <stp/>
        <stp>LAST</stp>
        <stp>.SPXW250507P5730</stp>
        <tr r="DB99" s="1"/>
        <tr r="DB99" s="1"/>
      </tp>
      <tp>
        <v>0.02</v>
        <stp/>
        <stp>LAST</stp>
        <stp>.SPXW250507C5730</stp>
        <tr r="DA99" s="1"/>
        <tr r="DA99" s="1"/>
      </tp>
      <tp t="s">
        <v>N/A</v>
        <stp/>
        <stp>VOLUME</stp>
        <stp>.NDXPC19750</stp>
        <tr r="C166" s="2"/>
        <tr r="F166" s="2"/>
        <tr r="G166" s="2"/>
        <tr r="E166" s="2"/>
        <tr r="D166" s="2"/>
        <tr r="B166" s="2"/>
      </tp>
      <tp t="s">
        <v>N/A</v>
        <stp/>
        <stp>VOLUME</stp>
        <stp>.NDXPC19775</stp>
        <tr r="D165" s="2"/>
        <tr r="C165" s="2"/>
        <tr r="G165" s="2"/>
        <tr r="B165" s="2"/>
        <tr r="E165" s="2"/>
        <tr r="F165" s="2"/>
      </tp>
      <tp>
        <v>159.4</v>
        <stp/>
        <stp>LAST</stp>
        <stp>.SPXW250507P5780</stp>
        <tr r="DB94" s="1"/>
        <tr r="DB94" s="1"/>
      </tp>
      <tp>
        <v>0.03</v>
        <stp/>
        <stp>LAST</stp>
        <stp>.SPXW250507C5780</stp>
        <tr r="DA94" s="1"/>
        <tr r="DA94" s="1"/>
      </tp>
      <tp>
        <v>178.7</v>
        <stp/>
        <stp>LAST</stp>
        <stp>.SPXW250507P5790</stp>
        <tr r="DB93" s="1"/>
        <tr r="DB93" s="1"/>
      </tp>
      <tp t="s">
        <v>N/A</v>
        <stp/>
        <stp>VOLUME</stp>
        <stp>.NDXPC19700</stp>
        <tr r="E168" s="2"/>
        <tr r="D168" s="2"/>
        <tr r="B168" s="2"/>
        <tr r="F168" s="2"/>
        <tr r="G168" s="2"/>
        <tr r="C168" s="2"/>
      </tp>
      <tp>
        <v>0.03</v>
        <stp/>
        <stp>LAST</stp>
        <stp>.SPXW250507C5790</stp>
        <tr r="DA93" s="1"/>
        <tr r="DA93" s="1"/>
      </tp>
      <tp t="s">
        <v>N/A</v>
        <stp/>
        <stp>VOLUME</stp>
        <stp>.NDXPC19725</stp>
        <tr r="B167" s="2"/>
        <tr r="D167" s="2"/>
        <tr r="F167" s="2"/>
        <tr r="C167" s="2"/>
        <tr r="G167" s="2"/>
        <tr r="E167" s="2"/>
      </tp>
      <tp>
        <v>19.8</v>
        <stp/>
        <stp>ASK</stp>
        <stp>.NDXP250507C19975</stp>
        <tr r="DC156" s="1"/>
        <tr r="DC156" s="1"/>
      </tp>
      <tp>
        <v>182</v>
        <stp/>
        <stp>BID</stp>
        <stp>.NDXP250507C19675</stp>
        <tr r="DE168" s="1"/>
        <tr r="DE168" s="1"/>
      </tp>
      <tp>
        <v>1</v>
        <stp/>
        <stp>ASK</stp>
        <stp>.NDXP250507C19950</stp>
        <tr r="DC157" s="1"/>
        <tr r="DC157" s="1"/>
      </tp>
      <tp>
        <v>205.3</v>
        <stp/>
        <stp>BID</stp>
        <stp>.NDXP250507C19650</stp>
        <tr r="DE169" s="1"/>
        <tr r="DE169" s="1"/>
      </tp>
      <tp>
        <v>4</v>
        <stp/>
        <stp>ASK</stp>
        <stp>.NDXP250507C19925</stp>
        <tr r="DC158" s="1"/>
        <tr r="DC158" s="1"/>
      </tp>
      <tp>
        <v>216</v>
        <stp/>
        <stp>BID</stp>
        <stp>.NDXP250507C19625</stp>
        <tr r="DE170" s="1"/>
        <tr r="DE170" s="1"/>
      </tp>
      <tp>
        <v>2.75</v>
        <stp/>
        <stp>ASK</stp>
        <stp>.NDXP250507C19900</stp>
        <tr r="DC159" s="1"/>
        <tr r="DC159" s="1"/>
      </tp>
      <tp>
        <v>242</v>
        <stp/>
        <stp>BID</stp>
        <stp>.NDXP250507C19600</stp>
        <tr r="DE171" s="1"/>
        <tr r="DE171" s="1"/>
      </tp>
      <tp>
        <v>94</v>
        <stp/>
        <stp>ASK</stp>
        <stp>.NDXP250507P19950</stp>
        <tr r="DD157" s="1"/>
        <tr r="DD157" s="1"/>
      </tp>
      <tp>
        <v>0</v>
        <stp/>
        <stp>BID</stp>
        <stp>.NDXP250507P19650</stp>
        <tr r="DF169" s="1"/>
        <tr r="DF169" s="1"/>
      </tp>
      <tp>
        <v>120</v>
        <stp/>
        <stp>ASK</stp>
        <stp>.NDXP250507P19975</stp>
        <tr r="DD156" s="1"/>
        <tr r="DD156" s="1"/>
      </tp>
      <tp>
        <v>0</v>
        <stp/>
        <stp>BID</stp>
        <stp>.NDXP250507P19675</stp>
        <tr r="DF168" s="1"/>
        <tr r="DF168" s="1"/>
      </tp>
      <tp>
        <v>42.7</v>
        <stp/>
        <stp>ASK</stp>
        <stp>.NDXP250507P19900</stp>
        <tr r="DD159" s="1"/>
        <tr r="DD159" s="1"/>
      </tp>
      <tp>
        <v>0</v>
        <stp/>
        <stp>BID</stp>
        <stp>.NDXP250507P19600</stp>
        <tr r="DF171" s="1"/>
        <tr r="DF171" s="1"/>
      </tp>
      <tp>
        <v>70</v>
        <stp/>
        <stp>ASK</stp>
        <stp>.NDXP250507P19925</stp>
        <tr r="DD158" s="1"/>
        <tr r="DD158" s="1"/>
      </tp>
      <tp>
        <v>0</v>
        <stp/>
        <stp>BID</stp>
        <stp>.NDXP250507P19625</stp>
        <tr r="DF170" s="1"/>
        <tr r="DF170" s="1"/>
      </tp>
      <tp t="s">
        <v>N/A</v>
        <stp/>
        <stp>VOLUME</stp>
        <stp>.NDXPP19675</stp>
        <tr r="E169" s="2"/>
        <tr r="G169" s="2"/>
        <tr r="D169" s="2"/>
        <tr r="B169" s="2"/>
        <tr r="C169" s="2"/>
        <tr r="F169" s="2"/>
      </tp>
      <tp t="s">
        <v>N/A</v>
        <stp/>
        <stp>VOLUME</stp>
        <stp>.NDXPP19650</stp>
        <tr r="C170" s="2"/>
        <tr r="D170" s="2"/>
        <tr r="E170" s="2"/>
        <tr r="G170" s="2"/>
        <tr r="F170" s="2"/>
        <tr r="B170" s="2"/>
      </tp>
      <tp t="s">
        <v>N/A</v>
        <stp/>
        <stp>VOLUME</stp>
        <stp>.NDXPP19625</stp>
        <tr r="G171" s="2"/>
        <tr r="C171" s="2"/>
        <tr r="D171" s="2"/>
        <tr r="B171" s="2"/>
        <tr r="E171" s="2"/>
        <tr r="F171" s="2"/>
      </tp>
      <tp t="s">
        <v>N/A</v>
        <stp/>
        <stp>VOLUME</stp>
        <stp>.NDXPP19600</stp>
        <tr r="B172" s="2"/>
        <tr r="C172" s="2"/>
        <tr r="G172" s="2"/>
        <tr r="D172" s="2"/>
        <tr r="E172" s="2"/>
        <tr r="F172" s="2"/>
      </tp>
      <tp>
        <v>9.1999999999999993</v>
        <stp/>
        <stp>LAST</stp>
        <stp>.SPXW250507P5640</stp>
        <tr r="DB108" s="1"/>
        <tr r="DB108" s="1"/>
      </tp>
      <tp>
        <v>0.15</v>
        <stp/>
        <stp>LAST</stp>
        <stp>.SPXW250507C5640</stp>
        <tr r="DA108" s="1"/>
        <tr r="DA108" s="1"/>
      </tp>
      <tp>
        <v>19.2</v>
        <stp/>
        <stp>LAST</stp>
        <stp>.SPXW250507P5650</stp>
        <tr r="DB107" s="1"/>
        <tr r="DB107" s="1"/>
      </tp>
      <tp>
        <v>0.05</v>
        <stp/>
        <stp>LAST</stp>
        <stp>.SPXW250507C5650</stp>
        <tr r="DA107" s="1"/>
        <tr r="DA107" s="1"/>
      </tp>
      <tp>
        <v>30</v>
        <stp/>
        <stp>LAST</stp>
        <stp>.SPXW250507P5660</stp>
        <tr r="DB106" s="1"/>
        <tr r="DB106" s="1"/>
      </tp>
      <tp>
        <v>0.03</v>
        <stp/>
        <stp>LAST</stp>
        <stp>.SPXW250507C5660</stp>
        <tr r="DA106" s="1"/>
        <tr r="DA106" s="1"/>
      </tp>
      <tp>
        <v>37.299999999999997</v>
        <stp/>
        <stp>LAST</stp>
        <stp>.SPXW250507P5670</stp>
        <tr r="DB105" s="1"/>
        <tr r="DB105" s="1"/>
      </tp>
      <tp>
        <v>0.02</v>
        <stp/>
        <stp>LAST</stp>
        <stp>.SPXW250507C5670</stp>
        <tr r="DA105" s="1"/>
        <tr r="DA105" s="1"/>
      </tp>
      <tp>
        <v>0.05</v>
        <stp/>
        <stp>LAST</stp>
        <stp>.SPXW250507P5600</stp>
        <tr r="DB112" s="1"/>
        <tr r="DB112" s="1"/>
      </tp>
      <tp>
        <v>30.8</v>
        <stp/>
        <stp>LAST</stp>
        <stp>.SPXW250507C5600</stp>
        <tr r="DA112" s="1"/>
        <tr r="DA112" s="1"/>
      </tp>
      <tp>
        <v>0.03</v>
        <stp/>
        <stp>LAST</stp>
        <stp>.SPXW250507P5610</stp>
        <tr r="DB111" s="1"/>
        <tr r="DB111" s="1"/>
      </tp>
      <tp>
        <v>18.8</v>
        <stp/>
        <stp>LAST</stp>
        <stp>.SPXW250507C5610</stp>
        <tr r="DA111" s="1"/>
        <tr r="DA111" s="1"/>
      </tp>
      <tp>
        <v>0.05</v>
        <stp/>
        <stp>LAST</stp>
        <stp>.SPXW250507P5620</stp>
        <tr r="DB110" s="1"/>
        <tr r="DB110" s="1"/>
      </tp>
      <tp>
        <v>12.4</v>
        <stp/>
        <stp>LAST</stp>
        <stp>.SPXW250507C5620</stp>
        <tr r="DA110" s="1"/>
        <tr r="DA110" s="1"/>
      </tp>
      <tp>
        <v>0.4</v>
        <stp/>
        <stp>LAST</stp>
        <stp>.SPXW250507P5630</stp>
        <tr r="DB109" s="1"/>
        <tr r="DB109" s="1"/>
      </tp>
      <tp>
        <v>3.88</v>
        <stp/>
        <stp>LAST</stp>
        <stp>.SPXW250507C5630</stp>
        <tr r="DA109" s="1"/>
        <tr r="DA109" s="1"/>
      </tp>
      <tp t="s">
        <v>N/A</v>
        <stp/>
        <stp>VOLUME</stp>
        <stp>.NDXPC19650</stp>
        <tr r="C170" s="2"/>
        <tr r="D170" s="2"/>
        <tr r="E170" s="2"/>
        <tr r="G170" s="2"/>
        <tr r="F170" s="2"/>
        <tr r="B170" s="2"/>
      </tp>
      <tp t="s">
        <v>N/A</v>
        <stp/>
        <stp>VOLUME</stp>
        <stp>.NDXPC19675</stp>
        <tr r="E169" s="2"/>
        <tr r="G169" s="2"/>
        <tr r="D169" s="2"/>
        <tr r="B169" s="2"/>
        <tr r="C169" s="2"/>
        <tr r="F169" s="2"/>
      </tp>
      <tp>
        <v>50.59</v>
        <stp/>
        <stp>LAST</stp>
        <stp>.SPXW250507P5680</stp>
        <tr r="DB104" s="1"/>
        <tr r="DB104" s="1"/>
      </tp>
      <tp>
        <v>0.05</v>
        <stp/>
        <stp>LAST</stp>
        <stp>.SPXW250507C5680</stp>
        <tr r="DA104" s="1"/>
        <tr r="DA104" s="1"/>
      </tp>
      <tp>
        <v>58.68</v>
        <stp/>
        <stp>LAST</stp>
        <stp>.SPXW250507P5690</stp>
        <tr r="DB103" s="1"/>
        <tr r="DB103" s="1"/>
      </tp>
      <tp t="s">
        <v>N/A</v>
        <stp/>
        <stp>VOLUME</stp>
        <stp>.NDXPC19600</stp>
        <tr r="B172" s="2"/>
        <tr r="C172" s="2"/>
        <tr r="G172" s="2"/>
        <tr r="D172" s="2"/>
        <tr r="E172" s="2"/>
        <tr r="F172" s="2"/>
      </tp>
      <tp>
        <v>0.05</v>
        <stp/>
        <stp>LAST</stp>
        <stp>.SPXW250507C5690</stp>
        <tr r="DA103" s="1"/>
        <tr r="DA103" s="1"/>
      </tp>
      <tp t="s">
        <v>N/A</v>
        <stp/>
        <stp>VOLUME</stp>
        <stp>.NDXPC19625</stp>
        <tr r="G171" s="2"/>
        <tr r="C171" s="2"/>
        <tr r="D171" s="2"/>
        <tr r="B171" s="2"/>
        <tr r="E171" s="2"/>
        <tr r="F171" s="2"/>
      </tp>
      <tp>
        <v>266</v>
        <stp/>
        <stp>BID</stp>
        <stp>.NDXP250507C19575</stp>
        <tr r="DE172" s="1"/>
        <tr r="DE172" s="1"/>
      </tp>
      <tp>
        <v>292</v>
        <stp/>
        <stp>BID</stp>
        <stp>.NDXP250507C19550</stp>
        <tr r="DE173" s="1"/>
        <tr r="DE173" s="1"/>
      </tp>
      <tp>
        <v>316</v>
        <stp/>
        <stp>BID</stp>
        <stp>.NDXP250507C19525</stp>
        <tr r="DE174" s="1"/>
        <tr r="DE174" s="1"/>
      </tp>
      <tp>
        <v>342</v>
        <stp/>
        <stp>BID</stp>
        <stp>.NDXP250507C19500</stp>
        <tr r="DE175" s="1"/>
        <tr r="DE175" s="1"/>
      </tp>
      <tp>
        <v>0</v>
        <stp/>
        <stp>BID</stp>
        <stp>.NDXP250507P19550</stp>
        <tr r="DF173" s="1"/>
        <tr r="DF173" s="1"/>
      </tp>
      <tp>
        <v>0</v>
        <stp/>
        <stp>BID</stp>
        <stp>.NDXP250507P19575</stp>
        <tr r="DF172" s="1"/>
        <tr r="DF172" s="1"/>
      </tp>
      <tp>
        <v>0</v>
        <stp/>
        <stp>BID</stp>
        <stp>.NDXP250507P19500</stp>
        <tr r="DF175" s="1"/>
        <tr r="DF175" s="1"/>
      </tp>
      <tp>
        <v>0</v>
        <stp/>
        <stp>BID</stp>
        <stp>.NDXP250507P19525</stp>
        <tr r="DF174" s="1"/>
        <tr r="DF174" s="1"/>
      </tp>
      <tp t="s">
        <v>N/A</v>
        <stp/>
        <stp>VOLUME</stp>
        <stp>.NDXPP19575</stp>
        <tr r="C173" s="2"/>
        <tr r="F173" s="2"/>
        <tr r="E173" s="2"/>
        <tr r="B173" s="2"/>
        <tr r="D173" s="2"/>
        <tr r="G173" s="2"/>
      </tp>
      <tp t="s">
        <v>N/A</v>
        <stp/>
        <stp>VOLUME</stp>
        <stp>.NDXPP19550</stp>
        <tr r="B174" s="2"/>
        <tr r="G174" s="2"/>
        <tr r="F174" s="2"/>
        <tr r="C174" s="2"/>
        <tr r="D174" s="2"/>
        <tr r="E174" s="2"/>
      </tp>
      <tp t="s">
        <v>N/A</v>
        <stp/>
        <stp>VOLUME</stp>
        <stp>.NDXPP19525</stp>
        <tr r="E175" s="2"/>
        <tr r="D175" s="2"/>
        <tr r="F175" s="2"/>
        <tr r="C175" s="2"/>
        <tr r="B175" s="2"/>
        <tr r="G175" s="2"/>
      </tp>
      <tp t="s">
        <v>N/A</v>
        <stp/>
        <stp>VOLUME</stp>
        <stp>.NDXPP19500</stp>
        <tr r="B176" s="2"/>
        <tr r="E176" s="2"/>
        <tr r="C176" s="2"/>
        <tr r="D176" s="2"/>
        <tr r="F176" s="2"/>
        <tr r="G176" s="2"/>
      </tp>
      <tp>
        <v>0.03</v>
        <stp/>
        <stp>LAST</stp>
        <stp>.SPXW250507P5540</stp>
        <tr r="DB118" s="1"/>
        <tr r="DB118" s="1"/>
      </tp>
      <tp>
        <v>83.6</v>
        <stp/>
        <stp>LAST</stp>
        <stp>.SPXW250507C5540</stp>
        <tr r="DA118" s="1"/>
        <tr r="DA118" s="1"/>
      </tp>
      <tp>
        <v>0.03</v>
        <stp/>
        <stp>LAST</stp>
        <stp>.SPXW250507P5550</stp>
        <tr r="DB117" s="1"/>
        <tr r="DB117" s="1"/>
      </tp>
      <tp>
        <v>81.2</v>
        <stp/>
        <stp>LAST</stp>
        <stp>.SPXW250507C5550</stp>
        <tr r="DA117" s="1"/>
        <tr r="DA117" s="1"/>
      </tp>
      <tp>
        <v>0.05</v>
        <stp/>
        <stp>LAST</stp>
        <stp>.SPXW250507P5560</stp>
        <tr r="DB116" s="1"/>
        <tr r="DB116" s="1"/>
      </tp>
      <tp>
        <v>71.03</v>
        <stp/>
        <stp>LAST</stp>
        <stp>.SPXW250507C5560</stp>
        <tr r="DA116" s="1"/>
        <tr r="DA116" s="1"/>
      </tp>
      <tp>
        <v>0.03</v>
        <stp/>
        <stp>LAST</stp>
        <stp>.SPXW250507P5570</stp>
        <tr r="DB115" s="1"/>
        <tr r="DB115" s="1"/>
      </tp>
      <tp>
        <v>62.51</v>
        <stp/>
        <stp>LAST</stp>
        <stp>.SPXW250507C5570</stp>
        <tr r="DA115" s="1"/>
        <tr r="DA115" s="1"/>
      </tp>
      <tp>
        <v>0.05</v>
        <stp/>
        <stp>LAST</stp>
        <stp>.SPXW250507P5500</stp>
        <tr r="DB122" s="1"/>
        <tr r="DB122" s="1"/>
      </tp>
      <tp>
        <v>108.37</v>
        <stp/>
        <stp>LAST</stp>
        <stp>.SPXW250507C5500</stp>
        <tr r="DA122" s="1"/>
        <tr r="DA122" s="1"/>
      </tp>
      <tp>
        <v>0.05</v>
        <stp/>
        <stp>LAST</stp>
        <stp>.SPXW250507P5510</stp>
        <tr r="DB121" s="1"/>
        <tr r="DB121" s="1"/>
      </tp>
      <tp>
        <v>119.49</v>
        <stp/>
        <stp>LAST</stp>
        <stp>.SPXW250507C5510</stp>
        <tr r="DA121" s="1"/>
        <tr r="DA121" s="1"/>
      </tp>
      <tp>
        <v>0.03</v>
        <stp/>
        <stp>LAST</stp>
        <stp>.SPXW250507P5520</stp>
        <tr r="DB120" s="1"/>
        <tr r="DB120" s="1"/>
      </tp>
      <tp>
        <v>104.3</v>
        <stp/>
        <stp>LAST</stp>
        <stp>.SPXW250507C5520</stp>
        <tr r="DA120" s="1"/>
        <tr r="DA120" s="1"/>
      </tp>
      <tp>
        <v>0.03</v>
        <stp/>
        <stp>LAST</stp>
        <stp>.SPXW250507P5530</stp>
        <tr r="DB119" s="1"/>
        <tr r="DB119" s="1"/>
      </tp>
      <tp>
        <v>74.7</v>
        <stp/>
        <stp>LAST</stp>
        <stp>.SPXW250507C5530</stp>
        <tr r="DA119" s="1"/>
        <tr r="DA119" s="1"/>
      </tp>
      <tp t="s">
        <v>N/A</v>
        <stp/>
        <stp>VOLUME</stp>
        <stp>.NDXPC19550</stp>
        <tr r="B174" s="2"/>
        <tr r="G174" s="2"/>
        <tr r="F174" s="2"/>
        <tr r="C174" s="2"/>
        <tr r="D174" s="2"/>
        <tr r="E174" s="2"/>
      </tp>
      <tp t="s">
        <v>N/A</v>
        <stp/>
        <stp>VOLUME</stp>
        <stp>.NDXPC19575</stp>
        <tr r="C173" s="2"/>
        <tr r="F173" s="2"/>
        <tr r="E173" s="2"/>
        <tr r="B173" s="2"/>
        <tr r="D173" s="2"/>
        <tr r="G173" s="2"/>
      </tp>
      <tp>
        <v>0.03</v>
        <stp/>
        <stp>LAST</stp>
        <stp>.SPXW250507P5580</stp>
        <tr r="DB114" s="1"/>
        <tr r="DB114" s="1"/>
      </tp>
      <tp>
        <v>49.5</v>
        <stp/>
        <stp>LAST</stp>
        <stp>.SPXW250507C5580</stp>
        <tr r="DA114" s="1"/>
        <tr r="DA114" s="1"/>
      </tp>
      <tp>
        <v>0.05</v>
        <stp/>
        <stp>LAST</stp>
        <stp>.SPXW250507P5590</stp>
        <tr r="DB113" s="1"/>
        <tr r="DB113" s="1"/>
      </tp>
      <tp t="s">
        <v>N/A</v>
        <stp/>
        <stp>VOLUME</stp>
        <stp>.NDXPC19500</stp>
        <tr r="B176" s="2"/>
        <tr r="E176" s="2"/>
        <tr r="C176" s="2"/>
        <tr r="D176" s="2"/>
        <tr r="F176" s="2"/>
        <tr r="G176" s="2"/>
      </tp>
      <tp>
        <v>40.700000000000003</v>
        <stp/>
        <stp>LAST</stp>
        <stp>.SPXW250507C5590</stp>
        <tr r="DA113" s="1"/>
        <tr r="DA113" s="1"/>
      </tp>
      <tp t="s">
        <v>N/A</v>
        <stp/>
        <stp>VOLUME</stp>
        <stp>.NDXPC19525</stp>
        <tr r="E175" s="2"/>
        <tr r="D175" s="2"/>
        <tr r="F175" s="2"/>
        <tr r="C175" s="2"/>
        <tr r="B175" s="2"/>
        <tr r="G175" s="2"/>
      </tp>
      <tp>
        <v>366</v>
        <stp/>
        <stp>BID</stp>
        <stp>.NDXP250507C19475</stp>
        <tr r="DE176" s="1"/>
        <tr r="DE176" s="1"/>
      </tp>
      <tp>
        <v>0</v>
        <stp/>
        <stp>BID</stp>
        <stp>.NDXP250507C20450</stp>
        <tr r="DE137" s="1"/>
        <tr r="DE137" s="1"/>
      </tp>
      <tp>
        <v>397.5</v>
        <stp/>
        <stp>BID</stp>
        <stp>.NDXP250507C19450</stp>
        <tr r="DE177" s="1"/>
        <tr r="DE177" s="1"/>
      </tp>
      <tp>
        <v>0</v>
        <stp/>
        <stp>BID</stp>
        <stp>.NDXP250507C20425</stp>
        <tr r="DE138" s="1"/>
        <tr r="DE138" s="1"/>
      </tp>
      <tp>
        <v>408.4</v>
        <stp/>
        <stp>BID</stp>
        <stp>.NDXP250507C19425</stp>
        <tr r="DE178" s="1"/>
        <tr r="DE178" s="1"/>
      </tp>
      <tp>
        <v>0</v>
        <stp/>
        <stp>BID</stp>
        <stp>.NDXP250507C20400</stp>
        <tr r="DE139" s="1"/>
        <tr r="DE139" s="1"/>
      </tp>
      <tp>
        <v>426</v>
        <stp/>
        <stp>BID</stp>
        <stp>.NDXP250507C19400</stp>
        <tr r="DE179" s="1"/>
        <tr r="DE179" s="1"/>
      </tp>
      <tp>
        <v>547.6</v>
        <stp/>
        <stp>BID</stp>
        <stp>.NDXP250507P20450</stp>
        <tr r="DF137" s="1"/>
        <tr r="DF137" s="1"/>
      </tp>
      <tp>
        <v>0</v>
        <stp/>
        <stp>BID</stp>
        <stp>.NDXP250507P19450</stp>
        <tr r="DF177" s="1"/>
        <tr r="DF177" s="1"/>
      </tp>
      <tp>
        <v>0</v>
        <stp/>
        <stp>BID</stp>
        <stp>.NDXP250507P19475</stp>
        <tr r="DF176" s="1"/>
        <tr r="DF176" s="1"/>
      </tp>
      <tp>
        <v>495.1</v>
        <stp/>
        <stp>BID</stp>
        <stp>.NDXP250507P20400</stp>
        <tr r="DF139" s="1"/>
        <tr r="DF139" s="1"/>
      </tp>
      <tp>
        <v>0</v>
        <stp/>
        <stp>BID</stp>
        <stp>.NDXP250507P19400</stp>
        <tr r="DF179" s="1"/>
        <tr r="DF179" s="1"/>
      </tp>
      <tp>
        <v>522.6</v>
        <stp/>
        <stp>BID</stp>
        <stp>.NDXP250507P20425</stp>
        <tr r="DF138" s="1"/>
        <tr r="DF138" s="1"/>
      </tp>
      <tp>
        <v>0</v>
        <stp/>
        <stp>BID</stp>
        <stp>.NDXP250507P19425</stp>
        <tr r="DF178" s="1"/>
        <tr r="DF178" s="1"/>
      </tp>
      <tp t="s">
        <v>N/A</v>
        <stp/>
        <stp>VOLUME</stp>
        <stp>.NDXPP19475</stp>
        <tr r="B177" s="2"/>
        <tr r="D177" s="2"/>
        <tr r="F177" s="2"/>
        <tr r="C177" s="2"/>
        <tr r="E177" s="2"/>
        <tr r="G177" s="2"/>
      </tp>
      <tp t="s">
        <v>N/A</v>
        <stp/>
        <stp>VOLUME</stp>
        <stp>.NDXPP19450</stp>
        <tr r="G178" s="2"/>
        <tr r="F178" s="2"/>
        <tr r="C178" s="2"/>
        <tr r="B178" s="2"/>
        <tr r="E178" s="2"/>
        <tr r="D178" s="2"/>
      </tp>
      <tp t="s">
        <v>N/A</v>
        <stp/>
        <stp>VOLUME</stp>
        <stp>.NDXPP20450</stp>
        <tr r="G138" s="2"/>
        <tr r="F138" s="2"/>
        <tr r="E138" s="2"/>
        <tr r="D138" s="2"/>
        <tr r="C138" s="2"/>
        <tr r="B138" s="2"/>
      </tp>
      <tp t="s">
        <v>N/A</v>
        <stp/>
        <stp>VOLUME</stp>
        <stp>.NDXPP19425</stp>
        <tr r="B179" s="2"/>
        <tr r="G179" s="2"/>
        <tr r="C179" s="2"/>
        <tr r="D179" s="2"/>
        <tr r="E179" s="2"/>
        <tr r="F179" s="2"/>
      </tp>
      <tp t="s">
        <v>N/A</v>
        <stp/>
        <stp>VOLUME</stp>
        <stp>.NDXPP20425</stp>
        <tr r="G139" s="2"/>
        <tr r="F139" s="2"/>
        <tr r="E139" s="2"/>
        <tr r="D139" s="2"/>
        <tr r="C139" s="2"/>
        <tr r="B139" s="2"/>
      </tp>
      <tp t="s">
        <v>N/A</v>
        <stp/>
        <stp>VOLUME</stp>
        <stp>.NDXPP19400</stp>
        <tr r="F180" s="2"/>
        <tr r="B180" s="2"/>
        <tr r="G180" s="2"/>
        <tr r="E180" s="2"/>
        <tr r="D180" s="2"/>
        <tr r="C180" s="2"/>
      </tp>
      <tp t="s">
        <v>N/A</v>
        <stp/>
        <stp>VOLUME</stp>
        <stp>.NDXPP20400</stp>
        <tr r="G140" s="2"/>
        <tr r="F140" s="2"/>
        <tr r="E140" s="2"/>
        <tr r="D140" s="2"/>
        <tr r="C140" s="2"/>
        <tr r="B140" s="2"/>
      </tp>
      <tp>
        <v>0.05</v>
        <stp/>
        <stp>LAST</stp>
        <stp>.SPXW250507P5440</stp>
        <tr r="DB128" s="1"/>
        <tr r="DB128" s="1"/>
      </tp>
      <tp>
        <v>195.49</v>
        <stp/>
        <stp>LAST</stp>
        <stp>.SPXW250507C5440</stp>
        <tr r="DA128" s="1"/>
        <tr r="DA128" s="1"/>
      </tp>
      <tp>
        <v>0.03</v>
        <stp/>
        <stp>LAST</stp>
        <stp>.SPXW250507P5450</stp>
        <tr r="DB127" s="1"/>
        <tr r="DB127" s="1"/>
      </tp>
      <tp>
        <v>176.2</v>
        <stp/>
        <stp>LAST</stp>
        <stp>.SPXW250507C5450</stp>
        <tr r="DA127" s="1"/>
        <tr r="DA127" s="1"/>
      </tp>
      <tp>
        <v>0.05</v>
        <stp/>
        <stp>LAST</stp>
        <stp>.SPXW250507P5460</stp>
        <tr r="DB126" s="1"/>
        <tr r="DB126" s="1"/>
      </tp>
      <tp>
        <v>151.05000000000001</v>
        <stp/>
        <stp>LAST</stp>
        <stp>.SPXW250507C5460</stp>
        <tr r="DA126" s="1"/>
        <tr r="DA126" s="1"/>
      </tp>
      <tp>
        <v>0.03</v>
        <stp/>
        <stp>LAST</stp>
        <stp>.SPXW250507P5470</stp>
        <tr r="DB125" s="1"/>
        <tr r="DB125" s="1"/>
      </tp>
      <tp>
        <v>148.16999999999999</v>
        <stp/>
        <stp>LAST</stp>
        <stp>.SPXW250507C5470</stp>
        <tr r="DA125" s="1"/>
        <tr r="DA125" s="1"/>
      </tp>
      <tp>
        <v>0.05</v>
        <stp/>
        <stp>LAST</stp>
        <stp>.SPXW250507P5420</stp>
        <tr r="DB130" s="1"/>
        <tr r="DB130" s="1"/>
      </tp>
      <tp>
        <v>202.37</v>
        <stp/>
        <stp>LAST</stp>
        <stp>.SPXW250507C5420</stp>
        <tr r="DA130" s="1"/>
        <tr r="DA130" s="1"/>
      </tp>
      <tp>
        <v>0.05</v>
        <stp/>
        <stp>LAST</stp>
        <stp>.SPXW250507P5430</stp>
        <tr r="DB129" s="1"/>
        <tr r="DB129" s="1"/>
      </tp>
      <tp>
        <v>192.7</v>
        <stp/>
        <stp>LAST</stp>
        <stp>.SPXW250507C5430</stp>
        <tr r="DA129" s="1"/>
        <tr r="DA129" s="1"/>
      </tp>
      <tp t="s">
        <v>N/A</v>
        <stp/>
        <stp>VOLUME</stp>
        <stp>.NDXPC19450</stp>
        <tr r="G178" s="2"/>
        <tr r="F178" s="2"/>
        <tr r="C178" s="2"/>
        <tr r="B178" s="2"/>
        <tr r="E178" s="2"/>
        <tr r="D178" s="2"/>
      </tp>
      <tp t="s">
        <v>N/A</v>
        <stp/>
        <stp>VOLUME</stp>
        <stp>.NDXPC20450</stp>
        <tr r="G138" s="2"/>
        <tr r="F138" s="2"/>
        <tr r="E138" s="2"/>
        <tr r="D138" s="2"/>
        <tr r="C138" s="2"/>
        <tr r="B138" s="2"/>
      </tp>
      <tp t="s">
        <v>N/A</v>
        <stp/>
        <stp>VOLUME</stp>
        <stp>.NDXPC19475</stp>
        <tr r="B177" s="2"/>
        <tr r="D177" s="2"/>
        <tr r="F177" s="2"/>
        <tr r="C177" s="2"/>
        <tr r="E177" s="2"/>
        <tr r="G177" s="2"/>
      </tp>
      <tp>
        <v>0.05</v>
        <stp/>
        <stp>LAST</stp>
        <stp>.SPXW250507P5480</stp>
        <tr r="DB124" s="1"/>
        <tr r="DB124" s="1"/>
      </tp>
      <tp>
        <v>149.44999999999999</v>
        <stp/>
        <stp>LAST</stp>
        <stp>.SPXW250507C5480</stp>
        <tr r="DA124" s="1"/>
        <tr r="DA124" s="1"/>
      </tp>
      <tp>
        <v>0.03</v>
        <stp/>
        <stp>LAST</stp>
        <stp>.SPXW250507P5490</stp>
        <tr r="DB123" s="1"/>
        <tr r="DB123" s="1"/>
      </tp>
      <tp t="s">
        <v>N/A</v>
        <stp/>
        <stp>VOLUME</stp>
        <stp>.NDXPC19400</stp>
        <tr r="F180" s="2"/>
        <tr r="B180" s="2"/>
        <tr r="G180" s="2"/>
        <tr r="E180" s="2"/>
        <tr r="D180" s="2"/>
        <tr r="C180" s="2"/>
      </tp>
      <tp t="s">
        <v>N/A</v>
        <stp/>
        <stp>VOLUME</stp>
        <stp>.NDXPC20400</stp>
        <tr r="G140" s="2"/>
        <tr r="F140" s="2"/>
        <tr r="E140" s="2"/>
        <tr r="D140" s="2"/>
        <tr r="C140" s="2"/>
        <tr r="B140" s="2"/>
      </tp>
      <tp>
        <v>131.07</v>
        <stp/>
        <stp>LAST</stp>
        <stp>.SPXW250507C5490</stp>
        <tr r="DA123" s="1"/>
        <tr r="DA123" s="1"/>
      </tp>
      <tp t="s">
        <v>N/A</v>
        <stp/>
        <stp>VOLUME</stp>
        <stp>.NDXPC19425</stp>
        <tr r="B179" s="2"/>
        <tr r="G179" s="2"/>
        <tr r="C179" s="2"/>
        <tr r="D179" s="2"/>
        <tr r="E179" s="2"/>
        <tr r="F179" s="2"/>
      </tp>
      <tp t="s">
        <v>N/A</v>
        <stp/>
        <stp>VOLUME</stp>
        <stp>.NDXPC20425</stp>
        <tr r="G139" s="2"/>
        <tr r="F139" s="2"/>
        <tr r="E139" s="2"/>
        <tr r="D139" s="2"/>
        <tr r="C139" s="2"/>
        <tr r="B139" s="2"/>
      </tp>
      <tp>
        <v>131.9</v>
        <stp/>
        <stp>ASK</stp>
        <stp>.SPXW250507C5500</stp>
        <tr r="DC122" s="1"/>
        <tr r="DC122" s="1"/>
      </tp>
      <tp>
        <v>0.05</v>
        <stp/>
        <stp>ASK</stp>
        <stp>.SPXW250507P5500</stp>
        <tr r="DD122" s="1"/>
        <tr r="DD122" s="1"/>
      </tp>
      <tp>
        <v>121.7</v>
        <stp/>
        <stp>ASK</stp>
        <stp>.SPXW250507C5510</stp>
        <tr r="DC121" s="1"/>
        <tr r="DC121" s="1"/>
      </tp>
      <tp>
        <v>0.05</v>
        <stp/>
        <stp>ASK</stp>
        <stp>.SPXW250507P5510</stp>
        <tr r="DD121" s="1"/>
        <tr r="DD121" s="1"/>
      </tp>
      <tp>
        <v>111.7</v>
        <stp/>
        <stp>ASK</stp>
        <stp>.SPXW250507C5520</stp>
        <tr r="DC120" s="1"/>
        <tr r="DC120" s="1"/>
      </tp>
      <tp>
        <v>0.05</v>
        <stp/>
        <stp>ASK</stp>
        <stp>.SPXW250507P5520</stp>
        <tr r="DD120" s="1"/>
        <tr r="DD120" s="1"/>
      </tp>
      <tp>
        <v>101.7</v>
        <stp/>
        <stp>ASK</stp>
        <stp>.SPXW250507C5530</stp>
        <tr r="DC119" s="1"/>
        <tr r="DC119" s="1"/>
      </tp>
      <tp>
        <v>0.05</v>
        <stp/>
        <stp>ASK</stp>
        <stp>.SPXW250507P5530</stp>
        <tr r="DD119" s="1"/>
        <tr r="DD119" s="1"/>
      </tp>
      <tp>
        <v>91.7</v>
        <stp/>
        <stp>ASK</stp>
        <stp>.SPXW250507C5540</stp>
        <tr r="DC118" s="1"/>
        <tr r="DC118" s="1"/>
      </tp>
      <tp>
        <v>0.05</v>
        <stp/>
        <stp>ASK</stp>
        <stp>.SPXW250507P5540</stp>
        <tr r="DD118" s="1"/>
        <tr r="DD118" s="1"/>
      </tp>
      <tp>
        <v>81.7</v>
        <stp/>
        <stp>ASK</stp>
        <stp>.SPXW250507C5550</stp>
        <tr r="DC117" s="1"/>
        <tr r="DC117" s="1"/>
      </tp>
      <tp>
        <v>0.05</v>
        <stp/>
        <stp>ASK</stp>
        <stp>.SPXW250507P5550</stp>
        <tr r="DD117" s="1"/>
        <tr r="DD117" s="1"/>
      </tp>
      <tp>
        <v>71.7</v>
        <stp/>
        <stp>ASK</stp>
        <stp>.SPXW250507C5560</stp>
        <tr r="DC116" s="1"/>
        <tr r="DC116" s="1"/>
      </tp>
      <tp>
        <v>0.05</v>
        <stp/>
        <stp>ASK</stp>
        <stp>.SPXW250507P5560</stp>
        <tr r="DD116" s="1"/>
        <tr r="DD116" s="1"/>
      </tp>
      <tp>
        <v>61.7</v>
        <stp/>
        <stp>ASK</stp>
        <stp>.SPXW250507C5570</stp>
        <tr r="DC115" s="1"/>
        <tr r="DC115" s="1"/>
      </tp>
      <tp>
        <v>0.05</v>
        <stp/>
        <stp>ASK</stp>
        <stp>.SPXW250507P5570</stp>
        <tr r="DD115" s="1"/>
        <tr r="DD115" s="1"/>
      </tp>
      <tp>
        <v>51.7</v>
        <stp/>
        <stp>ASK</stp>
        <stp>.SPXW250507C5580</stp>
        <tr r="DC114" s="1"/>
        <tr r="DC114" s="1"/>
      </tp>
      <tp>
        <v>0.05</v>
        <stp/>
        <stp>ASK</stp>
        <stp>.SPXW250507P5580</stp>
        <tr r="DD114" s="1"/>
        <tr r="DD114" s="1"/>
      </tp>
      <tp>
        <v>41.7</v>
        <stp/>
        <stp>ASK</stp>
        <stp>.SPXW250507C5590</stp>
        <tr r="DC113" s="1"/>
        <tr r="DC113" s="1"/>
      </tp>
      <tp>
        <v>0.05</v>
        <stp/>
        <stp>ASK</stp>
        <stp>.SPXW250507P5590</stp>
        <tr r="DD113" s="1"/>
        <tr r="DD113" s="1"/>
      </tp>
      <tp>
        <v>298.14999999999998</v>
        <stp/>
        <stp>LAST</stp>
        <stp>.NDXP250507P20075</stp>
        <tr r="DB152" s="1"/>
        <tr r="DB152" s="1"/>
      </tp>
      <tp>
        <v>187.18</v>
        <stp/>
        <stp>LAST</stp>
        <stp>.NDXP250507P20050</stp>
        <tr r="DB153" s="1"/>
        <tr r="DB153" s="1"/>
      </tp>
      <tp>
        <v>221.4</v>
        <stp/>
        <stp>LAST</stp>
        <stp>.NDXP250507P20025</stp>
        <tr r="DB154" s="1"/>
        <tr r="DB154" s="1"/>
      </tp>
      <tp>
        <v>311.58</v>
        <stp/>
        <stp>LAST</stp>
        <stp>.NDXP250507P20000</stp>
        <tr r="DB155" s="1"/>
        <tr r="DB155" s="1"/>
      </tp>
      <tp>
        <v>0.5</v>
        <stp/>
        <stp>LAST</stp>
        <stp>.NDXP250507C20050</stp>
        <tr r="DA153" s="1"/>
        <tr r="DA153" s="1"/>
      </tp>
      <tp>
        <v>1.05</v>
        <stp/>
        <stp>LAST</stp>
        <stp>.NDXP250507C20075</stp>
        <tr r="DA152" s="1"/>
        <tr r="DA152" s="1"/>
      </tp>
      <tp>
        <v>0.05</v>
        <stp/>
        <stp>LAST</stp>
        <stp>.NDXP250507C20000</stp>
        <tr r="DA155" s="1"/>
        <tr r="DA155" s="1"/>
      </tp>
      <tp>
        <v>0.67</v>
        <stp/>
        <stp>LAST</stp>
        <stp>.NDXP250507C20025</stp>
        <tr r="DA154" s="1"/>
        <tr r="DA154" s="1"/>
      </tp>
      <tp>
        <v>211.9</v>
        <stp/>
        <stp>ASK</stp>
        <stp>.SPXW250507C5420</stp>
        <tr r="DC130" s="1"/>
        <tr r="DC130" s="1"/>
      </tp>
      <tp>
        <v>0.05</v>
        <stp/>
        <stp>ASK</stp>
        <stp>.SPXW250507P5420</stp>
        <tr r="DD130" s="1"/>
        <tr r="DD130" s="1"/>
      </tp>
      <tp>
        <v>201.7</v>
        <stp/>
        <stp>ASK</stp>
        <stp>.SPXW250507C5430</stp>
        <tr r="DC129" s="1"/>
        <tr r="DC129" s="1"/>
      </tp>
      <tp>
        <v>0.05</v>
        <stp/>
        <stp>ASK</stp>
        <stp>.SPXW250507P5430</stp>
        <tr r="DD129" s="1"/>
        <tr r="DD129" s="1"/>
      </tp>
      <tp>
        <v>191.7</v>
        <stp/>
        <stp>ASK</stp>
        <stp>.SPXW250507C5440</stp>
        <tr r="DC128" s="1"/>
        <tr r="DC128" s="1"/>
      </tp>
      <tp>
        <v>0.05</v>
        <stp/>
        <stp>ASK</stp>
        <stp>.SPXW250507P5440</stp>
        <tr r="DD128" s="1"/>
        <tr r="DD128" s="1"/>
      </tp>
      <tp>
        <v>181.7</v>
        <stp/>
        <stp>ASK</stp>
        <stp>.SPXW250507C5450</stp>
        <tr r="DC127" s="1"/>
        <tr r="DC127" s="1"/>
      </tp>
      <tp>
        <v>0.05</v>
        <stp/>
        <stp>ASK</stp>
        <stp>.SPXW250507P5450</stp>
        <tr r="DD127" s="1"/>
        <tr r="DD127" s="1"/>
      </tp>
      <tp>
        <v>171.7</v>
        <stp/>
        <stp>ASK</stp>
        <stp>.SPXW250507C5460</stp>
        <tr r="DC126" s="1"/>
        <tr r="DC126" s="1"/>
      </tp>
      <tp>
        <v>0.05</v>
        <stp/>
        <stp>ASK</stp>
        <stp>.SPXW250507P5460</stp>
        <tr r="DD126" s="1"/>
        <tr r="DD126" s="1"/>
      </tp>
      <tp>
        <v>161.69999999999999</v>
        <stp/>
        <stp>ASK</stp>
        <stp>.SPXW250507C5470</stp>
        <tr r="DC125" s="1"/>
        <tr r="DC125" s="1"/>
      </tp>
      <tp>
        <v>0.05</v>
        <stp/>
        <stp>ASK</stp>
        <stp>.SPXW250507P5470</stp>
        <tr r="DD125" s="1"/>
        <tr r="DD125" s="1"/>
      </tp>
      <tp>
        <v>151.69999999999999</v>
        <stp/>
        <stp>ASK</stp>
        <stp>.SPXW250507C5480</stp>
        <tr r="DC124" s="1"/>
        <tr r="DC124" s="1"/>
      </tp>
      <tp>
        <v>0.05</v>
        <stp/>
        <stp>ASK</stp>
        <stp>.SPXW250507P5480</stp>
        <tr r="DD124" s="1"/>
        <tr r="DD124" s="1"/>
      </tp>
      <tp>
        <v>141.69999999999999</v>
        <stp/>
        <stp>ASK</stp>
        <stp>.SPXW250507C5490</stp>
        <tr r="DC123" s="1"/>
        <tr r="DC123" s="1"/>
      </tp>
      <tp>
        <v>0.05</v>
        <stp/>
        <stp>ASK</stp>
        <stp>.SPXW250507P5490</stp>
        <tr r="DD123" s="1"/>
        <tr r="DD123" s="1"/>
      </tp>
      <tp>
        <v>1.75</v>
        <stp/>
        <stp>LAST</stp>
        <stp>.NDXP250507P19175</stp>
        <tr r="DB188" s="1"/>
        <tr r="DB188" s="1"/>
      </tp>
      <tp>
        <v>0</v>
        <stp/>
        <stp>LAST</stp>
        <stp>.NDXP250507P20175</stp>
        <tr r="DB148" s="1"/>
        <tr r="DB148" s="1"/>
      </tp>
      <tp>
        <v>0.23</v>
        <stp/>
        <stp>LAST</stp>
        <stp>.NDXP250507P19150</stp>
        <tr r="DB189" s="1"/>
        <tr r="DB189" s="1"/>
      </tp>
      <tp>
        <v>0</v>
        <stp/>
        <stp>LAST</stp>
        <stp>.NDXP250507P20150</stp>
        <tr r="DB149" s="1"/>
        <tr r="DB149" s="1"/>
      </tp>
      <tp>
        <v>0</v>
        <stp/>
        <stp>LAST</stp>
        <stp>.NDXP250507P20125</stp>
        <tr r="DB150" s="1"/>
        <tr r="DB150" s="1"/>
      </tp>
      <tp>
        <v>238.14</v>
        <stp/>
        <stp>LAST</stp>
        <stp>.NDXP250507P20100</stp>
        <tr r="DB151" s="1"/>
        <tr r="DB151" s="1"/>
      </tp>
      <tp>
        <v>605.30999999999995</v>
        <stp/>
        <stp>LAST</stp>
        <stp>.NDXP250507C19150</stp>
        <tr r="DA189" s="1"/>
        <tr r="DA189" s="1"/>
      </tp>
      <tp>
        <v>0.05</v>
        <stp/>
        <stp>LAST</stp>
        <stp>.NDXP250507C20150</stp>
        <tr r="DA149" s="1"/>
        <tr r="DA149" s="1"/>
      </tp>
      <tp>
        <v>0</v>
        <stp/>
        <stp>LAST</stp>
        <stp>.NDXP250507C19175</stp>
        <tr r="DA188" s="1"/>
        <tr r="DA188" s="1"/>
      </tp>
      <tp>
        <v>0.35</v>
        <stp/>
        <stp>LAST</stp>
        <stp>.NDXP250507C20175</stp>
        <tr r="DA148" s="1"/>
        <tr r="DA148" s="1"/>
      </tp>
      <tp>
        <v>0.3</v>
        <stp/>
        <stp>LAST</stp>
        <stp>.NDXP250507C20100</stp>
        <tr r="DA151" s="1"/>
        <tr r="DA151" s="1"/>
      </tp>
      <tp>
        <v>0.1</v>
        <stp/>
        <stp>LAST</stp>
        <stp>.NDXP250507C20125</stp>
        <tr r="DA150" s="1"/>
        <tr r="DA150" s="1"/>
      </tp>
      <tp>
        <v>0.05</v>
        <stp/>
        <stp>ASK</stp>
        <stp>.SPXW250507C5700</stp>
        <tr r="DC102" s="1"/>
        <tr r="DC102" s="1"/>
      </tp>
      <tp>
        <v>71.5</v>
        <stp/>
        <stp>ASK</stp>
        <stp>.SPXW250507P5700</stp>
        <tr r="DD102" s="1"/>
        <tr r="DD102" s="1"/>
      </tp>
      <tp>
        <v>0.05</v>
        <stp/>
        <stp>ASK</stp>
        <stp>.SPXW250507C5710</stp>
        <tr r="DC101" s="1"/>
        <tr r="DC101" s="1"/>
      </tp>
      <tp>
        <v>81.5</v>
        <stp/>
        <stp>ASK</stp>
        <stp>.SPXW250507P5710</stp>
        <tr r="DD101" s="1"/>
        <tr r="DD101" s="1"/>
      </tp>
      <tp>
        <v>0.05</v>
        <stp/>
        <stp>ASK</stp>
        <stp>.SPXW250507C5720</stp>
        <tr r="DC100" s="1"/>
        <tr r="DC100" s="1"/>
      </tp>
      <tp>
        <v>91.6</v>
        <stp/>
        <stp>ASK</stp>
        <stp>.SPXW250507P5720</stp>
        <tr r="DD100" s="1"/>
        <tr r="DD100" s="1"/>
      </tp>
      <tp>
        <v>0.05</v>
        <stp/>
        <stp>ASK</stp>
        <stp>.SPXW250507C5730</stp>
        <tr r="DC99" s="1"/>
        <tr r="DC99" s="1"/>
      </tp>
      <tp>
        <v>101.5</v>
        <stp/>
        <stp>ASK</stp>
        <stp>.SPXW250507P5730</stp>
        <tr r="DD99" s="1"/>
        <tr r="DD99" s="1"/>
      </tp>
      <tp>
        <v>0.05</v>
        <stp/>
        <stp>ASK</stp>
        <stp>.SPXW250507C5740</stp>
        <tr r="DC98" s="1"/>
        <tr r="DC98" s="1"/>
      </tp>
      <tp>
        <v>111.5</v>
        <stp/>
        <stp>ASK</stp>
        <stp>.SPXW250507P5740</stp>
        <tr r="DD98" s="1"/>
        <tr r="DD98" s="1"/>
      </tp>
      <tp>
        <v>0.05</v>
        <stp/>
        <stp>ASK</stp>
        <stp>.SPXW250507C5750</stp>
        <tr r="DC97" s="1"/>
        <tr r="DC97" s="1"/>
      </tp>
      <tp>
        <v>121.5</v>
        <stp/>
        <stp>ASK</stp>
        <stp>.SPXW250507P5750</stp>
        <tr r="DD97" s="1"/>
        <tr r="DD97" s="1"/>
      </tp>
      <tp>
        <v>0.05</v>
        <stp/>
        <stp>ASK</stp>
        <stp>.SPXW250507C5760</stp>
        <tr r="DC96" s="1"/>
        <tr r="DC96" s="1"/>
      </tp>
      <tp>
        <v>131.5</v>
        <stp/>
        <stp>ASK</stp>
        <stp>.SPXW250507P5760</stp>
        <tr r="DD96" s="1"/>
        <tr r="DD96" s="1"/>
      </tp>
      <tp>
        <v>0.05</v>
        <stp/>
        <stp>ASK</stp>
        <stp>.SPXW250507C5770</stp>
        <tr r="DC95" s="1"/>
        <tr r="DC95" s="1"/>
      </tp>
      <tp>
        <v>141.5</v>
        <stp/>
        <stp>ASK</stp>
        <stp>.SPXW250507P5770</stp>
        <tr r="DD95" s="1"/>
        <tr r="DD95" s="1"/>
      </tp>
      <tp>
        <v>0.05</v>
        <stp/>
        <stp>ASK</stp>
        <stp>.SPXW250507C5780</stp>
        <tr r="DC94" s="1"/>
        <tr r="DC94" s="1"/>
      </tp>
      <tp>
        <v>151.5</v>
        <stp/>
        <stp>ASK</stp>
        <stp>.SPXW250507P5780</stp>
        <tr r="DD94" s="1"/>
        <tr r="DD94" s="1"/>
      </tp>
      <tp>
        <v>-0.46</v>
        <stp/>
        <stp>DELTA</stp>
        <stp>.NDX250516P19825</stp>
        <tr r="CI162" s="1"/>
        <tr r="CI162" s="1"/>
      </tp>
      <tp>
        <v>0.05</v>
        <stp/>
        <stp>ASK</stp>
        <stp>.SPXW250507C5790</stp>
        <tr r="DC93" s="1"/>
        <tr r="DC93" s="1"/>
      </tp>
      <tp>
        <v>161.5</v>
        <stp/>
        <stp>ASK</stp>
        <stp>.SPXW250507P5790</stp>
        <tr r="DD93" s="1"/>
        <tr r="DD93" s="1"/>
      </tp>
      <tp>
        <v>-0.44</v>
        <stp/>
        <stp>DELTA</stp>
        <stp>.NDX250516P19800</stp>
        <tr r="CI163" s="1"/>
        <tr r="CI163" s="1"/>
      </tp>
      <tp>
        <v>-0.49</v>
        <stp/>
        <stp>DELTA</stp>
        <stp>.NDX250516P19875</stp>
        <tr r="CI160" s="1"/>
        <tr r="CI160" s="1"/>
      </tp>
      <tp>
        <v>-0.47</v>
        <stp/>
        <stp>DELTA</stp>
        <stp>.NDX250516P19850</stp>
        <tr r="CI161" s="1"/>
        <tr r="CI161" s="1"/>
      </tp>
      <tp>
        <v>0.55000000000000004</v>
        <stp/>
        <stp>DELTA</stp>
        <stp>.NDX250516C19800</stp>
        <tr r="CH163" s="1"/>
        <tr r="CH163" s="1"/>
      </tp>
      <tp>
        <v>0.54</v>
        <stp/>
        <stp>DELTA</stp>
        <stp>.NDX250516C19825</stp>
        <tr r="CH162" s="1"/>
        <tr r="CH162" s="1"/>
      </tp>
      <tp>
        <v>0.53</v>
        <stp/>
        <stp>DELTA</stp>
        <stp>.NDX250516C19850</stp>
        <tr r="CH161" s="1"/>
        <tr r="CH161" s="1"/>
      </tp>
      <tp>
        <v>0.51</v>
        <stp/>
        <stp>DELTA</stp>
        <stp>.NDX250516C19875</stp>
        <tr r="CH160" s="1"/>
        <tr r="CH160" s="1"/>
      </tp>
      <tp>
        <v>0.05</v>
        <stp/>
        <stp>LAST</stp>
        <stp>.NDXP250507P19275</stp>
        <tr r="DB184" s="1"/>
        <tr r="DB184" s="1"/>
      </tp>
      <tp>
        <v>0</v>
        <stp/>
        <stp>LAST</stp>
        <stp>.NDXP250507P20275</stp>
        <tr r="DB144" s="1"/>
        <tr r="DB144" s="1"/>
      </tp>
      <tp>
        <v>0.05</v>
        <stp/>
        <stp>LAST</stp>
        <stp>.NDXP250507P19250</stp>
        <tr r="DB185" s="1"/>
        <tr r="DB185" s="1"/>
      </tp>
      <tp>
        <v>0</v>
        <stp/>
        <stp>LAST</stp>
        <stp>.NDXP250507P20250</stp>
        <tr r="DB145" s="1"/>
        <tr r="DB145" s="1"/>
      </tp>
      <tp>
        <v>0.39</v>
        <stp/>
        <stp>LAST</stp>
        <stp>.NDXP250507P19225</stp>
        <tr r="DB186" s="1"/>
        <tr r="DB186" s="1"/>
      </tp>
      <tp>
        <v>0</v>
        <stp/>
        <stp>LAST</stp>
        <stp>.NDXP250507P20225</stp>
        <tr r="DB146" s="1"/>
        <tr r="DB146" s="1"/>
      </tp>
      <tp>
        <v>0.05</v>
        <stp/>
        <stp>LAST</stp>
        <stp>.NDXP250507P19200</stp>
        <tr r="DB187" s="1"/>
        <tr r="DB187" s="1"/>
      </tp>
      <tp>
        <v>500.43</v>
        <stp/>
        <stp>LAST</stp>
        <stp>.NDXP250507P20200</stp>
        <tr r="DB147" s="1"/>
        <tr r="DB147" s="1"/>
      </tp>
      <tp>
        <v>921.9</v>
        <stp/>
        <stp>LAST</stp>
        <stp>.NDXP250507C19250</stp>
        <tr r="DA185" s="1"/>
        <tr r="DA185" s="1"/>
      </tp>
      <tp>
        <v>0.15</v>
        <stp/>
        <stp>LAST</stp>
        <stp>.NDXP250507C20250</stp>
        <tr r="DA145" s="1"/>
        <tr r="DA145" s="1"/>
      </tp>
      <tp>
        <v>0</v>
        <stp/>
        <stp>LAST</stp>
        <stp>.NDXP250507C19275</stp>
        <tr r="DA184" s="1"/>
        <tr r="DA184" s="1"/>
      </tp>
      <tp>
        <v>0.25</v>
        <stp/>
        <stp>LAST</stp>
        <stp>.NDXP250507C20275</stp>
        <tr r="DA144" s="1"/>
        <tr r="DA144" s="1"/>
      </tp>
      <tp>
        <v>615</v>
        <stp/>
        <stp>LAST</stp>
        <stp>.NDXP250507C19200</stp>
        <tr r="DA187" s="1"/>
        <tr r="DA187" s="1"/>
      </tp>
      <tp>
        <v>0.5</v>
        <stp/>
        <stp>LAST</stp>
        <stp>.NDXP250507C20200</stp>
        <tr r="DA147" s="1"/>
        <tr r="DA147" s="1"/>
      </tp>
      <tp>
        <v>404.1</v>
        <stp/>
        <stp>LAST</stp>
        <stp>.NDXP250507C19225</stp>
        <tr r="DA186" s="1"/>
        <tr r="DA186" s="1"/>
      </tp>
      <tp>
        <v>0.15</v>
        <stp/>
        <stp>LAST</stp>
        <stp>.NDXP250507C20225</stp>
        <tr r="DA146" s="1"/>
        <tr r="DA146" s="1"/>
      </tp>
      <tp>
        <v>31.7</v>
        <stp/>
        <stp>ASK</stp>
        <stp>.SPXW250507C5600</stp>
        <tr r="DC112" s="1"/>
        <tr r="DC112" s="1"/>
      </tp>
      <tp>
        <v>0.05</v>
        <stp/>
        <stp>ASK</stp>
        <stp>.SPXW250507P5600</stp>
        <tr r="DD112" s="1"/>
        <tr r="DD112" s="1"/>
      </tp>
      <tp>
        <v>21.7</v>
        <stp/>
        <stp>ASK</stp>
        <stp>.SPXW250507C5610</stp>
        <tr r="DC111" s="1"/>
        <tr r="DC111" s="1"/>
      </tp>
      <tp>
        <v>0.05</v>
        <stp/>
        <stp>ASK</stp>
        <stp>.SPXW250507P5610</stp>
        <tr r="DD111" s="1"/>
        <tr r="DD111" s="1"/>
      </tp>
      <tp>
        <v>11.7</v>
        <stp/>
        <stp>ASK</stp>
        <stp>.SPXW250507C5620</stp>
        <tr r="DC110" s="1"/>
        <tr r="DC110" s="1"/>
      </tp>
      <tp>
        <v>0.05</v>
        <stp/>
        <stp>ASK</stp>
        <stp>.SPXW250507P5620</stp>
        <tr r="DD110" s="1"/>
        <tr r="DD110" s="1"/>
      </tp>
      <tp>
        <v>2.2999999999999998</v>
        <stp/>
        <stp>ASK</stp>
        <stp>.SPXW250507C5630</stp>
        <tr r="DC109" s="1"/>
        <tr r="DC109" s="1"/>
      </tp>
      <tp>
        <v>0.5</v>
        <stp/>
        <stp>ASK</stp>
        <stp>.SPXW250507P5630</stp>
        <tr r="DD109" s="1"/>
        <tr r="DD109" s="1"/>
      </tp>
      <tp>
        <v>0.2</v>
        <stp/>
        <stp>ASK</stp>
        <stp>.SPXW250507C5640</stp>
        <tr r="DC108" s="1"/>
        <tr r="DC108" s="1"/>
      </tp>
      <tp>
        <v>9.8000000000000007</v>
        <stp/>
        <stp>ASK</stp>
        <stp>.SPXW250507P5640</stp>
        <tr r="DD108" s="1"/>
        <tr r="DD108" s="1"/>
      </tp>
      <tp>
        <v>0.05</v>
        <stp/>
        <stp>ASK</stp>
        <stp>.SPXW250507C5650</stp>
        <tr r="DC107" s="1"/>
        <tr r="DC107" s="1"/>
      </tp>
      <tp>
        <v>20.2</v>
        <stp/>
        <stp>ASK</stp>
        <stp>.SPXW250507P5650</stp>
        <tr r="DD107" s="1"/>
        <tr r="DD107" s="1"/>
      </tp>
      <tp>
        <v>0.05</v>
        <stp/>
        <stp>ASK</stp>
        <stp>.SPXW250507C5660</stp>
        <tr r="DC106" s="1"/>
        <tr r="DC106" s="1"/>
      </tp>
      <tp>
        <v>31.6</v>
        <stp/>
        <stp>ASK</stp>
        <stp>.SPXW250507P5660</stp>
        <tr r="DD106" s="1"/>
        <tr r="DD106" s="1"/>
      </tp>
      <tp>
        <v>0.05</v>
        <stp/>
        <stp>ASK</stp>
        <stp>.SPXW250507C5670</stp>
        <tr r="DC105" s="1"/>
        <tr r="DC105" s="1"/>
      </tp>
      <tp>
        <v>41.5</v>
        <stp/>
        <stp>ASK</stp>
        <stp>.SPXW250507P5670</stp>
        <tr r="DD105" s="1"/>
        <tr r="DD105" s="1"/>
      </tp>
      <tp>
        <v>0.05</v>
        <stp/>
        <stp>ASK</stp>
        <stp>.SPXW250507C5680</stp>
        <tr r="DC104" s="1"/>
        <tr r="DC104" s="1"/>
      </tp>
      <tp>
        <v>51.5</v>
        <stp/>
        <stp>ASK</stp>
        <stp>.SPXW250507P5680</stp>
        <tr r="DD104" s="1"/>
        <tr r="DD104" s="1"/>
      </tp>
      <tp>
        <v>-0.51</v>
        <stp/>
        <stp>DELTA</stp>
        <stp>.NDX250516P19925</stp>
        <tr r="CI158" s="1"/>
        <tr r="CI158" s="1"/>
      </tp>
      <tp>
        <v>0.05</v>
        <stp/>
        <stp>ASK</stp>
        <stp>.SPXW250507C5690</stp>
        <tr r="DC103" s="1"/>
        <tr r="DC103" s="1"/>
      </tp>
      <tp>
        <v>61.5</v>
        <stp/>
        <stp>ASK</stp>
        <stp>.SPXW250507P5690</stp>
        <tr r="DD103" s="1"/>
        <tr r="DD103" s="1"/>
      </tp>
      <tp>
        <v>-0.5</v>
        <stp/>
        <stp>DELTA</stp>
        <stp>.NDX250516P19900</stp>
        <tr r="CI159" s="1"/>
        <tr r="CI159" s="1"/>
      </tp>
      <tp>
        <v>-0.54</v>
        <stp/>
        <stp>DELTA</stp>
        <stp>.NDX250516P19975</stp>
        <tr r="CI156" s="1"/>
        <tr r="CI156" s="1"/>
      </tp>
      <tp>
        <v>-0.53</v>
        <stp/>
        <stp>DELTA</stp>
        <stp>.NDX250516P19950</stp>
        <tr r="CI157" s="1"/>
        <tr r="CI157" s="1"/>
      </tp>
      <tp>
        <v>0.5</v>
        <stp/>
        <stp>DELTA</stp>
        <stp>.NDX250516C19900</stp>
        <tr r="CH159" s="1"/>
        <tr r="CH159" s="1"/>
      </tp>
      <tp>
        <v>0.49</v>
        <stp/>
        <stp>DELTA</stp>
        <stp>.NDX250516C19925</stp>
        <tr r="CH158" s="1"/>
        <tr r="CH158" s="1"/>
      </tp>
      <tp>
        <v>0.47</v>
        <stp/>
        <stp>DELTA</stp>
        <stp>.NDX250516C19950</stp>
        <tr r="CH157" s="1"/>
        <tr r="CH157" s="1"/>
      </tp>
      <tp>
        <v>0.46</v>
        <stp/>
        <stp>DELTA</stp>
        <stp>.NDX250516C19975</stp>
        <tr r="CH156" s="1"/>
        <tr r="CH156" s="1"/>
      </tp>
      <tp>
        <v>0.6</v>
        <stp/>
        <stp>LAST</stp>
        <stp>.NDXP250507P19375</stp>
        <tr r="DB180" s="1"/>
        <tr r="DB180" s="1"/>
      </tp>
      <tp>
        <v>0</v>
        <stp/>
        <stp>LAST</stp>
        <stp>.NDXP250507P20375</stp>
        <tr r="DB140" s="1"/>
        <tr r="DB140" s="1"/>
      </tp>
      <tp>
        <v>0.45</v>
        <stp/>
        <stp>LAST</stp>
        <stp>.NDXP250507P19350</stp>
        <tr r="DB181" s="1"/>
        <tr r="DB181" s="1"/>
      </tp>
      <tp>
        <v>0</v>
        <stp/>
        <stp>LAST</stp>
        <stp>.NDXP250507P20350</stp>
        <tr r="DB141" s="1"/>
        <tr r="DB141" s="1"/>
      </tp>
      <tp>
        <v>0.68</v>
        <stp/>
        <stp>LAST</stp>
        <stp>.NDXP250507P19325</stp>
        <tr r="DB182" s="1"/>
        <tr r="DB182" s="1"/>
      </tp>
      <tp>
        <v>0</v>
        <stp/>
        <stp>LAST</stp>
        <stp>.NDXP250507P20325</stp>
        <tr r="DB142" s="1"/>
        <tr r="DB142" s="1"/>
      </tp>
      <tp>
        <v>0.05</v>
        <stp/>
        <stp>LAST</stp>
        <stp>.NDXP250507P19300</stp>
        <tr r="DB183" s="1"/>
        <tr r="DB183" s="1"/>
      </tp>
      <tp>
        <v>681.35</v>
        <stp/>
        <stp>LAST</stp>
        <stp>.NDXP250507P20300</stp>
        <tr r="DB143" s="1"/>
        <tr r="DB143" s="1"/>
      </tp>
      <tp>
        <v>508.45</v>
        <stp/>
        <stp>LAST</stp>
        <stp>.NDXP250507C19350</stp>
        <tr r="DA181" s="1"/>
        <tr r="DA181" s="1"/>
      </tp>
      <tp>
        <v>0.05</v>
        <stp/>
        <stp>LAST</stp>
        <stp>.NDXP250507C20350</stp>
        <tr r="DA141" s="1"/>
        <tr r="DA141" s="1"/>
      </tp>
      <tp>
        <v>0</v>
        <stp/>
        <stp>LAST</stp>
        <stp>.NDXP250507C19375</stp>
        <tr r="DA180" s="1"/>
        <tr r="DA180" s="1"/>
      </tp>
      <tp>
        <v>0.2</v>
        <stp/>
        <stp>LAST</stp>
        <stp>.NDXP250507C20375</stp>
        <tr r="DA140" s="1"/>
        <tr r="DA140" s="1"/>
      </tp>
      <tp>
        <v>748.03</v>
        <stp/>
        <stp>LAST</stp>
        <stp>.NDXP250507C19300</stp>
        <tr r="DA183" s="1"/>
        <tr r="DA183" s="1"/>
      </tp>
      <tp>
        <v>0.1</v>
        <stp/>
        <stp>LAST</stp>
        <stp>.NDXP250507C20300</stp>
        <tr r="DA143" s="1"/>
        <tr r="DA143" s="1"/>
      </tp>
      <tp>
        <v>310.2</v>
        <stp/>
        <stp>LAST</stp>
        <stp>.NDXP250507C19325</stp>
        <tr r="DA182" s="1"/>
        <tr r="DA182" s="1"/>
      </tp>
      <tp>
        <v>0.82</v>
        <stp/>
        <stp>LAST</stp>
        <stp>.NDXP250507C20325</stp>
        <tr r="DA142" s="1"/>
        <tr r="DA142" s="1"/>
      </tp>
      <tp>
        <v>1.23</v>
        <stp/>
        <stp>LAST</stp>
        <stp>.NDXP250507P19475</stp>
        <tr r="DB176" s="1"/>
        <tr r="DB176" s="1"/>
      </tp>
      <tp>
        <v>0.05</v>
        <stp/>
        <stp>LAST</stp>
        <stp>.NDXP250507P19450</stp>
        <tr r="DB177" s="1"/>
        <tr r="DB177" s="1"/>
      </tp>
      <tp>
        <v>0</v>
        <stp/>
        <stp>LAST</stp>
        <stp>.NDXP250507P20450</stp>
        <tr r="DB137" s="1"/>
        <tr r="DB137" s="1"/>
      </tp>
      <tp>
        <v>0.15</v>
        <stp/>
        <stp>LAST</stp>
        <stp>.NDXP250507P19425</stp>
        <tr r="DB178" s="1"/>
        <tr r="DB178" s="1"/>
      </tp>
      <tp>
        <v>0</v>
        <stp/>
        <stp>LAST</stp>
        <stp>.NDXP250507P20425</stp>
        <tr r="DB138" s="1"/>
        <tr r="DB138" s="1"/>
      </tp>
      <tp>
        <v>0.4</v>
        <stp/>
        <stp>LAST</stp>
        <stp>.NDXP250507P19400</stp>
        <tr r="DB179" s="1"/>
        <tr r="DB179" s="1"/>
      </tp>
      <tp>
        <v>0</v>
        <stp/>
        <stp>LAST</stp>
        <stp>.NDXP250507P20400</stp>
        <tr r="DB139" s="1"/>
        <tr r="DB139" s="1"/>
      </tp>
      <tp>
        <v>213.16</v>
        <stp/>
        <stp>LAST</stp>
        <stp>.NDXP250507C19450</stp>
        <tr r="DA177" s="1"/>
        <tr r="DA177" s="1"/>
      </tp>
      <tp>
        <v>0.2</v>
        <stp/>
        <stp>LAST</stp>
        <stp>.NDXP250507C20450</stp>
        <tr r="DA137" s="1"/>
        <tr r="DA137" s="1"/>
      </tp>
      <tp>
        <v>248.2</v>
        <stp/>
        <stp>LAST</stp>
        <stp>.NDXP250507C19475</stp>
        <tr r="DA176" s="1"/>
        <tr r="DA176" s="1"/>
      </tp>
      <tp>
        <v>346.22</v>
        <stp/>
        <stp>LAST</stp>
        <stp>.NDXP250507C19400</stp>
        <tr r="DA179" s="1"/>
        <tr r="DA179" s="1"/>
      </tp>
      <tp>
        <v>0.15</v>
        <stp/>
        <stp>LAST</stp>
        <stp>.NDXP250507C20400</stp>
        <tr r="DA139" s="1"/>
        <tr r="DA139" s="1"/>
      </tp>
      <tp>
        <v>322.77</v>
        <stp/>
        <stp>LAST</stp>
        <stp>.NDXP250507C19425</stp>
        <tr r="DA178" s="1"/>
        <tr r="DA178" s="1"/>
      </tp>
      <tp>
        <v>0.16</v>
        <stp/>
        <stp>LAST</stp>
        <stp>.NDXP250507C20425</stp>
        <tr r="DA138" s="1"/>
        <tr r="DA138" s="1"/>
      </tp>
      <tp>
        <v>0.28000000000000003</v>
        <stp/>
        <stp>LAST</stp>
        <stp>.NDXP250507P19575</stp>
        <tr r="DB172" s="1"/>
        <tr r="DB172" s="1"/>
      </tp>
      <tp>
        <v>0.33</v>
        <stp/>
        <stp>LAST</stp>
        <stp>.NDXP250507P19550</stp>
        <tr r="DB173" s="1"/>
        <tr r="DB173" s="1"/>
      </tp>
      <tp>
        <v>0.25</v>
        <stp/>
        <stp>LAST</stp>
        <stp>.NDXP250507P19525</stp>
        <tr r="DB174" s="1"/>
        <tr r="DB174" s="1"/>
      </tp>
      <tp>
        <v>0.23</v>
        <stp/>
        <stp>LAST</stp>
        <stp>.NDXP250507P19500</stp>
        <tr r="DB175" s="1"/>
        <tr r="DB175" s="1"/>
      </tp>
      <tp>
        <v>168.65</v>
        <stp/>
        <stp>LAST</stp>
        <stp>.NDXP250507C19550</stp>
        <tr r="DA173" s="1"/>
        <tr r="DA173" s="1"/>
      </tp>
      <tp>
        <v>271.7</v>
        <stp/>
        <stp>LAST</stp>
        <stp>.NDXP250507C19575</stp>
        <tr r="DA172" s="1"/>
        <tr r="DA172" s="1"/>
      </tp>
      <tp>
        <v>261.95</v>
        <stp/>
        <stp>LAST</stp>
        <stp>.NDXP250507C19500</stp>
        <tr r="DA175" s="1"/>
        <tr r="DA175" s="1"/>
      </tp>
      <tp>
        <v>152.82</v>
        <stp/>
        <stp>LAST</stp>
        <stp>.NDXP250507C19525</stp>
        <tr r="DA174" s="1"/>
        <tr r="DA174" s="1"/>
      </tp>
      <tp>
        <v>2</v>
        <stp/>
        <stp>LAST</stp>
        <stp>.NDXP250507P19675</stp>
        <tr r="DB168" s="1"/>
        <tr r="DB168" s="1"/>
      </tp>
      <tp>
        <v>0.05</v>
        <stp/>
        <stp>LAST</stp>
        <stp>.NDXP250507P19650</stp>
        <tr r="DB169" s="1"/>
        <tr r="DB169" s="1"/>
      </tp>
      <tp>
        <v>0.38</v>
        <stp/>
        <stp>LAST</stp>
        <stp>.NDXP250507P19625</stp>
        <tr r="DB170" s="1"/>
        <tr r="DB170" s="1"/>
      </tp>
      <tp>
        <v>0.05</v>
        <stp/>
        <stp>LAST</stp>
        <stp>.NDXP250507P19600</stp>
        <tr r="DB171" s="1"/>
        <tr r="DB171" s="1"/>
      </tp>
      <tp>
        <v>211.64</v>
        <stp/>
        <stp>LAST</stp>
        <stp>.NDXP250507C19650</stp>
        <tr r="DA169" s="1"/>
        <tr r="DA169" s="1"/>
      </tp>
      <tp>
        <v>62.35</v>
        <stp/>
        <stp>LAST</stp>
        <stp>.NDXP250507C19675</stp>
        <tr r="DA168" s="1"/>
        <tr r="DA168" s="1"/>
      </tp>
      <tp>
        <v>136.6</v>
        <stp/>
        <stp>LAST</stp>
        <stp>.NDXP250507C19600</stp>
        <tr r="DA171" s="1"/>
        <tr r="DA171" s="1"/>
      </tp>
      <tp>
        <v>120.7</v>
        <stp/>
        <stp>LAST</stp>
        <stp>.NDXP250507C19625</stp>
        <tr r="DA170" s="1"/>
        <tr r="DA170" s="1"/>
      </tp>
      <tp>
        <v>0.61</v>
        <stp/>
        <stp>LAST</stp>
        <stp>.NDXP250507P19775</stp>
        <tr r="DB164" s="1"/>
        <tr r="DB164" s="1"/>
      </tp>
      <tp>
        <v>0.45</v>
        <stp/>
        <stp>LAST</stp>
        <stp>.NDXP250507P19750</stp>
        <tr r="DB165" s="1"/>
        <tr r="DB165" s="1"/>
      </tp>
      <tp>
        <v>3</v>
        <stp/>
        <stp>LAST</stp>
        <stp>.NDXP250507P19725</stp>
        <tr r="DB166" s="1"/>
        <tr r="DB166" s="1"/>
      </tp>
      <tp>
        <v>0.28000000000000003</v>
        <stp/>
        <stp>LAST</stp>
        <stp>.NDXP250507P19700</stp>
        <tr r="DB167" s="1"/>
        <tr r="DB167" s="1"/>
      </tp>
      <tp>
        <v>82</v>
        <stp/>
        <stp>LAST</stp>
        <stp>.NDXP250507C19750</stp>
        <tr r="DA165" s="1"/>
        <tr r="DA165" s="1"/>
      </tp>
      <tp>
        <v>104</v>
        <stp/>
        <stp>LAST</stp>
        <stp>.NDXP250507C19775</stp>
        <tr r="DA164" s="1"/>
        <tr r="DA164" s="1"/>
      </tp>
      <tp>
        <v>159.69999999999999</v>
        <stp/>
        <stp>LAST</stp>
        <stp>.NDXP250507C19700</stp>
        <tr r="DA167" s="1"/>
        <tr r="DA167" s="1"/>
      </tp>
      <tp>
        <v>98.1</v>
        <stp/>
        <stp>LAST</stp>
        <stp>.NDXP250507C19725</stp>
        <tr r="DA166" s="1"/>
        <tr r="DA166" s="1"/>
      </tp>
      <tp>
        <v>-0.69</v>
        <stp/>
        <stp>DELTA</stp>
        <stp>.NDX250516P20225</stp>
        <tr r="CI146" s="1"/>
        <tr r="CI146" s="1"/>
      </tp>
      <tp>
        <v>-0.2</v>
        <stp/>
        <stp>DELTA</stp>
        <stp>.NDX250516P19225</stp>
        <tr r="CI186" s="1"/>
        <tr r="CI186" s="1"/>
      </tp>
      <tp>
        <v>-0.67</v>
        <stp/>
        <stp>DELTA</stp>
        <stp>.NDX250516P20200</stp>
        <tr r="CI147" s="1"/>
        <tr r="CI147" s="1"/>
      </tp>
      <tp>
        <v>-0.19</v>
        <stp/>
        <stp>DELTA</stp>
        <stp>.NDX250516P19200</stp>
        <tr r="CI187" s="1"/>
        <tr r="CI187" s="1"/>
      </tp>
      <tp>
        <v>-0.71</v>
        <stp/>
        <stp>DELTA</stp>
        <stp>.NDX250516P20275</stp>
        <tr r="CI144" s="1"/>
        <tr r="CI144" s="1"/>
      </tp>
      <tp>
        <v>-0.22</v>
        <stp/>
        <stp>DELTA</stp>
        <stp>.NDX250516P19275</stp>
        <tr r="CI184" s="1"/>
        <tr r="CI184" s="1"/>
      </tp>
      <tp>
        <v>-0.7</v>
        <stp/>
        <stp>DELTA</stp>
        <stp>.NDX250516P20250</stp>
        <tr r="CI145" s="1"/>
        <tr r="CI145" s="1"/>
      </tp>
      <tp>
        <v>-0.21</v>
        <stp/>
        <stp>DELTA</stp>
        <stp>.NDX250516P19250</stp>
        <tr r="CI185" s="1"/>
        <tr r="CI185" s="1"/>
      </tp>
      <tp>
        <v>0.34</v>
        <stp/>
        <stp>DELTA</stp>
        <stp>.NDX250516C20200</stp>
        <tr r="CH147" s="1"/>
        <tr r="CH147" s="1"/>
      </tp>
      <tp>
        <v>0.8</v>
        <stp/>
        <stp>DELTA</stp>
        <stp>.NDX250516C19200</stp>
        <tr r="CH187" s="1"/>
        <tr r="CH187" s="1"/>
      </tp>
      <tp>
        <v>0.32</v>
        <stp/>
        <stp>DELTA</stp>
        <stp>.NDX250516C20225</stp>
        <tr r="CH146" s="1"/>
        <tr r="CH146" s="1"/>
      </tp>
      <tp>
        <v>0.79</v>
        <stp/>
        <stp>DELTA</stp>
        <stp>.NDX250516C19225</stp>
        <tr r="CH186" s="1"/>
        <tr r="CH186" s="1"/>
      </tp>
      <tp>
        <v>0.31</v>
        <stp/>
        <stp>DELTA</stp>
        <stp>.NDX250516C20250</stp>
        <tr r="CH145" s="1"/>
        <tr r="CH145" s="1"/>
      </tp>
      <tp>
        <v>0.78</v>
        <stp/>
        <stp>DELTA</stp>
        <stp>.NDX250516C19250</stp>
        <tr r="CH185" s="1"/>
        <tr r="CH185" s="1"/>
      </tp>
      <tp>
        <v>0.3</v>
        <stp/>
        <stp>DELTA</stp>
        <stp>.NDX250516C20275</stp>
        <tr r="CH144" s="1"/>
        <tr r="CH144" s="1"/>
      </tp>
      <tp>
        <v>0.77</v>
        <stp/>
        <stp>DELTA</stp>
        <stp>.NDX250516C19275</stp>
        <tr r="CH184" s="1"/>
        <tr r="CH184" s="1"/>
      </tp>
      <tp>
        <v>7.2</v>
        <stp/>
        <stp>LAST</stp>
        <stp>.NDXP250507P19875</stp>
        <tr r="DB160" s="1"/>
        <tr r="DB160" s="1"/>
      </tp>
      <tp>
        <v>0.05</v>
        <stp/>
        <stp>LAST</stp>
        <stp>.NDXP250507P19850</stp>
        <tr r="DB161" s="1"/>
        <tr r="DB161" s="1"/>
      </tp>
      <tp>
        <v>22</v>
        <stp/>
        <stp>LAST</stp>
        <stp>.NDXP250507P19825</stp>
        <tr r="DB162" s="1"/>
        <tr r="DB162" s="1"/>
      </tp>
      <tp>
        <v>1.54</v>
        <stp/>
        <stp>LAST</stp>
        <stp>.NDXP250507P19800</stp>
        <tr r="DB163" s="1"/>
        <tr r="DB163" s="1"/>
      </tp>
      <tp>
        <v>26.2</v>
        <stp/>
        <stp>LAST</stp>
        <stp>.NDXP250507C19850</stp>
        <tr r="DA161" s="1"/>
        <tr r="DA161" s="1"/>
      </tp>
      <tp>
        <v>10.3</v>
        <stp/>
        <stp>LAST</stp>
        <stp>.NDXP250507C19875</stp>
        <tr r="DA160" s="1"/>
        <tr r="DA160" s="1"/>
      </tp>
      <tp>
        <v>79</v>
        <stp/>
        <stp>LAST</stp>
        <stp>.NDXP250507C19800</stp>
        <tr r="DA163" s="1"/>
        <tr r="DA163" s="1"/>
      </tp>
      <tp>
        <v>24.05</v>
        <stp/>
        <stp>LAST</stp>
        <stp>.NDXP250507C19825</stp>
        <tr r="DA162" s="1"/>
        <tr r="DA162" s="1"/>
      </tp>
      <tp>
        <v>-0.74</v>
        <stp/>
        <stp>DELTA</stp>
        <stp>.NDX250516P20325</stp>
        <tr r="CI142" s="1"/>
        <tr r="CI142" s="1"/>
      </tp>
      <tp>
        <v>-0.23</v>
        <stp/>
        <stp>DELTA</stp>
        <stp>.NDX250516P19325</stp>
        <tr r="CI182" s="1"/>
        <tr r="CI182" s="1"/>
      </tp>
      <tp>
        <v>-0.73</v>
        <stp/>
        <stp>DELTA</stp>
        <stp>.NDX250516P20300</stp>
        <tr r="CI143" s="1"/>
        <tr r="CI143" s="1"/>
      </tp>
      <tp>
        <v>-0.22</v>
        <stp/>
        <stp>DELTA</stp>
        <stp>.NDX250516P19300</stp>
        <tr r="CI183" s="1"/>
        <tr r="CI183" s="1"/>
      </tp>
      <tp>
        <v>-0.77</v>
        <stp/>
        <stp>DELTA</stp>
        <stp>.NDX250516P20375</stp>
        <tr r="CI140" s="1"/>
        <tr r="CI140" s="1"/>
      </tp>
      <tp>
        <v>-0.25</v>
        <stp/>
        <stp>DELTA</stp>
        <stp>.NDX250516P19375</stp>
        <tr r="CI180" s="1"/>
        <tr r="CI180" s="1"/>
      </tp>
      <tp>
        <v>-0.75</v>
        <stp/>
        <stp>DELTA</stp>
        <stp>.NDX250516P20350</stp>
        <tr r="CI141" s="1"/>
        <tr r="CI141" s="1"/>
      </tp>
      <tp>
        <v>-0.24</v>
        <stp/>
        <stp>DELTA</stp>
        <stp>.NDX250516P19350</stp>
        <tr r="CI181" s="1"/>
        <tr r="CI181" s="1"/>
      </tp>
      <tp>
        <v>0.28000000000000003</v>
        <stp/>
        <stp>DELTA</stp>
        <stp>.NDX250516C20300</stp>
        <tr r="CH143" s="1"/>
        <tr r="CH143" s="1"/>
      </tp>
      <tp>
        <v>0.76</v>
        <stp/>
        <stp>DELTA</stp>
        <stp>.NDX250516C19300</stp>
        <tr r="CH183" s="1"/>
        <tr r="CH183" s="1"/>
      </tp>
      <tp>
        <v>0.27</v>
        <stp/>
        <stp>DELTA</stp>
        <stp>.NDX250516C20325</stp>
        <tr r="CH142" s="1"/>
        <tr r="CH142" s="1"/>
      </tp>
      <tp>
        <v>0.75</v>
        <stp/>
        <stp>DELTA</stp>
        <stp>.NDX250516C19325</stp>
        <tr r="CH182" s="1"/>
        <tr r="CH182" s="1"/>
      </tp>
      <tp>
        <v>0.26</v>
        <stp/>
        <stp>DELTA</stp>
        <stp>.NDX250516C20350</stp>
        <tr r="CH141" s="1"/>
        <tr r="CH141" s="1"/>
      </tp>
      <tp>
        <v>0.75</v>
        <stp/>
        <stp>DELTA</stp>
        <stp>.NDX250516C19350</stp>
        <tr r="CH181" s="1"/>
        <tr r="CH181" s="1"/>
      </tp>
      <tp>
        <v>0.25</v>
        <stp/>
        <stp>DELTA</stp>
        <stp>.NDX250516C20375</stp>
        <tr r="CH140" s="1"/>
        <tr r="CH140" s="1"/>
      </tp>
      <tp>
        <v>0.74</v>
        <stp/>
        <stp>DELTA</stp>
        <stp>.NDX250516C19375</stp>
        <tr r="CH180" s="1"/>
        <tr r="CH180" s="1"/>
      </tp>
      <tp>
        <v>56.71</v>
        <stp/>
        <stp>LAST</stp>
        <stp>.NDXP250507P19975</stp>
        <tr r="DB156" s="1"/>
        <tr r="DB156" s="1"/>
      </tp>
      <tp>
        <v>82</v>
        <stp/>
        <stp>LAST</stp>
        <stp>.NDXP250507P19950</stp>
        <tr r="DB157" s="1"/>
        <tr r="DB157" s="1"/>
      </tp>
      <tp>
        <v>97.98</v>
        <stp/>
        <stp>LAST</stp>
        <stp>.NDXP250507P19925</stp>
        <tr r="DB158" s="1"/>
        <tr r="DB158" s="1"/>
      </tp>
      <tp>
        <v>43.9</v>
        <stp/>
        <stp>LAST</stp>
        <stp>.NDXP250507P19900</stp>
        <tr r="DB159" s="1"/>
        <tr r="DB159" s="1"/>
      </tp>
      <tp>
        <v>0.05</v>
        <stp/>
        <stp>LAST</stp>
        <stp>.NDXP250507C19950</stp>
        <tr r="DA157" s="1"/>
        <tr r="DA157" s="1"/>
      </tp>
      <tp>
        <v>1.6</v>
        <stp/>
        <stp>LAST</stp>
        <stp>.NDXP250507C19975</stp>
        <tr r="DA156" s="1"/>
        <tr r="DA156" s="1"/>
      </tp>
      <tp>
        <v>0.5</v>
        <stp/>
        <stp>LAST</stp>
        <stp>.NDXP250507C19900</stp>
        <tr r="DA159" s="1"/>
        <tr r="DA159" s="1"/>
      </tp>
      <tp>
        <v>0.45</v>
        <stp/>
        <stp>LAST</stp>
        <stp>.NDXP250507C19925</stp>
        <tr r="DA158" s="1"/>
        <tr r="DA158" s="1"/>
      </tp>
      <tp>
        <v>-0.56999999999999995</v>
        <stp/>
        <stp>DELTA</stp>
        <stp>.NDX250516P20025</stp>
        <tr r="CI154" s="1"/>
        <tr r="CI154" s="1"/>
      </tp>
      <tp>
        <v>-0.56000000000000005</v>
        <stp/>
        <stp>DELTA</stp>
        <stp>.NDX250516P20000</stp>
        <tr r="CI155" s="1"/>
        <tr r="CI155" s="1"/>
      </tp>
      <tp>
        <v>-0.6</v>
        <stp/>
        <stp>DELTA</stp>
        <stp>.NDX250516P20075</stp>
        <tr r="CI152" s="1"/>
        <tr r="CI152" s="1"/>
      </tp>
      <tp>
        <v>-0.59</v>
        <stp/>
        <stp>DELTA</stp>
        <stp>.NDX250516P20050</stp>
        <tr r="CI153" s="1"/>
        <tr r="CI153" s="1"/>
      </tp>
      <tp>
        <v>0.45</v>
        <stp/>
        <stp>DELTA</stp>
        <stp>.NDX250516C20000</stp>
        <tr r="CH155" s="1"/>
        <tr r="CH155" s="1"/>
      </tp>
      <tp>
        <v>0.43</v>
        <stp/>
        <stp>DELTA</stp>
        <stp>.NDX250516C20025</stp>
        <tr r="CH154" s="1"/>
        <tr r="CH154" s="1"/>
      </tp>
      <tp>
        <v>0.42</v>
        <stp/>
        <stp>DELTA</stp>
        <stp>.NDX250516C20050</stp>
        <tr r="CH153" s="1"/>
        <tr r="CH153" s="1"/>
      </tp>
      <tp>
        <v>0.41</v>
        <stp/>
        <stp>DELTA</stp>
        <stp>.NDX250516C20075</stp>
        <tr r="CH152" s="1"/>
        <tr r="CH152" s="1"/>
      </tp>
      <tp>
        <v>-0.63</v>
        <stp/>
        <stp>DELTA</stp>
        <stp>.NDX250516P20125</stp>
        <tr r="CI150" s="1"/>
        <tr r="CI150" s="1"/>
      </tp>
      <tp>
        <v>-0.62</v>
        <stp/>
        <stp>DELTA</stp>
        <stp>.NDX250516P20100</stp>
        <tr r="CI151" s="1"/>
        <tr r="CI151" s="1"/>
      </tp>
      <tp>
        <v>-0.66</v>
        <stp/>
        <stp>DELTA</stp>
        <stp>.NDX250516P20175</stp>
        <tr r="CI148" s="1"/>
        <tr r="CI148" s="1"/>
      </tp>
      <tp>
        <v>-0.18</v>
        <stp/>
        <stp>DELTA</stp>
        <stp>.NDX250516P19175</stp>
        <tr r="CI188" s="1"/>
        <tr r="CI188" s="1"/>
      </tp>
      <tp>
        <v>-0.65</v>
        <stp/>
        <stp>DELTA</stp>
        <stp>.NDX250516P20150</stp>
        <tr r="CI149" s="1"/>
        <tr r="CI149" s="1"/>
      </tp>
      <tp>
        <v>-0.18</v>
        <stp/>
        <stp>DELTA</stp>
        <stp>.NDX250516P19150</stp>
        <tr r="CI189" s="1"/>
        <tr r="CI189" s="1"/>
      </tp>
      <tp>
        <v>0.39</v>
        <stp/>
        <stp>DELTA</stp>
        <stp>.NDX250516C20100</stp>
        <tr r="CH151" s="1"/>
        <tr r="CH151" s="1"/>
      </tp>
      <tp>
        <v>0.38</v>
        <stp/>
        <stp>DELTA</stp>
        <stp>.NDX250516C20125</stp>
        <tr r="CH150" s="1"/>
        <tr r="CH150" s="1"/>
      </tp>
      <tp>
        <v>0.37</v>
        <stp/>
        <stp>DELTA</stp>
        <stp>.NDX250516C20150</stp>
        <tr r="CH149" s="1"/>
        <tr r="CH149" s="1"/>
      </tp>
      <tp>
        <v>0.81</v>
        <stp/>
        <stp>DELTA</stp>
        <stp>.NDX250516C19150</stp>
        <tr r="CH189" s="1"/>
        <tr r="CH189" s="1"/>
      </tp>
      <tp>
        <v>0.35</v>
        <stp/>
        <stp>DELTA</stp>
        <stp>.NDX250516C20175</stp>
        <tr r="CH148" s="1"/>
        <tr r="CH148" s="1"/>
      </tp>
      <tp>
        <v>0.8</v>
        <stp/>
        <stp>DELTA</stp>
        <stp>.NDX250516C19175</stp>
        <tr r="CH188" s="1"/>
        <tr r="CH188" s="1"/>
      </tp>
      <tp>
        <v>-0.36</v>
        <stp/>
        <stp>DELTA</stp>
        <stp>.NDX250516P19625</stp>
        <tr r="CI170" s="1"/>
        <tr r="CI170" s="1"/>
      </tp>
      <tp>
        <v>-0.34</v>
        <stp/>
        <stp>DELTA</stp>
        <stp>.NDX250516P19600</stp>
        <tr r="CI171" s="1"/>
        <tr r="CI171" s="1"/>
      </tp>
      <tp>
        <v>-0.38</v>
        <stp/>
        <stp>DELTA</stp>
        <stp>.NDX250516P19675</stp>
        <tr r="CI168" s="1"/>
        <tr r="CI168" s="1"/>
      </tp>
      <tp>
        <v>-0.37</v>
        <stp/>
        <stp>DELTA</stp>
        <stp>.NDX250516P19650</stp>
        <tr r="CI169" s="1"/>
        <tr r="CI169" s="1"/>
      </tp>
      <tp>
        <v>0.65</v>
        <stp/>
        <stp>DELTA</stp>
        <stp>.NDX250516C19600</stp>
        <tr r="CH171" s="1"/>
        <tr r="CH171" s="1"/>
      </tp>
      <tp>
        <v>0.64</v>
        <stp/>
        <stp>DELTA</stp>
        <stp>.NDX250516C19625</stp>
        <tr r="CH170" s="1"/>
        <tr r="CH170" s="1"/>
      </tp>
      <tp>
        <v>0.63</v>
        <stp/>
        <stp>DELTA</stp>
        <stp>.NDX250516C19650</stp>
        <tr r="CH169" s="1"/>
        <tr r="CH169" s="1"/>
      </tp>
      <tp>
        <v>0.61</v>
        <stp/>
        <stp>DELTA</stp>
        <stp>.NDX250516C19675</stp>
        <tr r="CH168" s="1"/>
        <tr r="CH168" s="1"/>
      </tp>
      <tp>
        <v>0.05</v>
        <stp/>
        <stp>ASK</stp>
        <stp>.SPXW250507C5800</stp>
        <tr r="DC92" s="1"/>
        <tr r="DC92" s="1"/>
      </tp>
      <tp>
        <v>182</v>
        <stp/>
        <stp>ASK</stp>
        <stp>.SPXW250507P5800</stp>
        <tr r="DD92" s="1"/>
        <tr r="DD92" s="1"/>
      </tp>
      <tp>
        <v>0.05</v>
        <stp/>
        <stp>ASK</stp>
        <stp>.SPXW250507C5810</stp>
        <tr r="DC91" s="1"/>
        <tr r="DC91" s="1"/>
      </tp>
      <tp>
        <v>193</v>
        <stp/>
        <stp>ASK</stp>
        <stp>.SPXW250507P5810</stp>
        <tr r="DD91" s="1"/>
        <tr r="DD91" s="1"/>
      </tp>
      <tp>
        <v>0.05</v>
        <stp/>
        <stp>ASK</stp>
        <stp>.SPXW250507C5820</stp>
        <tr r="DC90" s="1"/>
        <tr r="DC90" s="1"/>
      </tp>
      <tp>
        <v>202.1</v>
        <stp/>
        <stp>ASK</stp>
        <stp>.SPXW250507P5820</stp>
        <tr r="DD90" s="1"/>
        <tr r="DD90" s="1"/>
      </tp>
      <tp>
        <v>0.05</v>
        <stp/>
        <stp>ASK</stp>
        <stp>.SPXW250507C5830</stp>
        <tr r="DC89" s="1"/>
        <tr r="DC89" s="1"/>
      </tp>
      <tp>
        <v>205.1</v>
        <stp/>
        <stp>ASK</stp>
        <stp>.SPXW250507P5830</stp>
        <tr r="DD89" s="1"/>
        <tr r="DD89" s="1"/>
      </tp>
      <tp>
        <v>0.05</v>
        <stp/>
        <stp>ASK</stp>
        <stp>.SPXW250507C5840</stp>
        <tr r="DC88" s="1"/>
        <tr r="DC88" s="1"/>
      </tp>
      <tp>
        <v>222.1</v>
        <stp/>
        <stp>ASK</stp>
        <stp>.SPXW250507P5840</stp>
        <tr r="DD88" s="1"/>
        <tr r="DD88" s="1"/>
      </tp>
      <tp>
        <v>0.05</v>
        <stp/>
        <stp>ASK</stp>
        <stp>.SPXW250507C5850</stp>
        <tr r="DC87" s="1"/>
        <tr r="DC87" s="1"/>
      </tp>
      <tp>
        <v>232</v>
        <stp/>
        <stp>ASK</stp>
        <stp>.SPXW250507P5850</stp>
        <tr r="DD87" s="1"/>
        <tr r="DD87" s="1"/>
      </tp>
      <tp>
        <v>0.05</v>
        <stp/>
        <stp>ASK</stp>
        <stp>.SPXW250507C5860</stp>
        <tr r="DC86" s="1"/>
        <tr r="DC86" s="1"/>
      </tp>
      <tp>
        <v>242.1</v>
        <stp/>
        <stp>ASK</stp>
        <stp>.SPXW250507P5860</stp>
        <tr r="DD86" s="1"/>
        <tr r="DD86" s="1"/>
      </tp>
      <tp>
        <v>0.05</v>
        <stp/>
        <stp>ASK</stp>
        <stp>.SPXW250507C5870</stp>
        <tr r="DC85" s="1"/>
        <tr r="DC85" s="1"/>
      </tp>
      <tp>
        <v>245.2</v>
        <stp/>
        <stp>ASK</stp>
        <stp>.SPXW250507P5870</stp>
        <tr r="DD85" s="1"/>
        <tr r="DD85" s="1"/>
      </tp>
      <tp>
        <v>-0.41</v>
        <stp/>
        <stp>DELTA</stp>
        <stp>.NDX250516P19725</stp>
        <tr r="CI166" s="1"/>
        <tr r="CI166" s="1"/>
      </tp>
      <tp>
        <v>-0.39</v>
        <stp/>
        <stp>DELTA</stp>
        <stp>.NDX250516P19700</stp>
        <tr r="CI167" s="1"/>
        <tr r="CI167" s="1"/>
      </tp>
      <tp>
        <v>-0.43</v>
        <stp/>
        <stp>DELTA</stp>
        <stp>.NDX250516P19775</stp>
        <tr r="CI164" s="1"/>
        <tr r="CI164" s="1"/>
      </tp>
      <tp>
        <v>-0.42</v>
        <stp/>
        <stp>DELTA</stp>
        <stp>.NDX250516P19750</stp>
        <tr r="CI165" s="1"/>
        <tr r="CI165" s="1"/>
      </tp>
      <tp>
        <v>0.6</v>
        <stp/>
        <stp>DELTA</stp>
        <stp>.NDX250516C19700</stp>
        <tr r="CH167" s="1"/>
        <tr r="CH167" s="1"/>
      </tp>
      <tp>
        <v>0.59</v>
        <stp/>
        <stp>DELTA</stp>
        <stp>.NDX250516C19725</stp>
        <tr r="CH166" s="1"/>
        <tr r="CH166" s="1"/>
      </tp>
      <tp>
        <v>0.57999999999999996</v>
        <stp/>
        <stp>DELTA</stp>
        <stp>.NDX250516C19750</stp>
        <tr r="CH165" s="1"/>
        <tr r="CH165" s="1"/>
      </tp>
      <tp>
        <v>0.56999999999999995</v>
        <stp/>
        <stp>DELTA</stp>
        <stp>.NDX250516C19775</stp>
        <tr r="CH164" s="1"/>
        <tr r="CH164" s="1"/>
      </tp>
      <tp>
        <v>-0.8</v>
        <stp/>
        <stp>DELTA</stp>
        <stp>.NDX250516P20425</stp>
        <tr r="CI138" s="1"/>
        <tr r="CI138" s="1"/>
      </tp>
      <tp>
        <v>-0.27</v>
        <stp/>
        <stp>DELTA</stp>
        <stp>.NDX250516P19425</stp>
        <tr r="CI178" s="1"/>
        <tr r="CI178" s="1"/>
      </tp>
      <tp>
        <v>-0.79</v>
        <stp/>
        <stp>DELTA</stp>
        <stp>.NDX250516P20400</stp>
        <tr r="CI139" s="1"/>
        <tr r="CI139" s="1"/>
      </tp>
      <tp>
        <v>-0.26</v>
        <stp/>
        <stp>DELTA</stp>
        <stp>.NDX250516P19400</stp>
        <tr r="CI179" s="1"/>
        <tr r="CI179" s="1"/>
      </tp>
      <tp>
        <v>-0.28999999999999998</v>
        <stp/>
        <stp>DELTA</stp>
        <stp>.NDX250516P19475</stp>
        <tr r="CI176" s="1"/>
        <tr r="CI176" s="1"/>
      </tp>
      <tp>
        <v>-0.81</v>
        <stp/>
        <stp>DELTA</stp>
        <stp>.NDX250516P20450</stp>
        <tr r="CI137" s="1"/>
        <tr r="CI137" s="1"/>
      </tp>
      <tp>
        <v>-0.28000000000000003</v>
        <stp/>
        <stp>DELTA</stp>
        <stp>.NDX250516P19450</stp>
        <tr r="CI177" s="1"/>
        <tr r="CI177" s="1"/>
      </tp>
      <tp>
        <v>0.23</v>
        <stp/>
        <stp>DELTA</stp>
        <stp>.NDX250516C20400</stp>
        <tr r="CH139" s="1"/>
        <tr r="CH139" s="1"/>
      </tp>
      <tp>
        <v>0.73</v>
        <stp/>
        <stp>DELTA</stp>
        <stp>.NDX250516C19400</stp>
        <tr r="CH179" s="1"/>
        <tr r="CH179" s="1"/>
      </tp>
      <tp>
        <v>0.22</v>
        <stp/>
        <stp>DELTA</stp>
        <stp>.NDX250516C20425</stp>
        <tr r="CH138" s="1"/>
        <tr r="CH138" s="1"/>
      </tp>
      <tp>
        <v>0.72</v>
        <stp/>
        <stp>DELTA</stp>
        <stp>.NDX250516C19425</stp>
        <tr r="CH178" s="1"/>
        <tr r="CH178" s="1"/>
      </tp>
      <tp>
        <v>0.21</v>
        <stp/>
        <stp>DELTA</stp>
        <stp>.NDX250516C20450</stp>
        <tr r="CH137" s="1"/>
        <tr r="CH137" s="1"/>
      </tp>
      <tp>
        <v>0.71</v>
        <stp/>
        <stp>DELTA</stp>
        <stp>.NDX250516C19450</stp>
        <tr r="CH177" s="1"/>
        <tr r="CH177" s="1"/>
      </tp>
      <tp>
        <v>0.7</v>
        <stp/>
        <stp>DELTA</stp>
        <stp>.NDX250516C19475</stp>
        <tr r="CH176" s="1"/>
        <tr r="CH176" s="1"/>
      </tp>
      <tp>
        <v>-0.31</v>
        <stp/>
        <stp>DELTA</stp>
        <stp>.NDX250516P19525</stp>
        <tr r="CI174" s="1"/>
        <tr r="CI174" s="1"/>
      </tp>
      <tp>
        <v>-0.3</v>
        <stp/>
        <stp>DELTA</stp>
        <stp>.NDX250516P19500</stp>
        <tr r="CI175" s="1"/>
        <tr r="CI175" s="1"/>
      </tp>
      <tp>
        <v>-0.33</v>
        <stp/>
        <stp>DELTA</stp>
        <stp>.NDX250516P19575</stp>
        <tr r="CI172" s="1"/>
        <tr r="CI172" s="1"/>
      </tp>
      <tp>
        <v>-0.32</v>
        <stp/>
        <stp>DELTA</stp>
        <stp>.NDX250516P19550</stp>
        <tr r="CI173" s="1"/>
        <tr r="CI173" s="1"/>
      </tp>
      <tp>
        <v>0.69</v>
        <stp/>
        <stp>DELTA</stp>
        <stp>.NDX250516C19500</stp>
        <tr r="CH175" s="1"/>
        <tr r="CH175" s="1"/>
      </tp>
      <tp>
        <v>0.68</v>
        <stp/>
        <stp>DELTA</stp>
        <stp>.NDX250516C19525</stp>
        <tr r="CH174" s="1"/>
        <tr r="CH174" s="1"/>
      </tp>
      <tp>
        <v>0.67</v>
        <stp/>
        <stp>DELTA</stp>
        <stp>.NDX250516C19550</stp>
        <tr r="CH173" s="1"/>
        <tr r="CH173" s="1"/>
      </tp>
      <tp>
        <v>0.66</v>
        <stp/>
        <stp>DELTA</stp>
        <stp>.NDX250516C19575</stp>
        <tr r="CH172" s="1"/>
        <tr r="CH172" s="1"/>
      </tp>
      <tp t="s">
        <v>N/A</v>
        <stp/>
        <stp>VOLUME</stp>
        <stp>.SPY250718P582</stp>
        <tr r="M5" s="2"/>
      </tp>
      <tp t="s">
        <v>N/A</v>
        <stp/>
        <stp>VOLUME</stp>
        <stp>.SPY250718C582</stp>
        <tr r="M5" s="2"/>
      </tp>
      <tp>
        <v>39</v>
        <stp/>
        <stp>VOLUME</stp>
        <stp>.SPY250718P580</stp>
        <tr r="M7" s="2"/>
        <tr r="M7" s="2"/>
      </tp>
      <tp>
        <v>812</v>
        <stp/>
        <stp>VOLUME</stp>
        <stp>.SPY250718C580</stp>
        <tr r="M7" s="2"/>
        <tr r="M7" s="2"/>
      </tp>
      <tp t="s">
        <v>N/A</v>
        <stp/>
        <stp>VOLUME</stp>
        <stp>.SPY250718P581</stp>
        <tr r="M6" s="2"/>
      </tp>
      <tp t="s">
        <v>N/A</v>
        <stp/>
        <stp>VOLUME</stp>
        <stp>.SPY250718C581</stp>
        <tr r="M6" s="2"/>
      </tp>
      <tp t="s">
        <v>N/A</v>
        <stp/>
        <stp>VOLUME</stp>
        <stp>.SPY250731P582</stp>
        <tr r="N5" s="2"/>
      </tp>
      <tp>
        <v>6</v>
        <stp/>
        <stp>VOLUME</stp>
        <stp>.SPY250731C582</stp>
        <tr r="N5" s="2"/>
        <tr r="N5" s="2"/>
      </tp>
      <tp t="s">
        <v>N/A</v>
        <stp/>
        <stp>VOLUME</stp>
        <stp>.SPY250731P581</stp>
        <tr r="N6" s="2"/>
      </tp>
      <tp t="s">
        <v>N/A</v>
        <stp/>
        <stp>VOLUME</stp>
        <stp>.SPY250731C581</stp>
        <tr r="N6" s="2"/>
      </tp>
      <tp>
        <v>2</v>
        <stp/>
        <stp>VOLUME</stp>
        <stp>.SPY250731P580</stp>
        <tr r="N7" s="2"/>
        <tr r="N7" s="2"/>
      </tp>
      <tp>
        <v>85</v>
        <stp/>
        <stp>VOLUME</stp>
        <stp>.SPY250731C580</stp>
        <tr r="N7" s="2"/>
        <tr r="N7" s="2"/>
      </tp>
      <tp t="s">
        <v>N/A</v>
        <stp/>
        <stp>VOLUME</stp>
        <stp>.SPY250731P567</stp>
        <tr r="N20" s="2"/>
      </tp>
      <tp>
        <v>31</v>
        <stp/>
        <stp>VOLUME</stp>
        <stp>.SPY250731C567</stp>
        <tr r="N20" s="2"/>
        <tr r="N20" s="2"/>
      </tp>
      <tp>
        <v>4</v>
        <stp/>
        <stp>VOLUME</stp>
        <stp>.SPY250731P566</stp>
        <tr r="N21" s="2"/>
        <tr r="N21" s="2"/>
      </tp>
      <tp>
        <v>10</v>
        <stp/>
        <stp>VOLUME</stp>
        <stp>.SPY250731C566</stp>
        <tr r="N21" s="2"/>
        <tr r="N21" s="2"/>
      </tp>
      <tp>
        <v>74</v>
        <stp/>
        <stp>VOLUME</stp>
        <stp>.SPY250731P565</stp>
        <tr r="N22" s="2"/>
        <tr r="N22" s="2"/>
      </tp>
      <tp>
        <v>19</v>
        <stp/>
        <stp>VOLUME</stp>
        <stp>.SPY250731C565</stp>
        <tr r="N22" s="2"/>
        <tr r="N22" s="2"/>
      </tp>
      <tp>
        <v>17</v>
        <stp/>
        <stp>VOLUME</stp>
        <stp>.SPY250731P564</stp>
        <tr r="N23" s="2"/>
        <tr r="N23" s="2"/>
      </tp>
      <tp>
        <v>6</v>
        <stp/>
        <stp>VOLUME</stp>
        <stp>.SPY250731C564</stp>
        <tr r="N23" s="2"/>
        <tr r="N23" s="2"/>
      </tp>
      <tp>
        <v>20</v>
        <stp/>
        <stp>VOLUME</stp>
        <stp>.SPY250731P563</stp>
        <tr r="N24" s="2"/>
        <tr r="N24" s="2"/>
      </tp>
      <tp>
        <v>6</v>
        <stp/>
        <stp>VOLUME</stp>
        <stp>.SPY250731C563</stp>
        <tr r="N24" s="2"/>
        <tr r="N24" s="2"/>
      </tp>
      <tp>
        <v>85</v>
        <stp/>
        <stp>VOLUME</stp>
        <stp>.SPY250731P562</stp>
        <tr r="N25" s="2"/>
        <tr r="N25" s="2"/>
      </tp>
      <tp>
        <v>72</v>
        <stp/>
        <stp>VOLUME</stp>
        <stp>.SPY250731C562</stp>
        <tr r="N25" s="2"/>
        <tr r="N25" s="2"/>
      </tp>
      <tp t="s">
        <v>N/A</v>
        <stp/>
        <stp>VOLUME</stp>
        <stp>.SPY250718P548</stp>
        <tr r="M39" s="2"/>
      </tp>
      <tp>
        <v>18</v>
        <stp/>
        <stp>VOLUME</stp>
        <stp>.SPY250731P561</stp>
        <tr r="N26" s="2"/>
        <tr r="N26" s="2"/>
      </tp>
      <tp t="s">
        <v>N/A</v>
        <stp/>
        <stp>VOLUME</stp>
        <stp>.SPY250718C548</stp>
        <tr r="M39" s="2"/>
      </tp>
      <tp>
        <v>20</v>
        <stp/>
        <stp>VOLUME</stp>
        <stp>.SPY250731C561</stp>
        <tr r="N26" s="2"/>
        <tr r="N26" s="2"/>
      </tp>
      <tp t="s">
        <v>N/A</v>
        <stp/>
        <stp>VOLUME</stp>
        <stp>.SPY250718P549</stp>
        <tr r="M38" s="2"/>
      </tp>
      <tp>
        <v>310</v>
        <stp/>
        <stp>VOLUME</stp>
        <stp>.SPY250731P560</stp>
        <tr r="N27" s="2"/>
        <tr r="N27" s="2"/>
      </tp>
      <tp t="s">
        <v>N/A</v>
        <stp/>
        <stp>VOLUME</stp>
        <stp>.SPY250718C549</stp>
        <tr r="M38" s="2"/>
      </tp>
      <tp>
        <v>70</v>
        <stp/>
        <stp>VOLUME</stp>
        <stp>.SPY250731C560</stp>
        <tr r="N27" s="2"/>
        <tr r="N27" s="2"/>
      </tp>
      <tp t="s">
        <v>N/A</v>
        <stp/>
        <stp>VOLUME</stp>
        <stp>.SPY250731P569</stp>
        <tr r="N18" s="2"/>
      </tp>
      <tp>
        <v>7</v>
        <stp/>
        <stp>VOLUME</stp>
        <stp>.SPY250731C569</stp>
        <tr r="N18" s="2"/>
        <tr r="N18" s="2"/>
      </tp>
      <tp>
        <v>1</v>
        <stp/>
        <stp>VOLUME</stp>
        <stp>.SPY250731P568</stp>
        <tr r="N19" s="2"/>
        <tr r="N19" s="2"/>
      </tp>
      <tp>
        <v>42</v>
        <stp/>
        <stp>VOLUME</stp>
        <stp>.SPY250731C568</stp>
        <tr r="N19" s="2"/>
        <tr r="N19" s="2"/>
      </tp>
      <tp t="s">
        <v>N/A</v>
        <stp/>
        <stp>VOLUME</stp>
        <stp>.SPY250731P577</stp>
        <tr r="N10" s="2"/>
      </tp>
      <tp>
        <v>9</v>
        <stp/>
        <stp>VOLUME</stp>
        <stp>.SPY250731C577</stp>
        <tr r="N10" s="2"/>
        <tr r="N10" s="2"/>
      </tp>
      <tp t="s">
        <v>N/A</v>
        <stp/>
        <stp>VOLUME</stp>
        <stp>.SPY250731P576</stp>
        <tr r="N11" s="2"/>
      </tp>
      <tp t="s">
        <v>N/A</v>
        <stp/>
        <stp>VOLUME</stp>
        <stp>.SPY250731C576</stp>
        <tr r="N11" s="2"/>
      </tp>
      <tp>
        <v>1</v>
        <stp/>
        <stp>VOLUME</stp>
        <stp>.SPY250731P575</stp>
        <tr r="N12" s="2"/>
        <tr r="N12" s="2"/>
      </tp>
      <tp>
        <v>30</v>
        <stp/>
        <stp>VOLUME</stp>
        <stp>.SPY250731C575</stp>
        <tr r="N12" s="2"/>
        <tr r="N12" s="2"/>
      </tp>
      <tp t="s">
        <v>N/A</v>
        <stp/>
        <stp>VOLUME</stp>
        <stp>.SPY250731P574</stp>
        <tr r="N13" s="2"/>
      </tp>
      <tp>
        <v>1</v>
        <stp/>
        <stp>VOLUME</stp>
        <stp>.SPY250731C574</stp>
        <tr r="N13" s="2"/>
        <tr r="N13" s="2"/>
      </tp>
      <tp>
        <v>1</v>
        <stp/>
        <stp>VOLUME</stp>
        <stp>.SPY250731P573</stp>
        <tr r="N14" s="2"/>
        <tr r="N14" s="2"/>
      </tp>
      <tp>
        <v>2</v>
        <stp/>
        <stp>VOLUME</stp>
        <stp>.SPY250731C573</stp>
        <tr r="N14" s="2"/>
        <tr r="N14" s="2"/>
      </tp>
      <tp t="s">
        <v>N/A</v>
        <stp/>
        <stp>VOLUME</stp>
        <stp>.SPY250731P572</stp>
        <tr r="N15" s="2"/>
      </tp>
      <tp>
        <v>1</v>
        <stp/>
        <stp>VOLUME</stp>
        <stp>.SPY250731C572</stp>
        <tr r="N15" s="2"/>
        <tr r="N15" s="2"/>
      </tp>
      <tp t="s">
        <v>N/A</v>
        <stp/>
        <stp>VOLUME</stp>
        <stp>.SPY250718P558</stp>
        <tr r="M29" s="2"/>
      </tp>
      <tp>
        <v>1</v>
        <stp/>
        <stp>VOLUME</stp>
        <stp>.SPY250731P571</stp>
        <tr r="N16" s="2"/>
        <tr r="N16" s="2"/>
      </tp>
      <tp t="s">
        <v>N/A</v>
        <stp/>
        <stp>VOLUME</stp>
        <stp>.SPY250718C558</stp>
        <tr r="M29" s="2"/>
      </tp>
      <tp>
        <v>7</v>
        <stp/>
        <stp>VOLUME</stp>
        <stp>.SPY250731C571</stp>
        <tr r="N16" s="2"/>
        <tr r="N16" s="2"/>
      </tp>
      <tp t="s">
        <v>N/A</v>
        <stp/>
        <stp>VOLUME</stp>
        <stp>.SPY250718P559</stp>
        <tr r="M28" s="2"/>
      </tp>
      <tp>
        <v>67</v>
        <stp/>
        <stp>VOLUME</stp>
        <stp>.SPY250731P570</stp>
        <tr r="N17" s="2"/>
        <tr r="N17" s="2"/>
      </tp>
      <tp t="s">
        <v>N/A</v>
        <stp/>
        <stp>VOLUME</stp>
        <stp>.SPY250718C559</stp>
        <tr r="M28" s="2"/>
      </tp>
      <tp>
        <v>25</v>
        <stp/>
        <stp>VOLUME</stp>
        <stp>.SPY250731C570</stp>
        <tr r="N17" s="2"/>
        <tr r="N17" s="2"/>
      </tp>
      <tp t="s">
        <v>N/A</v>
        <stp/>
        <stp>VOLUME</stp>
        <stp>.SPY250718P556</stp>
        <tr r="M31" s="2"/>
      </tp>
      <tp t="s">
        <v>N/A</v>
        <stp/>
        <stp>VOLUME</stp>
        <stp>.SPY250718C556</stp>
        <tr r="M31" s="2"/>
      </tp>
      <tp t="s">
        <v>N/A</v>
        <stp/>
        <stp>VOLUME</stp>
        <stp>.SPY250718P557</stp>
        <tr r="M30" s="2"/>
      </tp>
      <tp t="s">
        <v>N/A</v>
        <stp/>
        <stp>VOLUME</stp>
        <stp>.SPY250718C557</stp>
        <tr r="M30" s="2"/>
      </tp>
      <tp t="s">
        <v>N/A</v>
        <stp/>
        <stp>VOLUME</stp>
        <stp>.SPY250718P554</stp>
        <tr r="M33" s="2"/>
      </tp>
      <tp t="s">
        <v>N/A</v>
        <stp/>
        <stp>VOLUME</stp>
        <stp>.SPY250718C554</stp>
        <tr r="M33" s="2"/>
      </tp>
      <tp>
        <v>1463</v>
        <stp/>
        <stp>VOLUME</stp>
        <stp>.SPY250718P555</stp>
        <tr r="M32" s="2"/>
        <tr r="M32" s="2"/>
      </tp>
      <tp>
        <v>289</v>
        <stp/>
        <stp>VOLUME</stp>
        <stp>.SPY250718C555</stp>
        <tr r="M32" s="2"/>
        <tr r="M32" s="2"/>
      </tp>
      <tp t="s">
        <v>N/A</v>
        <stp/>
        <stp>VOLUME</stp>
        <stp>.SPY250718P552</stp>
        <tr r="M35" s="2"/>
      </tp>
      <tp t="s">
        <v>N/A</v>
        <stp/>
        <stp>VOLUME</stp>
        <stp>.SPY250718C552</stp>
        <tr r="M35" s="2"/>
      </tp>
      <tp t="s">
        <v>N/A</v>
        <stp/>
        <stp>VOLUME</stp>
        <stp>.SPY250718P553</stp>
        <tr r="M34" s="2"/>
      </tp>
      <tp t="s">
        <v>N/A</v>
        <stp/>
        <stp>VOLUME</stp>
        <stp>.SPY250718C553</stp>
        <tr r="M34" s="2"/>
      </tp>
      <tp>
        <v>2061</v>
        <stp/>
        <stp>VOLUME</stp>
        <stp>.SPY250718P550</stp>
        <tr r="M37" s="2"/>
        <tr r="M37" s="2"/>
      </tp>
      <tp t="s">
        <v>N/A</v>
        <stp/>
        <stp>VOLUME</stp>
        <stp>.SPY250731P579</stp>
        <tr r="N8" s="2"/>
      </tp>
      <tp>
        <v>88</v>
        <stp/>
        <stp>VOLUME</stp>
        <stp>.SPY250718C550</stp>
        <tr r="M37" s="2"/>
        <tr r="M37" s="2"/>
      </tp>
      <tp>
        <v>2</v>
        <stp/>
        <stp>VOLUME</stp>
        <stp>.SPY250731C579</stp>
        <tr r="N8" s="2"/>
        <tr r="N8" s="2"/>
      </tp>
      <tp t="s">
        <v>N/A</v>
        <stp/>
        <stp>VOLUME</stp>
        <stp>.SPY250718P551</stp>
        <tr r="M36" s="2"/>
      </tp>
      <tp>
        <v>1</v>
        <stp/>
        <stp>VOLUME</stp>
        <stp>.SPY250731P578</stp>
        <tr r="N9" s="2"/>
        <tr r="N9" s="2"/>
      </tp>
      <tp t="s">
        <v>N/A</v>
        <stp/>
        <stp>VOLUME</stp>
        <stp>.SPY250718C551</stp>
        <tr r="M36" s="2"/>
      </tp>
      <tp>
        <v>55</v>
        <stp/>
        <stp>VOLUME</stp>
        <stp>.SPY250731C578</stp>
        <tr r="N9" s="2"/>
        <tr r="N9" s="2"/>
      </tp>
      <tp t="s">
        <v>N/A</v>
        <stp/>
        <stp>VOLUME</stp>
        <stp>.SPY250718P568</stp>
        <tr r="M19" s="2"/>
      </tp>
      <tp t="s">
        <v>N/A</v>
        <stp/>
        <stp>VOLUME</stp>
        <stp>.SPY250718C568</stp>
        <tr r="M19" s="2"/>
      </tp>
      <tp t="s">
        <v>N/A</v>
        <stp/>
        <stp>VOLUME</stp>
        <stp>.SPY250718P569</stp>
        <tr r="M18" s="2"/>
      </tp>
      <tp t="s">
        <v>N/A</v>
        <stp/>
        <stp>VOLUME</stp>
        <stp>.SPY250718C569</stp>
        <tr r="M18" s="2"/>
      </tp>
      <tp t="s">
        <v>N/A</v>
        <stp/>
        <stp>VOLUME</stp>
        <stp>.SPY250718P566</stp>
        <tr r="M21" s="2"/>
      </tp>
      <tp t="s">
        <v>N/A</v>
        <stp/>
        <stp>VOLUME</stp>
        <stp>.SPY250718C566</stp>
        <tr r="M21" s="2"/>
      </tp>
      <tp t="s">
        <v>N/A</v>
        <stp/>
        <stp>VOLUME</stp>
        <stp>.SPY250718P567</stp>
        <tr r="M20" s="2"/>
      </tp>
      <tp t="s">
        <v>N/A</v>
        <stp/>
        <stp>VOLUME</stp>
        <stp>.SPY250718C567</stp>
        <tr r="M20" s="2"/>
      </tp>
      <tp t="s">
        <v>N/A</v>
        <stp/>
        <stp>VOLUME</stp>
        <stp>.SPY250718P564</stp>
        <tr r="M23" s="2"/>
      </tp>
      <tp t="s">
        <v>N/A</v>
        <stp/>
        <stp>VOLUME</stp>
        <stp>.SPY250718C564</stp>
        <tr r="M23" s="2"/>
      </tp>
      <tp>
        <v>362</v>
        <stp/>
        <stp>VOLUME</stp>
        <stp>.SPY250718P565</stp>
        <tr r="M22" s="2"/>
        <tr r="M22" s="2"/>
      </tp>
      <tp>
        <v>547</v>
        <stp/>
        <stp>VOLUME</stp>
        <stp>.SPY250718C565</stp>
        <tr r="M22" s="2"/>
        <tr r="M22" s="2"/>
      </tp>
      <tp t="s">
        <v>N/A</v>
        <stp/>
        <stp>VOLUME</stp>
        <stp>.SPY250718P562</stp>
        <tr r="M25" s="2"/>
      </tp>
      <tp t="s">
        <v>N/A</v>
        <stp/>
        <stp>VOLUME</stp>
        <stp>.SPY250718C562</stp>
        <tr r="M25" s="2"/>
      </tp>
      <tp t="s">
        <v>N/A</v>
        <stp/>
        <stp>VOLUME</stp>
        <stp>.SPY250718P563</stp>
        <tr r="M24" s="2"/>
      </tp>
      <tp t="s">
        <v>N/A</v>
        <stp/>
        <stp>VOLUME</stp>
        <stp>.SPY250718C563</stp>
        <tr r="M24" s="2"/>
      </tp>
      <tp>
        <v>5834</v>
        <stp/>
        <stp>VOLUME</stp>
        <stp>.SPY250718P560</stp>
        <tr r="M27" s="2"/>
        <tr r="M27" s="2"/>
      </tp>
      <tp>
        <v>9</v>
        <stp/>
        <stp>VOLUME</stp>
        <stp>.SPY250731P549</stp>
        <tr r="N38" s="2"/>
        <tr r="N38" s="2"/>
      </tp>
      <tp>
        <v>1074</v>
        <stp/>
        <stp>VOLUME</stp>
        <stp>.SPY250718C560</stp>
        <tr r="M27" s="2"/>
        <tr r="M27" s="2"/>
      </tp>
      <tp>
        <v>2</v>
        <stp/>
        <stp>VOLUME</stp>
        <stp>.SPY250731C549</stp>
        <tr r="N38" s="2"/>
        <tr r="N38" s="2"/>
      </tp>
      <tp t="s">
        <v>N/A</v>
        <stp/>
        <stp>VOLUME</stp>
        <stp>.SPY250718P561</stp>
        <tr r="M26" s="2"/>
      </tp>
      <tp>
        <v>23</v>
        <stp/>
        <stp>VOLUME</stp>
        <stp>.SPY250731P548</stp>
        <tr r="N39" s="2"/>
        <tr r="N39" s="2"/>
      </tp>
      <tp t="s">
        <v>N/A</v>
        <stp/>
        <stp>VOLUME</stp>
        <stp>.SPY250718C561</stp>
        <tr r="M26" s="2"/>
      </tp>
      <tp t="s">
        <v>N/A</v>
        <stp/>
        <stp>VOLUME</stp>
        <stp>.SPY250731C548</stp>
        <tr r="N39" s="2"/>
      </tp>
      <tp>
        <v>38</v>
        <stp/>
        <stp>VOLUME</stp>
        <stp>.SPY250731P557</stp>
        <tr r="N30" s="2"/>
        <tr r="N30" s="2"/>
      </tp>
      <tp>
        <v>1</v>
        <stp/>
        <stp>VOLUME</stp>
        <stp>.SPY250731C557</stp>
        <tr r="N30" s="2"/>
        <tr r="N30" s="2"/>
      </tp>
      <tp>
        <v>41</v>
        <stp/>
        <stp>VOLUME</stp>
        <stp>.SPY250731P556</stp>
        <tr r="N31" s="2"/>
        <tr r="N31" s="2"/>
      </tp>
      <tp>
        <v>8</v>
        <stp/>
        <stp>VOLUME</stp>
        <stp>.SPY250731C556</stp>
        <tr r="N31" s="2"/>
        <tr r="N31" s="2"/>
      </tp>
      <tp>
        <v>352</v>
        <stp/>
        <stp>VOLUME</stp>
        <stp>.SPY250731P555</stp>
        <tr r="N32" s="2"/>
        <tr r="N32" s="2"/>
      </tp>
      <tp>
        <v>8</v>
        <stp/>
        <stp>VOLUME</stp>
        <stp>.SPY250731C555</stp>
        <tr r="N32" s="2"/>
        <tr r="N32" s="2"/>
      </tp>
      <tp t="s">
        <v>N/A</v>
        <stp/>
        <stp>VOLUME</stp>
        <stp>.SPY250731P554</stp>
        <tr r="N33" s="2"/>
      </tp>
      <tp>
        <v>3</v>
        <stp/>
        <stp>VOLUME</stp>
        <stp>.SPY250731C554</stp>
        <tr r="N33" s="2"/>
        <tr r="N33" s="2"/>
      </tp>
      <tp t="s">
        <v>N/A</v>
        <stp/>
        <stp>VOLUME</stp>
        <stp>.SPY250731P553</stp>
        <tr r="N34" s="2"/>
      </tp>
      <tp t="s">
        <v>N/A</v>
        <stp/>
        <stp>VOLUME</stp>
        <stp>.SPY250731C553</stp>
        <tr r="N34" s="2"/>
      </tp>
      <tp>
        <v>97</v>
        <stp/>
        <stp>VOLUME</stp>
        <stp>.SPY250731P552</stp>
        <tr r="N35" s="2"/>
        <tr r="N35" s="2"/>
      </tp>
      <tp t="s">
        <v>N/A</v>
        <stp/>
        <stp>VOLUME</stp>
        <stp>.SPY250731C552</stp>
        <tr r="N35" s="2"/>
      </tp>
      <tp t="s">
        <v>N/A</v>
        <stp/>
        <stp>VOLUME</stp>
        <stp>.SPY250718P578</stp>
        <tr r="M9" s="2"/>
      </tp>
      <tp>
        <v>1</v>
        <stp/>
        <stp>VOLUME</stp>
        <stp>.SPY250731P551</stp>
        <tr r="N36" s="2"/>
        <tr r="N36" s="2"/>
      </tp>
      <tp t="s">
        <v>N/A</v>
        <stp/>
        <stp>VOLUME</stp>
        <stp>.SPY250718C578</stp>
        <tr r="M9" s="2"/>
      </tp>
      <tp t="s">
        <v>N/A</v>
        <stp/>
        <stp>VOLUME</stp>
        <stp>.SPY250731C551</stp>
        <tr r="N36" s="2"/>
      </tp>
      <tp t="s">
        <v>N/A</v>
        <stp/>
        <stp>VOLUME</stp>
        <stp>.SPY250718P579</stp>
        <tr r="M8" s="2"/>
      </tp>
      <tp>
        <v>311</v>
        <stp/>
        <stp>VOLUME</stp>
        <stp>.SPY250731P550</stp>
        <tr r="N37" s="2"/>
        <tr r="N37" s="2"/>
      </tp>
      <tp t="s">
        <v>N/A</v>
        <stp/>
        <stp>VOLUME</stp>
        <stp>.SPY250718C579</stp>
        <tr r="M8" s="2"/>
      </tp>
      <tp>
        <v>83</v>
        <stp/>
        <stp>VOLUME</stp>
        <stp>.SPY250731C550</stp>
        <tr r="N37" s="2"/>
        <tr r="N37" s="2"/>
      </tp>
      <tp t="s">
        <v>N/A</v>
        <stp/>
        <stp>VOLUME</stp>
        <stp>.SPY250718P576</stp>
        <tr r="M11" s="2"/>
      </tp>
      <tp t="s">
        <v>N/A</v>
        <stp/>
        <stp>VOLUME</stp>
        <stp>.SPY250718C576</stp>
        <tr r="M11" s="2"/>
      </tp>
      <tp t="s">
        <v>N/A</v>
        <stp/>
        <stp>VOLUME</stp>
        <stp>.SPY250718P577</stp>
        <tr r="M10" s="2"/>
      </tp>
      <tp t="s">
        <v>N/A</v>
        <stp/>
        <stp>VOLUME</stp>
        <stp>.SPY250718C577</stp>
        <tr r="M10" s="2"/>
      </tp>
      <tp t="s">
        <v>N/A</v>
        <stp/>
        <stp>VOLUME</stp>
        <stp>.SPY250718P574</stp>
        <tr r="M13" s="2"/>
      </tp>
      <tp t="s">
        <v>N/A</v>
        <stp/>
        <stp>VOLUME</stp>
        <stp>.SPY250718C574</stp>
        <tr r="M13" s="2"/>
      </tp>
      <tp>
        <v>153</v>
        <stp/>
        <stp>VOLUME</stp>
        <stp>.SPY250718P575</stp>
        <tr r="M12" s="2"/>
        <tr r="M12" s="2"/>
      </tp>
      <tp>
        <v>666</v>
        <stp/>
        <stp>VOLUME</stp>
        <stp>.SPY250718C575</stp>
        <tr r="M12" s="2"/>
        <tr r="M12" s="2"/>
      </tp>
      <tp t="s">
        <v>N/A</v>
        <stp/>
        <stp>VOLUME</stp>
        <stp>.SPY250718P572</stp>
        <tr r="M15" s="2"/>
      </tp>
      <tp t="s">
        <v>N/A</v>
        <stp/>
        <stp>VOLUME</stp>
        <stp>.SPY250718C572</stp>
        <tr r="M15" s="2"/>
      </tp>
      <tp t="s">
        <v>N/A</v>
        <stp/>
        <stp>VOLUME</stp>
        <stp>.SPY250718P573</stp>
        <tr r="M14" s="2"/>
      </tp>
      <tp t="s">
        <v>N/A</v>
        <stp/>
        <stp>VOLUME</stp>
        <stp>.SPY250718C573</stp>
        <tr r="M14" s="2"/>
      </tp>
      <tp>
        <v>147</v>
        <stp/>
        <stp>VOLUME</stp>
        <stp>.SPY250718P570</stp>
        <tr r="M17" s="2"/>
        <tr r="M17" s="2"/>
      </tp>
      <tp>
        <v>62</v>
        <stp/>
        <stp>VOLUME</stp>
        <stp>.SPY250731P559</stp>
        <tr r="N28" s="2"/>
        <tr r="N28" s="2"/>
      </tp>
      <tp>
        <v>473</v>
        <stp/>
        <stp>VOLUME</stp>
        <stp>.SPY250718C570</stp>
        <tr r="M17" s="2"/>
        <tr r="M17" s="2"/>
      </tp>
      <tp>
        <v>23</v>
        <stp/>
        <stp>VOLUME</stp>
        <stp>.SPY250731C559</stp>
        <tr r="N28" s="2"/>
        <tr r="N28" s="2"/>
      </tp>
      <tp t="s">
        <v>N/A</v>
        <stp/>
        <stp>VOLUME</stp>
        <stp>.SPY250718P571</stp>
        <tr r="M16" s="2"/>
      </tp>
      <tp>
        <v>103</v>
        <stp/>
        <stp>VOLUME</stp>
        <stp>.SPY250731P558</stp>
        <tr r="N29" s="2"/>
        <tr r="N29" s="2"/>
      </tp>
      <tp t="s">
        <v>N/A</v>
        <stp/>
        <stp>VOLUME</stp>
        <stp>.SPY250718C571</stp>
        <tr r="M16" s="2"/>
      </tp>
      <tp>
        <v>5</v>
        <stp/>
        <stp>VOLUME</stp>
        <stp>.SPY250731C558</stp>
        <tr r="N29" s="2"/>
        <tr r="N29" s="2"/>
      </tp>
      <tp>
        <v>-0.43</v>
        <stp/>
        <stp>DELTA</stp>
        <stp>.SPXW250509P5620</stp>
        <tr r="CG110" s="1"/>
        <tr r="CG110" s="1"/>
      </tp>
      <tp>
        <v>0.54</v>
        <stp/>
        <stp>DELTA</stp>
        <stp>.SPXW250509C5620</stp>
        <tr r="CF110" s="1"/>
        <tr r="CF110" s="1"/>
      </tp>
      <tp>
        <v>-0.48</v>
        <stp/>
        <stp>DELTA</stp>
        <stp>.SPXW250509P5630</stp>
        <tr r="CG109" s="1"/>
        <tr r="CG109" s="1"/>
      </tp>
      <tp>
        <v>0.51</v>
        <stp/>
        <stp>DELTA</stp>
        <stp>.SPXW250509C5630</stp>
        <tr r="CF109" s="1"/>
        <tr r="CF109" s="1"/>
      </tp>
      <tp>
        <v>-0.33</v>
        <stp/>
        <stp>DELTA</stp>
        <stp>.SPXW250509P5600</stp>
        <tr r="CG112" s="1"/>
        <tr r="CG112" s="1"/>
      </tp>
      <tp>
        <v>0.59</v>
        <stp/>
        <stp>DELTA</stp>
        <stp>.SPXW250509C5600</stp>
        <tr r="CF112" s="1"/>
        <tr r="CF112" s="1"/>
      </tp>
      <tp>
        <v>-0.38</v>
        <stp/>
        <stp>DELTA</stp>
        <stp>.SPXW250509P5610</stp>
        <tr r="CG111" s="1"/>
        <tr r="CG111" s="1"/>
      </tp>
      <tp>
        <v>0.56999999999999995</v>
        <stp/>
        <stp>DELTA</stp>
        <stp>.SPXW250509C5610</stp>
        <tr r="CF111" s="1"/>
        <tr r="CF111" s="1"/>
      </tp>
      <tp>
        <v>-0.92</v>
        <stp/>
        <stp>DELTA</stp>
        <stp>.SPXW250507P5680</stp>
        <tr r="CE104" s="1"/>
        <tr r="CE104" s="1"/>
      </tp>
      <tp>
        <v>-0.71</v>
        <stp/>
        <stp>DELTA</stp>
        <stp>.SPXW250509P5660</stp>
        <tr r="CG106" s="1"/>
        <tr r="CG106" s="1"/>
      </tp>
      <tp>
        <v>-1</v>
        <stp/>
        <stp>DELTA</stp>
        <stp>.SPXW250516P5790</stp>
        <tr r="CI93" s="1"/>
        <tr r="CI93" s="1"/>
      </tp>
      <tp>
        <v>0</v>
        <stp/>
        <stp>DELTA</stp>
        <stp>.SPXW250507C5680</stp>
        <tr r="CD104" s="1"/>
        <tr r="CD104" s="1"/>
      </tp>
      <tp>
        <v>0.42</v>
        <stp/>
        <stp>DELTA</stp>
        <stp>.SPXW250509C5660</stp>
        <tr r="CF106" s="1"/>
        <tr r="CF106" s="1"/>
      </tp>
      <tp>
        <v>0.2</v>
        <stp/>
        <stp>DELTA</stp>
        <stp>.SPXW250516C5790</stp>
        <tr r="CH93" s="1"/>
        <tr r="CH93" s="1"/>
      </tp>
      <tp>
        <v>-0.93</v>
        <stp/>
        <stp>DELTA</stp>
        <stp>.SPXW250507P5690</stp>
        <tr r="CE103" s="1"/>
        <tr r="CE103" s="1"/>
      </tp>
      <tp>
        <v>-0.83</v>
        <stp/>
        <stp>DELTA</stp>
        <stp>.SPXW250509P5670</stp>
        <tr r="CG105" s="1"/>
        <tr r="CG105" s="1"/>
      </tp>
      <tp>
        <v>-1</v>
        <stp/>
        <stp>DELTA</stp>
        <stp>.SPXW250516P5780</stp>
        <tr r="CI94" s="1"/>
        <tr r="CI94" s="1"/>
      </tp>
      <tp>
        <v>0</v>
        <stp/>
        <stp>DELTA</stp>
        <stp>.SPXW250507C5690</stp>
        <tr r="CD103" s="1"/>
        <tr r="CD103" s="1"/>
      </tp>
      <tp>
        <v>0.38</v>
        <stp/>
        <stp>DELTA</stp>
        <stp>.SPXW250509C5670</stp>
        <tr r="CF105" s="1"/>
        <tr r="CF105" s="1"/>
      </tp>
      <tp>
        <v>0.22</v>
        <stp/>
        <stp>DELTA</stp>
        <stp>.SPXW250516C5780</stp>
        <tr r="CH94" s="1"/>
        <tr r="CH94" s="1"/>
      </tp>
      <tp>
        <v>-0.55000000000000004</v>
        <stp/>
        <stp>DELTA</stp>
        <stp>.SPXW250509P5640</stp>
        <tr r="CG108" s="1"/>
        <tr r="CG108" s="1"/>
      </tp>
      <tp>
        <v>0.48</v>
        <stp/>
        <stp>DELTA</stp>
        <stp>.SPXW250509C5640</stp>
        <tr r="CF108" s="1"/>
        <tr r="CF108" s="1"/>
      </tp>
      <tp>
        <v>-0.62</v>
        <stp/>
        <stp>DELTA</stp>
        <stp>.SPXW250509P5650</stp>
        <tr r="CG107" s="1"/>
        <tr r="CG107" s="1"/>
      </tp>
      <tp>
        <v>0.45</v>
        <stp/>
        <stp>DELTA</stp>
        <stp>.SPXW250509C5650</stp>
        <tr r="CF107" s="1"/>
        <tr r="CF107" s="1"/>
      </tp>
      <tp>
        <v>-0.83</v>
        <stp/>
        <stp>DELTA</stp>
        <stp>.SPXW250507P5640</stp>
        <tr r="CE108" s="1"/>
        <tr r="CE108" s="1"/>
      </tp>
      <tp>
        <v>-0.87</v>
        <stp/>
        <stp>DELTA</stp>
        <stp>.SPXW250516P5750</stp>
        <tr r="CI97" s="1"/>
        <tr r="CI97" s="1"/>
      </tp>
      <tp>
        <v>0.05</v>
        <stp/>
        <stp>DELTA</stp>
        <stp>.SPXW250507C5640</stp>
        <tr r="CD108" s="1"/>
        <tr r="CD108" s="1"/>
      </tp>
      <tp>
        <v>0.28000000000000003</v>
        <stp/>
        <stp>DELTA</stp>
        <stp>.SPXW250516C5750</stp>
        <tr r="CH97" s="1"/>
        <tr r="CH97" s="1"/>
      </tp>
      <tp>
        <v>-0.91</v>
        <stp/>
        <stp>DELTA</stp>
        <stp>.SPXW250507P5650</stp>
        <tr r="CE107" s="1"/>
        <tr r="CE107" s="1"/>
      </tp>
      <tp>
        <v>-0.82</v>
        <stp/>
        <stp>DELTA</stp>
        <stp>.SPXW250516P5740</stp>
        <tr r="CI98" s="1"/>
        <tr r="CI98" s="1"/>
      </tp>
      <tp>
        <v>0.01</v>
        <stp/>
        <stp>DELTA</stp>
        <stp>.SPXW250507C5650</stp>
        <tr r="CD107" s="1"/>
        <tr r="CD107" s="1"/>
      </tp>
      <tp>
        <v>0.3</v>
        <stp/>
        <stp>DELTA</stp>
        <stp>.SPXW250516C5740</stp>
        <tr r="CH98" s="1"/>
        <tr r="CH98" s="1"/>
      </tp>
      <tp>
        <v>-0.89</v>
        <stp/>
        <stp>DELTA</stp>
        <stp>.SPXW250507P5660</stp>
        <tr r="CE106" s="1"/>
        <tr r="CE106" s="1"/>
      </tp>
      <tp>
        <v>-1</v>
        <stp/>
        <stp>DELTA</stp>
        <stp>.SPXW250509P5680</stp>
        <tr r="CG104" s="1"/>
        <tr r="CG104" s="1"/>
      </tp>
      <tp>
        <v>-0.99</v>
        <stp/>
        <stp>DELTA</stp>
        <stp>.SPXW250516P5770</stp>
        <tr r="CI95" s="1"/>
        <tr r="CI95" s="1"/>
      </tp>
      <tp>
        <v>0.01</v>
        <stp/>
        <stp>DELTA</stp>
        <stp>.SPXW250507C5660</stp>
        <tr r="CD106" s="1"/>
        <tr r="CD106" s="1"/>
      </tp>
      <tp>
        <v>0.35</v>
        <stp/>
        <stp>DELTA</stp>
        <stp>.SPXW250509C5680</stp>
        <tr r="CF104" s="1"/>
        <tr r="CF104" s="1"/>
      </tp>
      <tp>
        <v>0.24</v>
        <stp/>
        <stp>DELTA</stp>
        <stp>.SPXW250516C5770</stp>
        <tr r="CH95" s="1"/>
        <tr r="CH95" s="1"/>
      </tp>
      <tp>
        <v>-0.91</v>
        <stp/>
        <stp>DELTA</stp>
        <stp>.SPXW250507P5670</stp>
        <tr r="CE105" s="1"/>
        <tr r="CE105" s="1"/>
      </tp>
      <tp>
        <v>-1</v>
        <stp/>
        <stp>DELTA</stp>
        <stp>.SPXW250509P5690</stp>
        <tr r="CG103" s="1"/>
        <tr r="CG103" s="1"/>
      </tp>
      <tp>
        <v>-0.92</v>
        <stp/>
        <stp>DELTA</stp>
        <stp>.SPXW250516P5760</stp>
        <tr r="CI96" s="1"/>
        <tr r="CI96" s="1"/>
      </tp>
      <tp>
        <v>0.01</v>
        <stp/>
        <stp>DELTA</stp>
        <stp>.SPXW250507C5670</stp>
        <tr r="CD105" s="1"/>
        <tr r="CD105" s="1"/>
      </tp>
      <tp>
        <v>0.31</v>
        <stp/>
        <stp>DELTA</stp>
        <stp>.SPXW250509C5690</stp>
        <tr r="CF103" s="1"/>
        <tr r="CF103" s="1"/>
      </tp>
      <tp>
        <v>0.26</v>
        <stp/>
        <stp>DELTA</stp>
        <stp>.SPXW250516C5760</stp>
        <tr r="CH96" s="1"/>
        <tr r="CH96" s="1"/>
      </tp>
      <tp>
        <v>-0.01</v>
        <stp/>
        <stp>DELTA</stp>
        <stp>.SPXW250507P5600</stp>
        <tr r="CE112" s="1"/>
        <tr r="CE112" s="1"/>
      </tp>
      <tp>
        <v>-0.71</v>
        <stp/>
        <stp>DELTA</stp>
        <stp>.SPXW250516P5710</stp>
        <tr r="CI101" s="1"/>
        <tr r="CI101" s="1"/>
      </tp>
      <tp>
        <v>1</v>
        <stp/>
        <stp>DELTA</stp>
        <stp>.SPXW250507C5600</stp>
        <tr r="CD112" s="1"/>
        <tr r="CD112" s="1"/>
      </tp>
      <tp>
        <v>0.36</v>
        <stp/>
        <stp>DELTA</stp>
        <stp>.SPXW250516C5710</stp>
        <tr r="CH101" s="1"/>
        <tr r="CH101" s="1"/>
      </tp>
      <tp>
        <v>-0.01</v>
        <stp/>
        <stp>DELTA</stp>
        <stp>.SPXW250507P5610</stp>
        <tr r="CE111" s="1"/>
        <tr r="CE111" s="1"/>
      </tp>
      <tp>
        <v>-0.68</v>
        <stp/>
        <stp>DELTA</stp>
        <stp>.SPXW250516P5700</stp>
        <tr r="CI102" s="1"/>
        <tr r="CI102" s="1"/>
      </tp>
      <tp>
        <v>1</v>
        <stp/>
        <stp>DELTA</stp>
        <stp>.SPXW250507C5610</stp>
        <tr r="CD111" s="1"/>
        <tr r="CD111" s="1"/>
      </tp>
      <tp>
        <v>0.38</v>
        <stp/>
        <stp>DELTA</stp>
        <stp>.SPXW250516C5700</stp>
        <tr r="CH102" s="1"/>
        <tr r="CH102" s="1"/>
      </tp>
      <tp>
        <v>-0.01</v>
        <stp/>
        <stp>DELTA</stp>
        <stp>.SPXW250507P5620</stp>
        <tr r="CE110" s="1"/>
        <tr r="CE110" s="1"/>
      </tp>
      <tp>
        <v>-0.78</v>
        <stp/>
        <stp>DELTA</stp>
        <stp>.SPXW250516P5730</stp>
        <tr r="CI99" s="1"/>
        <tr r="CI99" s="1"/>
      </tp>
      <tp>
        <v>1</v>
        <stp/>
        <stp>DELTA</stp>
        <stp>.SPXW250507C5620</stp>
        <tr r="CD110" s="1"/>
        <tr r="CD110" s="1"/>
      </tp>
      <tp>
        <v>0.32</v>
        <stp/>
        <stp>DELTA</stp>
        <stp>.SPXW250516C5730</stp>
        <tr r="CH99" s="1"/>
        <tr r="CH99" s="1"/>
      </tp>
      <tp>
        <v>-0.3</v>
        <stp/>
        <stp>DELTA</stp>
        <stp>.SPXW250507P5630</stp>
        <tr r="CE109" s="1"/>
        <tr r="CE109" s="1"/>
      </tp>
      <tp>
        <v>-0.74</v>
        <stp/>
        <stp>DELTA</stp>
        <stp>.SPXW250516P5720</stp>
        <tr r="CI100" s="1"/>
        <tr r="CI100" s="1"/>
      </tp>
      <tp>
        <v>0.68</v>
        <stp/>
        <stp>DELTA</stp>
        <stp>.SPXW250507C5630</stp>
        <tr r="CD109" s="1"/>
        <tr r="CD109" s="1"/>
      </tp>
      <tp>
        <v>0.34</v>
        <stp/>
        <stp>DELTA</stp>
        <stp>.SPXW250516C5720</stp>
        <tr r="CH100" s="1"/>
        <tr r="CH100" s="1"/>
      </tp>
      <tp>
        <v>18</v>
        <stp/>
        <stp>VOLUME</stp>
        <stp>.SPY250606P580</stp>
        <tr r="J7" s="2"/>
        <tr r="J7" s="2"/>
      </tp>
      <tp>
        <v>565</v>
        <stp/>
        <stp>VOLUME</stp>
        <stp>.SPY250606C580</stp>
        <tr r="J7" s="2"/>
        <tr r="J7" s="2"/>
      </tp>
      <tp>
        <v>2</v>
        <stp/>
        <stp>VOLUME</stp>
        <stp>.SPY250606P581</stp>
        <tr r="J6" s="2"/>
        <tr r="J6" s="2"/>
      </tp>
      <tp>
        <v>86</v>
        <stp/>
        <stp>VOLUME</stp>
        <stp>.SPY250606C581</stp>
        <tr r="J6" s="2"/>
        <tr r="J6" s="2"/>
      </tp>
      <tp>
        <v>8</v>
        <stp/>
        <stp>VOLUME</stp>
        <stp>.SPY250606P582</stp>
        <tr r="J5" s="2"/>
        <tr r="J5" s="2"/>
      </tp>
      <tp>
        <v>5</v>
        <stp/>
        <stp>VOLUME</stp>
        <stp>.SPY250606C582</stp>
        <tr r="J5" s="2"/>
        <tr r="J5" s="2"/>
      </tp>
      <tp>
        <v>2</v>
        <stp/>
        <stp>VOLUME</stp>
        <stp>.SPY250630P582</stp>
        <tr r="L5" s="2"/>
        <tr r="L5" s="2"/>
      </tp>
      <tp>
        <v>104</v>
        <stp/>
        <stp>VOLUME</stp>
        <stp>.SPY250630C582</stp>
        <tr r="L5" s="2"/>
        <tr r="L5" s="2"/>
      </tp>
      <tp>
        <v>4</v>
        <stp/>
        <stp>VOLUME</stp>
        <stp>.SPY250630P580</stp>
        <tr r="L7" s="2"/>
        <tr r="L7" s="2"/>
      </tp>
      <tp>
        <v>1208</v>
        <stp/>
        <stp>VOLUME</stp>
        <stp>.SPY250630C580</stp>
        <tr r="L7" s="2"/>
        <tr r="L7" s="2"/>
      </tp>
      <tp t="s">
        <v>N/A</v>
        <stp/>
        <stp>VOLUME</stp>
        <stp>.SPY250630P581</stp>
        <tr r="L6" s="2"/>
      </tp>
      <tp>
        <v>120</v>
        <stp/>
        <stp>VOLUME</stp>
        <stp>.SPY250630C581</stp>
        <tr r="L6" s="2"/>
        <tr r="L6" s="2"/>
      </tp>
      <tp>
        <v>10</v>
        <stp/>
        <stp>VOLUME</stp>
        <stp>.SPY250620P582</stp>
        <tr r="K5" s="2"/>
        <tr r="K5" s="2"/>
      </tp>
      <tp>
        <v>603</v>
        <stp/>
        <stp>VOLUME</stp>
        <stp>.SPY250620C582</stp>
        <tr r="K5" s="2"/>
        <tr r="K5" s="2"/>
      </tp>
      <tp>
        <v>36</v>
        <stp/>
        <stp>VOLUME</stp>
        <stp>.SPY250620P580</stp>
        <tr r="K7" s="2"/>
        <tr r="K7" s="2"/>
      </tp>
      <tp>
        <v>4191</v>
        <stp/>
        <stp>VOLUME</stp>
        <stp>.SPY250620C580</stp>
        <tr r="K7" s="2"/>
        <tr r="K7" s="2"/>
      </tp>
      <tp t="s">
        <v>N/A</v>
        <stp/>
        <stp>VOLUME</stp>
        <stp>.SPY250620P581</stp>
        <tr r="K6" s="2"/>
      </tp>
      <tp>
        <v>416</v>
        <stp/>
        <stp>VOLUME</stp>
        <stp>.SPY250620C581</stp>
        <tr r="K6" s="2"/>
        <tr r="K6" s="2"/>
      </tp>
      <tp>
        <v>1505</v>
        <stp/>
        <stp>VOLUME</stp>
        <stp>.SPY250606P550</stp>
        <tr r="J37" s="2"/>
        <tr r="J37" s="2"/>
      </tp>
      <tp t="s">
        <v>N/A</v>
        <stp/>
        <stp>VOLUME</stp>
        <stp>.SPY250620P576</stp>
        <tr r="K11" s="2"/>
      </tp>
      <tp>
        <v>71</v>
        <stp/>
        <stp>VOLUME</stp>
        <stp>.SPY250630P566</stp>
        <tr r="L21" s="2"/>
        <tr r="L21" s="2"/>
      </tp>
      <tp>
        <v>64</v>
        <stp/>
        <stp>VOLUME</stp>
        <stp>.SPY250606C550</stp>
        <tr r="J37" s="2"/>
        <tr r="J37" s="2"/>
      </tp>
      <tp>
        <v>239</v>
        <stp/>
        <stp>VOLUME</stp>
        <stp>.SPY250620C576</stp>
        <tr r="K11" s="2"/>
        <tr r="K11" s="2"/>
      </tp>
      <tp>
        <v>10</v>
        <stp/>
        <stp>VOLUME</stp>
        <stp>.SPY250630C566</stp>
        <tr r="L21" s="2"/>
        <tr r="L21" s="2"/>
      </tp>
      <tp>
        <v>44</v>
        <stp/>
        <stp>VOLUME</stp>
        <stp>.SPY250606P551</stp>
        <tr r="J36" s="2"/>
        <tr r="J36" s="2"/>
      </tp>
      <tp>
        <v>5</v>
        <stp/>
        <stp>VOLUME</stp>
        <stp>.SPY250620P577</stp>
        <tr r="K10" s="2"/>
        <tr r="K10" s="2"/>
      </tp>
      <tp>
        <v>19</v>
        <stp/>
        <stp>VOLUME</stp>
        <stp>.SPY250630P567</stp>
        <tr r="L20" s="2"/>
        <tr r="L20" s="2"/>
      </tp>
      <tp>
        <v>5</v>
        <stp/>
        <stp>VOLUME</stp>
        <stp>.SPY250606C551</stp>
        <tr r="J36" s="2"/>
        <tr r="J36" s="2"/>
      </tp>
      <tp>
        <v>554</v>
        <stp/>
        <stp>VOLUME</stp>
        <stp>.SPY250620C577</stp>
        <tr r="K10" s="2"/>
        <tr r="K10" s="2"/>
      </tp>
      <tp>
        <v>17</v>
        <stp/>
        <stp>VOLUME</stp>
        <stp>.SPY250630C567</stp>
        <tr r="L20" s="2"/>
        <tr r="L20" s="2"/>
      </tp>
      <tp>
        <v>86</v>
        <stp/>
        <stp>VOLUME</stp>
        <stp>.SPY250606P552</stp>
        <tr r="J35" s="2"/>
        <tr r="J35" s="2"/>
      </tp>
      <tp>
        <v>7</v>
        <stp/>
        <stp>VOLUME</stp>
        <stp>.SPY250620P574</stp>
        <tr r="K13" s="2"/>
        <tr r="K13" s="2"/>
      </tp>
      <tp>
        <v>4</v>
        <stp/>
        <stp>VOLUME</stp>
        <stp>.SPY250630P564</stp>
        <tr r="L23" s="2"/>
        <tr r="L23" s="2"/>
      </tp>
      <tp>
        <v>42</v>
        <stp/>
        <stp>VOLUME</stp>
        <stp>.SPY250606C552</stp>
        <tr r="J35" s="2"/>
        <tr r="J35" s="2"/>
      </tp>
      <tp>
        <v>84</v>
        <stp/>
        <stp>VOLUME</stp>
        <stp>.SPY250620C574</stp>
        <tr r="K13" s="2"/>
        <tr r="K13" s="2"/>
      </tp>
      <tp>
        <v>106</v>
        <stp/>
        <stp>VOLUME</stp>
        <stp>.SPY250630C564</stp>
        <tr r="L23" s="2"/>
        <tr r="L23" s="2"/>
      </tp>
      <tp>
        <v>32</v>
        <stp/>
        <stp>VOLUME</stp>
        <stp>.SPY250606P553</stp>
        <tr r="J34" s="2"/>
        <tr r="J34" s="2"/>
      </tp>
      <tp>
        <v>23</v>
        <stp/>
        <stp>VOLUME</stp>
        <stp>.SPY250620P575</stp>
        <tr r="K12" s="2"/>
        <tr r="K12" s="2"/>
      </tp>
      <tp>
        <v>50</v>
        <stp/>
        <stp>VOLUME</stp>
        <stp>.SPY250630P565</stp>
        <tr r="L22" s="2"/>
        <tr r="L22" s="2"/>
      </tp>
      <tp>
        <v>49</v>
        <stp/>
        <stp>VOLUME</stp>
        <stp>.SPY250606C553</stp>
        <tr r="J34" s="2"/>
        <tr r="J34" s="2"/>
      </tp>
      <tp>
        <v>2452</v>
        <stp/>
        <stp>VOLUME</stp>
        <stp>.SPY250620C575</stp>
        <tr r="K12" s="2"/>
        <tr r="K12" s="2"/>
      </tp>
      <tp>
        <v>177</v>
        <stp/>
        <stp>VOLUME</stp>
        <stp>.SPY250630C565</stp>
        <tr r="L22" s="2"/>
        <tr r="L22" s="2"/>
      </tp>
      <tp>
        <v>48</v>
        <stp/>
        <stp>VOLUME</stp>
        <stp>.SPY250606P554</stp>
        <tr r="J33" s="2"/>
        <tr r="J33" s="2"/>
      </tp>
      <tp>
        <v>47</v>
        <stp/>
        <stp>VOLUME</stp>
        <stp>.SPY250620P572</stp>
        <tr r="K15" s="2"/>
        <tr r="K15" s="2"/>
      </tp>
      <tp>
        <v>132</v>
        <stp/>
        <stp>VOLUME</stp>
        <stp>.SPY250630P562</stp>
        <tr r="L25" s="2"/>
        <tr r="L25" s="2"/>
      </tp>
      <tp>
        <v>21</v>
        <stp/>
        <stp>VOLUME</stp>
        <stp>.SPY250606C554</stp>
        <tr r="J33" s="2"/>
        <tr r="J33" s="2"/>
      </tp>
      <tp>
        <v>190</v>
        <stp/>
        <stp>VOLUME</stp>
        <stp>.SPY250620C572</stp>
        <tr r="K15" s="2"/>
        <tr r="K15" s="2"/>
      </tp>
      <tp>
        <v>51</v>
        <stp/>
        <stp>VOLUME</stp>
        <stp>.SPY250630C562</stp>
        <tr r="L25" s="2"/>
        <tr r="L25" s="2"/>
      </tp>
      <tp>
        <v>492</v>
        <stp/>
        <stp>VOLUME</stp>
        <stp>.SPY250606P555</stp>
        <tr r="J32" s="2"/>
        <tr r="J32" s="2"/>
      </tp>
      <tp>
        <v>41</v>
        <stp/>
        <stp>VOLUME</stp>
        <stp>.SPY250620P573</stp>
        <tr r="K14" s="2"/>
        <tr r="K14" s="2"/>
      </tp>
      <tp>
        <v>113</v>
        <stp/>
        <stp>VOLUME</stp>
        <stp>.SPY250630P563</stp>
        <tr r="L24" s="2"/>
        <tr r="L24" s="2"/>
      </tp>
      <tp>
        <v>78</v>
        <stp/>
        <stp>VOLUME</stp>
        <stp>.SPY250606C555</stp>
        <tr r="J32" s="2"/>
        <tr r="J32" s="2"/>
      </tp>
      <tp>
        <v>82</v>
        <stp/>
        <stp>VOLUME</stp>
        <stp>.SPY250620C573</stp>
        <tr r="K14" s="2"/>
        <tr r="K14" s="2"/>
      </tp>
      <tp>
        <v>165</v>
        <stp/>
        <stp>VOLUME</stp>
        <stp>.SPY250630C563</stp>
        <tr r="L24" s="2"/>
        <tr r="L24" s="2"/>
      </tp>
      <tp>
        <v>84</v>
        <stp/>
        <stp>VOLUME</stp>
        <stp>.SPY250606P556</stp>
        <tr r="J31" s="2"/>
        <tr r="J31" s="2"/>
      </tp>
      <tp>
        <v>969</v>
        <stp/>
        <stp>VOLUME</stp>
        <stp>.SPY250620P570</stp>
        <tr r="K17" s="2"/>
        <tr r="K17" s="2"/>
      </tp>
      <tp>
        <v>667</v>
        <stp/>
        <stp>VOLUME</stp>
        <stp>.SPY250630P560</stp>
        <tr r="L27" s="2"/>
        <tr r="L27" s="2"/>
      </tp>
      <tp>
        <v>22</v>
        <stp/>
        <stp>VOLUME</stp>
        <stp>.SPY250606C556</stp>
        <tr r="J31" s="2"/>
        <tr r="J31" s="2"/>
      </tp>
      <tp>
        <v>1792</v>
        <stp/>
        <stp>VOLUME</stp>
        <stp>.SPY250620C570</stp>
        <tr r="K17" s="2"/>
        <tr r="K17" s="2"/>
      </tp>
      <tp>
        <v>830</v>
        <stp/>
        <stp>VOLUME</stp>
        <stp>.SPY250630C560</stp>
        <tr r="L27" s="2"/>
        <tr r="L27" s="2"/>
      </tp>
      <tp>
        <v>156</v>
        <stp/>
        <stp>VOLUME</stp>
        <stp>.SPY250606P557</stp>
        <tr r="J30" s="2"/>
        <tr r="J30" s="2"/>
      </tp>
      <tp>
        <v>127</v>
        <stp/>
        <stp>VOLUME</stp>
        <stp>.SPY250620P571</stp>
        <tr r="K16" s="2"/>
        <tr r="K16" s="2"/>
      </tp>
      <tp>
        <v>360</v>
        <stp/>
        <stp>VOLUME</stp>
        <stp>.SPY250630P561</stp>
        <tr r="L26" s="2"/>
        <tr r="L26" s="2"/>
      </tp>
      <tp>
        <v>86</v>
        <stp/>
        <stp>VOLUME</stp>
        <stp>.SPY250606C557</stp>
        <tr r="J30" s="2"/>
        <tr r="J30" s="2"/>
      </tp>
      <tp>
        <v>308</v>
        <stp/>
        <stp>VOLUME</stp>
        <stp>.SPY250620C571</stp>
        <tr r="K16" s="2"/>
        <tr r="K16" s="2"/>
      </tp>
      <tp>
        <v>153</v>
        <stp/>
        <stp>VOLUME</stp>
        <stp>.SPY250630C561</stp>
        <tr r="L26" s="2"/>
        <tr r="L26" s="2"/>
      </tp>
      <tp>
        <v>473</v>
        <stp/>
        <stp>VOLUME</stp>
        <stp>.SPY250606P558</stp>
        <tr r="J29" s="2"/>
        <tr r="J29" s="2"/>
      </tp>
      <tp>
        <v>249</v>
        <stp/>
        <stp>VOLUME</stp>
        <stp>.SPY250606C558</stp>
        <tr r="J29" s="2"/>
        <tr r="J29" s="2"/>
      </tp>
      <tp>
        <v>333</v>
        <stp/>
        <stp>VOLUME</stp>
        <stp>.SPY250606P559</stp>
        <tr r="J28" s="2"/>
        <tr r="J28" s="2"/>
      </tp>
      <tp>
        <v>991</v>
        <stp/>
        <stp>VOLUME</stp>
        <stp>.SPY250606C559</stp>
        <tr r="J28" s="2"/>
        <tr r="J28" s="2"/>
      </tp>
      <tp>
        <v>2</v>
        <stp/>
        <stp>VOLUME</stp>
        <stp>.SPY250620P578</stp>
        <tr r="K9" s="2"/>
        <tr r="K9" s="2"/>
      </tp>
      <tp>
        <v>31</v>
        <stp/>
        <stp>VOLUME</stp>
        <stp>.SPY250630P568</stp>
        <tr r="L19" s="2"/>
        <tr r="L19" s="2"/>
      </tp>
      <tp>
        <v>124</v>
        <stp/>
        <stp>VOLUME</stp>
        <stp>.SPY250620C578</stp>
        <tr r="K9" s="2"/>
        <tr r="K9" s="2"/>
      </tp>
      <tp>
        <v>100</v>
        <stp/>
        <stp>VOLUME</stp>
        <stp>.SPY250630C568</stp>
        <tr r="L19" s="2"/>
        <tr r="L19" s="2"/>
      </tp>
      <tp>
        <v>4</v>
        <stp/>
        <stp>VOLUME</stp>
        <stp>.SPY250620P579</stp>
        <tr r="K8" s="2"/>
        <tr r="K8" s="2"/>
      </tp>
      <tp>
        <v>4</v>
        <stp/>
        <stp>VOLUME</stp>
        <stp>.SPY250630P569</stp>
        <tr r="L18" s="2"/>
        <tr r="L18" s="2"/>
      </tp>
      <tp>
        <v>138</v>
        <stp/>
        <stp>VOLUME</stp>
        <stp>.SPY250620C579</stp>
        <tr r="K8" s="2"/>
        <tr r="K8" s="2"/>
      </tp>
      <tp t="s">
        <v>N/A</v>
        <stp/>
        <stp>VOLUME</stp>
        <stp>.SPY250630C569</stp>
        <tr r="L18" s="2"/>
      </tp>
      <tp>
        <v>86</v>
        <stp/>
        <stp>VOLUME</stp>
        <stp>.SPY250620P566</stp>
        <tr r="K21" s="2"/>
        <tr r="K21" s="2"/>
      </tp>
      <tp>
        <v>17</v>
        <stp/>
        <stp>VOLUME</stp>
        <stp>.SPY250630P576</stp>
        <tr r="L11" s="2"/>
        <tr r="L11" s="2"/>
      </tp>
      <tp>
        <v>184</v>
        <stp/>
        <stp>VOLUME</stp>
        <stp>.SPY250620C566</stp>
        <tr r="K21" s="2"/>
        <tr r="K21" s="2"/>
      </tp>
      <tp>
        <v>89</v>
        <stp/>
        <stp>VOLUME</stp>
        <stp>.SPY250630C576</stp>
        <tr r="L11" s="2"/>
        <tr r="L11" s="2"/>
      </tp>
      <tp>
        <v>108</v>
        <stp/>
        <stp>VOLUME</stp>
        <stp>.SPY250620P567</stp>
        <tr r="K20" s="2"/>
        <tr r="K20" s="2"/>
      </tp>
      <tp>
        <v>1</v>
        <stp/>
        <stp>VOLUME</stp>
        <stp>.SPY250630P577</stp>
        <tr r="L10" s="2"/>
        <tr r="L10" s="2"/>
      </tp>
      <tp>
        <v>293</v>
        <stp/>
        <stp>VOLUME</stp>
        <stp>.SPY250620C567</stp>
        <tr r="K20" s="2"/>
        <tr r="K20" s="2"/>
      </tp>
      <tp>
        <v>3</v>
        <stp/>
        <stp>VOLUME</stp>
        <stp>.SPY250630C577</stp>
        <tr r="L10" s="2"/>
        <tr r="L10" s="2"/>
      </tp>
      <tp>
        <v>225</v>
        <stp/>
        <stp>VOLUME</stp>
        <stp>.SPY250620P564</stp>
        <tr r="K23" s="2"/>
        <tr r="K23" s="2"/>
      </tp>
      <tp t="s">
        <v>N/A</v>
        <stp/>
        <stp>VOLUME</stp>
        <stp>.SPY250630P574</stp>
        <tr r="L13" s="2"/>
      </tp>
      <tp>
        <v>398</v>
        <stp/>
        <stp>VOLUME</stp>
        <stp>.SPY250620C564</stp>
        <tr r="K23" s="2"/>
        <tr r="K23" s="2"/>
      </tp>
      <tp>
        <v>84</v>
        <stp/>
        <stp>VOLUME</stp>
        <stp>.SPY250630C574</stp>
        <tr r="L13" s="2"/>
        <tr r="L13" s="2"/>
      </tp>
      <tp>
        <v>787</v>
        <stp/>
        <stp>VOLUME</stp>
        <stp>.SPY250620P565</stp>
        <tr r="K22" s="2"/>
        <tr r="K22" s="2"/>
      </tp>
      <tp>
        <v>33</v>
        <stp/>
        <stp>VOLUME</stp>
        <stp>.SPY250630P575</stp>
        <tr r="L12" s="2"/>
        <tr r="L12" s="2"/>
      </tp>
      <tp>
        <v>1907</v>
        <stp/>
        <stp>VOLUME</stp>
        <stp>.SPY250620C565</stp>
        <tr r="K22" s="2"/>
        <tr r="K22" s="2"/>
      </tp>
      <tp>
        <v>77</v>
        <stp/>
        <stp>VOLUME</stp>
        <stp>.SPY250630C575</stp>
        <tr r="L12" s="2"/>
        <tr r="L12" s="2"/>
      </tp>
      <tp>
        <v>418</v>
        <stp/>
        <stp>VOLUME</stp>
        <stp>.SPY250620P562</stp>
        <tr r="K25" s="2"/>
        <tr r="K25" s="2"/>
      </tp>
      <tp t="s">
        <v>N/A</v>
        <stp/>
        <stp>VOLUME</stp>
        <stp>.SPY250630P572</stp>
        <tr r="L15" s="2"/>
      </tp>
      <tp>
        <v>540</v>
        <stp/>
        <stp>VOLUME</stp>
        <stp>.SPY250620C562</stp>
        <tr r="K25" s="2"/>
        <tr r="K25" s="2"/>
      </tp>
      <tp>
        <v>77</v>
        <stp/>
        <stp>VOLUME</stp>
        <stp>.SPY250630C572</stp>
        <tr r="L15" s="2"/>
        <tr r="L15" s="2"/>
      </tp>
      <tp>
        <v>464</v>
        <stp/>
        <stp>VOLUME</stp>
        <stp>.SPY250620P563</stp>
        <tr r="K24" s="2"/>
        <tr r="K24" s="2"/>
      </tp>
      <tp>
        <v>1</v>
        <stp/>
        <stp>VOLUME</stp>
        <stp>.SPY250630P573</stp>
        <tr r="L14" s="2"/>
        <tr r="L14" s="2"/>
      </tp>
      <tp>
        <v>463</v>
        <stp/>
        <stp>VOLUME</stp>
        <stp>.SPY250620C563</stp>
        <tr r="K24" s="2"/>
        <tr r="K24" s="2"/>
      </tp>
      <tp>
        <v>8</v>
        <stp/>
        <stp>VOLUME</stp>
        <stp>.SPY250630C573</stp>
        <tr r="L14" s="2"/>
        <tr r="L14" s="2"/>
      </tp>
      <tp>
        <v>3956</v>
        <stp/>
        <stp>VOLUME</stp>
        <stp>.SPY250620P560</stp>
        <tr r="K27" s="2"/>
        <tr r="K27" s="2"/>
      </tp>
      <tp>
        <v>68</v>
        <stp/>
        <stp>VOLUME</stp>
        <stp>.SPY250630P570</stp>
        <tr r="L17" s="2"/>
        <tr r="L17" s="2"/>
      </tp>
      <tp>
        <v>2571</v>
        <stp/>
        <stp>VOLUME</stp>
        <stp>.SPY250620C560</stp>
        <tr r="K27" s="2"/>
        <tr r="K27" s="2"/>
      </tp>
      <tp>
        <v>337</v>
        <stp/>
        <stp>VOLUME</stp>
        <stp>.SPY250630C570</stp>
        <tr r="L17" s="2"/>
        <tr r="L17" s="2"/>
      </tp>
      <tp>
        <v>593</v>
        <stp/>
        <stp>VOLUME</stp>
        <stp>.SPY250620P561</stp>
        <tr r="K26" s="2"/>
        <tr r="K26" s="2"/>
      </tp>
      <tp>
        <v>13</v>
        <stp/>
        <stp>VOLUME</stp>
        <stp>.SPY250630P571</stp>
        <tr r="L16" s="2"/>
        <tr r="L16" s="2"/>
      </tp>
      <tp>
        <v>764</v>
        <stp/>
        <stp>VOLUME</stp>
        <stp>.SPY250620C561</stp>
        <tr r="K26" s="2"/>
        <tr r="K26" s="2"/>
      </tp>
      <tp>
        <v>5</v>
        <stp/>
        <stp>VOLUME</stp>
        <stp>.SPY250630C571</stp>
        <tr r="L16" s="2"/>
        <tr r="L16" s="2"/>
      </tp>
      <tp>
        <v>86</v>
        <stp/>
        <stp>VOLUME</stp>
        <stp>.SPY250606P548</stp>
        <tr r="J39" s="2"/>
        <tr r="J39" s="2"/>
      </tp>
      <tp>
        <v>9</v>
        <stp/>
        <stp>VOLUME</stp>
        <stp>.SPY250606C548</stp>
        <tr r="J39" s="2"/>
        <tr r="J39" s="2"/>
      </tp>
      <tp>
        <v>24</v>
        <stp/>
        <stp>VOLUME</stp>
        <stp>.SPY250606P549</stp>
        <tr r="J38" s="2"/>
        <tr r="J38" s="2"/>
      </tp>
      <tp>
        <v>12</v>
        <stp/>
        <stp>VOLUME</stp>
        <stp>.SPY250606C549</stp>
        <tr r="J38" s="2"/>
        <tr r="J38" s="2"/>
      </tp>
      <tp>
        <v>24</v>
        <stp/>
        <stp>VOLUME</stp>
        <stp>.SPY250620P568</stp>
        <tr r="K19" s="2"/>
        <tr r="K19" s="2"/>
      </tp>
      <tp>
        <v>2</v>
        <stp/>
        <stp>VOLUME</stp>
        <stp>.SPY250630P578</stp>
        <tr r="L9" s="2"/>
        <tr r="L9" s="2"/>
      </tp>
      <tp>
        <v>494</v>
        <stp/>
        <stp>VOLUME</stp>
        <stp>.SPY250620C568</stp>
        <tr r="K19" s="2"/>
        <tr r="K19" s="2"/>
      </tp>
      <tp>
        <v>1</v>
        <stp/>
        <stp>VOLUME</stp>
        <stp>.SPY250630C578</stp>
        <tr r="L9" s="2"/>
        <tr r="L9" s="2"/>
      </tp>
      <tp>
        <v>64</v>
        <stp/>
        <stp>VOLUME</stp>
        <stp>.SPY250620P569</stp>
        <tr r="K18" s="2"/>
        <tr r="K18" s="2"/>
      </tp>
      <tp t="s">
        <v>N/A</v>
        <stp/>
        <stp>VOLUME</stp>
        <stp>.SPY250630P579</stp>
        <tr r="L8" s="2"/>
      </tp>
      <tp>
        <v>233</v>
        <stp/>
        <stp>VOLUME</stp>
        <stp>.SPY250620C569</stp>
        <tr r="K18" s="2"/>
        <tr r="K18" s="2"/>
      </tp>
      <tp t="s">
        <v>N/A</v>
        <stp/>
        <stp>VOLUME</stp>
        <stp>.SPY250630C579</stp>
        <tr r="L8" s="2"/>
      </tp>
      <tp>
        <v>38</v>
        <stp/>
        <stp>VOLUME</stp>
        <stp>.SPY250606P570</stp>
        <tr r="J17" s="2"/>
        <tr r="J17" s="2"/>
      </tp>
      <tp>
        <v>349</v>
        <stp/>
        <stp>VOLUME</stp>
        <stp>.SPY250620P556</stp>
        <tr r="K31" s="2"/>
        <tr r="K31" s="2"/>
      </tp>
      <tp>
        <v>345</v>
        <stp/>
        <stp>VOLUME</stp>
        <stp>.SPY250606C570</stp>
        <tr r="J17" s="2"/>
        <tr r="J17" s="2"/>
      </tp>
      <tp>
        <v>199</v>
        <stp/>
        <stp>VOLUME</stp>
        <stp>.SPY250620C556</stp>
        <tr r="K31" s="2"/>
        <tr r="K31" s="2"/>
      </tp>
      <tp>
        <v>2</v>
        <stp/>
        <stp>VOLUME</stp>
        <stp>.SPY250606P571</stp>
        <tr r="J16" s="2"/>
        <tr r="J16" s="2"/>
      </tp>
      <tp>
        <v>481</v>
        <stp/>
        <stp>VOLUME</stp>
        <stp>.SPY250620P557</stp>
        <tr r="K30" s="2"/>
        <tr r="K30" s="2"/>
      </tp>
      <tp>
        <v>92</v>
        <stp/>
        <stp>VOLUME</stp>
        <stp>.SPY250606C571</stp>
        <tr r="J16" s="2"/>
        <tr r="J16" s="2"/>
      </tp>
      <tp>
        <v>131</v>
        <stp/>
        <stp>VOLUME</stp>
        <stp>.SPY250620C557</stp>
        <tr r="K30" s="2"/>
        <tr r="K30" s="2"/>
      </tp>
      <tp>
        <v>21</v>
        <stp/>
        <stp>VOLUME</stp>
        <stp>.SPY250606P572</stp>
        <tr r="J15" s="2"/>
        <tr r="J15" s="2"/>
      </tp>
      <tp>
        <v>388</v>
        <stp/>
        <stp>VOLUME</stp>
        <stp>.SPY250620P554</stp>
        <tr r="K33" s="2"/>
        <tr r="K33" s="2"/>
      </tp>
      <tp>
        <v>169</v>
        <stp/>
        <stp>VOLUME</stp>
        <stp>.SPY250606C572</stp>
        <tr r="J15" s="2"/>
        <tr r="J15" s="2"/>
      </tp>
      <tp>
        <v>49</v>
        <stp/>
        <stp>VOLUME</stp>
        <stp>.SPY250620C554</stp>
        <tr r="K33" s="2"/>
        <tr r="K33" s="2"/>
      </tp>
      <tp>
        <v>1</v>
        <stp/>
        <stp>VOLUME</stp>
        <stp>.SPY250606P573</stp>
        <tr r="J14" s="2"/>
        <tr r="J14" s="2"/>
      </tp>
      <tp>
        <v>1616</v>
        <stp/>
        <stp>VOLUME</stp>
        <stp>.SPY250620P555</stp>
        <tr r="K32" s="2"/>
        <tr r="K32" s="2"/>
      </tp>
      <tp>
        <v>249</v>
        <stp/>
        <stp>VOLUME</stp>
        <stp>.SPY250606C573</stp>
        <tr r="J14" s="2"/>
        <tr r="J14" s="2"/>
      </tp>
      <tp>
        <v>341</v>
        <stp/>
        <stp>VOLUME</stp>
        <stp>.SPY250620C555</stp>
        <tr r="K32" s="2"/>
        <tr r="K32" s="2"/>
      </tp>
      <tp>
        <v>9</v>
        <stp/>
        <stp>VOLUME</stp>
        <stp>.SPY250606P574</stp>
        <tr r="J13" s="2"/>
        <tr r="J13" s="2"/>
      </tp>
      <tp>
        <v>773</v>
        <stp/>
        <stp>VOLUME</stp>
        <stp>.SPY250620P552</stp>
        <tr r="K35" s="2"/>
        <tr r="K35" s="2"/>
      </tp>
      <tp>
        <v>57</v>
        <stp/>
        <stp>VOLUME</stp>
        <stp>.SPY250606C574</stp>
        <tr r="J13" s="2"/>
        <tr r="J13" s="2"/>
      </tp>
      <tp>
        <v>28</v>
        <stp/>
        <stp>VOLUME</stp>
        <stp>.SPY250620C552</stp>
        <tr r="K35" s="2"/>
        <tr r="K35" s="2"/>
      </tp>
      <tp>
        <v>22</v>
        <stp/>
        <stp>VOLUME</stp>
        <stp>.SPY250606P575</stp>
        <tr r="J12" s="2"/>
        <tr r="J12" s="2"/>
      </tp>
      <tp>
        <v>244</v>
        <stp/>
        <stp>VOLUME</stp>
        <stp>.SPY250620P553</stp>
        <tr r="K34" s="2"/>
        <tr r="K34" s="2"/>
      </tp>
      <tp>
        <v>306</v>
        <stp/>
        <stp>VOLUME</stp>
        <stp>.SPY250606C575</stp>
        <tr r="J12" s="2"/>
        <tr r="J12" s="2"/>
      </tp>
      <tp>
        <v>4</v>
        <stp/>
        <stp>VOLUME</stp>
        <stp>.SPY250620C553</stp>
        <tr r="K34" s="2"/>
        <tr r="K34" s="2"/>
      </tp>
      <tp t="s">
        <v>N/A</v>
        <stp/>
        <stp>VOLUME</stp>
        <stp>.SPY250606P576</stp>
        <tr r="J11" s="2"/>
      </tp>
      <tp>
        <v>5390</v>
        <stp/>
        <stp>VOLUME</stp>
        <stp>.SPY250620P550</stp>
        <tr r="K37" s="2"/>
        <tr r="K37" s="2"/>
      </tp>
      <tp>
        <v>64</v>
        <stp/>
        <stp>VOLUME</stp>
        <stp>.SPY250606C576</stp>
        <tr r="J11" s="2"/>
        <tr r="J11" s="2"/>
      </tp>
      <tp>
        <v>555</v>
        <stp/>
        <stp>VOLUME</stp>
        <stp>.SPY250620C550</stp>
        <tr r="K37" s="2"/>
        <tr r="K37" s="2"/>
      </tp>
      <tp t="s">
        <v>N/A</v>
        <stp/>
        <stp>VOLUME</stp>
        <stp>.SPY250606P577</stp>
        <tr r="J10" s="2"/>
      </tp>
      <tp>
        <v>455</v>
        <stp/>
        <stp>VOLUME</stp>
        <stp>.SPY250620P551</stp>
        <tr r="K36" s="2"/>
        <tr r="K36" s="2"/>
      </tp>
      <tp>
        <v>53</v>
        <stp/>
        <stp>VOLUME</stp>
        <stp>.SPY250606C577</stp>
        <tr r="J10" s="2"/>
        <tr r="J10" s="2"/>
      </tp>
      <tp>
        <v>39</v>
        <stp/>
        <stp>VOLUME</stp>
        <stp>.SPY250620C551</stp>
        <tr r="K36" s="2"/>
        <tr r="K36" s="2"/>
      </tp>
      <tp>
        <v>2</v>
        <stp/>
        <stp>VOLUME</stp>
        <stp>.SPY250606P578</stp>
        <tr r="J9" s="2"/>
        <tr r="J9" s="2"/>
      </tp>
      <tp>
        <v>32</v>
        <stp/>
        <stp>VOLUME</stp>
        <stp>.SPY250606C578</stp>
        <tr r="J9" s="2"/>
        <tr r="J9" s="2"/>
      </tp>
      <tp t="s">
        <v>N/A</v>
        <stp/>
        <stp>VOLUME</stp>
        <stp>.SPY250606P579</stp>
        <tr r="J8" s="2"/>
      </tp>
      <tp>
        <v>38</v>
        <stp/>
        <stp>VOLUME</stp>
        <stp>.SPY250606C579</stp>
        <tr r="J8" s="2"/>
        <tr r="J8" s="2"/>
      </tp>
      <tp>
        <v>393</v>
        <stp/>
        <stp>VOLUME</stp>
        <stp>.SPY250620P558</stp>
        <tr r="K29" s="2"/>
        <tr r="K29" s="2"/>
      </tp>
      <tp>
        <v>92</v>
        <stp/>
        <stp>VOLUME</stp>
        <stp>.SPY250630P548</stp>
        <tr r="L39" s="2"/>
        <tr r="L39" s="2"/>
      </tp>
      <tp>
        <v>98</v>
        <stp/>
        <stp>VOLUME</stp>
        <stp>.SPY250620C558</stp>
        <tr r="K29" s="2"/>
        <tr r="K29" s="2"/>
      </tp>
      <tp>
        <v>5</v>
        <stp/>
        <stp>VOLUME</stp>
        <stp>.SPY250630C548</stp>
        <tr r="L39" s="2"/>
        <tr r="L39" s="2"/>
      </tp>
      <tp>
        <v>663</v>
        <stp/>
        <stp>VOLUME</stp>
        <stp>.SPY250620P559</stp>
        <tr r="K28" s="2"/>
        <tr r="K28" s="2"/>
      </tp>
      <tp>
        <v>146</v>
        <stp/>
        <stp>VOLUME</stp>
        <stp>.SPY250630P549</stp>
        <tr r="L38" s="2"/>
        <tr r="L38" s="2"/>
      </tp>
      <tp>
        <v>103</v>
        <stp/>
        <stp>VOLUME</stp>
        <stp>.SPY250620C559</stp>
        <tr r="K28" s="2"/>
        <tr r="K28" s="2"/>
      </tp>
      <tp>
        <v>3</v>
        <stp/>
        <stp>VOLUME</stp>
        <stp>.SPY250630C549</stp>
        <tr r="L38" s="2"/>
        <tr r="L38" s="2"/>
      </tp>
      <tp>
        <v>1568</v>
        <stp/>
        <stp>VOLUME</stp>
        <stp>.SPY250606P560</stp>
        <tr r="J27" s="2"/>
        <tr r="J27" s="2"/>
      </tp>
      <tp>
        <v>23</v>
        <stp/>
        <stp>VOLUME</stp>
        <stp>.SPY250630P556</stp>
        <tr r="L31" s="2"/>
        <tr r="L31" s="2"/>
      </tp>
      <tp>
        <v>1655</v>
        <stp/>
        <stp>VOLUME</stp>
        <stp>.SPY250606C560</stp>
        <tr r="J27" s="2"/>
        <tr r="J27" s="2"/>
      </tp>
      <tp>
        <v>3</v>
        <stp/>
        <stp>VOLUME</stp>
        <stp>.SPY250630C556</stp>
        <tr r="L31" s="2"/>
        <tr r="L31" s="2"/>
      </tp>
      <tp>
        <v>539</v>
        <stp/>
        <stp>VOLUME</stp>
        <stp>.SPY250606P561</stp>
        <tr r="J26" s="2"/>
        <tr r="J26" s="2"/>
      </tp>
      <tp>
        <v>209</v>
        <stp/>
        <stp>VOLUME</stp>
        <stp>.SPY250630P557</stp>
        <tr r="L30" s="2"/>
        <tr r="L30" s="2"/>
      </tp>
      <tp>
        <v>292</v>
        <stp/>
        <stp>VOLUME</stp>
        <stp>.SPY250606C561</stp>
        <tr r="J26" s="2"/>
        <tr r="J26" s="2"/>
      </tp>
      <tp>
        <v>39</v>
        <stp/>
        <stp>VOLUME</stp>
        <stp>.SPY250630C557</stp>
        <tr r="L30" s="2"/>
        <tr r="L30" s="2"/>
      </tp>
      <tp>
        <v>365</v>
        <stp/>
        <stp>VOLUME</stp>
        <stp>.SPY250606P562</stp>
        <tr r="J25" s="2"/>
        <tr r="J25" s="2"/>
      </tp>
      <tp>
        <v>100</v>
        <stp/>
        <stp>VOLUME</stp>
        <stp>.SPY250630P554</stp>
        <tr r="L33" s="2"/>
        <tr r="L33" s="2"/>
      </tp>
      <tp>
        <v>147</v>
        <stp/>
        <stp>VOLUME</stp>
        <stp>.SPY250606C562</stp>
        <tr r="J25" s="2"/>
        <tr r="J25" s="2"/>
      </tp>
      <tp t="s">
        <v>N/A</v>
        <stp/>
        <stp>VOLUME</stp>
        <stp>.SPY250630C554</stp>
        <tr r="L33" s="2"/>
      </tp>
      <tp>
        <v>68</v>
        <stp/>
        <stp>VOLUME</stp>
        <stp>.SPY250606P563</stp>
        <tr r="J24" s="2"/>
        <tr r="J24" s="2"/>
      </tp>
      <tp>
        <v>4820</v>
        <stp/>
        <stp>VOLUME</stp>
        <stp>.SPY250630P555</stp>
        <tr r="L32" s="2"/>
        <tr r="L32" s="2"/>
      </tp>
      <tp>
        <v>323</v>
        <stp/>
        <stp>VOLUME</stp>
        <stp>.SPY250606C563</stp>
        <tr r="J24" s="2"/>
        <tr r="J24" s="2"/>
      </tp>
      <tp>
        <v>19</v>
        <stp/>
        <stp>VOLUME</stp>
        <stp>.SPY250630C555</stp>
        <tr r="L32" s="2"/>
        <tr r="L32" s="2"/>
      </tp>
      <tp>
        <v>140</v>
        <stp/>
        <stp>VOLUME</stp>
        <stp>.SPY250606P564</stp>
        <tr r="J23" s="2"/>
        <tr r="J23" s="2"/>
      </tp>
      <tp>
        <v>73</v>
        <stp/>
        <stp>VOLUME</stp>
        <stp>.SPY250630P552</stp>
        <tr r="L35" s="2"/>
        <tr r="L35" s="2"/>
      </tp>
      <tp>
        <v>76</v>
        <stp/>
        <stp>VOLUME</stp>
        <stp>.SPY250606C564</stp>
        <tr r="J23" s="2"/>
        <tr r="J23" s="2"/>
      </tp>
      <tp>
        <v>16</v>
        <stp/>
        <stp>VOLUME</stp>
        <stp>.SPY250630C552</stp>
        <tr r="L35" s="2"/>
        <tr r="L35" s="2"/>
      </tp>
      <tp>
        <v>200</v>
        <stp/>
        <stp>VOLUME</stp>
        <stp>.SPY250606P565</stp>
        <tr r="J22" s="2"/>
        <tr r="J22" s="2"/>
      </tp>
      <tp>
        <v>96</v>
        <stp/>
        <stp>VOLUME</stp>
        <stp>.SPY250630P553</stp>
        <tr r="L34" s="2"/>
        <tr r="L34" s="2"/>
      </tp>
      <tp>
        <v>446</v>
        <stp/>
        <stp>VOLUME</stp>
        <stp>.SPY250606C565</stp>
        <tr r="J22" s="2"/>
        <tr r="J22" s="2"/>
      </tp>
      <tp t="s">
        <v>N/A</v>
        <stp/>
        <stp>VOLUME</stp>
        <stp>.SPY250630C553</stp>
        <tr r="L34" s="2"/>
      </tp>
      <tp>
        <v>20</v>
        <stp/>
        <stp>VOLUME</stp>
        <stp>.SPY250606P566</stp>
        <tr r="J21" s="2"/>
        <tr r="J21" s="2"/>
      </tp>
      <tp>
        <v>418</v>
        <stp/>
        <stp>VOLUME</stp>
        <stp>.SPY250630P550</stp>
        <tr r="L37" s="2"/>
        <tr r="L37" s="2"/>
      </tp>
      <tp>
        <v>156</v>
        <stp/>
        <stp>VOLUME</stp>
        <stp>.SPY250606C566</stp>
        <tr r="J21" s="2"/>
        <tr r="J21" s="2"/>
      </tp>
      <tp>
        <v>89</v>
        <stp/>
        <stp>VOLUME</stp>
        <stp>.SPY250630C550</stp>
        <tr r="L37" s="2"/>
        <tr r="L37" s="2"/>
      </tp>
      <tp>
        <v>46</v>
        <stp/>
        <stp>VOLUME</stp>
        <stp>.SPY250606P567</stp>
        <tr r="J20" s="2"/>
        <tr r="J20" s="2"/>
      </tp>
      <tp>
        <v>28</v>
        <stp/>
        <stp>VOLUME</stp>
        <stp>.SPY250630P551</stp>
        <tr r="L36" s="2"/>
        <tr r="L36" s="2"/>
      </tp>
      <tp>
        <v>31</v>
        <stp/>
        <stp>VOLUME</stp>
        <stp>.SPY250606C567</stp>
        <tr r="J20" s="2"/>
        <tr r="J20" s="2"/>
      </tp>
      <tp>
        <v>1</v>
        <stp/>
        <stp>VOLUME</stp>
        <stp>.SPY250630C551</stp>
        <tr r="L36" s="2"/>
        <tr r="L36" s="2"/>
      </tp>
      <tp>
        <v>45</v>
        <stp/>
        <stp>VOLUME</stp>
        <stp>.SPY250606P568</stp>
        <tr r="J19" s="2"/>
        <tr r="J19" s="2"/>
      </tp>
      <tp>
        <v>105</v>
        <stp/>
        <stp>VOLUME</stp>
        <stp>.SPY250606C568</stp>
        <tr r="J19" s="2"/>
        <tr r="J19" s="2"/>
      </tp>
      <tp t="s">
        <v>N/A</v>
        <stp/>
        <stp>VOLUME</stp>
        <stp>.SPY250606P569</stp>
        <tr r="J18" s="2"/>
      </tp>
      <tp>
        <v>35</v>
        <stp/>
        <stp>VOLUME</stp>
        <stp>.SPY250606C569</stp>
        <tr r="J18" s="2"/>
        <tr r="J18" s="2"/>
      </tp>
      <tp>
        <v>297</v>
        <stp/>
        <stp>VOLUME</stp>
        <stp>.SPY250620P548</stp>
        <tr r="K39" s="2"/>
        <tr r="K39" s="2"/>
      </tp>
      <tp>
        <v>174</v>
        <stp/>
        <stp>VOLUME</stp>
        <stp>.SPY250630P558</stp>
        <tr r="L29" s="2"/>
        <tr r="L29" s="2"/>
      </tp>
      <tp>
        <v>40</v>
        <stp/>
        <stp>VOLUME</stp>
        <stp>.SPY250620C548</stp>
        <tr r="K39" s="2"/>
        <tr r="K39" s="2"/>
      </tp>
      <tp>
        <v>30</v>
        <stp/>
        <stp>VOLUME</stp>
        <stp>.SPY250630C558</stp>
        <tr r="L29" s="2"/>
        <tr r="L29" s="2"/>
      </tp>
      <tp>
        <v>263</v>
        <stp/>
        <stp>VOLUME</stp>
        <stp>.SPY250620P549</stp>
        <tr r="K38" s="2"/>
        <tr r="K38" s="2"/>
      </tp>
      <tp>
        <v>242</v>
        <stp/>
        <stp>VOLUME</stp>
        <stp>.SPY250630P559</stp>
        <tr r="L28" s="2"/>
        <tr r="L28" s="2"/>
      </tp>
      <tp>
        <v>8</v>
        <stp/>
        <stp>VOLUME</stp>
        <stp>.SPY250620C549</stp>
        <tr r="K38" s="2"/>
        <tr r="K38" s="2"/>
      </tp>
      <tp>
        <v>112</v>
        <stp/>
        <stp>VOLUME</stp>
        <stp>.SPY250630C559</stp>
        <tr r="L28" s="2"/>
        <tr r="L28" s="2"/>
      </tp>
      <tp t="s">
        <v>N/A</v>
        <stp/>
        <stp>DELTA</stp>
        <stp>.SPXW250509P5720</stp>
        <tr r="CG100" s="1"/>
      </tp>
      <tp t="s">
        <v>N/A</v>
        <stp/>
        <stp>DELTA</stp>
        <stp>.SPXW250509C5720</stp>
        <tr r="CF100" s="1"/>
      </tp>
      <tp>
        <v>-1</v>
        <stp/>
        <stp>DELTA</stp>
        <stp>.SPXW250509P5730</stp>
        <tr r="CG99" s="1"/>
        <tr r="CG99" s="1"/>
      </tp>
      <tp>
        <v>0.18</v>
        <stp/>
        <stp>DELTA</stp>
        <stp>.SPXW250509C5730</stp>
        <tr r="CF99" s="1"/>
        <tr r="CF99" s="1"/>
      </tp>
      <tp>
        <v>-1</v>
        <stp/>
        <stp>DELTA</stp>
        <stp>.SPXW250509P5700</stp>
        <tr r="CG102" s="1"/>
        <tr r="CG102" s="1"/>
      </tp>
      <tp>
        <v>0.28000000000000003</v>
        <stp/>
        <stp>DELTA</stp>
        <stp>.SPXW250509C5700</stp>
        <tr r="CF102" s="1"/>
        <tr r="CF102" s="1"/>
      </tp>
      <tp>
        <v>-1</v>
        <stp/>
        <stp>DELTA</stp>
        <stp>.SPXW250509P5710</stp>
        <tr r="CG101" s="1"/>
        <tr r="CG101" s="1"/>
      </tp>
      <tp>
        <v>0.25</v>
        <stp/>
        <stp>DELTA</stp>
        <stp>.SPXW250509C5710</stp>
        <tr r="CF101" s="1"/>
        <tr r="CF101" s="1"/>
      </tp>
      <tp>
        <v>-0.96</v>
        <stp/>
        <stp>DELTA</stp>
        <stp>.SPXW250507P5780</stp>
        <tr r="CE94" s="1"/>
        <tr r="CE94" s="1"/>
      </tp>
      <tp>
        <v>-1</v>
        <stp/>
        <stp>DELTA</stp>
        <stp>.SPXW250509P5760</stp>
        <tr r="CG96" s="1"/>
        <tr r="CG96" s="1"/>
      </tp>
      <tp>
        <v>-0.64</v>
        <stp/>
        <stp>DELTA</stp>
        <stp>.SPXW250516P5690</stp>
        <tr r="CI103" s="1"/>
        <tr r="CI103" s="1"/>
      </tp>
      <tp>
        <v>0</v>
        <stp/>
        <stp>DELTA</stp>
        <stp>.SPXW250507C5780</stp>
        <tr r="CD94" s="1"/>
        <tr r="CD94" s="1"/>
      </tp>
      <tp>
        <v>0.1</v>
        <stp/>
        <stp>DELTA</stp>
        <stp>.SPXW250509C5760</stp>
        <tr r="CF96" s="1"/>
        <tr r="CF96" s="1"/>
      </tp>
      <tp>
        <v>0.41</v>
        <stp/>
        <stp>DELTA</stp>
        <stp>.SPXW250516C5690</stp>
        <tr r="CH103" s="1"/>
        <tr r="CH103" s="1"/>
      </tp>
      <tp>
        <v>-0.96</v>
        <stp/>
        <stp>DELTA</stp>
        <stp>.SPXW250507P5790</stp>
        <tr r="CE93" s="1"/>
        <tr r="CE93" s="1"/>
      </tp>
      <tp>
        <v>-1</v>
        <stp/>
        <stp>DELTA</stp>
        <stp>.SPXW250509P5770</stp>
        <tr r="CG95" s="1"/>
        <tr r="CG95" s="1"/>
      </tp>
      <tp>
        <v>-0.61</v>
        <stp/>
        <stp>DELTA</stp>
        <stp>.SPXW250516P5680</stp>
        <tr r="CI104" s="1"/>
        <tr r="CI104" s="1"/>
      </tp>
      <tp>
        <v>0</v>
        <stp/>
        <stp>DELTA</stp>
        <stp>.SPXW250507C5790</stp>
        <tr r="CD93" s="1"/>
        <tr r="CD93" s="1"/>
      </tp>
      <tp>
        <v>0.08</v>
        <stp/>
        <stp>DELTA</stp>
        <stp>.SPXW250509C5770</stp>
        <tr r="CF95" s="1"/>
        <tr r="CF95" s="1"/>
      </tp>
      <tp>
        <v>0.43</v>
        <stp/>
        <stp>DELTA</stp>
        <stp>.SPXW250516C5680</stp>
        <tr r="CH104" s="1"/>
        <tr r="CH104" s="1"/>
      </tp>
      <tp>
        <v>-1</v>
        <stp/>
        <stp>DELTA</stp>
        <stp>.SPXW250509P5740</stp>
        <tr r="CG98" s="1"/>
        <tr r="CG98" s="1"/>
      </tp>
      <tp>
        <v>0.15</v>
        <stp/>
        <stp>DELTA</stp>
        <stp>.SPXW250509C5740</stp>
        <tr r="CF98" s="1"/>
        <tr r="CF98" s="1"/>
      </tp>
      <tp>
        <v>-1</v>
        <stp/>
        <stp>DELTA</stp>
        <stp>.SPXW250509P5750</stp>
        <tr r="CG97" s="1"/>
        <tr r="CG97" s="1"/>
      </tp>
      <tp>
        <v>0.13</v>
        <stp/>
        <stp>DELTA</stp>
        <stp>.SPXW250509C5750</stp>
        <tr r="CF97" s="1"/>
        <tr r="CF97" s="1"/>
      </tp>
      <tp>
        <v>-0.95</v>
        <stp/>
        <stp>DELTA</stp>
        <stp>.SPXW250507P5740</stp>
        <tr r="CE98" s="1"/>
        <tr r="CE98" s="1"/>
      </tp>
      <tp>
        <v>-0.53</v>
        <stp/>
        <stp>DELTA</stp>
        <stp>.SPXW250516P5650</stp>
        <tr r="CI107" s="1"/>
        <tr r="CI107" s="1"/>
      </tp>
      <tp>
        <v>0</v>
        <stp/>
        <stp>DELTA</stp>
        <stp>.SPXW250507C5740</stp>
        <tr r="CD98" s="1"/>
        <tr r="CD98" s="1"/>
      </tp>
      <tp>
        <v>0.48</v>
        <stp/>
        <stp>DELTA</stp>
        <stp>.SPXW250516C5650</stp>
        <tr r="CH107" s="1"/>
        <tr r="CH107" s="1"/>
      </tp>
      <tp>
        <v>-0.96</v>
        <stp/>
        <stp>DELTA</stp>
        <stp>.SPXW250507P5750</stp>
        <tr r="CE97" s="1"/>
        <tr r="CE97" s="1"/>
      </tp>
      <tp>
        <v>-0.5</v>
        <stp/>
        <stp>DELTA</stp>
        <stp>.SPXW250516P5640</stp>
        <tr r="CI108" s="1"/>
        <tr r="CI108" s="1"/>
      </tp>
      <tp>
        <v>0</v>
        <stp/>
        <stp>DELTA</stp>
        <stp>.SPXW250507C5750</stp>
        <tr r="CD97" s="1"/>
        <tr r="CD97" s="1"/>
      </tp>
      <tp>
        <v>0.5</v>
        <stp/>
        <stp>DELTA</stp>
        <stp>.SPXW250516C5640</stp>
        <tr r="CH108" s="1"/>
        <tr r="CH108" s="1"/>
      </tp>
      <tp>
        <v>-0.96</v>
        <stp/>
        <stp>DELTA</stp>
        <stp>.SPXW250507P5760</stp>
        <tr r="CE96" s="1"/>
        <tr r="CE96" s="1"/>
      </tp>
      <tp>
        <v>-1</v>
        <stp/>
        <stp>DELTA</stp>
        <stp>.SPXW250509P5780</stp>
        <tr r="CG94" s="1"/>
        <tr r="CG94" s="1"/>
      </tp>
      <tp>
        <v>-0.57999999999999996</v>
        <stp/>
        <stp>DELTA</stp>
        <stp>.SPXW250516P5670</stp>
        <tr r="CI105" s="1"/>
        <tr r="CI105" s="1"/>
      </tp>
      <tp>
        <v>0</v>
        <stp/>
        <stp>DELTA</stp>
        <stp>.SPXW250507C5760</stp>
        <tr r="CD96" s="1"/>
        <tr r="CD96" s="1"/>
      </tp>
      <tp>
        <v>7.0000000000000007E-2</v>
        <stp/>
        <stp>DELTA</stp>
        <stp>.SPXW250509C5780</stp>
        <tr r="CF94" s="1"/>
        <tr r="CF94" s="1"/>
      </tp>
      <tp>
        <v>0.45</v>
        <stp/>
        <stp>DELTA</stp>
        <stp>.SPXW250516C5670</stp>
        <tr r="CH105" s="1"/>
        <tr r="CH105" s="1"/>
      </tp>
      <tp>
        <v>-0.96</v>
        <stp/>
        <stp>DELTA</stp>
        <stp>.SPXW250507P5770</stp>
        <tr r="CE95" s="1"/>
        <tr r="CE95" s="1"/>
      </tp>
      <tp>
        <v>-1</v>
        <stp/>
        <stp>DELTA</stp>
        <stp>.SPXW250509P5790</stp>
        <tr r="CG93" s="1"/>
        <tr r="CG93" s="1"/>
      </tp>
      <tp>
        <v>-0.56000000000000005</v>
        <stp/>
        <stp>DELTA</stp>
        <stp>.SPXW250516P5660</stp>
        <tr r="CI106" s="1"/>
        <tr r="CI106" s="1"/>
      </tp>
      <tp>
        <v>0</v>
        <stp/>
        <stp>DELTA</stp>
        <stp>.SPXW250507C5770</stp>
        <tr r="CD95" s="1"/>
        <tr r="CD95" s="1"/>
      </tp>
      <tp>
        <v>0.05</v>
        <stp/>
        <stp>DELTA</stp>
        <stp>.SPXW250509C5790</stp>
        <tr r="CF93" s="1"/>
        <tr r="CF93" s="1"/>
      </tp>
      <tp>
        <v>0.47</v>
        <stp/>
        <stp>DELTA</stp>
        <stp>.SPXW250516C5660</stp>
        <tr r="CH106" s="1"/>
        <tr r="CH106" s="1"/>
      </tp>
      <tp>
        <v>-0.94</v>
        <stp/>
        <stp>DELTA</stp>
        <stp>.SPXW250507P5700</stp>
        <tr r="CE102" s="1"/>
        <tr r="CE102" s="1"/>
      </tp>
      <tp>
        <v>-0.43</v>
        <stp/>
        <stp>DELTA</stp>
        <stp>.SPXW250516P5610</stp>
        <tr r="CI111" s="1"/>
        <tr r="CI111" s="1"/>
      </tp>
      <tp>
        <v>0</v>
        <stp/>
        <stp>DELTA</stp>
        <stp>.SPXW250507C5700</stp>
        <tr r="CD102" s="1"/>
        <tr r="CD102" s="1"/>
      </tp>
      <tp>
        <v>0.56000000000000005</v>
        <stp/>
        <stp>DELTA</stp>
        <stp>.SPXW250516C5610</stp>
        <tr r="CH111" s="1"/>
        <tr r="CH111" s="1"/>
      </tp>
      <tp>
        <v>-0.94</v>
        <stp/>
        <stp>DELTA</stp>
        <stp>.SPXW250507P5710</stp>
        <tr r="CE101" s="1"/>
        <tr r="CE101" s="1"/>
      </tp>
      <tp>
        <v>-0.41</v>
        <stp/>
        <stp>DELTA</stp>
        <stp>.SPXW250516P5600</stp>
        <tr r="CI112" s="1"/>
        <tr r="CI112" s="1"/>
      </tp>
      <tp>
        <v>0</v>
        <stp/>
        <stp>DELTA</stp>
        <stp>.SPXW250507C5710</stp>
        <tr r="CD101" s="1"/>
        <tr r="CD101" s="1"/>
      </tp>
      <tp>
        <v>0.56999999999999995</v>
        <stp/>
        <stp>DELTA</stp>
        <stp>.SPXW250516C5600</stp>
        <tr r="CH112" s="1"/>
        <tr r="CH112" s="1"/>
      </tp>
      <tp>
        <v>-0.95</v>
        <stp/>
        <stp>DELTA</stp>
        <stp>.SPXW250507P5720</stp>
        <tr r="CE100" s="1"/>
        <tr r="CE100" s="1"/>
      </tp>
      <tp>
        <v>-0.48</v>
        <stp/>
        <stp>DELTA</stp>
        <stp>.SPXW250516P5630</stp>
        <tr r="CI109" s="1"/>
        <tr r="CI109" s="1"/>
      </tp>
      <tp>
        <v>0</v>
        <stp/>
        <stp>DELTA</stp>
        <stp>.SPXW250507C5720</stp>
        <tr r="CD100" s="1"/>
        <tr r="CD100" s="1"/>
      </tp>
      <tp>
        <v>0.52</v>
        <stp/>
        <stp>DELTA</stp>
        <stp>.SPXW250516C5630</stp>
        <tr r="CH109" s="1"/>
        <tr r="CH109" s="1"/>
      </tp>
      <tp>
        <v>-0.95</v>
        <stp/>
        <stp>DELTA</stp>
        <stp>.SPXW250507P5730</stp>
        <tr r="CE99" s="1"/>
        <tr r="CE99" s="1"/>
      </tp>
      <tp>
        <v>-0.45</v>
        <stp/>
        <stp>DELTA</stp>
        <stp>.SPXW250516P5620</stp>
        <tr r="CI110" s="1"/>
        <tr r="CI110" s="1"/>
      </tp>
      <tp>
        <v>0</v>
        <stp/>
        <stp>DELTA</stp>
        <stp>.SPXW250507C5730</stp>
        <tr r="CD99" s="1"/>
        <tr r="CD99" s="1"/>
      </tp>
      <tp>
        <v>0.54</v>
        <stp/>
        <stp>DELTA</stp>
        <stp>.SPXW250516C5620</stp>
        <tr r="CH110" s="1"/>
        <tr r="CH110" s="1"/>
      </tp>
      <tp>
        <v>140</v>
        <stp/>
        <stp>VOLUME</stp>
        <stp>.SPY250516P580</stp>
        <tr r="BF6" s="1"/>
        <tr r="BF6" s="1"/>
      </tp>
      <tp>
        <v>12524</v>
        <stp/>
        <stp>VOLUME</stp>
        <stp>.SPY250516C580</stp>
        <tr r="BE6" s="1"/>
        <tr r="BE6" s="1"/>
      </tp>
      <tp>
        <v>24</v>
        <stp/>
        <stp>VOLUME</stp>
        <stp>.SPY250516P581</stp>
        <tr r="BF5" s="1"/>
        <tr r="BF5" s="1"/>
      </tp>
      <tp>
        <v>760</v>
        <stp/>
        <stp>VOLUME</stp>
        <stp>.SPY250516C581</stp>
        <tr r="BE5" s="1"/>
        <tr r="BE5" s="1"/>
      </tp>
      <tp>
        <v>1</v>
        <stp/>
        <stp>VOLUME</stp>
        <stp>.SPY250516P582</stp>
        <tr r="BF4" s="1"/>
        <tr r="BF4" s="1"/>
      </tp>
      <tp>
        <v>1225</v>
        <stp/>
        <stp>VOLUME</stp>
        <stp>.SPY250516C582</stp>
        <tr r="BE4" s="1"/>
        <tr r="BE4" s="1"/>
      </tp>
      <tp>
        <v>44</v>
        <stp/>
        <stp>VOLUME</stp>
        <stp>.SPY250507P581</stp>
        <tr r="BB5" s="1"/>
        <tr r="BB5" s="1"/>
      </tp>
      <tp>
        <v>1737</v>
        <stp/>
        <stp>VOLUME</stp>
        <stp>.SPY250507C581</stp>
        <tr r="BA5" s="1"/>
        <tr r="BA5" s="1"/>
      </tp>
      <tp>
        <v>50</v>
        <stp/>
        <stp>VOLUME</stp>
        <stp>.SPY250507P580</stp>
        <tr r="BB6" s="1"/>
        <tr r="BB6" s="1"/>
      </tp>
      <tp>
        <v>8039</v>
        <stp/>
        <stp>VOLUME</stp>
        <stp>.SPY250507C580</stp>
        <tr r="BA6" s="1"/>
        <tr r="BA6" s="1"/>
      </tp>
      <tp>
        <v>1</v>
        <stp/>
        <stp>VOLUME</stp>
        <stp>.SPY250507P582</stp>
        <tr r="BB4" s="1"/>
        <tr r="BB4" s="1"/>
      </tp>
      <tp>
        <v>1436</v>
        <stp/>
        <stp>VOLUME</stp>
        <stp>.SPY250507C582</stp>
        <tr r="BA4" s="1"/>
        <tr r="BA4" s="1"/>
      </tp>
      <tp>
        <v>4</v>
        <stp/>
        <stp>VOLUME</stp>
        <stp>.SPY250509P582</stp>
        <tr r="BD4" s="1"/>
        <tr r="BD4" s="1"/>
      </tp>
      <tp>
        <v>2391</v>
        <stp/>
        <stp>VOLUME</stp>
        <stp>.SPY250509C582</stp>
        <tr r="BC4" s="1"/>
        <tr r="BC4" s="1"/>
      </tp>
      <tp>
        <v>8</v>
        <stp/>
        <stp>VOLUME</stp>
        <stp>.SPY250509P581</stp>
        <tr r="BD5" s="1"/>
        <tr r="BD5" s="1"/>
      </tp>
      <tp>
        <v>1213</v>
        <stp/>
        <stp>VOLUME</stp>
        <stp>.SPY250509C581</stp>
        <tr r="BC5" s="1"/>
        <tr r="BC5" s="1"/>
      </tp>
      <tp>
        <v>42</v>
        <stp/>
        <stp>VOLUME</stp>
        <stp>.SPY250509P580</stp>
        <tr r="BD6" s="1"/>
        <tr r="BD6" s="1"/>
      </tp>
      <tp>
        <v>12524</v>
        <stp/>
        <stp>VOLUME</stp>
        <stp>.SPY250509C580</stp>
        <tr r="BC6" s="1"/>
        <tr r="BC6" s="1"/>
      </tp>
      <tp t="s">
        <v>N/A</v>
        <stp/>
        <stp>VOLUME</stp>
        <stp>.SPY250530P582</stp>
        <tr r="I5" s="2"/>
      </tp>
      <tp>
        <v>169</v>
        <stp/>
        <stp>VOLUME</stp>
        <stp>.SPY250530C582</stp>
        <tr r="I5" s="2"/>
        <tr r="I5" s="2"/>
      </tp>
      <tp>
        <v>31</v>
        <stp/>
        <stp>VOLUME</stp>
        <stp>.SPY250530P580</stp>
        <tr r="I7" s="2"/>
        <tr r="I7" s="2"/>
      </tp>
      <tp>
        <v>1951</v>
        <stp/>
        <stp>VOLUME</stp>
        <stp>.SPY250530C580</stp>
        <tr r="I7" s="2"/>
        <tr r="I7" s="2"/>
      </tp>
      <tp t="s">
        <v>N/A</v>
        <stp/>
        <stp>VOLUME</stp>
        <stp>.SPY250530P581</stp>
        <tr r="I6" s="2"/>
      </tp>
      <tp>
        <v>176</v>
        <stp/>
        <stp>VOLUME</stp>
        <stp>.SPY250530C581</stp>
        <tr r="I6" s="2"/>
        <tr r="I6" s="2"/>
      </tp>
      <tp>
        <v>1</v>
        <stp/>
        <stp>VOLUME</stp>
        <stp>.SPY250523P581</stp>
        <tr r="H6" s="2"/>
        <tr r="H6" s="2"/>
      </tp>
      <tp>
        <v>433</v>
        <stp/>
        <stp>VOLUME</stp>
        <stp>.SPY250523C581</stp>
        <tr r="H6" s="2"/>
        <tr r="H6" s="2"/>
      </tp>
      <tp>
        <v>5</v>
        <stp/>
        <stp>VOLUME</stp>
        <stp>.SPY250523P580</stp>
        <tr r="H7" s="2"/>
        <tr r="H7" s="2"/>
      </tp>
      <tp>
        <v>1254</v>
        <stp/>
        <stp>VOLUME</stp>
        <stp>.SPY250523C580</stp>
        <tr r="H7" s="2"/>
        <tr r="H7" s="2"/>
      </tp>
      <tp t="s">
        <v>N/A</v>
        <stp/>
        <stp>VOLUME</stp>
        <stp>.SPY250523P582</stp>
        <tr r="H5" s="2"/>
      </tp>
      <tp>
        <v>230</v>
        <stp/>
        <stp>VOLUME</stp>
        <stp>.SPY250523C582</stp>
        <tr r="H5" s="2"/>
        <tr r="H5" s="2"/>
      </tp>
      <tp>
        <v>57639</v>
        <stp/>
        <stp>VOLUME</stp>
        <stp>.SPY250507P551</stp>
        <tr r="BB35" s="1"/>
        <tr r="BB35" s="1"/>
      </tp>
      <tp>
        <v>35</v>
        <stp/>
        <stp>VOLUME</stp>
        <stp>.SPY250523P575</stp>
        <tr r="H12" s="2"/>
        <tr r="H12" s="2"/>
      </tp>
      <tp>
        <v>42</v>
        <stp/>
        <stp>VOLUME</stp>
        <stp>.SPY250530P566</stp>
        <tr r="I21" s="2"/>
        <tr r="I21" s="2"/>
      </tp>
      <tp>
        <v>938</v>
        <stp/>
        <stp>VOLUME</stp>
        <stp>.SPY250507C551</stp>
        <tr r="BA35" s="1"/>
        <tr r="BA35" s="1"/>
      </tp>
      <tp>
        <v>391</v>
        <stp/>
        <stp>VOLUME</stp>
        <stp>.SPY250523C575</stp>
        <tr r="H12" s="2"/>
        <tr r="H12" s="2"/>
      </tp>
      <tp>
        <v>1064</v>
        <stp/>
        <stp>VOLUME</stp>
        <stp>.SPY250530C566</stp>
        <tr r="I21" s="2"/>
        <tr r="I21" s="2"/>
      </tp>
      <tp>
        <v>128581</v>
        <stp/>
        <stp>VOLUME</stp>
        <stp>.SPY250507P550</stp>
        <tr r="BB36" s="1"/>
        <tr r="BB36" s="1"/>
      </tp>
      <tp t="s">
        <v>N/A</v>
        <stp/>
        <stp>VOLUME</stp>
        <stp>.SPY250523P574</stp>
        <tr r="H13" s="2"/>
      </tp>
      <tp>
        <v>10</v>
        <stp/>
        <stp>VOLUME</stp>
        <stp>.SPY250530P567</stp>
        <tr r="I20" s="2"/>
        <tr r="I20" s="2"/>
      </tp>
      <tp>
        <v>2365</v>
        <stp/>
        <stp>VOLUME</stp>
        <stp>.SPY250507C550</stp>
        <tr r="BA36" s="1"/>
        <tr r="BA36" s="1"/>
      </tp>
      <tp>
        <v>122</v>
        <stp/>
        <stp>VOLUME</stp>
        <stp>.SPY250523C574</stp>
        <tr r="H13" s="2"/>
        <tr r="H13" s="2"/>
      </tp>
      <tp>
        <v>207</v>
        <stp/>
        <stp>VOLUME</stp>
        <stp>.SPY250530C567</stp>
        <tr r="I20" s="2"/>
        <tr r="I20" s="2"/>
      </tp>
      <tp>
        <v>88053</v>
        <stp/>
        <stp>VOLUME</stp>
        <stp>.SPY250507P553</stp>
        <tr r="BB33" s="1"/>
        <tr r="BB33" s="1"/>
      </tp>
      <tp t="s">
        <v>N/A</v>
        <stp/>
        <stp>VOLUME</stp>
        <stp>.SPY250523P577</stp>
        <tr r="H10" s="2"/>
      </tp>
      <tp>
        <v>151</v>
        <stp/>
        <stp>VOLUME</stp>
        <stp>.SPY250530P564</stp>
        <tr r="I23" s="2"/>
        <tr r="I23" s="2"/>
      </tp>
      <tp>
        <v>1755</v>
        <stp/>
        <stp>VOLUME</stp>
        <stp>.SPY250507C553</stp>
        <tr r="BA33" s="1"/>
        <tr r="BA33" s="1"/>
      </tp>
      <tp>
        <v>83</v>
        <stp/>
        <stp>VOLUME</stp>
        <stp>.SPY250523C577</stp>
        <tr r="H10" s="2"/>
        <tr r="H10" s="2"/>
      </tp>
      <tp>
        <v>386</v>
        <stp/>
        <stp>VOLUME</stp>
        <stp>.SPY250530C564</stp>
        <tr r="I23" s="2"/>
        <tr r="I23" s="2"/>
      </tp>
      <tp>
        <v>66673</v>
        <stp/>
        <stp>VOLUME</stp>
        <stp>.SPY250507P552</stp>
        <tr r="BB34" s="1"/>
        <tr r="BB34" s="1"/>
      </tp>
      <tp>
        <v>3</v>
        <stp/>
        <stp>VOLUME</stp>
        <stp>.SPY250523P576</stp>
        <tr r="H11" s="2"/>
        <tr r="H11" s="2"/>
      </tp>
      <tp>
        <v>400</v>
        <stp/>
        <stp>VOLUME</stp>
        <stp>.SPY250530P565</stp>
        <tr r="I22" s="2"/>
        <tr r="I22" s="2"/>
      </tp>
      <tp>
        <v>865</v>
        <stp/>
        <stp>VOLUME</stp>
        <stp>.SPY250507C552</stp>
        <tr r="BA34" s="1"/>
        <tr r="BA34" s="1"/>
      </tp>
      <tp>
        <v>59</v>
        <stp/>
        <stp>VOLUME</stp>
        <stp>.SPY250523C576</stp>
        <tr r="H11" s="2"/>
        <tr r="H11" s="2"/>
      </tp>
      <tp>
        <v>3323</v>
        <stp/>
        <stp>VOLUME</stp>
        <stp>.SPY250530C565</stp>
        <tr r="I22" s="2"/>
        <tr r="I22" s="2"/>
      </tp>
      <tp>
        <v>236448</v>
        <stp/>
        <stp>VOLUME</stp>
        <stp>.SPY250507P555</stp>
        <tr r="BB31" s="1"/>
        <tr r="BB31" s="1"/>
      </tp>
      <tp>
        <v>6</v>
        <stp/>
        <stp>VOLUME</stp>
        <stp>.SPY250523P571</stp>
        <tr r="H16" s="2"/>
        <tr r="H16" s="2"/>
      </tp>
      <tp>
        <v>282</v>
        <stp/>
        <stp>VOLUME</stp>
        <stp>.SPY250530P562</stp>
        <tr r="I25" s="2"/>
        <tr r="I25" s="2"/>
      </tp>
      <tp>
        <v>7839</v>
        <stp/>
        <stp>VOLUME</stp>
        <stp>.SPY250507C555</stp>
        <tr r="BA31" s="1"/>
        <tr r="BA31" s="1"/>
      </tp>
      <tp>
        <v>83</v>
        <stp/>
        <stp>VOLUME</stp>
        <stp>.SPY250523C571</stp>
        <tr r="H16" s="2"/>
        <tr r="H16" s="2"/>
      </tp>
      <tp>
        <v>823</v>
        <stp/>
        <stp>VOLUME</stp>
        <stp>.SPY250530C562</stp>
        <tr r="I25" s="2"/>
        <tr r="I25" s="2"/>
      </tp>
      <tp>
        <v>104766</v>
        <stp/>
        <stp>VOLUME</stp>
        <stp>.SPY250507P554</stp>
        <tr r="BB32" s="1"/>
        <tr r="BB32" s="1"/>
      </tp>
      <tp>
        <v>39</v>
        <stp/>
        <stp>VOLUME</stp>
        <stp>.SPY250523P570</stp>
        <tr r="H17" s="2"/>
        <tr r="H17" s="2"/>
      </tp>
      <tp>
        <v>431</v>
        <stp/>
        <stp>VOLUME</stp>
        <stp>.SPY250530P563</stp>
        <tr r="I24" s="2"/>
        <tr r="I24" s="2"/>
      </tp>
      <tp>
        <v>1921</v>
        <stp/>
        <stp>VOLUME</stp>
        <stp>.SPY250507C554</stp>
        <tr r="BA32" s="1"/>
        <tr r="BA32" s="1"/>
      </tp>
      <tp>
        <v>1302</v>
        <stp/>
        <stp>VOLUME</stp>
        <stp>.SPY250523C570</stp>
        <tr r="H17" s="2"/>
        <tr r="H17" s="2"/>
      </tp>
      <tp>
        <v>420</v>
        <stp/>
        <stp>VOLUME</stp>
        <stp>.SPY250530C563</stp>
        <tr r="I24" s="2"/>
        <tr r="I24" s="2"/>
      </tp>
      <tp>
        <v>199130</v>
        <stp/>
        <stp>VOLUME</stp>
        <stp>.SPY250507P557</stp>
        <tr r="BB29" s="1"/>
        <tr r="BB29" s="1"/>
      </tp>
      <tp>
        <v>18116</v>
        <stp/>
        <stp>VOLUME</stp>
        <stp>.SPY250509P559</stp>
        <tr r="BD27" s="1"/>
        <tr r="BD27" s="1"/>
      </tp>
      <tp>
        <v>101</v>
        <stp/>
        <stp>VOLUME</stp>
        <stp>.SPY250523P573</stp>
        <tr r="H14" s="2"/>
        <tr r="H14" s="2"/>
      </tp>
      <tp>
        <v>3231</v>
        <stp/>
        <stp>VOLUME</stp>
        <stp>.SPY250530P560</stp>
        <tr r="I27" s="2"/>
        <tr r="I27" s="2"/>
      </tp>
      <tp>
        <v>42757</v>
        <stp/>
        <stp>VOLUME</stp>
        <stp>.SPY250507C557</stp>
        <tr r="BA29" s="1"/>
        <tr r="BA29" s="1"/>
      </tp>
      <tp>
        <v>22771</v>
        <stp/>
        <stp>VOLUME</stp>
        <stp>.SPY250509C559</stp>
        <tr r="BC27" s="1"/>
        <tr r="BC27" s="1"/>
      </tp>
      <tp>
        <v>289</v>
        <stp/>
        <stp>VOLUME</stp>
        <stp>.SPY250523C573</stp>
        <tr r="H14" s="2"/>
        <tr r="H14" s="2"/>
      </tp>
      <tp>
        <v>1958</v>
        <stp/>
        <stp>VOLUME</stp>
        <stp>.SPY250530C560</stp>
        <tr r="I27" s="2"/>
        <tr r="I27" s="2"/>
      </tp>
      <tp>
        <v>170416</v>
        <stp/>
        <stp>VOLUME</stp>
        <stp>.SPY250507P556</stp>
        <tr r="BB30" s="1"/>
        <tr r="BB30" s="1"/>
      </tp>
      <tp>
        <v>16081</v>
        <stp/>
        <stp>VOLUME</stp>
        <stp>.SPY250509P558</stp>
        <tr r="BD28" s="1"/>
        <tr r="BD28" s="1"/>
      </tp>
      <tp t="s">
        <v>N/A</v>
        <stp/>
        <stp>VOLUME</stp>
        <stp>.SPY250523P572</stp>
        <tr r="H15" s="2"/>
      </tp>
      <tp>
        <v>1420</v>
        <stp/>
        <stp>VOLUME</stp>
        <stp>.SPY250530P561</stp>
        <tr r="I26" s="2"/>
        <tr r="I26" s="2"/>
      </tp>
      <tp>
        <v>11306</v>
        <stp/>
        <stp>VOLUME</stp>
        <stp>.SPY250507C556</stp>
        <tr r="BA30" s="1"/>
        <tr r="BA30" s="1"/>
      </tp>
      <tp>
        <v>6794</v>
        <stp/>
        <stp>VOLUME</stp>
        <stp>.SPY250509C558</stp>
        <tr r="BC28" s="1"/>
        <tr r="BC28" s="1"/>
      </tp>
      <tp>
        <v>56</v>
        <stp/>
        <stp>VOLUME</stp>
        <stp>.SPY250523C572</stp>
        <tr r="H15" s="2"/>
        <tr r="H15" s="2"/>
      </tp>
      <tp>
        <v>704</v>
        <stp/>
        <stp>VOLUME</stp>
        <stp>.SPY250530C561</stp>
        <tr r="I26" s="2"/>
        <tr r="I26" s="2"/>
      </tp>
      <tp>
        <v>237203</v>
        <stp/>
        <stp>VOLUME</stp>
        <stp>.SPY250507P559</stp>
        <tr r="BB27" s="1"/>
        <tr r="BB27" s="1"/>
      </tp>
      <tp>
        <v>15791</v>
        <stp/>
        <stp>VOLUME</stp>
        <stp>.SPY250509P557</stp>
        <tr r="BD29" s="1"/>
        <tr r="BD29" s="1"/>
      </tp>
      <tp>
        <v>940</v>
        <stp/>
        <stp>VOLUME</stp>
        <stp>.SPY250516P548</stp>
        <tr r="BF38" s="1"/>
        <tr r="BF38" s="1"/>
      </tp>
      <tp>
        <v>140227</v>
        <stp/>
        <stp>VOLUME</stp>
        <stp>.SPY250507C559</stp>
        <tr r="BA27" s="1"/>
        <tr r="BA27" s="1"/>
      </tp>
      <tp>
        <v>3398</v>
        <stp/>
        <stp>VOLUME</stp>
        <stp>.SPY250509C557</stp>
        <tr r="BC29" s="1"/>
        <tr r="BC29" s="1"/>
      </tp>
      <tp>
        <v>136</v>
        <stp/>
        <stp>VOLUME</stp>
        <stp>.SPY250516C548</stp>
        <tr r="BE38" s="1"/>
        <tr r="BE38" s="1"/>
      </tp>
      <tp>
        <v>253310</v>
        <stp/>
        <stp>VOLUME</stp>
        <stp>.SPY250507P558</stp>
        <tr r="BB28" s="1"/>
        <tr r="BB28" s="1"/>
      </tp>
      <tp>
        <v>6453</v>
        <stp/>
        <stp>VOLUME</stp>
        <stp>.SPY250509P556</stp>
        <tr r="BD30" s="1"/>
        <tr r="BD30" s="1"/>
      </tp>
      <tp>
        <v>787</v>
        <stp/>
        <stp>VOLUME</stp>
        <stp>.SPY250516P549</stp>
        <tr r="BF37" s="1"/>
        <tr r="BF37" s="1"/>
      </tp>
      <tp>
        <v>82402</v>
        <stp/>
        <stp>VOLUME</stp>
        <stp>.SPY250507C558</stp>
        <tr r="BA28" s="1"/>
        <tr r="BA28" s="1"/>
      </tp>
      <tp>
        <v>1649</v>
        <stp/>
        <stp>VOLUME</stp>
        <stp>.SPY250509C556</stp>
        <tr r="BC30" s="1"/>
        <tr r="BC30" s="1"/>
      </tp>
      <tp>
        <v>55</v>
        <stp/>
        <stp>VOLUME</stp>
        <stp>.SPY250516C549</stp>
        <tr r="BE37" s="1"/>
        <tr r="BE37" s="1"/>
      </tp>
      <tp>
        <v>32508</v>
        <stp/>
        <stp>VOLUME</stp>
        <stp>.SPY250509P555</stp>
        <tr r="BD31" s="1"/>
        <tr r="BD31" s="1"/>
      </tp>
      <tp>
        <v>2753</v>
        <stp/>
        <stp>VOLUME</stp>
        <stp>.SPY250509C555</stp>
        <tr r="BC31" s="1"/>
        <tr r="BC31" s="1"/>
      </tp>
      <tp>
        <v>15519</v>
        <stp/>
        <stp>VOLUME</stp>
        <stp>.SPY250509P554</stp>
        <tr r="BD32" s="1"/>
        <tr r="BD32" s="1"/>
      </tp>
      <tp>
        <v>433</v>
        <stp/>
        <stp>VOLUME</stp>
        <stp>.SPY250509C554</stp>
        <tr r="BC32" s="1"/>
        <tr r="BC32" s="1"/>
      </tp>
      <tp>
        <v>4410</v>
        <stp/>
        <stp>VOLUME</stp>
        <stp>.SPY250509P553</stp>
        <tr r="BD33" s="1"/>
        <tr r="BD33" s="1"/>
      </tp>
      <tp>
        <v>2</v>
        <stp/>
        <stp>VOLUME</stp>
        <stp>.SPY250523P579</stp>
        <tr r="H8" s="2"/>
        <tr r="H8" s="2"/>
      </tp>
      <tp>
        <v>164</v>
        <stp/>
        <stp>VOLUME</stp>
        <stp>.SPY250509C553</stp>
        <tr r="BC33" s="1"/>
        <tr r="BC33" s="1"/>
      </tp>
      <tp>
        <v>108</v>
        <stp/>
        <stp>VOLUME</stp>
        <stp>.SPY250523C579</stp>
        <tr r="H8" s="2"/>
        <tr r="H8" s="2"/>
      </tp>
      <tp>
        <v>6762</v>
        <stp/>
        <stp>VOLUME</stp>
        <stp>.SPY250509P552</stp>
        <tr r="BD34" s="1"/>
        <tr r="BD34" s="1"/>
      </tp>
      <tp>
        <v>1</v>
        <stp/>
        <stp>VOLUME</stp>
        <stp>.SPY250523P578</stp>
        <tr r="H9" s="2"/>
        <tr r="H9" s="2"/>
      </tp>
      <tp>
        <v>472</v>
        <stp/>
        <stp>VOLUME</stp>
        <stp>.SPY250509C552</stp>
        <tr r="BC34" s="1"/>
        <tr r="BC34" s="1"/>
      </tp>
      <tp>
        <v>64</v>
        <stp/>
        <stp>VOLUME</stp>
        <stp>.SPY250523C578</stp>
        <tr r="H9" s="2"/>
        <tr r="H9" s="2"/>
      </tp>
      <tp>
        <v>7345</v>
        <stp/>
        <stp>VOLUME</stp>
        <stp>.SPY250509P551</stp>
        <tr r="BD35" s="1"/>
        <tr r="BD35" s="1"/>
      </tp>
      <tp>
        <v>10</v>
        <stp/>
        <stp>VOLUME</stp>
        <stp>.SPY250530P568</stp>
        <tr r="I19" s="2"/>
        <tr r="I19" s="2"/>
      </tp>
      <tp>
        <v>388</v>
        <stp/>
        <stp>VOLUME</stp>
        <stp>.SPY250509C551</stp>
        <tr r="BC35" s="1"/>
        <tr r="BC35" s="1"/>
      </tp>
      <tp>
        <v>139</v>
        <stp/>
        <stp>VOLUME</stp>
        <stp>.SPY250530C568</stp>
        <tr r="I19" s="2"/>
        <tr r="I19" s="2"/>
      </tp>
      <tp>
        <v>51516</v>
        <stp/>
        <stp>VOLUME</stp>
        <stp>.SPY250509P550</stp>
        <tr r="BD36" s="1"/>
        <tr r="BD36" s="1"/>
      </tp>
      <tp>
        <v>31</v>
        <stp/>
        <stp>VOLUME</stp>
        <stp>.SPY250530P569</stp>
        <tr r="I18" s="2"/>
        <tr r="I18" s="2"/>
      </tp>
      <tp>
        <v>4773</v>
        <stp/>
        <stp>VOLUME</stp>
        <stp>.SPY250509C550</stp>
        <tr r="BC36" s="1"/>
        <tr r="BC36" s="1"/>
      </tp>
      <tp>
        <v>70</v>
        <stp/>
        <stp>VOLUME</stp>
        <stp>.SPY250530C569</stp>
        <tr r="I18" s="2"/>
        <tr r="I18" s="2"/>
      </tp>
      <tp>
        <v>16728</v>
        <stp/>
        <stp>VOLUME</stp>
        <stp>.SPY250516P550</stp>
        <tr r="BF36" s="1"/>
        <tr r="BF36" s="1"/>
      </tp>
      <tp>
        <v>549</v>
        <stp/>
        <stp>VOLUME</stp>
        <stp>.SPY250523P565</stp>
        <tr r="H22" s="2"/>
        <tr r="H22" s="2"/>
      </tp>
      <tp>
        <v>1</v>
        <stp/>
        <stp>VOLUME</stp>
        <stp>.SPY250530P576</stp>
        <tr r="I11" s="2"/>
        <tr r="I11" s="2"/>
      </tp>
      <tp>
        <v>4484</v>
        <stp/>
        <stp>VOLUME</stp>
        <stp>.SPY250516C550</stp>
        <tr r="BE36" s="1"/>
        <tr r="BE36" s="1"/>
      </tp>
      <tp>
        <v>775</v>
        <stp/>
        <stp>VOLUME</stp>
        <stp>.SPY250523C565</stp>
        <tr r="H22" s="2"/>
        <tr r="H22" s="2"/>
      </tp>
      <tp>
        <v>188</v>
        <stp/>
        <stp>VOLUME</stp>
        <stp>.SPY250530C576</stp>
        <tr r="I11" s="2"/>
        <tr r="I11" s="2"/>
      </tp>
      <tp>
        <v>1820</v>
        <stp/>
        <stp>VOLUME</stp>
        <stp>.SPY250516P551</stp>
        <tr r="BF35" s="1"/>
        <tr r="BF35" s="1"/>
      </tp>
      <tp>
        <v>62</v>
        <stp/>
        <stp>VOLUME</stp>
        <stp>.SPY250523P564</stp>
        <tr r="H23" s="2"/>
        <tr r="H23" s="2"/>
      </tp>
      <tp>
        <v>5</v>
        <stp/>
        <stp>VOLUME</stp>
        <stp>.SPY250530P577</stp>
        <tr r="I10" s="2"/>
        <tr r="I10" s="2"/>
      </tp>
      <tp>
        <v>113</v>
        <stp/>
        <stp>VOLUME</stp>
        <stp>.SPY250516C551</stp>
        <tr r="BE35" s="1"/>
        <tr r="BE35" s="1"/>
      </tp>
      <tp>
        <v>92</v>
        <stp/>
        <stp>VOLUME</stp>
        <stp>.SPY250523C564</stp>
        <tr r="H23" s="2"/>
        <tr r="H23" s="2"/>
      </tp>
      <tp>
        <v>295</v>
        <stp/>
        <stp>VOLUME</stp>
        <stp>.SPY250530C577</stp>
        <tr r="I10" s="2"/>
        <tr r="I10" s="2"/>
      </tp>
      <tp>
        <v>1248</v>
        <stp/>
        <stp>VOLUME</stp>
        <stp>.SPY250516P552</stp>
        <tr r="BF34" s="1"/>
        <tr r="BF34" s="1"/>
      </tp>
      <tp>
        <v>7</v>
        <stp/>
        <stp>VOLUME</stp>
        <stp>.SPY250523P567</stp>
        <tr r="H20" s="2"/>
        <tr r="H20" s="2"/>
      </tp>
      <tp>
        <v>2</v>
        <stp/>
        <stp>VOLUME</stp>
        <stp>.SPY250530P574</stp>
        <tr r="I13" s="2"/>
        <tr r="I13" s="2"/>
      </tp>
      <tp>
        <v>68</v>
        <stp/>
        <stp>VOLUME</stp>
        <stp>.SPY250516C552</stp>
        <tr r="BE34" s="1"/>
        <tr r="BE34" s="1"/>
      </tp>
      <tp>
        <v>49</v>
        <stp/>
        <stp>VOLUME</stp>
        <stp>.SPY250523C567</stp>
        <tr r="H20" s="2"/>
        <tr r="H20" s="2"/>
      </tp>
      <tp>
        <v>107</v>
        <stp/>
        <stp>VOLUME</stp>
        <stp>.SPY250530C574</stp>
        <tr r="I13" s="2"/>
        <tr r="I13" s="2"/>
      </tp>
      <tp>
        <v>851</v>
        <stp/>
        <stp>VOLUME</stp>
        <stp>.SPY250516P553</stp>
        <tr r="BF33" s="1"/>
        <tr r="BF33" s="1"/>
      </tp>
      <tp>
        <v>6</v>
        <stp/>
        <stp>VOLUME</stp>
        <stp>.SPY250523P566</stp>
        <tr r="H21" s="2"/>
        <tr r="H21" s="2"/>
      </tp>
      <tp>
        <v>25</v>
        <stp/>
        <stp>VOLUME</stp>
        <stp>.SPY250530P575</stp>
        <tr r="I12" s="2"/>
        <tr r="I12" s="2"/>
      </tp>
      <tp>
        <v>90</v>
        <stp/>
        <stp>VOLUME</stp>
        <stp>.SPY250516C553</stp>
        <tr r="BE33" s="1"/>
        <tr r="BE33" s="1"/>
      </tp>
      <tp>
        <v>71</v>
        <stp/>
        <stp>VOLUME</stp>
        <stp>.SPY250523C566</stp>
        <tr r="H21" s="2"/>
        <tr r="H21" s="2"/>
      </tp>
      <tp>
        <v>1270</v>
        <stp/>
        <stp>VOLUME</stp>
        <stp>.SPY250530C575</stp>
        <tr r="I12" s="2"/>
        <tr r="I12" s="2"/>
      </tp>
      <tp>
        <v>957</v>
        <stp/>
        <stp>VOLUME</stp>
        <stp>.SPY250516P554</stp>
        <tr r="BF32" s="1"/>
        <tr r="BF32" s="1"/>
      </tp>
      <tp>
        <v>569</v>
        <stp/>
        <stp>VOLUME</stp>
        <stp>.SPY250523P561</stp>
        <tr r="H26" s="2"/>
        <tr r="H26" s="2"/>
      </tp>
      <tp t="s">
        <v>N/A</v>
        <stp/>
        <stp>VOLUME</stp>
        <stp>.SPY250530P572</stp>
        <tr r="I15" s="2"/>
      </tp>
      <tp>
        <v>235</v>
        <stp/>
        <stp>VOLUME</stp>
        <stp>.SPY250516C554</stp>
        <tr r="BE32" s="1"/>
        <tr r="BE32" s="1"/>
      </tp>
      <tp>
        <v>880</v>
        <stp/>
        <stp>VOLUME</stp>
        <stp>.SPY250523C561</stp>
        <tr r="H26" s="2"/>
        <tr r="H26" s="2"/>
      </tp>
      <tp>
        <v>260</v>
        <stp/>
        <stp>VOLUME</stp>
        <stp>.SPY250530C572</stp>
        <tr r="I15" s="2"/>
        <tr r="I15" s="2"/>
      </tp>
      <tp>
        <v>12547</v>
        <stp/>
        <stp>VOLUME</stp>
        <stp>.SPY250516P555</stp>
        <tr r="BF31" s="1"/>
        <tr r="BF31" s="1"/>
      </tp>
      <tp>
        <v>1868</v>
        <stp/>
        <stp>VOLUME</stp>
        <stp>.SPY250523P560</stp>
        <tr r="H27" s="2"/>
        <tr r="H27" s="2"/>
      </tp>
      <tp>
        <v>5</v>
        <stp/>
        <stp>VOLUME</stp>
        <stp>.SPY250530P573</stp>
        <tr r="I14" s="2"/>
        <tr r="I14" s="2"/>
      </tp>
      <tp>
        <v>1291</v>
        <stp/>
        <stp>VOLUME</stp>
        <stp>.SPY250516C555</stp>
        <tr r="BE31" s="1"/>
        <tr r="BE31" s="1"/>
      </tp>
      <tp>
        <v>1672</v>
        <stp/>
        <stp>VOLUME</stp>
        <stp>.SPY250523C560</stp>
        <tr r="H27" s="2"/>
        <tr r="H27" s="2"/>
      </tp>
      <tp>
        <v>50</v>
        <stp/>
        <stp>VOLUME</stp>
        <stp>.SPY250530C573</stp>
        <tr r="I14" s="2"/>
        <tr r="I14" s="2"/>
      </tp>
      <tp>
        <v>4297</v>
        <stp/>
        <stp>VOLUME</stp>
        <stp>.SPY250509P549</stp>
        <tr r="BD37" s="1"/>
        <tr r="BD37" s="1"/>
      </tp>
      <tp>
        <v>714</v>
        <stp/>
        <stp>VOLUME</stp>
        <stp>.SPY250516P556</stp>
        <tr r="BF30" s="1"/>
        <tr r="BF30" s="1"/>
      </tp>
      <tp>
        <v>4086</v>
        <stp/>
        <stp>VOLUME</stp>
        <stp>.SPY250523P563</stp>
        <tr r="H24" s="2"/>
        <tr r="H24" s="2"/>
      </tp>
      <tp>
        <v>120</v>
        <stp/>
        <stp>VOLUME</stp>
        <stp>.SPY250530P570</stp>
        <tr r="I17" s="2"/>
        <tr r="I17" s="2"/>
      </tp>
      <tp>
        <v>52</v>
        <stp/>
        <stp>VOLUME</stp>
        <stp>.SPY250509C549</stp>
        <tr r="BC37" s="1"/>
        <tr r="BC37" s="1"/>
      </tp>
      <tp>
        <v>506</v>
        <stp/>
        <stp>VOLUME</stp>
        <stp>.SPY250516C556</stp>
        <tr r="BE30" s="1"/>
        <tr r="BE30" s="1"/>
      </tp>
      <tp>
        <v>326</v>
        <stp/>
        <stp>VOLUME</stp>
        <stp>.SPY250523C563</stp>
        <tr r="H24" s="2"/>
        <tr r="H24" s="2"/>
      </tp>
      <tp>
        <v>2206</v>
        <stp/>
        <stp>VOLUME</stp>
        <stp>.SPY250530C570</stp>
        <tr r="I17" s="2"/>
        <tr r="I17" s="2"/>
      </tp>
      <tp>
        <v>9567</v>
        <stp/>
        <stp>VOLUME</stp>
        <stp>.SPY250509P548</stp>
        <tr r="BD38" s="1"/>
        <tr r="BD38" s="1"/>
      </tp>
      <tp>
        <v>1181</v>
        <stp/>
        <stp>VOLUME</stp>
        <stp>.SPY250516P557</stp>
        <tr r="BF29" s="1"/>
        <tr r="BF29" s="1"/>
      </tp>
      <tp>
        <v>771</v>
        <stp/>
        <stp>VOLUME</stp>
        <stp>.SPY250523P562</stp>
        <tr r="H25" s="2"/>
        <tr r="H25" s="2"/>
      </tp>
      <tp t="s">
        <v>N/A</v>
        <stp/>
        <stp>VOLUME</stp>
        <stp>.SPY250530P571</stp>
        <tr r="I16" s="2"/>
      </tp>
      <tp>
        <v>94</v>
        <stp/>
        <stp>VOLUME</stp>
        <stp>.SPY250509C548</stp>
        <tr r="BC38" s="1"/>
        <tr r="BC38" s="1"/>
      </tp>
      <tp>
        <v>1658</v>
        <stp/>
        <stp>VOLUME</stp>
        <stp>.SPY250516C557</stp>
        <tr r="BE29" s="1"/>
        <tr r="BE29" s="1"/>
      </tp>
      <tp>
        <v>1418</v>
        <stp/>
        <stp>VOLUME</stp>
        <stp>.SPY250523C562</stp>
        <tr r="H25" s="2"/>
        <tr r="H25" s="2"/>
      </tp>
      <tp>
        <v>123</v>
        <stp/>
        <stp>VOLUME</stp>
        <stp>.SPY250530C571</stp>
        <tr r="I16" s="2"/>
        <tr r="I16" s="2"/>
      </tp>
      <tp>
        <v>84411</v>
        <stp/>
        <stp>VOLUME</stp>
        <stp>.SPY250507P549</stp>
        <tr r="BB37" s="1"/>
        <tr r="BB37" s="1"/>
      </tp>
      <tp>
        <v>3079</v>
        <stp/>
        <stp>VOLUME</stp>
        <stp>.SPY250516P558</stp>
        <tr r="BF28" s="1"/>
        <tr r="BF28" s="1"/>
      </tp>
      <tp>
        <v>329</v>
        <stp/>
        <stp>VOLUME</stp>
        <stp>.SPY250507C549</stp>
        <tr r="BA37" s="1"/>
        <tr r="BA37" s="1"/>
      </tp>
      <tp>
        <v>3340</v>
        <stp/>
        <stp>VOLUME</stp>
        <stp>.SPY250516C558</stp>
        <tr r="BE28" s="1"/>
        <tr r="BE28" s="1"/>
      </tp>
      <tp>
        <v>87554</v>
        <stp/>
        <stp>VOLUME</stp>
        <stp>.SPY250507P548</stp>
        <tr r="BB38" s="1"/>
        <tr r="BB38" s="1"/>
      </tp>
      <tp>
        <v>2616</v>
        <stp/>
        <stp>VOLUME</stp>
        <stp>.SPY250516P559</stp>
        <tr r="BF27" s="1"/>
        <tr r="BF27" s="1"/>
      </tp>
      <tp>
        <v>354</v>
        <stp/>
        <stp>VOLUME</stp>
        <stp>.SPY250507C548</stp>
        <tr r="BA38" s="1"/>
        <tr r="BA38" s="1"/>
      </tp>
      <tp>
        <v>3761</v>
        <stp/>
        <stp>VOLUME</stp>
        <stp>.SPY250516C559</stp>
        <tr r="BE27" s="1"/>
        <tr r="BE27" s="1"/>
      </tp>
      <tp>
        <v>3</v>
        <stp/>
        <stp>VOLUME</stp>
        <stp>.SPY250523P569</stp>
        <tr r="H18" s="2"/>
        <tr r="H18" s="2"/>
      </tp>
      <tp>
        <v>45</v>
        <stp/>
        <stp>VOLUME</stp>
        <stp>.SPY250523C569</stp>
        <tr r="H18" s="2"/>
        <tr r="H18" s="2"/>
      </tp>
      <tp>
        <v>1</v>
        <stp/>
        <stp>VOLUME</stp>
        <stp>.SPY250523P568</stp>
        <tr r="H19" s="2"/>
        <tr r="H19" s="2"/>
      </tp>
      <tp>
        <v>187</v>
        <stp/>
        <stp>VOLUME</stp>
        <stp>.SPY250523C568</stp>
        <tr r="H19" s="2"/>
        <tr r="H19" s="2"/>
      </tp>
      <tp t="s">
        <v>N/A</v>
        <stp/>
        <stp>VOLUME</stp>
        <stp>.SPY250530P578</stp>
        <tr r="I9" s="2"/>
      </tp>
      <tp>
        <v>158</v>
        <stp/>
        <stp>VOLUME</stp>
        <stp>.SPY250530C578</stp>
        <tr r="I9" s="2"/>
        <tr r="I9" s="2"/>
      </tp>
      <tp t="s">
        <v>N/A</v>
        <stp/>
        <stp>VOLUME</stp>
        <stp>.SPY250530P579</stp>
        <tr r="I8" s="2"/>
      </tp>
      <tp>
        <v>86</v>
        <stp/>
        <stp>VOLUME</stp>
        <stp>.SPY250530C579</stp>
        <tr r="I8" s="2"/>
        <tr r="I8" s="2"/>
      </tp>
      <tp>
        <v>211</v>
        <stp/>
        <stp>VOLUME</stp>
        <stp>.SPY250507P571</stp>
        <tr r="BB15" s="1"/>
        <tr r="BB15" s="1"/>
      </tp>
      <tp>
        <v>29598</v>
        <stp/>
        <stp>VOLUME</stp>
        <stp>.SPY250516P560</stp>
        <tr r="BF26" s="1"/>
        <tr r="BF26" s="1"/>
      </tp>
      <tp>
        <v>2514</v>
        <stp/>
        <stp>VOLUME</stp>
        <stp>.SPY250523P555</stp>
        <tr r="H32" s="2"/>
        <tr r="H32" s="2"/>
      </tp>
      <tp>
        <v>35754</v>
        <stp/>
        <stp>VOLUME</stp>
        <stp>.SPY250507C571</stp>
        <tr r="BA15" s="1"/>
        <tr r="BA15" s="1"/>
      </tp>
      <tp>
        <v>14485</v>
        <stp/>
        <stp>VOLUME</stp>
        <stp>.SPY250516C560</stp>
        <tr r="BE26" s="1"/>
        <tr r="BE26" s="1"/>
      </tp>
      <tp>
        <v>474</v>
        <stp/>
        <stp>VOLUME</stp>
        <stp>.SPY250523C555</stp>
        <tr r="H32" s="2"/>
        <tr r="H32" s="2"/>
      </tp>
      <tp>
        <v>3613</v>
        <stp/>
        <stp>VOLUME</stp>
        <stp>.SPY250507P570</stp>
        <tr r="BB16" s="1"/>
        <tr r="BB16" s="1"/>
      </tp>
      <tp>
        <v>2192</v>
        <stp/>
        <stp>VOLUME</stp>
        <stp>.SPY250516P561</stp>
        <tr r="BF25" s="1"/>
        <tr r="BF25" s="1"/>
      </tp>
      <tp>
        <v>118</v>
        <stp/>
        <stp>VOLUME</stp>
        <stp>.SPY250523P554</stp>
        <tr r="H33" s="2"/>
        <tr r="H33" s="2"/>
      </tp>
      <tp>
        <v>107741</v>
        <stp/>
        <stp>VOLUME</stp>
        <stp>.SPY250507C570</stp>
        <tr r="BA16" s="1"/>
        <tr r="BA16" s="1"/>
      </tp>
      <tp>
        <v>5307</v>
        <stp/>
        <stp>VOLUME</stp>
        <stp>.SPY250516C561</stp>
        <tr r="BE25" s="1"/>
        <tr r="BE25" s="1"/>
      </tp>
      <tp>
        <v>5</v>
        <stp/>
        <stp>VOLUME</stp>
        <stp>.SPY250523C554</stp>
        <tr r="H33" s="2"/>
        <tr r="H33" s="2"/>
      </tp>
      <tp>
        <v>211</v>
        <stp/>
        <stp>VOLUME</stp>
        <stp>.SPY250507P573</stp>
        <tr r="BB13" s="1"/>
        <tr r="BB13" s="1"/>
      </tp>
      <tp>
        <v>1450</v>
        <stp/>
        <stp>VOLUME</stp>
        <stp>.SPY250516P562</stp>
        <tr r="BF24" s="1"/>
        <tr r="BF24" s="1"/>
      </tp>
      <tp>
        <v>432</v>
        <stp/>
        <stp>VOLUME</stp>
        <stp>.SPY250523P557</stp>
        <tr r="H30" s="2"/>
        <tr r="H30" s="2"/>
      </tp>
      <tp>
        <v>24713</v>
        <stp/>
        <stp>VOLUME</stp>
        <stp>.SPY250507C573</stp>
        <tr r="BA13" s="1"/>
        <tr r="BA13" s="1"/>
      </tp>
      <tp>
        <v>9448</v>
        <stp/>
        <stp>VOLUME</stp>
        <stp>.SPY250516C562</stp>
        <tr r="BE24" s="1"/>
        <tr r="BE24" s="1"/>
      </tp>
      <tp>
        <v>323</v>
        <stp/>
        <stp>VOLUME</stp>
        <stp>.SPY250523C557</stp>
        <tr r="H30" s="2"/>
        <tr r="H30" s="2"/>
      </tp>
      <tp>
        <v>193</v>
        <stp/>
        <stp>VOLUME</stp>
        <stp>.SPY250507P572</stp>
        <tr r="BB14" s="1"/>
        <tr r="BB14" s="1"/>
      </tp>
      <tp>
        <v>1312</v>
        <stp/>
        <stp>VOLUME</stp>
        <stp>.SPY250516P563</stp>
        <tr r="BF23" s="1"/>
        <tr r="BF23" s="1"/>
      </tp>
      <tp>
        <v>306</v>
        <stp/>
        <stp>VOLUME</stp>
        <stp>.SPY250523P556</stp>
        <tr r="H31" s="2"/>
        <tr r="H31" s="2"/>
      </tp>
      <tp>
        <v>17029</v>
        <stp/>
        <stp>VOLUME</stp>
        <stp>.SPY250507C572</stp>
        <tr r="BA14" s="1"/>
        <tr r="BA14" s="1"/>
      </tp>
      <tp>
        <v>2235</v>
        <stp/>
        <stp>VOLUME</stp>
        <stp>.SPY250516C563</stp>
        <tr r="BE23" s="1"/>
        <tr r="BE23" s="1"/>
      </tp>
      <tp>
        <v>159</v>
        <stp/>
        <stp>VOLUME</stp>
        <stp>.SPY250523C556</stp>
        <tr r="H31" s="2"/>
        <tr r="H31" s="2"/>
      </tp>
      <tp>
        <v>216</v>
        <stp/>
        <stp>VOLUME</stp>
        <stp>.SPY250507P575</stp>
        <tr r="BB11" s="1"/>
        <tr r="BB11" s="1"/>
      </tp>
      <tp>
        <v>571</v>
        <stp/>
        <stp>VOLUME</stp>
        <stp>.SPY250516P564</stp>
        <tr r="BF22" s="1"/>
        <tr r="BF22" s="1"/>
      </tp>
      <tp>
        <v>315</v>
        <stp/>
        <stp>VOLUME</stp>
        <stp>.SPY250523P551</stp>
        <tr r="H36" s="2"/>
        <tr r="H36" s="2"/>
      </tp>
      <tp>
        <v>23240</v>
        <stp/>
        <stp>VOLUME</stp>
        <stp>.SPY250507C575</stp>
        <tr r="BA11" s="1"/>
        <tr r="BA11" s="1"/>
      </tp>
      <tp>
        <v>3023</v>
        <stp/>
        <stp>VOLUME</stp>
        <stp>.SPY250516C564</stp>
        <tr r="BE22" s="1"/>
        <tr r="BE22" s="1"/>
      </tp>
      <tp>
        <v>8</v>
        <stp/>
        <stp>VOLUME</stp>
        <stp>.SPY250523C551</stp>
        <tr r="H36" s="2"/>
        <tr r="H36" s="2"/>
      </tp>
      <tp>
        <v>74</v>
        <stp/>
        <stp>VOLUME</stp>
        <stp>.SPY250507P574</stp>
        <tr r="BB12" s="1"/>
        <tr r="BB12" s="1"/>
      </tp>
      <tp>
        <v>1518</v>
        <stp/>
        <stp>VOLUME</stp>
        <stp>.SPY250516P565</stp>
        <tr r="BF21" s="1"/>
        <tr r="BF21" s="1"/>
      </tp>
      <tp>
        <v>4124</v>
        <stp/>
        <stp>VOLUME</stp>
        <stp>.SPY250523P550</stp>
        <tr r="H37" s="2"/>
        <tr r="H37" s="2"/>
      </tp>
      <tp>
        <v>8447</v>
        <stp/>
        <stp>VOLUME</stp>
        <stp>.SPY250507C574</stp>
        <tr r="BA12" s="1"/>
        <tr r="BA12" s="1"/>
      </tp>
      <tp>
        <v>7425</v>
        <stp/>
        <stp>VOLUME</stp>
        <stp>.SPY250516C565</stp>
        <tr r="BE21" s="1"/>
        <tr r="BE21" s="1"/>
      </tp>
      <tp>
        <v>126</v>
        <stp/>
        <stp>VOLUME</stp>
        <stp>.SPY250523C550</stp>
        <tr r="H37" s="2"/>
        <tr r="H37" s="2"/>
      </tp>
      <tp>
        <v>41</v>
        <stp/>
        <stp>VOLUME</stp>
        <stp>.SPY250507P577</stp>
        <tr r="BB9" s="1"/>
        <tr r="BB9" s="1"/>
      </tp>
      <tp>
        <v>5</v>
        <stp/>
        <stp>VOLUME</stp>
        <stp>.SPY250509P579</stp>
        <tr r="BD7" s="1"/>
        <tr r="BD7" s="1"/>
      </tp>
      <tp>
        <v>543</v>
        <stp/>
        <stp>VOLUME</stp>
        <stp>.SPY250516P566</stp>
        <tr r="BF20" s="1"/>
        <tr r="BF20" s="1"/>
      </tp>
      <tp>
        <v>371</v>
        <stp/>
        <stp>VOLUME</stp>
        <stp>.SPY250523P553</stp>
        <tr r="H34" s="2"/>
        <tr r="H34" s="2"/>
      </tp>
      <tp>
        <v>2445</v>
        <stp/>
        <stp>VOLUME</stp>
        <stp>.SPY250507C577</stp>
        <tr r="BA9" s="1"/>
        <tr r="BA9" s="1"/>
      </tp>
      <tp>
        <v>3784</v>
        <stp/>
        <stp>VOLUME</stp>
        <stp>.SPY250509C579</stp>
        <tr r="BC7" s="1"/>
        <tr r="BC7" s="1"/>
      </tp>
      <tp>
        <v>1993</v>
        <stp/>
        <stp>VOLUME</stp>
        <stp>.SPY250516C566</stp>
        <tr r="BE20" s="1"/>
        <tr r="BE20" s="1"/>
      </tp>
      <tp>
        <v>11</v>
        <stp/>
        <stp>VOLUME</stp>
        <stp>.SPY250523C553</stp>
        <tr r="H34" s="2"/>
        <tr r="H34" s="2"/>
      </tp>
      <tp>
        <v>24</v>
        <stp/>
        <stp>VOLUME</stp>
        <stp>.SPY250507P576</stp>
        <tr r="BB10" s="1"/>
        <tr r="BB10" s="1"/>
      </tp>
      <tp>
        <v>5</v>
        <stp/>
        <stp>VOLUME</stp>
        <stp>.SPY250509P578</stp>
        <tr r="BD8" s="1"/>
        <tr r="BD8" s="1"/>
      </tp>
      <tp>
        <v>164</v>
        <stp/>
        <stp>VOLUME</stp>
        <stp>.SPY250516P567</stp>
        <tr r="BF19" s="1"/>
        <tr r="BF19" s="1"/>
      </tp>
      <tp>
        <v>357</v>
        <stp/>
        <stp>VOLUME</stp>
        <stp>.SPY250523P552</stp>
        <tr r="H35" s="2"/>
        <tr r="H35" s="2"/>
      </tp>
      <tp>
        <v>6336</v>
        <stp/>
        <stp>VOLUME</stp>
        <stp>.SPY250507C576</stp>
        <tr r="BA10" s="1"/>
        <tr r="BA10" s="1"/>
      </tp>
      <tp>
        <v>1227</v>
        <stp/>
        <stp>VOLUME</stp>
        <stp>.SPY250509C578</stp>
        <tr r="BC8" s="1"/>
        <tr r="BC8" s="1"/>
      </tp>
      <tp>
        <v>1718</v>
        <stp/>
        <stp>VOLUME</stp>
        <stp>.SPY250516C567</stp>
        <tr r="BE19" s="1"/>
        <tr r="BE19" s="1"/>
      </tp>
      <tp>
        <v>5</v>
        <stp/>
        <stp>VOLUME</stp>
        <stp>.SPY250523C552</stp>
        <tr r="H35" s="2"/>
        <tr r="H35" s="2"/>
      </tp>
      <tp>
        <v>18</v>
        <stp/>
        <stp>VOLUME</stp>
        <stp>.SPY250507P579</stp>
        <tr r="BB7" s="1"/>
        <tr r="BB7" s="1"/>
      </tp>
      <tp>
        <v>215</v>
        <stp/>
        <stp>VOLUME</stp>
        <stp>.SPY250509P577</stp>
        <tr r="BD9" s="1"/>
        <tr r="BD9" s="1"/>
      </tp>
      <tp>
        <v>48</v>
        <stp/>
        <stp>VOLUME</stp>
        <stp>.SPY250516P568</stp>
        <tr r="BF18" s="1"/>
        <tr r="BF18" s="1"/>
      </tp>
      <tp>
        <v>4073</v>
        <stp/>
        <stp>VOLUME</stp>
        <stp>.SPY250507C579</stp>
        <tr r="BA7" s="1"/>
        <tr r="BA7" s="1"/>
      </tp>
      <tp>
        <v>1720</v>
        <stp/>
        <stp>VOLUME</stp>
        <stp>.SPY250509C577</stp>
        <tr r="BC9" s="1"/>
        <tr r="BC9" s="1"/>
      </tp>
      <tp>
        <v>1926</v>
        <stp/>
        <stp>VOLUME</stp>
        <stp>.SPY250516C568</stp>
        <tr r="BE18" s="1"/>
        <tr r="BE18" s="1"/>
      </tp>
      <tp>
        <v>42</v>
        <stp/>
        <stp>VOLUME</stp>
        <stp>.SPY250507P578</stp>
        <tr r="BB8" s="1"/>
        <tr r="BB8" s="1"/>
      </tp>
      <tp>
        <v>8</v>
        <stp/>
        <stp>VOLUME</stp>
        <stp>.SPY250509P576</stp>
        <tr r="BD10" s="1"/>
        <tr r="BD10" s="1"/>
      </tp>
      <tp>
        <v>10</v>
        <stp/>
        <stp>VOLUME</stp>
        <stp>.SPY250516P569</stp>
        <tr r="BF17" s="1"/>
        <tr r="BF17" s="1"/>
      </tp>
      <tp>
        <v>6121</v>
        <stp/>
        <stp>VOLUME</stp>
        <stp>.SPY250507C578</stp>
        <tr r="BA8" s="1"/>
        <tr r="BA8" s="1"/>
      </tp>
      <tp>
        <v>1825</v>
        <stp/>
        <stp>VOLUME</stp>
        <stp>.SPY250509C576</stp>
        <tr r="BC10" s="1"/>
        <tr r="BC10" s="1"/>
      </tp>
      <tp>
        <v>971</v>
        <stp/>
        <stp>VOLUME</stp>
        <stp>.SPY250516C569</stp>
        <tr r="BE17" s="1"/>
        <tr r="BE17" s="1"/>
      </tp>
      <tp>
        <v>399</v>
        <stp/>
        <stp>VOLUME</stp>
        <stp>.SPY250509P575</stp>
        <tr r="BD11" s="1"/>
        <tr r="BD11" s="1"/>
      </tp>
      <tp>
        <v>13160</v>
        <stp/>
        <stp>VOLUME</stp>
        <stp>.SPY250509C575</stp>
        <tr r="BC11" s="1"/>
        <tr r="BC11" s="1"/>
      </tp>
      <tp>
        <v>150</v>
        <stp/>
        <stp>VOLUME</stp>
        <stp>.SPY250509P574</stp>
        <tr r="BD12" s="1"/>
        <tr r="BD12" s="1"/>
      </tp>
      <tp>
        <v>4724</v>
        <stp/>
        <stp>VOLUME</stp>
        <stp>.SPY250509C574</stp>
        <tr r="BC12" s="1"/>
        <tr r="BC12" s="1"/>
      </tp>
      <tp>
        <v>29</v>
        <stp/>
        <stp>VOLUME</stp>
        <stp>.SPY250509P573</stp>
        <tr r="BD13" s="1"/>
        <tr r="BD13" s="1"/>
      </tp>
      <tp>
        <v>1749</v>
        <stp/>
        <stp>VOLUME</stp>
        <stp>.SPY250523P559</stp>
        <tr r="H28" s="2"/>
        <tr r="H28" s="2"/>
      </tp>
      <tp>
        <v>3311</v>
        <stp/>
        <stp>VOLUME</stp>
        <stp>.SPY250509C573</stp>
        <tr r="BC13" s="1"/>
        <tr r="BC13" s="1"/>
      </tp>
      <tp>
        <v>529</v>
        <stp/>
        <stp>VOLUME</stp>
        <stp>.SPY250523C559</stp>
        <tr r="H28" s="2"/>
        <tr r="H28" s="2"/>
      </tp>
      <tp>
        <v>40</v>
        <stp/>
        <stp>VOLUME</stp>
        <stp>.SPY250509P572</stp>
        <tr r="BD14" s="1"/>
        <tr r="BD14" s="1"/>
      </tp>
      <tp>
        <v>276</v>
        <stp/>
        <stp>VOLUME</stp>
        <stp>.SPY250523P558</stp>
        <tr r="H29" s="2"/>
        <tr r="H29" s="2"/>
      </tp>
      <tp>
        <v>7236</v>
        <stp/>
        <stp>VOLUME</stp>
        <stp>.SPY250509C572</stp>
        <tr r="BC14" s="1"/>
        <tr r="BC14" s="1"/>
      </tp>
      <tp>
        <v>358</v>
        <stp/>
        <stp>VOLUME</stp>
        <stp>.SPY250523C558</stp>
        <tr r="H29" s="2"/>
        <tr r="H29" s="2"/>
      </tp>
      <tp>
        <v>124</v>
        <stp/>
        <stp>VOLUME</stp>
        <stp>.SPY250509P571</stp>
        <tr r="BD15" s="1"/>
        <tr r="BD15" s="1"/>
      </tp>
      <tp>
        <v>249</v>
        <stp/>
        <stp>VOLUME</stp>
        <stp>.SPY250530P548</stp>
        <tr r="I39" s="2"/>
        <tr r="I39" s="2"/>
      </tp>
      <tp>
        <v>6806</v>
        <stp/>
        <stp>VOLUME</stp>
        <stp>.SPY250509C571</stp>
        <tr r="BC15" s="1"/>
        <tr r="BC15" s="1"/>
      </tp>
      <tp>
        <v>5</v>
        <stp/>
        <stp>VOLUME</stp>
        <stp>.SPY250530C548</stp>
        <tr r="I39" s="2"/>
        <tr r="I39" s="2"/>
      </tp>
      <tp>
        <v>1299</v>
        <stp/>
        <stp>VOLUME</stp>
        <stp>.SPY250509P570</stp>
        <tr r="BD16" s="1"/>
        <tr r="BD16" s="1"/>
      </tp>
      <tp>
        <v>455</v>
        <stp/>
        <stp>VOLUME</stp>
        <stp>.SPY250530P549</stp>
        <tr r="I38" s="2"/>
        <tr r="I38" s="2"/>
      </tp>
      <tp>
        <v>47149</v>
        <stp/>
        <stp>VOLUME</stp>
        <stp>.SPY250509C570</stp>
        <tr r="BC16" s="1"/>
        <tr r="BC16" s="1"/>
      </tp>
      <tp>
        <v>1</v>
        <stp/>
        <stp>VOLUME</stp>
        <stp>.SPY250530C549</stp>
        <tr r="I38" s="2"/>
        <tr r="I38" s="2"/>
      </tp>
      <tp>
        <v>152332</v>
        <stp/>
        <stp>VOLUME</stp>
        <stp>.SPY250507P561</stp>
        <tr r="BB25" s="1"/>
        <tr r="BB25" s="1"/>
      </tp>
      <tp>
        <v>898</v>
        <stp/>
        <stp>VOLUME</stp>
        <stp>.SPY250516P570</stp>
        <tr r="BF16" s="1"/>
        <tr r="BF16" s="1"/>
      </tp>
      <tp>
        <v>1829</v>
        <stp/>
        <stp>VOLUME</stp>
        <stp>.SPY250530P556</stp>
        <tr r="I31" s="2"/>
        <tr r="I31" s="2"/>
      </tp>
      <tp>
        <v>326295</v>
        <stp/>
        <stp>VOLUME</stp>
        <stp>.SPY250507C561</stp>
        <tr r="BA25" s="1"/>
        <tr r="BA25" s="1"/>
      </tp>
      <tp>
        <v>16014</v>
        <stp/>
        <stp>VOLUME</stp>
        <stp>.SPY250516C570</stp>
        <tr r="BE16" s="1"/>
        <tr r="BE16" s="1"/>
      </tp>
      <tp>
        <v>503</v>
        <stp/>
        <stp>VOLUME</stp>
        <stp>.SPY250530C556</stp>
        <tr r="I31" s="2"/>
        <tr r="I31" s="2"/>
      </tp>
      <tp>
        <v>278459</v>
        <stp/>
        <stp>VOLUME</stp>
        <stp>.SPY250507P560</stp>
        <tr r="BB26" s="1"/>
        <tr r="BB26" s="1"/>
      </tp>
      <tp>
        <v>11</v>
        <stp/>
        <stp>VOLUME</stp>
        <stp>.SPY250516P571</stp>
        <tr r="BF15" s="1"/>
        <tr r="BF15" s="1"/>
      </tp>
      <tp>
        <v>429</v>
        <stp/>
        <stp>VOLUME</stp>
        <stp>.SPY250530P557</stp>
        <tr r="I30" s="2"/>
        <tr r="I30" s="2"/>
      </tp>
      <tp>
        <v>401686</v>
        <stp/>
        <stp>VOLUME</stp>
        <stp>.SPY250507C560</stp>
        <tr r="BA26" s="1"/>
        <tr r="BA26" s="1"/>
      </tp>
      <tp>
        <v>2429</v>
        <stp/>
        <stp>VOLUME</stp>
        <stp>.SPY250516C571</stp>
        <tr r="BE15" s="1"/>
        <tr r="BE15" s="1"/>
      </tp>
      <tp>
        <v>464</v>
        <stp/>
        <stp>VOLUME</stp>
        <stp>.SPY250530C557</stp>
        <tr r="I30" s="2"/>
        <tr r="I30" s="2"/>
      </tp>
      <tp>
        <v>21581</v>
        <stp/>
        <stp>VOLUME</stp>
        <stp>.SPY250507P563</stp>
        <tr r="BB23" s="1"/>
        <tr r="BB23" s="1"/>
      </tp>
      <tp>
        <v>174</v>
        <stp/>
        <stp>VOLUME</stp>
        <stp>.SPY250516P572</stp>
        <tr r="BF14" s="1"/>
        <tr r="BF14" s="1"/>
      </tp>
      <tp>
        <v>160</v>
        <stp/>
        <stp>VOLUME</stp>
        <stp>.SPY250530P554</stp>
        <tr r="I33" s="2"/>
        <tr r="I33" s="2"/>
      </tp>
      <tp>
        <v>205106</v>
        <stp/>
        <stp>VOLUME</stp>
        <stp>.SPY250507C563</stp>
        <tr r="BA23" s="1"/>
        <tr r="BA23" s="1"/>
      </tp>
      <tp>
        <v>837</v>
        <stp/>
        <stp>VOLUME</stp>
        <stp>.SPY250516C572</stp>
        <tr r="BE14" s="1"/>
        <tr r="BE14" s="1"/>
      </tp>
      <tp>
        <v>17</v>
        <stp/>
        <stp>VOLUME</stp>
        <stp>.SPY250530C554</stp>
        <tr r="I33" s="2"/>
        <tr r="I33" s="2"/>
      </tp>
      <tp>
        <v>70561</v>
        <stp/>
        <stp>VOLUME</stp>
        <stp>.SPY250507P562</stp>
        <tr r="BB24" s="1"/>
        <tr r="BB24" s="1"/>
      </tp>
      <tp>
        <v>19</v>
        <stp/>
        <stp>VOLUME</stp>
        <stp>.SPY250516P573</stp>
        <tr r="BF13" s="1"/>
        <tr r="BF13" s="1"/>
      </tp>
      <tp>
        <v>3059</v>
        <stp/>
        <stp>VOLUME</stp>
        <stp>.SPY250530P555</stp>
        <tr r="I32" s="2"/>
        <tr r="I32" s="2"/>
      </tp>
      <tp>
        <v>302261</v>
        <stp/>
        <stp>VOLUME</stp>
        <stp>.SPY250507C562</stp>
        <tr r="BA24" s="1"/>
        <tr r="BA24" s="1"/>
      </tp>
      <tp>
        <v>1493</v>
        <stp/>
        <stp>VOLUME</stp>
        <stp>.SPY250516C573</stp>
        <tr r="BE13" s="1"/>
        <tr r="BE13" s="1"/>
      </tp>
      <tp>
        <v>135</v>
        <stp/>
        <stp>VOLUME</stp>
        <stp>.SPY250530C555</stp>
        <tr r="I32" s="2"/>
        <tr r="I32" s="2"/>
      </tp>
      <tp>
        <v>6391</v>
        <stp/>
        <stp>VOLUME</stp>
        <stp>.SPY250507P565</stp>
        <tr r="BB21" s="1"/>
        <tr r="BB21" s="1"/>
      </tp>
      <tp t="s">
        <v>N/A</v>
        <stp/>
        <stp>VOLUME</stp>
        <stp>.SPY250516P574</stp>
        <tr r="BF12" s="1"/>
      </tp>
      <tp>
        <v>196</v>
        <stp/>
        <stp>VOLUME</stp>
        <stp>.SPY250530P552</stp>
        <tr r="I35" s="2"/>
        <tr r="I35" s="2"/>
      </tp>
      <tp>
        <v>200881</v>
        <stp/>
        <stp>VOLUME</stp>
        <stp>.SPY250507C565</stp>
        <tr r="BA21" s="1"/>
        <tr r="BA21" s="1"/>
      </tp>
      <tp>
        <v>748</v>
        <stp/>
        <stp>VOLUME</stp>
        <stp>.SPY250516C574</stp>
        <tr r="BE12" s="1"/>
        <tr r="BE12" s="1"/>
      </tp>
      <tp>
        <v>24</v>
        <stp/>
        <stp>VOLUME</stp>
        <stp>.SPY250530C552</stp>
        <tr r="I35" s="2"/>
        <tr r="I35" s="2"/>
      </tp>
      <tp>
        <v>7254</v>
        <stp/>
        <stp>VOLUME</stp>
        <stp>.SPY250507P564</stp>
        <tr r="BB22" s="1"/>
        <tr r="BB22" s="1"/>
      </tp>
      <tp>
        <v>352</v>
        <stp/>
        <stp>VOLUME</stp>
        <stp>.SPY250516P575</stp>
        <tr r="BF11" s="1"/>
        <tr r="BF11" s="1"/>
      </tp>
      <tp>
        <v>251</v>
        <stp/>
        <stp>VOLUME</stp>
        <stp>.SPY250530P553</stp>
        <tr r="I34" s="2"/>
        <tr r="I34" s="2"/>
      </tp>
      <tp>
        <v>140112</v>
        <stp/>
        <stp>VOLUME</stp>
        <stp>.SPY250507C564</stp>
        <tr r="BA22" s="1"/>
        <tr r="BA22" s="1"/>
      </tp>
      <tp>
        <v>15759</v>
        <stp/>
        <stp>VOLUME</stp>
        <stp>.SPY250516C575</stp>
        <tr r="BE11" s="1"/>
        <tr r="BE11" s="1"/>
      </tp>
      <tp>
        <v>8</v>
        <stp/>
        <stp>VOLUME</stp>
        <stp>.SPY250530C553</stp>
        <tr r="I34" s="2"/>
        <tr r="I34" s="2"/>
      </tp>
      <tp>
        <v>872</v>
        <stp/>
        <stp>VOLUME</stp>
        <stp>.SPY250507P567</stp>
        <tr r="BB19" s="1"/>
        <tr r="BB19" s="1"/>
      </tp>
      <tp>
        <v>509</v>
        <stp/>
        <stp>VOLUME</stp>
        <stp>.SPY250509P569</stp>
        <tr r="BD17" s="1"/>
        <tr r="BD17" s="1"/>
      </tp>
      <tp>
        <v>8</v>
        <stp/>
        <stp>VOLUME</stp>
        <stp>.SPY250516P576</stp>
        <tr r="BF10" s="1"/>
        <tr r="BF10" s="1"/>
      </tp>
      <tp>
        <v>2702</v>
        <stp/>
        <stp>VOLUME</stp>
        <stp>.SPY250530P550</stp>
        <tr r="I37" s="2"/>
        <tr r="I37" s="2"/>
      </tp>
      <tp>
        <v>83876</v>
        <stp/>
        <stp>VOLUME</stp>
        <stp>.SPY250507C567</stp>
        <tr r="BA19" s="1"/>
        <tr r="BA19" s="1"/>
      </tp>
      <tp>
        <v>4505</v>
        <stp/>
        <stp>VOLUME</stp>
        <stp>.SPY250509C569</stp>
        <tr r="BC17" s="1"/>
        <tr r="BC17" s="1"/>
      </tp>
      <tp>
        <v>522</v>
        <stp/>
        <stp>VOLUME</stp>
        <stp>.SPY250516C576</stp>
        <tr r="BE10" s="1"/>
        <tr r="BE10" s="1"/>
      </tp>
      <tp>
        <v>126</v>
        <stp/>
        <stp>VOLUME</stp>
        <stp>.SPY250530C550</stp>
        <tr r="I37" s="2"/>
        <tr r="I37" s="2"/>
      </tp>
      <tp>
        <v>2382</v>
        <stp/>
        <stp>VOLUME</stp>
        <stp>.SPY250507P566</stp>
        <tr r="BB20" s="1"/>
        <tr r="BB20" s="1"/>
      </tp>
      <tp>
        <v>437</v>
        <stp/>
        <stp>VOLUME</stp>
        <stp>.SPY250509P568</stp>
        <tr r="BD18" s="1"/>
        <tr r="BD18" s="1"/>
      </tp>
      <tp>
        <v>25</v>
        <stp/>
        <stp>VOLUME</stp>
        <stp>.SPY250516P577</stp>
        <tr r="BF9" s="1"/>
        <tr r="BF9" s="1"/>
      </tp>
      <tp>
        <v>543</v>
        <stp/>
        <stp>VOLUME</stp>
        <stp>.SPY250530P551</stp>
        <tr r="I36" s="2"/>
        <tr r="I36" s="2"/>
      </tp>
      <tp>
        <v>97121</v>
        <stp/>
        <stp>VOLUME</stp>
        <stp>.SPY250507C566</stp>
        <tr r="BA20" s="1"/>
        <tr r="BA20" s="1"/>
      </tp>
      <tp>
        <v>8485</v>
        <stp/>
        <stp>VOLUME</stp>
        <stp>.SPY250509C568</stp>
        <tr r="BC18" s="1"/>
        <tr r="BC18" s="1"/>
      </tp>
      <tp>
        <v>1024</v>
        <stp/>
        <stp>VOLUME</stp>
        <stp>.SPY250516C577</stp>
        <tr r="BE9" s="1"/>
        <tr r="BE9" s="1"/>
      </tp>
      <tp>
        <v>3</v>
        <stp/>
        <stp>VOLUME</stp>
        <stp>.SPY250530C551</stp>
        <tr r="I36" s="2"/>
        <tr r="I36" s="2"/>
      </tp>
      <tp>
        <v>796</v>
        <stp/>
        <stp>VOLUME</stp>
        <stp>.SPY250507P569</stp>
        <tr r="BB17" s="1"/>
        <tr r="BB17" s="1"/>
      </tp>
      <tp>
        <v>358</v>
        <stp/>
        <stp>VOLUME</stp>
        <stp>.SPY250509P567</stp>
        <tr r="BD19" s="1"/>
        <tr r="BD19" s="1"/>
      </tp>
      <tp>
        <v>2</v>
        <stp/>
        <stp>VOLUME</stp>
        <stp>.SPY250516P578</stp>
        <tr r="BF8" s="1"/>
        <tr r="BF8" s="1"/>
      </tp>
      <tp>
        <v>85582</v>
        <stp/>
        <stp>VOLUME</stp>
        <stp>.SPY250507C569</stp>
        <tr r="BA17" s="1"/>
        <tr r="BA17" s="1"/>
      </tp>
      <tp>
        <v>6771</v>
        <stp/>
        <stp>VOLUME</stp>
        <stp>.SPY250509C567</stp>
        <tr r="BC19" s="1"/>
        <tr r="BC19" s="1"/>
      </tp>
      <tp>
        <v>1256</v>
        <stp/>
        <stp>VOLUME</stp>
        <stp>.SPY250516C578</stp>
        <tr r="BE8" s="1"/>
        <tr r="BE8" s="1"/>
      </tp>
      <tp>
        <v>1419</v>
        <stp/>
        <stp>VOLUME</stp>
        <stp>.SPY250507P568</stp>
        <tr r="BB18" s="1"/>
        <tr r="BB18" s="1"/>
      </tp>
      <tp>
        <v>802</v>
        <stp/>
        <stp>VOLUME</stp>
        <stp>.SPY250509P566</stp>
        <tr r="BD20" s="1"/>
        <tr r="BD20" s="1"/>
      </tp>
      <tp t="s">
        <v>N/A</v>
        <stp/>
        <stp>VOLUME</stp>
        <stp>.SPY250516P579</stp>
        <tr r="BF7" s="1"/>
      </tp>
      <tp>
        <v>79845</v>
        <stp/>
        <stp>VOLUME</stp>
        <stp>.SPY250507C568</stp>
        <tr r="BA18" s="1"/>
        <tr r="BA18" s="1"/>
      </tp>
      <tp>
        <v>7038</v>
        <stp/>
        <stp>VOLUME</stp>
        <stp>.SPY250509C566</stp>
        <tr r="BC20" s="1"/>
        <tr r="BC20" s="1"/>
      </tp>
      <tp>
        <v>1896</v>
        <stp/>
        <stp>VOLUME</stp>
        <stp>.SPY250516C579</stp>
        <tr r="BE7" s="1"/>
        <tr r="BE7" s="1"/>
      </tp>
      <tp>
        <v>2054</v>
        <stp/>
        <stp>VOLUME</stp>
        <stp>.SPY250509P565</stp>
        <tr r="BD21" s="1"/>
        <tr r="BD21" s="1"/>
      </tp>
      <tp>
        <v>41875</v>
        <stp/>
        <stp>VOLUME</stp>
        <stp>.SPY250509C565</stp>
        <tr r="BC21" s="1"/>
        <tr r="BC21" s="1"/>
      </tp>
      <tp>
        <v>863</v>
        <stp/>
        <stp>VOLUME</stp>
        <stp>.SPY250509P564</stp>
        <tr r="BD22" s="1"/>
        <tr r="BD22" s="1"/>
      </tp>
      <tp>
        <v>6348</v>
        <stp/>
        <stp>VOLUME</stp>
        <stp>.SPY250509C564</stp>
        <tr r="BC22" s="1"/>
        <tr r="BC22" s="1"/>
      </tp>
      <tp>
        <v>2336</v>
        <stp/>
        <stp>VOLUME</stp>
        <stp>.SPY250509P563</stp>
        <tr r="BD23" s="1"/>
        <tr r="BD23" s="1"/>
      </tp>
      <tp>
        <v>285</v>
        <stp/>
        <stp>VOLUME</stp>
        <stp>.SPY250523P549</stp>
        <tr r="H38" s="2"/>
        <tr r="H38" s="2"/>
      </tp>
      <tp>
        <v>10208</v>
        <stp/>
        <stp>VOLUME</stp>
        <stp>.SPY250509C563</stp>
        <tr r="BC23" s="1"/>
        <tr r="BC23" s="1"/>
      </tp>
      <tp t="s">
        <v>N/A</v>
        <stp/>
        <stp>VOLUME</stp>
        <stp>.SPY250523C549</stp>
        <tr r="H38" s="2"/>
      </tp>
      <tp>
        <v>4619</v>
        <stp/>
        <stp>VOLUME</stp>
        <stp>.SPY250509P562</stp>
        <tr r="BD24" s="1"/>
        <tr r="BD24" s="1"/>
      </tp>
      <tp>
        <v>48</v>
        <stp/>
        <stp>VOLUME</stp>
        <stp>.SPY250523P548</stp>
        <tr r="H39" s="2"/>
        <tr r="H39" s="2"/>
      </tp>
      <tp>
        <v>19567</v>
        <stp/>
        <stp>VOLUME</stp>
        <stp>.SPY250509C562</stp>
        <tr r="BC24" s="1"/>
        <tr r="BC24" s="1"/>
      </tp>
      <tp>
        <v>2</v>
        <stp/>
        <stp>VOLUME</stp>
        <stp>.SPY250523C548</stp>
        <tr r="H39" s="2"/>
        <tr r="H39" s="2"/>
      </tp>
      <tp>
        <v>11040</v>
        <stp/>
        <stp>VOLUME</stp>
        <stp>.SPY250509P561</stp>
        <tr r="BD25" s="1"/>
        <tr r="BD25" s="1"/>
      </tp>
      <tp>
        <v>630</v>
        <stp/>
        <stp>VOLUME</stp>
        <stp>.SPY250530P558</stp>
        <tr r="I29" s="2"/>
        <tr r="I29" s="2"/>
      </tp>
      <tp>
        <v>19032</v>
        <stp/>
        <stp>VOLUME</stp>
        <stp>.SPY250509C561</stp>
        <tr r="BC25" s="1"/>
        <tr r="BC25" s="1"/>
      </tp>
      <tp>
        <v>362</v>
        <stp/>
        <stp>VOLUME</stp>
        <stp>.SPY250530C558</stp>
        <tr r="I29" s="2"/>
        <tr r="I29" s="2"/>
      </tp>
      <tp>
        <v>32132</v>
        <stp/>
        <stp>VOLUME</stp>
        <stp>.SPY250509P560</stp>
        <tr r="BD26" s="1"/>
        <tr r="BD26" s="1"/>
      </tp>
      <tp>
        <v>1596</v>
        <stp/>
        <stp>VOLUME</stp>
        <stp>.SPY250530P559</stp>
        <tr r="I28" s="2"/>
        <tr r="I28" s="2"/>
      </tp>
      <tp>
        <v>35922</v>
        <stp/>
        <stp>VOLUME</stp>
        <stp>.SPY250509C560</stp>
        <tr r="BC26" s="1"/>
        <tr r="BC26" s="1"/>
      </tp>
      <tp>
        <v>504</v>
        <stp/>
        <stp>VOLUME</stp>
        <stp>.SPY250530C559</stp>
        <tr r="I28" s="2"/>
        <tr r="I28" s="2"/>
      </tp>
      <tp>
        <v>-0.02</v>
        <stp/>
        <stp>DELTA</stp>
        <stp>.SPXW250509P5420</stp>
        <tr r="CG130" s="1"/>
        <tr r="CG130" s="1"/>
      </tp>
      <tp>
        <v>0.8</v>
        <stp/>
        <stp>DELTA</stp>
        <stp>.SPXW250509C5420</stp>
        <tr r="CF130" s="1"/>
        <tr r="CF130" s="1"/>
      </tp>
      <tp>
        <v>-0.03</v>
        <stp/>
        <stp>DELTA</stp>
        <stp>.SPXW250509P5430</stp>
        <tr r="CG129" s="1"/>
        <tr r="CG129" s="1"/>
      </tp>
      <tp>
        <v>0.79</v>
        <stp/>
        <stp>DELTA</stp>
        <stp>.SPXW250509C5430</stp>
        <tr r="CF129" s="1"/>
        <tr r="CF129" s="1"/>
      </tp>
      <tp>
        <v>0</v>
        <stp/>
        <stp>DELTA</stp>
        <stp>.SPXW250507P5480</stp>
        <tr r="CE124" s="1"/>
        <tr r="CE124" s="1"/>
      </tp>
      <tp>
        <v>-0.05</v>
        <stp/>
        <stp>DELTA</stp>
        <stp>.SPXW250509P5460</stp>
        <tr r="CG126" s="1"/>
        <tr r="CG126" s="1"/>
      </tp>
      <tp>
        <v>-0.38</v>
        <stp/>
        <stp>DELTA</stp>
        <stp>.SPXW250516P5590</stp>
        <tr r="CI113" s="1"/>
        <tr r="CI113" s="1"/>
      </tp>
      <tp>
        <v>1</v>
        <stp/>
        <stp>DELTA</stp>
        <stp>.SPXW250507C5480</stp>
        <tr r="CD124" s="1"/>
        <tr r="CD124" s="1"/>
      </tp>
      <tp>
        <v>0.77</v>
        <stp/>
        <stp>DELTA</stp>
        <stp>.SPXW250509C5460</stp>
        <tr r="CF126" s="1"/>
        <tr r="CF126" s="1"/>
      </tp>
      <tp>
        <v>0.59</v>
        <stp/>
        <stp>DELTA</stp>
        <stp>.SPXW250516C5590</stp>
        <tr r="CH113" s="1"/>
        <tr r="CH113" s="1"/>
      </tp>
      <tp>
        <v>0</v>
        <stp/>
        <stp>DELTA</stp>
        <stp>.SPXW250507P5490</stp>
        <tr r="CE123" s="1"/>
        <tr r="CE123" s="1"/>
      </tp>
      <tp>
        <v>-0.05</v>
        <stp/>
        <stp>DELTA</stp>
        <stp>.SPXW250509P5470</stp>
        <tr r="CG125" s="1"/>
        <tr r="CG125" s="1"/>
      </tp>
      <tp>
        <v>-0.36</v>
        <stp/>
        <stp>DELTA</stp>
        <stp>.SPXW250516P5580</stp>
        <tr r="CI114" s="1"/>
        <tr r="CI114" s="1"/>
      </tp>
      <tp>
        <v>1</v>
        <stp/>
        <stp>DELTA</stp>
        <stp>.SPXW250507C5490</stp>
        <tr r="CD123" s="1"/>
        <tr r="CD123" s="1"/>
      </tp>
      <tp>
        <v>0.77</v>
        <stp/>
        <stp>DELTA</stp>
        <stp>.SPXW250509C5470</stp>
        <tr r="CF125" s="1"/>
        <tr r="CF125" s="1"/>
      </tp>
      <tp>
        <v>0.6</v>
        <stp/>
        <stp>DELTA</stp>
        <stp>.SPXW250516C5580</stp>
        <tr r="CH114" s="1"/>
        <tr r="CH114" s="1"/>
      </tp>
      <tp>
        <v>-0.03</v>
        <stp/>
        <stp>DELTA</stp>
        <stp>.SPXW250509P5440</stp>
        <tr r="CG128" s="1"/>
        <tr r="CG128" s="1"/>
      </tp>
      <tp>
        <v>0.79</v>
        <stp/>
        <stp>DELTA</stp>
        <stp>.SPXW250509C5440</stp>
        <tr r="CF128" s="1"/>
        <tr r="CF128" s="1"/>
      </tp>
      <tp>
        <v>-0.04</v>
        <stp/>
        <stp>DELTA</stp>
        <stp>.SPXW250509P5450</stp>
        <tr r="CG127" s="1"/>
        <tr r="CG127" s="1"/>
      </tp>
      <tp>
        <v>0.78</v>
        <stp/>
        <stp>DELTA</stp>
        <stp>.SPXW250509C5450</stp>
        <tr r="CF127" s="1"/>
        <tr r="CF127" s="1"/>
      </tp>
      <tp>
        <v>0</v>
        <stp/>
        <stp>DELTA</stp>
        <stp>.SPXW250507P5440</stp>
        <tr r="CE128" s="1"/>
        <tr r="CE128" s="1"/>
      </tp>
      <tp>
        <v>-0.31</v>
        <stp/>
        <stp>DELTA</stp>
        <stp>.SPXW250516P5550</stp>
        <tr r="CI117" s="1"/>
        <tr r="CI117" s="1"/>
      </tp>
      <tp>
        <v>1</v>
        <stp/>
        <stp>DELTA</stp>
        <stp>.SPXW250507C5440</stp>
        <tr r="CD128" s="1"/>
        <tr r="CD128" s="1"/>
      </tp>
      <tp>
        <v>0.65</v>
        <stp/>
        <stp>DELTA</stp>
        <stp>.SPXW250516C5550</stp>
        <tr r="CH117" s="1"/>
        <tr r="CH117" s="1"/>
      </tp>
      <tp>
        <v>0</v>
        <stp/>
        <stp>DELTA</stp>
        <stp>.SPXW250507P5450</stp>
        <tr r="CE127" s="1"/>
        <tr r="CE127" s="1"/>
      </tp>
      <tp>
        <v>-0.28999999999999998</v>
        <stp/>
        <stp>DELTA</stp>
        <stp>.SPXW250516P5540</stp>
        <tr r="CI118" s="1"/>
        <tr r="CI118" s="1"/>
      </tp>
      <tp>
        <v>1</v>
        <stp/>
        <stp>DELTA</stp>
        <stp>.SPXW250507C5450</stp>
        <tr r="CD127" s="1"/>
        <tr r="CD127" s="1"/>
      </tp>
      <tp>
        <v>0.66</v>
        <stp/>
        <stp>DELTA</stp>
        <stp>.SPXW250516C5540</stp>
        <tr r="CH118" s="1"/>
        <tr r="CH118" s="1"/>
      </tp>
      <tp>
        <v>0</v>
        <stp/>
        <stp>DELTA</stp>
        <stp>.SPXW250507P5460</stp>
        <tr r="CE126" s="1"/>
        <tr r="CE126" s="1"/>
      </tp>
      <tp>
        <v>-0.06</v>
        <stp/>
        <stp>DELTA</stp>
        <stp>.SPXW250509P5480</stp>
        <tr r="CG124" s="1"/>
        <tr r="CG124" s="1"/>
      </tp>
      <tp>
        <v>-0.34</v>
        <stp/>
        <stp>DELTA</stp>
        <stp>.SPXW250516P5570</stp>
        <tr r="CI115" s="1"/>
        <tr r="CI115" s="1"/>
      </tp>
      <tp>
        <v>1</v>
        <stp/>
        <stp>DELTA</stp>
        <stp>.SPXW250507C5460</stp>
        <tr r="CD126" s="1"/>
        <tr r="CD126" s="1"/>
      </tp>
      <tp>
        <v>0.76</v>
        <stp/>
        <stp>DELTA</stp>
        <stp>.SPXW250509C5480</stp>
        <tr r="CF124" s="1"/>
        <tr r="CF124" s="1"/>
      </tp>
      <tp>
        <v>0.62</v>
        <stp/>
        <stp>DELTA</stp>
        <stp>.SPXW250516C5570</stp>
        <tr r="CH115" s="1"/>
        <tr r="CH115" s="1"/>
      </tp>
      <tp>
        <v>0</v>
        <stp/>
        <stp>DELTA</stp>
        <stp>.SPXW250507P5470</stp>
        <tr r="CE125" s="1"/>
        <tr r="CE125" s="1"/>
      </tp>
      <tp>
        <v>-7.0000000000000007E-2</v>
        <stp/>
        <stp>DELTA</stp>
        <stp>.SPXW250509P5490</stp>
        <tr r="CG123" s="1"/>
        <tr r="CG123" s="1"/>
      </tp>
      <tp>
        <v>-0.33</v>
        <stp/>
        <stp>DELTA</stp>
        <stp>.SPXW250516P5560</stp>
        <tr r="CI116" s="1"/>
        <tr r="CI116" s="1"/>
      </tp>
      <tp>
        <v>1</v>
        <stp/>
        <stp>DELTA</stp>
        <stp>.SPXW250507C5470</stp>
        <tr r="CD125" s="1"/>
        <tr r="CD125" s="1"/>
      </tp>
      <tp>
        <v>0.75</v>
        <stp/>
        <stp>DELTA</stp>
        <stp>.SPXW250509C5490</stp>
        <tr r="CF123" s="1"/>
        <tr r="CF123" s="1"/>
      </tp>
      <tp>
        <v>0.63</v>
        <stp/>
        <stp>DELTA</stp>
        <stp>.SPXW250516C5560</stp>
        <tr r="CH116" s="1"/>
        <tr r="CH116" s="1"/>
      </tp>
      <tp>
        <v>-0.24</v>
        <stp/>
        <stp>DELTA</stp>
        <stp>.SPXW250516P5510</stp>
        <tr r="CI121" s="1"/>
        <tr r="CI121" s="1"/>
      </tp>
      <tp>
        <v>0.69</v>
        <stp/>
        <stp>DELTA</stp>
        <stp>.SPXW250516C5510</stp>
        <tr r="CH121" s="1"/>
        <tr r="CH121" s="1"/>
      </tp>
      <tp>
        <v>-0.23</v>
        <stp/>
        <stp>DELTA</stp>
        <stp>.SPXW250516P5500</stp>
        <tr r="CI122" s="1"/>
        <tr r="CI122" s="1"/>
      </tp>
      <tp>
        <v>0.71</v>
        <stp/>
        <stp>DELTA</stp>
        <stp>.SPXW250516C5500</stp>
        <tr r="CH122" s="1"/>
        <tr r="CH122" s="1"/>
      </tp>
      <tp>
        <v>0</v>
        <stp/>
        <stp>DELTA</stp>
        <stp>.SPXW250507P5420</stp>
        <tr r="CE130" s="1"/>
        <tr r="CE130" s="1"/>
      </tp>
      <tp>
        <v>-0.27</v>
        <stp/>
        <stp>DELTA</stp>
        <stp>.SPXW250516P5530</stp>
        <tr r="CI119" s="1"/>
        <tr r="CI119" s="1"/>
      </tp>
      <tp>
        <v>1</v>
        <stp/>
        <stp>DELTA</stp>
        <stp>.SPXW250507C5420</stp>
        <tr r="CD130" s="1"/>
        <tr r="CD130" s="1"/>
      </tp>
      <tp>
        <v>0.67</v>
        <stp/>
        <stp>DELTA</stp>
        <stp>.SPXW250516C5530</stp>
        <tr r="CH119" s="1"/>
        <tr r="CH119" s="1"/>
      </tp>
      <tp>
        <v>0</v>
        <stp/>
        <stp>DELTA</stp>
        <stp>.SPXW250507P5430</stp>
        <tr r="CE129" s="1"/>
        <tr r="CE129" s="1"/>
      </tp>
      <tp>
        <v>-0.26</v>
        <stp/>
        <stp>DELTA</stp>
        <stp>.SPXW250516P5520</stp>
        <tr r="CI120" s="1"/>
        <tr r="CI120" s="1"/>
      </tp>
      <tp>
        <v>1</v>
        <stp/>
        <stp>DELTA</stp>
        <stp>.SPXW250507C5430</stp>
        <tr r="CD129" s="1"/>
        <tr r="CD129" s="1"/>
      </tp>
      <tp>
        <v>0.68</v>
        <stp/>
        <stp>DELTA</stp>
        <stp>.SPXW250516C5520</stp>
        <tr r="CH120" s="1"/>
        <tr r="CH120" s="1"/>
      </tp>
      <tp>
        <v>-0.11</v>
        <stp/>
        <stp>DELTA</stp>
        <stp>.SPXW250509P5520</stp>
        <tr r="CG120" s="1"/>
        <tr r="CG120" s="1"/>
      </tp>
      <tp>
        <v>0.72</v>
        <stp/>
        <stp>DELTA</stp>
        <stp>.SPXW250509C5520</stp>
        <tr r="CF120" s="1"/>
        <tr r="CF120" s="1"/>
      </tp>
      <tp>
        <v>-0.13</v>
        <stp/>
        <stp>DELTA</stp>
        <stp>.SPXW250509P5530</stp>
        <tr r="CG119" s="1"/>
        <tr r="CG119" s="1"/>
      </tp>
      <tp>
        <v>0.71</v>
        <stp/>
        <stp>DELTA</stp>
        <stp>.SPXW250509C5530</stp>
        <tr r="CF119" s="1"/>
        <tr r="CF119" s="1"/>
      </tp>
      <tp>
        <v>-0.08</v>
        <stp/>
        <stp>DELTA</stp>
        <stp>.SPXW250509P5500</stp>
        <tr r="CG122" s="1"/>
        <tr r="CG122" s="1"/>
      </tp>
      <tp>
        <v>0.74</v>
        <stp/>
        <stp>DELTA</stp>
        <stp>.SPXW250509C5500</stp>
        <tr r="CF122" s="1"/>
        <tr r="CF122" s="1"/>
      </tp>
      <tp>
        <v>-0.1</v>
        <stp/>
        <stp>DELTA</stp>
        <stp>.SPXW250509P5510</stp>
        <tr r="CG121" s="1"/>
        <tr r="CG121" s="1"/>
      </tp>
      <tp>
        <v>0.73</v>
        <stp/>
        <stp>DELTA</stp>
        <stp>.SPXW250509C5510</stp>
        <tr r="CF121" s="1"/>
        <tr r="CF121" s="1"/>
      </tp>
      <tp>
        <v>0</v>
        <stp/>
        <stp>DELTA</stp>
        <stp>.SPXW250507P5580</stp>
        <tr r="CE114" s="1"/>
        <tr r="CE114" s="1"/>
      </tp>
      <tp>
        <v>-0.19</v>
        <stp/>
        <stp>DELTA</stp>
        <stp>.SPXW250509P5560</stp>
        <tr r="CG116" s="1"/>
        <tr r="CG116" s="1"/>
      </tp>
      <tp>
        <v>-0.22</v>
        <stp/>
        <stp>DELTA</stp>
        <stp>.SPXW250516P5490</stp>
        <tr r="CI123" s="1"/>
        <tr r="CI123" s="1"/>
      </tp>
      <tp>
        <v>1</v>
        <stp/>
        <stp>DELTA</stp>
        <stp>.SPXW250507C5580</stp>
        <tr r="CD114" s="1"/>
        <tr r="CD114" s="1"/>
      </tp>
      <tp>
        <v>0.67</v>
        <stp/>
        <stp>DELTA</stp>
        <stp>.SPXW250509C5560</stp>
        <tr r="CF116" s="1"/>
        <tr r="CF116" s="1"/>
      </tp>
      <tp>
        <v>0.72</v>
        <stp/>
        <stp>DELTA</stp>
        <stp>.SPXW250516C5490</stp>
        <tr r="CH123" s="1"/>
        <tr r="CH123" s="1"/>
      </tp>
      <tp>
        <v>0</v>
        <stp/>
        <stp>DELTA</stp>
        <stp>.SPXW250507P5590</stp>
        <tr r="CE113" s="1"/>
        <tr r="CE113" s="1"/>
      </tp>
      <tp>
        <v>-0.22</v>
        <stp/>
        <stp>DELTA</stp>
        <stp>.SPXW250509P5570</stp>
        <tr r="CG115" s="1"/>
        <tr r="CG115" s="1"/>
      </tp>
      <tp>
        <v>-0.21</v>
        <stp/>
        <stp>DELTA</stp>
        <stp>.SPXW250516P5480</stp>
        <tr r="CI124" s="1"/>
        <tr r="CI124" s="1"/>
      </tp>
      <tp>
        <v>1</v>
        <stp/>
        <stp>DELTA</stp>
        <stp>.SPXW250507C5590</stp>
        <tr r="CD113" s="1"/>
        <tr r="CD113" s="1"/>
      </tp>
      <tp>
        <v>0.65</v>
        <stp/>
        <stp>DELTA</stp>
        <stp>.SPXW250509C5570</stp>
        <tr r="CF115" s="1"/>
        <tr r="CF115" s="1"/>
      </tp>
      <tp>
        <v>0.73</v>
        <stp/>
        <stp>DELTA</stp>
        <stp>.SPXW250516C5480</stp>
        <tr r="CH124" s="1"/>
        <tr r="CH124" s="1"/>
      </tp>
      <tp>
        <v>-0.15</v>
        <stp/>
        <stp>DELTA</stp>
        <stp>.SPXW250509P5540</stp>
        <tr r="CG118" s="1"/>
        <tr r="CG118" s="1"/>
      </tp>
      <tp>
        <v>0.7</v>
        <stp/>
        <stp>DELTA</stp>
        <stp>.SPXW250509C5540</stp>
        <tr r="CF118" s="1"/>
        <tr r="CF118" s="1"/>
      </tp>
      <tp>
        <v>-0.17</v>
        <stp/>
        <stp>DELTA</stp>
        <stp>.SPXW250509P5550</stp>
        <tr r="CG117" s="1"/>
        <tr r="CG117" s="1"/>
      </tp>
      <tp>
        <v>0.68</v>
        <stp/>
        <stp>DELTA</stp>
        <stp>.SPXW250509C5550</stp>
        <tr r="CF117" s="1"/>
        <tr r="CF117" s="1"/>
      </tp>
      <tp>
        <v>0</v>
        <stp/>
        <stp>DELTA</stp>
        <stp>.SPXW250507P5540</stp>
        <tr r="CE118" s="1"/>
        <tr r="CE118" s="1"/>
      </tp>
      <tp>
        <v>-0.17</v>
        <stp/>
        <stp>DELTA</stp>
        <stp>.SPXW250516P5450</stp>
        <tr r="CI127" s="1"/>
        <tr r="CI127" s="1"/>
      </tp>
      <tp>
        <v>1</v>
        <stp/>
        <stp>DELTA</stp>
        <stp>.SPXW250507C5540</stp>
        <tr r="CD118" s="1"/>
        <tr r="CD118" s="1"/>
      </tp>
      <tp>
        <v>0.75</v>
        <stp/>
        <stp>DELTA</stp>
        <stp>.SPXW250516C5450</stp>
        <tr r="CH127" s="1"/>
        <tr r="CH127" s="1"/>
      </tp>
      <tp>
        <v>0</v>
        <stp/>
        <stp>DELTA</stp>
        <stp>.SPXW250507P5550</stp>
        <tr r="CE117" s="1"/>
        <tr r="CE117" s="1"/>
      </tp>
      <tp>
        <v>-0.16</v>
        <stp/>
        <stp>DELTA</stp>
        <stp>.SPXW250516P5440</stp>
        <tr r="CI128" s="1"/>
        <tr r="CI128" s="1"/>
      </tp>
      <tp>
        <v>1</v>
        <stp/>
        <stp>DELTA</stp>
        <stp>.SPXW250507C5550</stp>
        <tr r="CD117" s="1"/>
        <tr r="CD117" s="1"/>
      </tp>
      <tp>
        <v>0.76</v>
        <stp/>
        <stp>DELTA</stp>
        <stp>.SPXW250516C5440</stp>
        <tr r="CH128" s="1"/>
        <tr r="CH128" s="1"/>
      </tp>
      <tp>
        <v>0</v>
        <stp/>
        <stp>DELTA</stp>
        <stp>.SPXW250507P5560</stp>
        <tr r="CE116" s="1"/>
        <tr r="CE116" s="1"/>
      </tp>
      <tp>
        <v>-0.25</v>
        <stp/>
        <stp>DELTA</stp>
        <stp>.SPXW250509P5580</stp>
        <tr r="CG114" s="1"/>
        <tr r="CG114" s="1"/>
      </tp>
      <tp>
        <v>-0.19</v>
        <stp/>
        <stp>DELTA</stp>
        <stp>.SPXW250516P5470</stp>
        <tr r="CI125" s="1"/>
        <tr r="CI125" s="1"/>
      </tp>
      <tp>
        <v>1</v>
        <stp/>
        <stp>DELTA</stp>
        <stp>.SPXW250507C5560</stp>
        <tr r="CD116" s="1"/>
        <tr r="CD116" s="1"/>
      </tp>
      <tp>
        <v>0.63</v>
        <stp/>
        <stp>DELTA</stp>
        <stp>.SPXW250509C5580</stp>
        <tr r="CF114" s="1"/>
        <tr r="CF114" s="1"/>
      </tp>
      <tp>
        <v>0.73</v>
        <stp/>
        <stp>DELTA</stp>
        <stp>.SPXW250516C5470</stp>
        <tr r="CH125" s="1"/>
        <tr r="CH125" s="1"/>
      </tp>
      <tp>
        <v>0</v>
        <stp/>
        <stp>DELTA</stp>
        <stp>.SPXW250507P5570</stp>
        <tr r="CE115" s="1"/>
        <tr r="CE115" s="1"/>
      </tp>
      <tp>
        <v>-0.28999999999999998</v>
        <stp/>
        <stp>DELTA</stp>
        <stp>.SPXW250509P5590</stp>
        <tr r="CG113" s="1"/>
        <tr r="CG113" s="1"/>
      </tp>
      <tp>
        <v>-0.18</v>
        <stp/>
        <stp>DELTA</stp>
        <stp>.SPXW250516P5460</stp>
        <tr r="CI126" s="1"/>
        <tr r="CI126" s="1"/>
      </tp>
      <tp>
        <v>1</v>
        <stp/>
        <stp>DELTA</stp>
        <stp>.SPXW250507C5570</stp>
        <tr r="CD115" s="1"/>
        <tr r="CD115" s="1"/>
      </tp>
      <tp>
        <v>0.61</v>
        <stp/>
        <stp>DELTA</stp>
        <stp>.SPXW250509C5590</stp>
        <tr r="CF113" s="1"/>
        <tr r="CF113" s="1"/>
      </tp>
      <tp>
        <v>0.74</v>
        <stp/>
        <stp>DELTA</stp>
        <stp>.SPXW250516C5460</stp>
        <tr r="CH126" s="1"/>
        <tr r="CH126" s="1"/>
      </tp>
      <tp>
        <v>0</v>
        <stp/>
        <stp>DELTA</stp>
        <stp>.SPXW250507P5500</stp>
        <tr r="CE122" s="1"/>
        <tr r="CE122" s="1"/>
      </tp>
      <tp>
        <v>1</v>
        <stp/>
        <stp>DELTA</stp>
        <stp>.SPXW250507C5500</stp>
        <tr r="CD122" s="1"/>
        <tr r="CD122" s="1"/>
      </tp>
      <tp>
        <v>0</v>
        <stp/>
        <stp>DELTA</stp>
        <stp>.SPXW250507P5510</stp>
        <tr r="CE121" s="1"/>
        <tr r="CE121" s="1"/>
      </tp>
      <tp>
        <v>1</v>
        <stp/>
        <stp>DELTA</stp>
        <stp>.SPXW250507C5510</stp>
        <tr r="CD121" s="1"/>
        <tr r="CD121" s="1"/>
      </tp>
      <tp>
        <v>0</v>
        <stp/>
        <stp>DELTA</stp>
        <stp>.SPXW250507P5520</stp>
        <tr r="CE120" s="1"/>
        <tr r="CE120" s="1"/>
      </tp>
      <tp>
        <v>-0.15</v>
        <stp/>
        <stp>DELTA</stp>
        <stp>.SPXW250516P5430</stp>
        <tr r="CI129" s="1"/>
        <tr r="CI129" s="1"/>
      </tp>
      <tp>
        <v>1</v>
        <stp/>
        <stp>DELTA</stp>
        <stp>.SPXW250507C5520</stp>
        <tr r="CD120" s="1"/>
        <tr r="CD120" s="1"/>
      </tp>
      <tp>
        <v>0.77</v>
        <stp/>
        <stp>DELTA</stp>
        <stp>.SPXW250516C5430</stp>
        <tr r="CH129" s="1"/>
        <tr r="CH129" s="1"/>
      </tp>
      <tp>
        <v>0</v>
        <stp/>
        <stp>DELTA</stp>
        <stp>.SPXW250507P5530</stp>
        <tr r="CE119" s="1"/>
        <tr r="CE119" s="1"/>
      </tp>
      <tp>
        <v>-0.14000000000000001</v>
        <stp/>
        <stp>DELTA</stp>
        <stp>.SPXW250516P5420</stp>
        <tr r="CI130" s="1"/>
        <tr r="CI130" s="1"/>
      </tp>
      <tp>
        <v>1</v>
        <stp/>
        <stp>DELTA</stp>
        <stp>.SPXW250507C5530</stp>
        <tr r="CD119" s="1"/>
        <tr r="CD119" s="1"/>
      </tp>
      <tp>
        <v>0.77</v>
        <stp/>
        <stp>DELTA</stp>
        <stp>.SPXW250516C5420</stp>
        <tr r="CH130" s="1"/>
        <tr r="CH130" s="1"/>
      </tp>
      <tp t="s">
        <v>N/A</v>
        <stp/>
        <stp>VOLUME</stp>
        <stp>.SPY251219P582</stp>
        <tr r="W5" s="2"/>
      </tp>
      <tp t="s">
        <v>N/A</v>
        <stp/>
        <stp>VOLUME</stp>
        <stp>.SPY251219C582</stp>
        <tr r="W5" s="2"/>
      </tp>
      <tp t="s">
        <v>N/A</v>
        <stp/>
        <stp>VOLUME</stp>
        <stp>.SPY251219P581</stp>
        <tr r="W6" s="2"/>
      </tp>
      <tp t="s">
        <v>N/A</v>
        <stp/>
        <stp>VOLUME</stp>
        <stp>.SPY251219C581</stp>
        <tr r="W6" s="2"/>
      </tp>
      <tp>
        <v>10</v>
        <stp/>
        <stp>VOLUME</stp>
        <stp>.SPY251219P580</stp>
        <tr r="W7" s="2"/>
        <tr r="W7" s="2"/>
      </tp>
      <tp>
        <v>36</v>
        <stp/>
        <stp>VOLUME</stp>
        <stp>.SPY251219C580</stp>
        <tr r="W7" s="2"/>
        <tr r="W7" s="2"/>
      </tp>
      <tp t="s">
        <v>N/A</v>
        <stp/>
        <stp>VOLUME</stp>
        <stp>.SPY251231P582</stp>
        <tr r="X5" s="2"/>
      </tp>
      <tp t="s">
        <v>N/A</v>
        <stp/>
        <stp>VOLUME</stp>
        <stp>.SPY251231C582</stp>
        <tr r="X5" s="2"/>
      </tp>
      <tp t="s">
        <v>N/A</v>
        <stp/>
        <stp>VOLUME</stp>
        <stp>.SPY251231P581</stp>
        <tr r="X6" s="2"/>
      </tp>
      <tp t="s">
        <v>N/A</v>
        <stp/>
        <stp>VOLUME</stp>
        <stp>.SPY251231C581</stp>
        <tr r="X6" s="2"/>
      </tp>
      <tp>
        <v>9</v>
        <stp/>
        <stp>VOLUME</stp>
        <stp>.SPY251231P580</stp>
        <tr r="X7" s="2"/>
        <tr r="X7" s="2"/>
      </tp>
      <tp>
        <v>5</v>
        <stp/>
        <stp>VOLUME</stp>
        <stp>.SPY251231C580</stp>
        <tr r="X7" s="2"/>
        <tr r="X7" s="2"/>
      </tp>
      <tp>
        <v>2</v>
        <stp/>
        <stp>VOLUME</stp>
        <stp>.SPY251231P567</stp>
        <tr r="X20" s="2"/>
        <tr r="X20" s="2"/>
      </tp>
      <tp>
        <v>1</v>
        <stp/>
        <stp>VOLUME</stp>
        <stp>.SPY251231C567</stp>
        <tr r="X20" s="2"/>
        <tr r="X20" s="2"/>
      </tp>
      <tp t="s">
        <v>N/A</v>
        <stp/>
        <stp>VOLUME</stp>
        <stp>.SPY251231P566</stp>
        <tr r="X21" s="2"/>
      </tp>
      <tp t="s">
        <v>N/A</v>
        <stp/>
        <stp>VOLUME</stp>
        <stp>.SPY251231C566</stp>
        <tr r="X21" s="2"/>
      </tp>
      <tp>
        <v>1</v>
        <stp/>
        <stp>VOLUME</stp>
        <stp>.SPY251231P565</stp>
        <tr r="X22" s="2"/>
        <tr r="X22" s="2"/>
      </tp>
      <tp t="s">
        <v>N/A</v>
        <stp/>
        <stp>VOLUME</stp>
        <stp>.SPY251231C565</stp>
        <tr r="X22" s="2"/>
      </tp>
      <tp t="s">
        <v>N/A</v>
        <stp/>
        <stp>VOLUME</stp>
        <stp>.SPY251231P564</stp>
        <tr r="X23" s="2"/>
      </tp>
      <tp>
        <v>3</v>
        <stp/>
        <stp>VOLUME</stp>
        <stp>.SPY251231C564</stp>
        <tr r="X23" s="2"/>
        <tr r="X23" s="2"/>
      </tp>
      <tp>
        <v>6</v>
        <stp/>
        <stp>VOLUME</stp>
        <stp>.SPY251231P563</stp>
        <tr r="X24" s="2"/>
        <tr r="X24" s="2"/>
      </tp>
      <tp t="s">
        <v>N/A</v>
        <stp/>
        <stp>VOLUME</stp>
        <stp>.SPY251231C563</stp>
        <tr r="X24" s="2"/>
      </tp>
      <tp>
        <v>11</v>
        <stp/>
        <stp>VOLUME</stp>
        <stp>.SPY251231P562</stp>
        <tr r="X25" s="2"/>
        <tr r="X25" s="2"/>
      </tp>
      <tp>
        <v>3</v>
        <stp/>
        <stp>VOLUME</stp>
        <stp>.SPY251231C562</stp>
        <tr r="X25" s="2"/>
        <tr r="X25" s="2"/>
      </tp>
      <tp t="s">
        <v>N/A</v>
        <stp/>
        <stp>VOLUME</stp>
        <stp>.SPY251219P549</stp>
        <tr r="W38" s="2"/>
      </tp>
      <tp>
        <v>7</v>
        <stp/>
        <stp>VOLUME</stp>
        <stp>.SPY251231P561</stp>
        <tr r="X26" s="2"/>
        <tr r="X26" s="2"/>
      </tp>
      <tp t="s">
        <v>N/A</v>
        <stp/>
        <stp>VOLUME</stp>
        <stp>.SPY251219C549</stp>
        <tr r="W38" s="2"/>
      </tp>
      <tp>
        <v>3</v>
        <stp/>
        <stp>VOLUME</stp>
        <stp>.SPY251231C561</stp>
        <tr r="X26" s="2"/>
        <tr r="X26" s="2"/>
      </tp>
      <tp t="s">
        <v>N/A</v>
        <stp/>
        <stp>VOLUME</stp>
        <stp>.SPY251219P548</stp>
        <tr r="W39" s="2"/>
      </tp>
      <tp>
        <v>179</v>
        <stp/>
        <stp>VOLUME</stp>
        <stp>.SPY251231P560</stp>
        <tr r="X27" s="2"/>
        <tr r="X27" s="2"/>
      </tp>
      <tp t="s">
        <v>N/A</v>
        <stp/>
        <stp>VOLUME</stp>
        <stp>.SPY251219C548</stp>
        <tr r="W39" s="2"/>
      </tp>
      <tp>
        <v>19</v>
        <stp/>
        <stp>VOLUME</stp>
        <stp>.SPY251231C560</stp>
        <tr r="X27" s="2"/>
        <tr r="X27" s="2"/>
      </tp>
      <tp t="s">
        <v>N/A</v>
        <stp/>
        <stp>VOLUME</stp>
        <stp>.SPY251231P569</stp>
        <tr r="X18" s="2"/>
      </tp>
      <tp>
        <v>1</v>
        <stp/>
        <stp>VOLUME</stp>
        <stp>.SPY251231C569</stp>
        <tr r="X18" s="2"/>
        <tr r="X18" s="2"/>
      </tp>
      <tp t="s">
        <v>N/A</v>
        <stp/>
        <stp>VOLUME</stp>
        <stp>.SPY251231P568</stp>
        <tr r="X19" s="2"/>
      </tp>
      <tp t="s">
        <v>N/A</v>
        <stp/>
        <stp>VOLUME</stp>
        <stp>.SPY251231C568</stp>
        <tr r="X19" s="2"/>
      </tp>
      <tp t="s">
        <v>N/A</v>
        <stp/>
        <stp>VOLUME</stp>
        <stp>.SPY251231P577</stp>
        <tr r="X10" s="2"/>
      </tp>
      <tp>
        <v>5</v>
        <stp/>
        <stp>VOLUME</stp>
        <stp>.SPY251231C577</stp>
        <tr r="X10" s="2"/>
        <tr r="X10" s="2"/>
      </tp>
      <tp t="s">
        <v>N/A</v>
        <stp/>
        <stp>VOLUME</stp>
        <stp>.SPY251231P576</stp>
        <tr r="X11" s="2"/>
      </tp>
      <tp t="s">
        <v>N/A</v>
        <stp/>
        <stp>VOLUME</stp>
        <stp>.SPY251231C576</stp>
        <tr r="X11" s="2"/>
      </tp>
      <tp>
        <v>7</v>
        <stp/>
        <stp>VOLUME</stp>
        <stp>.SPY251231P575</stp>
        <tr r="X12" s="2"/>
        <tr r="X12" s="2"/>
      </tp>
      <tp>
        <v>4</v>
        <stp/>
        <stp>VOLUME</stp>
        <stp>.SPY251231C575</stp>
        <tr r="X12" s="2"/>
        <tr r="X12" s="2"/>
      </tp>
      <tp t="s">
        <v>N/A</v>
        <stp/>
        <stp>VOLUME</stp>
        <stp>.SPY251231P574</stp>
        <tr r="X13" s="2"/>
      </tp>
      <tp t="s">
        <v>N/A</v>
        <stp/>
        <stp>VOLUME</stp>
        <stp>.SPY251231C574</stp>
        <tr r="X13" s="2"/>
      </tp>
      <tp t="s">
        <v>N/A</v>
        <stp/>
        <stp>VOLUME</stp>
        <stp>.SPY251231P573</stp>
        <tr r="X14" s="2"/>
      </tp>
      <tp t="s">
        <v>N/A</v>
        <stp/>
        <stp>VOLUME</stp>
        <stp>.SPY251231C573</stp>
        <tr r="X14" s="2"/>
      </tp>
      <tp>
        <v>2</v>
        <stp/>
        <stp>VOLUME</stp>
        <stp>.SPY251231P572</stp>
        <tr r="X15" s="2"/>
        <tr r="X15" s="2"/>
      </tp>
      <tp t="s">
        <v>N/A</v>
        <stp/>
        <stp>VOLUME</stp>
        <stp>.SPY251231C572</stp>
        <tr r="X15" s="2"/>
      </tp>
      <tp t="s">
        <v>N/A</v>
        <stp/>
        <stp>VOLUME</stp>
        <stp>.SPY251219P559</stp>
        <tr r="W28" s="2"/>
      </tp>
      <tp t="s">
        <v>N/A</v>
        <stp/>
        <stp>VOLUME</stp>
        <stp>.SPY251231P571</stp>
        <tr r="X16" s="2"/>
      </tp>
      <tp t="s">
        <v>N/A</v>
        <stp/>
        <stp>VOLUME</stp>
        <stp>.SPY251219C559</stp>
        <tr r="W28" s="2"/>
      </tp>
      <tp t="s">
        <v>N/A</v>
        <stp/>
        <stp>VOLUME</stp>
        <stp>.SPY251231C571</stp>
        <tr r="X16" s="2"/>
      </tp>
      <tp t="s">
        <v>N/A</v>
        <stp/>
        <stp>VOLUME</stp>
        <stp>.SPY251219P558</stp>
        <tr r="W29" s="2"/>
      </tp>
      <tp>
        <v>9</v>
        <stp/>
        <stp>VOLUME</stp>
        <stp>.SPY251231P570</stp>
        <tr r="X17" s="2"/>
        <tr r="X17" s="2"/>
      </tp>
      <tp t="s">
        <v>N/A</v>
        <stp/>
        <stp>VOLUME</stp>
        <stp>.SPY251219C558</stp>
        <tr r="W29" s="2"/>
      </tp>
      <tp>
        <v>13</v>
        <stp/>
        <stp>VOLUME</stp>
        <stp>.SPY251231C570</stp>
        <tr r="X17" s="2"/>
        <tr r="X17" s="2"/>
      </tp>
      <tp t="s">
        <v>N/A</v>
        <stp/>
        <stp>VOLUME</stp>
        <stp>.SPY251219P557</stp>
        <tr r="W30" s="2"/>
      </tp>
      <tp t="s">
        <v>N/A</v>
        <stp/>
        <stp>VOLUME</stp>
        <stp>.SPY251219C557</stp>
        <tr r="W30" s="2"/>
      </tp>
      <tp t="s">
        <v>N/A</v>
        <stp/>
        <stp>VOLUME</stp>
        <stp>.SPY251219P556</stp>
        <tr r="W31" s="2"/>
      </tp>
      <tp t="s">
        <v>N/A</v>
        <stp/>
        <stp>VOLUME</stp>
        <stp>.SPY251219C556</stp>
        <tr r="W31" s="2"/>
      </tp>
      <tp>
        <v>14</v>
        <stp/>
        <stp>VOLUME</stp>
        <stp>.SPY251219P555</stp>
        <tr r="W32" s="2"/>
        <tr r="W32" s="2"/>
      </tp>
      <tp>
        <v>5</v>
        <stp/>
        <stp>VOLUME</stp>
        <stp>.SPY251219C555</stp>
        <tr r="W32" s="2"/>
        <tr r="W32" s="2"/>
      </tp>
      <tp t="s">
        <v>N/A</v>
        <stp/>
        <stp>VOLUME</stp>
        <stp>.SPY251219P554</stp>
        <tr r="W33" s="2"/>
      </tp>
      <tp t="s">
        <v>N/A</v>
        <stp/>
        <stp>VOLUME</stp>
        <stp>.SPY251219C554</stp>
        <tr r="W33" s="2"/>
      </tp>
      <tp t="s">
        <v>N/A</v>
        <stp/>
        <stp>VOLUME</stp>
        <stp>.SPY251219P553</stp>
        <tr r="W34" s="2"/>
      </tp>
      <tp t="s">
        <v>N/A</v>
        <stp/>
        <stp>VOLUME</stp>
        <stp>.SPY251219C553</stp>
        <tr r="W34" s="2"/>
      </tp>
      <tp t="s">
        <v>N/A</v>
        <stp/>
        <stp>VOLUME</stp>
        <stp>.SPY251219P552</stp>
        <tr r="W35" s="2"/>
      </tp>
      <tp t="s">
        <v>N/A</v>
        <stp/>
        <stp>VOLUME</stp>
        <stp>.SPY251219C552</stp>
        <tr r="W35" s="2"/>
      </tp>
      <tp t="s">
        <v>N/A</v>
        <stp/>
        <stp>VOLUME</stp>
        <stp>.SPY251219P551</stp>
        <tr r="W36" s="2"/>
      </tp>
      <tp t="s">
        <v>N/A</v>
        <stp/>
        <stp>VOLUME</stp>
        <stp>.SPY251231P579</stp>
        <tr r="X8" s="2"/>
      </tp>
      <tp t="s">
        <v>N/A</v>
        <stp/>
        <stp>VOLUME</stp>
        <stp>.SPY251219C551</stp>
        <tr r="W36" s="2"/>
      </tp>
      <tp>
        <v>1</v>
        <stp/>
        <stp>VOLUME</stp>
        <stp>.SPY251231C579</stp>
        <tr r="X8" s="2"/>
        <tr r="X8" s="2"/>
      </tp>
      <tp>
        <v>86</v>
        <stp/>
        <stp>VOLUME</stp>
        <stp>.SPY251219P550</stp>
        <tr r="W37" s="2"/>
        <tr r="W37" s="2"/>
      </tp>
      <tp t="s">
        <v>N/A</v>
        <stp/>
        <stp>VOLUME</stp>
        <stp>.SPY251231P578</stp>
        <tr r="X9" s="2"/>
      </tp>
      <tp>
        <v>5</v>
        <stp/>
        <stp>VOLUME</stp>
        <stp>.SPY251219C550</stp>
        <tr r="W37" s="2"/>
        <tr r="W37" s="2"/>
      </tp>
      <tp t="s">
        <v>N/A</v>
        <stp/>
        <stp>VOLUME</stp>
        <stp>.SPY251231C578</stp>
        <tr r="X9" s="2"/>
      </tp>
      <tp t="s">
        <v>N/A</v>
        <stp/>
        <stp>VOLUME</stp>
        <stp>.SPY251219P569</stp>
        <tr r="W18" s="2"/>
      </tp>
      <tp t="s">
        <v>N/A</v>
        <stp/>
        <stp>VOLUME</stp>
        <stp>.SPY251219C569</stp>
        <tr r="W18" s="2"/>
      </tp>
      <tp t="s">
        <v>N/A</v>
        <stp/>
        <stp>VOLUME</stp>
        <stp>.SPY251219P568</stp>
        <tr r="W19" s="2"/>
      </tp>
      <tp t="s">
        <v>N/A</v>
        <stp/>
        <stp>VOLUME</stp>
        <stp>.SPY251219C568</stp>
        <tr r="W19" s="2"/>
      </tp>
      <tp t="s">
        <v>N/A</v>
        <stp/>
        <stp>VOLUME</stp>
        <stp>.SPY251219P567</stp>
        <tr r="W20" s="2"/>
      </tp>
      <tp t="s">
        <v>N/A</v>
        <stp/>
        <stp>VOLUME</stp>
        <stp>.SPY251219C567</stp>
        <tr r="W20" s="2"/>
      </tp>
      <tp t="s">
        <v>N/A</v>
        <stp/>
        <stp>VOLUME</stp>
        <stp>.SPY251219P566</stp>
        <tr r="W21" s="2"/>
      </tp>
      <tp t="s">
        <v>N/A</v>
        <stp/>
        <stp>VOLUME</stp>
        <stp>.SPY251219C566</stp>
        <tr r="W21" s="2"/>
      </tp>
      <tp>
        <v>55</v>
        <stp/>
        <stp>VOLUME</stp>
        <stp>.SPY251219P565</stp>
        <tr r="W22" s="2"/>
        <tr r="W22" s="2"/>
      </tp>
      <tp>
        <v>17</v>
        <stp/>
        <stp>VOLUME</stp>
        <stp>.SPY251219C565</stp>
        <tr r="W22" s="2"/>
        <tr r="W22" s="2"/>
      </tp>
      <tp t="s">
        <v>N/A</v>
        <stp/>
        <stp>VOLUME</stp>
        <stp>.SPY251219P564</stp>
        <tr r="W23" s="2"/>
      </tp>
      <tp t="s">
        <v>N/A</v>
        <stp/>
        <stp>VOLUME</stp>
        <stp>.SPY251219C564</stp>
        <tr r="W23" s="2"/>
      </tp>
      <tp t="s">
        <v>N/A</v>
        <stp/>
        <stp>VOLUME</stp>
        <stp>.SPY251219P563</stp>
        <tr r="W24" s="2"/>
      </tp>
      <tp t="s">
        <v>N/A</v>
        <stp/>
        <stp>VOLUME</stp>
        <stp>.SPY251219C563</stp>
        <tr r="W24" s="2"/>
      </tp>
      <tp t="s">
        <v>N/A</v>
        <stp/>
        <stp>VOLUME</stp>
        <stp>.SPY251219P562</stp>
        <tr r="W25" s="2"/>
      </tp>
      <tp t="s">
        <v>N/A</v>
        <stp/>
        <stp>VOLUME</stp>
        <stp>.SPY251219C562</stp>
        <tr r="W25" s="2"/>
      </tp>
      <tp t="s">
        <v>N/A</v>
        <stp/>
        <stp>VOLUME</stp>
        <stp>.SPY251219P561</stp>
        <tr r="W26" s="2"/>
      </tp>
      <tp>
        <v>12</v>
        <stp/>
        <stp>VOLUME</stp>
        <stp>.SPY251231P549</stp>
        <tr r="X38" s="2"/>
        <tr r="X38" s="2"/>
      </tp>
      <tp t="s">
        <v>N/A</v>
        <stp/>
        <stp>VOLUME</stp>
        <stp>.SPY251219C561</stp>
        <tr r="W26" s="2"/>
      </tp>
      <tp t="s">
        <v>N/A</v>
        <stp/>
        <stp>VOLUME</stp>
        <stp>.SPY251231C549</stp>
        <tr r="X38" s="2"/>
      </tp>
      <tp>
        <v>1651</v>
        <stp/>
        <stp>VOLUME</stp>
        <stp>.SPY251219P560</stp>
        <tr r="W27" s="2"/>
        <tr r="W27" s="2"/>
      </tp>
      <tp t="s">
        <v>N/A</v>
        <stp/>
        <stp>VOLUME</stp>
        <stp>.SPY251231P548</stp>
        <tr r="X39" s="2"/>
      </tp>
      <tp>
        <v>70</v>
        <stp/>
        <stp>VOLUME</stp>
        <stp>.SPY251219C560</stp>
        <tr r="W27" s="2"/>
        <tr r="W27" s="2"/>
      </tp>
      <tp t="s">
        <v>N/A</v>
        <stp/>
        <stp>VOLUME</stp>
        <stp>.SPY251231C548</stp>
        <tr r="X39" s="2"/>
      </tp>
      <tp>
        <v>10</v>
        <stp/>
        <stp>VOLUME</stp>
        <stp>.SPY251231P557</stp>
        <tr r="X30" s="2"/>
        <tr r="X30" s="2"/>
      </tp>
      <tp t="s">
        <v>N/A</v>
        <stp/>
        <stp>VOLUME</stp>
        <stp>.SPY251231C557</stp>
        <tr r="X30" s="2"/>
      </tp>
      <tp t="s">
        <v>N/A</v>
        <stp/>
        <stp>VOLUME</stp>
        <stp>.SPY251231P556</stp>
        <tr r="X31" s="2"/>
      </tp>
      <tp t="s">
        <v>N/A</v>
        <stp/>
        <stp>VOLUME</stp>
        <stp>.SPY251231C556</stp>
        <tr r="X31" s="2"/>
      </tp>
      <tp>
        <v>3</v>
        <stp/>
        <stp>VOLUME</stp>
        <stp>.SPY251231P555</stp>
        <tr r="X32" s="2"/>
        <tr r="X32" s="2"/>
      </tp>
      <tp t="s">
        <v>N/A</v>
        <stp/>
        <stp>VOLUME</stp>
        <stp>.SPY251231C555</stp>
        <tr r="X32" s="2"/>
      </tp>
      <tp>
        <v>1</v>
        <stp/>
        <stp>VOLUME</stp>
        <stp>.SPY251231P554</stp>
        <tr r="X33" s="2"/>
        <tr r="X33" s="2"/>
      </tp>
      <tp t="s">
        <v>N/A</v>
        <stp/>
        <stp>VOLUME</stp>
        <stp>.SPY251231C554</stp>
        <tr r="X33" s="2"/>
      </tp>
      <tp t="s">
        <v>N/A</v>
        <stp/>
        <stp>VOLUME</stp>
        <stp>.SPY251231P553</stp>
        <tr r="X34" s="2"/>
      </tp>
      <tp t="s">
        <v>N/A</v>
        <stp/>
        <stp>VOLUME</stp>
        <stp>.SPY251231C553</stp>
        <tr r="X34" s="2"/>
      </tp>
      <tp t="s">
        <v>N/A</v>
        <stp/>
        <stp>VOLUME</stp>
        <stp>.SPY251231P552</stp>
        <tr r="X35" s="2"/>
      </tp>
      <tp>
        <v>3</v>
        <stp/>
        <stp>VOLUME</stp>
        <stp>.SPY251231C552</stp>
        <tr r="X35" s="2"/>
        <tr r="X35" s="2"/>
      </tp>
      <tp t="s">
        <v>N/A</v>
        <stp/>
        <stp>VOLUME</stp>
        <stp>.SPY251219P579</stp>
        <tr r="W8" s="2"/>
      </tp>
      <tp t="s">
        <v>N/A</v>
        <stp/>
        <stp>VOLUME</stp>
        <stp>.SPY251231P551</stp>
        <tr r="X36" s="2"/>
      </tp>
      <tp t="s">
        <v>N/A</v>
        <stp/>
        <stp>VOLUME</stp>
        <stp>.SPY251219C579</stp>
        <tr r="W8" s="2"/>
      </tp>
      <tp t="s">
        <v>N/A</v>
        <stp/>
        <stp>VOLUME</stp>
        <stp>.SPY251231C551</stp>
        <tr r="X36" s="2"/>
      </tp>
      <tp t="s">
        <v>N/A</v>
        <stp/>
        <stp>VOLUME</stp>
        <stp>.SPY251219P578</stp>
        <tr r="W9" s="2"/>
      </tp>
      <tp>
        <v>37</v>
        <stp/>
        <stp>VOLUME</stp>
        <stp>.SPY251231P550</stp>
        <tr r="X37" s="2"/>
        <tr r="X37" s="2"/>
      </tp>
      <tp t="s">
        <v>N/A</v>
        <stp/>
        <stp>VOLUME</stp>
        <stp>.SPY251219C578</stp>
        <tr r="W9" s="2"/>
      </tp>
      <tp>
        <v>2</v>
        <stp/>
        <stp>VOLUME</stp>
        <stp>.SPY251231C550</stp>
        <tr r="X37" s="2"/>
        <tr r="X37" s="2"/>
      </tp>
      <tp t="s">
        <v>N/A</v>
        <stp/>
        <stp>VOLUME</stp>
        <stp>.SPY251219P577</stp>
        <tr r="W10" s="2"/>
      </tp>
      <tp t="s">
        <v>N/A</v>
        <stp/>
        <stp>VOLUME</stp>
        <stp>.SPY251219C577</stp>
        <tr r="W10" s="2"/>
      </tp>
      <tp t="s">
        <v>N/A</v>
        <stp/>
        <stp>VOLUME</stp>
        <stp>.SPY251219P576</stp>
        <tr r="W11" s="2"/>
      </tp>
      <tp t="s">
        <v>N/A</v>
        <stp/>
        <stp>VOLUME</stp>
        <stp>.SPY251219C576</stp>
        <tr r="W11" s="2"/>
      </tp>
      <tp>
        <v>9</v>
        <stp/>
        <stp>VOLUME</stp>
        <stp>.SPY251219P575</stp>
        <tr r="W12" s="2"/>
        <tr r="W12" s="2"/>
      </tp>
      <tp>
        <v>18</v>
        <stp/>
        <stp>VOLUME</stp>
        <stp>.SPY251219C575</stp>
        <tr r="W12" s="2"/>
        <tr r="W12" s="2"/>
      </tp>
      <tp t="s">
        <v>N/A</v>
        <stp/>
        <stp>VOLUME</stp>
        <stp>.SPY251219P574</stp>
        <tr r="W13" s="2"/>
      </tp>
      <tp t="s">
        <v>N/A</v>
        <stp/>
        <stp>VOLUME</stp>
        <stp>.SPY251219C574</stp>
        <tr r="W13" s="2"/>
      </tp>
      <tp t="s">
        <v>N/A</v>
        <stp/>
        <stp>VOLUME</stp>
        <stp>.SPY251219P573</stp>
        <tr r="W14" s="2"/>
      </tp>
      <tp t="s">
        <v>N/A</v>
        <stp/>
        <stp>VOLUME</stp>
        <stp>.SPY251219C573</stp>
        <tr r="W14" s="2"/>
      </tp>
      <tp t="s">
        <v>N/A</v>
        <stp/>
        <stp>VOLUME</stp>
        <stp>.SPY251219P572</stp>
        <tr r="W15" s="2"/>
      </tp>
      <tp t="s">
        <v>N/A</v>
        <stp/>
        <stp>VOLUME</stp>
        <stp>.SPY251219C572</stp>
        <tr r="W15" s="2"/>
      </tp>
      <tp t="s">
        <v>N/A</v>
        <stp/>
        <stp>VOLUME</stp>
        <stp>.SPY251219P571</stp>
        <tr r="W16" s="2"/>
      </tp>
      <tp>
        <v>11</v>
        <stp/>
        <stp>VOLUME</stp>
        <stp>.SPY251231P559</stp>
        <tr r="X28" s="2"/>
        <tr r="X28" s="2"/>
      </tp>
      <tp t="s">
        <v>N/A</v>
        <stp/>
        <stp>VOLUME</stp>
        <stp>.SPY251219C571</stp>
        <tr r="W16" s="2"/>
      </tp>
      <tp t="s">
        <v>N/A</v>
        <stp/>
        <stp>VOLUME</stp>
        <stp>.SPY251231C559</stp>
        <tr r="X28" s="2"/>
      </tp>
      <tp>
        <v>71</v>
        <stp/>
        <stp>VOLUME</stp>
        <stp>.SPY251219P570</stp>
        <tr r="W17" s="2"/>
        <tr r="W17" s="2"/>
      </tp>
      <tp t="s">
        <v>N/A</v>
        <stp/>
        <stp>VOLUME</stp>
        <stp>.SPY251231P558</stp>
        <tr r="X29" s="2"/>
      </tp>
      <tp>
        <v>16</v>
        <stp/>
        <stp>VOLUME</stp>
        <stp>.SPY251219C570</stp>
        <tr r="W17" s="2"/>
        <tr r="W17" s="2"/>
      </tp>
      <tp>
        <v>11</v>
        <stp/>
        <stp>VOLUME</stp>
        <stp>.SPY251231C558</stp>
        <tr r="X29" s="2"/>
        <tr r="X29" s="2"/>
      </tp>
      <tp t="s">
        <v>N/A</v>
        <stp/>
        <stp>VOLUME</stp>
        <stp>.QQQ250815P481</stp>
        <tr r="O67" s="2"/>
      </tp>
      <tp t="s">
        <v>N/A</v>
        <stp/>
        <stp>VOLUME</stp>
        <stp>.QQQ250815C481</stp>
        <tr r="O67" s="2"/>
      </tp>
      <tp>
        <v>295</v>
        <stp/>
        <stp>VOLUME</stp>
        <stp>.QQQ250815P480</stp>
        <tr r="O68" s="2"/>
        <tr r="O68" s="2"/>
      </tp>
      <tp>
        <v>92</v>
        <stp/>
        <stp>VOLUME</stp>
        <stp>.QQQ250815C480</stp>
        <tr r="O68" s="2"/>
        <tr r="O68" s="2"/>
      </tp>
      <tp t="s">
        <v>N/A</v>
        <stp/>
        <stp>VOLUME</stp>
        <stp>.QQQ250815P483</stp>
        <tr r="O65" s="2"/>
      </tp>
      <tp t="s">
        <v>N/A</v>
        <stp/>
        <stp>VOLUME</stp>
        <stp>.QQQ250815C483</stp>
        <tr r="O65" s="2"/>
      </tp>
      <tp t="s">
        <v>N/A</v>
        <stp/>
        <stp>VOLUME</stp>
        <stp>.QQQ250815P482</stp>
        <tr r="O66" s="2"/>
      </tp>
      <tp t="s">
        <v>N/A</v>
        <stp/>
        <stp>VOLUME</stp>
        <stp>.QQQ250815C482</stp>
        <tr r="O66" s="2"/>
      </tp>
      <tp>
        <v>398</v>
        <stp/>
        <stp>VOLUME</stp>
        <stp>.QQQ250815P485</stp>
        <tr r="O63" s="2"/>
        <tr r="O63" s="2"/>
      </tp>
      <tp>
        <v>537</v>
        <stp/>
        <stp>VOLUME</stp>
        <stp>.QQQ250815C485</stp>
        <tr r="O63" s="2"/>
        <tr r="O63" s="2"/>
      </tp>
      <tp t="s">
        <v>N/A</v>
        <stp/>
        <stp>VOLUME</stp>
        <stp>.QQQ250815P484</stp>
        <tr r="O64" s="2"/>
      </tp>
      <tp t="s">
        <v>N/A</v>
        <stp/>
        <stp>VOLUME</stp>
        <stp>.QQQ250815C484</stp>
        <tr r="O64" s="2"/>
      </tp>
      <tp t="s">
        <v>N/A</v>
        <stp/>
        <stp>VOLUME</stp>
        <stp>.QQQ250815P487</stp>
        <tr r="O61" s="2"/>
      </tp>
      <tp t="s">
        <v>N/A</v>
        <stp/>
        <stp>VOLUME</stp>
        <stp>.QQQ250815C487</stp>
        <tr r="O61" s="2"/>
      </tp>
      <tp t="s">
        <v>N/A</v>
        <stp/>
        <stp>VOLUME</stp>
        <stp>.QQQ250815P486</stp>
        <tr r="O62" s="2"/>
      </tp>
      <tp t="s">
        <v>N/A</v>
        <stp/>
        <stp>VOLUME</stp>
        <stp>.QQQ250815C486</stp>
        <tr r="O62" s="2"/>
      </tp>
      <tp t="s">
        <v>N/A</v>
        <stp/>
        <stp>VOLUME</stp>
        <stp>.QQQ250815P489</stp>
        <tr r="O59" s="2"/>
      </tp>
      <tp t="s">
        <v>N/A</v>
        <stp/>
        <stp>VOLUME</stp>
        <stp>.QQQ250815C489</stp>
        <tr r="O59" s="2"/>
      </tp>
      <tp t="s">
        <v>N/A</v>
        <stp/>
        <stp>VOLUME</stp>
        <stp>.QQQ250815P488</stp>
        <tr r="O60" s="2"/>
      </tp>
      <tp t="s">
        <v>N/A</v>
        <stp/>
        <stp>VOLUME</stp>
        <stp>.QQQ250815C488</stp>
        <tr r="O60" s="2"/>
      </tp>
      <tp t="s">
        <v>N/A</v>
        <stp/>
        <stp>VOLUME</stp>
        <stp>.QQQ250815P491</stp>
        <tr r="O57" s="2"/>
      </tp>
      <tp t="s">
        <v>N/A</v>
        <stp/>
        <stp>VOLUME</stp>
        <stp>.QQQ250815C491</stp>
        <tr r="O57" s="2"/>
      </tp>
      <tp>
        <v>36</v>
        <stp/>
        <stp>VOLUME</stp>
        <stp>.QQQ250815P490</stp>
        <tr r="O58" s="2"/>
        <tr r="O58" s="2"/>
      </tp>
      <tp>
        <v>261</v>
        <stp/>
        <stp>VOLUME</stp>
        <stp>.QQQ250815C490</stp>
        <tr r="O58" s="2"/>
        <tr r="O58" s="2"/>
      </tp>
      <tp t="s">
        <v>N/A</v>
        <stp/>
        <stp>VOLUME</stp>
        <stp>.QQQ250815P493</stp>
        <tr r="O55" s="2"/>
      </tp>
      <tp t="s">
        <v>N/A</v>
        <stp/>
        <stp>VOLUME</stp>
        <stp>.QQQ250815C493</stp>
        <tr r="O55" s="2"/>
      </tp>
      <tp t="s">
        <v>N/A</v>
        <stp/>
        <stp>VOLUME</stp>
        <stp>.QQQ250815P492</stp>
        <tr r="O56" s="2"/>
      </tp>
      <tp t="s">
        <v>N/A</v>
        <stp/>
        <stp>VOLUME</stp>
        <stp>.QQQ250815C492</stp>
        <tr r="O56" s="2"/>
      </tp>
      <tp>
        <v>7</v>
        <stp/>
        <stp>VOLUME</stp>
        <stp>.QQQ250815P495</stp>
        <tr r="O53" s="2"/>
        <tr r="O53" s="2"/>
      </tp>
      <tp>
        <v>239</v>
        <stp/>
        <stp>VOLUME</stp>
        <stp>.QQQ250815C495</stp>
        <tr r="O53" s="2"/>
        <tr r="O53" s="2"/>
      </tp>
      <tp t="s">
        <v>N/A</v>
        <stp/>
        <stp>VOLUME</stp>
        <stp>.QQQ250815P494</stp>
        <tr r="O54" s="2"/>
      </tp>
      <tp t="s">
        <v>N/A</v>
        <stp/>
        <stp>VOLUME</stp>
        <stp>.QQQ250815C494</stp>
        <tr r="O54" s="2"/>
      </tp>
      <tp t="s">
        <v>N/A</v>
        <stp/>
        <stp>VOLUME</stp>
        <stp>.QQQ250815P497</stp>
        <tr r="O51" s="2"/>
      </tp>
      <tp t="s">
        <v>N/A</v>
        <stp/>
        <stp>VOLUME</stp>
        <stp>.QQQ250815C497</stp>
        <tr r="O51" s="2"/>
      </tp>
      <tp t="s">
        <v>N/A</v>
        <stp/>
        <stp>VOLUME</stp>
        <stp>.QQQ250815P496</stp>
        <tr r="O52" s="2"/>
      </tp>
      <tp t="s">
        <v>N/A</v>
        <stp/>
        <stp>VOLUME</stp>
        <stp>.QQQ250815C496</stp>
        <tr r="O52" s="2"/>
      </tp>
      <tp t="s">
        <v>N/A</v>
        <stp/>
        <stp>VOLUME</stp>
        <stp>.QQQ250815P499</stp>
        <tr r="O49" s="2"/>
      </tp>
      <tp t="s">
        <v>N/A</v>
        <stp/>
        <stp>VOLUME</stp>
        <stp>.QQQ250815C499</stp>
        <tr r="O49" s="2"/>
      </tp>
      <tp t="s">
        <v>N/A</v>
        <stp/>
        <stp>VOLUME</stp>
        <stp>.QQQ250815P498</stp>
        <tr r="O50" s="2"/>
      </tp>
      <tp t="s">
        <v>N/A</v>
        <stp/>
        <stp>VOLUME</stp>
        <stp>.QQQ250815C498</stp>
        <tr r="O50" s="2"/>
      </tp>
      <tp t="s">
        <v>N/A</v>
        <stp/>
        <stp>VOLUME</stp>
        <stp>.QQQ250829P499</stp>
        <tr r="P49" s="2"/>
      </tp>
      <tp t="s">
        <v>N/A</v>
        <stp/>
        <stp>VOLUME</stp>
        <stp>.QQQ250829C499</stp>
        <tr r="P49" s="2"/>
      </tp>
      <tp t="s">
        <v>N/A</v>
        <stp/>
        <stp>VOLUME</stp>
        <stp>.QQQ250829P498</stp>
        <tr r="P50" s="2"/>
      </tp>
      <tp t="s">
        <v>N/A</v>
        <stp/>
        <stp>VOLUME</stp>
        <stp>.QQQ250829C498</stp>
        <tr r="P50" s="2"/>
      </tp>
      <tp>
        <v>6</v>
        <stp/>
        <stp>VOLUME</stp>
        <stp>.QQQ250829P495</stp>
        <tr r="P53" s="2"/>
        <tr r="P53" s="2"/>
      </tp>
      <tp>
        <v>1</v>
        <stp/>
        <stp>VOLUME</stp>
        <stp>.QQQ250829C495</stp>
        <tr r="P53" s="2"/>
        <tr r="P53" s="2"/>
      </tp>
      <tp t="s">
        <v>N/A</v>
        <stp/>
        <stp>VOLUME</stp>
        <stp>.QQQ250829P494</stp>
        <tr r="P54" s="2"/>
      </tp>
      <tp t="s">
        <v>N/A</v>
        <stp/>
        <stp>VOLUME</stp>
        <stp>.QQQ250829C494</stp>
        <tr r="P54" s="2"/>
      </tp>
      <tp t="s">
        <v>N/A</v>
        <stp/>
        <stp>VOLUME</stp>
        <stp>.QQQ250829P497</stp>
        <tr r="P51" s="2"/>
      </tp>
      <tp t="s">
        <v>N/A</v>
        <stp/>
        <stp>VOLUME</stp>
        <stp>.QQQ250829C497</stp>
        <tr r="P51" s="2"/>
      </tp>
      <tp t="s">
        <v>N/A</v>
        <stp/>
        <stp>VOLUME</stp>
        <stp>.QQQ250829P496</stp>
        <tr r="P52" s="2"/>
      </tp>
      <tp t="s">
        <v>N/A</v>
        <stp/>
        <stp>VOLUME</stp>
        <stp>.QQQ250829C496</stp>
        <tr r="P52" s="2"/>
      </tp>
      <tp t="s">
        <v>N/A</v>
        <stp/>
        <stp>VOLUME</stp>
        <stp>.QQQ250829P491</stp>
        <tr r="P57" s="2"/>
      </tp>
      <tp t="s">
        <v>N/A</v>
        <stp/>
        <stp>VOLUME</stp>
        <stp>.QQQ250829C491</stp>
        <tr r="P57" s="2"/>
      </tp>
      <tp>
        <v>1</v>
        <stp/>
        <stp>VOLUME</stp>
        <stp>.QQQ250829P490</stp>
        <tr r="P58" s="2"/>
        <tr r="P58" s="2"/>
      </tp>
      <tp>
        <v>25</v>
        <stp/>
        <stp>VOLUME</stp>
        <stp>.QQQ250829C490</stp>
        <tr r="P58" s="2"/>
        <tr r="P58" s="2"/>
      </tp>
      <tp t="s">
        <v>N/A</v>
        <stp/>
        <stp>VOLUME</stp>
        <stp>.QQQ250829P493</stp>
        <tr r="P55" s="2"/>
      </tp>
      <tp t="s">
        <v>N/A</v>
        <stp/>
        <stp>VOLUME</stp>
        <stp>.QQQ250829C493</stp>
        <tr r="P55" s="2"/>
      </tp>
      <tp t="s">
        <v>N/A</v>
        <stp/>
        <stp>VOLUME</stp>
        <stp>.QQQ250829P492</stp>
        <tr r="P56" s="2"/>
      </tp>
      <tp t="s">
        <v>N/A</v>
        <stp/>
        <stp>VOLUME</stp>
        <stp>.QQQ250829C492</stp>
        <tr r="P56" s="2"/>
      </tp>
      <tp t="s">
        <v>N/A</v>
        <stp/>
        <stp>VOLUME</stp>
        <stp>.QQQ250829P489</stp>
        <tr r="P59" s="2"/>
      </tp>
      <tp t="s">
        <v>N/A</v>
        <stp/>
        <stp>VOLUME</stp>
        <stp>.QQQ250829C489</stp>
        <tr r="P59" s="2"/>
      </tp>
      <tp t="s">
        <v>N/A</v>
        <stp/>
        <stp>VOLUME</stp>
        <stp>.QQQ250829P488</stp>
        <tr r="P60" s="2"/>
      </tp>
      <tp t="s">
        <v>N/A</v>
        <stp/>
        <stp>VOLUME</stp>
        <stp>.SPY251121P582</stp>
        <tr r="U5" s="2"/>
      </tp>
      <tp t="s">
        <v>N/A</v>
        <stp/>
        <stp>VOLUME</stp>
        <stp>.QQQ250829C488</stp>
        <tr r="P60" s="2"/>
      </tp>
      <tp t="s">
        <v>N/A</v>
        <stp/>
        <stp>VOLUME</stp>
        <stp>.SPY251121C582</stp>
        <tr r="U5" s="2"/>
      </tp>
      <tp t="s">
        <v>N/A</v>
        <stp/>
        <stp>VOLUME</stp>
        <stp>.SPY251121P581</stp>
        <tr r="U6" s="2"/>
      </tp>
      <tp t="s">
        <v>N/A</v>
        <stp/>
        <stp>VOLUME</stp>
        <stp>.SPY251121C581</stp>
        <tr r="U6" s="2"/>
      </tp>
      <tp t="s">
        <v>N/A</v>
        <stp/>
        <stp>VOLUME</stp>
        <stp>.SPY251121P580</stp>
        <tr r="U7" s="2"/>
      </tp>
      <tp t="s">
        <v>N/A</v>
        <stp/>
        <stp>VOLUME</stp>
        <stp>.SPY251121C580</stp>
        <tr r="U7" s="2"/>
      </tp>
      <tp>
        <v>55</v>
        <stp/>
        <stp>VOLUME</stp>
        <stp>.QQQ250829P485</stp>
        <tr r="P63" s="2"/>
        <tr r="P63" s="2"/>
      </tp>
      <tp>
        <v>4</v>
        <stp/>
        <stp>VOLUME</stp>
        <stp>.QQQ250829C485</stp>
        <tr r="P63" s="2"/>
        <tr r="P63" s="2"/>
      </tp>
      <tp t="s">
        <v>N/A</v>
        <stp/>
        <stp>VOLUME</stp>
        <stp>.QQQ250829P484</stp>
        <tr r="P64" s="2"/>
      </tp>
      <tp t="s">
        <v>N/A</v>
        <stp/>
        <stp>VOLUME</stp>
        <stp>.QQQ250829C484</stp>
        <tr r="P64" s="2"/>
      </tp>
      <tp t="s">
        <v>N/A</v>
        <stp/>
        <stp>VOLUME</stp>
        <stp>.QQQ250829P487</stp>
        <tr r="P61" s="2"/>
      </tp>
      <tp t="s">
        <v>N/A</v>
        <stp/>
        <stp>VOLUME</stp>
        <stp>.QQQ250829C487</stp>
        <tr r="P61" s="2"/>
      </tp>
      <tp t="s">
        <v>N/A</v>
        <stp/>
        <stp>VOLUME</stp>
        <stp>.QQQ250829P486</stp>
        <tr r="P62" s="2"/>
      </tp>
      <tp t="s">
        <v>N/A</v>
        <stp/>
        <stp>VOLUME</stp>
        <stp>.QQQ250829C486</stp>
        <tr r="P62" s="2"/>
      </tp>
      <tp t="s">
        <v>N/A</v>
        <stp/>
        <stp>VOLUME</stp>
        <stp>.QQQ250829P481</stp>
        <tr r="P67" s="2"/>
      </tp>
      <tp t="s">
        <v>N/A</v>
        <stp/>
        <stp>VOLUME</stp>
        <stp>.SPY251128P582</stp>
        <tr r="V5" s="2"/>
      </tp>
      <tp t="s">
        <v>N/A</v>
        <stp/>
        <stp>VOLUME</stp>
        <stp>.QQQ250829C481</stp>
        <tr r="P67" s="2"/>
      </tp>
      <tp t="s">
        <v>N/A</v>
        <stp/>
        <stp>VOLUME</stp>
        <stp>.SPY251128C582</stp>
        <tr r="V5" s="2"/>
      </tp>
      <tp>
        <v>48</v>
        <stp/>
        <stp>VOLUME</stp>
        <stp>.QQQ250829P480</stp>
        <tr r="P68" s="2"/>
        <tr r="P68" s="2"/>
      </tp>
      <tp>
        <v>11</v>
        <stp/>
        <stp>VOLUME</stp>
        <stp>.QQQ250829C480</stp>
        <tr r="P68" s="2"/>
        <tr r="P68" s="2"/>
      </tp>
      <tp t="s">
        <v>N/A</v>
        <stp/>
        <stp>VOLUME</stp>
        <stp>.QQQ250829P483</stp>
        <tr r="P65" s="2"/>
      </tp>
      <tp t="s">
        <v>N/A</v>
        <stp/>
        <stp>VOLUME</stp>
        <stp>.SPY251128P580</stp>
        <tr r="V7" s="2"/>
      </tp>
      <tp t="s">
        <v>N/A</v>
        <stp/>
        <stp>VOLUME</stp>
        <stp>.QQQ250829C483</stp>
        <tr r="P65" s="2"/>
      </tp>
      <tp t="s">
        <v>N/A</v>
        <stp/>
        <stp>VOLUME</stp>
        <stp>.SPY251128C580</stp>
        <tr r="V7" s="2"/>
      </tp>
      <tp t="s">
        <v>N/A</v>
        <stp/>
        <stp>VOLUME</stp>
        <stp>.QQQ250829P482</stp>
        <tr r="P66" s="2"/>
      </tp>
      <tp t="s">
        <v>N/A</v>
        <stp/>
        <stp>VOLUME</stp>
        <stp>.SPY251128P581</stp>
        <tr r="V6" s="2"/>
      </tp>
      <tp t="s">
        <v>N/A</v>
        <stp/>
        <stp>VOLUME</stp>
        <stp>.QQQ250829C482</stp>
        <tr r="P66" s="2"/>
      </tp>
      <tp t="s">
        <v>N/A</v>
        <stp/>
        <stp>VOLUME</stp>
        <stp>.SPY251128C581</stp>
        <tr r="V6" s="2"/>
      </tp>
      <tp t="s">
        <v>N/A</v>
        <stp/>
        <stp>VOLUME</stp>
        <stp>.QQQ250919P501</stp>
        <tr r="Q47" s="2"/>
      </tp>
      <tp t="s">
        <v>N/A</v>
        <stp/>
        <stp>VOLUME</stp>
        <stp>.QQQ250919C501</stp>
        <tr r="Q47" s="2"/>
      </tp>
      <tp>
        <v>23</v>
        <stp/>
        <stp>VOLUME</stp>
        <stp>.QQQ250919P500</stp>
        <tr r="Q48" s="2"/>
        <tr r="Q48" s="2"/>
      </tp>
      <tp>
        <v>3596</v>
        <stp/>
        <stp>VOLUME</stp>
        <stp>.QQQ250919C500</stp>
        <tr r="Q48" s="2"/>
        <tr r="Q48" s="2"/>
      </tp>
      <tp t="s">
        <v>N/A</v>
        <stp/>
        <stp>VOLUME</stp>
        <stp>.QQQ250919P502</stp>
        <tr r="Q46" s="2"/>
      </tp>
      <tp t="s">
        <v>N/A</v>
        <stp/>
        <stp>VOLUME</stp>
        <stp>.QQQ250919C502</stp>
        <tr r="Q46" s="2"/>
      </tp>
      <tp>
        <v>61</v>
        <stp/>
        <stp>VOLUME</stp>
        <stp>.QQQ250930P500</stp>
        <tr r="R48" s="2"/>
        <tr r="R48" s="2"/>
      </tp>
      <tp>
        <v>78</v>
        <stp/>
        <stp>VOLUME</stp>
        <stp>.QQQ250930C500</stp>
        <tr r="R48" s="2"/>
        <tr r="R48" s="2"/>
      </tp>
      <tp>
        <v>2</v>
        <stp/>
        <stp>VOLUME</stp>
        <stp>.QQQ250930P501</stp>
        <tr r="R47" s="2"/>
        <tr r="R47" s="2"/>
      </tp>
      <tp t="s">
        <v>N/A</v>
        <stp/>
        <stp>VOLUME</stp>
        <stp>.QQQ250930C501</stp>
        <tr r="R47" s="2"/>
      </tp>
      <tp>
        <v>2</v>
        <stp/>
        <stp>VOLUME</stp>
        <stp>.QQQ250930P502</stp>
        <tr r="R46" s="2"/>
        <tr r="R46" s="2"/>
      </tp>
      <tp t="s">
        <v>N/A</v>
        <stp/>
        <stp>VOLUME</stp>
        <stp>.QQQ250930C502</stp>
        <tr r="R46" s="2"/>
      </tp>
      <tp t="s">
        <v>N/A</v>
        <stp/>
        <stp>VOLUME</stp>
        <stp>.SPY251121P577</stp>
        <tr r="U10" s="2"/>
      </tp>
      <tp t="s">
        <v>N/A</v>
        <stp/>
        <stp>VOLUME</stp>
        <stp>.SPY251121C577</stp>
        <tr r="U10" s="2"/>
      </tp>
      <tp t="s">
        <v>N/A</v>
        <stp/>
        <stp>VOLUME</stp>
        <stp>.SPY251121P576</stp>
        <tr r="U11" s="2"/>
      </tp>
      <tp t="s">
        <v>N/A</v>
        <stp/>
        <stp>VOLUME</stp>
        <stp>.SPY251121C576</stp>
        <tr r="U11" s="2"/>
      </tp>
      <tp t="s">
        <v>N/A</v>
        <stp/>
        <stp>VOLUME</stp>
        <stp>.SPY251121P575</stp>
        <tr r="U12" s="2"/>
      </tp>
      <tp t="s">
        <v>N/A</v>
        <stp/>
        <stp>VOLUME</stp>
        <stp>.SPY251121C575</stp>
        <tr r="U12" s="2"/>
      </tp>
      <tp t="s">
        <v>N/A</v>
        <stp/>
        <stp>VOLUME</stp>
        <stp>.SPY251121P574</stp>
        <tr r="U13" s="2"/>
      </tp>
      <tp t="s">
        <v>N/A</v>
        <stp/>
        <stp>VOLUME</stp>
        <stp>.SPY251121C574</stp>
        <tr r="U13" s="2"/>
      </tp>
      <tp t="s">
        <v>N/A</v>
        <stp/>
        <stp>VOLUME</stp>
        <stp>.QQQ250829P479</stp>
        <tr r="P69" s="2"/>
      </tp>
      <tp t="s">
        <v>N/A</v>
        <stp/>
        <stp>VOLUME</stp>
        <stp>.SPY251121P573</stp>
        <tr r="U14" s="2"/>
      </tp>
      <tp t="s">
        <v>N/A</v>
        <stp/>
        <stp>VOLUME</stp>
        <stp>.QQQ250829C479</stp>
        <tr r="P69" s="2"/>
      </tp>
      <tp t="s">
        <v>N/A</v>
        <stp/>
        <stp>VOLUME</stp>
        <stp>.SPY251121C573</stp>
        <tr r="U14" s="2"/>
      </tp>
      <tp t="s">
        <v>N/A</v>
        <stp/>
        <stp>VOLUME</stp>
        <stp>.QQQ250829P478</stp>
        <tr r="P70" s="2"/>
      </tp>
      <tp t="s">
        <v>N/A</v>
        <stp/>
        <stp>VOLUME</stp>
        <stp>.SPY251121P572</stp>
        <tr r="U15" s="2"/>
      </tp>
      <tp t="s">
        <v>N/A</v>
        <stp/>
        <stp>VOLUME</stp>
        <stp>.QQQ250829C478</stp>
        <tr r="P70" s="2"/>
      </tp>
      <tp t="s">
        <v>N/A</v>
        <stp/>
        <stp>VOLUME</stp>
        <stp>.SPY251121C572</stp>
        <tr r="U15" s="2"/>
      </tp>
      <tp t="s">
        <v>N/A</v>
        <stp/>
        <stp>VOLUME</stp>
        <stp>.SPY251121P571</stp>
        <tr r="U16" s="2"/>
      </tp>
      <tp t="s">
        <v>N/A</v>
        <stp/>
        <stp>VOLUME</stp>
        <stp>.SPY251128P578</stp>
        <tr r="V9" s="2"/>
      </tp>
      <tp t="s">
        <v>N/A</v>
        <stp/>
        <stp>VOLUME</stp>
        <stp>.SPY251121C571</stp>
        <tr r="U16" s="2"/>
      </tp>
      <tp t="s">
        <v>N/A</v>
        <stp/>
        <stp>VOLUME</stp>
        <stp>.SPY251128C578</stp>
        <tr r="V9" s="2"/>
      </tp>
      <tp t="s">
        <v>N/A</v>
        <stp/>
        <stp>VOLUME</stp>
        <stp>.SPY251121P570</stp>
        <tr r="U17" s="2"/>
      </tp>
      <tp t="s">
        <v>N/A</v>
        <stp/>
        <stp>VOLUME</stp>
        <stp>.SPY251128P579</stp>
        <tr r="V8" s="2"/>
      </tp>
      <tp t="s">
        <v>N/A</v>
        <stp/>
        <stp>VOLUME</stp>
        <stp>.SPY251121C570</stp>
        <tr r="U17" s="2"/>
      </tp>
      <tp t="s">
        <v>N/A</v>
        <stp/>
        <stp>VOLUME</stp>
        <stp>.SPY251128C579</stp>
        <tr r="V8" s="2"/>
      </tp>
      <tp>
        <v>10</v>
        <stp/>
        <stp>VOLUME</stp>
        <stp>.QQQ250829P475</stp>
        <tr r="P73" s="2"/>
        <tr r="P73" s="2"/>
      </tp>
      <tp t="s">
        <v>N/A</v>
        <stp/>
        <stp>VOLUME</stp>
        <stp>.SPY251128P576</stp>
        <tr r="V11" s="2"/>
      </tp>
      <tp t="s">
        <v>N/A</v>
        <stp/>
        <stp>VOLUME</stp>
        <stp>.QQQ250829C475</stp>
        <tr r="P73" s="2"/>
      </tp>
      <tp t="s">
        <v>N/A</v>
        <stp/>
        <stp>VOLUME</stp>
        <stp>.SPY251128C576</stp>
        <tr r="V11" s="2"/>
      </tp>
      <tp t="s">
        <v>N/A</v>
        <stp/>
        <stp>VOLUME</stp>
        <stp>.QQQ250829P474</stp>
        <tr r="P74" s="2"/>
      </tp>
      <tp t="s">
        <v>N/A</v>
        <stp/>
        <stp>VOLUME</stp>
        <stp>.SPY251128P577</stp>
        <tr r="V10" s="2"/>
      </tp>
      <tp t="s">
        <v>N/A</v>
        <stp/>
        <stp>VOLUME</stp>
        <stp>.QQQ250829C474</stp>
        <tr r="P74" s="2"/>
      </tp>
      <tp t="s">
        <v>N/A</v>
        <stp/>
        <stp>VOLUME</stp>
        <stp>.SPY251128C577</stp>
        <tr r="V10" s="2"/>
      </tp>
      <tp t="s">
        <v>N/A</v>
        <stp/>
        <stp>VOLUME</stp>
        <stp>.QQQ250829P477</stp>
        <tr r="P71" s="2"/>
      </tp>
      <tp t="s">
        <v>N/A</v>
        <stp/>
        <stp>VOLUME</stp>
        <stp>.SPY251128P574</stp>
        <tr r="V13" s="2"/>
      </tp>
      <tp t="s">
        <v>N/A</v>
        <stp/>
        <stp>VOLUME</stp>
        <stp>.QQQ250829C477</stp>
        <tr r="P71" s="2"/>
      </tp>
      <tp t="s">
        <v>N/A</v>
        <stp/>
        <stp>VOLUME</stp>
        <stp>.SPY251128C574</stp>
        <tr r="V13" s="2"/>
      </tp>
      <tp t="s">
        <v>N/A</v>
        <stp/>
        <stp>VOLUME</stp>
        <stp>.QQQ250829P476</stp>
        <tr r="P72" s="2"/>
      </tp>
      <tp t="s">
        <v>N/A</v>
        <stp/>
        <stp>VOLUME</stp>
        <stp>.SPY251128P575</stp>
        <tr r="V12" s="2"/>
      </tp>
      <tp t="s">
        <v>N/A</v>
        <stp/>
        <stp>VOLUME</stp>
        <stp>.QQQ250829C476</stp>
        <tr r="P72" s="2"/>
      </tp>
      <tp t="s">
        <v>N/A</v>
        <stp/>
        <stp>VOLUME</stp>
        <stp>.SPY251128C575</stp>
        <tr r="V12" s="2"/>
      </tp>
      <tp t="s">
        <v>N/A</v>
        <stp/>
        <stp>VOLUME</stp>
        <stp>.QQQ250829P471</stp>
        <tr r="P77" s="2"/>
      </tp>
      <tp t="s">
        <v>N/A</v>
        <stp/>
        <stp>VOLUME</stp>
        <stp>.SPY251128P572</stp>
        <tr r="V15" s="2"/>
      </tp>
      <tp t="s">
        <v>N/A</v>
        <stp/>
        <stp>VOLUME</stp>
        <stp>.QQQ250829C471</stp>
        <tr r="P77" s="2"/>
      </tp>
      <tp t="s">
        <v>N/A</v>
        <stp/>
        <stp>VOLUME</stp>
        <stp>.SPY251128C572</stp>
        <tr r="V15" s="2"/>
      </tp>
      <tp>
        <v>44</v>
        <stp/>
        <stp>VOLUME</stp>
        <stp>.QQQ250829P470</stp>
        <tr r="P78" s="2"/>
        <tr r="P78" s="2"/>
      </tp>
      <tp t="s">
        <v>N/A</v>
        <stp/>
        <stp>VOLUME</stp>
        <stp>.SPY251128P573</stp>
        <tr r="V14" s="2"/>
      </tp>
      <tp>
        <v>1</v>
        <stp/>
        <stp>VOLUME</stp>
        <stp>.QQQ250829C470</stp>
        <tr r="P78" s="2"/>
        <tr r="P78" s="2"/>
      </tp>
      <tp t="s">
        <v>N/A</v>
        <stp/>
        <stp>VOLUME</stp>
        <stp>.SPY251128C573</stp>
        <tr r="V14" s="2"/>
      </tp>
      <tp t="s">
        <v>N/A</v>
        <stp/>
        <stp>VOLUME</stp>
        <stp>.QQQ250829P473</stp>
        <tr r="P75" s="2"/>
      </tp>
      <tp t="s">
        <v>N/A</v>
        <stp/>
        <stp>VOLUME</stp>
        <stp>.SPY251121P579</stp>
        <tr r="U8" s="2"/>
      </tp>
      <tp t="s">
        <v>N/A</v>
        <stp/>
        <stp>VOLUME</stp>
        <stp>.SPY251128P570</stp>
        <tr r="V17" s="2"/>
      </tp>
      <tp t="s">
        <v>N/A</v>
        <stp/>
        <stp>VOLUME</stp>
        <stp>.QQQ250829C473</stp>
        <tr r="P75" s="2"/>
      </tp>
      <tp t="s">
        <v>N/A</v>
        <stp/>
        <stp>VOLUME</stp>
        <stp>.SPY251121C579</stp>
        <tr r="U8" s="2"/>
      </tp>
      <tp t="s">
        <v>N/A</v>
        <stp/>
        <stp>VOLUME</stp>
        <stp>.SPY251128C570</stp>
        <tr r="V17" s="2"/>
      </tp>
      <tp t="s">
        <v>N/A</v>
        <stp/>
        <stp>VOLUME</stp>
        <stp>.QQQ250829P472</stp>
        <tr r="P76" s="2"/>
      </tp>
      <tp t="s">
        <v>N/A</v>
        <stp/>
        <stp>VOLUME</stp>
        <stp>.SPY251121P578</stp>
        <tr r="U9" s="2"/>
      </tp>
      <tp t="s">
        <v>N/A</v>
        <stp/>
        <stp>VOLUME</stp>
        <stp>.SPY251128P571</stp>
        <tr r="V16" s="2"/>
      </tp>
      <tp t="s">
        <v>N/A</v>
        <stp/>
        <stp>VOLUME</stp>
        <stp>.QQQ250829C472</stp>
        <tr r="P76" s="2"/>
      </tp>
      <tp t="s">
        <v>N/A</v>
        <stp/>
        <stp>VOLUME</stp>
        <stp>.SPY251121C578</stp>
        <tr r="U9" s="2"/>
      </tp>
      <tp t="s">
        <v>N/A</v>
        <stp/>
        <stp>VOLUME</stp>
        <stp>.SPY251128C571</stp>
        <tr r="V16" s="2"/>
      </tp>
      <tp t="s">
        <v>N/A</v>
        <stp/>
        <stp>VOLUME</stp>
        <stp>.SPY251121P567</stp>
        <tr r="U20" s="2"/>
      </tp>
      <tp t="s">
        <v>N/A</v>
        <stp/>
        <stp>VOLUME</stp>
        <stp>.SPY251121C567</stp>
        <tr r="U20" s="2"/>
      </tp>
      <tp t="s">
        <v>N/A</v>
        <stp/>
        <stp>VOLUME</stp>
        <stp>.SPY251121P566</stp>
        <tr r="U21" s="2"/>
      </tp>
      <tp t="s">
        <v>N/A</v>
        <stp/>
        <stp>VOLUME</stp>
        <stp>.SPY251121C566</stp>
        <tr r="U21" s="2"/>
      </tp>
      <tp t="s">
        <v>N/A</v>
        <stp/>
        <stp>VOLUME</stp>
        <stp>.SPY251121P565</stp>
        <tr r="U22" s="2"/>
      </tp>
      <tp t="s">
        <v>N/A</v>
        <stp/>
        <stp>VOLUME</stp>
        <stp>.SPY251121C565</stp>
        <tr r="U22" s="2"/>
      </tp>
      <tp t="s">
        <v>N/A</v>
        <stp/>
        <stp>VOLUME</stp>
        <stp>.SPY251121P564</stp>
        <tr r="U23" s="2"/>
      </tp>
      <tp t="s">
        <v>N/A</v>
        <stp/>
        <stp>VOLUME</stp>
        <stp>.SPY251121C564</stp>
        <tr r="U23" s="2"/>
      </tp>
      <tp t="s">
        <v>N/A</v>
        <stp/>
        <stp>VOLUME</stp>
        <stp>.QQQ250829P469</stp>
        <tr r="P79" s="2"/>
      </tp>
      <tp t="s">
        <v>N/A</v>
        <stp/>
        <stp>VOLUME</stp>
        <stp>.SPY251121P563</stp>
        <tr r="U24" s="2"/>
      </tp>
      <tp t="s">
        <v>N/A</v>
        <stp/>
        <stp>VOLUME</stp>
        <stp>.QQQ250829C469</stp>
        <tr r="P79" s="2"/>
      </tp>
      <tp t="s">
        <v>N/A</v>
        <stp/>
        <stp>VOLUME</stp>
        <stp>.SPY251121C563</stp>
        <tr r="U24" s="2"/>
      </tp>
      <tp t="s">
        <v>N/A</v>
        <stp/>
        <stp>VOLUME</stp>
        <stp>.QQQ250829P468</stp>
        <tr r="P80" s="2"/>
      </tp>
      <tp t="s">
        <v>N/A</v>
        <stp/>
        <stp>VOLUME</stp>
        <stp>.SPY251121P562</stp>
        <tr r="U25" s="2"/>
      </tp>
      <tp t="s">
        <v>N/A</v>
        <stp/>
        <stp>VOLUME</stp>
        <stp>.QQQ250829C468</stp>
        <tr r="P80" s="2"/>
      </tp>
      <tp t="s">
        <v>N/A</v>
        <stp/>
        <stp>VOLUME</stp>
        <stp>.SPY251121C562</stp>
        <tr r="U25" s="2"/>
      </tp>
      <tp t="s">
        <v>N/A</v>
        <stp/>
        <stp>VOLUME</stp>
        <stp>.SPY251121P561</stp>
        <tr r="U26" s="2"/>
      </tp>
      <tp t="s">
        <v>N/A</v>
        <stp/>
        <stp>VOLUME</stp>
        <stp>.SPY251128P568</stp>
        <tr r="V19" s="2"/>
      </tp>
      <tp t="s">
        <v>N/A</v>
        <stp/>
        <stp>VOLUME</stp>
        <stp>.SPY251121C561</stp>
        <tr r="U26" s="2"/>
      </tp>
      <tp t="s">
        <v>N/A</v>
        <stp/>
        <stp>VOLUME</stp>
        <stp>.SPY251128C568</stp>
        <tr r="V19" s="2"/>
      </tp>
      <tp t="s">
        <v>N/A</v>
        <stp/>
        <stp>VOLUME</stp>
        <stp>.SPY251121P560</stp>
        <tr r="U27" s="2"/>
      </tp>
      <tp t="s">
        <v>N/A</v>
        <stp/>
        <stp>VOLUME</stp>
        <stp>.SPY251128P569</stp>
        <tr r="V18" s="2"/>
      </tp>
      <tp t="s">
        <v>N/A</v>
        <stp/>
        <stp>VOLUME</stp>
        <stp>.SPY251121C560</stp>
        <tr r="U27" s="2"/>
      </tp>
      <tp t="s">
        <v>N/A</v>
        <stp/>
        <stp>VOLUME</stp>
        <stp>.SPY251128C569</stp>
        <tr r="V18" s="2"/>
      </tp>
      <tp t="s">
        <v>N/A</v>
        <stp/>
        <stp>VOLUME</stp>
        <stp>.SPY251128P566</stp>
        <tr r="V21" s="2"/>
      </tp>
      <tp t="s">
        <v>N/A</v>
        <stp/>
        <stp>VOLUME</stp>
        <stp>.SPY251128C566</stp>
        <tr r="V21" s="2"/>
      </tp>
      <tp t="s">
        <v>N/A</v>
        <stp/>
        <stp>VOLUME</stp>
        <stp>.SPY251128P567</stp>
        <tr r="V20" s="2"/>
      </tp>
      <tp t="s">
        <v>N/A</v>
        <stp/>
        <stp>VOLUME</stp>
        <stp>.SPY251128C567</stp>
        <tr r="V20" s="2"/>
      </tp>
      <tp t="s">
        <v>N/A</v>
        <stp/>
        <stp>VOLUME</stp>
        <stp>.SPY251128P564</stp>
        <tr r="V23" s="2"/>
      </tp>
      <tp t="s">
        <v>N/A</v>
        <stp/>
        <stp>VOLUME</stp>
        <stp>.SPY251128C564</stp>
        <tr r="V23" s="2"/>
      </tp>
      <tp t="s">
        <v>N/A</v>
        <stp/>
        <stp>VOLUME</stp>
        <stp>.SPY251128P565</stp>
        <tr r="V22" s="2"/>
      </tp>
      <tp t="s">
        <v>N/A</v>
        <stp/>
        <stp>VOLUME</stp>
        <stp>.SPY251128C565</stp>
        <tr r="V22" s="2"/>
      </tp>
      <tp t="s">
        <v>N/A</v>
        <stp/>
        <stp>VOLUME</stp>
        <stp>.SPY251128P562</stp>
        <tr r="V25" s="2"/>
      </tp>
      <tp t="s">
        <v>N/A</v>
        <stp/>
        <stp>VOLUME</stp>
        <stp>.SPY251128C562</stp>
        <tr r="V25" s="2"/>
      </tp>
      <tp t="s">
        <v>N/A</v>
        <stp/>
        <stp>VOLUME</stp>
        <stp>.SPY251128P563</stp>
        <tr r="V24" s="2"/>
      </tp>
      <tp t="s">
        <v>N/A</v>
        <stp/>
        <stp>VOLUME</stp>
        <stp>.SPY251128C563</stp>
        <tr r="V24" s="2"/>
      </tp>
      <tp t="s">
        <v>N/A</v>
        <stp/>
        <stp>VOLUME</stp>
        <stp>.SPY251121P569</stp>
        <tr r="U18" s="2"/>
      </tp>
      <tp t="s">
        <v>N/A</v>
        <stp/>
        <stp>VOLUME</stp>
        <stp>.SPY251128P560</stp>
        <tr r="V27" s="2"/>
      </tp>
      <tp t="s">
        <v>N/A</v>
        <stp/>
        <stp>VOLUME</stp>
        <stp>.SPY251121C569</stp>
        <tr r="U18" s="2"/>
      </tp>
      <tp t="s">
        <v>N/A</v>
        <stp/>
        <stp>VOLUME</stp>
        <stp>.SPY251128C560</stp>
        <tr r="V27" s="2"/>
      </tp>
      <tp t="s">
        <v>N/A</v>
        <stp/>
        <stp>VOLUME</stp>
        <stp>.SPY251121P568</stp>
        <tr r="U19" s="2"/>
      </tp>
      <tp t="s">
        <v>N/A</v>
        <stp/>
        <stp>VOLUME</stp>
        <stp>.SPY251128P561</stp>
        <tr r="V26" s="2"/>
      </tp>
      <tp t="s">
        <v>N/A</v>
        <stp/>
        <stp>VOLUME</stp>
        <stp>.SPY251121C568</stp>
        <tr r="U19" s="2"/>
      </tp>
      <tp t="s">
        <v>N/A</v>
        <stp/>
        <stp>VOLUME</stp>
        <stp>.SPY251128C561</stp>
        <tr r="V26" s="2"/>
      </tp>
      <tp t="s">
        <v>N/A</v>
        <stp/>
        <stp>VOLUME</stp>
        <stp>.SPY251121P557</stp>
        <tr r="U30" s="2"/>
      </tp>
      <tp t="s">
        <v>N/A</v>
        <stp/>
        <stp>VOLUME</stp>
        <stp>.SPY251121C557</stp>
        <tr r="U30" s="2"/>
      </tp>
      <tp t="s">
        <v>N/A</v>
        <stp/>
        <stp>VOLUME</stp>
        <stp>.SPY251121P556</stp>
        <tr r="U31" s="2"/>
      </tp>
      <tp t="s">
        <v>N/A</v>
        <stp/>
        <stp>VOLUME</stp>
        <stp>.SPY251121C556</stp>
        <tr r="U31" s="2"/>
      </tp>
      <tp t="s">
        <v>N/A</v>
        <stp/>
        <stp>VOLUME</stp>
        <stp>.SPY251121P555</stp>
        <tr r="U32" s="2"/>
      </tp>
      <tp t="s">
        <v>N/A</v>
        <stp/>
        <stp>VOLUME</stp>
        <stp>.SPY251121C555</stp>
        <tr r="U32" s="2"/>
      </tp>
      <tp t="s">
        <v>N/A</v>
        <stp/>
        <stp>VOLUME</stp>
        <stp>.SPY251121P554</stp>
        <tr r="U33" s="2"/>
      </tp>
      <tp t="s">
        <v>N/A</v>
        <stp/>
        <stp>VOLUME</stp>
        <stp>.SPY251121C554</stp>
        <tr r="U33" s="2"/>
      </tp>
      <tp t="s">
        <v>N/A</v>
        <stp/>
        <stp>VOLUME</stp>
        <stp>.SPY251121P553</stp>
        <tr r="U34" s="2"/>
      </tp>
      <tp t="s">
        <v>N/A</v>
        <stp/>
        <stp>VOLUME</stp>
        <stp>.SPY251121C553</stp>
        <tr r="U34" s="2"/>
      </tp>
      <tp t="s">
        <v>N/A</v>
        <stp/>
        <stp>VOLUME</stp>
        <stp>.SPY251121P552</stp>
        <tr r="U35" s="2"/>
      </tp>
      <tp t="s">
        <v>N/A</v>
        <stp/>
        <stp>VOLUME</stp>
        <stp>.SPY251121C552</stp>
        <tr r="U35" s="2"/>
      </tp>
      <tp t="s">
        <v>N/A</v>
        <stp/>
        <stp>VOLUME</stp>
        <stp>.SPY251121P551</stp>
        <tr r="U36" s="2"/>
      </tp>
      <tp t="s">
        <v>N/A</v>
        <stp/>
        <stp>VOLUME</stp>
        <stp>.SPY251128P558</stp>
        <tr r="V29" s="2"/>
      </tp>
      <tp t="s">
        <v>N/A</v>
        <stp/>
        <stp>VOLUME</stp>
        <stp>.SPY251121C551</stp>
        <tr r="U36" s="2"/>
      </tp>
      <tp t="s">
        <v>N/A</v>
        <stp/>
        <stp>VOLUME</stp>
        <stp>.SPY251128C558</stp>
        <tr r="V29" s="2"/>
      </tp>
      <tp t="s">
        <v>N/A</v>
        <stp/>
        <stp>VOLUME</stp>
        <stp>.SPY251121P550</stp>
        <tr r="U37" s="2"/>
      </tp>
      <tp t="s">
        <v>N/A</v>
        <stp/>
        <stp>VOLUME</stp>
        <stp>.SPY251128P559</stp>
        <tr r="V28" s="2"/>
      </tp>
      <tp t="s">
        <v>N/A</v>
        <stp/>
        <stp>VOLUME</stp>
        <stp>.SPY251121C550</stp>
        <tr r="U37" s="2"/>
      </tp>
      <tp t="s">
        <v>N/A</v>
        <stp/>
        <stp>VOLUME</stp>
        <stp>.SPY251128C559</stp>
        <tr r="V28" s="2"/>
      </tp>
      <tp t="s">
        <v>N/A</v>
        <stp/>
        <stp>VOLUME</stp>
        <stp>.QQQ250815P469</stp>
        <tr r="O79" s="2"/>
      </tp>
      <tp t="s">
        <v>N/A</v>
        <stp/>
        <stp>VOLUME</stp>
        <stp>.SPY251128P556</stp>
        <tr r="V31" s="2"/>
      </tp>
      <tp t="s">
        <v>N/A</v>
        <stp/>
        <stp>VOLUME</stp>
        <stp>.QQQ250815C469</stp>
        <tr r="O79" s="2"/>
      </tp>
      <tp t="s">
        <v>N/A</v>
        <stp/>
        <stp>VOLUME</stp>
        <stp>.SPY251128C556</stp>
        <tr r="V31" s="2"/>
      </tp>
      <tp t="s">
        <v>N/A</v>
        <stp/>
        <stp>VOLUME</stp>
        <stp>.QQQ250815P468</stp>
        <tr r="O80" s="2"/>
      </tp>
      <tp t="s">
        <v>N/A</v>
        <stp/>
        <stp>VOLUME</stp>
        <stp>.SPY251128P557</stp>
        <tr r="V30" s="2"/>
      </tp>
      <tp t="s">
        <v>N/A</v>
        <stp/>
        <stp>VOLUME</stp>
        <stp>.QQQ250815C468</stp>
        <tr r="O80" s="2"/>
      </tp>
      <tp t="s">
        <v>N/A</v>
        <stp/>
        <stp>VOLUME</stp>
        <stp>.SPY251128C557</stp>
        <tr r="V30" s="2"/>
      </tp>
      <tp t="s">
        <v>N/A</v>
        <stp/>
        <stp>VOLUME</stp>
        <stp>.SPY251128P554</stp>
        <tr r="V33" s="2"/>
      </tp>
      <tp t="s">
        <v>N/A</v>
        <stp/>
        <stp>VOLUME</stp>
        <stp>.SPY251128C554</stp>
        <tr r="V33" s="2"/>
      </tp>
      <tp t="s">
        <v>N/A</v>
        <stp/>
        <stp>VOLUME</stp>
        <stp>.SPY251128P555</stp>
        <tr r="V32" s="2"/>
      </tp>
      <tp t="s">
        <v>N/A</v>
        <stp/>
        <stp>VOLUME</stp>
        <stp>.SPY251128C555</stp>
        <tr r="V32" s="2"/>
      </tp>
      <tp t="s">
        <v>N/A</v>
        <stp/>
        <stp>VOLUME</stp>
        <stp>.SPY251128P552</stp>
        <tr r="V35" s="2"/>
      </tp>
      <tp t="s">
        <v>N/A</v>
        <stp/>
        <stp>VOLUME</stp>
        <stp>.SPY251128C552</stp>
        <tr r="V35" s="2"/>
      </tp>
      <tp t="s">
        <v>N/A</v>
        <stp/>
        <stp>VOLUME</stp>
        <stp>.SPY251128P553</stp>
        <tr r="V34" s="2"/>
      </tp>
      <tp t="s">
        <v>N/A</v>
        <stp/>
        <stp>VOLUME</stp>
        <stp>.SPY251128C553</stp>
        <tr r="V34" s="2"/>
      </tp>
      <tp t="s">
        <v>N/A</v>
        <stp/>
        <stp>VOLUME</stp>
        <stp>.SPY251121P559</stp>
        <tr r="U28" s="2"/>
      </tp>
      <tp t="s">
        <v>N/A</v>
        <stp/>
        <stp>VOLUME</stp>
        <stp>.SPY251128P550</stp>
        <tr r="V37" s="2"/>
      </tp>
      <tp t="s">
        <v>N/A</v>
        <stp/>
        <stp>VOLUME</stp>
        <stp>.SPY251121C559</stp>
        <tr r="U28" s="2"/>
      </tp>
      <tp t="s">
        <v>N/A</v>
        <stp/>
        <stp>VOLUME</stp>
        <stp>.SPY251128C550</stp>
        <tr r="V37" s="2"/>
      </tp>
      <tp t="s">
        <v>N/A</v>
        <stp/>
        <stp>VOLUME</stp>
        <stp>.SPY251121P558</stp>
        <tr r="U29" s="2"/>
      </tp>
      <tp t="s">
        <v>N/A</v>
        <stp/>
        <stp>VOLUME</stp>
        <stp>.SPY251128P551</stp>
        <tr r="V36" s="2"/>
      </tp>
      <tp t="s">
        <v>N/A</v>
        <stp/>
        <stp>VOLUME</stp>
        <stp>.SPY251121C558</stp>
        <tr r="U29" s="2"/>
      </tp>
      <tp t="s">
        <v>N/A</v>
        <stp/>
        <stp>VOLUME</stp>
        <stp>.SPY251128C551</stp>
        <tr r="V36" s="2"/>
      </tp>
      <tp t="s">
        <v>N/A</v>
        <stp/>
        <stp>VOLUME</stp>
        <stp>.QQQ250815P471</stp>
        <tr r="O77" s="2"/>
      </tp>
      <tp t="s">
        <v>N/A</v>
        <stp/>
        <stp>VOLUME</stp>
        <stp>.QQQ250815C471</stp>
        <tr r="O77" s="2"/>
      </tp>
      <tp>
        <v>166</v>
        <stp/>
        <stp>VOLUME</stp>
        <stp>.QQQ250815P470</stp>
        <tr r="O78" s="2"/>
        <tr r="O78" s="2"/>
      </tp>
      <tp>
        <v>9</v>
        <stp/>
        <stp>VOLUME</stp>
        <stp>.QQQ250815C470</stp>
        <tr r="O78" s="2"/>
        <tr r="O78" s="2"/>
      </tp>
      <tp t="s">
        <v>N/A</v>
        <stp/>
        <stp>VOLUME</stp>
        <stp>.QQQ250815P473</stp>
        <tr r="O75" s="2"/>
      </tp>
      <tp t="s">
        <v>N/A</v>
        <stp/>
        <stp>VOLUME</stp>
        <stp>.QQQ250815C473</stp>
        <tr r="O75" s="2"/>
      </tp>
      <tp t="s">
        <v>N/A</v>
        <stp/>
        <stp>VOLUME</stp>
        <stp>.QQQ250815P472</stp>
        <tr r="O76" s="2"/>
      </tp>
      <tp t="s">
        <v>N/A</v>
        <stp/>
        <stp>VOLUME</stp>
        <stp>.QQQ250815C472</stp>
        <tr r="O76" s="2"/>
      </tp>
      <tp>
        <v>85</v>
        <stp/>
        <stp>VOLUME</stp>
        <stp>.QQQ250815P475</stp>
        <tr r="O73" s="2"/>
        <tr r="O73" s="2"/>
      </tp>
      <tp>
        <v>4</v>
        <stp/>
        <stp>VOLUME</stp>
        <stp>.QQQ250815C475</stp>
        <tr r="O73" s="2"/>
        <tr r="O73" s="2"/>
      </tp>
      <tp t="s">
        <v>N/A</v>
        <stp/>
        <stp>VOLUME</stp>
        <stp>.QQQ250815P474</stp>
        <tr r="O74" s="2"/>
      </tp>
      <tp t="s">
        <v>N/A</v>
        <stp/>
        <stp>VOLUME</stp>
        <stp>.QQQ250815C474</stp>
        <tr r="O74" s="2"/>
      </tp>
      <tp t="s">
        <v>N/A</v>
        <stp/>
        <stp>VOLUME</stp>
        <stp>.QQQ250815P477</stp>
        <tr r="O71" s="2"/>
      </tp>
      <tp t="s">
        <v>N/A</v>
        <stp/>
        <stp>VOLUME</stp>
        <stp>.SPY251128P548</stp>
        <tr r="V39" s="2"/>
      </tp>
      <tp t="s">
        <v>N/A</v>
        <stp/>
        <stp>VOLUME</stp>
        <stp>.QQQ250815C477</stp>
        <tr r="O71" s="2"/>
      </tp>
      <tp t="s">
        <v>N/A</v>
        <stp/>
        <stp>VOLUME</stp>
        <stp>.SPY251128C548</stp>
        <tr r="V39" s="2"/>
      </tp>
      <tp t="s">
        <v>N/A</v>
        <stp/>
        <stp>VOLUME</stp>
        <stp>.QQQ250815P476</stp>
        <tr r="O72" s="2"/>
      </tp>
      <tp t="s">
        <v>N/A</v>
        <stp/>
        <stp>VOLUME</stp>
        <stp>.SPY251128P549</stp>
        <tr r="V38" s="2"/>
      </tp>
      <tp t="s">
        <v>N/A</v>
        <stp/>
        <stp>VOLUME</stp>
        <stp>.QQQ250815C476</stp>
        <tr r="O72" s="2"/>
      </tp>
      <tp t="s">
        <v>N/A</v>
        <stp/>
        <stp>VOLUME</stp>
        <stp>.SPY251128C549</stp>
        <tr r="V38" s="2"/>
      </tp>
      <tp t="s">
        <v>N/A</v>
        <stp/>
        <stp>VOLUME</stp>
        <stp>.QQQ250815P479</stp>
        <tr r="O69" s="2"/>
      </tp>
      <tp t="s">
        <v>N/A</v>
        <stp/>
        <stp>VOLUME</stp>
        <stp>.QQQ250815C479</stp>
        <tr r="O69" s="2"/>
      </tp>
      <tp t="s">
        <v>N/A</v>
        <stp/>
        <stp>VOLUME</stp>
        <stp>.QQQ250815P478</stp>
        <tr r="O70" s="2"/>
      </tp>
      <tp t="s">
        <v>N/A</v>
        <stp/>
        <stp>VOLUME</stp>
        <stp>.QQQ250815C478</stp>
        <tr r="O70" s="2"/>
      </tp>
      <tp t="s">
        <v>N/A</v>
        <stp/>
        <stp>VOLUME</stp>
        <stp>.SPY251121P549</stp>
        <tr r="U38" s="2"/>
      </tp>
      <tp t="s">
        <v>N/A</v>
        <stp/>
        <stp>VOLUME</stp>
        <stp>.SPY251121C549</stp>
        <tr r="U38" s="2"/>
      </tp>
      <tp t="s">
        <v>N/A</v>
        <stp/>
        <stp>VOLUME</stp>
        <stp>.SPY251121P548</stp>
        <tr r="U39" s="2"/>
      </tp>
      <tp t="s">
        <v>N/A</v>
        <stp/>
        <stp>VOLUME</stp>
        <stp>.SPY251121C548</stp>
        <tr r="U39" s="2"/>
      </tp>
      <tp>
        <v>0</v>
        <stp/>
        <stp>BID</stp>
        <stp>.SPXW250507C5870</stp>
        <tr r="DE85" s="1"/>
        <tr r="DE85" s="1"/>
      </tp>
      <tp>
        <v>238.3</v>
        <stp/>
        <stp>BID</stp>
        <stp>.SPXW250507P5870</stp>
        <tr r="DF85" s="1"/>
        <tr r="DF85" s="1"/>
      </tp>
      <tp>
        <v>0</v>
        <stp/>
        <stp>BID</stp>
        <stp>.SPXW250507C5860</stp>
        <tr r="DE86" s="1"/>
        <tr r="DE86" s="1"/>
      </tp>
      <tp>
        <v>228.3</v>
        <stp/>
        <stp>BID</stp>
        <stp>.SPXW250507P5860</stp>
        <tr r="DF86" s="1"/>
        <tr r="DF86" s="1"/>
      </tp>
      <tp>
        <v>0</v>
        <stp/>
        <stp>BID</stp>
        <stp>.SPXW250507C5850</stp>
        <tr r="DE87" s="1"/>
        <tr r="DE87" s="1"/>
      </tp>
      <tp>
        <v>218.3</v>
        <stp/>
        <stp>BID</stp>
        <stp>.SPXW250507P5850</stp>
        <tr r="DF87" s="1"/>
        <tr r="DF87" s="1"/>
      </tp>
      <tp>
        <v>0</v>
        <stp/>
        <stp>BID</stp>
        <stp>.SPXW250507C5840</stp>
        <tr r="DE88" s="1"/>
        <tr r="DE88" s="1"/>
      </tp>
      <tp>
        <v>208.3</v>
        <stp/>
        <stp>BID</stp>
        <stp>.SPXW250507P5840</stp>
        <tr r="DF88" s="1"/>
        <tr r="DF88" s="1"/>
      </tp>
      <tp>
        <v>0</v>
        <stp/>
        <stp>BID</stp>
        <stp>.SPXW250507C5830</stp>
        <tr r="DE89" s="1"/>
        <tr r="DE89" s="1"/>
      </tp>
      <tp>
        <v>198.3</v>
        <stp/>
        <stp>BID</stp>
        <stp>.SPXW250507P5830</stp>
        <tr r="DF89" s="1"/>
        <tr r="DF89" s="1"/>
      </tp>
      <tp>
        <v>0</v>
        <stp/>
        <stp>BID</stp>
        <stp>.SPXW250507C5820</stp>
        <tr r="DE90" s="1"/>
        <tr r="DE90" s="1"/>
      </tp>
      <tp>
        <v>188.3</v>
        <stp/>
        <stp>BID</stp>
        <stp>.SPXW250507P5820</stp>
        <tr r="DF90" s="1"/>
        <tr r="DF90" s="1"/>
      </tp>
      <tp>
        <v>0</v>
        <stp/>
        <stp>BID</stp>
        <stp>.SPXW250507C5810</stp>
        <tr r="DE91" s="1"/>
        <tr r="DE91" s="1"/>
      </tp>
      <tp>
        <v>178.3</v>
        <stp/>
        <stp>BID</stp>
        <stp>.SPXW250507P5810</stp>
        <tr r="DF91" s="1"/>
        <tr r="DF91" s="1"/>
      </tp>
      <tp>
        <v>0</v>
        <stp/>
        <stp>BID</stp>
        <stp>.SPXW250507C5800</stp>
        <tr r="DE92" s="1"/>
        <tr r="DE92" s="1"/>
      </tp>
      <tp>
        <v>168.3</v>
        <stp/>
        <stp>BID</stp>
        <stp>.SPXW250507P5800</stp>
        <tr r="DF92" s="1"/>
        <tr r="DF92" s="1"/>
      </tp>
      <tp t="s">
        <v>N/A</v>
        <stp/>
        <stp>VOLUME</stp>
        <stp>.SPY251017P581</stp>
        <tr r="S6" s="2"/>
      </tp>
      <tp t="s">
        <v>N/A</v>
        <stp/>
        <stp>VOLUME</stp>
        <stp>.SPY251017C581</stp>
        <tr r="S6" s="2"/>
      </tp>
      <tp t="s">
        <v>N/A</v>
        <stp/>
        <stp>VOLUME</stp>
        <stp>.SPY251017P580</stp>
        <tr r="S7" s="2"/>
      </tp>
      <tp t="s">
        <v>N/A</v>
        <stp/>
        <stp>VOLUME</stp>
        <stp>.SPY251017C580</stp>
        <tr r="S7" s="2"/>
      </tp>
      <tp t="s">
        <v>N/A</v>
        <stp/>
        <stp>VOLUME</stp>
        <stp>.SPY251017P582</stp>
        <tr r="S5" s="2"/>
      </tp>
      <tp t="s">
        <v>N/A</v>
        <stp/>
        <stp>VOLUME</stp>
        <stp>.SPY251017C582</stp>
        <tr r="S5" s="2"/>
      </tp>
      <tp t="s">
        <v>N/A</v>
        <stp/>
        <stp>VOLUME</stp>
        <stp>.QQQ250919P489</stp>
        <tr r="Q59" s="2"/>
      </tp>
      <tp t="s">
        <v>N/A</v>
        <stp/>
        <stp>VOLUME</stp>
        <stp>.QQQ250919C489</stp>
        <tr r="Q59" s="2"/>
      </tp>
      <tp t="s">
        <v>N/A</v>
        <stp/>
        <stp>VOLUME</stp>
        <stp>.QQQ250919P488</stp>
        <tr r="Q60" s="2"/>
      </tp>
      <tp t="s">
        <v>N/A</v>
        <stp/>
        <stp>VOLUME</stp>
        <stp>.QQQ250919C488</stp>
        <tr r="Q60" s="2"/>
      </tp>
      <tp>
        <v>35</v>
        <stp/>
        <stp>VOLUME</stp>
        <stp>.QQQ250919P485</stp>
        <tr r="Q63" s="2"/>
        <tr r="Q63" s="2"/>
      </tp>
      <tp>
        <v>19</v>
        <stp/>
        <stp>VOLUME</stp>
        <stp>.QQQ250919C485</stp>
        <tr r="Q63" s="2"/>
        <tr r="Q63" s="2"/>
      </tp>
      <tp t="s">
        <v>N/A</v>
        <stp/>
        <stp>VOLUME</stp>
        <stp>.QQQ250919P484</stp>
        <tr r="Q64" s="2"/>
      </tp>
      <tp t="s">
        <v>N/A</v>
        <stp/>
        <stp>VOLUME</stp>
        <stp>.QQQ250919C484</stp>
        <tr r="Q64" s="2"/>
      </tp>
      <tp t="s">
        <v>N/A</v>
        <stp/>
        <stp>VOLUME</stp>
        <stp>.QQQ250919P487</stp>
        <tr r="Q61" s="2"/>
      </tp>
      <tp t="s">
        <v>N/A</v>
        <stp/>
        <stp>VOLUME</stp>
        <stp>.QQQ250919C487</stp>
        <tr r="Q61" s="2"/>
      </tp>
      <tp t="s">
        <v>N/A</v>
        <stp/>
        <stp>VOLUME</stp>
        <stp>.QQQ250919P486</stp>
        <tr r="Q62" s="2"/>
      </tp>
      <tp t="s">
        <v>N/A</v>
        <stp/>
        <stp>VOLUME</stp>
        <stp>.QQQ250919C486</stp>
        <tr r="Q62" s="2"/>
      </tp>
      <tp t="s">
        <v>N/A</v>
        <stp/>
        <stp>VOLUME</stp>
        <stp>.QQQ250919P481</stp>
        <tr r="Q67" s="2"/>
      </tp>
      <tp t="s">
        <v>N/A</v>
        <stp/>
        <stp>VOLUME</stp>
        <stp>.QQQ250919C481</stp>
        <tr r="Q67" s="2"/>
      </tp>
      <tp>
        <v>95</v>
        <stp/>
        <stp>VOLUME</stp>
        <stp>.QQQ250919P480</stp>
        <tr r="Q68" s="2"/>
        <tr r="Q68" s="2"/>
      </tp>
      <tp>
        <v>43</v>
        <stp/>
        <stp>VOLUME</stp>
        <stp>.QQQ250919C480</stp>
        <tr r="Q68" s="2"/>
        <tr r="Q68" s="2"/>
      </tp>
      <tp t="s">
        <v>N/A</v>
        <stp/>
        <stp>VOLUME</stp>
        <stp>.QQQ250919P483</stp>
        <tr r="Q65" s="2"/>
      </tp>
      <tp t="s">
        <v>N/A</v>
        <stp/>
        <stp>VOLUME</stp>
        <stp>.QQQ250919C483</stp>
        <tr r="Q65" s="2"/>
      </tp>
      <tp t="s">
        <v>N/A</v>
        <stp/>
        <stp>VOLUME</stp>
        <stp>.QQQ250919P482</stp>
        <tr r="Q66" s="2"/>
      </tp>
      <tp t="s">
        <v>N/A</v>
        <stp/>
        <stp>VOLUME</stp>
        <stp>.QQQ250919C482</stp>
        <tr r="Q66" s="2"/>
      </tp>
      <tp t="s">
        <v>N/A</v>
        <stp/>
        <stp>VOLUME</stp>
        <stp>.QQQ250919P499</stp>
        <tr r="Q49" s="2"/>
      </tp>
      <tp t="s">
        <v>N/A</v>
        <stp/>
        <stp>VOLUME</stp>
        <stp>.QQQ250919C499</stp>
        <tr r="Q49" s="2"/>
      </tp>
      <tp t="s">
        <v>N/A</v>
        <stp/>
        <stp>VOLUME</stp>
        <stp>.QQQ250919P498</stp>
        <tr r="Q50" s="2"/>
      </tp>
      <tp t="s">
        <v>N/A</v>
        <stp/>
        <stp>VOLUME</stp>
        <stp>.QQQ250919C498</stp>
        <tr r="Q50" s="2"/>
      </tp>
      <tp>
        <v>5</v>
        <stp/>
        <stp>VOLUME</stp>
        <stp>.QQQ250919P495</stp>
        <tr r="Q53" s="2"/>
        <tr r="Q53" s="2"/>
      </tp>
      <tp>
        <v>188</v>
        <stp/>
        <stp>VOLUME</stp>
        <stp>.QQQ250919C495</stp>
        <tr r="Q53" s="2"/>
        <tr r="Q53" s="2"/>
      </tp>
      <tp t="s">
        <v>N/A</v>
        <stp/>
        <stp>VOLUME</stp>
        <stp>.QQQ250919P494</stp>
        <tr r="Q54" s="2"/>
      </tp>
      <tp t="s">
        <v>N/A</v>
        <stp/>
        <stp>VOLUME</stp>
        <stp>.QQQ250919C494</stp>
        <tr r="Q54" s="2"/>
      </tp>
      <tp t="s">
        <v>N/A</v>
        <stp/>
        <stp>VOLUME</stp>
        <stp>.QQQ250919P497</stp>
        <tr r="Q51" s="2"/>
      </tp>
      <tp t="s">
        <v>N/A</v>
        <stp/>
        <stp>VOLUME</stp>
        <stp>.QQQ250919C497</stp>
        <tr r="Q51" s="2"/>
      </tp>
      <tp t="s">
        <v>N/A</v>
        <stp/>
        <stp>VOLUME</stp>
        <stp>.QQQ250919P496</stp>
        <tr r="Q52" s="2"/>
      </tp>
      <tp t="s">
        <v>N/A</v>
        <stp/>
        <stp>VOLUME</stp>
        <stp>.QQQ250919C496</stp>
        <tr r="Q52" s="2"/>
      </tp>
      <tp t="s">
        <v>N/A</v>
        <stp/>
        <stp>VOLUME</stp>
        <stp>.QQQ250919P491</stp>
        <tr r="Q57" s="2"/>
      </tp>
      <tp t="s">
        <v>N/A</v>
        <stp/>
        <stp>VOLUME</stp>
        <stp>.QQQ250919C491</stp>
        <tr r="Q57" s="2"/>
      </tp>
      <tp>
        <v>22</v>
        <stp/>
        <stp>VOLUME</stp>
        <stp>.QQQ250919P490</stp>
        <tr r="Q58" s="2"/>
        <tr r="Q58" s="2"/>
      </tp>
      <tp>
        <v>241</v>
        <stp/>
        <stp>VOLUME</stp>
        <stp>.QQQ250919C490</stp>
        <tr r="Q58" s="2"/>
        <tr r="Q58" s="2"/>
      </tp>
      <tp t="s">
        <v>N/A</v>
        <stp/>
        <stp>VOLUME</stp>
        <stp>.QQQ250919P493</stp>
        <tr r="Q55" s="2"/>
      </tp>
      <tp t="s">
        <v>N/A</v>
        <stp/>
        <stp>VOLUME</stp>
        <stp>.QQQ250919C493</stp>
        <tr r="Q55" s="2"/>
      </tp>
      <tp t="s">
        <v>N/A</v>
        <stp/>
        <stp>VOLUME</stp>
        <stp>.QQQ250919P492</stp>
        <tr r="Q56" s="2"/>
      </tp>
      <tp t="s">
        <v>N/A</v>
        <stp/>
        <stp>VOLUME</stp>
        <stp>.QQQ250919C492</stp>
        <tr r="Q56" s="2"/>
      </tp>
      <tp t="s">
        <v>N/A</v>
        <stp/>
        <stp>VOLUME</stp>
        <stp>.QQQ250930P484</stp>
        <tr r="R64" s="2"/>
      </tp>
      <tp t="s">
        <v>N/A</v>
        <stp/>
        <stp>VOLUME</stp>
        <stp>.QQQ250930C484</stp>
        <tr r="R64" s="2"/>
      </tp>
      <tp>
        <v>49</v>
        <stp/>
        <stp>VOLUME</stp>
        <stp>.QQQ250930P485</stp>
        <tr r="R63" s="2"/>
        <tr r="R63" s="2"/>
      </tp>
      <tp>
        <v>4</v>
        <stp/>
        <stp>VOLUME</stp>
        <stp>.QQQ250930C485</stp>
        <tr r="R63" s="2"/>
        <tr r="R63" s="2"/>
      </tp>
      <tp>
        <v>5</v>
        <stp/>
        <stp>VOLUME</stp>
        <stp>.QQQ250930P486</stp>
        <tr r="R62" s="2"/>
        <tr r="R62" s="2"/>
      </tp>
      <tp t="s">
        <v>N/A</v>
        <stp/>
        <stp>VOLUME</stp>
        <stp>.QQQ250930C486</stp>
        <tr r="R62" s="2"/>
      </tp>
      <tp>
        <v>5</v>
        <stp/>
        <stp>VOLUME</stp>
        <stp>.QQQ250930P487</stp>
        <tr r="R61" s="2"/>
        <tr r="R61" s="2"/>
      </tp>
      <tp>
        <v>2</v>
        <stp/>
        <stp>VOLUME</stp>
        <stp>.QQQ250930C487</stp>
        <tr r="R61" s="2"/>
        <tr r="R61" s="2"/>
      </tp>
      <tp>
        <v>97</v>
        <stp/>
        <stp>VOLUME</stp>
        <stp>.QQQ250930P480</stp>
        <tr r="R68" s="2"/>
        <tr r="R68" s="2"/>
      </tp>
      <tp>
        <v>60</v>
        <stp/>
        <stp>VOLUME</stp>
        <stp>.QQQ250930C480</stp>
        <tr r="R68" s="2"/>
        <tr r="R68" s="2"/>
      </tp>
      <tp>
        <v>28</v>
        <stp/>
        <stp>VOLUME</stp>
        <stp>.QQQ250930P481</stp>
        <tr r="R67" s="2"/>
        <tr r="R67" s="2"/>
      </tp>
      <tp t="s">
        <v>N/A</v>
        <stp/>
        <stp>VOLUME</stp>
        <stp>.SPY251031P582</stp>
        <tr r="T5" s="2"/>
      </tp>
      <tp>
        <v>7</v>
        <stp/>
        <stp>VOLUME</stp>
        <stp>.QQQ250930C481</stp>
        <tr r="R67" s="2"/>
        <tr r="R67" s="2"/>
      </tp>
      <tp t="s">
        <v>N/A</v>
        <stp/>
        <stp>VOLUME</stp>
        <stp>.SPY251031C582</stp>
        <tr r="T5" s="2"/>
      </tp>
      <tp>
        <v>37</v>
        <stp/>
        <stp>VOLUME</stp>
        <stp>.QQQ250930P482</stp>
        <tr r="R66" s="2"/>
        <tr r="R66" s="2"/>
      </tp>
      <tp t="s">
        <v>N/A</v>
        <stp/>
        <stp>VOLUME</stp>
        <stp>.SPY251031P581</stp>
        <tr r="T6" s="2"/>
      </tp>
      <tp>
        <v>13</v>
        <stp/>
        <stp>VOLUME</stp>
        <stp>.QQQ250930C482</stp>
        <tr r="R66" s="2"/>
        <tr r="R66" s="2"/>
      </tp>
      <tp t="s">
        <v>N/A</v>
        <stp/>
        <stp>VOLUME</stp>
        <stp>.SPY251031C581</stp>
        <tr r="T6" s="2"/>
      </tp>
      <tp>
        <v>2</v>
        <stp/>
        <stp>VOLUME</stp>
        <stp>.QQQ250930P483</stp>
        <tr r="R65" s="2"/>
        <tr r="R65" s="2"/>
      </tp>
      <tp>
        <v>8</v>
        <stp/>
        <stp>VOLUME</stp>
        <stp>.SPY251031P580</stp>
        <tr r="T7" s="2"/>
        <tr r="T7" s="2"/>
      </tp>
      <tp>
        <v>10</v>
        <stp/>
        <stp>VOLUME</stp>
        <stp>.QQQ250930C483</stp>
        <tr r="R65" s="2"/>
        <tr r="R65" s="2"/>
      </tp>
      <tp>
        <v>30</v>
        <stp/>
        <stp>VOLUME</stp>
        <stp>.SPY251031C580</stp>
        <tr r="T7" s="2"/>
        <tr r="T7" s="2"/>
      </tp>
      <tp>
        <v>12</v>
        <stp/>
        <stp>VOLUME</stp>
        <stp>.QQQ250930P488</stp>
        <tr r="R60" s="2"/>
        <tr r="R60" s="2"/>
      </tp>
      <tp>
        <v>1</v>
        <stp/>
        <stp>VOLUME</stp>
        <stp>.QQQ250930C488</stp>
        <tr r="R60" s="2"/>
        <tr r="R60" s="2"/>
      </tp>
      <tp t="s">
        <v>N/A</v>
        <stp/>
        <stp>VOLUME</stp>
        <stp>.QQQ250930P489</stp>
        <tr r="R59" s="2"/>
      </tp>
      <tp t="s">
        <v>N/A</v>
        <stp/>
        <stp>VOLUME</stp>
        <stp>.QQQ250930C489</stp>
        <tr r="R59" s="2"/>
      </tp>
      <tp t="s">
        <v>N/A</v>
        <stp/>
        <stp>VOLUME</stp>
        <stp>.QQQ250930P494</stp>
        <tr r="R54" s="2"/>
      </tp>
      <tp t="s">
        <v>N/A</v>
        <stp/>
        <stp>VOLUME</stp>
        <stp>.QQQ250930C494</stp>
        <tr r="R54" s="2"/>
      </tp>
      <tp>
        <v>5</v>
        <stp/>
        <stp>VOLUME</stp>
        <stp>.QQQ250930P495</stp>
        <tr r="R53" s="2"/>
        <tr r="R53" s="2"/>
      </tp>
      <tp t="s">
        <v>N/A</v>
        <stp/>
        <stp>VOLUME</stp>
        <stp>.QQQ250930C495</stp>
        <tr r="R53" s="2"/>
      </tp>
      <tp t="s">
        <v>N/A</v>
        <stp/>
        <stp>VOLUME</stp>
        <stp>.QQQ250930P496</stp>
        <tr r="R52" s="2"/>
      </tp>
      <tp>
        <v>2</v>
        <stp/>
        <stp>VOLUME</stp>
        <stp>.QQQ250930C496</stp>
        <tr r="R52" s="2"/>
        <tr r="R52" s="2"/>
      </tp>
      <tp t="s">
        <v>N/A</v>
        <stp/>
        <stp>VOLUME</stp>
        <stp>.QQQ250930P497</stp>
        <tr r="R51" s="2"/>
      </tp>
      <tp>
        <v>11</v>
        <stp/>
        <stp>VOLUME</stp>
        <stp>.QQQ250930C497</stp>
        <tr r="R51" s="2"/>
        <tr r="R51" s="2"/>
      </tp>
      <tp>
        <v>16</v>
        <stp/>
        <stp>VOLUME</stp>
        <stp>.QQQ250930P490</stp>
        <tr r="R58" s="2"/>
        <tr r="R58" s="2"/>
      </tp>
      <tp>
        <v>34</v>
        <stp/>
        <stp>VOLUME</stp>
        <stp>.QQQ250930C490</stp>
        <tr r="R58" s="2"/>
        <tr r="R58" s="2"/>
      </tp>
      <tp t="s">
        <v>N/A</v>
        <stp/>
        <stp>VOLUME</stp>
        <stp>.QQQ250930P491</stp>
        <tr r="R57" s="2"/>
      </tp>
      <tp>
        <v>4</v>
        <stp/>
        <stp>VOLUME</stp>
        <stp>.QQQ250930C491</stp>
        <tr r="R57" s="2"/>
        <tr r="R57" s="2"/>
      </tp>
      <tp t="s">
        <v>N/A</v>
        <stp/>
        <stp>VOLUME</stp>
        <stp>.QQQ250930P492</stp>
        <tr r="R56" s="2"/>
      </tp>
      <tp>
        <v>5</v>
        <stp/>
        <stp>VOLUME</stp>
        <stp>.QQQ250930C492</stp>
        <tr r="R56" s="2"/>
        <tr r="R56" s="2"/>
      </tp>
      <tp t="s">
        <v>N/A</v>
        <stp/>
        <stp>VOLUME</stp>
        <stp>.QQQ250930P493</stp>
        <tr r="R55" s="2"/>
      </tp>
      <tp t="s">
        <v>N/A</v>
        <stp/>
        <stp>VOLUME</stp>
        <stp>.QQQ250930C493</stp>
        <tr r="R55" s="2"/>
      </tp>
      <tp t="s">
        <v>N/A</v>
        <stp/>
        <stp>VOLUME</stp>
        <stp>.QQQ250930P498</stp>
        <tr r="R50" s="2"/>
      </tp>
      <tp t="s">
        <v>N/A</v>
        <stp/>
        <stp>VOLUME</stp>
        <stp>.QQQ250930C498</stp>
        <tr r="R50" s="2"/>
      </tp>
      <tp t="s">
        <v>N/A</v>
        <stp/>
        <stp>VOLUME</stp>
        <stp>.QQQ250930P499</stp>
        <tr r="R49" s="2"/>
      </tp>
      <tp t="s">
        <v>N/A</v>
        <stp/>
        <stp>VOLUME</stp>
        <stp>.QQQ250930C499</stp>
        <tr r="R49" s="2"/>
      </tp>
      <tp t="s">
        <v>N/A</v>
        <stp/>
        <stp>VOLUME</stp>
        <stp>.QQQ250815P501</stp>
        <tr r="O47" s="2"/>
      </tp>
      <tp t="s">
        <v>N/A</v>
        <stp/>
        <stp>VOLUME</stp>
        <stp>.QQQ250815C501</stp>
        <tr r="O47" s="2"/>
      </tp>
      <tp>
        <v>54</v>
        <stp/>
        <stp>VOLUME</stp>
        <stp>.QQQ250815P500</stp>
        <tr r="O48" s="2"/>
        <tr r="O48" s="2"/>
      </tp>
      <tp>
        <v>588</v>
        <stp/>
        <stp>VOLUME</stp>
        <stp>.QQQ250815C500</stp>
        <tr r="O48" s="2"/>
        <tr r="O48" s="2"/>
      </tp>
      <tp t="s">
        <v>N/A</v>
        <stp/>
        <stp>VOLUME</stp>
        <stp>.QQQ250815P502</stp>
        <tr r="O46" s="2"/>
      </tp>
      <tp t="s">
        <v>N/A</v>
        <stp/>
        <stp>VOLUME</stp>
        <stp>.QQQ250815C502</stp>
        <tr r="O46" s="2"/>
      </tp>
      <tp t="s">
        <v>N/A</v>
        <stp/>
        <stp>VOLUME</stp>
        <stp>.QQQ250829P501</stp>
        <tr r="P47" s="2"/>
      </tp>
      <tp t="s">
        <v>N/A</v>
        <stp/>
        <stp>VOLUME</stp>
        <stp>.QQQ250829C501</stp>
        <tr r="P47" s="2"/>
      </tp>
      <tp>
        <v>2</v>
        <stp/>
        <stp>VOLUME</stp>
        <stp>.QQQ250829P500</stp>
        <tr r="P48" s="2"/>
        <tr r="P48" s="2"/>
      </tp>
      <tp>
        <v>11</v>
        <stp/>
        <stp>VOLUME</stp>
        <stp>.QQQ250829C500</stp>
        <tr r="P48" s="2"/>
        <tr r="P48" s="2"/>
      </tp>
      <tp t="s">
        <v>N/A</v>
        <stp/>
        <stp>VOLUME</stp>
        <stp>.QQQ250829P502</stp>
        <tr r="P46" s="2"/>
      </tp>
      <tp t="s">
        <v>N/A</v>
        <stp/>
        <stp>VOLUME</stp>
        <stp>.QQQ250829C502</stp>
        <tr r="P46" s="2"/>
      </tp>
      <tp>
        <v>7</v>
        <stp/>
        <stp>VOLUME</stp>
        <stp>.SPY251031P567</stp>
        <tr r="T20" s="2"/>
        <tr r="T20" s="2"/>
      </tp>
      <tp t="s">
        <v>N/A</v>
        <stp/>
        <stp>VOLUME</stp>
        <stp>.SPY251031C567</stp>
        <tr r="T20" s="2"/>
      </tp>
      <tp>
        <v>5</v>
        <stp/>
        <stp>VOLUME</stp>
        <stp>.SPY251031P566</stp>
        <tr r="T21" s="2"/>
        <tr r="T21" s="2"/>
      </tp>
      <tp>
        <v>2</v>
        <stp/>
        <stp>VOLUME</stp>
        <stp>.SPY251031C566</stp>
        <tr r="T21" s="2"/>
        <tr r="T21" s="2"/>
      </tp>
      <tp>
        <v>6</v>
        <stp/>
        <stp>VOLUME</stp>
        <stp>.SPY251031P565</stp>
        <tr r="T22" s="2"/>
        <tr r="T22" s="2"/>
      </tp>
      <tp>
        <v>16</v>
        <stp/>
        <stp>VOLUME</stp>
        <stp>.SPY251031C565</stp>
        <tr r="T22" s="2"/>
        <tr r="T22" s="2"/>
      </tp>
      <tp>
        <v>4</v>
        <stp/>
        <stp>VOLUME</stp>
        <stp>.SPY251031P564</stp>
        <tr r="T23" s="2"/>
        <tr r="T23" s="2"/>
      </tp>
      <tp>
        <v>3</v>
        <stp/>
        <stp>VOLUME</stp>
        <stp>.SPY251031C564</stp>
        <tr r="T23" s="2"/>
        <tr r="T23" s="2"/>
      </tp>
      <tp>
        <v>9</v>
        <stp/>
        <stp>VOLUME</stp>
        <stp>.SPY251031P563</stp>
        <tr r="T24" s="2"/>
        <tr r="T24" s="2"/>
      </tp>
      <tp>
        <v>2</v>
        <stp/>
        <stp>VOLUME</stp>
        <stp>.SPY251031C563</stp>
        <tr r="T24" s="2"/>
        <tr r="T24" s="2"/>
      </tp>
      <tp>
        <v>5</v>
        <stp/>
        <stp>VOLUME</stp>
        <stp>.SPY251031P562</stp>
        <tr r="T25" s="2"/>
        <tr r="T25" s="2"/>
      </tp>
      <tp>
        <v>4</v>
        <stp/>
        <stp>VOLUME</stp>
        <stp>.SPY251031C562</stp>
        <tr r="T25" s="2"/>
        <tr r="T25" s="2"/>
      </tp>
      <tp>
        <v>11</v>
        <stp/>
        <stp>VOLUME</stp>
        <stp>.SPY251031P561</stp>
        <tr r="T26" s="2"/>
        <tr r="T26" s="2"/>
      </tp>
      <tp>
        <v>6</v>
        <stp/>
        <stp>VOLUME</stp>
        <stp>.SPY251031C561</stp>
        <tr r="T26" s="2"/>
        <tr r="T26" s="2"/>
      </tp>
      <tp>
        <v>84</v>
        <stp/>
        <stp>VOLUME</stp>
        <stp>.SPY251031P560</stp>
        <tr r="T27" s="2"/>
        <tr r="T27" s="2"/>
      </tp>
      <tp>
        <v>7</v>
        <stp/>
        <stp>VOLUME</stp>
        <stp>.SPY251031C560</stp>
        <tr r="T27" s="2"/>
        <tr r="T27" s="2"/>
      </tp>
      <tp t="s">
        <v>N/A</v>
        <stp/>
        <stp>VOLUME</stp>
        <stp>.SPY251017P549</stp>
        <tr r="S38" s="2"/>
      </tp>
      <tp t="s">
        <v>N/A</v>
        <stp/>
        <stp>VOLUME</stp>
        <stp>.SPY251017C549</stp>
        <tr r="S38" s="2"/>
      </tp>
      <tp t="s">
        <v>N/A</v>
        <stp/>
        <stp>VOLUME</stp>
        <stp>.SPY251017P548</stp>
        <tr r="S39" s="2"/>
      </tp>
      <tp t="s">
        <v>N/A</v>
        <stp/>
        <stp>VOLUME</stp>
        <stp>.SPY251017C548</stp>
        <tr r="S39" s="2"/>
      </tp>
      <tp t="s">
        <v>N/A</v>
        <stp/>
        <stp>VOLUME</stp>
        <stp>.QQQ250930P468</stp>
        <tr r="R80" s="2"/>
      </tp>
      <tp t="s">
        <v>N/A</v>
        <stp/>
        <stp>VOLUME</stp>
        <stp>.QQQ250930C468</stp>
        <tr r="R80" s="2"/>
      </tp>
      <tp t="s">
        <v>N/A</v>
        <stp/>
        <stp>VOLUME</stp>
        <stp>.QQQ250930P469</stp>
        <tr r="R79" s="2"/>
      </tp>
      <tp t="s">
        <v>N/A</v>
        <stp/>
        <stp>VOLUME</stp>
        <stp>.QQQ250930C469</stp>
        <tr r="R79" s="2"/>
      </tp>
      <tp>
        <v>6</v>
        <stp/>
        <stp>VOLUME</stp>
        <stp>.SPY251031P569</stp>
        <tr r="T18" s="2"/>
        <tr r="T18" s="2"/>
      </tp>
      <tp t="s">
        <v>N/A</v>
        <stp/>
        <stp>VOLUME</stp>
        <stp>.SPY251031C569</stp>
        <tr r="T18" s="2"/>
      </tp>
      <tp>
        <v>13</v>
        <stp/>
        <stp>VOLUME</stp>
        <stp>.SPY251031P568</stp>
        <tr r="T19" s="2"/>
        <tr r="T19" s="2"/>
      </tp>
      <tp>
        <v>2</v>
        <stp/>
        <stp>VOLUME</stp>
        <stp>.SPY251031C568</stp>
        <tr r="T19" s="2"/>
        <tr r="T19" s="2"/>
      </tp>
      <tp t="s">
        <v>N/A</v>
        <stp/>
        <stp>VOLUME</stp>
        <stp>.QQQ250930P474</stp>
        <tr r="R74" s="2"/>
      </tp>
      <tp t="s">
        <v>N/A</v>
        <stp/>
        <stp>VOLUME</stp>
        <stp>.SPY251017P551</stp>
        <tr r="S36" s="2"/>
      </tp>
      <tp t="s">
        <v>N/A</v>
        <stp/>
        <stp>VOLUME</stp>
        <stp>.SPY251031P577</stp>
        <tr r="T10" s="2"/>
      </tp>
      <tp t="s">
        <v>N/A</v>
        <stp/>
        <stp>VOLUME</stp>
        <stp>.QQQ250930C474</stp>
        <tr r="R74" s="2"/>
      </tp>
      <tp t="s">
        <v>N/A</v>
        <stp/>
        <stp>VOLUME</stp>
        <stp>.SPY251017C551</stp>
        <tr r="S36" s="2"/>
      </tp>
      <tp t="s">
        <v>N/A</v>
        <stp/>
        <stp>VOLUME</stp>
        <stp>.SPY251031C577</stp>
        <tr r="T10" s="2"/>
      </tp>
      <tp>
        <v>721</v>
        <stp/>
        <stp>VOLUME</stp>
        <stp>.QQQ250930P475</stp>
        <tr r="R73" s="2"/>
        <tr r="R73" s="2"/>
      </tp>
      <tp t="s">
        <v>N/A</v>
        <stp/>
        <stp>VOLUME</stp>
        <stp>.SPY251017P550</stp>
        <tr r="S37" s="2"/>
      </tp>
      <tp t="s">
        <v>N/A</v>
        <stp/>
        <stp>VOLUME</stp>
        <stp>.SPY251031P576</stp>
        <tr r="T11" s="2"/>
      </tp>
      <tp>
        <v>7</v>
        <stp/>
        <stp>VOLUME</stp>
        <stp>.QQQ250930C475</stp>
        <tr r="R73" s="2"/>
        <tr r="R73" s="2"/>
      </tp>
      <tp t="s">
        <v>N/A</v>
        <stp/>
        <stp>VOLUME</stp>
        <stp>.SPY251017C550</stp>
        <tr r="S37" s="2"/>
      </tp>
      <tp t="s">
        <v>N/A</v>
        <stp/>
        <stp>VOLUME</stp>
        <stp>.SPY251031C576</stp>
        <tr r="T11" s="2"/>
      </tp>
      <tp t="s">
        <v>N/A</v>
        <stp/>
        <stp>VOLUME</stp>
        <stp>.QQQ250930P476</stp>
        <tr r="R72" s="2"/>
      </tp>
      <tp t="s">
        <v>N/A</v>
        <stp/>
        <stp>VOLUME</stp>
        <stp>.SPY251017P553</stp>
        <tr r="S34" s="2"/>
      </tp>
      <tp>
        <v>7</v>
        <stp/>
        <stp>VOLUME</stp>
        <stp>.SPY251031P575</stp>
        <tr r="T12" s="2"/>
        <tr r="T12" s="2"/>
      </tp>
      <tp>
        <v>6</v>
        <stp/>
        <stp>VOLUME</stp>
        <stp>.QQQ250930C476</stp>
        <tr r="R72" s="2"/>
        <tr r="R72" s="2"/>
      </tp>
      <tp t="s">
        <v>N/A</v>
        <stp/>
        <stp>VOLUME</stp>
        <stp>.SPY251017C553</stp>
        <tr r="S34" s="2"/>
      </tp>
      <tp>
        <v>19</v>
        <stp/>
        <stp>VOLUME</stp>
        <stp>.SPY251031C575</stp>
        <tr r="T12" s="2"/>
        <tr r="T12" s="2"/>
      </tp>
      <tp>
        <v>12</v>
        <stp/>
        <stp>VOLUME</stp>
        <stp>.QQQ250930P477</stp>
        <tr r="R71" s="2"/>
        <tr r="R71" s="2"/>
      </tp>
      <tp t="s">
        <v>N/A</v>
        <stp/>
        <stp>VOLUME</stp>
        <stp>.SPY251017P552</stp>
        <tr r="S35" s="2"/>
      </tp>
      <tp t="s">
        <v>N/A</v>
        <stp/>
        <stp>VOLUME</stp>
        <stp>.SPY251031P574</stp>
        <tr r="T13" s="2"/>
      </tp>
      <tp>
        <v>13</v>
        <stp/>
        <stp>VOLUME</stp>
        <stp>.QQQ250930C477</stp>
        <tr r="R71" s="2"/>
        <tr r="R71" s="2"/>
      </tp>
      <tp t="s">
        <v>N/A</v>
        <stp/>
        <stp>VOLUME</stp>
        <stp>.SPY251017C552</stp>
        <tr r="S35" s="2"/>
      </tp>
      <tp t="s">
        <v>N/A</v>
        <stp/>
        <stp>VOLUME</stp>
        <stp>.SPY251031C574</stp>
        <tr r="T13" s="2"/>
      </tp>
      <tp>
        <v>10</v>
        <stp/>
        <stp>VOLUME</stp>
        <stp>.QQQ250930P470</stp>
        <tr r="R78" s="2"/>
        <tr r="R78" s="2"/>
      </tp>
      <tp t="s">
        <v>N/A</v>
        <stp/>
        <stp>VOLUME</stp>
        <stp>.SPY251017P555</stp>
        <tr r="S32" s="2"/>
      </tp>
      <tp t="s">
        <v>N/A</v>
        <stp/>
        <stp>VOLUME</stp>
        <stp>.SPY251031P573</stp>
        <tr r="T14" s="2"/>
      </tp>
      <tp>
        <v>12</v>
        <stp/>
        <stp>VOLUME</stp>
        <stp>.QQQ250930C470</stp>
        <tr r="R78" s="2"/>
        <tr r="R78" s="2"/>
      </tp>
      <tp t="s">
        <v>N/A</v>
        <stp/>
        <stp>VOLUME</stp>
        <stp>.SPY251017C555</stp>
        <tr r="S32" s="2"/>
      </tp>
      <tp t="s">
        <v>N/A</v>
        <stp/>
        <stp>VOLUME</stp>
        <stp>.SPY251031C573</stp>
        <tr r="T14" s="2"/>
      </tp>
      <tp>
        <v>13</v>
        <stp/>
        <stp>VOLUME</stp>
        <stp>.QQQ250930P471</stp>
        <tr r="R77" s="2"/>
        <tr r="R77" s="2"/>
      </tp>
      <tp t="s">
        <v>N/A</v>
        <stp/>
        <stp>VOLUME</stp>
        <stp>.SPY251017P554</stp>
        <tr r="S33" s="2"/>
      </tp>
      <tp>
        <v>3</v>
        <stp/>
        <stp>VOLUME</stp>
        <stp>.SPY251031P572</stp>
        <tr r="T15" s="2"/>
        <tr r="T15" s="2"/>
      </tp>
      <tp t="s">
        <v>N/A</v>
        <stp/>
        <stp>VOLUME</stp>
        <stp>.QQQ250930C471</stp>
        <tr r="R77" s="2"/>
      </tp>
      <tp t="s">
        <v>N/A</v>
        <stp/>
        <stp>VOLUME</stp>
        <stp>.SPY251017C554</stp>
        <tr r="S33" s="2"/>
      </tp>
      <tp>
        <v>24</v>
        <stp/>
        <stp>VOLUME</stp>
        <stp>.SPY251031C572</stp>
        <tr r="T15" s="2"/>
        <tr r="T15" s="2"/>
      </tp>
      <tp>
        <v>5</v>
        <stp/>
        <stp>VOLUME</stp>
        <stp>.QQQ250930P472</stp>
        <tr r="R76" s="2"/>
        <tr r="R76" s="2"/>
      </tp>
      <tp t="s">
        <v>N/A</v>
        <stp/>
        <stp>VOLUME</stp>
        <stp>.SPY251017P557</stp>
        <tr r="S30" s="2"/>
      </tp>
      <tp t="s">
        <v>N/A</v>
        <stp/>
        <stp>VOLUME</stp>
        <stp>.SPY251031P571</stp>
        <tr r="T16" s="2"/>
      </tp>
      <tp t="s">
        <v>N/A</v>
        <stp/>
        <stp>VOLUME</stp>
        <stp>.QQQ250930C472</stp>
        <tr r="R76" s="2"/>
      </tp>
      <tp t="s">
        <v>N/A</v>
        <stp/>
        <stp>VOLUME</stp>
        <stp>.SPY251017C557</stp>
        <tr r="S30" s="2"/>
      </tp>
      <tp>
        <v>36</v>
        <stp/>
        <stp>VOLUME</stp>
        <stp>.SPY251031C571</stp>
        <tr r="T16" s="2"/>
        <tr r="T16" s="2"/>
      </tp>
      <tp t="s">
        <v>N/A</v>
        <stp/>
        <stp>VOLUME</stp>
        <stp>.QQQ250930P473</stp>
        <tr r="R75" s="2"/>
      </tp>
      <tp t="s">
        <v>N/A</v>
        <stp/>
        <stp>VOLUME</stp>
        <stp>.SPY251017P556</stp>
        <tr r="S31" s="2"/>
      </tp>
      <tp>
        <v>14</v>
        <stp/>
        <stp>VOLUME</stp>
        <stp>.SPY251031P570</stp>
        <tr r="T17" s="2"/>
        <tr r="T17" s="2"/>
      </tp>
      <tp t="s">
        <v>N/A</v>
        <stp/>
        <stp>VOLUME</stp>
        <stp>.QQQ250930C473</stp>
        <tr r="R75" s="2"/>
      </tp>
      <tp t="s">
        <v>N/A</v>
        <stp/>
        <stp>VOLUME</stp>
        <stp>.SPY251017C556</stp>
        <tr r="S31" s="2"/>
      </tp>
      <tp>
        <v>40</v>
        <stp/>
        <stp>VOLUME</stp>
        <stp>.SPY251031C570</stp>
        <tr r="T17" s="2"/>
        <tr r="T17" s="2"/>
      </tp>
      <tp t="s">
        <v>N/A</v>
        <stp/>
        <stp>VOLUME</stp>
        <stp>.SPY251017P559</stp>
        <tr r="S28" s="2"/>
      </tp>
      <tp t="s">
        <v>N/A</v>
        <stp/>
        <stp>VOLUME</stp>
        <stp>.SPY251017C559</stp>
        <tr r="S28" s="2"/>
      </tp>
      <tp t="s">
        <v>N/A</v>
        <stp/>
        <stp>VOLUME</stp>
        <stp>.SPY251017P558</stp>
        <tr r="S29" s="2"/>
      </tp>
      <tp t="s">
        <v>N/A</v>
        <stp/>
        <stp>VOLUME</stp>
        <stp>.SPY251017C558</stp>
        <tr r="S29" s="2"/>
      </tp>
      <tp t="s">
        <v>N/A</v>
        <stp/>
        <stp>VOLUME</stp>
        <stp>.QQQ250930P478</stp>
        <tr r="R70" s="2"/>
      </tp>
      <tp>
        <v>7</v>
        <stp/>
        <stp>VOLUME</stp>
        <stp>.QQQ250930C478</stp>
        <tr r="R70" s="2"/>
        <tr r="R70" s="2"/>
      </tp>
      <tp>
        <v>1</v>
        <stp/>
        <stp>VOLUME</stp>
        <stp>.QQQ250930P479</stp>
        <tr r="R69" s="2"/>
        <tr r="R69" s="2"/>
      </tp>
      <tp>
        <v>14</v>
        <stp/>
        <stp>VOLUME</stp>
        <stp>.QQQ250930C479</stp>
        <tr r="R69" s="2"/>
        <tr r="R69" s="2"/>
      </tp>
      <tp t="s">
        <v>N/A</v>
        <stp/>
        <stp>VOLUME</stp>
        <stp>.SPY251031P579</stp>
        <tr r="T8" s="2"/>
      </tp>
      <tp t="s">
        <v>N/A</v>
        <stp/>
        <stp>VOLUME</stp>
        <stp>.SPY251031C579</stp>
        <tr r="T8" s="2"/>
      </tp>
      <tp t="s">
        <v>N/A</v>
        <stp/>
        <stp>VOLUME</stp>
        <stp>.SPY251031P578</stp>
        <tr r="T9" s="2"/>
      </tp>
      <tp t="s">
        <v>N/A</v>
        <stp/>
        <stp>VOLUME</stp>
        <stp>.SPY251031C578</stp>
        <tr r="T9" s="2"/>
      </tp>
      <tp t="s">
        <v>N/A</v>
        <stp/>
        <stp>VOLUME</stp>
        <stp>.SPY251017P561</stp>
        <tr r="S26" s="2"/>
      </tp>
      <tp t="s">
        <v>N/A</v>
        <stp/>
        <stp>VOLUME</stp>
        <stp>.SPY251017C561</stp>
        <tr r="S26" s="2"/>
      </tp>
      <tp t="s">
        <v>N/A</v>
        <stp/>
        <stp>VOLUME</stp>
        <stp>.SPY251017P560</stp>
        <tr r="S27" s="2"/>
      </tp>
      <tp t="s">
        <v>N/A</v>
        <stp/>
        <stp>VOLUME</stp>
        <stp>.SPY251017C560</stp>
        <tr r="S27" s="2"/>
      </tp>
      <tp t="s">
        <v>N/A</v>
        <stp/>
        <stp>VOLUME</stp>
        <stp>.SPY251017P563</stp>
        <tr r="S24" s="2"/>
      </tp>
      <tp t="s">
        <v>N/A</v>
        <stp/>
        <stp>VOLUME</stp>
        <stp>.SPY251017C563</stp>
        <tr r="S24" s="2"/>
      </tp>
      <tp t="s">
        <v>N/A</v>
        <stp/>
        <stp>VOLUME</stp>
        <stp>.SPY251017P562</stp>
        <tr r="S25" s="2"/>
      </tp>
      <tp t="s">
        <v>N/A</v>
        <stp/>
        <stp>VOLUME</stp>
        <stp>.SPY251017C562</stp>
        <tr r="S25" s="2"/>
      </tp>
      <tp t="s">
        <v>N/A</v>
        <stp/>
        <stp>VOLUME</stp>
        <stp>.QQQ250919P469</stp>
        <tr r="Q79" s="2"/>
      </tp>
      <tp t="s">
        <v>N/A</v>
        <stp/>
        <stp>VOLUME</stp>
        <stp>.SPY251017P565</stp>
        <tr r="S22" s="2"/>
      </tp>
      <tp t="s">
        <v>N/A</v>
        <stp/>
        <stp>VOLUME</stp>
        <stp>.QQQ250919C469</stp>
        <tr r="Q79" s="2"/>
      </tp>
      <tp t="s">
        <v>N/A</v>
        <stp/>
        <stp>VOLUME</stp>
        <stp>.SPY251017C565</stp>
        <tr r="S22" s="2"/>
      </tp>
      <tp t="s">
        <v>N/A</v>
        <stp/>
        <stp>VOLUME</stp>
        <stp>.QQQ250919P468</stp>
        <tr r="Q80" s="2"/>
      </tp>
      <tp t="s">
        <v>N/A</v>
        <stp/>
        <stp>VOLUME</stp>
        <stp>.SPY251017P564</stp>
        <tr r="S23" s="2"/>
      </tp>
      <tp t="s">
        <v>N/A</v>
        <stp/>
        <stp>VOLUME</stp>
        <stp>.QQQ250919C468</stp>
        <tr r="Q80" s="2"/>
      </tp>
      <tp t="s">
        <v>N/A</v>
        <stp/>
        <stp>VOLUME</stp>
        <stp>.SPY251017C564</stp>
        <tr r="S23" s="2"/>
      </tp>
      <tp t="s">
        <v>N/A</v>
        <stp/>
        <stp>VOLUME</stp>
        <stp>.SPY251017P567</stp>
        <tr r="S20" s="2"/>
      </tp>
      <tp t="s">
        <v>N/A</v>
        <stp/>
        <stp>VOLUME</stp>
        <stp>.SPY251017C567</stp>
        <tr r="S20" s="2"/>
      </tp>
      <tp t="s">
        <v>N/A</v>
        <stp/>
        <stp>VOLUME</stp>
        <stp>.SPY251017P566</stp>
        <tr r="S21" s="2"/>
      </tp>
      <tp t="s">
        <v>N/A</v>
        <stp/>
        <stp>VOLUME</stp>
        <stp>.SPY251017C566</stp>
        <tr r="S21" s="2"/>
      </tp>
      <tp t="s">
        <v>N/A</v>
        <stp/>
        <stp>VOLUME</stp>
        <stp>.SPY251017P569</stp>
        <tr r="S18" s="2"/>
      </tp>
      <tp t="s">
        <v>N/A</v>
        <stp/>
        <stp>VOLUME</stp>
        <stp>.SPY251017C569</stp>
        <tr r="S18" s="2"/>
      </tp>
      <tp t="s">
        <v>N/A</v>
        <stp/>
        <stp>VOLUME</stp>
        <stp>.SPY251017P568</stp>
        <tr r="S19" s="2"/>
      </tp>
      <tp t="s">
        <v>N/A</v>
        <stp/>
        <stp>VOLUME</stp>
        <stp>.SPY251017C568</stp>
        <tr r="S19" s="2"/>
      </tp>
      <tp>
        <v>24</v>
        <stp/>
        <stp>VOLUME</stp>
        <stp>.SPY251031P549</stp>
        <tr r="T38" s="2"/>
        <tr r="T38" s="2"/>
      </tp>
      <tp t="s">
        <v>N/A</v>
        <stp/>
        <stp>VOLUME</stp>
        <stp>.SPY251031C549</stp>
        <tr r="T38" s="2"/>
      </tp>
      <tp>
        <v>14</v>
        <stp/>
        <stp>VOLUME</stp>
        <stp>.SPY251031P548</stp>
        <tr r="T39" s="2"/>
        <tr r="T39" s="2"/>
      </tp>
      <tp t="s">
        <v>N/A</v>
        <stp/>
        <stp>VOLUME</stp>
        <stp>.SPY251031C548</stp>
        <tr r="T39" s="2"/>
      </tp>
      <tp t="s">
        <v>N/A</v>
        <stp/>
        <stp>VOLUME</stp>
        <stp>.SPY251017P571</stp>
        <tr r="S16" s="2"/>
      </tp>
      <tp>
        <v>6</v>
        <stp/>
        <stp>VOLUME</stp>
        <stp>.SPY251031P557</stp>
        <tr r="T30" s="2"/>
        <tr r="T30" s="2"/>
      </tp>
      <tp t="s">
        <v>N/A</v>
        <stp/>
        <stp>VOLUME</stp>
        <stp>.SPY251017C571</stp>
        <tr r="S16" s="2"/>
      </tp>
      <tp t="s">
        <v>N/A</v>
        <stp/>
        <stp>VOLUME</stp>
        <stp>.SPY251031C557</stp>
        <tr r="T30" s="2"/>
      </tp>
      <tp t="s">
        <v>N/A</v>
        <stp/>
        <stp>VOLUME</stp>
        <stp>.SPY251017P570</stp>
        <tr r="S17" s="2"/>
      </tp>
      <tp>
        <v>18</v>
        <stp/>
        <stp>VOLUME</stp>
        <stp>.SPY251031P556</stp>
        <tr r="T31" s="2"/>
        <tr r="T31" s="2"/>
      </tp>
      <tp t="s">
        <v>N/A</v>
        <stp/>
        <stp>VOLUME</stp>
        <stp>.SPY251017C570</stp>
        <tr r="S17" s="2"/>
      </tp>
      <tp t="s">
        <v>N/A</v>
        <stp/>
        <stp>VOLUME</stp>
        <stp>.SPY251031C556</stp>
        <tr r="T31" s="2"/>
      </tp>
      <tp t="s">
        <v>N/A</v>
        <stp/>
        <stp>VOLUME</stp>
        <stp>.SPY251017P573</stp>
        <tr r="S14" s="2"/>
      </tp>
      <tp>
        <v>31</v>
        <stp/>
        <stp>VOLUME</stp>
        <stp>.SPY251031P555</stp>
        <tr r="T32" s="2"/>
        <tr r="T32" s="2"/>
      </tp>
      <tp t="s">
        <v>N/A</v>
        <stp/>
        <stp>VOLUME</stp>
        <stp>.SPY251017C573</stp>
        <tr r="S14" s="2"/>
      </tp>
      <tp>
        <v>5</v>
        <stp/>
        <stp>VOLUME</stp>
        <stp>.SPY251031C555</stp>
        <tr r="T32" s="2"/>
        <tr r="T32" s="2"/>
      </tp>
      <tp t="s">
        <v>N/A</v>
        <stp/>
        <stp>VOLUME</stp>
        <stp>.SPY251017P572</stp>
        <tr r="S15" s="2"/>
      </tp>
      <tp>
        <v>7</v>
        <stp/>
        <stp>VOLUME</stp>
        <stp>.SPY251031P554</stp>
        <tr r="T33" s="2"/>
        <tr r="T33" s="2"/>
      </tp>
      <tp t="s">
        <v>N/A</v>
        <stp/>
        <stp>VOLUME</stp>
        <stp>.SPY251017C572</stp>
        <tr r="S15" s="2"/>
      </tp>
      <tp t="s">
        <v>N/A</v>
        <stp/>
        <stp>VOLUME</stp>
        <stp>.SPY251031C554</stp>
        <tr r="T33" s="2"/>
      </tp>
      <tp t="s">
        <v>N/A</v>
        <stp/>
        <stp>VOLUME</stp>
        <stp>.QQQ250919P479</stp>
        <tr r="Q69" s="2"/>
      </tp>
      <tp t="s">
        <v>N/A</v>
        <stp/>
        <stp>VOLUME</stp>
        <stp>.SPY251017P575</stp>
        <tr r="S12" s="2"/>
      </tp>
      <tp>
        <v>4</v>
        <stp/>
        <stp>VOLUME</stp>
        <stp>.SPY251031P553</stp>
        <tr r="T34" s="2"/>
        <tr r="T34" s="2"/>
      </tp>
      <tp t="s">
        <v>N/A</v>
        <stp/>
        <stp>VOLUME</stp>
        <stp>.QQQ250919C479</stp>
        <tr r="Q69" s="2"/>
      </tp>
      <tp t="s">
        <v>N/A</v>
        <stp/>
        <stp>VOLUME</stp>
        <stp>.SPY251017C575</stp>
        <tr r="S12" s="2"/>
      </tp>
      <tp t="s">
        <v>N/A</v>
        <stp/>
        <stp>VOLUME</stp>
        <stp>.SPY251031C553</stp>
        <tr r="T34" s="2"/>
      </tp>
      <tp t="s">
        <v>N/A</v>
        <stp/>
        <stp>VOLUME</stp>
        <stp>.QQQ250919P478</stp>
        <tr r="Q70" s="2"/>
      </tp>
      <tp t="s">
        <v>N/A</v>
        <stp/>
        <stp>VOLUME</stp>
        <stp>.SPY251017P574</stp>
        <tr r="S13" s="2"/>
      </tp>
      <tp>
        <v>1</v>
        <stp/>
        <stp>VOLUME</stp>
        <stp>.SPY251031P552</stp>
        <tr r="T35" s="2"/>
        <tr r="T35" s="2"/>
      </tp>
      <tp t="s">
        <v>N/A</v>
        <stp/>
        <stp>VOLUME</stp>
        <stp>.QQQ250919C478</stp>
        <tr r="Q70" s="2"/>
      </tp>
      <tp t="s">
        <v>N/A</v>
        <stp/>
        <stp>VOLUME</stp>
        <stp>.SPY251017C574</stp>
        <tr r="S13" s="2"/>
      </tp>
      <tp t="s">
        <v>N/A</v>
        <stp/>
        <stp>VOLUME</stp>
        <stp>.SPY251031C552</stp>
        <tr r="T35" s="2"/>
      </tp>
      <tp t="s">
        <v>N/A</v>
        <stp/>
        <stp>VOLUME</stp>
        <stp>.SPY251017P577</stp>
        <tr r="S10" s="2"/>
      </tp>
      <tp>
        <v>5</v>
        <stp/>
        <stp>VOLUME</stp>
        <stp>.SPY251031P551</stp>
        <tr r="T36" s="2"/>
        <tr r="T36" s="2"/>
      </tp>
      <tp t="s">
        <v>N/A</v>
        <stp/>
        <stp>VOLUME</stp>
        <stp>.SPY251017C577</stp>
        <tr r="S10" s="2"/>
      </tp>
      <tp t="s">
        <v>N/A</v>
        <stp/>
        <stp>VOLUME</stp>
        <stp>.SPY251031C551</stp>
        <tr r="T36" s="2"/>
      </tp>
      <tp t="s">
        <v>N/A</v>
        <stp/>
        <stp>VOLUME</stp>
        <stp>.SPY251017P576</stp>
        <tr r="S11" s="2"/>
      </tp>
      <tp>
        <v>80</v>
        <stp/>
        <stp>VOLUME</stp>
        <stp>.SPY251031P550</stp>
        <tr r="T37" s="2"/>
        <tr r="T37" s="2"/>
      </tp>
      <tp t="s">
        <v>N/A</v>
        <stp/>
        <stp>VOLUME</stp>
        <stp>.SPY251017C576</stp>
        <tr r="S11" s="2"/>
      </tp>
      <tp>
        <v>5</v>
        <stp/>
        <stp>VOLUME</stp>
        <stp>.SPY251031C550</stp>
        <tr r="T37" s="2"/>
        <tr r="T37" s="2"/>
      </tp>
      <tp>
        <v>141</v>
        <stp/>
        <stp>VOLUME</stp>
        <stp>.QQQ250919P475</stp>
        <tr r="Q73" s="2"/>
        <tr r="Q73" s="2"/>
      </tp>
      <tp t="s">
        <v>N/A</v>
        <stp/>
        <stp>VOLUME</stp>
        <stp>.SPY251017P579</stp>
        <tr r="S8" s="2"/>
      </tp>
      <tp>
        <v>210</v>
        <stp/>
        <stp>VOLUME</stp>
        <stp>.QQQ250919C475</stp>
        <tr r="Q73" s="2"/>
        <tr r="Q73" s="2"/>
      </tp>
      <tp t="s">
        <v>N/A</v>
        <stp/>
        <stp>VOLUME</stp>
        <stp>.SPY251017C579</stp>
        <tr r="S8" s="2"/>
      </tp>
      <tp t="s">
        <v>N/A</v>
        <stp/>
        <stp>VOLUME</stp>
        <stp>.QQQ250919P474</stp>
        <tr r="Q74" s="2"/>
      </tp>
      <tp t="s">
        <v>N/A</v>
        <stp/>
        <stp>VOLUME</stp>
        <stp>.SPY251017P578</stp>
        <tr r="S9" s="2"/>
      </tp>
      <tp t="s">
        <v>N/A</v>
        <stp/>
        <stp>VOLUME</stp>
        <stp>.QQQ250919C474</stp>
        <tr r="Q74" s="2"/>
      </tp>
      <tp t="s">
        <v>N/A</v>
        <stp/>
        <stp>VOLUME</stp>
        <stp>.SPY251017C578</stp>
        <tr r="S9" s="2"/>
      </tp>
      <tp t="s">
        <v>N/A</v>
        <stp/>
        <stp>VOLUME</stp>
        <stp>.QQQ250919P477</stp>
        <tr r="Q71" s="2"/>
      </tp>
      <tp t="s">
        <v>N/A</v>
        <stp/>
        <stp>VOLUME</stp>
        <stp>.QQQ250919C477</stp>
        <tr r="Q71" s="2"/>
      </tp>
      <tp t="s">
        <v>N/A</v>
        <stp/>
        <stp>VOLUME</stp>
        <stp>.QQQ250919P476</stp>
        <tr r="Q72" s="2"/>
      </tp>
      <tp t="s">
        <v>N/A</v>
        <stp/>
        <stp>VOLUME</stp>
        <stp>.QQQ250919C476</stp>
        <tr r="Q72" s="2"/>
      </tp>
      <tp t="s">
        <v>N/A</v>
        <stp/>
        <stp>VOLUME</stp>
        <stp>.QQQ250919P471</stp>
        <tr r="Q77" s="2"/>
      </tp>
      <tp t="s">
        <v>N/A</v>
        <stp/>
        <stp>VOLUME</stp>
        <stp>.QQQ250919C471</stp>
        <tr r="Q77" s="2"/>
      </tp>
      <tp>
        <v>146</v>
        <stp/>
        <stp>VOLUME</stp>
        <stp>.QQQ250919P470</stp>
        <tr r="Q78" s="2"/>
        <tr r="Q78" s="2"/>
      </tp>
      <tp>
        <v>48</v>
        <stp/>
        <stp>VOLUME</stp>
        <stp>.QQQ250919C470</stp>
        <tr r="Q78" s="2"/>
        <tr r="Q78" s="2"/>
      </tp>
      <tp t="s">
        <v>N/A</v>
        <stp/>
        <stp>VOLUME</stp>
        <stp>.QQQ250919P473</stp>
        <tr r="Q75" s="2"/>
      </tp>
      <tp>
        <v>5</v>
        <stp/>
        <stp>VOLUME</stp>
        <stp>.SPY251031P559</stp>
        <tr r="T28" s="2"/>
        <tr r="T28" s="2"/>
      </tp>
      <tp t="s">
        <v>N/A</v>
        <stp/>
        <stp>VOLUME</stp>
        <stp>.QQQ250919C473</stp>
        <tr r="Q75" s="2"/>
      </tp>
      <tp>
        <v>7</v>
        <stp/>
        <stp>VOLUME</stp>
        <stp>.SPY251031C559</stp>
        <tr r="T28" s="2"/>
        <tr r="T28" s="2"/>
      </tp>
      <tp t="s">
        <v>N/A</v>
        <stp/>
        <stp>VOLUME</stp>
        <stp>.QQQ250919P472</stp>
        <tr r="Q76" s="2"/>
      </tp>
      <tp>
        <v>2</v>
        <stp/>
        <stp>VOLUME</stp>
        <stp>.SPY251031P558</stp>
        <tr r="T29" s="2"/>
        <tr r="T29" s="2"/>
      </tp>
      <tp t="s">
        <v>N/A</v>
        <stp/>
        <stp>VOLUME</stp>
        <stp>.QQQ250919C472</stp>
        <tr r="Q76" s="2"/>
      </tp>
      <tp>
        <v>2</v>
        <stp/>
        <stp>VOLUME</stp>
        <stp>.SPY251031C558</stp>
        <tr r="T29" s="2"/>
        <tr r="T29" s="2"/>
      </tp>
      <tp>
        <v>0</v>
        <stp/>
        <stp>BID</stp>
        <stp>.SPXW250507C5790</stp>
        <tr r="DE93" s="1"/>
        <tr r="DE93" s="1"/>
      </tp>
      <tp>
        <v>158.30000000000001</v>
        <stp/>
        <stp>BID</stp>
        <stp>.SPXW250507P5790</stp>
        <tr r="DF93" s="1"/>
        <tr r="DF93" s="1"/>
      </tp>
      <tp>
        <v>0</v>
        <stp/>
        <stp>BID</stp>
        <stp>.SPXW250507C5780</stp>
        <tr r="DE94" s="1"/>
        <tr r="DE94" s="1"/>
      </tp>
      <tp>
        <v>148.30000000000001</v>
        <stp/>
        <stp>BID</stp>
        <stp>.SPXW250507P5780</stp>
        <tr r="DF94" s="1"/>
        <tr r="DF94" s="1"/>
      </tp>
      <tp>
        <v>0</v>
        <stp/>
        <stp>BID</stp>
        <stp>.SPXW250507C5770</stp>
        <tr r="DE95" s="1"/>
        <tr r="DE95" s="1"/>
      </tp>
      <tp>
        <v>138.30000000000001</v>
        <stp/>
        <stp>BID</stp>
        <stp>.SPXW250507P5770</stp>
        <tr r="DF95" s="1"/>
        <tr r="DF95" s="1"/>
      </tp>
      <tp>
        <v>0</v>
        <stp/>
        <stp>BID</stp>
        <stp>.SPXW250507C5760</stp>
        <tr r="DE96" s="1"/>
        <tr r="DE96" s="1"/>
      </tp>
      <tp>
        <v>128.30000000000001</v>
        <stp/>
        <stp>BID</stp>
        <stp>.SPXW250507P5760</stp>
        <tr r="DF96" s="1"/>
        <tr r="DF96" s="1"/>
      </tp>
      <tp>
        <v>0</v>
        <stp/>
        <stp>BID</stp>
        <stp>.SPXW250507C5750</stp>
        <tr r="DE97" s="1"/>
        <tr r="DE97" s="1"/>
      </tp>
      <tp>
        <v>118.3</v>
        <stp/>
        <stp>BID</stp>
        <stp>.SPXW250507P5750</stp>
        <tr r="DF97" s="1"/>
        <tr r="DF97" s="1"/>
      </tp>
      <tp>
        <v>0</v>
        <stp/>
        <stp>BID</stp>
        <stp>.SPXW250507C5740</stp>
        <tr r="DE98" s="1"/>
        <tr r="DE98" s="1"/>
      </tp>
      <tp>
        <v>108.3</v>
        <stp/>
        <stp>BID</stp>
        <stp>.SPXW250507P5740</stp>
        <tr r="DF98" s="1"/>
        <tr r="DF98" s="1"/>
      </tp>
      <tp>
        <v>0</v>
        <stp/>
        <stp>BID</stp>
        <stp>.SPXW250507C5730</stp>
        <tr r="DE99" s="1"/>
        <tr r="DE99" s="1"/>
      </tp>
      <tp>
        <v>98.3</v>
        <stp/>
        <stp>BID</stp>
        <stp>.SPXW250507P5730</stp>
        <tr r="DF99" s="1"/>
        <tr r="DF99" s="1"/>
      </tp>
      <tp>
        <v>0</v>
        <stp/>
        <stp>BID</stp>
        <stp>.SPXW250507C5720</stp>
        <tr r="DE100" s="1"/>
        <tr r="DE100" s="1"/>
      </tp>
      <tp>
        <v>88.3</v>
        <stp/>
        <stp>BID</stp>
        <stp>.SPXW250507P5720</stp>
        <tr r="DF100" s="1"/>
        <tr r="DF100" s="1"/>
      </tp>
      <tp>
        <v>0</v>
        <stp/>
        <stp>BID</stp>
        <stp>.SPXW250507C5710</stp>
        <tr r="DE101" s="1"/>
        <tr r="DE101" s="1"/>
      </tp>
      <tp>
        <v>78.3</v>
        <stp/>
        <stp>BID</stp>
        <stp>.SPXW250507P5710</stp>
        <tr r="DF101" s="1"/>
        <tr r="DF101" s="1"/>
      </tp>
      <tp>
        <v>0</v>
        <stp/>
        <stp>BID</stp>
        <stp>.SPXW250507C5700</stp>
        <tr r="DE102" s="1"/>
        <tr r="DE102" s="1"/>
      </tp>
      <tp>
        <v>68.3</v>
        <stp/>
        <stp>BID</stp>
        <stp>.SPXW250507P5700</stp>
        <tr r="DF102" s="1"/>
        <tr r="DF102" s="1"/>
      </tp>
      <tp>
        <v>50</v>
        <stp/>
        <stp>VOLUME</stp>
        <stp>.QQQ250606P492</stp>
        <tr r="J56" s="2"/>
        <tr r="J56" s="2"/>
      </tp>
      <tp>
        <v>16</v>
        <stp/>
        <stp>VOLUME</stp>
        <stp>.QQQ250606C492</stp>
        <tr r="J56" s="2"/>
        <tr r="J56" s="2"/>
      </tp>
      <tp>
        <v>2</v>
        <stp/>
        <stp>VOLUME</stp>
        <stp>.QQQ250606P493</stp>
        <tr r="J55" s="2"/>
        <tr r="J55" s="2"/>
      </tp>
      <tp>
        <v>26</v>
        <stp/>
        <stp>VOLUME</stp>
        <stp>.QQQ250606C493</stp>
        <tr r="J55" s="2"/>
        <tr r="J55" s="2"/>
      </tp>
      <tp>
        <v>75</v>
        <stp/>
        <stp>VOLUME</stp>
        <stp>.QQQ250606P490</stp>
        <tr r="J58" s="2"/>
        <tr r="J58" s="2"/>
      </tp>
      <tp>
        <v>509</v>
        <stp/>
        <stp>VOLUME</stp>
        <stp>.QQQ250606C490</stp>
        <tr r="J58" s="2"/>
        <tr r="J58" s="2"/>
      </tp>
      <tp t="s">
        <v>N/A</v>
        <stp/>
        <stp>VOLUME</stp>
        <stp>.QQQ250606P491</stp>
        <tr r="J57" s="2"/>
      </tp>
      <tp>
        <v>12</v>
        <stp/>
        <stp>VOLUME</stp>
        <stp>.QQQ250606C491</stp>
        <tr r="J57" s="2"/>
        <tr r="J57" s="2"/>
      </tp>
      <tp>
        <v>102</v>
        <stp/>
        <stp>VOLUME</stp>
        <stp>.QQQ250606P496</stp>
        <tr r="J52" s="2"/>
        <tr r="J52" s="2"/>
      </tp>
      <tp>
        <v>54</v>
        <stp/>
        <stp>VOLUME</stp>
        <stp>.QQQ250606C496</stp>
        <tr r="J52" s="2"/>
        <tr r="J52" s="2"/>
      </tp>
      <tp>
        <v>6</v>
        <stp/>
        <stp>VOLUME</stp>
        <stp>.QQQ250606P497</stp>
        <tr r="J51" s="2"/>
        <tr r="J51" s="2"/>
      </tp>
      <tp>
        <v>54</v>
        <stp/>
        <stp>VOLUME</stp>
        <stp>.QQQ250606C497</stp>
        <tr r="J51" s="2"/>
        <tr r="J51" s="2"/>
      </tp>
      <tp>
        <v>2</v>
        <stp/>
        <stp>VOLUME</stp>
        <stp>.QQQ250606P494</stp>
        <tr r="J54" s="2"/>
        <tr r="J54" s="2"/>
      </tp>
      <tp>
        <v>22</v>
        <stp/>
        <stp>VOLUME</stp>
        <stp>.QQQ250606C494</stp>
        <tr r="J54" s="2"/>
        <tr r="J54" s="2"/>
      </tp>
      <tp>
        <v>10</v>
        <stp/>
        <stp>VOLUME</stp>
        <stp>.QQQ250606P495</stp>
        <tr r="J53" s="2"/>
        <tr r="J53" s="2"/>
      </tp>
      <tp>
        <v>74</v>
        <stp/>
        <stp>VOLUME</stp>
        <stp>.QQQ250606C495</stp>
        <tr r="J53" s="2"/>
        <tr r="J53" s="2"/>
      </tp>
      <tp>
        <v>201</v>
        <stp/>
        <stp>VOLUME</stp>
        <stp>.QQQ250606P498</stp>
        <tr r="J50" s="2"/>
        <tr r="J50" s="2"/>
      </tp>
      <tp>
        <v>1700</v>
        <stp/>
        <stp>VOLUME</stp>
        <stp>.QQQ250606C498</stp>
        <tr r="J50" s="2"/>
        <tr r="J50" s="2"/>
      </tp>
      <tp>
        <v>200</v>
        <stp/>
        <stp>VOLUME</stp>
        <stp>.QQQ250606P499</stp>
        <tr r="J49" s="2"/>
        <tr r="J49" s="2"/>
      </tp>
      <tp>
        <v>33</v>
        <stp/>
        <stp>VOLUME</stp>
        <stp>.QQQ250606C499</stp>
        <tr r="J49" s="2"/>
        <tr r="J49" s="2"/>
      </tp>
      <tp>
        <v>383</v>
        <stp/>
        <stp>VOLUME</stp>
        <stp>.QQQ250606P482</stp>
        <tr r="J66" s="2"/>
        <tr r="J66" s="2"/>
      </tp>
      <tp>
        <v>192</v>
        <stp/>
        <stp>VOLUME</stp>
        <stp>.QQQ250606C482</stp>
        <tr r="J66" s="2"/>
        <tr r="J66" s="2"/>
      </tp>
      <tp>
        <v>188</v>
        <stp/>
        <stp>VOLUME</stp>
        <stp>.QQQ250606P483</stp>
        <tr r="J65" s="2"/>
        <tr r="J65" s="2"/>
      </tp>
      <tp>
        <v>45</v>
        <stp/>
        <stp>VOLUME</stp>
        <stp>.QQQ250606C483</stp>
        <tr r="J65" s="2"/>
        <tr r="J65" s="2"/>
      </tp>
      <tp>
        <v>339</v>
        <stp/>
        <stp>VOLUME</stp>
        <stp>.QQQ250606P480</stp>
        <tr r="J68" s="2"/>
        <tr r="J68" s="2"/>
      </tp>
      <tp>
        <v>174</v>
        <stp/>
        <stp>VOLUME</stp>
        <stp>.QQQ250606C480</stp>
        <tr r="J68" s="2"/>
        <tr r="J68" s="2"/>
      </tp>
      <tp>
        <v>90</v>
        <stp/>
        <stp>VOLUME</stp>
        <stp>.QQQ250606P481</stp>
        <tr r="J67" s="2"/>
        <tr r="J67" s="2"/>
      </tp>
      <tp>
        <v>72</v>
        <stp/>
        <stp>VOLUME</stp>
        <stp>.QQQ250606C481</stp>
        <tr r="J67" s="2"/>
        <tr r="J67" s="2"/>
      </tp>
      <tp>
        <v>17</v>
        <stp/>
        <stp>VOLUME</stp>
        <stp>.QQQ250606P486</stp>
        <tr r="J62" s="2"/>
        <tr r="J62" s="2"/>
      </tp>
      <tp>
        <v>34</v>
        <stp/>
        <stp>VOLUME</stp>
        <stp>.QQQ250606C486</stp>
        <tr r="J62" s="2"/>
        <tr r="J62" s="2"/>
      </tp>
      <tp>
        <v>1</v>
        <stp/>
        <stp>VOLUME</stp>
        <stp>.QQQ250606P487</stp>
        <tr r="J61" s="2"/>
        <tr r="J61" s="2"/>
      </tp>
      <tp>
        <v>138</v>
        <stp/>
        <stp>VOLUME</stp>
        <stp>.QQQ250606C487</stp>
        <tr r="J61" s="2"/>
        <tr r="J61" s="2"/>
      </tp>
      <tp>
        <v>139</v>
        <stp/>
        <stp>VOLUME</stp>
        <stp>.QQQ250606P484</stp>
        <tr r="J64" s="2"/>
        <tr r="J64" s="2"/>
      </tp>
      <tp>
        <v>127</v>
        <stp/>
        <stp>VOLUME</stp>
        <stp>.QQQ250606C484</stp>
        <tr r="J64" s="2"/>
        <tr r="J64" s="2"/>
      </tp>
      <tp>
        <v>200</v>
        <stp/>
        <stp>VOLUME</stp>
        <stp>.QQQ250606P485</stp>
        <tr r="J63" s="2"/>
        <tr r="J63" s="2"/>
      </tp>
      <tp>
        <v>109</v>
        <stp/>
        <stp>VOLUME</stp>
        <stp>.QQQ250606C485</stp>
        <tr r="J63" s="2"/>
        <tr r="J63" s="2"/>
      </tp>
      <tp>
        <v>11</v>
        <stp/>
        <stp>VOLUME</stp>
        <stp>.QQQ250606P488</stp>
        <tr r="J60" s="2"/>
        <tr r="J60" s="2"/>
      </tp>
      <tp>
        <v>5</v>
        <stp/>
        <stp>VOLUME</stp>
        <stp>.QQQ250606C488</stp>
        <tr r="J60" s="2"/>
        <tr r="J60" s="2"/>
      </tp>
      <tp t="s">
        <v>N/A</v>
        <stp/>
        <stp>VOLUME</stp>
        <stp>.QQQ250606P489</stp>
        <tr r="J59" s="2"/>
      </tp>
      <tp>
        <v>3</v>
        <stp/>
        <stp>VOLUME</stp>
        <stp>.QQQ250606C489</stp>
        <tr r="J59" s="2"/>
        <tr r="J59" s="2"/>
      </tp>
      <tp t="s">
        <v>N/A</v>
        <stp/>
        <stp>VOLUME</stp>
        <stp>.QQQ250620P494</stp>
        <tr r="K54" s="2"/>
      </tp>
      <tp>
        <v>62</v>
        <stp/>
        <stp>VOLUME</stp>
        <stp>.QQQ250630P484</stp>
        <tr r="L64" s="2"/>
        <tr r="L64" s="2"/>
      </tp>
      <tp t="s">
        <v>N/A</v>
        <stp/>
        <stp>VOLUME</stp>
        <stp>.QQQ250620C494</stp>
        <tr r="K54" s="2"/>
      </tp>
      <tp>
        <v>30</v>
        <stp/>
        <stp>VOLUME</stp>
        <stp>.QQQ250630C484</stp>
        <tr r="L64" s="2"/>
        <tr r="L64" s="2"/>
      </tp>
      <tp>
        <v>6</v>
        <stp/>
        <stp>VOLUME</stp>
        <stp>.QQQ250620P495</stp>
        <tr r="K53" s="2"/>
        <tr r="K53" s="2"/>
      </tp>
      <tp>
        <v>42</v>
        <stp/>
        <stp>VOLUME</stp>
        <stp>.QQQ250630P485</stp>
        <tr r="L63" s="2"/>
        <tr r="L63" s="2"/>
      </tp>
      <tp>
        <v>551</v>
        <stp/>
        <stp>VOLUME</stp>
        <stp>.QQQ250620C495</stp>
        <tr r="K53" s="2"/>
        <tr r="K53" s="2"/>
      </tp>
      <tp>
        <v>59</v>
        <stp/>
        <stp>VOLUME</stp>
        <stp>.QQQ250630C485</stp>
        <tr r="L63" s="2"/>
        <tr r="L63" s="2"/>
      </tp>
      <tp t="s">
        <v>N/A</v>
        <stp/>
        <stp>VOLUME</stp>
        <stp>.QQQ250620P496</stp>
        <tr r="K52" s="2"/>
      </tp>
      <tp>
        <v>54</v>
        <stp/>
        <stp>VOLUME</stp>
        <stp>.QQQ250630P486</stp>
        <tr r="L62" s="2"/>
        <tr r="L62" s="2"/>
      </tp>
      <tp t="s">
        <v>N/A</v>
        <stp/>
        <stp>VOLUME</stp>
        <stp>.QQQ250620C496</stp>
        <tr r="K52" s="2"/>
      </tp>
      <tp>
        <v>1</v>
        <stp/>
        <stp>VOLUME</stp>
        <stp>.QQQ250630C486</stp>
        <tr r="L62" s="2"/>
        <tr r="L62" s="2"/>
      </tp>
      <tp t="s">
        <v>N/A</v>
        <stp/>
        <stp>VOLUME</stp>
        <stp>.QQQ250620P497</stp>
        <tr r="K51" s="2"/>
      </tp>
      <tp>
        <v>17</v>
        <stp/>
        <stp>VOLUME</stp>
        <stp>.QQQ250630P487</stp>
        <tr r="L61" s="2"/>
        <tr r="L61" s="2"/>
      </tp>
      <tp t="s">
        <v>N/A</v>
        <stp/>
        <stp>VOLUME</stp>
        <stp>.QQQ250620C497</stp>
        <tr r="K51" s="2"/>
      </tp>
      <tp>
        <v>7</v>
        <stp/>
        <stp>VOLUME</stp>
        <stp>.QQQ250630C487</stp>
        <tr r="L61" s="2"/>
        <tr r="L61" s="2"/>
      </tp>
      <tp>
        <v>284</v>
        <stp/>
        <stp>VOLUME</stp>
        <stp>.QQQ250620P490</stp>
        <tr r="K58" s="2"/>
        <tr r="K58" s="2"/>
      </tp>
      <tp>
        <v>672</v>
        <stp/>
        <stp>VOLUME</stp>
        <stp>.QQQ250630P480</stp>
        <tr r="L68" s="2"/>
        <tr r="L68" s="2"/>
      </tp>
      <tp>
        <v>932</v>
        <stp/>
        <stp>VOLUME</stp>
        <stp>.QQQ250620C490</stp>
        <tr r="K58" s="2"/>
        <tr r="K58" s="2"/>
      </tp>
      <tp>
        <v>74</v>
        <stp/>
        <stp>VOLUME</stp>
        <stp>.QQQ250630C480</stp>
        <tr r="L68" s="2"/>
        <tr r="L68" s="2"/>
      </tp>
      <tp t="s">
        <v>N/A</v>
        <stp/>
        <stp>VOLUME</stp>
        <stp>.QQQ250620P491</stp>
        <tr r="K57" s="2"/>
      </tp>
      <tp>
        <v>15</v>
        <stp/>
        <stp>VOLUME</stp>
        <stp>.QQQ250630P481</stp>
        <tr r="L67" s="2"/>
        <tr r="L67" s="2"/>
      </tp>
      <tp t="s">
        <v>N/A</v>
        <stp/>
        <stp>VOLUME</stp>
        <stp>.QQQ250620C491</stp>
        <tr r="K57" s="2"/>
      </tp>
      <tp>
        <v>25</v>
        <stp/>
        <stp>VOLUME</stp>
        <stp>.QQQ250630C481</stp>
        <tr r="L67" s="2"/>
        <tr r="L67" s="2"/>
      </tp>
      <tp t="s">
        <v>N/A</v>
        <stp/>
        <stp>VOLUME</stp>
        <stp>.QQQ250620P492</stp>
        <tr r="K56" s="2"/>
      </tp>
      <tp>
        <v>49</v>
        <stp/>
        <stp>VOLUME</stp>
        <stp>.QQQ250630P482</stp>
        <tr r="L66" s="2"/>
        <tr r="L66" s="2"/>
      </tp>
      <tp t="s">
        <v>N/A</v>
        <stp/>
        <stp>VOLUME</stp>
        <stp>.QQQ250620C492</stp>
        <tr r="K56" s="2"/>
      </tp>
      <tp>
        <v>152</v>
        <stp/>
        <stp>VOLUME</stp>
        <stp>.QQQ250630C482</stp>
        <tr r="L66" s="2"/>
        <tr r="L66" s="2"/>
      </tp>
      <tp t="s">
        <v>N/A</v>
        <stp/>
        <stp>VOLUME</stp>
        <stp>.QQQ250620P493</stp>
        <tr r="K55" s="2"/>
      </tp>
      <tp>
        <v>96</v>
        <stp/>
        <stp>VOLUME</stp>
        <stp>.QQQ250630P483</stp>
        <tr r="L65" s="2"/>
        <tr r="L65" s="2"/>
      </tp>
      <tp t="s">
        <v>N/A</v>
        <stp/>
        <stp>VOLUME</stp>
        <stp>.QQQ250620C493</stp>
        <tr r="K55" s="2"/>
      </tp>
      <tp>
        <v>10</v>
        <stp/>
        <stp>VOLUME</stp>
        <stp>.QQQ250630C483</stp>
        <tr r="L65" s="2"/>
        <tr r="L65" s="2"/>
      </tp>
      <tp t="s">
        <v>N/A</v>
        <stp/>
        <stp>VOLUME</stp>
        <stp>.QQQ250620P498</stp>
        <tr r="K50" s="2"/>
      </tp>
      <tp>
        <v>6</v>
        <stp/>
        <stp>VOLUME</stp>
        <stp>.QQQ250630P488</stp>
        <tr r="L60" s="2"/>
        <tr r="L60" s="2"/>
      </tp>
      <tp t="s">
        <v>N/A</v>
        <stp/>
        <stp>VOLUME</stp>
        <stp>.QQQ250620C498</stp>
        <tr r="K50" s="2"/>
      </tp>
      <tp>
        <v>5</v>
        <stp/>
        <stp>VOLUME</stp>
        <stp>.QQQ250630C488</stp>
        <tr r="L60" s="2"/>
        <tr r="L60" s="2"/>
      </tp>
      <tp t="s">
        <v>N/A</v>
        <stp/>
        <stp>VOLUME</stp>
        <stp>.QQQ250620P499</stp>
        <tr r="K49" s="2"/>
      </tp>
      <tp>
        <v>4</v>
        <stp/>
        <stp>VOLUME</stp>
        <stp>.QQQ250630P489</stp>
        <tr r="L59" s="2"/>
        <tr r="L59" s="2"/>
      </tp>
      <tp t="s">
        <v>N/A</v>
        <stp/>
        <stp>VOLUME</stp>
        <stp>.QQQ250620C499</stp>
        <tr r="K49" s="2"/>
      </tp>
      <tp>
        <v>7</v>
        <stp/>
        <stp>VOLUME</stp>
        <stp>.QQQ250630C489</stp>
        <tr r="L59" s="2"/>
        <tr r="L59" s="2"/>
      </tp>
      <tp t="s">
        <v>N/A</v>
        <stp/>
        <stp>VOLUME</stp>
        <stp>.QQQ250620P484</stp>
        <tr r="K64" s="2"/>
      </tp>
      <tp>
        <v>4</v>
        <stp/>
        <stp>VOLUME</stp>
        <stp>.QQQ250630P494</stp>
        <tr r="L54" s="2"/>
        <tr r="L54" s="2"/>
      </tp>
      <tp t="s">
        <v>N/A</v>
        <stp/>
        <stp>VOLUME</stp>
        <stp>.QQQ250620C484</stp>
        <tr r="K64" s="2"/>
      </tp>
      <tp>
        <v>1</v>
        <stp/>
        <stp>VOLUME</stp>
        <stp>.QQQ250630C494</stp>
        <tr r="L54" s="2"/>
        <tr r="L54" s="2"/>
      </tp>
      <tp>
        <v>726</v>
        <stp/>
        <stp>VOLUME</stp>
        <stp>.QQQ250620P485</stp>
        <tr r="K63" s="2"/>
        <tr r="K63" s="2"/>
      </tp>
      <tp>
        <v>4</v>
        <stp/>
        <stp>VOLUME</stp>
        <stp>.QQQ250630P495</stp>
        <tr r="L53" s="2"/>
        <tr r="L53" s="2"/>
      </tp>
      <tp>
        <v>1623</v>
        <stp/>
        <stp>VOLUME</stp>
        <stp>.QQQ250620C485</stp>
        <tr r="K63" s="2"/>
        <tr r="K63" s="2"/>
      </tp>
      <tp>
        <v>25</v>
        <stp/>
        <stp>VOLUME</stp>
        <stp>.QQQ250630C495</stp>
        <tr r="L53" s="2"/>
        <tr r="L53" s="2"/>
      </tp>
      <tp t="s">
        <v>N/A</v>
        <stp/>
        <stp>VOLUME</stp>
        <stp>.QQQ250620P486</stp>
        <tr r="K62" s="2"/>
      </tp>
      <tp>
        <v>8</v>
        <stp/>
        <stp>VOLUME</stp>
        <stp>.QQQ250630P496</stp>
        <tr r="L52" s="2"/>
        <tr r="L52" s="2"/>
      </tp>
      <tp t="s">
        <v>N/A</v>
        <stp/>
        <stp>VOLUME</stp>
        <stp>.QQQ250620C486</stp>
        <tr r="K62" s="2"/>
      </tp>
      <tp>
        <v>52</v>
        <stp/>
        <stp>VOLUME</stp>
        <stp>.QQQ250630C496</stp>
        <tr r="L52" s="2"/>
        <tr r="L52" s="2"/>
      </tp>
      <tp t="s">
        <v>N/A</v>
        <stp/>
        <stp>VOLUME</stp>
        <stp>.QQQ250620P487</stp>
        <tr r="K61" s="2"/>
      </tp>
      <tp t="s">
        <v>N/A</v>
        <stp/>
        <stp>VOLUME</stp>
        <stp>.QQQ250630P497</stp>
        <tr r="L51" s="2"/>
      </tp>
      <tp t="s">
        <v>N/A</v>
        <stp/>
        <stp>VOLUME</stp>
        <stp>.QQQ250620C487</stp>
        <tr r="K61" s="2"/>
      </tp>
      <tp>
        <v>59</v>
        <stp/>
        <stp>VOLUME</stp>
        <stp>.QQQ250630C497</stp>
        <tr r="L51" s="2"/>
        <tr r="L51" s="2"/>
      </tp>
      <tp>
        <v>19784</v>
        <stp/>
        <stp>VOLUME</stp>
        <stp>.QQQ250620P480</stp>
        <tr r="K68" s="2"/>
        <tr r="K68" s="2"/>
      </tp>
      <tp>
        <v>133</v>
        <stp/>
        <stp>VOLUME</stp>
        <stp>.QQQ250630P490</stp>
        <tr r="L58" s="2"/>
        <tr r="L58" s="2"/>
      </tp>
      <tp>
        <v>20569</v>
        <stp/>
        <stp>VOLUME</stp>
        <stp>.QQQ250620C480</stp>
        <tr r="K68" s="2"/>
        <tr r="K68" s="2"/>
      </tp>
      <tp>
        <v>51</v>
        <stp/>
        <stp>VOLUME</stp>
        <stp>.QQQ250630C490</stp>
        <tr r="L58" s="2"/>
        <tr r="L58" s="2"/>
      </tp>
      <tp t="s">
        <v>N/A</v>
        <stp/>
        <stp>VOLUME</stp>
        <stp>.QQQ250620P481</stp>
        <tr r="K67" s="2"/>
      </tp>
      <tp>
        <v>1</v>
        <stp/>
        <stp>VOLUME</stp>
        <stp>.QQQ250630P491</stp>
        <tr r="L57" s="2"/>
        <tr r="L57" s="2"/>
      </tp>
      <tp t="s">
        <v>N/A</v>
        <stp/>
        <stp>VOLUME</stp>
        <stp>.QQQ250620C481</stp>
        <tr r="K67" s="2"/>
      </tp>
      <tp>
        <v>24</v>
        <stp/>
        <stp>VOLUME</stp>
        <stp>.QQQ250630C491</stp>
        <tr r="L57" s="2"/>
        <tr r="L57" s="2"/>
      </tp>
      <tp t="s">
        <v>N/A</v>
        <stp/>
        <stp>VOLUME</stp>
        <stp>.QQQ250620P482</stp>
        <tr r="K66" s="2"/>
      </tp>
      <tp t="s">
        <v>N/A</v>
        <stp/>
        <stp>VOLUME</stp>
        <stp>.QQQ250630P492</stp>
        <tr r="L56" s="2"/>
      </tp>
      <tp t="s">
        <v>N/A</v>
        <stp/>
        <stp>VOLUME</stp>
        <stp>.QQQ250620C482</stp>
        <tr r="K66" s="2"/>
      </tp>
      <tp>
        <v>48</v>
        <stp/>
        <stp>VOLUME</stp>
        <stp>.QQQ250630C492</stp>
        <tr r="L56" s="2"/>
        <tr r="L56" s="2"/>
      </tp>
      <tp t="s">
        <v>N/A</v>
        <stp/>
        <stp>VOLUME</stp>
        <stp>.QQQ250620P483</stp>
        <tr r="K65" s="2"/>
      </tp>
      <tp>
        <v>1</v>
        <stp/>
        <stp>VOLUME</stp>
        <stp>.QQQ250630P493</stp>
        <tr r="L55" s="2"/>
        <tr r="L55" s="2"/>
      </tp>
      <tp t="s">
        <v>N/A</v>
        <stp/>
        <stp>VOLUME</stp>
        <stp>.QQQ250620C483</stp>
        <tr r="K65" s="2"/>
      </tp>
      <tp>
        <v>1</v>
        <stp/>
        <stp>VOLUME</stp>
        <stp>.QQQ250630C493</stp>
        <tr r="L55" s="2"/>
        <tr r="L55" s="2"/>
      </tp>
      <tp t="s">
        <v>N/A</v>
        <stp/>
        <stp>VOLUME</stp>
        <stp>.QQQ250620P488</stp>
        <tr r="K60" s="2"/>
      </tp>
      <tp>
        <v>2</v>
        <stp/>
        <stp>VOLUME</stp>
        <stp>.QQQ250630P498</stp>
        <tr r="L50" s="2"/>
        <tr r="L50" s="2"/>
      </tp>
      <tp t="s">
        <v>N/A</v>
        <stp/>
        <stp>VOLUME</stp>
        <stp>.QQQ250620C488</stp>
        <tr r="K60" s="2"/>
      </tp>
      <tp>
        <v>5</v>
        <stp/>
        <stp>VOLUME</stp>
        <stp>.QQQ250630C498</stp>
        <tr r="L50" s="2"/>
        <tr r="L50" s="2"/>
      </tp>
      <tp t="s">
        <v>N/A</v>
        <stp/>
        <stp>VOLUME</stp>
        <stp>.QQQ250620P489</stp>
        <tr r="K59" s="2"/>
      </tp>
      <tp>
        <v>1</v>
        <stp/>
        <stp>VOLUME</stp>
        <stp>.QQQ250630P499</stp>
        <tr r="L49" s="2"/>
        <tr r="L49" s="2"/>
      </tp>
      <tp t="s">
        <v>N/A</v>
        <stp/>
        <stp>VOLUME</stp>
        <stp>.QQQ250620C489</stp>
        <tr r="K59" s="2"/>
      </tp>
      <tp>
        <v>4</v>
        <stp/>
        <stp>VOLUME</stp>
        <stp>.QQQ250630C499</stp>
        <tr r="L49" s="2"/>
        <tr r="L49" s="2"/>
      </tp>
      <tp>
        <v>78</v>
        <stp/>
        <stp>VOLUME</stp>
        <stp>.QQQ250718P500</stp>
        <tr r="M48" s="2"/>
        <tr r="M48" s="2"/>
      </tp>
      <tp>
        <v>370</v>
        <stp/>
        <stp>VOLUME</stp>
        <stp>.QQQ250718C500</stp>
        <tr r="M48" s="2"/>
        <tr r="M48" s="2"/>
      </tp>
      <tp t="s">
        <v>N/A</v>
        <stp/>
        <stp>VOLUME</stp>
        <stp>.QQQ250718P501</stp>
        <tr r="M47" s="2"/>
      </tp>
      <tp t="s">
        <v>N/A</v>
        <stp/>
        <stp>VOLUME</stp>
        <stp>.QQQ250718C501</stp>
        <tr r="M47" s="2"/>
      </tp>
      <tp t="s">
        <v>N/A</v>
        <stp/>
        <stp>VOLUME</stp>
        <stp>.QQQ250718P502</stp>
        <tr r="M46" s="2"/>
      </tp>
      <tp t="s">
        <v>N/A</v>
        <stp/>
        <stp>VOLUME</stp>
        <stp>.QQQ250718C502</stp>
        <tr r="M46" s="2"/>
      </tp>
      <tp t="s">
        <v>N/A</v>
        <stp/>
        <stp>VOLUME</stp>
        <stp>.QQQ250731P501</stp>
        <tr r="N47" s="2"/>
      </tp>
      <tp>
        <v>1</v>
        <stp/>
        <stp>VOLUME</stp>
        <stp>.QQQ250731C501</stp>
        <tr r="N47" s="2"/>
        <tr r="N47" s="2"/>
      </tp>
      <tp>
        <v>8</v>
        <stp/>
        <stp>VOLUME</stp>
        <stp>.QQQ250731P500</stp>
        <tr r="N48" s="2"/>
        <tr r="N48" s="2"/>
      </tp>
      <tp>
        <v>2138</v>
        <stp/>
        <stp>VOLUME</stp>
        <stp>.QQQ250731C500</stp>
        <tr r="N48" s="2"/>
        <tr r="N48" s="2"/>
      </tp>
      <tp t="s">
        <v>N/A</v>
        <stp/>
        <stp>VOLUME</stp>
        <stp>.QQQ250731P502</stp>
        <tr r="N46" s="2"/>
      </tp>
      <tp>
        <v>3</v>
        <stp/>
        <stp>VOLUME</stp>
        <stp>.QQQ250731C502</stp>
        <tr r="N46" s="2"/>
        <tr r="N46" s="2"/>
      </tp>
      <tp t="s">
        <v>N/A</v>
        <stp/>
        <stp>VOLUME</stp>
        <stp>.QQQ250620P474</stp>
        <tr r="K74" s="2"/>
      </tp>
      <tp t="s">
        <v>N/A</v>
        <stp/>
        <stp>VOLUME</stp>
        <stp>.QQQ250620C474</stp>
        <tr r="K74" s="2"/>
      </tp>
      <tp>
        <v>3447</v>
        <stp/>
        <stp>VOLUME</stp>
        <stp>.QQQ250620P475</stp>
        <tr r="K73" s="2"/>
        <tr r="K73" s="2"/>
      </tp>
      <tp>
        <v>2287</v>
        <stp/>
        <stp>VOLUME</stp>
        <stp>.QQQ250620C475</stp>
        <tr r="K73" s="2"/>
        <tr r="K73" s="2"/>
      </tp>
      <tp t="s">
        <v>N/A</v>
        <stp/>
        <stp>VOLUME</stp>
        <stp>.QQQ250620P476</stp>
        <tr r="K72" s="2"/>
      </tp>
      <tp t="s">
        <v>N/A</v>
        <stp/>
        <stp>VOLUME</stp>
        <stp>.QQQ250620C476</stp>
        <tr r="K72" s="2"/>
      </tp>
      <tp t="s">
        <v>N/A</v>
        <stp/>
        <stp>VOLUME</stp>
        <stp>.QQQ250620P477</stp>
        <tr r="K71" s="2"/>
      </tp>
      <tp t="s">
        <v>N/A</v>
        <stp/>
        <stp>VOLUME</stp>
        <stp>.QQQ250620C477</stp>
        <tr r="K71" s="2"/>
      </tp>
      <tp>
        <v>3945</v>
        <stp/>
        <stp>VOLUME</stp>
        <stp>.QQQ250620P470</stp>
        <tr r="K78" s="2"/>
        <tr r="K78" s="2"/>
      </tp>
      <tp>
        <v>707</v>
        <stp/>
        <stp>VOLUME</stp>
        <stp>.QQQ250620C470</stp>
        <tr r="K78" s="2"/>
        <tr r="K78" s="2"/>
      </tp>
      <tp t="s">
        <v>N/A</v>
        <stp/>
        <stp>VOLUME</stp>
        <stp>.QQQ250620P471</stp>
        <tr r="K77" s="2"/>
      </tp>
      <tp t="s">
        <v>N/A</v>
        <stp/>
        <stp>VOLUME</stp>
        <stp>.QQQ250620C471</stp>
        <tr r="K77" s="2"/>
      </tp>
      <tp t="s">
        <v>N/A</v>
        <stp/>
        <stp>VOLUME</stp>
        <stp>.QQQ250620P472</stp>
        <tr r="K76" s="2"/>
      </tp>
      <tp t="s">
        <v>N/A</v>
        <stp/>
        <stp>VOLUME</stp>
        <stp>.QQQ250620C472</stp>
        <tr r="K76" s="2"/>
      </tp>
      <tp t="s">
        <v>N/A</v>
        <stp/>
        <stp>VOLUME</stp>
        <stp>.QQQ250620P473</stp>
        <tr r="K75" s="2"/>
      </tp>
      <tp t="s">
        <v>N/A</v>
        <stp/>
        <stp>VOLUME</stp>
        <stp>.QQQ250620C473</stp>
        <tr r="K75" s="2"/>
      </tp>
      <tp t="s">
        <v>N/A</v>
        <stp/>
        <stp>VOLUME</stp>
        <stp>.QQQ250620P478</stp>
        <tr r="K70" s="2"/>
      </tp>
      <tp>
        <v>14</v>
        <stp/>
        <stp>VOLUME</stp>
        <stp>.QQQ250630P468</stp>
        <tr r="L80" s="2"/>
        <tr r="L80" s="2"/>
      </tp>
      <tp t="s">
        <v>N/A</v>
        <stp/>
        <stp>VOLUME</stp>
        <stp>.QQQ250620C478</stp>
        <tr r="K70" s="2"/>
      </tp>
      <tp>
        <v>3</v>
        <stp/>
        <stp>VOLUME</stp>
        <stp>.QQQ250630C468</stp>
        <tr r="L80" s="2"/>
        <tr r="L80" s="2"/>
      </tp>
      <tp t="s">
        <v>N/A</v>
        <stp/>
        <stp>VOLUME</stp>
        <stp>.QQQ250620P479</stp>
        <tr r="K69" s="2"/>
      </tp>
      <tp>
        <v>68</v>
        <stp/>
        <stp>VOLUME</stp>
        <stp>.QQQ250630P469</stp>
        <tr r="L79" s="2"/>
        <tr r="L79" s="2"/>
      </tp>
      <tp t="s">
        <v>N/A</v>
        <stp/>
        <stp>VOLUME</stp>
        <stp>.QQQ250620C479</stp>
        <tr r="K69" s="2"/>
      </tp>
      <tp>
        <v>1</v>
        <stp/>
        <stp>VOLUME</stp>
        <stp>.QQQ250630C469</stp>
        <tr r="L79" s="2"/>
        <tr r="L79" s="2"/>
      </tp>
      <tp>
        <v>21</v>
        <stp/>
        <stp>VOLUME</stp>
        <stp>.QQQ250630P474</stp>
        <tr r="L74" s="2"/>
        <tr r="L74" s="2"/>
      </tp>
      <tp t="s">
        <v>N/A</v>
        <stp/>
        <stp>VOLUME</stp>
        <stp>.QQQ250630C474</stp>
        <tr r="L74" s="2"/>
      </tp>
      <tp>
        <v>306</v>
        <stp/>
        <stp>VOLUME</stp>
        <stp>.QQQ250630P475</stp>
        <tr r="L73" s="2"/>
        <tr r="L73" s="2"/>
      </tp>
      <tp>
        <v>72</v>
        <stp/>
        <stp>VOLUME</stp>
        <stp>.QQQ250630C475</stp>
        <tr r="L73" s="2"/>
        <tr r="L73" s="2"/>
      </tp>
      <tp>
        <v>5</v>
        <stp/>
        <stp>VOLUME</stp>
        <stp>.QQQ250630P476</stp>
        <tr r="L72" s="2"/>
        <tr r="L72" s="2"/>
      </tp>
      <tp t="s">
        <v>N/A</v>
        <stp/>
        <stp>VOLUME</stp>
        <stp>.QQQ250630C476</stp>
        <tr r="L72" s="2"/>
      </tp>
      <tp>
        <v>12</v>
        <stp/>
        <stp>VOLUME</stp>
        <stp>.QQQ250630P477</stp>
        <tr r="L71" s="2"/>
        <tr r="L71" s="2"/>
      </tp>
      <tp>
        <v>10</v>
        <stp/>
        <stp>VOLUME</stp>
        <stp>.QQQ250630C477</stp>
        <tr r="L71" s="2"/>
        <tr r="L71" s="2"/>
      </tp>
      <tp>
        <v>301</v>
        <stp/>
        <stp>VOLUME</stp>
        <stp>.QQQ250630P470</stp>
        <tr r="L78" s="2"/>
        <tr r="L78" s="2"/>
      </tp>
      <tp>
        <v>32</v>
        <stp/>
        <stp>VOLUME</stp>
        <stp>.QQQ250630C470</stp>
        <tr r="L78" s="2"/>
        <tr r="L78" s="2"/>
      </tp>
      <tp>
        <v>13</v>
        <stp/>
        <stp>VOLUME</stp>
        <stp>.QQQ250630P471</stp>
        <tr r="L77" s="2"/>
        <tr r="L77" s="2"/>
      </tp>
      <tp>
        <v>1</v>
        <stp/>
        <stp>VOLUME</stp>
        <stp>.QQQ250630C471</stp>
        <tr r="L77" s="2"/>
        <tr r="L77" s="2"/>
      </tp>
      <tp>
        <v>51</v>
        <stp/>
        <stp>VOLUME</stp>
        <stp>.QQQ250630P472</stp>
        <tr r="L76" s="2"/>
        <tr r="L76" s="2"/>
      </tp>
      <tp t="s">
        <v>N/A</v>
        <stp/>
        <stp>VOLUME</stp>
        <stp>.QQQ250630C472</stp>
        <tr r="L76" s="2"/>
      </tp>
      <tp>
        <v>12</v>
        <stp/>
        <stp>VOLUME</stp>
        <stp>.QQQ250630P473</stp>
        <tr r="L75" s="2"/>
        <tr r="L75" s="2"/>
      </tp>
      <tp t="s">
        <v>N/A</v>
        <stp/>
        <stp>VOLUME</stp>
        <stp>.QQQ250630C473</stp>
        <tr r="L75" s="2"/>
      </tp>
      <tp t="s">
        <v>N/A</v>
        <stp/>
        <stp>VOLUME</stp>
        <stp>.QQQ250620P468</stp>
        <tr r="K80" s="2"/>
      </tp>
      <tp>
        <v>51</v>
        <stp/>
        <stp>VOLUME</stp>
        <stp>.QQQ250630P478</stp>
        <tr r="L70" s="2"/>
        <tr r="L70" s="2"/>
      </tp>
      <tp t="s">
        <v>N/A</v>
        <stp/>
        <stp>VOLUME</stp>
        <stp>.QQQ250620C468</stp>
        <tr r="K80" s="2"/>
      </tp>
      <tp>
        <v>12</v>
        <stp/>
        <stp>VOLUME</stp>
        <stp>.QQQ250630C478</stp>
        <tr r="L70" s="2"/>
        <tr r="L70" s="2"/>
      </tp>
      <tp t="s">
        <v>N/A</v>
        <stp/>
        <stp>VOLUME</stp>
        <stp>.QQQ250620P469</stp>
        <tr r="K79" s="2"/>
      </tp>
      <tp>
        <v>12</v>
        <stp/>
        <stp>VOLUME</stp>
        <stp>.QQQ250630P479</stp>
        <tr r="L69" s="2"/>
        <tr r="L69" s="2"/>
      </tp>
      <tp t="s">
        <v>N/A</v>
        <stp/>
        <stp>VOLUME</stp>
        <stp>.QQQ250620C469</stp>
        <tr r="K79" s="2"/>
      </tp>
      <tp>
        <v>30</v>
        <stp/>
        <stp>VOLUME</stp>
        <stp>.QQQ250630C479</stp>
        <tr r="L69" s="2"/>
        <tr r="L69" s="2"/>
      </tp>
      <tp>
        <v>10</v>
        <stp/>
        <stp>VOLUME</stp>
        <stp>.QQQ250606P472</stp>
        <tr r="J76" s="2"/>
        <tr r="J76" s="2"/>
      </tp>
      <tp t="s">
        <v>N/A</v>
        <stp/>
        <stp>VOLUME</stp>
        <stp>.QQQ250606C472</stp>
        <tr r="J76" s="2"/>
      </tp>
      <tp>
        <v>12</v>
        <stp/>
        <stp>VOLUME</stp>
        <stp>.QQQ250606P473</stp>
        <tr r="J75" s="2"/>
        <tr r="J75" s="2"/>
      </tp>
      <tp t="s">
        <v>N/A</v>
        <stp/>
        <stp>VOLUME</stp>
        <stp>.QQQ250606C473</stp>
        <tr r="J75" s="2"/>
      </tp>
      <tp>
        <v>792</v>
        <stp/>
        <stp>VOLUME</stp>
        <stp>.QQQ250606P470</stp>
        <tr r="J78" s="2"/>
        <tr r="J78" s="2"/>
      </tp>
      <tp>
        <v>46</v>
        <stp/>
        <stp>VOLUME</stp>
        <stp>.QQQ250606C470</stp>
        <tr r="J78" s="2"/>
        <tr r="J78" s="2"/>
      </tp>
      <tp>
        <v>34</v>
        <stp/>
        <stp>VOLUME</stp>
        <stp>.QQQ250606P471</stp>
        <tr r="J77" s="2"/>
        <tr r="J77" s="2"/>
      </tp>
      <tp>
        <v>12</v>
        <stp/>
        <stp>VOLUME</stp>
        <stp>.QQQ250606C471</stp>
        <tr r="J77" s="2"/>
        <tr r="J77" s="2"/>
      </tp>
      <tp>
        <v>103</v>
        <stp/>
        <stp>VOLUME</stp>
        <stp>.QQQ250606P476</stp>
        <tr r="J72" s="2"/>
        <tr r="J72" s="2"/>
      </tp>
      <tp>
        <v>11</v>
        <stp/>
        <stp>VOLUME</stp>
        <stp>.QQQ250606C476</stp>
        <tr r="J72" s="2"/>
        <tr r="J72" s="2"/>
      </tp>
      <tp>
        <v>15</v>
        <stp/>
        <stp>VOLUME</stp>
        <stp>.QQQ250606P477</stp>
        <tr r="J71" s="2"/>
        <tr r="J71" s="2"/>
      </tp>
      <tp>
        <v>10</v>
        <stp/>
        <stp>VOLUME</stp>
        <stp>.QQQ250606C477</stp>
        <tr r="J71" s="2"/>
        <tr r="J71" s="2"/>
      </tp>
      <tp>
        <v>15</v>
        <stp/>
        <stp>VOLUME</stp>
        <stp>.QQQ250606P474</stp>
        <tr r="J74" s="2"/>
        <tr r="J74" s="2"/>
      </tp>
      <tp>
        <v>2</v>
        <stp/>
        <stp>VOLUME</stp>
        <stp>.QQQ250606C474</stp>
        <tr r="J74" s="2"/>
        <tr r="J74" s="2"/>
      </tp>
      <tp>
        <v>1088</v>
        <stp/>
        <stp>VOLUME</stp>
        <stp>.QQQ250606P475</stp>
        <tr r="J73" s="2"/>
        <tr r="J73" s="2"/>
      </tp>
      <tp>
        <v>44</v>
        <stp/>
        <stp>VOLUME</stp>
        <stp>.QQQ250606C475</stp>
        <tr r="J73" s="2"/>
        <tr r="J73" s="2"/>
      </tp>
      <tp>
        <v>19</v>
        <stp/>
        <stp>VOLUME</stp>
        <stp>.QQQ250606P478</stp>
        <tr r="J70" s="2"/>
        <tr r="J70" s="2"/>
      </tp>
      <tp>
        <v>9</v>
        <stp/>
        <stp>VOLUME</stp>
        <stp>.QQQ250606C478</stp>
        <tr r="J70" s="2"/>
        <tr r="J70" s="2"/>
      </tp>
      <tp>
        <v>46</v>
        <stp/>
        <stp>VOLUME</stp>
        <stp>.QQQ250606P479</stp>
        <tr r="J69" s="2"/>
        <tr r="J69" s="2"/>
      </tp>
      <tp>
        <v>15</v>
        <stp/>
        <stp>VOLUME</stp>
        <stp>.QQQ250606C479</stp>
        <tr r="J69" s="2"/>
        <tr r="J69" s="2"/>
      </tp>
      <tp>
        <v>25</v>
        <stp/>
        <stp>VOLUME</stp>
        <stp>.QQQ250606P468</stp>
        <tr r="J80" s="2"/>
        <tr r="J80" s="2"/>
      </tp>
      <tp t="s">
        <v>N/A</v>
        <stp/>
        <stp>VOLUME</stp>
        <stp>.QQQ250606C468</stp>
        <tr r="J80" s="2"/>
      </tp>
      <tp>
        <v>28</v>
        <stp/>
        <stp>VOLUME</stp>
        <stp>.QQQ250606P469</stp>
        <tr r="J79" s="2"/>
        <tr r="J79" s="2"/>
      </tp>
      <tp t="s">
        <v>N/A</v>
        <stp/>
        <stp>VOLUME</stp>
        <stp>.QQQ250606C469</stp>
        <tr r="J79" s="2"/>
      </tp>
      <tp>
        <v>0</v>
        <stp/>
        <stp>BID</stp>
        <stp>.SPXW250507C5690</stp>
        <tr r="DE103" s="1"/>
        <tr r="DE103" s="1"/>
      </tp>
      <tp>
        <v>58.3</v>
        <stp/>
        <stp>BID</stp>
        <stp>.SPXW250507P5690</stp>
        <tr r="DF103" s="1"/>
        <tr r="DF103" s="1"/>
      </tp>
      <tp>
        <v>0</v>
        <stp/>
        <stp>BID</stp>
        <stp>.SPXW250507C5680</stp>
        <tr r="DE104" s="1"/>
        <tr r="DE104" s="1"/>
      </tp>
      <tp>
        <v>48.3</v>
        <stp/>
        <stp>BID</stp>
        <stp>.SPXW250507P5680</stp>
        <tr r="DF104" s="1"/>
        <tr r="DF104" s="1"/>
      </tp>
      <tp>
        <v>0</v>
        <stp/>
        <stp>BID</stp>
        <stp>.SPXW250507C5670</stp>
        <tr r="DE105" s="1"/>
        <tr r="DE105" s="1"/>
      </tp>
      <tp>
        <v>38.299999999999997</v>
        <stp/>
        <stp>BID</stp>
        <stp>.SPXW250507P5670</stp>
        <tr r="DF105" s="1"/>
        <tr r="DF105" s="1"/>
      </tp>
      <tp>
        <v>0</v>
        <stp/>
        <stp>BID</stp>
        <stp>.SPXW250507C5660</stp>
        <tr r="DE106" s="1"/>
        <tr r="DE106" s="1"/>
      </tp>
      <tp>
        <v>28.3</v>
        <stp/>
        <stp>BID</stp>
        <stp>.SPXW250507P5660</stp>
        <tr r="DF106" s="1"/>
        <tr r="DF106" s="1"/>
      </tp>
      <tp>
        <v>0</v>
        <stp/>
        <stp>BID</stp>
        <stp>.SPXW250507C5650</stp>
        <tr r="DE107" s="1"/>
        <tr r="DE107" s="1"/>
      </tp>
      <tp>
        <v>18.3</v>
        <stp/>
        <stp>BID</stp>
        <stp>.SPXW250507P5650</stp>
        <tr r="DF107" s="1"/>
        <tr r="DF107" s="1"/>
      </tp>
      <tp>
        <v>0.05</v>
        <stp/>
        <stp>BID</stp>
        <stp>.SPXW250507C5640</stp>
        <tr r="DE108" s="1"/>
        <tr r="DE108" s="1"/>
      </tp>
      <tp>
        <v>9.1999999999999993</v>
        <stp/>
        <stp>BID</stp>
        <stp>.SPXW250507P5640</stp>
        <tr r="DF108" s="1"/>
        <tr r="DF108" s="1"/>
      </tp>
      <tp>
        <v>1.4</v>
        <stp/>
        <stp>BID</stp>
        <stp>.SPXW250507C5630</stp>
        <tr r="DE109" s="1"/>
        <tr r="DE109" s="1"/>
      </tp>
      <tp>
        <v>0.4</v>
        <stp/>
        <stp>BID</stp>
        <stp>.SPXW250507P5630</stp>
        <tr r="DF109" s="1"/>
        <tr r="DF109" s="1"/>
      </tp>
      <tp>
        <v>10.4</v>
        <stp/>
        <stp>BID</stp>
        <stp>.SPXW250507C5620</stp>
        <tr r="DE110" s="1"/>
        <tr r="DE110" s="1"/>
      </tp>
      <tp>
        <v>0</v>
        <stp/>
        <stp>BID</stp>
        <stp>.SPXW250507P5620</stp>
        <tr r="DF110" s="1"/>
        <tr r="DF110" s="1"/>
      </tp>
      <tp>
        <v>20.399999999999999</v>
        <stp/>
        <stp>BID</stp>
        <stp>.SPXW250507C5610</stp>
        <tr r="DE111" s="1"/>
        <tr r="DE111" s="1"/>
      </tp>
      <tp>
        <v>0</v>
        <stp/>
        <stp>BID</stp>
        <stp>.SPXW250507P5610</stp>
        <tr r="DF111" s="1"/>
        <tr r="DF111" s="1"/>
      </tp>
      <tp>
        <v>28.5</v>
        <stp/>
        <stp>BID</stp>
        <stp>.SPXW250507C5600</stp>
        <tr r="DE112" s="1"/>
        <tr r="DE112" s="1"/>
      </tp>
      <tp>
        <v>0</v>
        <stp/>
        <stp>BID</stp>
        <stp>.SPXW250507P5600</stp>
        <tr r="DF112" s="1"/>
        <tr r="DF112" s="1"/>
      </tp>
      <tp t="s">
        <v>N/A</v>
        <stp/>
        <stp>VOLUME</stp>
        <stp>.QQQ250718P488</stp>
        <tr r="M60" s="2"/>
      </tp>
      <tp t="s">
        <v>N/A</v>
        <stp/>
        <stp>VOLUME</stp>
        <stp>.QQQ250718C488</stp>
        <tr r="M60" s="2"/>
      </tp>
      <tp t="s">
        <v>N/A</v>
        <stp/>
        <stp>VOLUME</stp>
        <stp>.QQQ250718P489</stp>
        <tr r="M59" s="2"/>
      </tp>
      <tp t="s">
        <v>N/A</v>
        <stp/>
        <stp>VOLUME</stp>
        <stp>.QQQ250718C489</stp>
        <tr r="M59" s="2"/>
      </tp>
      <tp t="s">
        <v>N/A</v>
        <stp/>
        <stp>VOLUME</stp>
        <stp>.QQQ250718P484</stp>
        <tr r="M64" s="2"/>
      </tp>
      <tp t="s">
        <v>N/A</v>
        <stp/>
        <stp>VOLUME</stp>
        <stp>.QQQ250718C484</stp>
        <tr r="M64" s="2"/>
      </tp>
      <tp>
        <v>181</v>
        <stp/>
        <stp>VOLUME</stp>
        <stp>.QQQ250718P485</stp>
        <tr r="M63" s="2"/>
        <tr r="M63" s="2"/>
      </tp>
      <tp>
        <v>153</v>
        <stp/>
        <stp>VOLUME</stp>
        <stp>.QQQ250718C485</stp>
        <tr r="M63" s="2"/>
        <tr r="M63" s="2"/>
      </tp>
      <tp t="s">
        <v>N/A</v>
        <stp/>
        <stp>VOLUME</stp>
        <stp>.QQQ250718P486</stp>
        <tr r="M62" s="2"/>
      </tp>
      <tp t="s">
        <v>N/A</v>
        <stp/>
        <stp>VOLUME</stp>
        <stp>.QQQ250718C486</stp>
        <tr r="M62" s="2"/>
      </tp>
      <tp t="s">
        <v>N/A</v>
        <stp/>
        <stp>VOLUME</stp>
        <stp>.QQQ250718P487</stp>
        <tr r="M61" s="2"/>
      </tp>
      <tp t="s">
        <v>N/A</v>
        <stp/>
        <stp>VOLUME</stp>
        <stp>.QQQ250718C487</stp>
        <tr r="M61" s="2"/>
      </tp>
      <tp>
        <v>6541</v>
        <stp/>
        <stp>VOLUME</stp>
        <stp>.QQQ250718P480</stp>
        <tr r="M68" s="2"/>
        <tr r="M68" s="2"/>
      </tp>
      <tp>
        <v>1091</v>
        <stp/>
        <stp>VOLUME</stp>
        <stp>.QQQ250718C480</stp>
        <tr r="M68" s="2"/>
        <tr r="M68" s="2"/>
      </tp>
      <tp t="s">
        <v>N/A</v>
        <stp/>
        <stp>VOLUME</stp>
        <stp>.QQQ250718P481</stp>
        <tr r="M67" s="2"/>
      </tp>
      <tp t="s">
        <v>N/A</v>
        <stp/>
        <stp>VOLUME</stp>
        <stp>.QQQ250718C481</stp>
        <tr r="M67" s="2"/>
      </tp>
      <tp t="s">
        <v>N/A</v>
        <stp/>
        <stp>VOLUME</stp>
        <stp>.QQQ250718P482</stp>
        <tr r="M66" s="2"/>
      </tp>
      <tp t="s">
        <v>N/A</v>
        <stp/>
        <stp>VOLUME</stp>
        <stp>.QQQ250718C482</stp>
        <tr r="M66" s="2"/>
      </tp>
      <tp t="s">
        <v>N/A</v>
        <stp/>
        <stp>VOLUME</stp>
        <stp>.QQQ250718P483</stp>
        <tr r="M65" s="2"/>
      </tp>
      <tp t="s">
        <v>N/A</v>
        <stp/>
        <stp>VOLUME</stp>
        <stp>.QQQ250718C483</stp>
        <tr r="M65" s="2"/>
      </tp>
      <tp t="s">
        <v>N/A</v>
        <stp/>
        <stp>VOLUME</stp>
        <stp>.QQQ250718P498</stp>
        <tr r="M50" s="2"/>
      </tp>
      <tp t="s">
        <v>N/A</v>
        <stp/>
        <stp>VOLUME</stp>
        <stp>.QQQ250718C498</stp>
        <tr r="M50" s="2"/>
      </tp>
      <tp t="s">
        <v>N/A</v>
        <stp/>
        <stp>VOLUME</stp>
        <stp>.QQQ250718P499</stp>
        <tr r="M49" s="2"/>
      </tp>
      <tp t="s">
        <v>N/A</v>
        <stp/>
        <stp>VOLUME</stp>
        <stp>.QQQ250718C499</stp>
        <tr r="M49" s="2"/>
      </tp>
      <tp t="s">
        <v>N/A</v>
        <stp/>
        <stp>VOLUME</stp>
        <stp>.QQQ250718P494</stp>
        <tr r="M54" s="2"/>
      </tp>
      <tp t="s">
        <v>N/A</v>
        <stp/>
        <stp>VOLUME</stp>
        <stp>.QQQ250718C494</stp>
        <tr r="M54" s="2"/>
      </tp>
      <tp>
        <v>25</v>
        <stp/>
        <stp>VOLUME</stp>
        <stp>.QQQ250718P495</stp>
        <tr r="M53" s="2"/>
        <tr r="M53" s="2"/>
      </tp>
      <tp>
        <v>86</v>
        <stp/>
        <stp>VOLUME</stp>
        <stp>.QQQ250718C495</stp>
        <tr r="M53" s="2"/>
        <tr r="M53" s="2"/>
      </tp>
      <tp t="s">
        <v>N/A</v>
        <stp/>
        <stp>VOLUME</stp>
        <stp>.QQQ250718P496</stp>
        <tr r="M52" s="2"/>
      </tp>
      <tp t="s">
        <v>N/A</v>
        <stp/>
        <stp>VOLUME</stp>
        <stp>.QQQ250718C496</stp>
        <tr r="M52" s="2"/>
      </tp>
      <tp t="s">
        <v>N/A</v>
        <stp/>
        <stp>VOLUME</stp>
        <stp>.QQQ250718P497</stp>
        <tr r="M51" s="2"/>
      </tp>
      <tp t="s">
        <v>N/A</v>
        <stp/>
        <stp>VOLUME</stp>
        <stp>.QQQ250718C497</stp>
        <tr r="M51" s="2"/>
      </tp>
      <tp>
        <v>82</v>
        <stp/>
        <stp>VOLUME</stp>
        <stp>.QQQ250718P490</stp>
        <tr r="M58" s="2"/>
        <tr r="M58" s="2"/>
      </tp>
      <tp>
        <v>198</v>
        <stp/>
        <stp>VOLUME</stp>
        <stp>.QQQ250718C490</stp>
        <tr r="M58" s="2"/>
        <tr r="M58" s="2"/>
      </tp>
      <tp t="s">
        <v>N/A</v>
        <stp/>
        <stp>VOLUME</stp>
        <stp>.QQQ250718P491</stp>
        <tr r="M57" s="2"/>
      </tp>
      <tp t="s">
        <v>N/A</v>
        <stp/>
        <stp>VOLUME</stp>
        <stp>.QQQ250718C491</stp>
        <tr r="M57" s="2"/>
      </tp>
      <tp t="s">
        <v>N/A</v>
        <stp/>
        <stp>VOLUME</stp>
        <stp>.QQQ250718P492</stp>
        <tr r="M56" s="2"/>
      </tp>
      <tp t="s">
        <v>N/A</v>
        <stp/>
        <stp>VOLUME</stp>
        <stp>.QQQ250718C492</stp>
        <tr r="M56" s="2"/>
      </tp>
      <tp t="s">
        <v>N/A</v>
        <stp/>
        <stp>VOLUME</stp>
        <stp>.QQQ250718P493</stp>
        <tr r="M55" s="2"/>
      </tp>
      <tp t="s">
        <v>N/A</v>
        <stp/>
        <stp>VOLUME</stp>
        <stp>.QQQ250718C493</stp>
        <tr r="M55" s="2"/>
      </tp>
      <tp>
        <v>19</v>
        <stp/>
        <stp>VOLUME</stp>
        <stp>.QQQ250731P485</stp>
        <tr r="N63" s="2"/>
        <tr r="N63" s="2"/>
      </tp>
      <tp>
        <v>13</v>
        <stp/>
        <stp>VOLUME</stp>
        <stp>.QQQ250731C485</stp>
        <tr r="N63" s="2"/>
        <tr r="N63" s="2"/>
      </tp>
      <tp t="s">
        <v>N/A</v>
        <stp/>
        <stp>VOLUME</stp>
        <stp>.QQQ250731P484</stp>
        <tr r="N64" s="2"/>
      </tp>
      <tp>
        <v>2</v>
        <stp/>
        <stp>VOLUME</stp>
        <stp>.QQQ250731C484</stp>
        <tr r="N64" s="2"/>
        <tr r="N64" s="2"/>
      </tp>
      <tp>
        <v>1</v>
        <stp/>
        <stp>VOLUME</stp>
        <stp>.QQQ250731P487</stp>
        <tr r="N61" s="2"/>
        <tr r="N61" s="2"/>
      </tp>
      <tp>
        <v>12</v>
        <stp/>
        <stp>VOLUME</stp>
        <stp>.QQQ250731C487</stp>
        <tr r="N61" s="2"/>
        <tr r="N61" s="2"/>
      </tp>
      <tp>
        <v>23</v>
        <stp/>
        <stp>VOLUME</stp>
        <stp>.QQQ250731P486</stp>
        <tr r="N62" s="2"/>
        <tr r="N62" s="2"/>
      </tp>
      <tp>
        <v>16</v>
        <stp/>
        <stp>VOLUME</stp>
        <stp>.QQQ250731C486</stp>
        <tr r="N62" s="2"/>
        <tr r="N62" s="2"/>
      </tp>
      <tp>
        <v>9</v>
        <stp/>
        <stp>VOLUME</stp>
        <stp>.QQQ250731P481</stp>
        <tr r="N67" s="2"/>
        <tr r="N67" s="2"/>
      </tp>
      <tp t="s">
        <v>N/A</v>
        <stp/>
        <stp>VOLUME</stp>
        <stp>.QQQ250731C481</stp>
        <tr r="N67" s="2"/>
      </tp>
      <tp>
        <v>35</v>
        <stp/>
        <stp>VOLUME</stp>
        <stp>.QQQ250731P480</stp>
        <tr r="N68" s="2"/>
        <tr r="N68" s="2"/>
      </tp>
      <tp>
        <v>7</v>
        <stp/>
        <stp>VOLUME</stp>
        <stp>.QQQ250731C480</stp>
        <tr r="N68" s="2"/>
        <tr r="N68" s="2"/>
      </tp>
      <tp>
        <v>23</v>
        <stp/>
        <stp>VOLUME</stp>
        <stp>.QQQ250731P483</stp>
        <tr r="N65" s="2"/>
        <tr r="N65" s="2"/>
      </tp>
      <tp>
        <v>24</v>
        <stp/>
        <stp>VOLUME</stp>
        <stp>.QQQ250731C483</stp>
        <tr r="N65" s="2"/>
        <tr r="N65" s="2"/>
      </tp>
      <tp>
        <v>9</v>
        <stp/>
        <stp>VOLUME</stp>
        <stp>.QQQ250731P482</stp>
        <tr r="N66" s="2"/>
        <tr r="N66" s="2"/>
      </tp>
      <tp>
        <v>23</v>
        <stp/>
        <stp>VOLUME</stp>
        <stp>.QQQ250731C482</stp>
        <tr r="N66" s="2"/>
        <tr r="N66" s="2"/>
      </tp>
      <tp>
        <v>1</v>
        <stp/>
        <stp>VOLUME</stp>
        <stp>.QQQ250731P489</stp>
        <tr r="N59" s="2"/>
        <tr r="N59" s="2"/>
      </tp>
      <tp>
        <v>10</v>
        <stp/>
        <stp>VOLUME</stp>
        <stp>.QQQ250731C489</stp>
        <tr r="N59" s="2"/>
        <tr r="N59" s="2"/>
      </tp>
      <tp>
        <v>6</v>
        <stp/>
        <stp>VOLUME</stp>
        <stp>.QQQ250731P488</stp>
        <tr r="N60" s="2"/>
        <tr r="N60" s="2"/>
      </tp>
      <tp>
        <v>9</v>
        <stp/>
        <stp>VOLUME</stp>
        <stp>.QQQ250731C488</stp>
        <tr r="N60" s="2"/>
        <tr r="N60" s="2"/>
      </tp>
      <tp t="s">
        <v>N/A</v>
        <stp/>
        <stp>VOLUME</stp>
        <stp>.QQQ250731P495</stp>
        <tr r="N53" s="2"/>
      </tp>
      <tp>
        <v>3</v>
        <stp/>
        <stp>VOLUME</stp>
        <stp>.QQQ250731C495</stp>
        <tr r="N53" s="2"/>
        <tr r="N53" s="2"/>
      </tp>
      <tp t="s">
        <v>N/A</v>
        <stp/>
        <stp>VOLUME</stp>
        <stp>.QQQ250731P494</stp>
        <tr r="N54" s="2"/>
      </tp>
      <tp>
        <v>1</v>
        <stp/>
        <stp>VOLUME</stp>
        <stp>.QQQ250731C494</stp>
        <tr r="N54" s="2"/>
        <tr r="N54" s="2"/>
      </tp>
      <tp t="s">
        <v>N/A</v>
        <stp/>
        <stp>VOLUME</stp>
        <stp>.QQQ250731P497</stp>
        <tr r="N51" s="2"/>
      </tp>
      <tp t="s">
        <v>N/A</v>
        <stp/>
        <stp>VOLUME</stp>
        <stp>.QQQ250731C497</stp>
        <tr r="N51" s="2"/>
      </tp>
      <tp t="s">
        <v>N/A</v>
        <stp/>
        <stp>VOLUME</stp>
        <stp>.QQQ250731P496</stp>
        <tr r="N52" s="2"/>
      </tp>
      <tp t="s">
        <v>N/A</v>
        <stp/>
        <stp>VOLUME</stp>
        <stp>.QQQ250731C496</stp>
        <tr r="N52" s="2"/>
      </tp>
      <tp>
        <v>1</v>
        <stp/>
        <stp>VOLUME</stp>
        <stp>.QQQ250731P491</stp>
        <tr r="N57" s="2"/>
        <tr r="N57" s="2"/>
      </tp>
      <tp t="s">
        <v>N/A</v>
        <stp/>
        <stp>VOLUME</stp>
        <stp>.QQQ250731C491</stp>
        <tr r="N57" s="2"/>
      </tp>
      <tp>
        <v>12</v>
        <stp/>
        <stp>VOLUME</stp>
        <stp>.QQQ250731P490</stp>
        <tr r="N58" s="2"/>
        <tr r="N58" s="2"/>
      </tp>
      <tp>
        <v>10</v>
        <stp/>
        <stp>VOLUME</stp>
        <stp>.QQQ250731C490</stp>
        <tr r="N58" s="2"/>
        <tr r="N58" s="2"/>
      </tp>
      <tp t="s">
        <v>N/A</v>
        <stp/>
        <stp>VOLUME</stp>
        <stp>.QQQ250731P493</stp>
        <tr r="N55" s="2"/>
      </tp>
      <tp t="s">
        <v>N/A</v>
        <stp/>
        <stp>VOLUME</stp>
        <stp>.QQQ250731C493</stp>
        <tr r="N55" s="2"/>
      </tp>
      <tp t="s">
        <v>N/A</v>
        <stp/>
        <stp>VOLUME</stp>
        <stp>.QQQ250731P492</stp>
        <tr r="N56" s="2"/>
      </tp>
      <tp t="s">
        <v>N/A</v>
        <stp/>
        <stp>VOLUME</stp>
        <stp>.QQQ250731C492</stp>
        <tr r="N56" s="2"/>
      </tp>
      <tp t="s">
        <v>N/A</v>
        <stp/>
        <stp>VOLUME</stp>
        <stp>.QQQ250731P499</stp>
        <tr r="N49" s="2"/>
      </tp>
      <tp t="s">
        <v>N/A</v>
        <stp/>
        <stp>VOLUME</stp>
        <stp>.QQQ250731C499</stp>
        <tr r="N49" s="2"/>
      </tp>
      <tp t="s">
        <v>N/A</v>
        <stp/>
        <stp>VOLUME</stp>
        <stp>.QQQ250731P498</stp>
        <tr r="N50" s="2"/>
      </tp>
      <tp t="s">
        <v>N/A</v>
        <stp/>
        <stp>VOLUME</stp>
        <stp>.QQQ250731C498</stp>
        <tr r="N50" s="2"/>
      </tp>
      <tp t="s">
        <v>N/A</v>
        <stp/>
        <stp>VOLUME</stp>
        <stp>.QQQ250606P502</stp>
        <tr r="J46" s="2"/>
      </tp>
      <tp t="s">
        <v>N/A</v>
        <stp/>
        <stp>VOLUME</stp>
        <stp>.QQQ250606C502</stp>
        <tr r="J46" s="2"/>
      </tp>
      <tp>
        <v>4</v>
        <stp/>
        <stp>VOLUME</stp>
        <stp>.QQQ250606P500</stp>
        <tr r="J48" s="2"/>
        <tr r="J48" s="2"/>
      </tp>
      <tp>
        <v>841</v>
        <stp/>
        <stp>VOLUME</stp>
        <stp>.QQQ250606C500</stp>
        <tr r="J48" s="2"/>
        <tr r="J48" s="2"/>
      </tp>
      <tp t="s">
        <v>N/A</v>
        <stp/>
        <stp>VOLUME</stp>
        <stp>.QQQ250606P501</stp>
        <tr r="J47" s="2"/>
      </tp>
      <tp t="s">
        <v>N/A</v>
        <stp/>
        <stp>VOLUME</stp>
        <stp>.QQQ250606C501</stp>
        <tr r="J47" s="2"/>
      </tp>
      <tp>
        <v>21</v>
        <stp/>
        <stp>VOLUME</stp>
        <stp>.QQQ250630P500</stp>
        <tr r="L48" s="2"/>
        <tr r="L48" s="2"/>
      </tp>
      <tp>
        <v>183</v>
        <stp/>
        <stp>VOLUME</stp>
        <stp>.QQQ250630C500</stp>
        <tr r="L48" s="2"/>
        <tr r="L48" s="2"/>
      </tp>
      <tp t="s">
        <v>N/A</v>
        <stp/>
        <stp>VOLUME</stp>
        <stp>.QQQ250630P501</stp>
        <tr r="L47" s="2"/>
      </tp>
      <tp>
        <v>7</v>
        <stp/>
        <stp>VOLUME</stp>
        <stp>.QQQ250630C501</stp>
        <tr r="L47" s="2"/>
        <tr r="L47" s="2"/>
      </tp>
      <tp>
        <v>1</v>
        <stp/>
        <stp>VOLUME</stp>
        <stp>.QQQ250630P502</stp>
        <tr r="L46" s="2"/>
        <tr r="L46" s="2"/>
      </tp>
      <tp>
        <v>6</v>
        <stp/>
        <stp>VOLUME</stp>
        <stp>.QQQ250630C502</stp>
        <tr r="L46" s="2"/>
        <tr r="L46" s="2"/>
      </tp>
      <tp>
        <v>379</v>
        <stp/>
        <stp>VOLUME</stp>
        <stp>.QQQ250620P500</stp>
        <tr r="K48" s="2"/>
        <tr r="K48" s="2"/>
      </tp>
      <tp>
        <v>10282</v>
        <stp/>
        <stp>VOLUME</stp>
        <stp>.QQQ250620C500</stp>
        <tr r="K48" s="2"/>
        <tr r="K48" s="2"/>
      </tp>
      <tp t="s">
        <v>N/A</v>
        <stp/>
        <stp>VOLUME</stp>
        <stp>.QQQ250620P501</stp>
        <tr r="K47" s="2"/>
      </tp>
      <tp t="s">
        <v>N/A</v>
        <stp/>
        <stp>VOLUME</stp>
        <stp>.QQQ250620C501</stp>
        <tr r="K47" s="2"/>
      </tp>
      <tp t="s">
        <v>N/A</v>
        <stp/>
        <stp>VOLUME</stp>
        <stp>.QQQ250620P502</stp>
        <tr r="K46" s="2"/>
      </tp>
      <tp t="s">
        <v>N/A</v>
        <stp/>
        <stp>VOLUME</stp>
        <stp>.QQQ250620C502</stp>
        <tr r="K46" s="2"/>
      </tp>
      <tp>
        <v>1</v>
        <stp/>
        <stp>VOLUME</stp>
        <stp>.QQQ250731P469</stp>
        <tr r="N79" s="2"/>
        <tr r="N79" s="2"/>
      </tp>
      <tp t="s">
        <v>N/A</v>
        <stp/>
        <stp>VOLUME</stp>
        <stp>.QQQ250731C469</stp>
        <tr r="N79" s="2"/>
      </tp>
      <tp>
        <v>9</v>
        <stp/>
        <stp>VOLUME</stp>
        <stp>.QQQ250731P468</stp>
        <tr r="N80" s="2"/>
        <tr r="N80" s="2"/>
      </tp>
      <tp t="s">
        <v>N/A</v>
        <stp/>
        <stp>VOLUME</stp>
        <stp>.QQQ250731C468</stp>
        <tr r="N80" s="2"/>
      </tp>
      <tp>
        <v>2039</v>
        <stp/>
        <stp>VOLUME</stp>
        <stp>.QQQ250731P475</stp>
        <tr r="N73" s="2"/>
        <tr r="N73" s="2"/>
      </tp>
      <tp>
        <v>1</v>
        <stp/>
        <stp>VOLUME</stp>
        <stp>.QQQ250731C475</stp>
        <tr r="N73" s="2"/>
        <tr r="N73" s="2"/>
      </tp>
      <tp t="s">
        <v>N/A</v>
        <stp/>
        <stp>VOLUME</stp>
        <stp>.QQQ250731P474</stp>
        <tr r="N74" s="2"/>
      </tp>
      <tp>
        <v>1</v>
        <stp/>
        <stp>VOLUME</stp>
        <stp>.QQQ250731C474</stp>
        <tr r="N74" s="2"/>
        <tr r="N74" s="2"/>
      </tp>
      <tp>
        <v>13</v>
        <stp/>
        <stp>VOLUME</stp>
        <stp>.QQQ250731P477</stp>
        <tr r="N71" s="2"/>
        <tr r="N71" s="2"/>
      </tp>
      <tp>
        <v>1</v>
        <stp/>
        <stp>VOLUME</stp>
        <stp>.QQQ250731C477</stp>
        <tr r="N71" s="2"/>
        <tr r="N71" s="2"/>
      </tp>
      <tp t="s">
        <v>N/A</v>
        <stp/>
        <stp>VOLUME</stp>
        <stp>.QQQ250731P476</stp>
        <tr r="N72" s="2"/>
      </tp>
      <tp t="s">
        <v>N/A</v>
        <stp/>
        <stp>VOLUME</stp>
        <stp>.QQQ250731C476</stp>
        <tr r="N72" s="2"/>
      </tp>
      <tp t="s">
        <v>N/A</v>
        <stp/>
        <stp>VOLUME</stp>
        <stp>.QQQ250731P471</stp>
        <tr r="N77" s="2"/>
      </tp>
      <tp t="s">
        <v>N/A</v>
        <stp/>
        <stp>VOLUME</stp>
        <stp>.QQQ250731C471</stp>
        <tr r="N77" s="2"/>
      </tp>
      <tp>
        <v>20</v>
        <stp/>
        <stp>VOLUME</stp>
        <stp>.QQQ250731P470</stp>
        <tr r="N78" s="2"/>
        <tr r="N78" s="2"/>
      </tp>
      <tp>
        <v>14</v>
        <stp/>
        <stp>VOLUME</stp>
        <stp>.QQQ250731C470</stp>
        <tr r="N78" s="2"/>
        <tr r="N78" s="2"/>
      </tp>
      <tp>
        <v>1</v>
        <stp/>
        <stp>VOLUME</stp>
        <stp>.QQQ250731P473</stp>
        <tr r="N75" s="2"/>
        <tr r="N75" s="2"/>
      </tp>
      <tp>
        <v>1</v>
        <stp/>
        <stp>VOLUME</stp>
        <stp>.QQQ250731C473</stp>
        <tr r="N75" s="2"/>
        <tr r="N75" s="2"/>
      </tp>
      <tp>
        <v>6</v>
        <stp/>
        <stp>VOLUME</stp>
        <stp>.QQQ250731P472</stp>
        <tr r="N76" s="2"/>
        <tr r="N76" s="2"/>
      </tp>
      <tp t="s">
        <v>N/A</v>
        <stp/>
        <stp>VOLUME</stp>
        <stp>.QQQ250731C472</stp>
        <tr r="N76" s="2"/>
      </tp>
      <tp>
        <v>13</v>
        <stp/>
        <stp>VOLUME</stp>
        <stp>.QQQ250731P479</stp>
        <tr r="N69" s="2"/>
        <tr r="N69" s="2"/>
      </tp>
      <tp>
        <v>1</v>
        <stp/>
        <stp>VOLUME</stp>
        <stp>.QQQ250731C479</stp>
        <tr r="N69" s="2"/>
        <tr r="N69" s="2"/>
      </tp>
      <tp t="s">
        <v>N/A</v>
        <stp/>
        <stp>VOLUME</stp>
        <stp>.QQQ250731P478</stp>
        <tr r="N70" s="2"/>
      </tp>
      <tp>
        <v>2</v>
        <stp/>
        <stp>VOLUME</stp>
        <stp>.QQQ250731C478</stp>
        <tr r="N70" s="2"/>
        <tr r="N70" s="2"/>
      </tp>
      <tp t="s">
        <v>N/A</v>
        <stp/>
        <stp>VOLUME</stp>
        <stp>.QQQ250718P468</stp>
        <tr r="M80" s="2"/>
      </tp>
      <tp t="s">
        <v>N/A</v>
        <stp/>
        <stp>VOLUME</stp>
        <stp>.QQQ250718C468</stp>
        <tr r="M80" s="2"/>
      </tp>
      <tp t="s">
        <v>N/A</v>
        <stp/>
        <stp>VOLUME</stp>
        <stp>.QQQ250718P469</stp>
        <tr r="M79" s="2"/>
      </tp>
      <tp t="s">
        <v>N/A</v>
        <stp/>
        <stp>VOLUME</stp>
        <stp>.QQQ250718C469</stp>
        <tr r="M79" s="2"/>
      </tp>
      <tp t="s">
        <v>N/A</v>
        <stp/>
        <stp>VOLUME</stp>
        <stp>.QQQ250718P478</stp>
        <tr r="M70" s="2"/>
      </tp>
      <tp t="s">
        <v>N/A</v>
        <stp/>
        <stp>VOLUME</stp>
        <stp>.QQQ250718C478</stp>
        <tr r="M70" s="2"/>
      </tp>
      <tp t="s">
        <v>N/A</v>
        <stp/>
        <stp>VOLUME</stp>
        <stp>.QQQ250718P479</stp>
        <tr r="M69" s="2"/>
      </tp>
      <tp t="s">
        <v>N/A</v>
        <stp/>
        <stp>VOLUME</stp>
        <stp>.QQQ250718C479</stp>
        <tr r="M69" s="2"/>
      </tp>
      <tp t="s">
        <v>N/A</v>
        <stp/>
        <stp>VOLUME</stp>
        <stp>.QQQ250718P474</stp>
        <tr r="M74" s="2"/>
      </tp>
      <tp t="s">
        <v>N/A</v>
        <stp/>
        <stp>VOLUME</stp>
        <stp>.QQQ250718C474</stp>
        <tr r="M74" s="2"/>
      </tp>
      <tp>
        <v>348</v>
        <stp/>
        <stp>VOLUME</stp>
        <stp>.QQQ250718P475</stp>
        <tr r="M73" s="2"/>
        <tr r="M73" s="2"/>
      </tp>
      <tp>
        <v>98</v>
        <stp/>
        <stp>VOLUME</stp>
        <stp>.QQQ250718C475</stp>
        <tr r="M73" s="2"/>
        <tr r="M73" s="2"/>
      </tp>
      <tp t="s">
        <v>N/A</v>
        <stp/>
        <stp>VOLUME</stp>
        <stp>.QQQ250718P476</stp>
        <tr r="M72" s="2"/>
      </tp>
      <tp t="s">
        <v>N/A</v>
        <stp/>
        <stp>VOLUME</stp>
        <stp>.QQQ250718C476</stp>
        <tr r="M72" s="2"/>
      </tp>
      <tp t="s">
        <v>N/A</v>
        <stp/>
        <stp>VOLUME</stp>
        <stp>.QQQ250718P477</stp>
        <tr r="M71" s="2"/>
      </tp>
      <tp t="s">
        <v>N/A</v>
        <stp/>
        <stp>VOLUME</stp>
        <stp>.QQQ250718C477</stp>
        <tr r="M71" s="2"/>
      </tp>
      <tp>
        <v>7840</v>
        <stp/>
        <stp>VOLUME</stp>
        <stp>.QQQ250718P470</stp>
        <tr r="M78" s="2"/>
        <tr r="M78" s="2"/>
      </tp>
      <tp>
        <v>58</v>
        <stp/>
        <stp>VOLUME</stp>
        <stp>.QQQ250718C470</stp>
        <tr r="M78" s="2"/>
        <tr r="M78" s="2"/>
      </tp>
      <tp t="s">
        <v>N/A</v>
        <stp/>
        <stp>VOLUME</stp>
        <stp>.QQQ250718P471</stp>
        <tr r="M77" s="2"/>
      </tp>
      <tp t="s">
        <v>N/A</v>
        <stp/>
        <stp>VOLUME</stp>
        <stp>.QQQ250718C471</stp>
        <tr r="M77" s="2"/>
      </tp>
      <tp t="s">
        <v>N/A</v>
        <stp/>
        <stp>VOLUME</stp>
        <stp>.QQQ250718P472</stp>
        <tr r="M76" s="2"/>
      </tp>
      <tp t="s">
        <v>N/A</v>
        <stp/>
        <stp>VOLUME</stp>
        <stp>.QQQ250718C472</stp>
        <tr r="M76" s="2"/>
      </tp>
      <tp t="s">
        <v>N/A</v>
        <stp/>
        <stp>VOLUME</stp>
        <stp>.QQQ250718P473</stp>
        <tr r="M75" s="2"/>
      </tp>
      <tp t="s">
        <v>N/A</v>
        <stp/>
        <stp>VOLUME</stp>
        <stp>.QQQ250718C473</stp>
        <tr r="M75" s="2"/>
      </tp>
      <tp>
        <v>38.5</v>
        <stp/>
        <stp>BID</stp>
        <stp>.SPXW250507C5590</stp>
        <tr r="DE113" s="1"/>
        <tr r="DE113" s="1"/>
      </tp>
      <tp>
        <v>0</v>
        <stp/>
        <stp>BID</stp>
        <stp>.SPXW250507P5590</stp>
        <tr r="DF113" s="1"/>
        <tr r="DF113" s="1"/>
      </tp>
      <tp>
        <v>48.5</v>
        <stp/>
        <stp>BID</stp>
        <stp>.SPXW250507C5580</stp>
        <tr r="DE114" s="1"/>
        <tr r="DE114" s="1"/>
      </tp>
      <tp>
        <v>0</v>
        <stp/>
        <stp>BID</stp>
        <stp>.SPXW250507P5580</stp>
        <tr r="DF114" s="1"/>
        <tr r="DF114" s="1"/>
      </tp>
      <tp>
        <v>58.5</v>
        <stp/>
        <stp>BID</stp>
        <stp>.SPXW250507C5570</stp>
        <tr r="DE115" s="1"/>
        <tr r="DE115" s="1"/>
      </tp>
      <tp>
        <v>0</v>
        <stp/>
        <stp>BID</stp>
        <stp>.SPXW250507P5570</stp>
        <tr r="DF115" s="1"/>
        <tr r="DF115" s="1"/>
      </tp>
      <tp>
        <v>68.5</v>
        <stp/>
        <stp>BID</stp>
        <stp>.SPXW250507C5560</stp>
        <tr r="DE116" s="1"/>
        <tr r="DE116" s="1"/>
      </tp>
      <tp>
        <v>0</v>
        <stp/>
        <stp>BID</stp>
        <stp>.SPXW250507P5560</stp>
        <tr r="DF116" s="1"/>
        <tr r="DF116" s="1"/>
      </tp>
      <tp>
        <v>78.5</v>
        <stp/>
        <stp>BID</stp>
        <stp>.SPXW250507C5550</stp>
        <tr r="DE117" s="1"/>
        <tr r="DE117" s="1"/>
      </tp>
      <tp>
        <v>0</v>
        <stp/>
        <stp>BID</stp>
        <stp>.SPXW250507P5550</stp>
        <tr r="DF117" s="1"/>
        <tr r="DF117" s="1"/>
      </tp>
      <tp>
        <v>88.5</v>
        <stp/>
        <stp>BID</stp>
        <stp>.SPXW250507C5540</stp>
        <tr r="DE118" s="1"/>
        <tr r="DE118" s="1"/>
      </tp>
      <tp>
        <v>0</v>
        <stp/>
        <stp>BID</stp>
        <stp>.SPXW250507P5540</stp>
        <tr r="DF118" s="1"/>
        <tr r="DF118" s="1"/>
      </tp>
      <tp>
        <v>98.4</v>
        <stp/>
        <stp>BID</stp>
        <stp>.SPXW250507C5530</stp>
        <tr r="DE119" s="1"/>
        <tr r="DE119" s="1"/>
      </tp>
      <tp>
        <v>0</v>
        <stp/>
        <stp>BID</stp>
        <stp>.SPXW250507P5530</stp>
        <tr r="DF119" s="1"/>
        <tr r="DF119" s="1"/>
      </tp>
      <tp>
        <v>108.5</v>
        <stp/>
        <stp>BID</stp>
        <stp>.SPXW250507C5520</stp>
        <tr r="DE120" s="1"/>
        <tr r="DE120" s="1"/>
      </tp>
      <tp>
        <v>0</v>
        <stp/>
        <stp>BID</stp>
        <stp>.SPXW250507P5520</stp>
        <tr r="DF120" s="1"/>
        <tr r="DF120" s="1"/>
      </tp>
      <tp>
        <v>118.5</v>
        <stp/>
        <stp>BID</stp>
        <stp>.SPXW250507C5510</stp>
        <tr r="DE121" s="1"/>
        <tr r="DE121" s="1"/>
      </tp>
      <tp>
        <v>0</v>
        <stp/>
        <stp>BID</stp>
        <stp>.SPXW250507P5510</stp>
        <tr r="DF121" s="1"/>
        <tr r="DF121" s="1"/>
      </tp>
      <tp>
        <v>130.19999999999999</v>
        <stp/>
        <stp>BID</stp>
        <stp>.SPXW250507C5500</stp>
        <tr r="DE122" s="1"/>
        <tr r="DE122" s="1"/>
      </tp>
      <tp>
        <v>0</v>
        <stp/>
        <stp>BID</stp>
        <stp>.SPXW250507P5500</stp>
        <tr r="DF122" s="1"/>
        <tr r="DF122" s="1"/>
      </tp>
      <tp>
        <v>24</v>
        <stp/>
        <stp>VOLUME</stp>
        <stp>.QQQ250516P502</stp>
        <tr r="BF45" s="1"/>
        <tr r="BF45" s="1"/>
      </tp>
      <tp>
        <v>366</v>
        <stp/>
        <stp>VOLUME</stp>
        <stp>.QQQ250516C502</stp>
        <tr r="BE45" s="1"/>
        <tr r="BE45" s="1"/>
      </tp>
      <tp>
        <v>116</v>
        <stp/>
        <stp>VOLUME</stp>
        <stp>.QQQ250516P500</stp>
        <tr r="BF47" s="1"/>
        <tr r="BF47" s="1"/>
      </tp>
      <tp>
        <v>7416</v>
        <stp/>
        <stp>VOLUME</stp>
        <stp>.QQQ250516C500</stp>
        <tr r="BE47" s="1"/>
        <tr r="BE47" s="1"/>
      </tp>
      <tp>
        <v>1</v>
        <stp/>
        <stp>VOLUME</stp>
        <stp>.QQQ250516P501</stp>
        <tr r="BF46" s="1"/>
        <tr r="BF46" s="1"/>
      </tp>
      <tp>
        <v>288</v>
        <stp/>
        <stp>VOLUME</stp>
        <stp>.QQQ250516C501</stp>
        <tr r="BE46" s="1"/>
        <tr r="BE46" s="1"/>
      </tp>
      <tp>
        <v>68</v>
        <stp/>
        <stp>VOLUME</stp>
        <stp>.QQQ250507P502</stp>
        <tr r="BB45" s="1"/>
        <tr r="BB45" s="1"/>
      </tp>
      <tp>
        <v>4614</v>
        <stp/>
        <stp>VOLUME</stp>
        <stp>.QQQ250507C502</stp>
        <tr r="BA45" s="1"/>
        <tr r="BA45" s="1"/>
      </tp>
      <tp>
        <v>9</v>
        <stp/>
        <stp>VOLUME</stp>
        <stp>.QQQ250507P501</stp>
        <tr r="BB46" s="1"/>
        <tr r="BB46" s="1"/>
      </tp>
      <tp>
        <v>10231</v>
        <stp/>
        <stp>VOLUME</stp>
        <stp>.QQQ250507C501</stp>
        <tr r="BA46" s="1"/>
        <tr r="BA46" s="1"/>
      </tp>
      <tp>
        <v>252</v>
        <stp/>
        <stp>VOLUME</stp>
        <stp>.QQQ250507P500</stp>
        <tr r="BB47" s="1"/>
        <tr r="BB47" s="1"/>
      </tp>
      <tp>
        <v>8640</v>
        <stp/>
        <stp>VOLUME</stp>
        <stp>.QQQ250507C500</stp>
        <tr r="BA47" s="1"/>
        <tr r="BA47" s="1"/>
      </tp>
      <tp t="s">
        <v>N/A</v>
        <stp/>
        <stp>VOLUME</stp>
        <stp>.QQQ250509P501</stp>
        <tr r="BD46" s="1"/>
      </tp>
      <tp>
        <v>1804</v>
        <stp/>
        <stp>VOLUME</stp>
        <stp>.QQQ250509C501</stp>
        <tr r="BC46" s="1"/>
        <tr r="BC46" s="1"/>
      </tp>
      <tp>
        <v>12</v>
        <stp/>
        <stp>VOLUME</stp>
        <stp>.QQQ250509P500</stp>
        <tr r="BD47" s="1"/>
        <tr r="BD47" s="1"/>
      </tp>
      <tp>
        <v>5260</v>
        <stp/>
        <stp>VOLUME</stp>
        <stp>.QQQ250509C500</stp>
        <tr r="BC47" s="1"/>
        <tr r="BC47" s="1"/>
      </tp>
      <tp t="s">
        <v>N/A</v>
        <stp/>
        <stp>VOLUME</stp>
        <stp>.QQQ250509P502</stp>
        <tr r="BD45" s="1"/>
      </tp>
      <tp>
        <v>344</v>
        <stp/>
        <stp>VOLUME</stp>
        <stp>.QQQ250509C502</stp>
        <tr r="BC45" s="1"/>
        <tr r="BC45" s="1"/>
      </tp>
      <tp>
        <v>106</v>
        <stp/>
        <stp>VOLUME</stp>
        <stp>.QQQ250530P500</stp>
        <tr r="I48" s="2"/>
        <tr r="I48" s="2"/>
      </tp>
      <tp>
        <v>4359</v>
        <stp/>
        <stp>VOLUME</stp>
        <stp>.QQQ250530C500</stp>
        <tr r="I48" s="2"/>
        <tr r="I48" s="2"/>
      </tp>
      <tp>
        <v>123</v>
        <stp/>
        <stp>VOLUME</stp>
        <stp>.QQQ250530P501</stp>
        <tr r="I47" s="2"/>
        <tr r="I47" s="2"/>
      </tp>
      <tp>
        <v>102</v>
        <stp/>
        <stp>VOLUME</stp>
        <stp>.QQQ250530C501</stp>
        <tr r="I47" s="2"/>
        <tr r="I47" s="2"/>
      </tp>
      <tp>
        <v>1</v>
        <stp/>
        <stp>VOLUME</stp>
        <stp>.QQQ250530P502</stp>
        <tr r="I46" s="2"/>
        <tr r="I46" s="2"/>
      </tp>
      <tp>
        <v>52</v>
        <stp/>
        <stp>VOLUME</stp>
        <stp>.QQQ250530C502</stp>
        <tr r="I46" s="2"/>
        <tr r="I46" s="2"/>
      </tp>
      <tp>
        <v>14</v>
        <stp/>
        <stp>VOLUME</stp>
        <stp>.QQQ250523P502</stp>
        <tr r="H46" s="2"/>
        <tr r="H46" s="2"/>
      </tp>
      <tp>
        <v>131</v>
        <stp/>
        <stp>VOLUME</stp>
        <stp>.QQQ250523C502</stp>
        <tr r="H46" s="2"/>
        <tr r="H46" s="2"/>
      </tp>
      <tp t="s">
        <v>N/A</v>
        <stp/>
        <stp>VOLUME</stp>
        <stp>.QQQ250523P501</stp>
        <tr r="H47" s="2"/>
      </tp>
      <tp>
        <v>41</v>
        <stp/>
        <stp>VOLUME</stp>
        <stp>.QQQ250523C501</stp>
        <tr r="H47" s="2"/>
        <tr r="H47" s="2"/>
      </tp>
      <tp>
        <v>134</v>
        <stp/>
        <stp>VOLUME</stp>
        <stp>.QQQ250523P500</stp>
        <tr r="H48" s="2"/>
        <tr r="H48" s="2"/>
      </tp>
      <tp>
        <v>1097</v>
        <stp/>
        <stp>VOLUME</stp>
        <stp>.QQQ250523C500</stp>
        <tr r="H48" s="2"/>
        <tr r="H48" s="2"/>
      </tp>
      <tp>
        <v>137.30000000000001</v>
        <stp/>
        <stp>BID</stp>
        <stp>.SPXW250507C5490</stp>
        <tr r="DE123" s="1"/>
        <tr r="DE123" s="1"/>
      </tp>
      <tp>
        <v>0</v>
        <stp/>
        <stp>BID</stp>
        <stp>.SPXW250507P5490</stp>
        <tr r="DF123" s="1"/>
        <tr r="DF123" s="1"/>
      </tp>
      <tp>
        <v>138.19999999999999</v>
        <stp/>
        <stp>BID</stp>
        <stp>.SPXW250507C5480</stp>
        <tr r="DE124" s="1"/>
        <tr r="DE124" s="1"/>
      </tp>
      <tp>
        <v>0</v>
        <stp/>
        <stp>BID</stp>
        <stp>.SPXW250507P5480</stp>
        <tr r="DF124" s="1"/>
        <tr r="DF124" s="1"/>
      </tp>
      <tp>
        <v>148</v>
        <stp/>
        <stp>BID</stp>
        <stp>.SPXW250507C5470</stp>
        <tr r="DE125" s="1"/>
        <tr r="DE125" s="1"/>
      </tp>
      <tp>
        <v>0</v>
        <stp/>
        <stp>BID</stp>
        <stp>.SPXW250507P5470</stp>
        <tr r="DF125" s="1"/>
        <tr r="DF125" s="1"/>
      </tp>
      <tp>
        <v>157</v>
        <stp/>
        <stp>BID</stp>
        <stp>.SPXW250507C5460</stp>
        <tr r="DE126" s="1"/>
        <tr r="DE126" s="1"/>
      </tp>
      <tp>
        <v>0</v>
        <stp/>
        <stp>BID</stp>
        <stp>.SPXW250507P5460</stp>
        <tr r="DF126" s="1"/>
        <tr r="DF126" s="1"/>
      </tp>
      <tp>
        <v>167</v>
        <stp/>
        <stp>BID</stp>
        <stp>.SPXW250507C5450</stp>
        <tr r="DE127" s="1"/>
        <tr r="DE127" s="1"/>
      </tp>
      <tp>
        <v>0</v>
        <stp/>
        <stp>BID</stp>
        <stp>.SPXW250507P5450</stp>
        <tr r="DF127" s="1"/>
        <tr r="DF127" s="1"/>
      </tp>
      <tp>
        <v>177</v>
        <stp/>
        <stp>BID</stp>
        <stp>.SPXW250507C5440</stp>
        <tr r="DE128" s="1"/>
        <tr r="DE128" s="1"/>
      </tp>
      <tp>
        <v>0</v>
        <stp/>
        <stp>BID</stp>
        <stp>.SPXW250507P5440</stp>
        <tr r="DF128" s="1"/>
        <tr r="DF128" s="1"/>
      </tp>
      <tp>
        <v>188</v>
        <stp/>
        <stp>BID</stp>
        <stp>.SPXW250507C5430</stp>
        <tr r="DE129" s="1"/>
        <tr r="DE129" s="1"/>
      </tp>
      <tp>
        <v>0</v>
        <stp/>
        <stp>BID</stp>
        <stp>.SPXW250507P5430</stp>
        <tr r="DF129" s="1"/>
        <tr r="DF129" s="1"/>
      </tp>
      <tp>
        <v>197.9</v>
        <stp/>
        <stp>BID</stp>
        <stp>.SPXW250507C5420</stp>
        <tr r="DE130" s="1"/>
        <tr r="DE130" s="1"/>
      </tp>
      <tp>
        <v>0</v>
        <stp/>
        <stp>BID</stp>
        <stp>.SPXW250507P5420</stp>
        <tr r="DF130" s="1"/>
        <tr r="DF130" s="1"/>
      </tp>
      <tp>
        <v>140</v>
        <stp/>
        <stp>VOLUME</stp>
        <stp>.QQQ250507P493</stp>
        <tr r="BB54" s="1"/>
        <tr r="BB54" s="1"/>
      </tp>
      <tp>
        <v>792</v>
        <stp/>
        <stp>VOLUME</stp>
        <stp>.QQQ250516P482</stp>
        <tr r="BF65" s="1"/>
        <tr r="BF65" s="1"/>
      </tp>
      <tp>
        <v>4765</v>
        <stp/>
        <stp>VOLUME</stp>
        <stp>.QQQ250507C493</stp>
        <tr r="BA54" s="1"/>
        <tr r="BA54" s="1"/>
      </tp>
      <tp>
        <v>1467</v>
        <stp/>
        <stp>VOLUME</stp>
        <stp>.QQQ250516C482</stp>
        <tr r="BE65" s="1"/>
        <tr r="BE65" s="1"/>
      </tp>
      <tp>
        <v>72</v>
        <stp/>
        <stp>VOLUME</stp>
        <stp>.QQQ250507P492</stp>
        <tr r="BB55" s="1"/>
        <tr r="BB55" s="1"/>
      </tp>
      <tp>
        <v>1075</v>
        <stp/>
        <stp>VOLUME</stp>
        <stp>.QQQ250516P483</stp>
        <tr r="BF64" s="1"/>
        <tr r="BF64" s="1"/>
      </tp>
      <tp>
        <v>12845</v>
        <stp/>
        <stp>VOLUME</stp>
        <stp>.QQQ250507C492</stp>
        <tr r="BA55" s="1"/>
        <tr r="BA55" s="1"/>
      </tp>
      <tp>
        <v>997</v>
        <stp/>
        <stp>VOLUME</stp>
        <stp>.QQQ250516C483</stp>
        <tr r="BE64" s="1"/>
        <tr r="BE64" s="1"/>
      </tp>
      <tp>
        <v>102</v>
        <stp/>
        <stp>VOLUME</stp>
        <stp>.QQQ250507P491</stp>
        <tr r="BB56" s="1"/>
        <tr r="BB56" s="1"/>
      </tp>
      <tp>
        <v>15674</v>
        <stp/>
        <stp>VOLUME</stp>
        <stp>.QQQ250516P480</stp>
        <tr r="BF67" s="1"/>
        <tr r="BF67" s="1"/>
      </tp>
      <tp>
        <v>14079</v>
        <stp/>
        <stp>VOLUME</stp>
        <stp>.QQQ250507C491</stp>
        <tr r="BA56" s="1"/>
        <tr r="BA56" s="1"/>
      </tp>
      <tp>
        <v>4903</v>
        <stp/>
        <stp>VOLUME</stp>
        <stp>.QQQ250516C480</stp>
        <tr r="BE67" s="1"/>
        <tr r="BE67" s="1"/>
      </tp>
      <tp>
        <v>1150</v>
        <stp/>
        <stp>VOLUME</stp>
        <stp>.QQQ250507P490</stp>
        <tr r="BB57" s="1"/>
        <tr r="BB57" s="1"/>
      </tp>
      <tp>
        <v>3377</v>
        <stp/>
        <stp>VOLUME</stp>
        <stp>.QQQ250516P481</stp>
        <tr r="BF66" s="1"/>
        <tr r="BF66" s="1"/>
      </tp>
      <tp>
        <v>95431</v>
        <stp/>
        <stp>VOLUME</stp>
        <stp>.QQQ250507C490</stp>
        <tr r="BA57" s="1"/>
        <tr r="BA57" s="1"/>
      </tp>
      <tp>
        <v>1026</v>
        <stp/>
        <stp>VOLUME</stp>
        <stp>.QQQ250516C481</stp>
        <tr r="BE66" s="1"/>
        <tr r="BE66" s="1"/>
      </tp>
      <tp>
        <v>8</v>
        <stp/>
        <stp>VOLUME</stp>
        <stp>.QQQ250507P497</stp>
        <tr r="BB50" s="1"/>
        <tr r="BB50" s="1"/>
      </tp>
      <tp t="s">
        <v>N/A</v>
        <stp/>
        <stp>VOLUME</stp>
        <stp>.QQQ250509P499</stp>
        <tr r="BD48" s="1"/>
      </tp>
      <tp>
        <v>111</v>
        <stp/>
        <stp>VOLUME</stp>
        <stp>.QQQ250516P486</stp>
        <tr r="BF61" s="1"/>
        <tr r="BF61" s="1"/>
      </tp>
      <tp>
        <v>1223</v>
        <stp/>
        <stp>VOLUME</stp>
        <stp>.QQQ250507C497</stp>
        <tr r="BA50" s="1"/>
        <tr r="BA50" s="1"/>
      </tp>
      <tp>
        <v>299</v>
        <stp/>
        <stp>VOLUME</stp>
        <stp>.QQQ250509C499</stp>
        <tr r="BC48" s="1"/>
        <tr r="BC48" s="1"/>
      </tp>
      <tp>
        <v>755</v>
        <stp/>
        <stp>VOLUME</stp>
        <stp>.QQQ250516C486</stp>
        <tr r="BE61" s="1"/>
        <tr r="BE61" s="1"/>
      </tp>
      <tp>
        <v>17</v>
        <stp/>
        <stp>VOLUME</stp>
        <stp>.QQQ250507P496</stp>
        <tr r="BB51" s="1"/>
        <tr r="BB51" s="1"/>
      </tp>
      <tp>
        <v>5</v>
        <stp/>
        <stp>VOLUME</stp>
        <stp>.QQQ250509P498</stp>
        <tr r="BD49" s="1"/>
        <tr r="BD49" s="1"/>
      </tp>
      <tp>
        <v>103</v>
        <stp/>
        <stp>VOLUME</stp>
        <stp>.QQQ250516P487</stp>
        <tr r="BF60" s="1"/>
        <tr r="BF60" s="1"/>
      </tp>
      <tp>
        <v>2195</v>
        <stp/>
        <stp>VOLUME</stp>
        <stp>.QQQ250507C496</stp>
        <tr r="BA51" s="1"/>
        <tr r="BA51" s="1"/>
      </tp>
      <tp>
        <v>956</v>
        <stp/>
        <stp>VOLUME</stp>
        <stp>.QQQ250509C498</stp>
        <tr r="BC49" s="1"/>
        <tr r="BC49" s="1"/>
      </tp>
      <tp>
        <v>668</v>
        <stp/>
        <stp>VOLUME</stp>
        <stp>.QQQ250516C487</stp>
        <tr r="BE60" s="1"/>
        <tr r="BE60" s="1"/>
      </tp>
      <tp>
        <v>86</v>
        <stp/>
        <stp>VOLUME</stp>
        <stp>.QQQ250507P495</stp>
        <tr r="BB52" s="1"/>
        <tr r="BB52" s="1"/>
      </tp>
      <tp>
        <v>465</v>
        <stp/>
        <stp>VOLUME</stp>
        <stp>.QQQ250516P484</stp>
        <tr r="BF63" s="1"/>
        <tr r="BF63" s="1"/>
      </tp>
      <tp>
        <v>3233</v>
        <stp/>
        <stp>VOLUME</stp>
        <stp>.QQQ250507C495</stp>
        <tr r="BA52" s="1"/>
        <tr r="BA52" s="1"/>
      </tp>
      <tp>
        <v>638</v>
        <stp/>
        <stp>VOLUME</stp>
        <stp>.QQQ250516C484</stp>
        <tr r="BE63" s="1"/>
        <tr r="BE63" s="1"/>
      </tp>
      <tp>
        <v>50</v>
        <stp/>
        <stp>VOLUME</stp>
        <stp>.QQQ250507P494</stp>
        <tr r="BB53" s="1"/>
        <tr r="BB53" s="1"/>
      </tp>
      <tp>
        <v>8081</v>
        <stp/>
        <stp>VOLUME</stp>
        <stp>.QQQ250516P485</stp>
        <tr r="BF62" s="1"/>
        <tr r="BF62" s="1"/>
      </tp>
      <tp>
        <v>5537</v>
        <stp/>
        <stp>VOLUME</stp>
        <stp>.QQQ250507C494</stp>
        <tr r="BA53" s="1"/>
        <tr r="BA53" s="1"/>
      </tp>
      <tp>
        <v>4668</v>
        <stp/>
        <stp>VOLUME</stp>
        <stp>.QQQ250516C485</stp>
        <tr r="BE62" s="1"/>
        <tr r="BE62" s="1"/>
      </tp>
      <tp>
        <v>169</v>
        <stp/>
        <stp>VOLUME</stp>
        <stp>.QQQ250509P495</stp>
        <tr r="BD52" s="1"/>
        <tr r="BD52" s="1"/>
      </tp>
      <tp>
        <v>5971</v>
        <stp/>
        <stp>VOLUME</stp>
        <stp>.QQQ250509C495</stp>
        <tr r="BC52" s="1"/>
        <tr r="BC52" s="1"/>
      </tp>
      <tp>
        <v>8</v>
        <stp/>
        <stp>VOLUME</stp>
        <stp>.QQQ250509P494</stp>
        <tr r="BD53" s="1"/>
        <tr r="BD53" s="1"/>
      </tp>
      <tp>
        <v>1545</v>
        <stp/>
        <stp>VOLUME</stp>
        <stp>.QQQ250509C494</stp>
        <tr r="BC53" s="1"/>
        <tr r="BC53" s="1"/>
      </tp>
      <tp>
        <v>2</v>
        <stp/>
        <stp>VOLUME</stp>
        <stp>.QQQ250507P499</stp>
        <tr r="BB48" s="1"/>
        <tr r="BB48" s="1"/>
      </tp>
      <tp>
        <v>200</v>
        <stp/>
        <stp>VOLUME</stp>
        <stp>.QQQ250509P497</stp>
        <tr r="BD50" s="1"/>
        <tr r="BD50" s="1"/>
      </tp>
      <tp>
        <v>60</v>
        <stp/>
        <stp>VOLUME</stp>
        <stp>.QQQ250516P488</stp>
        <tr r="BF59" s="1"/>
        <tr r="BF59" s="1"/>
      </tp>
      <tp>
        <v>1787</v>
        <stp/>
        <stp>VOLUME</stp>
        <stp>.QQQ250507C499</stp>
        <tr r="BA48" s="1"/>
        <tr r="BA48" s="1"/>
      </tp>
      <tp>
        <v>2029</v>
        <stp/>
        <stp>VOLUME</stp>
        <stp>.QQQ250509C497</stp>
        <tr r="BC50" s="1"/>
        <tr r="BC50" s="1"/>
      </tp>
      <tp>
        <v>687</v>
        <stp/>
        <stp>VOLUME</stp>
        <stp>.QQQ250516C488</stp>
        <tr r="BE59" s="1"/>
        <tr r="BE59" s="1"/>
      </tp>
      <tp>
        <v>9</v>
        <stp/>
        <stp>VOLUME</stp>
        <stp>.QQQ250507P498</stp>
        <tr r="BB49" s="1"/>
        <tr r="BB49" s="1"/>
      </tp>
      <tp>
        <v>202</v>
        <stp/>
        <stp>VOLUME</stp>
        <stp>.QQQ250509P496</stp>
        <tr r="BD51" s="1"/>
        <tr r="BD51" s="1"/>
      </tp>
      <tp>
        <v>16</v>
        <stp/>
        <stp>VOLUME</stp>
        <stp>.QQQ250516P489</stp>
        <tr r="BF58" s="1"/>
        <tr r="BF58" s="1"/>
      </tp>
      <tp>
        <v>2585</v>
        <stp/>
        <stp>VOLUME</stp>
        <stp>.QQQ250507C498</stp>
        <tr r="BA49" s="1"/>
        <tr r="BA49" s="1"/>
      </tp>
      <tp>
        <v>1174</v>
        <stp/>
        <stp>VOLUME</stp>
        <stp>.QQQ250509C496</stp>
        <tr r="BC51" s="1"/>
        <tr r="BC51" s="1"/>
      </tp>
      <tp>
        <v>406</v>
        <stp/>
        <stp>VOLUME</stp>
        <stp>.QQQ250516C489</stp>
        <tr r="BE58" s="1"/>
        <tr r="BE58" s="1"/>
      </tp>
      <tp>
        <v>37</v>
        <stp/>
        <stp>VOLUME</stp>
        <stp>.QQQ250509P491</stp>
        <tr r="BD56" s="1"/>
        <tr r="BD56" s="1"/>
      </tp>
      <tp>
        <v>2591</v>
        <stp/>
        <stp>VOLUME</stp>
        <stp>.QQQ250509C491</stp>
        <tr r="BC56" s="1"/>
        <tr r="BC56" s="1"/>
      </tp>
      <tp>
        <v>998</v>
        <stp/>
        <stp>VOLUME</stp>
        <stp>.QQQ250509P490</stp>
        <tr r="BD57" s="1"/>
        <tr r="BD57" s="1"/>
      </tp>
      <tp>
        <v>21906</v>
        <stp/>
        <stp>VOLUME</stp>
        <stp>.QQQ250509C490</stp>
        <tr r="BC57" s="1"/>
        <tr r="BC57" s="1"/>
      </tp>
      <tp>
        <v>50</v>
        <stp/>
        <stp>VOLUME</stp>
        <stp>.QQQ250509P493</stp>
        <tr r="BD54" s="1"/>
        <tr r="BD54" s="1"/>
      </tp>
      <tp>
        <v>1611</v>
        <stp/>
        <stp>VOLUME</stp>
        <stp>.QQQ250509C493</stp>
        <tr r="BC54" s="1"/>
        <tr r="BC54" s="1"/>
      </tp>
      <tp>
        <v>157</v>
        <stp/>
        <stp>VOLUME</stp>
        <stp>.QQQ250509P492</stp>
        <tr r="BD55" s="1"/>
        <tr r="BD55" s="1"/>
      </tp>
      <tp>
        <v>1968</v>
        <stp/>
        <stp>VOLUME</stp>
        <stp>.QQQ250509C492</stp>
        <tr r="BC55" s="1"/>
        <tr r="BC55" s="1"/>
      </tp>
      <tp>
        <v>42016</v>
        <stp/>
        <stp>VOLUME</stp>
        <stp>.QQQ250507P483</stp>
        <tr r="BB64" s="1"/>
        <tr r="BB64" s="1"/>
      </tp>
      <tp>
        <v>23</v>
        <stp/>
        <stp>VOLUME</stp>
        <stp>.QQQ250516P492</stp>
        <tr r="BF55" s="1"/>
        <tr r="BF55" s="1"/>
      </tp>
      <tp>
        <v>139383</v>
        <stp/>
        <stp>VOLUME</stp>
        <stp>.QQQ250507C483</stp>
        <tr r="BA64" s="1"/>
        <tr r="BA64" s="1"/>
      </tp>
      <tp>
        <v>323</v>
        <stp/>
        <stp>VOLUME</stp>
        <stp>.QQQ250516C492</stp>
        <tr r="BE55" s="1"/>
        <tr r="BE55" s="1"/>
      </tp>
      <tp>
        <v>65510</v>
        <stp/>
        <stp>VOLUME</stp>
        <stp>.QQQ250507P482</stp>
        <tr r="BB65" s="1"/>
        <tr r="BB65" s="1"/>
      </tp>
      <tp>
        <v>10</v>
        <stp/>
        <stp>VOLUME</stp>
        <stp>.QQQ250516P493</stp>
        <tr r="BF54" s="1"/>
        <tr r="BF54" s="1"/>
      </tp>
      <tp>
        <v>141093</v>
        <stp/>
        <stp>VOLUME</stp>
        <stp>.QQQ250507C482</stp>
        <tr r="BA65" s="1"/>
        <tr r="BA65" s="1"/>
      </tp>
      <tp>
        <v>1031</v>
        <stp/>
        <stp>VOLUME</stp>
        <stp>.QQQ250516C493</stp>
        <tr r="BE54" s="1"/>
        <tr r="BE54" s="1"/>
      </tp>
      <tp>
        <v>75197</v>
        <stp/>
        <stp>VOLUME</stp>
        <stp>.QQQ250507P481</stp>
        <tr r="BB66" s="1"/>
        <tr r="BB66" s="1"/>
      </tp>
      <tp>
        <v>2346</v>
        <stp/>
        <stp>VOLUME</stp>
        <stp>.QQQ250516P490</stp>
        <tr r="BF57" s="1"/>
        <tr r="BF57" s="1"/>
      </tp>
      <tp>
        <v>113232</v>
        <stp/>
        <stp>VOLUME</stp>
        <stp>.QQQ250507C481</stp>
        <tr r="BA66" s="1"/>
        <tr r="BA66" s="1"/>
      </tp>
      <tp>
        <v>9609</v>
        <stp/>
        <stp>VOLUME</stp>
        <stp>.QQQ250516C490</stp>
        <tr r="BE57" s="1"/>
        <tr r="BE57" s="1"/>
      </tp>
      <tp>
        <v>147237</v>
        <stp/>
        <stp>VOLUME</stp>
        <stp>.QQQ250507P480</stp>
        <tr r="BB67" s="1"/>
        <tr r="BB67" s="1"/>
      </tp>
      <tp>
        <v>25</v>
        <stp/>
        <stp>VOLUME</stp>
        <stp>.QQQ250516P491</stp>
        <tr r="BF56" s="1"/>
        <tr r="BF56" s="1"/>
      </tp>
      <tp>
        <v>94357</v>
        <stp/>
        <stp>VOLUME</stp>
        <stp>.QQQ250507C480</stp>
        <tr r="BA67" s="1"/>
        <tr r="BA67" s="1"/>
      </tp>
      <tp>
        <v>492</v>
        <stp/>
        <stp>VOLUME</stp>
        <stp>.QQQ250516C491</stp>
        <tr r="BE56" s="1"/>
        <tr r="BE56" s="1"/>
      </tp>
      <tp>
        <v>2133</v>
        <stp/>
        <stp>VOLUME</stp>
        <stp>.QQQ250507P487</stp>
        <tr r="BB60" s="1"/>
        <tr r="BB60" s="1"/>
      </tp>
      <tp>
        <v>380</v>
        <stp/>
        <stp>VOLUME</stp>
        <stp>.QQQ250509P489</stp>
        <tr r="BD58" s="1"/>
        <tr r="BD58" s="1"/>
      </tp>
      <tp>
        <v>15</v>
        <stp/>
        <stp>VOLUME</stp>
        <stp>.QQQ250516P496</stp>
        <tr r="BF51" s="1"/>
        <tr r="BF51" s="1"/>
      </tp>
      <tp>
        <v>59009</v>
        <stp/>
        <stp>VOLUME</stp>
        <stp>.QQQ250507C487</stp>
        <tr r="BA60" s="1"/>
        <tr r="BA60" s="1"/>
      </tp>
      <tp>
        <v>4055</v>
        <stp/>
        <stp>VOLUME</stp>
        <stp>.QQQ250509C489</stp>
        <tr r="BC58" s="1"/>
        <tr r="BC58" s="1"/>
      </tp>
      <tp>
        <v>396</v>
        <stp/>
        <stp>VOLUME</stp>
        <stp>.QQQ250516C496</stp>
        <tr r="BE51" s="1"/>
        <tr r="BE51" s="1"/>
      </tp>
      <tp>
        <v>8936</v>
        <stp/>
        <stp>VOLUME</stp>
        <stp>.QQQ250507P486</stp>
        <tr r="BB61" s="1"/>
        <tr r="BB61" s="1"/>
      </tp>
      <tp>
        <v>411</v>
        <stp/>
        <stp>VOLUME</stp>
        <stp>.QQQ250509P488</stp>
        <tr r="BD59" s="1"/>
        <tr r="BD59" s="1"/>
      </tp>
      <tp>
        <v>7</v>
        <stp/>
        <stp>VOLUME</stp>
        <stp>.QQQ250516P497</stp>
        <tr r="BF50" s="1"/>
        <tr r="BF50" s="1"/>
      </tp>
      <tp>
        <v>63597</v>
        <stp/>
        <stp>VOLUME</stp>
        <stp>.QQQ250507C486</stp>
        <tr r="BA61" s="1"/>
        <tr r="BA61" s="1"/>
      </tp>
      <tp>
        <v>5473</v>
        <stp/>
        <stp>VOLUME</stp>
        <stp>.QQQ250509C488</stp>
        <tr r="BC59" s="1"/>
        <tr r="BC59" s="1"/>
      </tp>
      <tp>
        <v>1020</v>
        <stp/>
        <stp>VOLUME</stp>
        <stp>.QQQ250516C497</stp>
        <tr r="BE50" s="1"/>
        <tr r="BE50" s="1"/>
      </tp>
      <tp>
        <v>7730</v>
        <stp/>
        <stp>VOLUME</stp>
        <stp>.QQQ250507P485</stp>
        <tr r="BB62" s="1"/>
        <tr r="BB62" s="1"/>
      </tp>
      <tp>
        <v>8</v>
        <stp/>
        <stp>VOLUME</stp>
        <stp>.QQQ250516P494</stp>
        <tr r="BF53" s="1"/>
        <tr r="BF53" s="1"/>
      </tp>
      <tp>
        <v>129656</v>
        <stp/>
        <stp>VOLUME</stp>
        <stp>.QQQ250507C485</stp>
        <tr r="BA62" s="1"/>
        <tr r="BA62" s="1"/>
      </tp>
      <tp>
        <v>510</v>
        <stp/>
        <stp>VOLUME</stp>
        <stp>.QQQ250516C494</stp>
        <tr r="BE53" s="1"/>
        <tr r="BE53" s="1"/>
      </tp>
      <tp>
        <v>22627</v>
        <stp/>
        <stp>VOLUME</stp>
        <stp>.QQQ250507P484</stp>
        <tr r="BB63" s="1"/>
        <tr r="BB63" s="1"/>
      </tp>
      <tp>
        <v>148</v>
        <stp/>
        <stp>VOLUME</stp>
        <stp>.QQQ250516P495</stp>
        <tr r="BF52" s="1"/>
        <tr r="BF52" s="1"/>
      </tp>
      <tp>
        <v>131210</v>
        <stp/>
        <stp>VOLUME</stp>
        <stp>.QQQ250507C484</stp>
        <tr r="BA63" s="1"/>
        <tr r="BA63" s="1"/>
      </tp>
      <tp>
        <v>3060</v>
        <stp/>
        <stp>VOLUME</stp>
        <stp>.QQQ250516C495</stp>
        <tr r="BE52" s="1"/>
        <tr r="BE52" s="1"/>
      </tp>
      <tp>
        <v>5241</v>
        <stp/>
        <stp>VOLUME</stp>
        <stp>.QQQ250509P485</stp>
        <tr r="BD62" s="1"/>
        <tr r="BD62" s="1"/>
      </tp>
      <tp>
        <v>29506</v>
        <stp/>
        <stp>VOLUME</stp>
        <stp>.QQQ250509C485</stp>
        <tr r="BC62" s="1"/>
        <tr r="BC62" s="1"/>
      </tp>
      <tp>
        <v>3028</v>
        <stp/>
        <stp>VOLUME</stp>
        <stp>.QQQ250509P484</stp>
        <tr r="BD63" s="1"/>
        <tr r="BD63" s="1"/>
      </tp>
      <tp>
        <v>7302</v>
        <stp/>
        <stp>VOLUME</stp>
        <stp>.QQQ250509C484</stp>
        <tr r="BC63" s="1"/>
        <tr r="BC63" s="1"/>
      </tp>
      <tp>
        <v>307</v>
        <stp/>
        <stp>VOLUME</stp>
        <stp>.QQQ250507P489</stp>
        <tr r="BB58" s="1"/>
        <tr r="BB58" s="1"/>
      </tp>
      <tp>
        <v>817</v>
        <stp/>
        <stp>VOLUME</stp>
        <stp>.QQQ250509P487</stp>
        <tr r="BD60" s="1"/>
        <tr r="BD60" s="1"/>
      </tp>
      <tp>
        <v>10</v>
        <stp/>
        <stp>VOLUME</stp>
        <stp>.QQQ250516P498</stp>
        <tr r="BF49" s="1"/>
        <tr r="BF49" s="1"/>
      </tp>
      <tp>
        <v>20887</v>
        <stp/>
        <stp>VOLUME</stp>
        <stp>.QQQ250507C489</stp>
        <tr r="BA58" s="1"/>
        <tr r="BA58" s="1"/>
      </tp>
      <tp>
        <v>4796</v>
        <stp/>
        <stp>VOLUME</stp>
        <stp>.QQQ250509C487</stp>
        <tr r="BC60" s="1"/>
        <tr r="BC60" s="1"/>
      </tp>
      <tp>
        <v>891</v>
        <stp/>
        <stp>VOLUME</stp>
        <stp>.QQQ250516C498</stp>
        <tr r="BE49" s="1"/>
        <tr r="BE49" s="1"/>
      </tp>
      <tp>
        <v>1619</v>
        <stp/>
        <stp>VOLUME</stp>
        <stp>.QQQ250507P488</stp>
        <tr r="BB59" s="1"/>
        <tr r="BB59" s="1"/>
      </tp>
      <tp>
        <v>453</v>
        <stp/>
        <stp>VOLUME</stp>
        <stp>.QQQ250509P486</stp>
        <tr r="BD61" s="1"/>
        <tr r="BD61" s="1"/>
      </tp>
      <tp>
        <v>1</v>
        <stp/>
        <stp>VOLUME</stp>
        <stp>.QQQ250516P499</stp>
        <tr r="BF48" s="1"/>
        <tr r="BF48" s="1"/>
      </tp>
      <tp>
        <v>35257</v>
        <stp/>
        <stp>VOLUME</stp>
        <stp>.QQQ250507C488</stp>
        <tr r="BA59" s="1"/>
        <tr r="BA59" s="1"/>
      </tp>
      <tp>
        <v>5445</v>
        <stp/>
        <stp>VOLUME</stp>
        <stp>.QQQ250509C486</stp>
        <tr r="BC61" s="1"/>
        <tr r="BC61" s="1"/>
      </tp>
      <tp>
        <v>920</v>
        <stp/>
        <stp>VOLUME</stp>
        <stp>.QQQ250516C499</stp>
        <tr r="BE48" s="1"/>
        <tr r="BE48" s="1"/>
      </tp>
      <tp>
        <v>6291</v>
        <stp/>
        <stp>VOLUME</stp>
        <stp>.QQQ250509P481</stp>
        <tr r="BD66" s="1"/>
        <tr r="BD66" s="1"/>
      </tp>
      <tp>
        <v>6764</v>
        <stp/>
        <stp>VOLUME</stp>
        <stp>.QQQ250509C481</stp>
        <tr r="BC66" s="1"/>
        <tr r="BC66" s="1"/>
      </tp>
      <tp>
        <v>20881</v>
        <stp/>
        <stp>VOLUME</stp>
        <stp>.QQQ250509P480</stp>
        <tr r="BD67" s="1"/>
        <tr r="BD67" s="1"/>
      </tp>
      <tp>
        <v>12039</v>
        <stp/>
        <stp>VOLUME</stp>
        <stp>.QQQ250509C480</stp>
        <tr r="BC67" s="1"/>
        <tr r="BC67" s="1"/>
      </tp>
      <tp>
        <v>5117</v>
        <stp/>
        <stp>VOLUME</stp>
        <stp>.QQQ250509P483</stp>
        <tr r="BD64" s="1"/>
        <tr r="BD64" s="1"/>
      </tp>
      <tp>
        <v>5797</v>
        <stp/>
        <stp>VOLUME</stp>
        <stp>.QQQ250509C483</stp>
        <tr r="BC64" s="1"/>
        <tr r="BC64" s="1"/>
      </tp>
      <tp>
        <v>6407</v>
        <stp/>
        <stp>VOLUME</stp>
        <stp>.QQQ250509P482</stp>
        <tr r="BD65" s="1"/>
        <tr r="BD65" s="1"/>
      </tp>
      <tp>
        <v>12135</v>
        <stp/>
        <stp>VOLUME</stp>
        <stp>.QQQ250509C482</stp>
        <tr r="BC65" s="1"/>
        <tr r="BC65" s="1"/>
      </tp>
      <tp>
        <v>122</v>
        <stp/>
        <stp>VOLUME</stp>
        <stp>.QQQ250523P497</stp>
        <tr r="H51" s="2"/>
        <tr r="H51" s="2"/>
      </tp>
      <tp>
        <v>367</v>
        <stp/>
        <stp>VOLUME</stp>
        <stp>.QQQ250530P484</stp>
        <tr r="I64" s="2"/>
        <tr r="I64" s="2"/>
      </tp>
      <tp>
        <v>18</v>
        <stp/>
        <stp>VOLUME</stp>
        <stp>.QQQ250523C497</stp>
        <tr r="H51" s="2"/>
        <tr r="H51" s="2"/>
      </tp>
      <tp>
        <v>191</v>
        <stp/>
        <stp>VOLUME</stp>
        <stp>.QQQ250530C484</stp>
        <tr r="I64" s="2"/>
        <tr r="I64" s="2"/>
      </tp>
      <tp>
        <v>100</v>
        <stp/>
        <stp>VOLUME</stp>
        <stp>.QQQ250523P496</stp>
        <tr r="H52" s="2"/>
        <tr r="H52" s="2"/>
      </tp>
      <tp>
        <v>484</v>
        <stp/>
        <stp>VOLUME</stp>
        <stp>.QQQ250530P485</stp>
        <tr r="I63" s="2"/>
        <tr r="I63" s="2"/>
      </tp>
      <tp>
        <v>26</v>
        <stp/>
        <stp>VOLUME</stp>
        <stp>.QQQ250523C496</stp>
        <tr r="H52" s="2"/>
        <tr r="H52" s="2"/>
      </tp>
      <tp>
        <v>1055</v>
        <stp/>
        <stp>VOLUME</stp>
        <stp>.QQQ250530C485</stp>
        <tr r="I63" s="2"/>
        <tr r="I63" s="2"/>
      </tp>
      <tp>
        <v>174</v>
        <stp/>
        <stp>VOLUME</stp>
        <stp>.QQQ250523P495</stp>
        <tr r="H53" s="2"/>
        <tr r="H53" s="2"/>
      </tp>
      <tp>
        <v>122</v>
        <stp/>
        <stp>VOLUME</stp>
        <stp>.QQQ250530P486</stp>
        <tr r="I62" s="2"/>
        <tr r="I62" s="2"/>
      </tp>
      <tp>
        <v>534</v>
        <stp/>
        <stp>VOLUME</stp>
        <stp>.QQQ250523C495</stp>
        <tr r="H53" s="2"/>
        <tr r="H53" s="2"/>
      </tp>
      <tp>
        <v>929</v>
        <stp/>
        <stp>VOLUME</stp>
        <stp>.QQQ250530C486</stp>
        <tr r="I62" s="2"/>
        <tr r="I62" s="2"/>
      </tp>
      <tp>
        <v>180</v>
        <stp/>
        <stp>VOLUME</stp>
        <stp>.QQQ250523P494</stp>
        <tr r="H54" s="2"/>
        <tr r="H54" s="2"/>
      </tp>
      <tp>
        <v>22</v>
        <stp/>
        <stp>VOLUME</stp>
        <stp>.QQQ250530P487</stp>
        <tr r="I61" s="2"/>
        <tr r="I61" s="2"/>
      </tp>
      <tp>
        <v>122</v>
        <stp/>
        <stp>VOLUME</stp>
        <stp>.QQQ250523C494</stp>
        <tr r="H54" s="2"/>
        <tr r="H54" s="2"/>
      </tp>
      <tp>
        <v>77</v>
        <stp/>
        <stp>VOLUME</stp>
        <stp>.QQQ250530C487</stp>
        <tr r="I61" s="2"/>
        <tr r="I61" s="2"/>
      </tp>
      <tp>
        <v>1</v>
        <stp/>
        <stp>VOLUME</stp>
        <stp>.QQQ250523P493</stp>
        <tr r="H55" s="2"/>
        <tr r="H55" s="2"/>
      </tp>
      <tp>
        <v>2277</v>
        <stp/>
        <stp>VOLUME</stp>
        <stp>.QQQ250530P480</stp>
        <tr r="I68" s="2"/>
        <tr r="I68" s="2"/>
      </tp>
      <tp>
        <v>22</v>
        <stp/>
        <stp>VOLUME</stp>
        <stp>.QQQ250523C493</stp>
        <tr r="H55" s="2"/>
        <tr r="H55" s="2"/>
      </tp>
      <tp>
        <v>695</v>
        <stp/>
        <stp>VOLUME</stp>
        <stp>.QQQ250530C480</stp>
        <tr r="I68" s="2"/>
        <tr r="I68" s="2"/>
      </tp>
      <tp>
        <v>40</v>
        <stp/>
        <stp>VOLUME</stp>
        <stp>.QQQ250523P492</stp>
        <tr r="H56" s="2"/>
        <tr r="H56" s="2"/>
      </tp>
      <tp>
        <v>48</v>
        <stp/>
        <stp>VOLUME</stp>
        <stp>.QQQ250530P481</stp>
        <tr r="I67" s="2"/>
        <tr r="I67" s="2"/>
      </tp>
      <tp>
        <v>130</v>
        <stp/>
        <stp>VOLUME</stp>
        <stp>.QQQ250523C492</stp>
        <tr r="H56" s="2"/>
        <tr r="H56" s="2"/>
      </tp>
      <tp>
        <v>121</v>
        <stp/>
        <stp>VOLUME</stp>
        <stp>.QQQ250530C481</stp>
        <tr r="I67" s="2"/>
        <tr r="I67" s="2"/>
      </tp>
      <tp>
        <v>102</v>
        <stp/>
        <stp>VOLUME</stp>
        <stp>.QQQ250523P491</stp>
        <tr r="H57" s="2"/>
        <tr r="H57" s="2"/>
      </tp>
      <tp>
        <v>331</v>
        <stp/>
        <stp>VOLUME</stp>
        <stp>.QQQ250530P482</stp>
        <tr r="I66" s="2"/>
        <tr r="I66" s="2"/>
      </tp>
      <tp>
        <v>74</v>
        <stp/>
        <stp>VOLUME</stp>
        <stp>.QQQ250523C491</stp>
        <tr r="H57" s="2"/>
        <tr r="H57" s="2"/>
      </tp>
      <tp>
        <v>261</v>
        <stp/>
        <stp>VOLUME</stp>
        <stp>.QQQ250530C482</stp>
        <tr r="I66" s="2"/>
        <tr r="I66" s="2"/>
      </tp>
      <tp>
        <v>24</v>
        <stp/>
        <stp>VOLUME</stp>
        <stp>.QQQ250523P490</stp>
        <tr r="H58" s="2"/>
        <tr r="H58" s="2"/>
      </tp>
      <tp>
        <v>220</v>
        <stp/>
        <stp>VOLUME</stp>
        <stp>.QQQ250530P483</stp>
        <tr r="I65" s="2"/>
        <tr r="I65" s="2"/>
      </tp>
      <tp>
        <v>495</v>
        <stp/>
        <stp>VOLUME</stp>
        <stp>.QQQ250523C490</stp>
        <tr r="H58" s="2"/>
        <tr r="H58" s="2"/>
      </tp>
      <tp>
        <v>179</v>
        <stp/>
        <stp>VOLUME</stp>
        <stp>.QQQ250530C483</stp>
        <tr r="I65" s="2"/>
        <tr r="I65" s="2"/>
      </tp>
      <tp>
        <v>13</v>
        <stp/>
        <stp>VOLUME</stp>
        <stp>.QQQ250530P488</stp>
        <tr r="I60" s="2"/>
        <tr r="I60" s="2"/>
      </tp>
      <tp>
        <v>308</v>
        <stp/>
        <stp>VOLUME</stp>
        <stp>.QQQ250530C488</stp>
        <tr r="I60" s="2"/>
        <tr r="I60" s="2"/>
      </tp>
      <tp>
        <v>54</v>
        <stp/>
        <stp>VOLUME</stp>
        <stp>.QQQ250530P489</stp>
        <tr r="I59" s="2"/>
        <tr r="I59" s="2"/>
      </tp>
      <tp>
        <v>117</v>
        <stp/>
        <stp>VOLUME</stp>
        <stp>.QQQ250530C489</stp>
        <tr r="I59" s="2"/>
        <tr r="I59" s="2"/>
      </tp>
      <tp>
        <v>1</v>
        <stp/>
        <stp>VOLUME</stp>
        <stp>.QQQ250523P499</stp>
        <tr r="H49" s="2"/>
        <tr r="H49" s="2"/>
      </tp>
      <tp>
        <v>74</v>
        <stp/>
        <stp>VOLUME</stp>
        <stp>.QQQ250523C499</stp>
        <tr r="H49" s="2"/>
        <tr r="H49" s="2"/>
      </tp>
      <tp t="s">
        <v>N/A</v>
        <stp/>
        <stp>VOLUME</stp>
        <stp>.QQQ250523P498</stp>
        <tr r="H50" s="2"/>
      </tp>
      <tp>
        <v>50</v>
        <stp/>
        <stp>VOLUME</stp>
        <stp>.QQQ250523C498</stp>
        <tr r="H50" s="2"/>
        <tr r="H50" s="2"/>
      </tp>
      <tp>
        <v>134</v>
        <stp/>
        <stp>VOLUME</stp>
        <stp>.QQQ250523P487</stp>
        <tr r="H61" s="2"/>
        <tr r="H61" s="2"/>
      </tp>
      <tp t="s">
        <v>N/A</v>
        <stp/>
        <stp>VOLUME</stp>
        <stp>.QQQ250530P494</stp>
        <tr r="I54" s="2"/>
      </tp>
      <tp>
        <v>327</v>
        <stp/>
        <stp>VOLUME</stp>
        <stp>.QQQ250523C487</stp>
        <tr r="H61" s="2"/>
        <tr r="H61" s="2"/>
      </tp>
      <tp>
        <v>69</v>
        <stp/>
        <stp>VOLUME</stp>
        <stp>.QQQ250530C494</stp>
        <tr r="I54" s="2"/>
        <tr r="I54" s="2"/>
      </tp>
      <tp>
        <v>77</v>
        <stp/>
        <stp>VOLUME</stp>
        <stp>.QQQ250523P486</stp>
        <tr r="H62" s="2"/>
        <tr r="H62" s="2"/>
      </tp>
      <tp>
        <v>214</v>
        <stp/>
        <stp>VOLUME</stp>
        <stp>.QQQ250530P495</stp>
        <tr r="I53" s="2"/>
        <tr r="I53" s="2"/>
      </tp>
      <tp>
        <v>23</v>
        <stp/>
        <stp>VOLUME</stp>
        <stp>.QQQ250523C486</stp>
        <tr r="H62" s="2"/>
        <tr r="H62" s="2"/>
      </tp>
      <tp>
        <v>547</v>
        <stp/>
        <stp>VOLUME</stp>
        <stp>.QQQ250530C495</stp>
        <tr r="I53" s="2"/>
        <tr r="I53" s="2"/>
      </tp>
      <tp>
        <v>171</v>
        <stp/>
        <stp>VOLUME</stp>
        <stp>.QQQ250523P485</stp>
        <tr r="H63" s="2"/>
        <tr r="H63" s="2"/>
      </tp>
      <tp t="s">
        <v>N/A</v>
        <stp/>
        <stp>VOLUME</stp>
        <stp>.QQQ250530P496</stp>
        <tr r="I52" s="2"/>
      </tp>
      <tp>
        <v>515</v>
        <stp/>
        <stp>VOLUME</stp>
        <stp>.QQQ250523C485</stp>
        <tr r="H63" s="2"/>
        <tr r="H63" s="2"/>
      </tp>
      <tp>
        <v>47</v>
        <stp/>
        <stp>VOLUME</stp>
        <stp>.QQQ250530C496</stp>
        <tr r="I52" s="2"/>
        <tr r="I52" s="2"/>
      </tp>
      <tp>
        <v>80</v>
        <stp/>
        <stp>VOLUME</stp>
        <stp>.QQQ250523P484</stp>
        <tr r="H64" s="2"/>
        <tr r="H64" s="2"/>
      </tp>
      <tp>
        <v>101</v>
        <stp/>
        <stp>VOLUME</stp>
        <stp>.QQQ250530P497</stp>
        <tr r="I51" s="2"/>
        <tr r="I51" s="2"/>
      </tp>
      <tp>
        <v>156</v>
        <stp/>
        <stp>VOLUME</stp>
        <stp>.QQQ250523C484</stp>
        <tr r="H64" s="2"/>
        <tr r="H64" s="2"/>
      </tp>
      <tp>
        <v>65</v>
        <stp/>
        <stp>VOLUME</stp>
        <stp>.QQQ250530C497</stp>
        <tr r="I51" s="2"/>
        <tr r="I51" s="2"/>
      </tp>
      <tp>
        <v>144</v>
        <stp/>
        <stp>VOLUME</stp>
        <stp>.QQQ250523P483</stp>
        <tr r="H65" s="2"/>
        <tr r="H65" s="2"/>
      </tp>
      <tp>
        <v>424</v>
        <stp/>
        <stp>VOLUME</stp>
        <stp>.QQQ250530P490</stp>
        <tr r="I58" s="2"/>
        <tr r="I58" s="2"/>
      </tp>
      <tp>
        <v>100</v>
        <stp/>
        <stp>VOLUME</stp>
        <stp>.QQQ250523C483</stp>
        <tr r="H65" s="2"/>
        <tr r="H65" s="2"/>
      </tp>
      <tp>
        <v>1544</v>
        <stp/>
        <stp>VOLUME</stp>
        <stp>.QQQ250530C490</stp>
        <tr r="I58" s="2"/>
        <tr r="I58" s="2"/>
      </tp>
      <tp>
        <v>91</v>
        <stp/>
        <stp>VOLUME</stp>
        <stp>.QQQ250523P482</stp>
        <tr r="H66" s="2"/>
        <tr r="H66" s="2"/>
      </tp>
      <tp>
        <v>243</v>
        <stp/>
        <stp>VOLUME</stp>
        <stp>.QQQ250530P491</stp>
        <tr r="I57" s="2"/>
        <tr r="I57" s="2"/>
      </tp>
      <tp>
        <v>216</v>
        <stp/>
        <stp>VOLUME</stp>
        <stp>.QQQ250523C482</stp>
        <tr r="H66" s="2"/>
        <tr r="H66" s="2"/>
      </tp>
      <tp>
        <v>46</v>
        <stp/>
        <stp>VOLUME</stp>
        <stp>.QQQ250530C491</stp>
        <tr r="I57" s="2"/>
        <tr r="I57" s="2"/>
      </tp>
      <tp>
        <v>138</v>
        <stp/>
        <stp>VOLUME</stp>
        <stp>.QQQ250523P481</stp>
        <tr r="H67" s="2"/>
        <tr r="H67" s="2"/>
      </tp>
      <tp>
        <v>200</v>
        <stp/>
        <stp>VOLUME</stp>
        <stp>.QQQ250530P492</stp>
        <tr r="I56" s="2"/>
        <tr r="I56" s="2"/>
      </tp>
      <tp>
        <v>151</v>
        <stp/>
        <stp>VOLUME</stp>
        <stp>.QQQ250523C481</stp>
        <tr r="H67" s="2"/>
        <tr r="H67" s="2"/>
      </tp>
      <tp>
        <v>52</v>
        <stp/>
        <stp>VOLUME</stp>
        <stp>.QQQ250530C492</stp>
        <tr r="I56" s="2"/>
        <tr r="I56" s="2"/>
      </tp>
      <tp>
        <v>530</v>
        <stp/>
        <stp>VOLUME</stp>
        <stp>.QQQ250523P480</stp>
        <tr r="H68" s="2"/>
        <tr r="H68" s="2"/>
      </tp>
      <tp>
        <v>102</v>
        <stp/>
        <stp>VOLUME</stp>
        <stp>.QQQ250530P493</stp>
        <tr r="I55" s="2"/>
        <tr r="I55" s="2"/>
      </tp>
      <tp>
        <v>332</v>
        <stp/>
        <stp>VOLUME</stp>
        <stp>.QQQ250523C480</stp>
        <tr r="H68" s="2"/>
        <tr r="H68" s="2"/>
      </tp>
      <tp>
        <v>99</v>
        <stp/>
        <stp>VOLUME</stp>
        <stp>.QQQ250530C493</stp>
        <tr r="I55" s="2"/>
        <tr r="I55" s="2"/>
      </tp>
      <tp>
        <v>124</v>
        <stp/>
        <stp>VOLUME</stp>
        <stp>.QQQ250530P498</stp>
        <tr r="I50" s="2"/>
        <tr r="I50" s="2"/>
      </tp>
      <tp>
        <v>104</v>
        <stp/>
        <stp>VOLUME</stp>
        <stp>.QQQ250530C498</stp>
        <tr r="I50" s="2"/>
        <tr r="I50" s="2"/>
      </tp>
      <tp>
        <v>213</v>
        <stp/>
        <stp>VOLUME</stp>
        <stp>.QQQ250530P499</stp>
        <tr r="I49" s="2"/>
        <tr r="I49" s="2"/>
      </tp>
      <tp>
        <v>76</v>
        <stp/>
        <stp>VOLUME</stp>
        <stp>.QQQ250530C499</stp>
        <tr r="I49" s="2"/>
        <tr r="I49" s="2"/>
      </tp>
      <tp>
        <v>210</v>
        <stp/>
        <stp>VOLUME</stp>
        <stp>.QQQ250523P489</stp>
        <tr r="H59" s="2"/>
        <tr r="H59" s="2"/>
      </tp>
      <tp>
        <v>78</v>
        <stp/>
        <stp>VOLUME</stp>
        <stp>.QQQ250523C489</stp>
        <tr r="H59" s="2"/>
        <tr r="H59" s="2"/>
      </tp>
      <tp>
        <v>189</v>
        <stp/>
        <stp>VOLUME</stp>
        <stp>.QQQ250523P488</stp>
        <tr r="H60" s="2"/>
        <tr r="H60" s="2"/>
      </tp>
      <tp>
        <v>29</v>
        <stp/>
        <stp>VOLUME</stp>
        <stp>.QQQ250523C488</stp>
        <tr r="H60" s="2"/>
        <tr r="H60" s="2"/>
      </tp>
      <tp>
        <v>244</v>
        <stp/>
        <stp>VOLUME</stp>
        <stp>.QQQ250523P477</stp>
        <tr r="H71" s="2"/>
        <tr r="H71" s="2"/>
      </tp>
      <tp>
        <v>8</v>
        <stp/>
        <stp>VOLUME</stp>
        <stp>.QQQ250523C477</stp>
        <tr r="H71" s="2"/>
        <tr r="H71" s="2"/>
      </tp>
      <tp>
        <v>72</v>
        <stp/>
        <stp>VOLUME</stp>
        <stp>.QQQ250523P476</stp>
        <tr r="H72" s="2"/>
        <tr r="H72" s="2"/>
      </tp>
      <tp>
        <v>27</v>
        <stp/>
        <stp>VOLUME</stp>
        <stp>.QQQ250523C476</stp>
        <tr r="H72" s="2"/>
        <tr r="H72" s="2"/>
      </tp>
      <tp>
        <v>297</v>
        <stp/>
        <stp>VOLUME</stp>
        <stp>.QQQ250523P475</stp>
        <tr r="H73" s="2"/>
        <tr r="H73" s="2"/>
      </tp>
      <tp>
        <v>185</v>
        <stp/>
        <stp>VOLUME</stp>
        <stp>.QQQ250523C475</stp>
        <tr r="H73" s="2"/>
        <tr r="H73" s="2"/>
      </tp>
      <tp>
        <v>20</v>
        <stp/>
        <stp>VOLUME</stp>
        <stp>.QQQ250523P474</stp>
        <tr r="H74" s="2"/>
        <tr r="H74" s="2"/>
      </tp>
      <tp>
        <v>57</v>
        <stp/>
        <stp>VOLUME</stp>
        <stp>.QQQ250523C474</stp>
        <tr r="H74" s="2"/>
        <tr r="H74" s="2"/>
      </tp>
      <tp>
        <v>44</v>
        <stp/>
        <stp>VOLUME</stp>
        <stp>.QQQ250523P473</stp>
        <tr r="H75" s="2"/>
        <tr r="H75" s="2"/>
      </tp>
      <tp>
        <v>549</v>
        <stp/>
        <stp>VOLUME</stp>
        <stp>.QQQ250523C473</stp>
        <tr r="H75" s="2"/>
        <tr r="H75" s="2"/>
      </tp>
      <tp>
        <v>112</v>
        <stp/>
        <stp>VOLUME</stp>
        <stp>.QQQ250523P472</stp>
        <tr r="H76" s="2"/>
        <tr r="H76" s="2"/>
      </tp>
      <tp>
        <v>45</v>
        <stp/>
        <stp>VOLUME</stp>
        <stp>.QQQ250523C472</stp>
        <tr r="H76" s="2"/>
        <tr r="H76" s="2"/>
      </tp>
      <tp>
        <v>116</v>
        <stp/>
        <stp>VOLUME</stp>
        <stp>.QQQ250523P471</stp>
        <tr r="H77" s="2"/>
        <tr r="H77" s="2"/>
      </tp>
      <tp>
        <v>66</v>
        <stp/>
        <stp>VOLUME</stp>
        <stp>.QQQ250523C471</stp>
        <tr r="H77" s="2"/>
        <tr r="H77" s="2"/>
      </tp>
      <tp>
        <v>383</v>
        <stp/>
        <stp>VOLUME</stp>
        <stp>.QQQ250523P470</stp>
        <tr r="H78" s="2"/>
        <tr r="H78" s="2"/>
      </tp>
      <tp>
        <v>41</v>
        <stp/>
        <stp>VOLUME</stp>
        <stp>.QQQ250523C470</stp>
        <tr r="H78" s="2"/>
        <tr r="H78" s="2"/>
      </tp>
      <tp>
        <v>90</v>
        <stp/>
        <stp>VOLUME</stp>
        <stp>.QQQ250530P468</stp>
        <tr r="I80" s="2"/>
        <tr r="I80" s="2"/>
      </tp>
      <tp>
        <v>12</v>
        <stp/>
        <stp>VOLUME</stp>
        <stp>.QQQ250530C468</stp>
        <tr r="I80" s="2"/>
        <tr r="I80" s="2"/>
      </tp>
      <tp>
        <v>28</v>
        <stp/>
        <stp>VOLUME</stp>
        <stp>.QQQ250530P469</stp>
        <tr r="I79" s="2"/>
        <tr r="I79" s="2"/>
      </tp>
      <tp>
        <v>5</v>
        <stp/>
        <stp>VOLUME</stp>
        <stp>.QQQ250530C469</stp>
        <tr r="I79" s="2"/>
        <tr r="I79" s="2"/>
      </tp>
      <tp>
        <v>32</v>
        <stp/>
        <stp>VOLUME</stp>
        <stp>.QQQ250523P479</stp>
        <tr r="H69" s="2"/>
        <tr r="H69" s="2"/>
      </tp>
      <tp>
        <v>17</v>
        <stp/>
        <stp>VOLUME</stp>
        <stp>.QQQ250523C479</stp>
        <tr r="H69" s="2"/>
        <tr r="H69" s="2"/>
      </tp>
      <tp>
        <v>91</v>
        <stp/>
        <stp>VOLUME</stp>
        <stp>.QQQ250523P478</stp>
        <tr r="H70" s="2"/>
        <tr r="H70" s="2"/>
      </tp>
      <tp>
        <v>51</v>
        <stp/>
        <stp>VOLUME</stp>
        <stp>.QQQ250523C478</stp>
        <tr r="H70" s="2"/>
        <tr r="H70" s="2"/>
      </tp>
      <tp>
        <v>1119</v>
        <stp/>
        <stp>VOLUME</stp>
        <stp>.QQQ250530P474</stp>
        <tr r="I74" s="2"/>
        <tr r="I74" s="2"/>
      </tp>
      <tp>
        <v>53</v>
        <stp/>
        <stp>VOLUME</stp>
        <stp>.QQQ250530C474</stp>
        <tr r="I74" s="2"/>
        <tr r="I74" s="2"/>
      </tp>
      <tp>
        <v>1181</v>
        <stp/>
        <stp>VOLUME</stp>
        <stp>.QQQ250530P475</stp>
        <tr r="I73" s="2"/>
        <tr r="I73" s="2"/>
      </tp>
      <tp>
        <v>112</v>
        <stp/>
        <stp>VOLUME</stp>
        <stp>.QQQ250530C475</stp>
        <tr r="I73" s="2"/>
        <tr r="I73" s="2"/>
      </tp>
      <tp>
        <v>48</v>
        <stp/>
        <stp>VOLUME</stp>
        <stp>.QQQ250530P476</stp>
        <tr r="I72" s="2"/>
        <tr r="I72" s="2"/>
      </tp>
      <tp>
        <v>6</v>
        <stp/>
        <stp>VOLUME</stp>
        <stp>.QQQ250530C476</stp>
        <tr r="I72" s="2"/>
        <tr r="I72" s="2"/>
      </tp>
      <tp>
        <v>392</v>
        <stp/>
        <stp>VOLUME</stp>
        <stp>.QQQ250530P477</stp>
        <tr r="I71" s="2"/>
        <tr r="I71" s="2"/>
      </tp>
      <tp>
        <v>10</v>
        <stp/>
        <stp>VOLUME</stp>
        <stp>.QQQ250530C477</stp>
        <tr r="I71" s="2"/>
        <tr r="I71" s="2"/>
      </tp>
      <tp>
        <v>1601</v>
        <stp/>
        <stp>VOLUME</stp>
        <stp>.QQQ250530P470</stp>
        <tr r="I78" s="2"/>
        <tr r="I78" s="2"/>
      </tp>
      <tp>
        <v>363</v>
        <stp/>
        <stp>VOLUME</stp>
        <stp>.QQQ250530C470</stp>
        <tr r="I78" s="2"/>
        <tr r="I78" s="2"/>
      </tp>
      <tp>
        <v>44</v>
        <stp/>
        <stp>VOLUME</stp>
        <stp>.QQQ250530P471</stp>
        <tr r="I77" s="2"/>
        <tr r="I77" s="2"/>
      </tp>
      <tp>
        <v>73</v>
        <stp/>
        <stp>VOLUME</stp>
        <stp>.QQQ250530C471</stp>
        <tr r="I77" s="2"/>
        <tr r="I77" s="2"/>
      </tp>
      <tp>
        <v>313</v>
        <stp/>
        <stp>VOLUME</stp>
        <stp>.QQQ250530P472</stp>
        <tr r="I76" s="2"/>
        <tr r="I76" s="2"/>
      </tp>
      <tp>
        <v>15</v>
        <stp/>
        <stp>VOLUME</stp>
        <stp>.QQQ250530C472</stp>
        <tr r="I76" s="2"/>
        <tr r="I76" s="2"/>
      </tp>
      <tp>
        <v>93</v>
        <stp/>
        <stp>VOLUME</stp>
        <stp>.QQQ250530P473</stp>
        <tr r="I75" s="2"/>
        <tr r="I75" s="2"/>
      </tp>
      <tp>
        <v>58</v>
        <stp/>
        <stp>VOLUME</stp>
        <stp>.QQQ250530C473</stp>
        <tr r="I75" s="2"/>
        <tr r="I75" s="2"/>
      </tp>
      <tp>
        <v>93</v>
        <stp/>
        <stp>VOLUME</stp>
        <stp>.QQQ250530P478</stp>
        <tr r="I70" s="2"/>
        <tr r="I70" s="2"/>
      </tp>
      <tp>
        <v>28</v>
        <stp/>
        <stp>VOLUME</stp>
        <stp>.QQQ250530C478</stp>
        <tr r="I70" s="2"/>
        <tr r="I70" s="2"/>
      </tp>
      <tp>
        <v>363</v>
        <stp/>
        <stp>VOLUME</stp>
        <stp>.QQQ250530P479</stp>
        <tr r="I69" s="2"/>
        <tr r="I69" s="2"/>
      </tp>
      <tp>
        <v>68</v>
        <stp/>
        <stp>VOLUME</stp>
        <stp>.QQQ250530C479</stp>
        <tr r="I69" s="2"/>
        <tr r="I69" s="2"/>
      </tp>
      <tp>
        <v>39</v>
        <stp/>
        <stp>VOLUME</stp>
        <stp>.QQQ250523P469</stp>
        <tr r="H79" s="2"/>
        <tr r="H79" s="2"/>
      </tp>
      <tp t="s">
        <v>N/A</v>
        <stp/>
        <stp>VOLUME</stp>
        <stp>.QQQ250523C469</stp>
        <tr r="H79" s="2"/>
      </tp>
      <tp>
        <v>23</v>
        <stp/>
        <stp>VOLUME</stp>
        <stp>.QQQ250523P468</stp>
        <tr r="H80" s="2"/>
        <tr r="H80" s="2"/>
      </tp>
      <tp>
        <v>70</v>
        <stp/>
        <stp>VOLUME</stp>
        <stp>.QQQ250523C468</stp>
        <tr r="H80" s="2"/>
        <tr r="H80" s="2"/>
      </tp>
      <tp>
        <v>28480</v>
        <stp/>
        <stp>VOLUME</stp>
        <stp>.QQQ250507P473</stp>
        <tr r="BB74" s="1"/>
        <tr r="BB74" s="1"/>
      </tp>
      <tp>
        <v>228</v>
        <stp/>
        <stp>VOLUME</stp>
        <stp>.QQQ250507C473</stp>
        <tr r="BA74" s="1"/>
        <tr r="BA74" s="1"/>
      </tp>
      <tp>
        <v>32613</v>
        <stp/>
        <stp>VOLUME</stp>
        <stp>.QQQ250507P472</stp>
        <tr r="BB75" s="1"/>
        <tr r="BB75" s="1"/>
      </tp>
      <tp>
        <v>176</v>
        <stp/>
        <stp>VOLUME</stp>
        <stp>.QQQ250507C472</stp>
        <tr r="BA75" s="1"/>
        <tr r="BA75" s="1"/>
      </tp>
      <tp>
        <v>28256</v>
        <stp/>
        <stp>VOLUME</stp>
        <stp>.QQQ250507P471</stp>
        <tr r="BB76" s="1"/>
        <tr r="BB76" s="1"/>
      </tp>
      <tp>
        <v>76</v>
        <stp/>
        <stp>VOLUME</stp>
        <stp>.QQQ250507C471</stp>
        <tr r="BA76" s="1"/>
        <tr r="BA76" s="1"/>
      </tp>
      <tp>
        <v>99010</v>
        <stp/>
        <stp>VOLUME</stp>
        <stp>.QQQ250507P470</stp>
        <tr r="BB77" s="1"/>
        <tr r="BB77" s="1"/>
      </tp>
      <tp>
        <v>761</v>
        <stp/>
        <stp>VOLUME</stp>
        <stp>.QQQ250507C470</stp>
        <tr r="BA77" s="1"/>
        <tr r="BA77" s="1"/>
      </tp>
      <tp>
        <v>75478</v>
        <stp/>
        <stp>VOLUME</stp>
        <stp>.QQQ250507P477</stp>
        <tr r="BB70" s="1"/>
        <tr r="BB70" s="1"/>
      </tp>
      <tp>
        <v>6333</v>
        <stp/>
        <stp>VOLUME</stp>
        <stp>.QQQ250509P479</stp>
        <tr r="BD68" s="1"/>
        <tr r="BD68" s="1"/>
      </tp>
      <tp>
        <v>9229</v>
        <stp/>
        <stp>VOLUME</stp>
        <stp>.QQQ250507C477</stp>
        <tr r="BA70" s="1"/>
        <tr r="BA70" s="1"/>
      </tp>
      <tp>
        <v>2028</v>
        <stp/>
        <stp>VOLUME</stp>
        <stp>.QQQ250509C479</stp>
        <tr r="BC68" s="1"/>
        <tr r="BC68" s="1"/>
      </tp>
      <tp>
        <v>60493</v>
        <stp/>
        <stp>VOLUME</stp>
        <stp>.QQQ250507P476</stp>
        <tr r="BB71" s="1"/>
        <tr r="BB71" s="1"/>
      </tp>
      <tp>
        <v>8206</v>
        <stp/>
        <stp>VOLUME</stp>
        <stp>.QQQ250509P478</stp>
        <tr r="BD69" s="1"/>
        <tr r="BD69" s="1"/>
      </tp>
      <tp>
        <v>5995</v>
        <stp/>
        <stp>VOLUME</stp>
        <stp>.QQQ250507C476</stp>
        <tr r="BA71" s="1"/>
        <tr r="BA71" s="1"/>
      </tp>
      <tp>
        <v>1713</v>
        <stp/>
        <stp>VOLUME</stp>
        <stp>.QQQ250509C478</stp>
        <tr r="BC69" s="1"/>
        <tr r="BC69" s="1"/>
      </tp>
      <tp>
        <v>131007</v>
        <stp/>
        <stp>VOLUME</stp>
        <stp>.QQQ250507P475</stp>
        <tr r="BB72" s="1"/>
        <tr r="BB72" s="1"/>
      </tp>
      <tp>
        <v>4112</v>
        <stp/>
        <stp>VOLUME</stp>
        <stp>.QQQ250507C475</stp>
        <tr r="BA72" s="1"/>
        <tr r="BA72" s="1"/>
      </tp>
      <tp>
        <v>33167</v>
        <stp/>
        <stp>VOLUME</stp>
        <stp>.QQQ250507P474</stp>
        <tr r="BB73" s="1"/>
        <tr r="BB73" s="1"/>
      </tp>
      <tp>
        <v>1887</v>
        <stp/>
        <stp>VOLUME</stp>
        <stp>.QQQ250507C474</stp>
        <tr r="BA73" s="1"/>
        <tr r="BA73" s="1"/>
      </tp>
      <tp>
        <v>15034</v>
        <stp/>
        <stp>VOLUME</stp>
        <stp>.QQQ250509P475</stp>
        <tr r="BD72" s="1"/>
        <tr r="BD72" s="1"/>
      </tp>
      <tp>
        <v>1122</v>
        <stp/>
        <stp>VOLUME</stp>
        <stp>.QQQ250509C475</stp>
        <tr r="BC72" s="1"/>
        <tr r="BC72" s="1"/>
      </tp>
      <tp>
        <v>5200</v>
        <stp/>
        <stp>VOLUME</stp>
        <stp>.QQQ250509P474</stp>
        <tr r="BD73" s="1"/>
        <tr r="BD73" s="1"/>
      </tp>
      <tp>
        <v>91</v>
        <stp/>
        <stp>VOLUME</stp>
        <stp>.QQQ250509C474</stp>
        <tr r="BC73" s="1"/>
        <tr r="BC73" s="1"/>
      </tp>
      <tp>
        <v>90797</v>
        <stp/>
        <stp>VOLUME</stp>
        <stp>.QQQ250507P479</stp>
        <tr r="BB68" s="1"/>
        <tr r="BB68" s="1"/>
      </tp>
      <tp>
        <v>4666</v>
        <stp/>
        <stp>VOLUME</stp>
        <stp>.QQQ250509P477</stp>
        <tr r="BD70" s="1"/>
        <tr r="BD70" s="1"/>
      </tp>
      <tp>
        <v>598</v>
        <stp/>
        <stp>VOLUME</stp>
        <stp>.QQQ250516P468</stp>
        <tr r="BF79" s="1"/>
        <tr r="BF79" s="1"/>
      </tp>
      <tp>
        <v>31383</v>
        <stp/>
        <stp>VOLUME</stp>
        <stp>.QQQ250507C479</stp>
        <tr r="BA68" s="1"/>
        <tr r="BA68" s="1"/>
      </tp>
      <tp>
        <v>1040</v>
        <stp/>
        <stp>VOLUME</stp>
        <stp>.QQQ250509C477</stp>
        <tr r="BC70" s="1"/>
        <tr r="BC70" s="1"/>
      </tp>
      <tp>
        <v>28</v>
        <stp/>
        <stp>VOLUME</stp>
        <stp>.QQQ250516C468</stp>
        <tr r="BE79" s="1"/>
        <tr r="BE79" s="1"/>
      </tp>
      <tp>
        <v>81850</v>
        <stp/>
        <stp>VOLUME</stp>
        <stp>.QQQ250507P478</stp>
        <tr r="BB69" s="1"/>
        <tr r="BB69" s="1"/>
      </tp>
      <tp>
        <v>5248</v>
        <stp/>
        <stp>VOLUME</stp>
        <stp>.QQQ250509P476</stp>
        <tr r="BD71" s="1"/>
        <tr r="BD71" s="1"/>
      </tp>
      <tp>
        <v>652</v>
        <stp/>
        <stp>VOLUME</stp>
        <stp>.QQQ250516P469</stp>
        <tr r="BF78" s="1"/>
        <tr r="BF78" s="1"/>
      </tp>
      <tp>
        <v>27577</v>
        <stp/>
        <stp>VOLUME</stp>
        <stp>.QQQ250507C478</stp>
        <tr r="BA69" s="1"/>
        <tr r="BA69" s="1"/>
      </tp>
      <tp>
        <v>480</v>
        <stp/>
        <stp>VOLUME</stp>
        <stp>.QQQ250509C476</stp>
        <tr r="BC71" s="1"/>
        <tr r="BC71" s="1"/>
      </tp>
      <tp>
        <v>8</v>
        <stp/>
        <stp>VOLUME</stp>
        <stp>.QQQ250516C469</stp>
        <tr r="BE78" s="1"/>
        <tr r="BE78" s="1"/>
      </tp>
      <tp>
        <v>2245</v>
        <stp/>
        <stp>VOLUME</stp>
        <stp>.QQQ250509P471</stp>
        <tr r="BD76" s="1"/>
        <tr r="BD76" s="1"/>
      </tp>
      <tp>
        <v>241</v>
        <stp/>
        <stp>VOLUME</stp>
        <stp>.QQQ250509C471</stp>
        <tr r="BC76" s="1"/>
        <tr r="BC76" s="1"/>
      </tp>
      <tp>
        <v>18056</v>
        <stp/>
        <stp>VOLUME</stp>
        <stp>.QQQ250509P470</stp>
        <tr r="BD77" s="1"/>
        <tr r="BD77" s="1"/>
      </tp>
      <tp>
        <v>150</v>
        <stp/>
        <stp>VOLUME</stp>
        <stp>.QQQ250509C470</stp>
        <tr r="BC77" s="1"/>
        <tr r="BC77" s="1"/>
      </tp>
      <tp>
        <v>2801</v>
        <stp/>
        <stp>VOLUME</stp>
        <stp>.QQQ250509P473</stp>
        <tr r="BD74" s="1"/>
        <tr r="BD74" s="1"/>
      </tp>
      <tp>
        <v>110</v>
        <stp/>
        <stp>VOLUME</stp>
        <stp>.QQQ250509C473</stp>
        <tr r="BC74" s="1"/>
        <tr r="BC74" s="1"/>
      </tp>
      <tp>
        <v>2321</v>
        <stp/>
        <stp>VOLUME</stp>
        <stp>.QQQ250509P472</stp>
        <tr r="BD75" s="1"/>
        <tr r="BD75" s="1"/>
      </tp>
      <tp>
        <v>384</v>
        <stp/>
        <stp>VOLUME</stp>
        <stp>.QQQ250509C472</stp>
        <tr r="BC75" s="1"/>
        <tr r="BC75" s="1"/>
      </tp>
      <tp>
        <v>184</v>
        <stp/>
        <stp>VOLUME</stp>
        <stp>.QQQ250516P472</stp>
        <tr r="BF75" s="1"/>
        <tr r="BF75" s="1"/>
      </tp>
      <tp>
        <v>5</v>
        <stp/>
        <stp>VOLUME</stp>
        <stp>.QQQ250516C472</stp>
        <tr r="BE75" s="1"/>
        <tr r="BE75" s="1"/>
      </tp>
      <tp>
        <v>385</v>
        <stp/>
        <stp>VOLUME</stp>
        <stp>.QQQ250516P473</stp>
        <tr r="BF74" s="1"/>
        <tr r="BF74" s="1"/>
      </tp>
      <tp>
        <v>6</v>
        <stp/>
        <stp>VOLUME</stp>
        <stp>.QQQ250516C473</stp>
        <tr r="BE74" s="1"/>
        <tr r="BE74" s="1"/>
      </tp>
      <tp>
        <v>11622</v>
        <stp/>
        <stp>VOLUME</stp>
        <stp>.QQQ250516P470</stp>
        <tr r="BF77" s="1"/>
        <tr r="BF77" s="1"/>
      </tp>
      <tp>
        <v>480</v>
        <stp/>
        <stp>VOLUME</stp>
        <stp>.QQQ250516C470</stp>
        <tr r="BE77" s="1"/>
        <tr r="BE77" s="1"/>
      </tp>
      <tp>
        <v>395</v>
        <stp/>
        <stp>VOLUME</stp>
        <stp>.QQQ250516P471</stp>
        <tr r="BF76" s="1"/>
        <tr r="BF76" s="1"/>
      </tp>
      <tp>
        <v>10</v>
        <stp/>
        <stp>VOLUME</stp>
        <stp>.QQQ250516C471</stp>
        <tr r="BE76" s="1"/>
        <tr r="BE76" s="1"/>
      </tp>
      <tp>
        <v>1761</v>
        <stp/>
        <stp>VOLUME</stp>
        <stp>.QQQ250509P469</stp>
        <tr r="BD78" s="1"/>
        <tr r="BD78" s="1"/>
      </tp>
      <tp>
        <v>719</v>
        <stp/>
        <stp>VOLUME</stp>
        <stp>.QQQ250516P476</stp>
        <tr r="BF71" s="1"/>
        <tr r="BF71" s="1"/>
      </tp>
      <tp>
        <v>29</v>
        <stp/>
        <stp>VOLUME</stp>
        <stp>.QQQ250509C469</stp>
        <tr r="BC78" s="1"/>
        <tr r="BC78" s="1"/>
      </tp>
      <tp>
        <v>145</v>
        <stp/>
        <stp>VOLUME</stp>
        <stp>.QQQ250516C476</stp>
        <tr r="BE71" s="1"/>
        <tr r="BE71" s="1"/>
      </tp>
      <tp>
        <v>3553</v>
        <stp/>
        <stp>VOLUME</stp>
        <stp>.QQQ250509P468</stp>
        <tr r="BD79" s="1"/>
        <tr r="BD79" s="1"/>
      </tp>
      <tp>
        <v>843</v>
        <stp/>
        <stp>VOLUME</stp>
        <stp>.QQQ250516P477</stp>
        <tr r="BF70" s="1"/>
        <tr r="BF70" s="1"/>
      </tp>
      <tp>
        <v>84</v>
        <stp/>
        <stp>VOLUME</stp>
        <stp>.QQQ250509C468</stp>
        <tr r="BC79" s="1"/>
        <tr r="BC79" s="1"/>
      </tp>
      <tp>
        <v>197</v>
        <stp/>
        <stp>VOLUME</stp>
        <stp>.QQQ250516C477</stp>
        <tr r="BE70" s="1"/>
        <tr r="BE70" s="1"/>
      </tp>
      <tp>
        <v>489</v>
        <stp/>
        <stp>VOLUME</stp>
        <stp>.QQQ250516P474</stp>
        <tr r="BF73" s="1"/>
        <tr r="BF73" s="1"/>
      </tp>
      <tp>
        <v>18</v>
        <stp/>
        <stp>VOLUME</stp>
        <stp>.QQQ250516C474</stp>
        <tr r="BE73" s="1"/>
        <tr r="BE73" s="1"/>
      </tp>
      <tp>
        <v>8020</v>
        <stp/>
        <stp>VOLUME</stp>
        <stp>.QQQ250516P475</stp>
        <tr r="BF72" s="1"/>
        <tr r="BF72" s="1"/>
      </tp>
      <tp>
        <v>1164</v>
        <stp/>
        <stp>VOLUME</stp>
        <stp>.QQQ250516C475</stp>
        <tr r="BE72" s="1"/>
        <tr r="BE72" s="1"/>
      </tp>
      <tp>
        <v>14281</v>
        <stp/>
        <stp>VOLUME</stp>
        <stp>.QQQ250507P469</stp>
        <tr r="BB78" s="1"/>
        <tr r="BB78" s="1"/>
      </tp>
      <tp>
        <v>663</v>
        <stp/>
        <stp>VOLUME</stp>
        <stp>.QQQ250516P478</stp>
        <tr r="BF69" s="1"/>
        <tr r="BF69" s="1"/>
      </tp>
      <tp>
        <v>374</v>
        <stp/>
        <stp>VOLUME</stp>
        <stp>.QQQ250507C469</stp>
        <tr r="BA78" s="1"/>
        <tr r="BA78" s="1"/>
      </tp>
      <tp>
        <v>242</v>
        <stp/>
        <stp>VOLUME</stp>
        <stp>.QQQ250516C478</stp>
        <tr r="BE69" s="1"/>
        <tr r="BE69" s="1"/>
      </tp>
      <tp>
        <v>11305</v>
        <stp/>
        <stp>VOLUME</stp>
        <stp>.QQQ250507P468</stp>
        <tr r="BB79" s="1"/>
        <tr r="BB79" s="1"/>
      </tp>
      <tp>
        <v>1095</v>
        <stp/>
        <stp>VOLUME</stp>
        <stp>.QQQ250516P479</stp>
        <tr r="BF68" s="1"/>
        <tr r="BF68" s="1"/>
      </tp>
      <tp>
        <v>126</v>
        <stp/>
        <stp>VOLUME</stp>
        <stp>.QQQ250507C468</stp>
        <tr r="BA79" s="1"/>
        <tr r="BA79" s="1"/>
      </tp>
      <tp>
        <v>238</v>
        <stp/>
        <stp>VOLUME</stp>
        <stp>.QQQ250516C479</stp>
        <tr r="BE68" s="1"/>
        <tr r="BE68" s="1"/>
      </tp>
      <tp t="s">
        <v>N/A</v>
        <stp/>
        <stp>VOLUME</stp>
        <stp>.QQQ251219P489</stp>
        <tr r="W59" s="2"/>
      </tp>
      <tp t="s">
        <v>N/A</v>
        <stp/>
        <stp>VOLUME</stp>
        <stp>.QQQ251219C489</stp>
        <tr r="W59" s="2"/>
      </tp>
      <tp t="s">
        <v>N/A</v>
        <stp/>
        <stp>VOLUME</stp>
        <stp>.QQQ251219P488</stp>
        <tr r="W60" s="2"/>
      </tp>
      <tp t="s">
        <v>N/A</v>
        <stp/>
        <stp>VOLUME</stp>
        <stp>.QQQ251219C488</stp>
        <tr r="W60" s="2"/>
      </tp>
      <tp t="s">
        <v>N/A</v>
        <stp/>
        <stp>VOLUME</stp>
        <stp>.QQQ251219P485</stp>
        <tr r="W63" s="2"/>
      </tp>
      <tp t="s">
        <v>N/A</v>
        <stp/>
        <stp>VOLUME</stp>
        <stp>.QQQ251219C485</stp>
        <tr r="W63" s="2"/>
      </tp>
      <tp t="s">
        <v>N/A</v>
        <stp/>
        <stp>VOLUME</stp>
        <stp>.QQQ251219P484</stp>
        <tr r="W64" s="2"/>
      </tp>
      <tp t="s">
        <v>N/A</v>
        <stp/>
        <stp>VOLUME</stp>
        <stp>.QQQ251219C484</stp>
        <tr r="W64" s="2"/>
      </tp>
      <tp t="s">
        <v>N/A</v>
        <stp/>
        <stp>VOLUME</stp>
        <stp>.QQQ251219P487</stp>
        <tr r="W61" s="2"/>
      </tp>
      <tp t="s">
        <v>N/A</v>
        <stp/>
        <stp>VOLUME</stp>
        <stp>.QQQ251219C487</stp>
        <tr r="W61" s="2"/>
      </tp>
      <tp t="s">
        <v>N/A</v>
        <stp/>
        <stp>VOLUME</stp>
        <stp>.QQQ251219P486</stp>
        <tr r="W62" s="2"/>
      </tp>
      <tp t="s">
        <v>N/A</v>
        <stp/>
        <stp>VOLUME</stp>
        <stp>.QQQ251219C486</stp>
        <tr r="W62" s="2"/>
      </tp>
      <tp t="s">
        <v>N/A</v>
        <stp/>
        <stp>VOLUME</stp>
        <stp>.QQQ251219P481</stp>
        <tr r="W67" s="2"/>
      </tp>
      <tp t="s">
        <v>N/A</v>
        <stp/>
        <stp>VOLUME</stp>
        <stp>.QQQ251219C481</stp>
        <tr r="W67" s="2"/>
      </tp>
      <tp>
        <v>58</v>
        <stp/>
        <stp>VOLUME</stp>
        <stp>.QQQ251219P480</stp>
        <tr r="W68" s="2"/>
        <tr r="W68" s="2"/>
      </tp>
      <tp>
        <v>78</v>
        <stp/>
        <stp>VOLUME</stp>
        <stp>.QQQ251219C480</stp>
        <tr r="W68" s="2"/>
        <tr r="W68" s="2"/>
      </tp>
      <tp t="s">
        <v>N/A</v>
        <stp/>
        <stp>VOLUME</stp>
        <stp>.QQQ251219P483</stp>
        <tr r="W65" s="2"/>
      </tp>
      <tp t="s">
        <v>N/A</v>
        <stp/>
        <stp>VOLUME</stp>
        <stp>.QQQ251219C483</stp>
        <tr r="W65" s="2"/>
      </tp>
      <tp t="s">
        <v>N/A</v>
        <stp/>
        <stp>VOLUME</stp>
        <stp>.QQQ251219P482</stp>
        <tr r="W66" s="2"/>
      </tp>
      <tp t="s">
        <v>N/A</v>
        <stp/>
        <stp>VOLUME</stp>
        <stp>.QQQ251219C482</stp>
        <tr r="W66" s="2"/>
      </tp>
      <tp t="s">
        <v>N/A</v>
        <stp/>
        <stp>VOLUME</stp>
        <stp>.QQQ251219P499</stp>
        <tr r="W49" s="2"/>
      </tp>
      <tp t="s">
        <v>N/A</v>
        <stp/>
        <stp>VOLUME</stp>
        <stp>.QQQ251219C499</stp>
        <tr r="W49" s="2"/>
      </tp>
      <tp t="s">
        <v>N/A</v>
        <stp/>
        <stp>VOLUME</stp>
        <stp>.QQQ251219P498</stp>
        <tr r="W50" s="2"/>
      </tp>
      <tp t="s">
        <v>N/A</v>
        <stp/>
        <stp>VOLUME</stp>
        <stp>.QQQ251219C498</stp>
        <tr r="W50" s="2"/>
      </tp>
      <tp t="s">
        <v>N/A</v>
        <stp/>
        <stp>VOLUME</stp>
        <stp>.QQQ251219P495</stp>
        <tr r="W53" s="2"/>
      </tp>
      <tp t="s">
        <v>N/A</v>
        <stp/>
        <stp>VOLUME</stp>
        <stp>.QQQ251219C495</stp>
        <tr r="W53" s="2"/>
      </tp>
      <tp t="s">
        <v>N/A</v>
        <stp/>
        <stp>VOLUME</stp>
        <stp>.QQQ251219P494</stp>
        <tr r="W54" s="2"/>
      </tp>
      <tp t="s">
        <v>N/A</v>
        <stp/>
        <stp>VOLUME</stp>
        <stp>.QQQ251219C494</stp>
        <tr r="W54" s="2"/>
      </tp>
      <tp t="s">
        <v>N/A</v>
        <stp/>
        <stp>VOLUME</stp>
        <stp>.QQQ251219P497</stp>
        <tr r="W51" s="2"/>
      </tp>
      <tp t="s">
        <v>N/A</v>
        <stp/>
        <stp>VOLUME</stp>
        <stp>.QQQ251219C497</stp>
        <tr r="W51" s="2"/>
      </tp>
      <tp t="s">
        <v>N/A</v>
        <stp/>
        <stp>VOLUME</stp>
        <stp>.QQQ251219P496</stp>
        <tr r="W52" s="2"/>
      </tp>
      <tp t="s">
        <v>N/A</v>
        <stp/>
        <stp>VOLUME</stp>
        <stp>.QQQ251219C496</stp>
        <tr r="W52" s="2"/>
      </tp>
      <tp t="s">
        <v>N/A</v>
        <stp/>
        <stp>VOLUME</stp>
        <stp>.QQQ251219P491</stp>
        <tr r="W57" s="2"/>
      </tp>
      <tp t="s">
        <v>N/A</v>
        <stp/>
        <stp>VOLUME</stp>
        <stp>.QQQ251219C491</stp>
        <tr r="W57" s="2"/>
      </tp>
      <tp>
        <v>13</v>
        <stp/>
        <stp>VOLUME</stp>
        <stp>.QQQ251219P490</stp>
        <tr r="W58" s="2"/>
        <tr r="W58" s="2"/>
      </tp>
      <tp>
        <v>49</v>
        <stp/>
        <stp>VOLUME</stp>
        <stp>.QQQ251219C490</stp>
        <tr r="W58" s="2"/>
        <tr r="W58" s="2"/>
      </tp>
      <tp t="s">
        <v>N/A</v>
        <stp/>
        <stp>VOLUME</stp>
        <stp>.QQQ251219P493</stp>
        <tr r="W55" s="2"/>
      </tp>
      <tp t="s">
        <v>N/A</v>
        <stp/>
        <stp>VOLUME</stp>
        <stp>.QQQ251219C493</stp>
        <tr r="W55" s="2"/>
      </tp>
      <tp t="s">
        <v>N/A</v>
        <stp/>
        <stp>VOLUME</stp>
        <stp>.QQQ251219P492</stp>
        <tr r="W56" s="2"/>
      </tp>
      <tp t="s">
        <v>N/A</v>
        <stp/>
        <stp>VOLUME</stp>
        <stp>.QQQ251219C492</stp>
        <tr r="W56" s="2"/>
      </tp>
      <tp>
        <v>2</v>
        <stp/>
        <stp>VOLUME</stp>
        <stp>.QQQ251231P485</stp>
        <tr r="X63" s="2"/>
        <tr r="X63" s="2"/>
      </tp>
      <tp>
        <v>2</v>
        <stp/>
        <stp>VOLUME</stp>
        <stp>.QQQ251231C485</stp>
        <tr r="X63" s="2"/>
        <tr r="X63" s="2"/>
      </tp>
      <tp t="s">
        <v>N/A</v>
        <stp/>
        <stp>VOLUME</stp>
        <stp>.QQQ251231P484</stp>
        <tr r="X64" s="2"/>
      </tp>
      <tp>
        <v>2</v>
        <stp/>
        <stp>VOLUME</stp>
        <stp>.QQQ251231C484</stp>
        <tr r="X64" s="2"/>
        <tr r="X64" s="2"/>
      </tp>
      <tp>
        <v>1</v>
        <stp/>
        <stp>VOLUME</stp>
        <stp>.QQQ251231P487</stp>
        <tr r="X61" s="2"/>
        <tr r="X61" s="2"/>
      </tp>
      <tp t="s">
        <v>N/A</v>
        <stp/>
        <stp>VOLUME</stp>
        <stp>.QQQ251231C487</stp>
        <tr r="X61" s="2"/>
      </tp>
      <tp t="s">
        <v>N/A</v>
        <stp/>
        <stp>VOLUME</stp>
        <stp>.QQQ251231P486</stp>
        <tr r="X62" s="2"/>
      </tp>
      <tp t="s">
        <v>N/A</v>
        <stp/>
        <stp>VOLUME</stp>
        <stp>.QQQ251231C486</stp>
        <tr r="X62" s="2"/>
      </tp>
      <tp t="s">
        <v>N/A</v>
        <stp/>
        <stp>VOLUME</stp>
        <stp>.QQQ251231P481</stp>
        <tr r="X67" s="2"/>
      </tp>
      <tp>
        <v>8</v>
        <stp/>
        <stp>VOLUME</stp>
        <stp>.QQQ251231C481</stp>
        <tr r="X67" s="2"/>
        <tr r="X67" s="2"/>
      </tp>
      <tp>
        <v>36</v>
        <stp/>
        <stp>VOLUME</stp>
        <stp>.QQQ251231P480</stp>
        <tr r="X68" s="2"/>
        <tr r="X68" s="2"/>
      </tp>
      <tp>
        <v>48</v>
        <stp/>
        <stp>VOLUME</stp>
        <stp>.QQQ251231C480</stp>
        <tr r="X68" s="2"/>
        <tr r="X68" s="2"/>
      </tp>
      <tp>
        <v>2</v>
        <stp/>
        <stp>VOLUME</stp>
        <stp>.QQQ251231P483</stp>
        <tr r="X65" s="2"/>
        <tr r="X65" s="2"/>
      </tp>
      <tp>
        <v>2</v>
        <stp/>
        <stp>VOLUME</stp>
        <stp>.QQQ251231C483</stp>
        <tr r="X65" s="2"/>
        <tr r="X65" s="2"/>
      </tp>
      <tp>
        <v>28</v>
        <stp/>
        <stp>VOLUME</stp>
        <stp>.QQQ251231P482</stp>
        <tr r="X66" s="2"/>
        <tr r="X66" s="2"/>
      </tp>
      <tp t="s">
        <v>N/A</v>
        <stp/>
        <stp>VOLUME</stp>
        <stp>.QQQ251231C482</stp>
        <tr r="X66" s="2"/>
      </tp>
      <tp t="s">
        <v>N/A</v>
        <stp/>
        <stp>VOLUME</stp>
        <stp>.QQQ251231P489</stp>
        <tr r="X59" s="2"/>
      </tp>
      <tp t="s">
        <v>N/A</v>
        <stp/>
        <stp>VOLUME</stp>
        <stp>.QQQ251231C489</stp>
        <tr r="X59" s="2"/>
      </tp>
      <tp>
        <v>11</v>
        <stp/>
        <stp>VOLUME</stp>
        <stp>.QQQ251231P488</stp>
        <tr r="X60" s="2"/>
        <tr r="X60" s="2"/>
      </tp>
      <tp>
        <v>1</v>
        <stp/>
        <stp>VOLUME</stp>
        <stp>.QQQ251231C488</stp>
        <tr r="X60" s="2"/>
        <tr r="X60" s="2"/>
      </tp>
      <tp t="s">
        <v>N/A</v>
        <stp/>
        <stp>VOLUME</stp>
        <stp>.QQQ251231P495</stp>
        <tr r="X53" s="2"/>
      </tp>
      <tp t="s">
        <v>N/A</v>
        <stp/>
        <stp>VOLUME</stp>
        <stp>.QQQ251231C495</stp>
        <tr r="X53" s="2"/>
      </tp>
      <tp t="s">
        <v>N/A</v>
        <stp/>
        <stp>VOLUME</stp>
        <stp>.QQQ251231P494</stp>
        <tr r="X54" s="2"/>
      </tp>
      <tp t="s">
        <v>N/A</v>
        <stp/>
        <stp>VOLUME</stp>
        <stp>.QQQ251231C494</stp>
        <tr r="X54" s="2"/>
      </tp>
      <tp t="s">
        <v>N/A</v>
        <stp/>
        <stp>VOLUME</stp>
        <stp>.QQQ251231P497</stp>
        <tr r="X51" s="2"/>
      </tp>
      <tp t="s">
        <v>N/A</v>
        <stp/>
        <stp>VOLUME</stp>
        <stp>.QQQ251231C497</stp>
        <tr r="X51" s="2"/>
      </tp>
      <tp t="s">
        <v>N/A</v>
        <stp/>
        <stp>VOLUME</stp>
        <stp>.QQQ251231P496</stp>
        <tr r="X52" s="2"/>
      </tp>
      <tp t="s">
        <v>N/A</v>
        <stp/>
        <stp>VOLUME</stp>
        <stp>.QQQ251231C496</stp>
        <tr r="X52" s="2"/>
      </tp>
      <tp t="s">
        <v>N/A</v>
        <stp/>
        <stp>VOLUME</stp>
        <stp>.QQQ251231P491</stp>
        <tr r="X57" s="2"/>
      </tp>
      <tp>
        <v>2</v>
        <stp/>
        <stp>VOLUME</stp>
        <stp>.QQQ251231C491</stp>
        <tr r="X57" s="2"/>
        <tr r="X57" s="2"/>
      </tp>
      <tp t="s">
        <v>N/A</v>
        <stp/>
        <stp>VOLUME</stp>
        <stp>.QQQ251231P490</stp>
        <tr r="X58" s="2"/>
      </tp>
      <tp t="s">
        <v>N/A</v>
        <stp/>
        <stp>VOLUME</stp>
        <stp>.QQQ251231C490</stp>
        <tr r="X58" s="2"/>
      </tp>
      <tp t="s">
        <v>N/A</v>
        <stp/>
        <stp>VOLUME</stp>
        <stp>.QQQ251231P493</stp>
        <tr r="X55" s="2"/>
      </tp>
      <tp>
        <v>2</v>
        <stp/>
        <stp>VOLUME</stp>
        <stp>.QQQ251231C493</stp>
        <tr r="X55" s="2"/>
        <tr r="X55" s="2"/>
      </tp>
      <tp t="s">
        <v>N/A</v>
        <stp/>
        <stp>VOLUME</stp>
        <stp>.QQQ251231P492</stp>
        <tr r="X56" s="2"/>
      </tp>
      <tp t="s">
        <v>N/A</v>
        <stp/>
        <stp>VOLUME</stp>
        <stp>.QQQ251231C492</stp>
        <tr r="X56" s="2"/>
      </tp>
      <tp>
        <v>1</v>
        <stp/>
        <stp>VOLUME</stp>
        <stp>.QQQ251231P499</stp>
        <tr r="X49" s="2"/>
        <tr r="X49" s="2"/>
      </tp>
      <tp t="s">
        <v>N/A</v>
        <stp/>
        <stp>VOLUME</stp>
        <stp>.QQQ251231C499</stp>
        <tr r="X49" s="2"/>
      </tp>
      <tp t="s">
        <v>N/A</v>
        <stp/>
        <stp>VOLUME</stp>
        <stp>.QQQ251231P498</stp>
        <tr r="X50" s="2"/>
      </tp>
      <tp t="s">
        <v>N/A</v>
        <stp/>
        <stp>VOLUME</stp>
        <stp>.QQQ251231C498</stp>
        <tr r="X50" s="2"/>
      </tp>
      <tp t="s">
        <v>N/A</v>
        <stp/>
        <stp>VOLUME</stp>
        <stp>.QQQ251231P469</stp>
        <tr r="X79" s="2"/>
      </tp>
      <tp t="s">
        <v>N/A</v>
        <stp/>
        <stp>VOLUME</stp>
        <stp>.QQQ251231C469</stp>
        <tr r="X79" s="2"/>
      </tp>
      <tp t="s">
        <v>N/A</v>
        <stp/>
        <stp>VOLUME</stp>
        <stp>.QQQ251231P468</stp>
        <tr r="X80" s="2"/>
      </tp>
      <tp t="s">
        <v>N/A</v>
        <stp/>
        <stp>VOLUME</stp>
        <stp>.QQQ251231C468</stp>
        <tr r="X80" s="2"/>
      </tp>
      <tp>
        <v>2</v>
        <stp/>
        <stp>VOLUME</stp>
        <stp>.QQQ251231P475</stp>
        <tr r="X73" s="2"/>
        <tr r="X73" s="2"/>
      </tp>
      <tp t="s">
        <v>N/A</v>
        <stp/>
        <stp>VOLUME</stp>
        <stp>.QQQ251231C475</stp>
        <tr r="X73" s="2"/>
      </tp>
      <tp t="s">
        <v>N/A</v>
        <stp/>
        <stp>VOLUME</stp>
        <stp>.QQQ251231P474</stp>
        <tr r="X74" s="2"/>
      </tp>
      <tp t="s">
        <v>N/A</v>
        <stp/>
        <stp>VOLUME</stp>
        <stp>.QQQ251231C474</stp>
        <tr r="X74" s="2"/>
      </tp>
      <tp t="s">
        <v>N/A</v>
        <stp/>
        <stp>VOLUME</stp>
        <stp>.QQQ251231P477</stp>
        <tr r="X71" s="2"/>
      </tp>
      <tp t="s">
        <v>N/A</v>
        <stp/>
        <stp>VOLUME</stp>
        <stp>.QQQ251231C477</stp>
        <tr r="X71" s="2"/>
      </tp>
      <tp>
        <v>3</v>
        <stp/>
        <stp>VOLUME</stp>
        <stp>.QQQ251231P476</stp>
        <tr r="X72" s="2"/>
        <tr r="X72" s="2"/>
      </tp>
      <tp t="s">
        <v>N/A</v>
        <stp/>
        <stp>VOLUME</stp>
        <stp>.QQQ251231C476</stp>
        <tr r="X72" s="2"/>
      </tp>
      <tp t="s">
        <v>N/A</v>
        <stp/>
        <stp>VOLUME</stp>
        <stp>.QQQ251231P471</stp>
        <tr r="X77" s="2"/>
      </tp>
      <tp t="s">
        <v>N/A</v>
        <stp/>
        <stp>VOLUME</stp>
        <stp>.QQQ251231C471</stp>
        <tr r="X77" s="2"/>
      </tp>
      <tp t="s">
        <v>N/A</v>
        <stp/>
        <stp>VOLUME</stp>
        <stp>.QQQ251231P470</stp>
        <tr r="X78" s="2"/>
      </tp>
      <tp>
        <v>3</v>
        <stp/>
        <stp>VOLUME</stp>
        <stp>.QQQ251231C470</stp>
        <tr r="X78" s="2"/>
        <tr r="X78" s="2"/>
      </tp>
      <tp t="s">
        <v>N/A</v>
        <stp/>
        <stp>VOLUME</stp>
        <stp>.QQQ251231P473</stp>
        <tr r="X75" s="2"/>
      </tp>
      <tp t="s">
        <v>N/A</v>
        <stp/>
        <stp>VOLUME</stp>
        <stp>.QQQ251231C473</stp>
        <tr r="X75" s="2"/>
      </tp>
      <tp t="s">
        <v>N/A</v>
        <stp/>
        <stp>VOLUME</stp>
        <stp>.QQQ251231P472</stp>
        <tr r="X76" s="2"/>
      </tp>
      <tp t="s">
        <v>N/A</v>
        <stp/>
        <stp>VOLUME</stp>
        <stp>.QQQ251231C472</stp>
        <tr r="X76" s="2"/>
      </tp>
      <tp t="s">
        <v>N/A</v>
        <stp/>
        <stp>VOLUME</stp>
        <stp>.QQQ251231P479</stp>
        <tr r="X69" s="2"/>
      </tp>
      <tp>
        <v>2</v>
        <stp/>
        <stp>VOLUME</stp>
        <stp>.QQQ251231C479</stp>
        <tr r="X69" s="2"/>
        <tr r="X69" s="2"/>
      </tp>
      <tp t="s">
        <v>N/A</v>
        <stp/>
        <stp>VOLUME</stp>
        <stp>.QQQ251231P478</stp>
        <tr r="X70" s="2"/>
      </tp>
      <tp>
        <v>12</v>
        <stp/>
        <stp>VOLUME</stp>
        <stp>.QQQ251231C478</stp>
        <tr r="X70" s="2"/>
        <tr r="X70" s="2"/>
      </tp>
      <tp t="s">
        <v>N/A</v>
        <stp/>
        <stp>VOLUME</stp>
        <stp>.QQQ251219P469</stp>
        <tr r="W79" s="2"/>
      </tp>
      <tp t="s">
        <v>N/A</v>
        <stp/>
        <stp>VOLUME</stp>
        <stp>.QQQ251219C469</stp>
        <tr r="W79" s="2"/>
      </tp>
      <tp t="s">
        <v>N/A</v>
        <stp/>
        <stp>VOLUME</stp>
        <stp>.QQQ251219P468</stp>
        <tr r="W80" s="2"/>
      </tp>
      <tp t="s">
        <v>N/A</v>
        <stp/>
        <stp>VOLUME</stp>
        <stp>.QQQ251219C468</stp>
        <tr r="W80" s="2"/>
      </tp>
      <tp t="s">
        <v>N/A</v>
        <stp/>
        <stp>VOLUME</stp>
        <stp>.QQQ251219P479</stp>
        <tr r="W69" s="2"/>
      </tp>
      <tp t="s">
        <v>N/A</v>
        <stp/>
        <stp>VOLUME</stp>
        <stp>.QQQ251219C479</stp>
        <tr r="W69" s="2"/>
      </tp>
      <tp t="s">
        <v>N/A</v>
        <stp/>
        <stp>VOLUME</stp>
        <stp>.QQQ251219P478</stp>
        <tr r="W70" s="2"/>
      </tp>
      <tp t="s">
        <v>N/A</v>
        <stp/>
        <stp>VOLUME</stp>
        <stp>.QQQ251219C478</stp>
        <tr r="W70" s="2"/>
      </tp>
      <tp t="s">
        <v>N/A</v>
        <stp/>
        <stp>VOLUME</stp>
        <stp>.QQQ251219P475</stp>
        <tr r="W73" s="2"/>
      </tp>
      <tp t="s">
        <v>N/A</v>
        <stp/>
        <stp>VOLUME</stp>
        <stp>.QQQ251219C475</stp>
        <tr r="W73" s="2"/>
      </tp>
      <tp t="s">
        <v>N/A</v>
        <stp/>
        <stp>VOLUME</stp>
        <stp>.QQQ251219P474</stp>
        <tr r="W74" s="2"/>
      </tp>
      <tp t="s">
        <v>N/A</v>
        <stp/>
        <stp>VOLUME</stp>
        <stp>.QQQ251219C474</stp>
        <tr r="W74" s="2"/>
      </tp>
      <tp t="s">
        <v>N/A</v>
        <stp/>
        <stp>VOLUME</stp>
        <stp>.QQQ251219P477</stp>
        <tr r="W71" s="2"/>
      </tp>
      <tp t="s">
        <v>N/A</v>
        <stp/>
        <stp>VOLUME</stp>
        <stp>.QQQ251219C477</stp>
        <tr r="W71" s="2"/>
      </tp>
      <tp t="s">
        <v>N/A</v>
        <stp/>
        <stp>VOLUME</stp>
        <stp>.QQQ251219P476</stp>
        <tr r="W72" s="2"/>
      </tp>
      <tp t="s">
        <v>N/A</v>
        <stp/>
        <stp>VOLUME</stp>
        <stp>.QQQ251219C476</stp>
        <tr r="W72" s="2"/>
      </tp>
      <tp t="s">
        <v>N/A</v>
        <stp/>
        <stp>VOLUME</stp>
        <stp>.QQQ251219P471</stp>
        <tr r="W77" s="2"/>
      </tp>
      <tp t="s">
        <v>N/A</v>
        <stp/>
        <stp>VOLUME</stp>
        <stp>.QQQ251219C471</stp>
        <tr r="W77" s="2"/>
      </tp>
      <tp>
        <v>35</v>
        <stp/>
        <stp>VOLUME</stp>
        <stp>.QQQ251219P470</stp>
        <tr r="W78" s="2"/>
        <tr r="W78" s="2"/>
      </tp>
      <tp>
        <v>4</v>
        <stp/>
        <stp>VOLUME</stp>
        <stp>.QQQ251219C470</stp>
        <tr r="W78" s="2"/>
        <tr r="W78" s="2"/>
      </tp>
      <tp t="s">
        <v>N/A</v>
        <stp/>
        <stp>VOLUME</stp>
        <stp>.QQQ251219P473</stp>
        <tr r="W75" s="2"/>
      </tp>
      <tp t="s">
        <v>N/A</v>
        <stp/>
        <stp>VOLUME</stp>
        <stp>.QQQ251219C473</stp>
        <tr r="W75" s="2"/>
      </tp>
      <tp t="s">
        <v>N/A</v>
        <stp/>
        <stp>VOLUME</stp>
        <stp>.QQQ251219P472</stp>
        <tr r="W76" s="2"/>
      </tp>
      <tp t="s">
        <v>N/A</v>
        <stp/>
        <stp>VOLUME</stp>
        <stp>.QQQ251219C472</stp>
        <tr r="W76" s="2"/>
      </tp>
      <tp t="s">
        <v>N/A</v>
        <stp/>
        <stp>VOLUME</stp>
        <stp>.QQQ251219P501</stp>
        <tr r="W47" s="2"/>
      </tp>
      <tp t="s">
        <v>N/A</v>
        <stp/>
        <stp>VOLUME</stp>
        <stp>.QQQ251219C501</stp>
        <tr r="W47" s="2"/>
      </tp>
      <tp>
        <v>24</v>
        <stp/>
        <stp>VOLUME</stp>
        <stp>.QQQ251219P500</stp>
        <tr r="W48" s="2"/>
        <tr r="W48" s="2"/>
      </tp>
      <tp>
        <v>38</v>
        <stp/>
        <stp>VOLUME</stp>
        <stp>.QQQ251219C500</stp>
        <tr r="W48" s="2"/>
        <tr r="W48" s="2"/>
      </tp>
      <tp t="s">
        <v>N/A</v>
        <stp/>
        <stp>VOLUME</stp>
        <stp>.QQQ251219P502</stp>
        <tr r="W46" s="2"/>
      </tp>
      <tp t="s">
        <v>N/A</v>
        <stp/>
        <stp>VOLUME</stp>
        <stp>.QQQ251219C502</stp>
        <tr r="W46" s="2"/>
      </tp>
      <tp t="s">
        <v>N/A</v>
        <stp/>
        <stp>VOLUME</stp>
        <stp>.QQQ251231P501</stp>
        <tr r="X47" s="2"/>
      </tp>
      <tp t="s">
        <v>N/A</v>
        <stp/>
        <stp>VOLUME</stp>
        <stp>.QQQ251231C501</stp>
        <tr r="X47" s="2"/>
      </tp>
      <tp>
        <v>3</v>
        <stp/>
        <stp>VOLUME</stp>
        <stp>.QQQ251231P500</stp>
        <tr r="X48" s="2"/>
        <tr r="X48" s="2"/>
      </tp>
      <tp>
        <v>7</v>
        <stp/>
        <stp>VOLUME</stp>
        <stp>.QQQ251231C500</stp>
        <tr r="X48" s="2"/>
        <tr r="X48" s="2"/>
      </tp>
      <tp t="s">
        <v>N/A</v>
        <stp/>
        <stp>VOLUME</stp>
        <stp>.QQQ251231P502</stp>
        <tr r="X46" s="2"/>
      </tp>
      <tp t="s">
        <v>N/A</v>
        <stp/>
        <stp>VOLUME</stp>
        <stp>.QQQ251231C502</stp>
        <tr r="X46" s="2"/>
      </tp>
      <tp t="s">
        <v>N/A</v>
        <stp/>
        <stp>VOLUME</stp>
        <stp>.QQQ251017P483</stp>
        <tr r="S65" s="2"/>
      </tp>
      <tp t="s">
        <v>N/A</v>
        <stp/>
        <stp>VOLUME</stp>
        <stp>.QQQ251017C483</stp>
        <tr r="S65" s="2"/>
      </tp>
      <tp t="s">
        <v>N/A</v>
        <stp/>
        <stp>VOLUME</stp>
        <stp>.QQQ251017P482</stp>
        <tr r="S66" s="2"/>
      </tp>
      <tp t="s">
        <v>N/A</v>
        <stp/>
        <stp>VOLUME</stp>
        <stp>.QQQ251017C482</stp>
        <tr r="S66" s="2"/>
      </tp>
      <tp t="s">
        <v>N/A</v>
        <stp/>
        <stp>VOLUME</stp>
        <stp>.QQQ251017P481</stp>
        <tr r="S67" s="2"/>
      </tp>
      <tp t="s">
        <v>N/A</v>
        <stp/>
        <stp>VOLUME</stp>
        <stp>.QQQ251017C481</stp>
        <tr r="S67" s="2"/>
      </tp>
      <tp t="s">
        <v>N/A</v>
        <stp/>
        <stp>VOLUME</stp>
        <stp>.QQQ251017P480</stp>
        <tr r="S68" s="2"/>
      </tp>
      <tp t="s">
        <v>N/A</v>
        <stp/>
        <stp>VOLUME</stp>
        <stp>.QQQ251017C480</stp>
        <tr r="S68" s="2"/>
      </tp>
      <tp t="s">
        <v>N/A</v>
        <stp/>
        <stp>VOLUME</stp>
        <stp>.QQQ251017P487</stp>
        <tr r="S61" s="2"/>
      </tp>
      <tp t="s">
        <v>N/A</v>
        <stp/>
        <stp>VOLUME</stp>
        <stp>.QQQ251017C487</stp>
        <tr r="S61" s="2"/>
      </tp>
      <tp t="s">
        <v>N/A</v>
        <stp/>
        <stp>VOLUME</stp>
        <stp>.QQQ251017P486</stp>
        <tr r="S62" s="2"/>
      </tp>
      <tp t="s">
        <v>N/A</v>
        <stp/>
        <stp>VOLUME</stp>
        <stp>.QQQ251017C486</stp>
        <tr r="S62" s="2"/>
      </tp>
      <tp t="s">
        <v>N/A</v>
        <stp/>
        <stp>VOLUME</stp>
        <stp>.QQQ251017P485</stp>
        <tr r="S63" s="2"/>
      </tp>
      <tp t="s">
        <v>N/A</v>
        <stp/>
        <stp>VOLUME</stp>
        <stp>.QQQ251017C485</stp>
        <tr r="S63" s="2"/>
      </tp>
      <tp t="s">
        <v>N/A</v>
        <stp/>
        <stp>VOLUME</stp>
        <stp>.QQQ251017P484</stp>
        <tr r="S64" s="2"/>
      </tp>
      <tp t="s">
        <v>N/A</v>
        <stp/>
        <stp>VOLUME</stp>
        <stp>.QQQ251017C484</stp>
        <tr r="S64" s="2"/>
      </tp>
      <tp t="s">
        <v>N/A</v>
        <stp/>
        <stp>VOLUME</stp>
        <stp>.QQQ251017P489</stp>
        <tr r="S59" s="2"/>
      </tp>
      <tp t="s">
        <v>N/A</v>
        <stp/>
        <stp>VOLUME</stp>
        <stp>.QQQ251017C489</stp>
        <tr r="S59" s="2"/>
      </tp>
      <tp t="s">
        <v>N/A</v>
        <stp/>
        <stp>VOLUME</stp>
        <stp>.QQQ251017P488</stp>
        <tr r="S60" s="2"/>
      </tp>
      <tp t="s">
        <v>N/A</v>
        <stp/>
        <stp>VOLUME</stp>
        <stp>.QQQ251017C488</stp>
        <tr r="S60" s="2"/>
      </tp>
      <tp t="s">
        <v>N/A</v>
        <stp/>
        <stp>VOLUME</stp>
        <stp>.SPY250919P582</stp>
        <tr r="Q5" s="2"/>
      </tp>
      <tp t="s">
        <v>N/A</v>
        <stp/>
        <stp>VOLUME</stp>
        <stp>.SPY250919C582</stp>
        <tr r="Q5" s="2"/>
      </tp>
      <tp t="s">
        <v>N/A</v>
        <stp/>
        <stp>VOLUME</stp>
        <stp>.SPY250919P581</stp>
        <tr r="Q6" s="2"/>
      </tp>
      <tp t="s">
        <v>N/A</v>
        <stp/>
        <stp>VOLUME</stp>
        <stp>.SPY250919C581</stp>
        <tr r="Q6" s="2"/>
      </tp>
      <tp>
        <v>104</v>
        <stp/>
        <stp>VOLUME</stp>
        <stp>.SPY250919P580</stp>
        <tr r="Q7" s="2"/>
        <tr r="Q7" s="2"/>
      </tp>
      <tp>
        <v>56</v>
        <stp/>
        <stp>VOLUME</stp>
        <stp>.SPY250919C580</stp>
        <tr r="Q7" s="2"/>
        <tr r="Q7" s="2"/>
      </tp>
      <tp t="s">
        <v>N/A</v>
        <stp/>
        <stp>VOLUME</stp>
        <stp>.QQQ251017P493</stp>
        <tr r="S55" s="2"/>
      </tp>
      <tp t="s">
        <v>N/A</v>
        <stp/>
        <stp>VOLUME</stp>
        <stp>.QQQ251017C493</stp>
        <tr r="S55" s="2"/>
      </tp>
      <tp t="s">
        <v>N/A</v>
        <stp/>
        <stp>VOLUME</stp>
        <stp>.QQQ251017P492</stp>
        <tr r="S56" s="2"/>
      </tp>
      <tp t="s">
        <v>N/A</v>
        <stp/>
        <stp>VOLUME</stp>
        <stp>.QQQ251017C492</stp>
        <tr r="S56" s="2"/>
      </tp>
      <tp t="s">
        <v>N/A</v>
        <stp/>
        <stp>VOLUME</stp>
        <stp>.QQQ251017P491</stp>
        <tr r="S57" s="2"/>
      </tp>
      <tp t="s">
        <v>N/A</v>
        <stp/>
        <stp>VOLUME</stp>
        <stp>.QQQ251017C491</stp>
        <tr r="S57" s="2"/>
      </tp>
      <tp t="s">
        <v>N/A</v>
        <stp/>
        <stp>VOLUME</stp>
        <stp>.QQQ251017P490</stp>
        <tr r="S58" s="2"/>
      </tp>
      <tp t="s">
        <v>N/A</v>
        <stp/>
        <stp>VOLUME</stp>
        <stp>.QQQ251017C490</stp>
        <tr r="S58" s="2"/>
      </tp>
      <tp t="s">
        <v>N/A</v>
        <stp/>
        <stp>VOLUME</stp>
        <stp>.QQQ251017P497</stp>
        <tr r="S51" s="2"/>
      </tp>
      <tp t="s">
        <v>N/A</v>
        <stp/>
        <stp>VOLUME</stp>
        <stp>.QQQ251017C497</stp>
        <tr r="S51" s="2"/>
      </tp>
      <tp t="s">
        <v>N/A</v>
        <stp/>
        <stp>VOLUME</stp>
        <stp>.QQQ251017P496</stp>
        <tr r="S52" s="2"/>
      </tp>
      <tp t="s">
        <v>N/A</v>
        <stp/>
        <stp>VOLUME</stp>
        <stp>.QQQ251017C496</stp>
        <tr r="S52" s="2"/>
      </tp>
      <tp t="s">
        <v>N/A</v>
        <stp/>
        <stp>VOLUME</stp>
        <stp>.QQQ251017P495</stp>
        <tr r="S53" s="2"/>
      </tp>
      <tp t="s">
        <v>N/A</v>
        <stp/>
        <stp>VOLUME</stp>
        <stp>.QQQ251017C495</stp>
        <tr r="S53" s="2"/>
      </tp>
      <tp t="s">
        <v>N/A</v>
        <stp/>
        <stp>VOLUME</stp>
        <stp>.QQQ251017P494</stp>
        <tr r="S54" s="2"/>
      </tp>
      <tp t="s">
        <v>N/A</v>
        <stp/>
        <stp>VOLUME</stp>
        <stp>.QQQ251017C494</stp>
        <tr r="S54" s="2"/>
      </tp>
      <tp t="s">
        <v>N/A</v>
        <stp/>
        <stp>VOLUME</stp>
        <stp>.QQQ251017P499</stp>
        <tr r="S49" s="2"/>
      </tp>
      <tp t="s">
        <v>N/A</v>
        <stp/>
        <stp>VOLUME</stp>
        <stp>.QQQ251017C499</stp>
        <tr r="S49" s="2"/>
      </tp>
      <tp t="s">
        <v>N/A</v>
        <stp/>
        <stp>VOLUME</stp>
        <stp>.QQQ251017P498</stp>
        <tr r="S50" s="2"/>
      </tp>
      <tp t="s">
        <v>N/A</v>
        <stp/>
        <stp>VOLUME</stp>
        <stp>.QQQ251017C498</stp>
        <tr r="S50" s="2"/>
      </tp>
      <tp t="s">
        <v>N/A</v>
        <stp/>
        <stp>VOLUME</stp>
        <stp>.QQQ251031P485</stp>
        <tr r="T63" s="2"/>
      </tp>
      <tp t="s">
        <v>N/A</v>
        <stp/>
        <stp>VOLUME</stp>
        <stp>.QQQ251031C485</stp>
        <tr r="T63" s="2"/>
      </tp>
      <tp t="s">
        <v>N/A</v>
        <stp/>
        <stp>VOLUME</stp>
        <stp>.QQQ251031P484</stp>
        <tr r="T64" s="2"/>
      </tp>
      <tp t="s">
        <v>N/A</v>
        <stp/>
        <stp>VOLUME</stp>
        <stp>.QQQ251031C484</stp>
        <tr r="T64" s="2"/>
      </tp>
      <tp t="s">
        <v>N/A</v>
        <stp/>
        <stp>VOLUME</stp>
        <stp>.QQQ251031P487</stp>
        <tr r="T61" s="2"/>
      </tp>
      <tp t="s">
        <v>N/A</v>
        <stp/>
        <stp>VOLUME</stp>
        <stp>.QQQ251031C487</stp>
        <tr r="T61" s="2"/>
      </tp>
      <tp t="s">
        <v>N/A</v>
        <stp/>
        <stp>VOLUME</stp>
        <stp>.QQQ251031P486</stp>
        <tr r="T62" s="2"/>
      </tp>
      <tp t="s">
        <v>N/A</v>
        <stp/>
        <stp>VOLUME</stp>
        <stp>.QQQ251031C486</stp>
        <tr r="T62" s="2"/>
      </tp>
      <tp t="s">
        <v>N/A</v>
        <stp/>
        <stp>VOLUME</stp>
        <stp>.QQQ251031P481</stp>
        <tr r="T67" s="2"/>
      </tp>
      <tp>
        <v>2</v>
        <stp/>
        <stp>VOLUME</stp>
        <stp>.SPY250930P582</stp>
        <tr r="R5" s="2"/>
        <tr r="R5" s="2"/>
      </tp>
      <tp t="s">
        <v>N/A</v>
        <stp/>
        <stp>VOLUME</stp>
        <stp>.QQQ251031C481</stp>
        <tr r="T67" s="2"/>
      </tp>
      <tp>
        <v>1</v>
        <stp/>
        <stp>VOLUME</stp>
        <stp>.SPY250930C582</stp>
        <tr r="R5" s="2"/>
        <tr r="R5" s="2"/>
      </tp>
      <tp t="s">
        <v>N/A</v>
        <stp/>
        <stp>VOLUME</stp>
        <stp>.QQQ251031P480</stp>
        <tr r="T68" s="2"/>
      </tp>
      <tp t="s">
        <v>N/A</v>
        <stp/>
        <stp>VOLUME</stp>
        <stp>.QQQ251031C480</stp>
        <tr r="T68" s="2"/>
      </tp>
      <tp t="s">
        <v>N/A</v>
        <stp/>
        <stp>VOLUME</stp>
        <stp>.QQQ251031P483</stp>
        <tr r="T65" s="2"/>
      </tp>
      <tp>
        <v>2</v>
        <stp/>
        <stp>VOLUME</stp>
        <stp>.SPY250930P580</stp>
        <tr r="R7" s="2"/>
        <tr r="R7" s="2"/>
      </tp>
      <tp t="s">
        <v>N/A</v>
        <stp/>
        <stp>VOLUME</stp>
        <stp>.QQQ251031C483</stp>
        <tr r="T65" s="2"/>
      </tp>
      <tp>
        <v>9</v>
        <stp/>
        <stp>VOLUME</stp>
        <stp>.SPY250930C580</stp>
        <tr r="R7" s="2"/>
        <tr r="R7" s="2"/>
      </tp>
      <tp t="s">
        <v>N/A</v>
        <stp/>
        <stp>VOLUME</stp>
        <stp>.QQQ251031P482</stp>
        <tr r="T66" s="2"/>
      </tp>
      <tp>
        <v>3</v>
        <stp/>
        <stp>VOLUME</stp>
        <stp>.SPY250930P581</stp>
        <tr r="R6" s="2"/>
        <tr r="R6" s="2"/>
      </tp>
      <tp t="s">
        <v>N/A</v>
        <stp/>
        <stp>VOLUME</stp>
        <stp>.QQQ251031C482</stp>
        <tr r="T66" s="2"/>
      </tp>
      <tp t="s">
        <v>N/A</v>
        <stp/>
        <stp>VOLUME</stp>
        <stp>.SPY250930C581</stp>
        <tr r="R6" s="2"/>
      </tp>
      <tp t="s">
        <v>N/A</v>
        <stp/>
        <stp>VOLUME</stp>
        <stp>.QQQ251031P489</stp>
        <tr r="T59" s="2"/>
      </tp>
      <tp t="s">
        <v>N/A</v>
        <stp/>
        <stp>VOLUME</stp>
        <stp>.QQQ251031C489</stp>
        <tr r="T59" s="2"/>
      </tp>
      <tp t="s">
        <v>N/A</v>
        <stp/>
        <stp>VOLUME</stp>
        <stp>.QQQ251031P488</stp>
        <tr r="T60" s="2"/>
      </tp>
      <tp t="s">
        <v>N/A</v>
        <stp/>
        <stp>VOLUME</stp>
        <stp>.QQQ251031C488</stp>
        <tr r="T60" s="2"/>
      </tp>
      <tp t="s">
        <v>N/A</v>
        <stp/>
        <stp>VOLUME</stp>
        <stp>.QQQ251031P495</stp>
        <tr r="T53" s="2"/>
      </tp>
      <tp t="s">
        <v>N/A</v>
        <stp/>
        <stp>VOLUME</stp>
        <stp>.QQQ251031C495</stp>
        <tr r="T53" s="2"/>
      </tp>
      <tp t="s">
        <v>N/A</v>
        <stp/>
        <stp>VOLUME</stp>
        <stp>.QQQ251031P494</stp>
        <tr r="T54" s="2"/>
      </tp>
      <tp t="s">
        <v>N/A</v>
        <stp/>
        <stp>VOLUME</stp>
        <stp>.QQQ251031C494</stp>
        <tr r="T54" s="2"/>
      </tp>
      <tp t="s">
        <v>N/A</v>
        <stp/>
        <stp>VOLUME</stp>
        <stp>.QQQ251031P497</stp>
        <tr r="T51" s="2"/>
      </tp>
      <tp t="s">
        <v>N/A</v>
        <stp/>
        <stp>VOLUME</stp>
        <stp>.QQQ251031C497</stp>
        <tr r="T51" s="2"/>
      </tp>
      <tp t="s">
        <v>N/A</v>
        <stp/>
        <stp>VOLUME</stp>
        <stp>.QQQ251031P496</stp>
        <tr r="T52" s="2"/>
      </tp>
      <tp t="s">
        <v>N/A</v>
        <stp/>
        <stp>VOLUME</stp>
        <stp>.QQQ251031C496</stp>
        <tr r="T52" s="2"/>
      </tp>
      <tp t="s">
        <v>N/A</v>
        <stp/>
        <stp>VOLUME</stp>
        <stp>.QQQ251031P491</stp>
        <tr r="T57" s="2"/>
      </tp>
      <tp t="s">
        <v>N/A</v>
        <stp/>
        <stp>VOLUME</stp>
        <stp>.QQQ251031C491</stp>
        <tr r="T57" s="2"/>
      </tp>
      <tp t="s">
        <v>N/A</v>
        <stp/>
        <stp>VOLUME</stp>
        <stp>.QQQ251031P490</stp>
        <tr r="T58" s="2"/>
      </tp>
      <tp t="s">
        <v>N/A</v>
        <stp/>
        <stp>VOLUME</stp>
        <stp>.QQQ251031C490</stp>
        <tr r="T58" s="2"/>
      </tp>
      <tp t="s">
        <v>N/A</v>
        <stp/>
        <stp>VOLUME</stp>
        <stp>.QQQ251031P493</stp>
        <tr r="T55" s="2"/>
      </tp>
      <tp t="s">
        <v>N/A</v>
        <stp/>
        <stp>VOLUME</stp>
        <stp>.QQQ251031C493</stp>
        <tr r="T55" s="2"/>
      </tp>
      <tp t="s">
        <v>N/A</v>
        <stp/>
        <stp>VOLUME</stp>
        <stp>.QQQ251031P492</stp>
        <tr r="T56" s="2"/>
      </tp>
      <tp t="s">
        <v>N/A</v>
        <stp/>
        <stp>VOLUME</stp>
        <stp>.QQQ251031C492</stp>
        <tr r="T56" s="2"/>
      </tp>
      <tp t="s">
        <v>N/A</v>
        <stp/>
        <stp>VOLUME</stp>
        <stp>.QQQ251031P499</stp>
        <tr r="T49" s="2"/>
      </tp>
      <tp t="s">
        <v>N/A</v>
        <stp/>
        <stp>VOLUME</stp>
        <stp>.QQQ251031C499</stp>
        <tr r="T49" s="2"/>
      </tp>
      <tp t="s">
        <v>N/A</v>
        <stp/>
        <stp>VOLUME</stp>
        <stp>.QQQ251031P498</stp>
        <tr r="T50" s="2"/>
      </tp>
      <tp t="s">
        <v>N/A</v>
        <stp/>
        <stp>VOLUME</stp>
        <stp>.QQQ251031C498</stp>
        <tr r="T50" s="2"/>
      </tp>
      <tp t="s">
        <v>N/A</v>
        <stp/>
        <stp>VOLUME</stp>
        <stp>.QQQ251121P501</stp>
        <tr r="U47" s="2"/>
      </tp>
      <tp t="s">
        <v>N/A</v>
        <stp/>
        <stp>VOLUME</stp>
        <stp>.QQQ251121C501</stp>
        <tr r="U47" s="2"/>
      </tp>
      <tp>
        <v>11</v>
        <stp/>
        <stp>VOLUME</stp>
        <stp>.QQQ251121P500</stp>
        <tr r="U48" s="2"/>
        <tr r="U48" s="2"/>
      </tp>
      <tp>
        <v>54</v>
        <stp/>
        <stp>VOLUME</stp>
        <stp>.QQQ251121C500</stp>
        <tr r="U48" s="2"/>
        <tr r="U48" s="2"/>
      </tp>
      <tp t="s">
        <v>N/A</v>
        <stp/>
        <stp>VOLUME</stp>
        <stp>.QQQ251121P502</stp>
        <tr r="U46" s="2"/>
      </tp>
      <tp t="s">
        <v>N/A</v>
        <stp/>
        <stp>VOLUME</stp>
        <stp>.QQQ251121C502</stp>
        <tr r="U46" s="2"/>
      </tp>
      <tp t="s">
        <v>N/A</v>
        <stp/>
        <stp>VOLUME</stp>
        <stp>.QQQ251128P500</stp>
        <tr r="V48" s="2"/>
      </tp>
      <tp t="s">
        <v>N/A</v>
        <stp/>
        <stp>VOLUME</stp>
        <stp>.QQQ251128C500</stp>
        <tr r="V48" s="2"/>
      </tp>
      <tp t="s">
        <v>N/A</v>
        <stp/>
        <stp>VOLUME</stp>
        <stp>.QQQ251128P501</stp>
        <tr r="V47" s="2"/>
      </tp>
      <tp t="s">
        <v>N/A</v>
        <stp/>
        <stp>VOLUME</stp>
        <stp>.QQQ251128C501</stp>
        <tr r="V47" s="2"/>
      </tp>
      <tp t="s">
        <v>N/A</v>
        <stp/>
        <stp>VOLUME</stp>
        <stp>.QQQ251128P502</stp>
        <tr r="V46" s="2"/>
      </tp>
      <tp t="s">
        <v>N/A</v>
        <stp/>
        <stp>VOLUME</stp>
        <stp>.QQQ251128C502</stp>
        <tr r="V46" s="2"/>
      </tp>
      <tp>
        <v>2</v>
        <stp/>
        <stp>VOLUME</stp>
        <stp>.SPY250930P566</stp>
        <tr r="R21" s="2"/>
        <tr r="R21" s="2"/>
      </tp>
      <tp t="s">
        <v>N/A</v>
        <stp/>
        <stp>VOLUME</stp>
        <stp>.SPY250930C566</stp>
        <tr r="R21" s="2"/>
      </tp>
      <tp t="s">
        <v>N/A</v>
        <stp/>
        <stp>VOLUME</stp>
        <stp>.SPY250930P567</stp>
        <tr r="R20" s="2"/>
      </tp>
      <tp t="s">
        <v>N/A</v>
        <stp/>
        <stp>VOLUME</stp>
        <stp>.SPY250930C567</stp>
        <tr r="R20" s="2"/>
      </tp>
      <tp>
        <v>2</v>
        <stp/>
        <stp>VOLUME</stp>
        <stp>.SPY250930P564</stp>
        <tr r="R23" s="2"/>
        <tr r="R23" s="2"/>
      </tp>
      <tp>
        <v>2</v>
        <stp/>
        <stp>VOLUME</stp>
        <stp>.SPY250930C564</stp>
        <tr r="R23" s="2"/>
        <tr r="R23" s="2"/>
      </tp>
      <tp>
        <v>131</v>
        <stp/>
        <stp>VOLUME</stp>
        <stp>.SPY250930P565</stp>
        <tr r="R22" s="2"/>
        <tr r="R22" s="2"/>
      </tp>
      <tp>
        <v>22</v>
        <stp/>
        <stp>VOLUME</stp>
        <stp>.SPY250930C565</stp>
        <tr r="R22" s="2"/>
        <tr r="R22" s="2"/>
      </tp>
      <tp t="s">
        <v>N/A</v>
        <stp/>
        <stp>VOLUME</stp>
        <stp>.SPY250930P562</stp>
        <tr r="R25" s="2"/>
      </tp>
      <tp>
        <v>6</v>
        <stp/>
        <stp>VOLUME</stp>
        <stp>.SPY250930C562</stp>
        <tr r="R25" s="2"/>
        <tr r="R25" s="2"/>
      </tp>
      <tp>
        <v>2</v>
        <stp/>
        <stp>VOLUME</stp>
        <stp>.SPY250930P563</stp>
        <tr r="R24" s="2"/>
        <tr r="R24" s="2"/>
      </tp>
      <tp>
        <v>2</v>
        <stp/>
        <stp>VOLUME</stp>
        <stp>.SPY250930C563</stp>
        <tr r="R24" s="2"/>
        <tr r="R24" s="2"/>
      </tp>
      <tp t="s">
        <v>N/A</v>
        <stp/>
        <stp>VOLUME</stp>
        <stp>.SPY250919P549</stp>
        <tr r="Q38" s="2"/>
      </tp>
      <tp>
        <v>219</v>
        <stp/>
        <stp>VOLUME</stp>
        <stp>.SPY250930P560</stp>
        <tr r="R27" s="2"/>
        <tr r="R27" s="2"/>
      </tp>
      <tp t="s">
        <v>N/A</v>
        <stp/>
        <stp>VOLUME</stp>
        <stp>.SPY250919C549</stp>
        <tr r="Q38" s="2"/>
      </tp>
      <tp>
        <v>28</v>
        <stp/>
        <stp>VOLUME</stp>
        <stp>.SPY250930C560</stp>
        <tr r="R27" s="2"/>
        <tr r="R27" s="2"/>
      </tp>
      <tp t="s">
        <v>N/A</v>
        <stp/>
        <stp>VOLUME</stp>
        <stp>.SPY250919P548</stp>
        <tr r="Q39" s="2"/>
      </tp>
      <tp>
        <v>4</v>
        <stp/>
        <stp>VOLUME</stp>
        <stp>.SPY250930P561</stp>
        <tr r="R26" s="2"/>
        <tr r="R26" s="2"/>
      </tp>
      <tp t="s">
        <v>N/A</v>
        <stp/>
        <stp>VOLUME</stp>
        <stp>.SPY250919C548</stp>
        <tr r="Q39" s="2"/>
      </tp>
      <tp>
        <v>2</v>
        <stp/>
        <stp>VOLUME</stp>
        <stp>.SPY250930C561</stp>
        <tr r="R26" s="2"/>
        <tr r="R26" s="2"/>
      </tp>
      <tp t="s">
        <v>N/A</v>
        <stp/>
        <stp>VOLUME</stp>
        <stp>.QQQ251031P469</stp>
        <tr r="T79" s="2"/>
      </tp>
      <tp t="s">
        <v>N/A</v>
        <stp/>
        <stp>VOLUME</stp>
        <stp>.QQQ251031C469</stp>
        <tr r="T79" s="2"/>
      </tp>
      <tp t="s">
        <v>N/A</v>
        <stp/>
        <stp>VOLUME</stp>
        <stp>.QQQ251031P468</stp>
        <tr r="T80" s="2"/>
      </tp>
      <tp t="s">
        <v>N/A</v>
        <stp/>
        <stp>VOLUME</stp>
        <stp>.QQQ251031C468</stp>
        <tr r="T80" s="2"/>
      </tp>
      <tp>
        <v>25</v>
        <stp/>
        <stp>VOLUME</stp>
        <stp>.SPY250930P568</stp>
        <tr r="R19" s="2"/>
        <tr r="R19" s="2"/>
      </tp>
      <tp t="s">
        <v>N/A</v>
        <stp/>
        <stp>VOLUME</stp>
        <stp>.SPY250930C568</stp>
        <tr r="R19" s="2"/>
      </tp>
      <tp>
        <v>2</v>
        <stp/>
        <stp>VOLUME</stp>
        <stp>.SPY250930P569</stp>
        <tr r="R18" s="2"/>
        <tr r="R18" s="2"/>
      </tp>
      <tp>
        <v>53</v>
        <stp/>
        <stp>VOLUME</stp>
        <stp>.SPY250930C569</stp>
        <tr r="R18" s="2"/>
        <tr r="R18" s="2"/>
      </tp>
      <tp t="s">
        <v>N/A</v>
        <stp/>
        <stp>VOLUME</stp>
        <stp>.QQQ251031P475</stp>
        <tr r="T73" s="2"/>
      </tp>
      <tp t="s">
        <v>N/A</v>
        <stp/>
        <stp>VOLUME</stp>
        <stp>.SPY250930P576</stp>
        <tr r="R11" s="2"/>
      </tp>
      <tp t="s">
        <v>N/A</v>
        <stp/>
        <stp>VOLUME</stp>
        <stp>.QQQ251031C475</stp>
        <tr r="T73" s="2"/>
      </tp>
      <tp t="s">
        <v>N/A</v>
        <stp/>
        <stp>VOLUME</stp>
        <stp>.SPY250930C576</stp>
        <tr r="R11" s="2"/>
      </tp>
      <tp t="s">
        <v>N/A</v>
        <stp/>
        <stp>VOLUME</stp>
        <stp>.QQQ251031P474</stp>
        <tr r="T74" s="2"/>
      </tp>
      <tp t="s">
        <v>N/A</v>
        <stp/>
        <stp>VOLUME</stp>
        <stp>.SPY250930P577</stp>
        <tr r="R10" s="2"/>
      </tp>
      <tp t="s">
        <v>N/A</v>
        <stp/>
        <stp>VOLUME</stp>
        <stp>.QQQ251031C474</stp>
        <tr r="T74" s="2"/>
      </tp>
      <tp t="s">
        <v>N/A</v>
        <stp/>
        <stp>VOLUME</stp>
        <stp>.SPY250930C577</stp>
        <tr r="R10" s="2"/>
      </tp>
      <tp t="s">
        <v>N/A</v>
        <stp/>
        <stp>VOLUME</stp>
        <stp>.QQQ251031P477</stp>
        <tr r="T71" s="2"/>
      </tp>
      <tp t="s">
        <v>N/A</v>
        <stp/>
        <stp>VOLUME</stp>
        <stp>.SPY250930P574</stp>
        <tr r="R13" s="2"/>
      </tp>
      <tp t="s">
        <v>N/A</v>
        <stp/>
        <stp>VOLUME</stp>
        <stp>.QQQ251031C477</stp>
        <tr r="T71" s="2"/>
      </tp>
      <tp t="s">
        <v>N/A</v>
        <stp/>
        <stp>VOLUME</stp>
        <stp>.SPY250930C574</stp>
        <tr r="R13" s="2"/>
      </tp>
      <tp t="s">
        <v>N/A</v>
        <stp/>
        <stp>VOLUME</stp>
        <stp>.QQQ251031P476</stp>
        <tr r="T72" s="2"/>
      </tp>
      <tp>
        <v>7</v>
        <stp/>
        <stp>VOLUME</stp>
        <stp>.SPY250930P575</stp>
        <tr r="R12" s="2"/>
        <tr r="R12" s="2"/>
      </tp>
      <tp t="s">
        <v>N/A</v>
        <stp/>
        <stp>VOLUME</stp>
        <stp>.QQQ251031C476</stp>
        <tr r="T72" s="2"/>
      </tp>
      <tp>
        <v>2</v>
        <stp/>
        <stp>VOLUME</stp>
        <stp>.SPY250930C575</stp>
        <tr r="R12" s="2"/>
        <tr r="R12" s="2"/>
      </tp>
      <tp t="s">
        <v>N/A</v>
        <stp/>
        <stp>VOLUME</stp>
        <stp>.QQQ251031P471</stp>
        <tr r="T77" s="2"/>
      </tp>
      <tp>
        <v>1</v>
        <stp/>
        <stp>VOLUME</stp>
        <stp>.SPY250930P572</stp>
        <tr r="R15" s="2"/>
        <tr r="R15" s="2"/>
      </tp>
      <tp t="s">
        <v>N/A</v>
        <stp/>
        <stp>VOLUME</stp>
        <stp>.QQQ251031C471</stp>
        <tr r="T77" s="2"/>
      </tp>
      <tp t="s">
        <v>N/A</v>
        <stp/>
        <stp>VOLUME</stp>
        <stp>.SPY250930C572</stp>
        <tr r="R15" s="2"/>
      </tp>
      <tp t="s">
        <v>N/A</v>
        <stp/>
        <stp>VOLUME</stp>
        <stp>.QQQ251031P470</stp>
        <tr r="T78" s="2"/>
      </tp>
      <tp t="s">
        <v>N/A</v>
        <stp/>
        <stp>VOLUME</stp>
        <stp>.SPY250930P573</stp>
        <tr r="R14" s="2"/>
      </tp>
      <tp t="s">
        <v>N/A</v>
        <stp/>
        <stp>VOLUME</stp>
        <stp>.QQQ251031C470</stp>
        <tr r="T78" s="2"/>
      </tp>
      <tp t="s">
        <v>N/A</v>
        <stp/>
        <stp>VOLUME</stp>
        <stp>.SPY250930C573</stp>
        <tr r="R14" s="2"/>
      </tp>
      <tp t="s">
        <v>N/A</v>
        <stp/>
        <stp>VOLUME</stp>
        <stp>.QQQ251031P473</stp>
        <tr r="T75" s="2"/>
      </tp>
      <tp t="s">
        <v>N/A</v>
        <stp/>
        <stp>VOLUME</stp>
        <stp>.SPY250919P559</stp>
        <tr r="Q28" s="2"/>
      </tp>
      <tp>
        <v>1</v>
        <stp/>
        <stp>VOLUME</stp>
        <stp>.SPY250930P570</stp>
        <tr r="R17" s="2"/>
        <tr r="R17" s="2"/>
      </tp>
      <tp t="s">
        <v>N/A</v>
        <stp/>
        <stp>VOLUME</stp>
        <stp>.QQQ251031C473</stp>
        <tr r="T75" s="2"/>
      </tp>
      <tp t="s">
        <v>N/A</v>
        <stp/>
        <stp>VOLUME</stp>
        <stp>.SPY250919C559</stp>
        <tr r="Q28" s="2"/>
      </tp>
      <tp>
        <v>3</v>
        <stp/>
        <stp>VOLUME</stp>
        <stp>.SPY250930C570</stp>
        <tr r="R17" s="2"/>
        <tr r="R17" s="2"/>
      </tp>
      <tp t="s">
        <v>N/A</v>
        <stp/>
        <stp>VOLUME</stp>
        <stp>.QQQ251031P472</stp>
        <tr r="T76" s="2"/>
      </tp>
      <tp t="s">
        <v>N/A</v>
        <stp/>
        <stp>VOLUME</stp>
        <stp>.SPY250919P558</stp>
        <tr r="Q29" s="2"/>
      </tp>
      <tp t="s">
        <v>N/A</v>
        <stp/>
        <stp>VOLUME</stp>
        <stp>.SPY250930P571</stp>
        <tr r="R16" s="2"/>
      </tp>
      <tp t="s">
        <v>N/A</v>
        <stp/>
        <stp>VOLUME</stp>
        <stp>.QQQ251031C472</stp>
        <tr r="T76" s="2"/>
      </tp>
      <tp t="s">
        <v>N/A</v>
        <stp/>
        <stp>VOLUME</stp>
        <stp>.SPY250919C558</stp>
        <tr r="Q29" s="2"/>
      </tp>
      <tp t="s">
        <v>N/A</v>
        <stp/>
        <stp>VOLUME</stp>
        <stp>.SPY250930C571</stp>
        <tr r="R16" s="2"/>
      </tp>
      <tp t="s">
        <v>N/A</v>
        <stp/>
        <stp>VOLUME</stp>
        <stp>.SPY250919P557</stp>
        <tr r="Q30" s="2"/>
      </tp>
      <tp t="s">
        <v>N/A</v>
        <stp/>
        <stp>VOLUME</stp>
        <stp>.SPY250919C557</stp>
        <tr r="Q30" s="2"/>
      </tp>
      <tp t="s">
        <v>N/A</v>
        <stp/>
        <stp>VOLUME</stp>
        <stp>.SPY250919P556</stp>
        <tr r="Q31" s="2"/>
      </tp>
      <tp t="s">
        <v>N/A</v>
        <stp/>
        <stp>VOLUME</stp>
        <stp>.SPY250919C556</stp>
        <tr r="Q31" s="2"/>
      </tp>
      <tp>
        <v>3737</v>
        <stp/>
        <stp>VOLUME</stp>
        <stp>.SPY250919P555</stp>
        <tr r="Q32" s="2"/>
        <tr r="Q32" s="2"/>
      </tp>
      <tp>
        <v>30</v>
        <stp/>
        <stp>VOLUME</stp>
        <stp>.SPY250919C555</stp>
        <tr r="Q32" s="2"/>
        <tr r="Q32" s="2"/>
      </tp>
      <tp t="s">
        <v>N/A</v>
        <stp/>
        <stp>VOLUME</stp>
        <stp>.SPY250919P554</stp>
        <tr r="Q33" s="2"/>
      </tp>
      <tp t="s">
        <v>N/A</v>
        <stp/>
        <stp>VOLUME</stp>
        <stp>.SPY250919C554</stp>
        <tr r="Q33" s="2"/>
      </tp>
      <tp t="s">
        <v>N/A</v>
        <stp/>
        <stp>VOLUME</stp>
        <stp>.QQQ251031P479</stp>
        <tr r="T69" s="2"/>
      </tp>
      <tp t="s">
        <v>N/A</v>
        <stp/>
        <stp>VOLUME</stp>
        <stp>.SPY250919P553</stp>
        <tr r="Q34" s="2"/>
      </tp>
      <tp t="s">
        <v>N/A</v>
        <stp/>
        <stp>VOLUME</stp>
        <stp>.QQQ251031C479</stp>
        <tr r="T69" s="2"/>
      </tp>
      <tp t="s">
        <v>N/A</v>
        <stp/>
        <stp>VOLUME</stp>
        <stp>.SPY250919C553</stp>
        <tr r="Q34" s="2"/>
      </tp>
      <tp t="s">
        <v>N/A</v>
        <stp/>
        <stp>VOLUME</stp>
        <stp>.QQQ251031P478</stp>
        <tr r="T70" s="2"/>
      </tp>
      <tp t="s">
        <v>N/A</v>
        <stp/>
        <stp>VOLUME</stp>
        <stp>.SPY250919P552</stp>
        <tr r="Q35" s="2"/>
      </tp>
      <tp t="s">
        <v>N/A</v>
        <stp/>
        <stp>VOLUME</stp>
        <stp>.QQQ251031C478</stp>
        <tr r="T70" s="2"/>
      </tp>
      <tp t="s">
        <v>N/A</v>
        <stp/>
        <stp>VOLUME</stp>
        <stp>.SPY250919C552</stp>
        <tr r="Q35" s="2"/>
      </tp>
      <tp t="s">
        <v>N/A</v>
        <stp/>
        <stp>VOLUME</stp>
        <stp>.SPY250919P551</stp>
        <tr r="Q36" s="2"/>
      </tp>
      <tp t="s">
        <v>N/A</v>
        <stp/>
        <stp>VOLUME</stp>
        <stp>.SPY250930P578</stp>
        <tr r="R9" s="2"/>
      </tp>
      <tp t="s">
        <v>N/A</v>
        <stp/>
        <stp>VOLUME</stp>
        <stp>.SPY250919C551</stp>
        <tr r="Q36" s="2"/>
      </tp>
      <tp t="s">
        <v>N/A</v>
        <stp/>
        <stp>VOLUME</stp>
        <stp>.SPY250930C578</stp>
        <tr r="R9" s="2"/>
      </tp>
      <tp>
        <v>216</v>
        <stp/>
        <stp>VOLUME</stp>
        <stp>.SPY250919P550</stp>
        <tr r="Q37" s="2"/>
        <tr r="Q37" s="2"/>
      </tp>
      <tp t="s">
        <v>N/A</v>
        <stp/>
        <stp>VOLUME</stp>
        <stp>.SPY250930P579</stp>
        <tr r="R8" s="2"/>
      </tp>
      <tp>
        <v>46</v>
        <stp/>
        <stp>VOLUME</stp>
        <stp>.SPY250919C550</stp>
        <tr r="Q37" s="2"/>
        <tr r="Q37" s="2"/>
      </tp>
      <tp>
        <v>10</v>
        <stp/>
        <stp>VOLUME</stp>
        <stp>.SPY250930C579</stp>
        <tr r="R8" s="2"/>
        <tr r="R8" s="2"/>
      </tp>
      <tp t="s">
        <v>N/A</v>
        <stp/>
        <stp>VOLUME</stp>
        <stp>.SPY250919P569</stp>
        <tr r="Q18" s="2"/>
      </tp>
      <tp t="s">
        <v>N/A</v>
        <stp/>
        <stp>VOLUME</stp>
        <stp>.SPY250919C569</stp>
        <tr r="Q18" s="2"/>
      </tp>
      <tp t="s">
        <v>N/A</v>
        <stp/>
        <stp>VOLUME</stp>
        <stp>.SPY250919P568</stp>
        <tr r="Q19" s="2"/>
      </tp>
      <tp t="s">
        <v>N/A</v>
        <stp/>
        <stp>VOLUME</stp>
        <stp>.SPY250919C568</stp>
        <tr r="Q19" s="2"/>
      </tp>
      <tp t="s">
        <v>N/A</v>
        <stp/>
        <stp>VOLUME</stp>
        <stp>.SPY250919P567</stp>
        <tr r="Q20" s="2"/>
      </tp>
      <tp t="s">
        <v>N/A</v>
        <stp/>
        <stp>VOLUME</stp>
        <stp>.SPY250919C567</stp>
        <tr r="Q20" s="2"/>
      </tp>
      <tp t="s">
        <v>N/A</v>
        <stp/>
        <stp>VOLUME</stp>
        <stp>.SPY250919P566</stp>
        <tr r="Q21" s="2"/>
      </tp>
      <tp t="s">
        <v>N/A</v>
        <stp/>
        <stp>VOLUME</stp>
        <stp>.SPY250919C566</stp>
        <tr r="Q21" s="2"/>
      </tp>
      <tp t="s">
        <v>N/A</v>
        <stp/>
        <stp>VOLUME</stp>
        <stp>.QQQ251017P469</stp>
        <tr r="S79" s="2"/>
      </tp>
      <tp>
        <v>296</v>
        <stp/>
        <stp>VOLUME</stp>
        <stp>.SPY250919P565</stp>
        <tr r="Q22" s="2"/>
        <tr r="Q22" s="2"/>
      </tp>
      <tp t="s">
        <v>N/A</v>
        <stp/>
        <stp>VOLUME</stp>
        <stp>.QQQ251017C469</stp>
        <tr r="S79" s="2"/>
      </tp>
      <tp>
        <v>59</v>
        <stp/>
        <stp>VOLUME</stp>
        <stp>.SPY250919C565</stp>
        <tr r="Q22" s="2"/>
        <tr r="Q22" s="2"/>
      </tp>
      <tp t="s">
        <v>N/A</v>
        <stp/>
        <stp>VOLUME</stp>
        <stp>.QQQ251017P468</stp>
        <tr r="S80" s="2"/>
      </tp>
      <tp t="s">
        <v>N/A</v>
        <stp/>
        <stp>VOLUME</stp>
        <stp>.SPY250919P564</stp>
        <tr r="Q23" s="2"/>
      </tp>
      <tp t="s">
        <v>N/A</v>
        <stp/>
        <stp>VOLUME</stp>
        <stp>.QQQ251017C468</stp>
        <tr r="S80" s="2"/>
      </tp>
      <tp t="s">
        <v>N/A</v>
        <stp/>
        <stp>VOLUME</stp>
        <stp>.SPY250919C564</stp>
        <tr r="Q23" s="2"/>
      </tp>
      <tp t="s">
        <v>N/A</v>
        <stp/>
        <stp>VOLUME</stp>
        <stp>.SPY250919P563</stp>
        <tr r="Q24" s="2"/>
      </tp>
      <tp t="s">
        <v>N/A</v>
        <stp/>
        <stp>VOLUME</stp>
        <stp>.SPY250919C563</stp>
        <tr r="Q24" s="2"/>
      </tp>
      <tp t="s">
        <v>N/A</v>
        <stp/>
        <stp>VOLUME</stp>
        <stp>.SPY250919P562</stp>
        <tr r="Q25" s="2"/>
      </tp>
      <tp t="s">
        <v>N/A</v>
        <stp/>
        <stp>VOLUME</stp>
        <stp>.SPY250919C562</stp>
        <tr r="Q25" s="2"/>
      </tp>
      <tp t="s">
        <v>N/A</v>
        <stp/>
        <stp>VOLUME</stp>
        <stp>.SPY250919P561</stp>
        <tr r="Q26" s="2"/>
      </tp>
      <tp t="s">
        <v>N/A</v>
        <stp/>
        <stp>VOLUME</stp>
        <stp>.SPY250930P548</stp>
        <tr r="R39" s="2"/>
      </tp>
      <tp t="s">
        <v>N/A</v>
        <stp/>
        <stp>VOLUME</stp>
        <stp>.SPY250919C561</stp>
        <tr r="Q26" s="2"/>
      </tp>
      <tp>
        <v>16</v>
        <stp/>
        <stp>VOLUME</stp>
        <stp>.SPY250930C548</stp>
        <tr r="R39" s="2"/>
        <tr r="R39" s="2"/>
      </tp>
      <tp>
        <v>923</v>
        <stp/>
        <stp>VOLUME</stp>
        <stp>.SPY250919P560</stp>
        <tr r="Q27" s="2"/>
        <tr r="Q27" s="2"/>
      </tp>
      <tp>
        <v>1</v>
        <stp/>
        <stp>VOLUME</stp>
        <stp>.SPY250930P549</stp>
        <tr r="R38" s="2"/>
        <tr r="R38" s="2"/>
      </tp>
      <tp>
        <v>376</v>
        <stp/>
        <stp>VOLUME</stp>
        <stp>.SPY250919C560</stp>
        <tr r="Q27" s="2"/>
        <tr r="Q27" s="2"/>
      </tp>
      <tp>
        <v>2</v>
        <stp/>
        <stp>VOLUME</stp>
        <stp>.SPY250930C549</stp>
        <tr r="R38" s="2"/>
        <tr r="R38" s="2"/>
      </tp>
      <tp t="s">
        <v>N/A</v>
        <stp/>
        <stp>VOLUME</stp>
        <stp>.QQQ251017P473</stp>
        <tr r="S75" s="2"/>
      </tp>
      <tp t="s">
        <v>N/A</v>
        <stp/>
        <stp>VOLUME</stp>
        <stp>.SPY250930P556</stp>
        <tr r="R31" s="2"/>
      </tp>
      <tp t="s">
        <v>N/A</v>
        <stp/>
        <stp>VOLUME</stp>
        <stp>.QQQ251017C473</stp>
        <tr r="S75" s="2"/>
      </tp>
      <tp t="s">
        <v>N/A</v>
        <stp/>
        <stp>VOLUME</stp>
        <stp>.SPY250930C556</stp>
        <tr r="R31" s="2"/>
      </tp>
      <tp t="s">
        <v>N/A</v>
        <stp/>
        <stp>VOLUME</stp>
        <stp>.QQQ251017P472</stp>
        <tr r="S76" s="2"/>
      </tp>
      <tp>
        <v>2</v>
        <stp/>
        <stp>VOLUME</stp>
        <stp>.SPY250930P557</stp>
        <tr r="R30" s="2"/>
        <tr r="R30" s="2"/>
      </tp>
      <tp t="s">
        <v>N/A</v>
        <stp/>
        <stp>VOLUME</stp>
        <stp>.QQQ251017C472</stp>
        <tr r="S76" s="2"/>
      </tp>
      <tp>
        <v>5</v>
        <stp/>
        <stp>VOLUME</stp>
        <stp>.SPY250930C557</stp>
        <tr r="R30" s="2"/>
        <tr r="R30" s="2"/>
      </tp>
      <tp t="s">
        <v>N/A</v>
        <stp/>
        <stp>VOLUME</stp>
        <stp>.QQQ251017P471</stp>
        <tr r="S77" s="2"/>
      </tp>
      <tp>
        <v>4</v>
        <stp/>
        <stp>VOLUME</stp>
        <stp>.SPY250930P554</stp>
        <tr r="R33" s="2"/>
        <tr r="R33" s="2"/>
      </tp>
      <tp t="s">
        <v>N/A</v>
        <stp/>
        <stp>VOLUME</stp>
        <stp>.QQQ251017C471</stp>
        <tr r="S77" s="2"/>
      </tp>
      <tp>
        <v>2</v>
        <stp/>
        <stp>VOLUME</stp>
        <stp>.SPY250930C554</stp>
        <tr r="R33" s="2"/>
        <tr r="R33" s="2"/>
      </tp>
      <tp t="s">
        <v>N/A</v>
        <stp/>
        <stp>VOLUME</stp>
        <stp>.QQQ251017P470</stp>
        <tr r="S78" s="2"/>
      </tp>
      <tp>
        <v>15</v>
        <stp/>
        <stp>VOLUME</stp>
        <stp>.SPY250930P555</stp>
        <tr r="R32" s="2"/>
        <tr r="R32" s="2"/>
      </tp>
      <tp t="s">
        <v>N/A</v>
        <stp/>
        <stp>VOLUME</stp>
        <stp>.QQQ251017C470</stp>
        <tr r="S78" s="2"/>
      </tp>
      <tp t="s">
        <v>N/A</v>
        <stp/>
        <stp>VOLUME</stp>
        <stp>.SPY250930C555</stp>
        <tr r="R32" s="2"/>
      </tp>
      <tp t="s">
        <v>N/A</v>
        <stp/>
        <stp>VOLUME</stp>
        <stp>.QQQ251017P477</stp>
        <tr r="S71" s="2"/>
      </tp>
      <tp t="s">
        <v>N/A</v>
        <stp/>
        <stp>VOLUME</stp>
        <stp>.SPY250930P552</stp>
        <tr r="R35" s="2"/>
      </tp>
      <tp t="s">
        <v>N/A</v>
        <stp/>
        <stp>VOLUME</stp>
        <stp>.QQQ251017C477</stp>
        <tr r="S71" s="2"/>
      </tp>
      <tp t="s">
        <v>N/A</v>
        <stp/>
        <stp>VOLUME</stp>
        <stp>.SPY250930C552</stp>
        <tr r="R35" s="2"/>
      </tp>
      <tp t="s">
        <v>N/A</v>
        <stp/>
        <stp>VOLUME</stp>
        <stp>.QQQ251017P476</stp>
        <tr r="S72" s="2"/>
      </tp>
      <tp>
        <v>3</v>
        <stp/>
        <stp>VOLUME</stp>
        <stp>.SPY250930P553</stp>
        <tr r="R34" s="2"/>
        <tr r="R34" s="2"/>
      </tp>
      <tp t="s">
        <v>N/A</v>
        <stp/>
        <stp>VOLUME</stp>
        <stp>.QQQ251017C476</stp>
        <tr r="S72" s="2"/>
      </tp>
      <tp t="s">
        <v>N/A</v>
        <stp/>
        <stp>VOLUME</stp>
        <stp>.SPY250930C553</stp>
        <tr r="R34" s="2"/>
      </tp>
      <tp t="s">
        <v>N/A</v>
        <stp/>
        <stp>VOLUME</stp>
        <stp>.QQQ251017P475</stp>
        <tr r="S73" s="2"/>
      </tp>
      <tp t="s">
        <v>N/A</v>
        <stp/>
        <stp>VOLUME</stp>
        <stp>.SPY250919P579</stp>
        <tr r="Q8" s="2"/>
      </tp>
      <tp>
        <v>712</v>
        <stp/>
        <stp>VOLUME</stp>
        <stp>.SPY250930P550</stp>
        <tr r="R37" s="2"/>
        <tr r="R37" s="2"/>
      </tp>
      <tp t="s">
        <v>N/A</v>
        <stp/>
        <stp>VOLUME</stp>
        <stp>.QQQ251017C475</stp>
        <tr r="S73" s="2"/>
      </tp>
      <tp t="s">
        <v>N/A</v>
        <stp/>
        <stp>VOLUME</stp>
        <stp>.SPY250919C579</stp>
        <tr r="Q8" s="2"/>
      </tp>
      <tp>
        <v>3</v>
        <stp/>
        <stp>VOLUME</stp>
        <stp>.SPY250930C550</stp>
        <tr r="R37" s="2"/>
        <tr r="R37" s="2"/>
      </tp>
      <tp t="s">
        <v>N/A</v>
        <stp/>
        <stp>VOLUME</stp>
        <stp>.QQQ251017P474</stp>
        <tr r="S74" s="2"/>
      </tp>
      <tp t="s">
        <v>N/A</v>
        <stp/>
        <stp>VOLUME</stp>
        <stp>.SPY250919P578</stp>
        <tr r="Q9" s="2"/>
      </tp>
      <tp t="s">
        <v>N/A</v>
        <stp/>
        <stp>VOLUME</stp>
        <stp>.SPY250930P551</stp>
        <tr r="R36" s="2"/>
      </tp>
      <tp t="s">
        <v>N/A</v>
        <stp/>
        <stp>VOLUME</stp>
        <stp>.QQQ251017C474</stp>
        <tr r="S74" s="2"/>
      </tp>
      <tp t="s">
        <v>N/A</v>
        <stp/>
        <stp>VOLUME</stp>
        <stp>.SPY250919C578</stp>
        <tr r="Q9" s="2"/>
      </tp>
      <tp t="s">
        <v>N/A</v>
        <stp/>
        <stp>VOLUME</stp>
        <stp>.SPY250930C551</stp>
        <tr r="R36" s="2"/>
      </tp>
      <tp t="s">
        <v>N/A</v>
        <stp/>
        <stp>VOLUME</stp>
        <stp>.SPY250919P577</stp>
        <tr r="Q10" s="2"/>
      </tp>
      <tp t="s">
        <v>N/A</v>
        <stp/>
        <stp>VOLUME</stp>
        <stp>.SPY250919C577</stp>
        <tr r="Q10" s="2"/>
      </tp>
      <tp t="s">
        <v>N/A</v>
        <stp/>
        <stp>VOLUME</stp>
        <stp>.SPY250919P576</stp>
        <tr r="Q11" s="2"/>
      </tp>
      <tp t="s">
        <v>N/A</v>
        <stp/>
        <stp>VOLUME</stp>
        <stp>.SPY250919C576</stp>
        <tr r="Q11" s="2"/>
      </tp>
      <tp t="s">
        <v>N/A</v>
        <stp/>
        <stp>VOLUME</stp>
        <stp>.QQQ251017P479</stp>
        <tr r="S69" s="2"/>
      </tp>
      <tp>
        <v>95</v>
        <stp/>
        <stp>VOLUME</stp>
        <stp>.SPY250919P575</stp>
        <tr r="Q12" s="2"/>
        <tr r="Q12" s="2"/>
      </tp>
      <tp t="s">
        <v>N/A</v>
        <stp/>
        <stp>VOLUME</stp>
        <stp>.QQQ251017C479</stp>
        <tr r="S69" s="2"/>
      </tp>
      <tp>
        <v>91</v>
        <stp/>
        <stp>VOLUME</stp>
        <stp>.SPY250919C575</stp>
        <tr r="Q12" s="2"/>
        <tr r="Q12" s="2"/>
      </tp>
      <tp t="s">
        <v>N/A</v>
        <stp/>
        <stp>VOLUME</stp>
        <stp>.QQQ251017P478</stp>
        <tr r="S70" s="2"/>
      </tp>
      <tp t="s">
        <v>N/A</v>
        <stp/>
        <stp>VOLUME</stp>
        <stp>.SPY250919P574</stp>
        <tr r="Q13" s="2"/>
      </tp>
      <tp t="s">
        <v>N/A</v>
        <stp/>
        <stp>VOLUME</stp>
        <stp>.QQQ251017C478</stp>
        <tr r="S70" s="2"/>
      </tp>
      <tp t="s">
        <v>N/A</v>
        <stp/>
        <stp>VOLUME</stp>
        <stp>.SPY250919C574</stp>
        <tr r="Q13" s="2"/>
      </tp>
      <tp t="s">
        <v>N/A</v>
        <stp/>
        <stp>VOLUME</stp>
        <stp>.SPY250919P573</stp>
        <tr r="Q14" s="2"/>
      </tp>
      <tp t="s">
        <v>N/A</v>
        <stp/>
        <stp>VOLUME</stp>
        <stp>.SPY250919C573</stp>
        <tr r="Q14" s="2"/>
      </tp>
      <tp t="s">
        <v>N/A</v>
        <stp/>
        <stp>VOLUME</stp>
        <stp>.SPY250919P572</stp>
        <tr r="Q15" s="2"/>
      </tp>
      <tp t="s">
        <v>N/A</v>
        <stp/>
        <stp>VOLUME</stp>
        <stp>.SPY250919C572</stp>
        <tr r="Q15" s="2"/>
      </tp>
      <tp t="s">
        <v>N/A</v>
        <stp/>
        <stp>VOLUME</stp>
        <stp>.SPY250919P571</stp>
        <tr r="Q16" s="2"/>
      </tp>
      <tp t="s">
        <v>N/A</v>
        <stp/>
        <stp>VOLUME</stp>
        <stp>.SPY250930P558</stp>
        <tr r="R29" s="2"/>
      </tp>
      <tp t="s">
        <v>N/A</v>
        <stp/>
        <stp>VOLUME</stp>
        <stp>.SPY250919C571</stp>
        <tr r="Q16" s="2"/>
      </tp>
      <tp>
        <v>60</v>
        <stp/>
        <stp>VOLUME</stp>
        <stp>.SPY250930C558</stp>
        <tr r="R29" s="2"/>
        <tr r="R29" s="2"/>
      </tp>
      <tp>
        <v>68</v>
        <stp/>
        <stp>VOLUME</stp>
        <stp>.SPY250919P570</stp>
        <tr r="Q17" s="2"/>
        <tr r="Q17" s="2"/>
      </tp>
      <tp>
        <v>7</v>
        <stp/>
        <stp>VOLUME</stp>
        <stp>.SPY250930P559</stp>
        <tr r="R28" s="2"/>
        <tr r="R28" s="2"/>
      </tp>
      <tp>
        <v>327</v>
        <stp/>
        <stp>VOLUME</stp>
        <stp>.SPY250919C570</stp>
        <tr r="Q17" s="2"/>
        <tr r="Q17" s="2"/>
      </tp>
      <tp>
        <v>10</v>
        <stp/>
        <stp>VOLUME</stp>
        <stp>.SPY250930C559</stp>
        <tr r="R28" s="2"/>
        <tr r="R28" s="2"/>
      </tp>
      <tp>
        <v>-1</v>
        <stp/>
        <stp>DELTA</stp>
        <stp>.SPXW250509P5820</stp>
        <tr r="CG90" s="1"/>
        <tr r="CG90" s="1"/>
      </tp>
      <tp>
        <v>0.03</v>
        <stp/>
        <stp>DELTA</stp>
        <stp>.SPXW250509C5820</stp>
        <tr r="CF90" s="1"/>
        <tr r="CF90" s="1"/>
      </tp>
      <tp>
        <v>-1</v>
        <stp/>
        <stp>DELTA</stp>
        <stp>.SPXW250509P5830</stp>
        <tr r="CG89" s="1"/>
        <tr r="CG89" s="1"/>
      </tp>
      <tp>
        <v>0.02</v>
        <stp/>
        <stp>DELTA</stp>
        <stp>.SPXW250509C5830</stp>
        <tr r="CF89" s="1"/>
        <tr r="CF89" s="1"/>
      </tp>
      <tp>
        <v>-1</v>
        <stp/>
        <stp>DELTA</stp>
        <stp>.SPXW250509P5800</stp>
        <tr r="CG92" s="1"/>
        <tr r="CG92" s="1"/>
      </tp>
      <tp>
        <v>0.04</v>
        <stp/>
        <stp>DELTA</stp>
        <stp>.SPXW250509C5800</stp>
        <tr r="CF92" s="1"/>
        <tr r="CF92" s="1"/>
      </tp>
      <tp>
        <v>-1</v>
        <stp/>
        <stp>DELTA</stp>
        <stp>.SPXW250509P5810</stp>
        <tr r="CG91" s="1"/>
        <tr r="CG91" s="1"/>
      </tp>
      <tp>
        <v>0.03</v>
        <stp/>
        <stp>DELTA</stp>
        <stp>.SPXW250509C5810</stp>
        <tr r="CF91" s="1"/>
        <tr r="CF91" s="1"/>
      </tp>
      <tp>
        <v>-1</v>
        <stp/>
        <stp>DELTA</stp>
        <stp>.SPXW250509P5860</stp>
        <tr r="CG86" s="1"/>
        <tr r="CG86" s="1"/>
      </tp>
      <tp>
        <v>0.01</v>
        <stp/>
        <stp>DELTA</stp>
        <stp>.SPXW250509C5860</stp>
        <tr r="CF86" s="1"/>
        <tr r="CF86" s="1"/>
      </tp>
      <tp>
        <v>-1</v>
        <stp/>
        <stp>DELTA</stp>
        <stp>.SPXW250509P5870</stp>
        <tr r="CG85" s="1"/>
        <tr r="CG85" s="1"/>
      </tp>
      <tp>
        <v>0.01</v>
        <stp/>
        <stp>DELTA</stp>
        <stp>.SPXW250509C5870</stp>
        <tr r="CF85" s="1"/>
        <tr r="CF85" s="1"/>
      </tp>
      <tp>
        <v>-1</v>
        <stp/>
        <stp>DELTA</stp>
        <stp>.SPXW250509P5840</stp>
        <tr r="CG88" s="1"/>
        <tr r="CG88" s="1"/>
      </tp>
      <tp>
        <v>0.02</v>
        <stp/>
        <stp>DELTA</stp>
        <stp>.SPXW250509C5840</stp>
        <tr r="CF88" s="1"/>
        <tr r="CF88" s="1"/>
      </tp>
      <tp>
        <v>-1</v>
        <stp/>
        <stp>DELTA</stp>
        <stp>.SPXW250509P5850</stp>
        <tr r="CG87" s="1"/>
        <tr r="CG87" s="1"/>
      </tp>
      <tp>
        <v>0.01</v>
        <stp/>
        <stp>DELTA</stp>
        <stp>.SPXW250509C5850</stp>
        <tr r="CF87" s="1"/>
        <tr r="CF87" s="1"/>
      </tp>
      <tp>
        <v>-0.91</v>
        <stp/>
        <stp>DELTA</stp>
        <stp>.SPXW250507P5840</stp>
        <tr r="CE88" s="1"/>
        <tr r="CE88" s="1"/>
      </tp>
      <tp>
        <v>0</v>
        <stp/>
        <stp>DELTA</stp>
        <stp>.SPXW250507C5840</stp>
        <tr r="CD88" s="1"/>
        <tr r="CD88" s="1"/>
      </tp>
      <tp>
        <v>-0.91</v>
        <stp/>
        <stp>DELTA</stp>
        <stp>.SPXW250507P5850</stp>
        <tr r="CE87" s="1"/>
        <tr r="CE87" s="1"/>
      </tp>
      <tp>
        <v>0</v>
        <stp/>
        <stp>DELTA</stp>
        <stp>.SPXW250507C5850</stp>
        <tr r="CD87" s="1"/>
        <tr r="CD87" s="1"/>
      </tp>
      <tp>
        <v>-0.91</v>
        <stp/>
        <stp>DELTA</stp>
        <stp>.SPXW250507P5860</stp>
        <tr r="CE86" s="1"/>
        <tr r="CE86" s="1"/>
      </tp>
      <tp>
        <v>0</v>
        <stp/>
        <stp>DELTA</stp>
        <stp>.SPXW250507C5860</stp>
        <tr r="CD86" s="1"/>
        <tr r="CD86" s="1"/>
      </tp>
      <tp>
        <v>-0.95</v>
        <stp/>
        <stp>DELTA</stp>
        <stp>.SPXW250507P5870</stp>
        <tr r="CE85" s="1"/>
        <tr r="CE85" s="1"/>
      </tp>
      <tp>
        <v>0</v>
        <stp/>
        <stp>DELTA</stp>
        <stp>.SPXW250507C5870</stp>
        <tr r="CD85" s="1"/>
        <tr r="CD85" s="1"/>
      </tp>
      <tp>
        <v>-0.9</v>
        <stp/>
        <stp>DELTA</stp>
        <stp>.SPXW250507P5800</stp>
        <tr r="CE92" s="1"/>
        <tr r="CE92" s="1"/>
      </tp>
      <tp>
        <v>0</v>
        <stp/>
        <stp>DELTA</stp>
        <stp>.SPXW250507C5800</stp>
        <tr r="CD92" s="1"/>
        <tr r="CD92" s="1"/>
      </tp>
      <tp>
        <v>-0.89</v>
        <stp/>
        <stp>DELTA</stp>
        <stp>.SPXW250507P5810</stp>
        <tr r="CE91" s="1"/>
        <tr r="CE91" s="1"/>
      </tp>
      <tp>
        <v>0</v>
        <stp/>
        <stp>DELTA</stp>
        <stp>.SPXW250507C5810</stp>
        <tr r="CD91" s="1"/>
        <tr r="CD91" s="1"/>
      </tp>
      <tp>
        <v>-0.9</v>
        <stp/>
        <stp>DELTA</stp>
        <stp>.SPXW250507P5820</stp>
        <tr r="CE90" s="1"/>
        <tr r="CE90" s="1"/>
      </tp>
      <tp>
        <v>0</v>
        <stp/>
        <stp>DELTA</stp>
        <stp>.SPXW250507C5820</stp>
        <tr r="CD90" s="1"/>
        <tr r="CD90" s="1"/>
      </tp>
      <tp>
        <v>-0.94</v>
        <stp/>
        <stp>DELTA</stp>
        <stp>.SPXW250507P5830</stp>
        <tr r="CE89" s="1"/>
        <tr r="CE89" s="1"/>
      </tp>
      <tp>
        <v>0</v>
        <stp/>
        <stp>DELTA</stp>
        <stp>.SPXW250507C5830</stp>
        <tr r="CD89" s="1"/>
        <tr r="CD89" s="1"/>
      </tp>
      <tp t="s">
        <v>N/A</v>
        <stp/>
        <stp>VOLUME</stp>
        <stp>.SPY250815P582</stp>
        <tr r="O5" s="2"/>
      </tp>
      <tp t="s">
        <v>N/A</v>
        <stp/>
        <stp>VOLUME</stp>
        <stp>.SPY250815C582</stp>
        <tr r="O5" s="2"/>
      </tp>
      <tp t="s">
        <v>N/A</v>
        <stp/>
        <stp>VOLUME</stp>
        <stp>.SPY250815P581</stp>
        <tr r="O6" s="2"/>
      </tp>
      <tp t="s">
        <v>N/A</v>
        <stp/>
        <stp>VOLUME</stp>
        <stp>.SPY250815C581</stp>
        <tr r="O6" s="2"/>
      </tp>
      <tp>
        <v>65</v>
        <stp/>
        <stp>VOLUME</stp>
        <stp>.SPY250815P580</stp>
        <tr r="O7" s="2"/>
        <tr r="O7" s="2"/>
      </tp>
      <tp>
        <v>367</v>
        <stp/>
        <stp>VOLUME</stp>
        <stp>.SPY250815C580</stp>
        <tr r="O7" s="2"/>
        <tr r="O7" s="2"/>
      </tp>
      <tp>
        <v>1</v>
        <stp/>
        <stp>VOLUME</stp>
        <stp>.QQQ251121P495</stp>
        <tr r="U53" s="2"/>
        <tr r="U53" s="2"/>
      </tp>
      <tp>
        <v>18</v>
        <stp/>
        <stp>VOLUME</stp>
        <stp>.QQQ251121C495</stp>
        <tr r="U53" s="2"/>
        <tr r="U53" s="2"/>
      </tp>
      <tp t="s">
        <v>N/A</v>
        <stp/>
        <stp>VOLUME</stp>
        <stp>.QQQ251121P494</stp>
        <tr r="U54" s="2"/>
      </tp>
      <tp t="s">
        <v>N/A</v>
        <stp/>
        <stp>VOLUME</stp>
        <stp>.QQQ251121C494</stp>
        <tr r="U54" s="2"/>
      </tp>
      <tp t="s">
        <v>N/A</v>
        <stp/>
        <stp>VOLUME</stp>
        <stp>.QQQ251121P497</stp>
        <tr r="U51" s="2"/>
      </tp>
      <tp t="s">
        <v>N/A</v>
        <stp/>
        <stp>VOLUME</stp>
        <stp>.QQQ251121C497</stp>
        <tr r="U51" s="2"/>
      </tp>
      <tp t="s">
        <v>N/A</v>
        <stp/>
        <stp>VOLUME</stp>
        <stp>.QQQ251121P496</stp>
        <tr r="U52" s="2"/>
      </tp>
      <tp t="s">
        <v>N/A</v>
        <stp/>
        <stp>VOLUME</stp>
        <stp>.QQQ251121C496</stp>
        <tr r="U52" s="2"/>
      </tp>
      <tp t="s">
        <v>N/A</v>
        <stp/>
        <stp>VOLUME</stp>
        <stp>.QQQ251121P491</stp>
        <tr r="U57" s="2"/>
      </tp>
      <tp t="s">
        <v>N/A</v>
        <stp/>
        <stp>VOLUME</stp>
        <stp>.QQQ251128P498</stp>
        <tr r="V50" s="2"/>
      </tp>
      <tp t="s">
        <v>N/A</v>
        <stp/>
        <stp>VOLUME</stp>
        <stp>.QQQ251121C491</stp>
        <tr r="U57" s="2"/>
      </tp>
      <tp t="s">
        <v>N/A</v>
        <stp/>
        <stp>VOLUME</stp>
        <stp>.QQQ251128C498</stp>
        <tr r="V50" s="2"/>
      </tp>
      <tp>
        <v>111</v>
        <stp/>
        <stp>VOLUME</stp>
        <stp>.QQQ251121P490</stp>
        <tr r="U58" s="2"/>
        <tr r="U58" s="2"/>
      </tp>
      <tp t="s">
        <v>N/A</v>
        <stp/>
        <stp>VOLUME</stp>
        <stp>.QQQ251128P499</stp>
        <tr r="V49" s="2"/>
      </tp>
      <tp>
        <v>1</v>
        <stp/>
        <stp>VOLUME</stp>
        <stp>.QQQ251121C490</stp>
        <tr r="U58" s="2"/>
        <tr r="U58" s="2"/>
      </tp>
      <tp t="s">
        <v>N/A</v>
        <stp/>
        <stp>VOLUME</stp>
        <stp>.QQQ251128C499</stp>
        <tr r="V49" s="2"/>
      </tp>
      <tp t="s">
        <v>N/A</v>
        <stp/>
        <stp>VOLUME</stp>
        <stp>.QQQ251121P493</stp>
        <tr r="U55" s="2"/>
      </tp>
      <tp t="s">
        <v>N/A</v>
        <stp/>
        <stp>VOLUME</stp>
        <stp>.QQQ251121C493</stp>
        <tr r="U55" s="2"/>
      </tp>
      <tp t="s">
        <v>N/A</v>
        <stp/>
        <stp>VOLUME</stp>
        <stp>.QQQ251121P492</stp>
        <tr r="U56" s="2"/>
      </tp>
      <tp t="s">
        <v>N/A</v>
        <stp/>
        <stp>VOLUME</stp>
        <stp>.QQQ251121C492</stp>
        <tr r="U56" s="2"/>
      </tp>
      <tp t="s">
        <v>N/A</v>
        <stp/>
        <stp>VOLUME</stp>
        <stp>.QQQ251128P494</stp>
        <tr r="V54" s="2"/>
      </tp>
      <tp t="s">
        <v>N/A</v>
        <stp/>
        <stp>VOLUME</stp>
        <stp>.QQQ251128C494</stp>
        <tr r="V54" s="2"/>
      </tp>
      <tp t="s">
        <v>N/A</v>
        <stp/>
        <stp>VOLUME</stp>
        <stp>.QQQ251128P495</stp>
        <tr r="V53" s="2"/>
      </tp>
      <tp t="s">
        <v>N/A</v>
        <stp/>
        <stp>VOLUME</stp>
        <stp>.QQQ251128C495</stp>
        <tr r="V53" s="2"/>
      </tp>
      <tp t="s">
        <v>N/A</v>
        <stp/>
        <stp>VOLUME</stp>
        <stp>.QQQ251128P496</stp>
        <tr r="V52" s="2"/>
      </tp>
      <tp t="s">
        <v>N/A</v>
        <stp/>
        <stp>VOLUME</stp>
        <stp>.QQQ251128C496</stp>
        <tr r="V52" s="2"/>
      </tp>
      <tp t="s">
        <v>N/A</v>
        <stp/>
        <stp>VOLUME</stp>
        <stp>.QQQ251128P497</stp>
        <tr r="V51" s="2"/>
      </tp>
      <tp t="s">
        <v>N/A</v>
        <stp/>
        <stp>VOLUME</stp>
        <stp>.QQQ251128C497</stp>
        <tr r="V51" s="2"/>
      </tp>
      <tp t="s">
        <v>N/A</v>
        <stp/>
        <stp>VOLUME</stp>
        <stp>.QQQ251121P499</stp>
        <tr r="U49" s="2"/>
      </tp>
      <tp t="s">
        <v>N/A</v>
        <stp/>
        <stp>VOLUME</stp>
        <stp>.QQQ251128P490</stp>
        <tr r="V58" s="2"/>
      </tp>
      <tp t="s">
        <v>N/A</v>
        <stp/>
        <stp>VOLUME</stp>
        <stp>.QQQ251121C499</stp>
        <tr r="U49" s="2"/>
      </tp>
      <tp t="s">
        <v>N/A</v>
        <stp/>
        <stp>VOLUME</stp>
        <stp>.QQQ251128C490</stp>
        <tr r="V58" s="2"/>
      </tp>
      <tp t="s">
        <v>N/A</v>
        <stp/>
        <stp>VOLUME</stp>
        <stp>.QQQ251121P498</stp>
        <tr r="U50" s="2"/>
      </tp>
      <tp t="s">
        <v>N/A</v>
        <stp/>
        <stp>VOLUME</stp>
        <stp>.QQQ251128P491</stp>
        <tr r="V57" s="2"/>
      </tp>
      <tp t="s">
        <v>N/A</v>
        <stp/>
        <stp>VOLUME</stp>
        <stp>.QQQ251121C498</stp>
        <tr r="U50" s="2"/>
      </tp>
      <tp t="s">
        <v>N/A</v>
        <stp/>
        <stp>VOLUME</stp>
        <stp>.QQQ251128C491</stp>
        <tr r="V57" s="2"/>
      </tp>
      <tp t="s">
        <v>N/A</v>
        <stp/>
        <stp>VOLUME</stp>
        <stp>.QQQ251128P492</stp>
        <tr r="V56" s="2"/>
      </tp>
      <tp t="s">
        <v>N/A</v>
        <stp/>
        <stp>VOLUME</stp>
        <stp>.QQQ251128C492</stp>
        <tr r="V56" s="2"/>
      </tp>
      <tp t="s">
        <v>N/A</v>
        <stp/>
        <stp>VOLUME</stp>
        <stp>.QQQ251128P493</stp>
        <tr r="V55" s="2"/>
      </tp>
      <tp t="s">
        <v>N/A</v>
        <stp/>
        <stp>VOLUME</stp>
        <stp>.QQQ251128C493</stp>
        <tr r="V55" s="2"/>
      </tp>
      <tp>
        <v>1</v>
        <stp/>
        <stp>VOLUME</stp>
        <stp>.QQQ251121P485</stp>
        <tr r="U63" s="2"/>
        <tr r="U63" s="2"/>
      </tp>
      <tp>
        <v>18</v>
        <stp/>
        <stp>VOLUME</stp>
        <stp>.QQQ251121C485</stp>
        <tr r="U63" s="2"/>
        <tr r="U63" s="2"/>
      </tp>
      <tp t="s">
        <v>N/A</v>
        <stp/>
        <stp>VOLUME</stp>
        <stp>.QQQ251121P484</stp>
        <tr r="U64" s="2"/>
      </tp>
      <tp t="s">
        <v>N/A</v>
        <stp/>
        <stp>VOLUME</stp>
        <stp>.QQQ251121C484</stp>
        <tr r="U64" s="2"/>
      </tp>
      <tp t="s">
        <v>N/A</v>
        <stp/>
        <stp>VOLUME</stp>
        <stp>.QQQ251121P487</stp>
        <tr r="U61" s="2"/>
      </tp>
      <tp t="s">
        <v>N/A</v>
        <stp/>
        <stp>VOLUME</stp>
        <stp>.QQQ251121C487</stp>
        <tr r="U61" s="2"/>
      </tp>
      <tp t="s">
        <v>N/A</v>
        <stp/>
        <stp>VOLUME</stp>
        <stp>.QQQ251121P486</stp>
        <tr r="U62" s="2"/>
      </tp>
      <tp t="s">
        <v>N/A</v>
        <stp/>
        <stp>VOLUME</stp>
        <stp>.QQQ251121C486</stp>
        <tr r="U62" s="2"/>
      </tp>
      <tp t="s">
        <v>N/A</v>
        <stp/>
        <stp>VOLUME</stp>
        <stp>.QQQ251121P481</stp>
        <tr r="U67" s="2"/>
      </tp>
      <tp t="s">
        <v>N/A</v>
        <stp/>
        <stp>VOLUME</stp>
        <stp>.QQQ251128P488</stp>
        <tr r="V60" s="2"/>
      </tp>
      <tp t="s">
        <v>N/A</v>
        <stp/>
        <stp>VOLUME</stp>
        <stp>.QQQ251121C481</stp>
        <tr r="U67" s="2"/>
      </tp>
      <tp t="s">
        <v>N/A</v>
        <stp/>
        <stp>VOLUME</stp>
        <stp>.QQQ251128C488</stp>
        <tr r="V60" s="2"/>
      </tp>
      <tp>
        <v>46</v>
        <stp/>
        <stp>VOLUME</stp>
        <stp>.QQQ251121P480</stp>
        <tr r="U68" s="2"/>
        <tr r="U68" s="2"/>
      </tp>
      <tp t="s">
        <v>N/A</v>
        <stp/>
        <stp>VOLUME</stp>
        <stp>.QQQ251128P489</stp>
        <tr r="V59" s="2"/>
      </tp>
      <tp>
        <v>70</v>
        <stp/>
        <stp>VOLUME</stp>
        <stp>.QQQ251121C480</stp>
        <tr r="U68" s="2"/>
        <tr r="U68" s="2"/>
      </tp>
      <tp t="s">
        <v>N/A</v>
        <stp/>
        <stp>VOLUME</stp>
        <stp>.QQQ251128C489</stp>
        <tr r="V59" s="2"/>
      </tp>
      <tp t="s">
        <v>N/A</v>
        <stp/>
        <stp>VOLUME</stp>
        <stp>.QQQ251121P483</stp>
        <tr r="U65" s="2"/>
      </tp>
      <tp t="s">
        <v>N/A</v>
        <stp/>
        <stp>VOLUME</stp>
        <stp>.QQQ251121C483</stp>
        <tr r="U65" s="2"/>
      </tp>
      <tp t="s">
        <v>N/A</v>
        <stp/>
        <stp>VOLUME</stp>
        <stp>.QQQ251121P482</stp>
        <tr r="U66" s="2"/>
      </tp>
      <tp t="s">
        <v>N/A</v>
        <stp/>
        <stp>VOLUME</stp>
        <stp>.QQQ251121C482</stp>
        <tr r="U66" s="2"/>
      </tp>
      <tp t="s">
        <v>N/A</v>
        <stp/>
        <stp>VOLUME</stp>
        <stp>.QQQ251128P484</stp>
        <tr r="V64" s="2"/>
      </tp>
      <tp t="s">
        <v>N/A</v>
        <stp/>
        <stp>VOLUME</stp>
        <stp>.QQQ251128C484</stp>
        <tr r="V64" s="2"/>
      </tp>
      <tp t="s">
        <v>N/A</v>
        <stp/>
        <stp>VOLUME</stp>
        <stp>.QQQ251128P485</stp>
        <tr r="V63" s="2"/>
      </tp>
      <tp t="s">
        <v>N/A</v>
        <stp/>
        <stp>VOLUME</stp>
        <stp>.QQQ251128C485</stp>
        <tr r="V63" s="2"/>
      </tp>
      <tp t="s">
        <v>N/A</v>
        <stp/>
        <stp>VOLUME</stp>
        <stp>.QQQ251128P486</stp>
        <tr r="V62" s="2"/>
      </tp>
      <tp t="s">
        <v>N/A</v>
        <stp/>
        <stp>VOLUME</stp>
        <stp>.QQQ251128C486</stp>
        <tr r="V62" s="2"/>
      </tp>
      <tp t="s">
        <v>N/A</v>
        <stp/>
        <stp>VOLUME</stp>
        <stp>.QQQ251128P487</stp>
        <tr r="V61" s="2"/>
      </tp>
      <tp t="s">
        <v>N/A</v>
        <stp/>
        <stp>VOLUME</stp>
        <stp>.QQQ251128C487</stp>
        <tr r="V61" s="2"/>
      </tp>
      <tp t="s">
        <v>N/A</v>
        <stp/>
        <stp>VOLUME</stp>
        <stp>.QQQ251121P489</stp>
        <tr r="U59" s="2"/>
      </tp>
      <tp t="s">
        <v>N/A</v>
        <stp/>
        <stp>VOLUME</stp>
        <stp>.QQQ251128P480</stp>
        <tr r="V68" s="2"/>
      </tp>
      <tp t="s">
        <v>N/A</v>
        <stp/>
        <stp>VOLUME</stp>
        <stp>.QQQ251121C489</stp>
        <tr r="U59" s="2"/>
      </tp>
      <tp t="s">
        <v>N/A</v>
        <stp/>
        <stp>VOLUME</stp>
        <stp>.QQQ251128C480</stp>
        <tr r="V68" s="2"/>
      </tp>
      <tp t="s">
        <v>N/A</v>
        <stp/>
        <stp>VOLUME</stp>
        <stp>.QQQ251121P488</stp>
        <tr r="U60" s="2"/>
      </tp>
      <tp t="s">
        <v>N/A</v>
        <stp/>
        <stp>VOLUME</stp>
        <stp>.QQQ251128P481</stp>
        <tr r="V67" s="2"/>
      </tp>
      <tp t="s">
        <v>N/A</v>
        <stp/>
        <stp>VOLUME</stp>
        <stp>.SPY250829P582</stp>
        <tr r="P5" s="2"/>
      </tp>
      <tp t="s">
        <v>N/A</v>
        <stp/>
        <stp>VOLUME</stp>
        <stp>.QQQ251121C488</stp>
        <tr r="U60" s="2"/>
      </tp>
      <tp t="s">
        <v>N/A</v>
        <stp/>
        <stp>VOLUME</stp>
        <stp>.QQQ251128C481</stp>
        <tr r="V67" s="2"/>
      </tp>
      <tp>
        <v>1</v>
        <stp/>
        <stp>VOLUME</stp>
        <stp>.SPY250829C582</stp>
        <tr r="P5" s="2"/>
        <tr r="P5" s="2"/>
      </tp>
      <tp t="s">
        <v>N/A</v>
        <stp/>
        <stp>VOLUME</stp>
        <stp>.QQQ251128P482</stp>
        <tr r="V66" s="2"/>
      </tp>
      <tp t="s">
        <v>N/A</v>
        <stp/>
        <stp>VOLUME</stp>
        <stp>.SPY250829P581</stp>
        <tr r="P6" s="2"/>
      </tp>
      <tp t="s">
        <v>N/A</v>
        <stp/>
        <stp>VOLUME</stp>
        <stp>.QQQ251128C482</stp>
        <tr r="V66" s="2"/>
      </tp>
      <tp>
        <v>2</v>
        <stp/>
        <stp>VOLUME</stp>
        <stp>.SPY250829C581</stp>
        <tr r="P6" s="2"/>
        <tr r="P6" s="2"/>
      </tp>
      <tp t="s">
        <v>N/A</v>
        <stp/>
        <stp>VOLUME</stp>
        <stp>.QQQ251128P483</stp>
        <tr r="V65" s="2"/>
      </tp>
      <tp>
        <v>2</v>
        <stp/>
        <stp>VOLUME</stp>
        <stp>.SPY250829P580</stp>
        <tr r="P7" s="2"/>
        <tr r="P7" s="2"/>
      </tp>
      <tp t="s">
        <v>N/A</v>
        <stp/>
        <stp>VOLUME</stp>
        <stp>.QQQ251128C483</stp>
        <tr r="V65" s="2"/>
      </tp>
      <tp>
        <v>2</v>
        <stp/>
        <stp>VOLUME</stp>
        <stp>.SPY250829C580</stp>
        <tr r="P7" s="2"/>
        <tr r="P7" s="2"/>
      </tp>
      <tp t="s">
        <v>N/A</v>
        <stp/>
        <stp>VOLUME</stp>
        <stp>.QQQ251017P502</stp>
        <tr r="S46" s="2"/>
      </tp>
      <tp t="s">
        <v>N/A</v>
        <stp/>
        <stp>VOLUME</stp>
        <stp>.QQQ251017C502</stp>
        <tr r="S46" s="2"/>
      </tp>
      <tp t="s">
        <v>N/A</v>
        <stp/>
        <stp>VOLUME</stp>
        <stp>.QQQ251017P501</stp>
        <tr r="S47" s="2"/>
      </tp>
      <tp t="s">
        <v>N/A</v>
        <stp/>
        <stp>VOLUME</stp>
        <stp>.QQQ251017C501</stp>
        <tr r="S47" s="2"/>
      </tp>
      <tp t="s">
        <v>N/A</v>
        <stp/>
        <stp>VOLUME</stp>
        <stp>.QQQ251017P500</stp>
        <tr r="S48" s="2"/>
      </tp>
      <tp t="s">
        <v>N/A</v>
        <stp/>
        <stp>VOLUME</stp>
        <stp>.QQQ251017C500</stp>
        <tr r="S48" s="2"/>
      </tp>
      <tp t="s">
        <v>N/A</v>
        <stp/>
        <stp>VOLUME</stp>
        <stp>.QQQ251031P501</stp>
        <tr r="T47" s="2"/>
      </tp>
      <tp t="s">
        <v>N/A</v>
        <stp/>
        <stp>VOLUME</stp>
        <stp>.QQQ251031C501</stp>
        <tr r="T47" s="2"/>
      </tp>
      <tp t="s">
        <v>N/A</v>
        <stp/>
        <stp>VOLUME</stp>
        <stp>.QQQ251031P500</stp>
        <tr r="T48" s="2"/>
      </tp>
      <tp t="s">
        <v>N/A</v>
        <stp/>
        <stp>VOLUME</stp>
        <stp>.QQQ251031C500</stp>
        <tr r="T48" s="2"/>
      </tp>
      <tp t="s">
        <v>N/A</v>
        <stp/>
        <stp>VOLUME</stp>
        <stp>.QQQ251031P502</stp>
        <tr r="T46" s="2"/>
      </tp>
      <tp t="s">
        <v>N/A</v>
        <stp/>
        <stp>VOLUME</stp>
        <stp>.QQQ251031C502</stp>
        <tr r="T46" s="2"/>
      </tp>
      <tp>
        <v>97</v>
        <stp/>
        <stp>VOLUME</stp>
        <stp>.QQQ251121P475</stp>
        <tr r="U73" s="2"/>
        <tr r="U73" s="2"/>
      </tp>
      <tp>
        <v>1</v>
        <stp/>
        <stp>VOLUME</stp>
        <stp>.QQQ251121C475</stp>
        <tr r="U73" s="2"/>
        <tr r="U73" s="2"/>
      </tp>
      <tp t="s">
        <v>N/A</v>
        <stp/>
        <stp>VOLUME</stp>
        <stp>.QQQ251121P474</stp>
        <tr r="U74" s="2"/>
      </tp>
      <tp t="s">
        <v>N/A</v>
        <stp/>
        <stp>VOLUME</stp>
        <stp>.QQQ251121C474</stp>
        <tr r="U74" s="2"/>
      </tp>
      <tp t="s">
        <v>N/A</v>
        <stp/>
        <stp>VOLUME</stp>
        <stp>.QQQ251121P477</stp>
        <tr r="U71" s="2"/>
      </tp>
      <tp t="s">
        <v>N/A</v>
        <stp/>
        <stp>VOLUME</stp>
        <stp>.QQQ251121C477</stp>
        <tr r="U71" s="2"/>
      </tp>
      <tp t="s">
        <v>N/A</v>
        <stp/>
        <stp>VOLUME</stp>
        <stp>.QQQ251121P476</stp>
        <tr r="U72" s="2"/>
      </tp>
      <tp t="s">
        <v>N/A</v>
        <stp/>
        <stp>VOLUME</stp>
        <stp>.QQQ251121C476</stp>
        <tr r="U72" s="2"/>
      </tp>
      <tp t="s">
        <v>N/A</v>
        <stp/>
        <stp>VOLUME</stp>
        <stp>.QQQ251121P471</stp>
        <tr r="U77" s="2"/>
      </tp>
      <tp t="s">
        <v>N/A</v>
        <stp/>
        <stp>VOLUME</stp>
        <stp>.QQQ251128P478</stp>
        <tr r="V70" s="2"/>
      </tp>
      <tp t="s">
        <v>N/A</v>
        <stp/>
        <stp>VOLUME</stp>
        <stp>.QQQ251121C471</stp>
        <tr r="U77" s="2"/>
      </tp>
      <tp t="s">
        <v>N/A</v>
        <stp/>
        <stp>VOLUME</stp>
        <stp>.QQQ251128C478</stp>
        <tr r="V70" s="2"/>
      </tp>
      <tp>
        <v>47</v>
        <stp/>
        <stp>VOLUME</stp>
        <stp>.QQQ251121P470</stp>
        <tr r="U78" s="2"/>
        <tr r="U78" s="2"/>
      </tp>
      <tp t="s">
        <v>N/A</v>
        <stp/>
        <stp>VOLUME</stp>
        <stp>.QQQ251128P479</stp>
        <tr r="V69" s="2"/>
      </tp>
      <tp>
        <v>4</v>
        <stp/>
        <stp>VOLUME</stp>
        <stp>.QQQ251121C470</stp>
        <tr r="U78" s="2"/>
        <tr r="U78" s="2"/>
      </tp>
      <tp t="s">
        <v>N/A</v>
        <stp/>
        <stp>VOLUME</stp>
        <stp>.QQQ251128C479</stp>
        <tr r="V69" s="2"/>
      </tp>
      <tp t="s">
        <v>N/A</v>
        <stp/>
        <stp>VOLUME</stp>
        <stp>.QQQ251121P473</stp>
        <tr r="U75" s="2"/>
      </tp>
      <tp t="s">
        <v>N/A</v>
        <stp/>
        <stp>VOLUME</stp>
        <stp>.SPY250829P579</stp>
        <tr r="P8" s="2"/>
      </tp>
      <tp t="s">
        <v>N/A</v>
        <stp/>
        <stp>VOLUME</stp>
        <stp>.QQQ251121C473</stp>
        <tr r="U75" s="2"/>
      </tp>
      <tp>
        <v>1</v>
        <stp/>
        <stp>VOLUME</stp>
        <stp>.SPY250829C579</stp>
        <tr r="P8" s="2"/>
        <tr r="P8" s="2"/>
      </tp>
      <tp t="s">
        <v>N/A</v>
        <stp/>
        <stp>VOLUME</stp>
        <stp>.QQQ251121P472</stp>
        <tr r="U76" s="2"/>
      </tp>
      <tp t="s">
        <v>N/A</v>
        <stp/>
        <stp>VOLUME</stp>
        <stp>.SPY250829P578</stp>
        <tr r="P9" s="2"/>
      </tp>
      <tp t="s">
        <v>N/A</v>
        <stp/>
        <stp>VOLUME</stp>
        <stp>.QQQ251121C472</stp>
        <tr r="U76" s="2"/>
      </tp>
      <tp>
        <v>1</v>
        <stp/>
        <stp>VOLUME</stp>
        <stp>.SPY250829C578</stp>
        <tr r="P9" s="2"/>
        <tr r="P9" s="2"/>
      </tp>
      <tp t="s">
        <v>N/A</v>
        <stp/>
        <stp>VOLUME</stp>
        <stp>.QQQ251128P474</stp>
        <tr r="V74" s="2"/>
      </tp>
      <tp t="s">
        <v>N/A</v>
        <stp/>
        <stp>VOLUME</stp>
        <stp>.SPY250829P577</stp>
        <tr r="P10" s="2"/>
      </tp>
      <tp t="s">
        <v>N/A</v>
        <stp/>
        <stp>VOLUME</stp>
        <stp>.QQQ251128C474</stp>
        <tr r="V74" s="2"/>
      </tp>
      <tp t="s">
        <v>N/A</v>
        <stp/>
        <stp>VOLUME</stp>
        <stp>.SPY250829C577</stp>
        <tr r="P10" s="2"/>
      </tp>
      <tp t="s">
        <v>N/A</v>
        <stp/>
        <stp>VOLUME</stp>
        <stp>.QQQ251128P475</stp>
        <tr r="V73" s="2"/>
      </tp>
      <tp t="s">
        <v>N/A</v>
        <stp/>
        <stp>VOLUME</stp>
        <stp>.SPY250829P576</stp>
        <tr r="P11" s="2"/>
      </tp>
      <tp t="s">
        <v>N/A</v>
        <stp/>
        <stp>VOLUME</stp>
        <stp>.QQQ251128C475</stp>
        <tr r="V73" s="2"/>
      </tp>
      <tp t="s">
        <v>N/A</v>
        <stp/>
        <stp>VOLUME</stp>
        <stp>.SPY250829C576</stp>
        <tr r="P11" s="2"/>
      </tp>
      <tp t="s">
        <v>N/A</v>
        <stp/>
        <stp>VOLUME</stp>
        <stp>.QQQ251128P476</stp>
        <tr r="V72" s="2"/>
      </tp>
      <tp>
        <v>287</v>
        <stp/>
        <stp>VOLUME</stp>
        <stp>.SPY250815P549</stp>
        <tr r="O38" s="2"/>
        <tr r="O38" s="2"/>
      </tp>
      <tp>
        <v>4</v>
        <stp/>
        <stp>VOLUME</stp>
        <stp>.SPY250829P575</stp>
        <tr r="P12" s="2"/>
        <tr r="P12" s="2"/>
      </tp>
      <tp t="s">
        <v>N/A</v>
        <stp/>
        <stp>VOLUME</stp>
        <stp>.QQQ251128C476</stp>
        <tr r="V72" s="2"/>
      </tp>
      <tp>
        <v>1</v>
        <stp/>
        <stp>VOLUME</stp>
        <stp>.SPY250815C549</stp>
        <tr r="O38" s="2"/>
        <tr r="O38" s="2"/>
      </tp>
      <tp>
        <v>8</v>
        <stp/>
        <stp>VOLUME</stp>
        <stp>.SPY250829C575</stp>
        <tr r="P12" s="2"/>
        <tr r="P12" s="2"/>
      </tp>
      <tp t="s">
        <v>N/A</v>
        <stp/>
        <stp>VOLUME</stp>
        <stp>.QQQ251128P477</stp>
        <tr r="V71" s="2"/>
      </tp>
      <tp>
        <v>27</v>
        <stp/>
        <stp>VOLUME</stp>
        <stp>.SPY250815P548</stp>
        <tr r="O39" s="2"/>
        <tr r="O39" s="2"/>
      </tp>
      <tp t="s">
        <v>N/A</v>
        <stp/>
        <stp>VOLUME</stp>
        <stp>.SPY250829P574</stp>
        <tr r="P13" s="2"/>
      </tp>
      <tp t="s">
        <v>N/A</v>
        <stp/>
        <stp>VOLUME</stp>
        <stp>.QQQ251128C477</stp>
        <tr r="V71" s="2"/>
      </tp>
      <tp>
        <v>3</v>
        <stp/>
        <stp>VOLUME</stp>
        <stp>.SPY250815C548</stp>
        <tr r="O39" s="2"/>
        <tr r="O39" s="2"/>
      </tp>
      <tp>
        <v>2</v>
        <stp/>
        <stp>VOLUME</stp>
        <stp>.SPY250829C574</stp>
        <tr r="P13" s="2"/>
        <tr r="P13" s="2"/>
      </tp>
      <tp t="s">
        <v>N/A</v>
        <stp/>
        <stp>VOLUME</stp>
        <stp>.QQQ251121P479</stp>
        <tr r="U69" s="2"/>
      </tp>
      <tp t="s">
        <v>N/A</v>
        <stp/>
        <stp>VOLUME</stp>
        <stp>.QQQ251128P470</stp>
        <tr r="V78" s="2"/>
      </tp>
      <tp t="s">
        <v>N/A</v>
        <stp/>
        <stp>VOLUME</stp>
        <stp>.SPY250829P573</stp>
        <tr r="P14" s="2"/>
      </tp>
      <tp t="s">
        <v>N/A</v>
        <stp/>
        <stp>VOLUME</stp>
        <stp>.QQQ251121C479</stp>
        <tr r="U69" s="2"/>
      </tp>
      <tp t="s">
        <v>N/A</v>
        <stp/>
        <stp>VOLUME</stp>
        <stp>.QQQ251128C470</stp>
        <tr r="V78" s="2"/>
      </tp>
      <tp>
        <v>10</v>
        <stp/>
        <stp>VOLUME</stp>
        <stp>.SPY250829C573</stp>
        <tr r="P14" s="2"/>
        <tr r="P14" s="2"/>
      </tp>
      <tp t="s">
        <v>N/A</v>
        <stp/>
        <stp>VOLUME</stp>
        <stp>.QQQ251121P478</stp>
        <tr r="U70" s="2"/>
      </tp>
      <tp t="s">
        <v>N/A</v>
        <stp/>
        <stp>VOLUME</stp>
        <stp>.QQQ251128P471</stp>
        <tr r="V77" s="2"/>
      </tp>
      <tp t="s">
        <v>N/A</v>
        <stp/>
        <stp>VOLUME</stp>
        <stp>.SPY250829P572</stp>
        <tr r="P15" s="2"/>
      </tp>
      <tp t="s">
        <v>N/A</v>
        <stp/>
        <stp>VOLUME</stp>
        <stp>.QQQ251121C478</stp>
        <tr r="U70" s="2"/>
      </tp>
      <tp t="s">
        <v>N/A</v>
        <stp/>
        <stp>VOLUME</stp>
        <stp>.QQQ251128C471</stp>
        <tr r="V77" s="2"/>
      </tp>
      <tp>
        <v>1</v>
        <stp/>
        <stp>VOLUME</stp>
        <stp>.SPY250829C572</stp>
        <tr r="P15" s="2"/>
        <tr r="P15" s="2"/>
      </tp>
      <tp t="s">
        <v>N/A</v>
        <stp/>
        <stp>VOLUME</stp>
        <stp>.QQQ251128P472</stp>
        <tr r="V76" s="2"/>
      </tp>
      <tp t="s">
        <v>N/A</v>
        <stp/>
        <stp>VOLUME</stp>
        <stp>.SPY250829P571</stp>
        <tr r="P16" s="2"/>
      </tp>
      <tp t="s">
        <v>N/A</v>
        <stp/>
        <stp>VOLUME</stp>
        <stp>.QQQ251128C472</stp>
        <tr r="V76" s="2"/>
      </tp>
      <tp t="s">
        <v>N/A</v>
        <stp/>
        <stp>VOLUME</stp>
        <stp>.SPY250829C571</stp>
        <tr r="P16" s="2"/>
      </tp>
      <tp t="s">
        <v>N/A</v>
        <stp/>
        <stp>VOLUME</stp>
        <stp>.QQQ251128P473</stp>
        <tr r="V75" s="2"/>
      </tp>
      <tp>
        <v>8</v>
        <stp/>
        <stp>VOLUME</stp>
        <stp>.SPY250829P570</stp>
        <tr r="P17" s="2"/>
        <tr r="P17" s="2"/>
      </tp>
      <tp t="s">
        <v>N/A</v>
        <stp/>
        <stp>VOLUME</stp>
        <stp>.QQQ251128C473</stp>
        <tr r="V75" s="2"/>
      </tp>
      <tp>
        <v>7</v>
        <stp/>
        <stp>VOLUME</stp>
        <stp>.SPY250829C570</stp>
        <tr r="P17" s="2"/>
        <tr r="P17" s="2"/>
      </tp>
      <tp>
        <v>89</v>
        <stp/>
        <stp>VOLUME</stp>
        <stp>.SPY250815P553</stp>
        <tr r="O34" s="2"/>
        <tr r="O34" s="2"/>
      </tp>
      <tp>
        <v>10</v>
        <stp/>
        <stp>VOLUME</stp>
        <stp>.SPY250815C553</stp>
        <tr r="O34" s="2"/>
        <tr r="O34" s="2"/>
      </tp>
      <tp>
        <v>172</v>
        <stp/>
        <stp>VOLUME</stp>
        <stp>.SPY250815P552</stp>
        <tr r="O35" s="2"/>
        <tr r="O35" s="2"/>
      </tp>
      <tp>
        <v>2</v>
        <stp/>
        <stp>VOLUME</stp>
        <stp>.SPY250815C552</stp>
        <tr r="O35" s="2"/>
        <tr r="O35" s="2"/>
      </tp>
      <tp>
        <v>62</v>
        <stp/>
        <stp>VOLUME</stp>
        <stp>.SPY250815P551</stp>
        <tr r="O36" s="2"/>
        <tr r="O36" s="2"/>
      </tp>
      <tp t="s">
        <v>N/A</v>
        <stp/>
        <stp>VOLUME</stp>
        <stp>.SPY250815C551</stp>
        <tr r="O36" s="2"/>
      </tp>
      <tp>
        <v>198</v>
        <stp/>
        <stp>VOLUME</stp>
        <stp>.SPY250815P550</stp>
        <tr r="O37" s="2"/>
        <tr r="O37" s="2"/>
      </tp>
      <tp>
        <v>57</v>
        <stp/>
        <stp>VOLUME</stp>
        <stp>.SPY250815C550</stp>
        <tr r="O37" s="2"/>
        <tr r="O37" s="2"/>
      </tp>
      <tp t="s">
        <v>N/A</v>
        <stp/>
        <stp>VOLUME</stp>
        <stp>.QQQ251128P468</stp>
        <tr r="V80" s="2"/>
      </tp>
      <tp>
        <v>170</v>
        <stp/>
        <stp>VOLUME</stp>
        <stp>.SPY250815P557</stp>
        <tr r="O30" s="2"/>
        <tr r="O30" s="2"/>
      </tp>
      <tp t="s">
        <v>N/A</v>
        <stp/>
        <stp>VOLUME</stp>
        <stp>.QQQ251128C468</stp>
        <tr r="V80" s="2"/>
      </tp>
      <tp>
        <v>12</v>
        <stp/>
        <stp>VOLUME</stp>
        <stp>.SPY250815C557</stp>
        <tr r="O30" s="2"/>
        <tr r="O30" s="2"/>
      </tp>
      <tp t="s">
        <v>N/A</v>
        <stp/>
        <stp>VOLUME</stp>
        <stp>.QQQ251128P469</stp>
        <tr r="V79" s="2"/>
      </tp>
      <tp>
        <v>97</v>
        <stp/>
        <stp>VOLUME</stp>
        <stp>.SPY250815P556</stp>
        <tr r="O31" s="2"/>
        <tr r="O31" s="2"/>
      </tp>
      <tp t="s">
        <v>N/A</v>
        <stp/>
        <stp>VOLUME</stp>
        <stp>.QQQ251128C469</stp>
        <tr r="V79" s="2"/>
      </tp>
      <tp>
        <v>3</v>
        <stp/>
        <stp>VOLUME</stp>
        <stp>.SPY250815C556</stp>
        <tr r="O31" s="2"/>
        <tr r="O31" s="2"/>
      </tp>
      <tp>
        <v>103</v>
        <stp/>
        <stp>VOLUME</stp>
        <stp>.SPY250815P555</stp>
        <tr r="O32" s="2"/>
        <tr r="O32" s="2"/>
      </tp>
      <tp t="s">
        <v>N/A</v>
        <stp/>
        <stp>VOLUME</stp>
        <stp>.SPY250829P569</stp>
        <tr r="P18" s="2"/>
      </tp>
      <tp>
        <v>16</v>
        <stp/>
        <stp>VOLUME</stp>
        <stp>.SPY250815C555</stp>
        <tr r="O32" s="2"/>
        <tr r="O32" s="2"/>
      </tp>
      <tp t="s">
        <v>N/A</v>
        <stp/>
        <stp>VOLUME</stp>
        <stp>.SPY250829C569</stp>
        <tr r="P18" s="2"/>
      </tp>
      <tp>
        <v>2</v>
        <stp/>
        <stp>VOLUME</stp>
        <stp>.SPY250815P554</stp>
        <tr r="O33" s="2"/>
        <tr r="O33" s="2"/>
      </tp>
      <tp t="s">
        <v>N/A</v>
        <stp/>
        <stp>VOLUME</stp>
        <stp>.SPY250829P568</stp>
        <tr r="P19" s="2"/>
      </tp>
      <tp t="s">
        <v>N/A</v>
        <stp/>
        <stp>VOLUME</stp>
        <stp>.SPY250815C554</stp>
        <tr r="O33" s="2"/>
      </tp>
      <tp>
        <v>6</v>
        <stp/>
        <stp>VOLUME</stp>
        <stp>.SPY250829C568</stp>
        <tr r="P19" s="2"/>
        <tr r="P19" s="2"/>
      </tp>
      <tp t="s">
        <v>N/A</v>
        <stp/>
        <stp>VOLUME</stp>
        <stp>.SPY250829P567</stp>
        <tr r="P20" s="2"/>
      </tp>
      <tp>
        <v>3</v>
        <stp/>
        <stp>VOLUME</stp>
        <stp>.SPY250829C567</stp>
        <tr r="P20" s="2"/>
        <tr r="P20" s="2"/>
      </tp>
      <tp>
        <v>1</v>
        <stp/>
        <stp>VOLUME</stp>
        <stp>.SPY250829P566</stp>
        <tr r="P21" s="2"/>
        <tr r="P21" s="2"/>
      </tp>
      <tp>
        <v>3</v>
        <stp/>
        <stp>VOLUME</stp>
        <stp>.SPY250829C566</stp>
        <tr r="P21" s="2"/>
        <tr r="P21" s="2"/>
      </tp>
      <tp>
        <v>54</v>
        <stp/>
        <stp>VOLUME</stp>
        <stp>.SPY250815P559</stp>
        <tr r="O28" s="2"/>
        <tr r="O28" s="2"/>
      </tp>
      <tp>
        <v>17</v>
        <stp/>
        <stp>VOLUME</stp>
        <stp>.SPY250829P565</stp>
        <tr r="P22" s="2"/>
        <tr r="P22" s="2"/>
      </tp>
      <tp>
        <v>9</v>
        <stp/>
        <stp>VOLUME</stp>
        <stp>.SPY250815C559</stp>
        <tr r="O28" s="2"/>
        <tr r="O28" s="2"/>
      </tp>
      <tp>
        <v>5</v>
        <stp/>
        <stp>VOLUME</stp>
        <stp>.SPY250829C565</stp>
        <tr r="P22" s="2"/>
        <tr r="P22" s="2"/>
      </tp>
      <tp>
        <v>153</v>
        <stp/>
        <stp>VOLUME</stp>
        <stp>.SPY250815P558</stp>
        <tr r="O29" s="2"/>
        <tr r="O29" s="2"/>
      </tp>
      <tp>
        <v>11</v>
        <stp/>
        <stp>VOLUME</stp>
        <stp>.SPY250829P564</stp>
        <tr r="P23" s="2"/>
        <tr r="P23" s="2"/>
      </tp>
      <tp>
        <v>7</v>
        <stp/>
        <stp>VOLUME</stp>
        <stp>.SPY250815C558</stp>
        <tr r="O29" s="2"/>
        <tr r="O29" s="2"/>
      </tp>
      <tp t="s">
        <v>N/A</v>
        <stp/>
        <stp>VOLUME</stp>
        <stp>.SPY250829C564</stp>
        <tr r="P23" s="2"/>
      </tp>
      <tp t="s">
        <v>N/A</v>
        <stp/>
        <stp>VOLUME</stp>
        <stp>.QQQ251121P469</stp>
        <tr r="U79" s="2"/>
      </tp>
      <tp t="s">
        <v>N/A</v>
        <stp/>
        <stp>VOLUME</stp>
        <stp>.SPY250829P563</stp>
        <tr r="P24" s="2"/>
      </tp>
      <tp t="s">
        <v>N/A</v>
        <stp/>
        <stp>VOLUME</stp>
        <stp>.QQQ251121C469</stp>
        <tr r="U79" s="2"/>
      </tp>
      <tp t="s">
        <v>N/A</v>
        <stp/>
        <stp>VOLUME</stp>
        <stp>.SPY250829C563</stp>
        <tr r="P24" s="2"/>
      </tp>
      <tp t="s">
        <v>N/A</v>
        <stp/>
        <stp>VOLUME</stp>
        <stp>.QQQ251121P468</stp>
        <tr r="U80" s="2"/>
      </tp>
      <tp>
        <v>2</v>
        <stp/>
        <stp>VOLUME</stp>
        <stp>.SPY250829P562</stp>
        <tr r="P25" s="2"/>
        <tr r="P25" s="2"/>
      </tp>
      <tp t="s">
        <v>N/A</v>
        <stp/>
        <stp>VOLUME</stp>
        <stp>.QQQ251121C468</stp>
        <tr r="U80" s="2"/>
      </tp>
      <tp>
        <v>22</v>
        <stp/>
        <stp>VOLUME</stp>
        <stp>.SPY250829C562</stp>
        <tr r="P25" s="2"/>
        <tr r="P25" s="2"/>
      </tp>
      <tp>
        <v>7</v>
        <stp/>
        <stp>VOLUME</stp>
        <stp>.SPY250829P561</stp>
        <tr r="P26" s="2"/>
        <tr r="P26" s="2"/>
      </tp>
      <tp>
        <v>12</v>
        <stp/>
        <stp>VOLUME</stp>
        <stp>.SPY250829C561</stp>
        <tr r="P26" s="2"/>
        <tr r="P26" s="2"/>
      </tp>
      <tp>
        <v>80</v>
        <stp/>
        <stp>VOLUME</stp>
        <stp>.SPY250829P560</stp>
        <tr r="P27" s="2"/>
        <tr r="P27" s="2"/>
      </tp>
      <tp>
        <v>61</v>
        <stp/>
        <stp>VOLUME</stp>
        <stp>.SPY250829C560</stp>
        <tr r="P27" s="2"/>
        <tr r="P27" s="2"/>
      </tp>
      <tp>
        <v>60</v>
        <stp/>
        <stp>VOLUME</stp>
        <stp>.SPY250815P563</stp>
        <tr r="O24" s="2"/>
        <tr r="O24" s="2"/>
      </tp>
      <tp>
        <v>75</v>
        <stp/>
        <stp>VOLUME</stp>
        <stp>.SPY250815C563</stp>
        <tr r="O24" s="2"/>
        <tr r="O24" s="2"/>
      </tp>
      <tp>
        <v>77</v>
        <stp/>
        <stp>VOLUME</stp>
        <stp>.SPY250815P562</stp>
        <tr r="O25" s="2"/>
        <tr r="O25" s="2"/>
      </tp>
      <tp>
        <v>37</v>
        <stp/>
        <stp>VOLUME</stp>
        <stp>.SPY250815C562</stp>
        <tr r="O25" s="2"/>
        <tr r="O25" s="2"/>
      </tp>
      <tp>
        <v>127</v>
        <stp/>
        <stp>VOLUME</stp>
        <stp>.SPY250815P561</stp>
        <tr r="O26" s="2"/>
        <tr r="O26" s="2"/>
      </tp>
      <tp>
        <v>22</v>
        <stp/>
        <stp>VOLUME</stp>
        <stp>.SPY250815C561</stp>
        <tr r="O26" s="2"/>
        <tr r="O26" s="2"/>
      </tp>
      <tp>
        <v>5812</v>
        <stp/>
        <stp>VOLUME</stp>
        <stp>.SPY250815P560</stp>
        <tr r="O27" s="2"/>
        <tr r="O27" s="2"/>
      </tp>
      <tp>
        <v>115</v>
        <stp/>
        <stp>VOLUME</stp>
        <stp>.SPY250815C560</stp>
        <tr r="O27" s="2"/>
        <tr r="O27" s="2"/>
      </tp>
      <tp>
        <v>48</v>
        <stp/>
        <stp>VOLUME</stp>
        <stp>.SPY250815P567</stp>
        <tr r="O20" s="2"/>
        <tr r="O20" s="2"/>
      </tp>
      <tp>
        <v>61</v>
        <stp/>
        <stp>VOLUME</stp>
        <stp>.SPY250815C567</stp>
        <tr r="O20" s="2"/>
        <tr r="O20" s="2"/>
      </tp>
      <tp>
        <v>15</v>
        <stp/>
        <stp>VOLUME</stp>
        <stp>.SPY250815P566</stp>
        <tr r="O21" s="2"/>
        <tr r="O21" s="2"/>
      </tp>
      <tp>
        <v>18</v>
        <stp/>
        <stp>VOLUME</stp>
        <stp>.SPY250815C566</stp>
        <tr r="O21" s="2"/>
        <tr r="O21" s="2"/>
      </tp>
      <tp>
        <v>90</v>
        <stp/>
        <stp>VOLUME</stp>
        <stp>.SPY250815P565</stp>
        <tr r="O22" s="2"/>
        <tr r="O22" s="2"/>
      </tp>
      <tp>
        <v>26</v>
        <stp/>
        <stp>VOLUME</stp>
        <stp>.SPY250829P559</stp>
        <tr r="P28" s="2"/>
        <tr r="P28" s="2"/>
      </tp>
      <tp>
        <v>22</v>
        <stp/>
        <stp>VOLUME</stp>
        <stp>.SPY250815C565</stp>
        <tr r="O22" s="2"/>
        <tr r="O22" s="2"/>
      </tp>
      <tp>
        <v>30</v>
        <stp/>
        <stp>VOLUME</stp>
        <stp>.SPY250829C559</stp>
        <tr r="P28" s="2"/>
        <tr r="P28" s="2"/>
      </tp>
      <tp>
        <v>70</v>
        <stp/>
        <stp>VOLUME</stp>
        <stp>.SPY250815P564</stp>
        <tr r="O23" s="2"/>
        <tr r="O23" s="2"/>
      </tp>
      <tp>
        <v>15</v>
        <stp/>
        <stp>VOLUME</stp>
        <stp>.SPY250829P558</stp>
        <tr r="P29" s="2"/>
        <tr r="P29" s="2"/>
      </tp>
      <tp>
        <v>13</v>
        <stp/>
        <stp>VOLUME</stp>
        <stp>.SPY250815C564</stp>
        <tr r="O23" s="2"/>
        <tr r="O23" s="2"/>
      </tp>
      <tp>
        <v>2</v>
        <stp/>
        <stp>VOLUME</stp>
        <stp>.SPY250829C558</stp>
        <tr r="P29" s="2"/>
        <tr r="P29" s="2"/>
      </tp>
      <tp>
        <v>4</v>
        <stp/>
        <stp>VOLUME</stp>
        <stp>.SPY250829P557</stp>
        <tr r="P30" s="2"/>
        <tr r="P30" s="2"/>
      </tp>
      <tp>
        <v>2</v>
        <stp/>
        <stp>VOLUME</stp>
        <stp>.SPY250829C557</stp>
        <tr r="P30" s="2"/>
        <tr r="P30" s="2"/>
      </tp>
      <tp>
        <v>2</v>
        <stp/>
        <stp>VOLUME</stp>
        <stp>.SPY250829P556</stp>
        <tr r="P31" s="2"/>
        <tr r="P31" s="2"/>
      </tp>
      <tp>
        <v>5</v>
        <stp/>
        <stp>VOLUME</stp>
        <stp>.SPY250829C556</stp>
        <tr r="P31" s="2"/>
        <tr r="P31" s="2"/>
      </tp>
      <tp>
        <v>28</v>
        <stp/>
        <stp>VOLUME</stp>
        <stp>.SPY250815P569</stp>
        <tr r="O18" s="2"/>
        <tr r="O18" s="2"/>
      </tp>
      <tp>
        <v>18</v>
        <stp/>
        <stp>VOLUME</stp>
        <stp>.SPY250829P555</stp>
        <tr r="P32" s="2"/>
        <tr r="P32" s="2"/>
      </tp>
      <tp>
        <v>73</v>
        <stp/>
        <stp>VOLUME</stp>
        <stp>.SPY250815C569</stp>
        <tr r="O18" s="2"/>
        <tr r="O18" s="2"/>
      </tp>
      <tp>
        <v>3</v>
        <stp/>
        <stp>VOLUME</stp>
        <stp>.SPY250829C555</stp>
        <tr r="P32" s="2"/>
        <tr r="P32" s="2"/>
      </tp>
      <tp>
        <v>13</v>
        <stp/>
        <stp>VOLUME</stp>
        <stp>.SPY250815P568</stp>
        <tr r="O19" s="2"/>
        <tr r="O19" s="2"/>
      </tp>
      <tp>
        <v>1</v>
        <stp/>
        <stp>VOLUME</stp>
        <stp>.SPY250829P554</stp>
        <tr r="P33" s="2"/>
        <tr r="P33" s="2"/>
      </tp>
      <tp>
        <v>67</v>
        <stp/>
        <stp>VOLUME</stp>
        <stp>.SPY250815C568</stp>
        <tr r="O19" s="2"/>
        <tr r="O19" s="2"/>
      </tp>
      <tp>
        <v>37</v>
        <stp/>
        <stp>VOLUME</stp>
        <stp>.SPY250829C554</stp>
        <tr r="P33" s="2"/>
        <tr r="P33" s="2"/>
      </tp>
      <tp>
        <v>10</v>
        <stp/>
        <stp>VOLUME</stp>
        <stp>.SPY250829P553</stp>
        <tr r="P34" s="2"/>
        <tr r="P34" s="2"/>
      </tp>
      <tp>
        <v>2</v>
        <stp/>
        <stp>VOLUME</stp>
        <stp>.SPY250829C553</stp>
        <tr r="P34" s="2"/>
        <tr r="P34" s="2"/>
      </tp>
      <tp t="s">
        <v>N/A</v>
        <stp/>
        <stp>VOLUME</stp>
        <stp>.SPY250829P552</stp>
        <tr r="P35" s="2"/>
      </tp>
      <tp t="s">
        <v>N/A</v>
        <stp/>
        <stp>VOLUME</stp>
        <stp>.SPY250829C552</stp>
        <tr r="P35" s="2"/>
      </tp>
      <tp>
        <v>2</v>
        <stp/>
        <stp>VOLUME</stp>
        <stp>.SPY250829P551</stp>
        <tr r="P36" s="2"/>
        <tr r="P36" s="2"/>
      </tp>
      <tp>
        <v>1</v>
        <stp/>
        <stp>VOLUME</stp>
        <stp>.SPY250829C551</stp>
        <tr r="P36" s="2"/>
        <tr r="P36" s="2"/>
      </tp>
      <tp>
        <v>135</v>
        <stp/>
        <stp>VOLUME</stp>
        <stp>.SPY250829P550</stp>
        <tr r="P37" s="2"/>
        <tr r="P37" s="2"/>
      </tp>
      <tp>
        <v>11</v>
        <stp/>
        <stp>VOLUME</stp>
        <stp>.SPY250829C550</stp>
        <tr r="P37" s="2"/>
        <tr r="P37" s="2"/>
      </tp>
      <tp>
        <v>4</v>
        <stp/>
        <stp>VOLUME</stp>
        <stp>.SPY250815P573</stp>
        <tr r="O14" s="2"/>
        <tr r="O14" s="2"/>
      </tp>
      <tp>
        <v>14</v>
        <stp/>
        <stp>VOLUME</stp>
        <stp>.SPY250815C573</stp>
        <tr r="O14" s="2"/>
        <tr r="O14" s="2"/>
      </tp>
      <tp>
        <v>5</v>
        <stp/>
        <stp>VOLUME</stp>
        <stp>.SPY250815P572</stp>
        <tr r="O15" s="2"/>
        <tr r="O15" s="2"/>
      </tp>
      <tp>
        <v>27</v>
        <stp/>
        <stp>VOLUME</stp>
        <stp>.SPY250815C572</stp>
        <tr r="O15" s="2"/>
        <tr r="O15" s="2"/>
      </tp>
      <tp>
        <v>23</v>
        <stp/>
        <stp>VOLUME</stp>
        <stp>.SPY250815P571</stp>
        <tr r="O16" s="2"/>
        <tr r="O16" s="2"/>
      </tp>
      <tp>
        <v>75</v>
        <stp/>
        <stp>VOLUME</stp>
        <stp>.SPY250815C571</stp>
        <tr r="O16" s="2"/>
        <tr r="O16" s="2"/>
      </tp>
      <tp>
        <v>50</v>
        <stp/>
        <stp>VOLUME</stp>
        <stp>.SPY250815P570</stp>
        <tr r="O17" s="2"/>
        <tr r="O17" s="2"/>
      </tp>
      <tp>
        <v>258</v>
        <stp/>
        <stp>VOLUME</stp>
        <stp>.SPY250815C570</stp>
        <tr r="O17" s="2"/>
        <tr r="O17" s="2"/>
      </tp>
      <tp>
        <v>7</v>
        <stp/>
        <stp>VOLUME</stp>
        <stp>.SPY250815P577</stp>
        <tr r="O10" s="2"/>
        <tr r="O10" s="2"/>
      </tp>
      <tp>
        <v>172</v>
        <stp/>
        <stp>VOLUME</stp>
        <stp>.SPY250815C577</stp>
        <tr r="O10" s="2"/>
        <tr r="O10" s="2"/>
      </tp>
      <tp>
        <v>1</v>
        <stp/>
        <stp>VOLUME</stp>
        <stp>.SPY250815P576</stp>
        <tr r="O11" s="2"/>
        <tr r="O11" s="2"/>
      </tp>
      <tp>
        <v>36</v>
        <stp/>
        <stp>VOLUME</stp>
        <stp>.SPY250815C576</stp>
        <tr r="O11" s="2"/>
        <tr r="O11" s="2"/>
      </tp>
      <tp>
        <v>3</v>
        <stp/>
        <stp>VOLUME</stp>
        <stp>.SPY250815P575</stp>
        <tr r="O12" s="2"/>
        <tr r="O12" s="2"/>
      </tp>
      <tp t="s">
        <v>N/A</v>
        <stp/>
        <stp>VOLUME</stp>
        <stp>.SPY250829P549</stp>
        <tr r="P38" s="2"/>
      </tp>
      <tp>
        <v>182</v>
        <stp/>
        <stp>VOLUME</stp>
        <stp>.SPY250815C575</stp>
        <tr r="O12" s="2"/>
        <tr r="O12" s="2"/>
      </tp>
      <tp t="s">
        <v>N/A</v>
        <stp/>
        <stp>VOLUME</stp>
        <stp>.SPY250829C549</stp>
        <tr r="P38" s="2"/>
      </tp>
      <tp>
        <v>2</v>
        <stp/>
        <stp>VOLUME</stp>
        <stp>.SPY250815P574</stp>
        <tr r="O13" s="2"/>
        <tr r="O13" s="2"/>
      </tp>
      <tp t="s">
        <v>N/A</v>
        <stp/>
        <stp>VOLUME</stp>
        <stp>.SPY250829P548</stp>
        <tr r="P39" s="2"/>
      </tp>
      <tp>
        <v>4</v>
        <stp/>
        <stp>VOLUME</stp>
        <stp>.SPY250815C574</stp>
        <tr r="O13" s="2"/>
        <tr r="O13" s="2"/>
      </tp>
      <tp t="s">
        <v>N/A</v>
        <stp/>
        <stp>VOLUME</stp>
        <stp>.SPY250829C548</stp>
        <tr r="P39" s="2"/>
      </tp>
      <tp>
        <v>3</v>
        <stp/>
        <stp>VOLUME</stp>
        <stp>.SPY250815P579</stp>
        <tr r="O8" s="2"/>
        <tr r="O8" s="2"/>
      </tp>
      <tp>
        <v>451</v>
        <stp/>
        <stp>VOLUME</stp>
        <stp>.SPY250815C579</stp>
        <tr r="O8" s="2"/>
        <tr r="O8" s="2"/>
      </tp>
      <tp>
        <v>2</v>
        <stp/>
        <stp>VOLUME</stp>
        <stp>.SPY250815P578</stp>
        <tr r="O9" s="2"/>
        <tr r="O9" s="2"/>
      </tp>
      <tp>
        <v>239</v>
        <stp/>
        <stp>VOLUME</stp>
        <stp>.SPY250815C578</stp>
        <tr r="O9" s="2"/>
        <tr r="O9" s="2"/>
      </tp>
      <tp>
        <v>-1</v>
        <stp/>
        <stp>DELTA</stp>
        <stp>.SPXW250516P5850</stp>
        <tr r="CI87" s="1"/>
        <tr r="CI87" s="1"/>
      </tp>
      <tp>
        <v>0.11</v>
        <stp/>
        <stp>DELTA</stp>
        <stp>.SPXW250516C5850</stp>
        <tr r="CH87" s="1"/>
        <tr r="CH87" s="1"/>
      </tp>
      <tp>
        <v>-1</v>
        <stp/>
        <stp>DELTA</stp>
        <stp>.SPXW250516P5840</stp>
        <tr r="CI88" s="1"/>
        <tr r="CI88" s="1"/>
      </tp>
      <tp>
        <v>0.12</v>
        <stp/>
        <stp>DELTA</stp>
        <stp>.SPXW250516C5840</stp>
        <tr r="CH88" s="1"/>
        <tr r="CH88" s="1"/>
      </tp>
      <tp>
        <v>-1</v>
        <stp/>
        <stp>DELTA</stp>
        <stp>.SPXW250516P5870</stp>
        <tr r="CI85" s="1"/>
        <tr r="CI85" s="1"/>
      </tp>
      <tp>
        <v>0.09</v>
        <stp/>
        <stp>DELTA</stp>
        <stp>.SPXW250516C5870</stp>
        <tr r="CH85" s="1"/>
        <tr r="CH85" s="1"/>
      </tp>
      <tp>
        <v>-1</v>
        <stp/>
        <stp>DELTA</stp>
        <stp>.SPXW250516P5860</stp>
        <tr r="CI86" s="1"/>
        <tr r="CI86" s="1"/>
      </tp>
      <tp>
        <v>0.1</v>
        <stp/>
        <stp>DELTA</stp>
        <stp>.SPXW250516C5860</stp>
        <tr r="CH86" s="1"/>
        <tr r="CH86" s="1"/>
      </tp>
      <tp>
        <v>-1</v>
        <stp/>
        <stp>DELTA</stp>
        <stp>.SPXW250516P5810</stp>
        <tr r="CI91" s="1"/>
        <tr r="CI91" s="1"/>
      </tp>
      <tp>
        <v>0.17</v>
        <stp/>
        <stp>DELTA</stp>
        <stp>.SPXW250516C5810</stp>
        <tr r="CH91" s="1"/>
        <tr r="CH91" s="1"/>
      </tp>
      <tp>
        <v>-1</v>
        <stp/>
        <stp>DELTA</stp>
        <stp>.SPXW250516P5800</stp>
        <tr r="CI92" s="1"/>
        <tr r="CI92" s="1"/>
      </tp>
      <tp>
        <v>0.19</v>
        <stp/>
        <stp>DELTA</stp>
        <stp>.SPXW250516C5800</stp>
        <tr r="CH92" s="1"/>
        <tr r="CH92" s="1"/>
      </tp>
      <tp>
        <v>-1</v>
        <stp/>
        <stp>DELTA</stp>
        <stp>.SPXW250516P5830</stp>
        <tr r="CI89" s="1"/>
        <tr r="CI89" s="1"/>
      </tp>
      <tp>
        <v>0.14000000000000001</v>
        <stp/>
        <stp>DELTA</stp>
        <stp>.SPXW250516C5830</stp>
        <tr r="CH89" s="1"/>
        <tr r="CH89" s="1"/>
      </tp>
      <tp>
        <v>-1</v>
        <stp/>
        <stp>DELTA</stp>
        <stp>.SPXW250516P5820</stp>
        <tr r="CI90" s="1"/>
        <tr r="CI90" s="1"/>
      </tp>
      <tp>
        <v>0.15</v>
        <stp/>
        <stp>DELTA</stp>
        <stp>.SPXW250516C5820</stp>
        <tr r="CH90" s="1"/>
        <tr r="CH90" s="1"/>
      </tp>
      <tp t="s">
        <v>N/A</v>
        <stp/>
        <stp>VOLUME</stp>
        <stp>.SPX250815C5830</stp>
        <tr r="O90" s="2"/>
      </tp>
      <tp t="s">
        <v>N/A</v>
        <stp/>
        <stp>VOLUME</stp>
        <stp>.SPX251017C5810</stp>
        <tr r="S92" s="2"/>
      </tp>
      <tp t="s">
        <v>N/A</v>
        <stp/>
        <stp>VOLUME</stp>
        <stp>.SPX251017P5810</stp>
        <tr r="S92" s="2"/>
      </tp>
      <tp t="s">
        <v>N/A</v>
        <stp/>
        <stp>VOLUME</stp>
        <stp>.SPX250815P5830</stp>
        <tr r="O90" s="2"/>
      </tp>
      <tp t="s">
        <v>N/A</v>
        <stp/>
        <stp>VOLUME</stp>
        <stp>.SPX250815C5820</stp>
        <tr r="O91" s="2"/>
      </tp>
      <tp t="s">
        <v>N/A</v>
        <stp/>
        <stp>VOLUME</stp>
        <stp>.SPX251017C5800</stp>
        <tr r="S93" s="2"/>
      </tp>
      <tp t="s">
        <v>N/A</v>
        <stp/>
        <stp>VOLUME</stp>
        <stp>.SPX251017P5800</stp>
        <tr r="S93" s="2"/>
      </tp>
      <tp t="s">
        <v>N/A</v>
        <stp/>
        <stp>VOLUME</stp>
        <stp>.SPX250815P5820</stp>
        <tr r="O91" s="2"/>
      </tp>
      <tp t="s">
        <v>N/A</v>
        <stp/>
        <stp>VOLUME</stp>
        <stp>.SPX250815C5810</stp>
        <tr r="O92" s="2"/>
      </tp>
      <tp t="s">
        <v>N/A</v>
        <stp/>
        <stp>VOLUME</stp>
        <stp>.SPX251017C5830</stp>
        <tr r="S90" s="2"/>
      </tp>
      <tp t="s">
        <v>N/A</v>
        <stp/>
        <stp>VOLUME</stp>
        <stp>.SPX251017P5830</stp>
        <tr r="S90" s="2"/>
      </tp>
      <tp t="s">
        <v>N/A</v>
        <stp/>
        <stp>VOLUME</stp>
        <stp>.SPX250815P5810</stp>
        <tr r="O92" s="2"/>
      </tp>
      <tp t="s">
        <v>N/A</v>
        <stp/>
        <stp>VOLUME</stp>
        <stp>.SPX250815C5800</stp>
        <tr r="O93" s="2"/>
      </tp>
      <tp t="s">
        <v>N/A</v>
        <stp/>
        <stp>VOLUME</stp>
        <stp>.SPX251017C5820</stp>
        <tr r="S91" s="2"/>
      </tp>
      <tp t="s">
        <v>N/A</v>
        <stp/>
        <stp>VOLUME</stp>
        <stp>.SPX251017P5820</stp>
        <tr r="S91" s="2"/>
      </tp>
      <tp t="s">
        <v>N/A</v>
        <stp/>
        <stp>VOLUME</stp>
        <stp>.SPX250815P5800</stp>
        <tr r="O93" s="2"/>
      </tp>
      <tp t="s">
        <v>N/A</v>
        <stp/>
        <stp>VOLUME</stp>
        <stp>.SPX250815C5870</stp>
        <tr r="O86" s="2"/>
      </tp>
      <tp t="s">
        <v>N/A</v>
        <stp/>
        <stp>VOLUME</stp>
        <stp>.SPX251017C5850</stp>
        <tr r="S88" s="2"/>
      </tp>
      <tp t="s">
        <v>N/A</v>
        <stp/>
        <stp>VOLUME</stp>
        <stp>.SPX251017P5850</stp>
        <tr r="S88" s="2"/>
      </tp>
      <tp t="s">
        <v>N/A</v>
        <stp/>
        <stp>VOLUME</stp>
        <stp>.SPX250815P5870</stp>
        <tr r="O86" s="2"/>
      </tp>
      <tp t="s">
        <v>N/A</v>
        <stp/>
        <stp>VOLUME</stp>
        <stp>.SPX250815C5860</stp>
        <tr r="O87" s="2"/>
      </tp>
      <tp t="s">
        <v>N/A</v>
        <stp/>
        <stp>VOLUME</stp>
        <stp>.SPX251017C5840</stp>
        <tr r="S89" s="2"/>
      </tp>
      <tp t="s">
        <v>N/A</v>
        <stp/>
        <stp>VOLUME</stp>
        <stp>.SPX251017P5840</stp>
        <tr r="S89" s="2"/>
      </tp>
      <tp t="s">
        <v>N/A</v>
        <stp/>
        <stp>VOLUME</stp>
        <stp>.SPX250815P5860</stp>
        <tr r="O87" s="2"/>
      </tp>
      <tp t="s">
        <v>N/A</v>
        <stp/>
        <stp>VOLUME</stp>
        <stp>.SPX250815C5850</stp>
        <tr r="O88" s="2"/>
      </tp>
      <tp t="s">
        <v>N/A</v>
        <stp/>
        <stp>VOLUME</stp>
        <stp>.SPX251017C5870</stp>
        <tr r="S86" s="2"/>
      </tp>
      <tp t="s">
        <v>N/A</v>
        <stp/>
        <stp>VOLUME</stp>
        <stp>.SPX251017P5870</stp>
        <tr r="S86" s="2"/>
      </tp>
      <tp t="s">
        <v>N/A</v>
        <stp/>
        <stp>VOLUME</stp>
        <stp>.SPX250815P5850</stp>
        <tr r="O88" s="2"/>
      </tp>
      <tp t="s">
        <v>N/A</v>
        <stp/>
        <stp>VOLUME</stp>
        <stp>.SPX250815C5840</stp>
        <tr r="O89" s="2"/>
      </tp>
      <tp t="s">
        <v>N/A</v>
        <stp/>
        <stp>VOLUME</stp>
        <stp>.SPX251017C5860</stp>
        <tr r="S87" s="2"/>
      </tp>
      <tp t="s">
        <v>N/A</v>
        <stp/>
        <stp>VOLUME</stp>
        <stp>.SPX251017P5860</stp>
        <tr r="S87" s="2"/>
      </tp>
      <tp t="s">
        <v>N/A</v>
        <stp/>
        <stp>VOLUME</stp>
        <stp>.SPX250815P5840</stp>
        <tr r="O89" s="2"/>
      </tp>
      <tp t="s">
        <v>N/A</v>
        <stp/>
        <stp>VOLUME</stp>
        <stp>.SPX250718C5860</stp>
        <tr r="M87" s="2"/>
      </tp>
      <tp t="s">
        <v>N/A</v>
        <stp/>
        <stp>VOLUME</stp>
        <stp>.SPX250919C5870</stp>
        <tr r="Q86" s="2"/>
      </tp>
      <tp t="s">
        <v>N/A</v>
        <stp/>
        <stp>VOLUME</stp>
        <stp>.SPX251219C5870</stp>
        <tr r="W86" s="2"/>
      </tp>
      <tp t="s">
        <v>N/A</v>
        <stp/>
        <stp>VOLUME</stp>
        <stp>.SPX251219P5870</stp>
        <tr r="W86" s="2"/>
      </tp>
      <tp t="s">
        <v>N/A</v>
        <stp/>
        <stp>VOLUME</stp>
        <stp>.SPX250718P5860</stp>
        <tr r="M87" s="2"/>
      </tp>
      <tp t="s">
        <v>N/A</v>
        <stp/>
        <stp>VOLUME</stp>
        <stp>.SPX250919P5870</stp>
        <tr r="Q86" s="2"/>
      </tp>
      <tp t="s">
        <v>N/A</v>
        <stp/>
        <stp>VOLUME</stp>
        <stp>.SPX250718C5870</stp>
        <tr r="M86" s="2"/>
      </tp>
      <tp t="s">
        <v>N/A</v>
        <stp/>
        <stp>VOLUME</stp>
        <stp>.SPX250919C5860</stp>
        <tr r="Q87" s="2"/>
      </tp>
      <tp t="s">
        <v>N/A</v>
        <stp/>
        <stp>VOLUME</stp>
        <stp>.SPX251219C5860</stp>
        <tr r="W87" s="2"/>
      </tp>
      <tp t="s">
        <v>N/A</v>
        <stp/>
        <stp>VOLUME</stp>
        <stp>.SPX251219P5860</stp>
        <tr r="W87" s="2"/>
      </tp>
      <tp t="s">
        <v>N/A</v>
        <stp/>
        <stp>VOLUME</stp>
        <stp>.SPX250718P5870</stp>
        <tr r="M86" s="2"/>
      </tp>
      <tp t="s">
        <v>N/A</v>
        <stp/>
        <stp>VOLUME</stp>
        <stp>.SPX250919P5860</stp>
        <tr r="Q87" s="2"/>
      </tp>
      <tp t="s">
        <v>N/A</v>
        <stp/>
        <stp>VOLUME</stp>
        <stp>.SPX250718C5840</stp>
        <tr r="M89" s="2"/>
      </tp>
      <tp t="s">
        <v>N/A</v>
        <stp/>
        <stp>VOLUME</stp>
        <stp>.SPX250919C5850</stp>
        <tr r="Q88" s="2"/>
      </tp>
      <tp t="s">
        <v>N/A</v>
        <stp/>
        <stp>VOLUME</stp>
        <stp>.SPX251219C5850</stp>
        <tr r="W88" s="2"/>
      </tp>
      <tp t="s">
        <v>N/A</v>
        <stp/>
        <stp>VOLUME</stp>
        <stp>.SPX251219P5850</stp>
        <tr r="W88" s="2"/>
      </tp>
      <tp t="s">
        <v>N/A</v>
        <stp/>
        <stp>VOLUME</stp>
        <stp>.SPX250718P5840</stp>
        <tr r="M89" s="2"/>
      </tp>
      <tp t="s">
        <v>N/A</v>
        <stp/>
        <stp>VOLUME</stp>
        <stp>.SPX250919P5850</stp>
        <tr r="Q88" s="2"/>
      </tp>
      <tp t="s">
        <v>N/A</v>
        <stp/>
        <stp>VOLUME</stp>
        <stp>.SPX250718C5850</stp>
        <tr r="M88" s="2"/>
      </tp>
      <tp t="s">
        <v>N/A</v>
        <stp/>
        <stp>VOLUME</stp>
        <stp>.SPX250919C5840</stp>
        <tr r="Q89" s="2"/>
      </tp>
      <tp t="s">
        <v>N/A</v>
        <stp/>
        <stp>VOLUME</stp>
        <stp>.SPX251219C5840</stp>
        <tr r="W89" s="2"/>
      </tp>
      <tp t="s">
        <v>N/A</v>
        <stp/>
        <stp>VOLUME</stp>
        <stp>.SPX251219P5840</stp>
        <tr r="W89" s="2"/>
      </tp>
      <tp t="s">
        <v>N/A</v>
        <stp/>
        <stp>VOLUME</stp>
        <stp>.SPX250718P5850</stp>
        <tr r="M88" s="2"/>
      </tp>
      <tp t="s">
        <v>N/A</v>
        <stp/>
        <stp>VOLUME</stp>
        <stp>.SPX250919P5840</stp>
        <tr r="Q89" s="2"/>
      </tp>
      <tp t="s">
        <v>N/A</v>
        <stp/>
        <stp>VOLUME</stp>
        <stp>.SPX250718C5820</stp>
        <tr r="M91" s="2"/>
      </tp>
      <tp t="s">
        <v>N/A</v>
        <stp/>
        <stp>VOLUME</stp>
        <stp>.SPX250919C5830</stp>
        <tr r="Q90" s="2"/>
      </tp>
      <tp t="s">
        <v>N/A</v>
        <stp/>
        <stp>VOLUME</stp>
        <stp>.SPX251219C5830</stp>
        <tr r="W90" s="2"/>
      </tp>
      <tp t="s">
        <v>N/A</v>
        <stp/>
        <stp>VOLUME</stp>
        <stp>.SPX251219P5830</stp>
        <tr r="W90" s="2"/>
      </tp>
      <tp t="s">
        <v>N/A</v>
        <stp/>
        <stp>VOLUME</stp>
        <stp>.SPX250718P5820</stp>
        <tr r="M91" s="2"/>
      </tp>
      <tp t="s">
        <v>N/A</v>
        <stp/>
        <stp>VOLUME</stp>
        <stp>.SPX250919P5830</stp>
        <tr r="Q90" s="2"/>
      </tp>
      <tp t="s">
        <v>N/A</v>
        <stp/>
        <stp>VOLUME</stp>
        <stp>.SPX250718C5830</stp>
        <tr r="M90" s="2"/>
      </tp>
      <tp t="s">
        <v>N/A</v>
        <stp/>
        <stp>VOLUME</stp>
        <stp>.SPX250919C5820</stp>
        <tr r="Q91" s="2"/>
      </tp>
      <tp t="s">
        <v>N/A</v>
        <stp/>
        <stp>VOLUME</stp>
        <stp>.SPX251219C5820</stp>
        <tr r="W91" s="2"/>
      </tp>
      <tp t="s">
        <v>N/A</v>
        <stp/>
        <stp>VOLUME</stp>
        <stp>.SPX251219P5820</stp>
        <tr r="W91" s="2"/>
      </tp>
      <tp t="s">
        <v>N/A</v>
        <stp/>
        <stp>VOLUME</stp>
        <stp>.SPX250718P5830</stp>
        <tr r="M90" s="2"/>
      </tp>
      <tp t="s">
        <v>N/A</v>
        <stp/>
        <stp>VOLUME</stp>
        <stp>.SPX250919P5820</stp>
        <tr r="Q91" s="2"/>
      </tp>
      <tp t="s">
        <v>N/A</v>
        <stp/>
        <stp>VOLUME</stp>
        <stp>.SPX250718C5800</stp>
        <tr r="M93" s="2"/>
      </tp>
      <tp t="s">
        <v>N/A</v>
        <stp/>
        <stp>VOLUME</stp>
        <stp>.SPX250919C5810</stp>
        <tr r="Q92" s="2"/>
      </tp>
      <tp t="s">
        <v>N/A</v>
        <stp/>
        <stp>VOLUME</stp>
        <stp>.SPX251219C5810</stp>
        <tr r="W92" s="2"/>
      </tp>
      <tp t="s">
        <v>N/A</v>
        <stp/>
        <stp>VOLUME</stp>
        <stp>.SPX251219P5810</stp>
        <tr r="W92" s="2"/>
      </tp>
      <tp t="s">
        <v>N/A</v>
        <stp/>
        <stp>VOLUME</stp>
        <stp>.SPX250718P5800</stp>
        <tr r="M93" s="2"/>
      </tp>
      <tp t="s">
        <v>N/A</v>
        <stp/>
        <stp>VOLUME</stp>
        <stp>.SPX250919P5810</stp>
        <tr r="Q92" s="2"/>
      </tp>
      <tp t="s">
        <v>N/A</v>
        <stp/>
        <stp>VOLUME</stp>
        <stp>.SPX250718C5810</stp>
        <tr r="M92" s="2"/>
      </tp>
      <tp t="s">
        <v>N/A</v>
        <stp/>
        <stp>VOLUME</stp>
        <stp>.SPX250919C5800</stp>
        <tr r="Q93" s="2"/>
      </tp>
      <tp t="s">
        <v>N/A</v>
        <stp/>
        <stp>VOLUME</stp>
        <stp>.SPX251219C5800</stp>
        <tr r="W93" s="2"/>
      </tp>
      <tp t="s">
        <v>N/A</v>
        <stp/>
        <stp>VOLUME</stp>
        <stp>.SPX251219P5800</stp>
        <tr r="W93" s="2"/>
      </tp>
      <tp t="s">
        <v>N/A</v>
        <stp/>
        <stp>VOLUME</stp>
        <stp>.SPX250718P5810</stp>
        <tr r="M92" s="2"/>
      </tp>
      <tp t="s">
        <v>N/A</v>
        <stp/>
        <stp>VOLUME</stp>
        <stp>.SPX250919P5800</stp>
        <tr r="Q93" s="2"/>
      </tp>
      <tp t="s">
        <v>25.05%</v>
        <stp/>
        <stp>IMPL_VOL</stp>
        <stp>.NDX250516C19900</stp>
        <tr r="EP159" s="1"/>
      </tp>
      <tp t="s">
        <v>24.91%</v>
        <stp/>
        <stp>IMPL_VOL</stp>
        <stp>.NDX250516C19925</stp>
        <tr r="EP158" s="1"/>
      </tp>
      <tp t="s">
        <v>24.77%</v>
        <stp/>
        <stp>IMPL_VOL</stp>
        <stp>.NDX250516C19950</stp>
        <tr r="EP157" s="1"/>
      </tp>
      <tp t="s">
        <v>24.62%</v>
        <stp/>
        <stp>IMPL_VOL</stp>
        <stp>.NDX250516C19975</stp>
        <tr r="EP156" s="1"/>
      </tp>
      <tp t="s">
        <v>23.45%</v>
        <stp/>
        <stp>IMPL_VOL</stp>
        <stp>.NDX250516P19925</stp>
        <tr r="EQ158" s="1"/>
      </tp>
      <tp t="s">
        <v>23.63%</v>
        <stp/>
        <stp>IMPL_VOL</stp>
        <stp>.NDX250516P19900</stp>
        <tr r="EQ159" s="1"/>
      </tp>
      <tp t="s">
        <v>23.14%</v>
        <stp/>
        <stp>IMPL_VOL</stp>
        <stp>.NDX250516P19975</stp>
        <tr r="EQ156" s="1"/>
      </tp>
      <tp t="s">
        <v>23.30%</v>
        <stp/>
        <stp>IMPL_VOL</stp>
        <stp>.NDX250516P19950</stp>
        <tr r="EQ157" s="1"/>
      </tp>
      <tp t="s">
        <v>25.60%</v>
        <stp/>
        <stp>IMPL_VOL</stp>
        <stp>.NDX250516C19800</stp>
        <tr r="EP163" s="1"/>
      </tp>
      <tp t="s">
        <v>25.46%</v>
        <stp/>
        <stp>IMPL_VOL</stp>
        <stp>.NDX250516C19825</stp>
        <tr r="EP162" s="1"/>
      </tp>
      <tp t="s">
        <v>25.32%</v>
        <stp/>
        <stp>IMPL_VOL</stp>
        <stp>.NDX250516C19850</stp>
        <tr r="EP161" s="1"/>
      </tp>
      <tp t="s">
        <v>25.17%</v>
        <stp/>
        <stp>IMPL_VOL</stp>
        <stp>.NDX250516C19875</stp>
        <tr r="EP160" s="1"/>
      </tp>
      <tp t="s">
        <v>24.06%</v>
        <stp/>
        <stp>IMPL_VOL</stp>
        <stp>.NDX250516P19825</stp>
        <tr r="EQ162" s="1"/>
      </tp>
      <tp t="s">
        <v>24.18%</v>
        <stp/>
        <stp>IMPL_VOL</stp>
        <stp>.NDX250516P19800</stp>
        <tr r="EQ163" s="1"/>
      </tp>
      <tp t="s">
        <v>23.77%</v>
        <stp/>
        <stp>IMPL_VOL</stp>
        <stp>.NDX250516P19875</stp>
        <tr r="EQ160" s="1"/>
      </tp>
      <tp t="s">
        <v>23.92%</v>
        <stp/>
        <stp>IMPL_VOL</stp>
        <stp>.NDX250516P19850</stp>
        <tr r="EQ161" s="1"/>
      </tp>
      <tp t="s">
        <v>N/A</v>
        <stp/>
        <stp>VOLUME</stp>
        <stp>.SPX250620C5860</stp>
        <tr r="K87" s="2"/>
      </tp>
      <tp t="s">
        <v>N/A</v>
        <stp/>
        <stp>VOLUME</stp>
        <stp>.SPX250523C5850</stp>
        <tr r="H88" s="2"/>
      </tp>
      <tp t="s">
        <v>N/A</v>
        <stp/>
        <stp>VOLUME</stp>
        <stp>.SPX251121C5870</stp>
        <tr r="U86" s="2"/>
      </tp>
      <tp t="s">
        <v>N/A</v>
        <stp/>
        <stp>VOLUME</stp>
        <stp>.SPX251121P5870</stp>
        <tr r="U86" s="2"/>
      </tp>
      <tp t="s">
        <v>N/A</v>
        <stp/>
        <stp>VOLUME</stp>
        <stp>.SPX250620P5860</stp>
        <tr r="K87" s="2"/>
      </tp>
      <tp t="s">
        <v>N/A</v>
        <stp/>
        <stp>VOLUME</stp>
        <stp>.SPX250523P5850</stp>
        <tr r="H88" s="2"/>
      </tp>
      <tp t="s">
        <v>N/A</v>
        <stp/>
        <stp>VOLUME</stp>
        <stp>.SPX250620C5870</stp>
        <tr r="K86" s="2"/>
      </tp>
      <tp t="s">
        <v>N/A</v>
        <stp/>
        <stp>VOLUME</stp>
        <stp>.SPX250523C5840</stp>
        <tr r="H89" s="2"/>
      </tp>
      <tp t="s">
        <v>N/A</v>
        <stp/>
        <stp>VOLUME</stp>
        <stp>.SPX251121C5860</stp>
        <tr r="U87" s="2"/>
      </tp>
      <tp t="s">
        <v>N/A</v>
        <stp/>
        <stp>VOLUME</stp>
        <stp>.SPX251121P5860</stp>
        <tr r="U87" s="2"/>
      </tp>
      <tp t="s">
        <v>N/A</v>
        <stp/>
        <stp>VOLUME</stp>
        <stp>.SPX250620P5870</stp>
        <tr r="K86" s="2"/>
      </tp>
      <tp t="s">
        <v>N/A</v>
        <stp/>
        <stp>VOLUME</stp>
        <stp>.SPX250523P5840</stp>
        <tr r="H89" s="2"/>
      </tp>
      <tp t="s">
        <v>N/A</v>
        <stp/>
        <stp>VOLUME</stp>
        <stp>.SPX250620C5840</stp>
        <tr r="K89" s="2"/>
      </tp>
      <tp t="s">
        <v>N/A</v>
        <stp/>
        <stp>VOLUME</stp>
        <stp>.SPX250523C5870</stp>
        <tr r="H86" s="2"/>
      </tp>
      <tp t="s">
        <v>N/A</v>
        <stp/>
        <stp>VOLUME</stp>
        <stp>.SPX251121C5850</stp>
        <tr r="U88" s="2"/>
      </tp>
      <tp t="s">
        <v>N/A</v>
        <stp/>
        <stp>VOLUME</stp>
        <stp>.SPX251121P5850</stp>
        <tr r="U88" s="2"/>
      </tp>
      <tp t="s">
        <v>N/A</v>
        <stp/>
        <stp>VOLUME</stp>
        <stp>.SPX250620P5840</stp>
        <tr r="K89" s="2"/>
      </tp>
      <tp t="s">
        <v>N/A</v>
        <stp/>
        <stp>VOLUME</stp>
        <stp>.SPX250523P5870</stp>
        <tr r="H86" s="2"/>
      </tp>
      <tp t="s">
        <v>N/A</v>
        <stp/>
        <stp>VOLUME</stp>
        <stp>.SPX250620C5850</stp>
        <tr r="K88" s="2"/>
      </tp>
      <tp t="s">
        <v>N/A</v>
        <stp/>
        <stp>VOLUME</stp>
        <stp>.SPX250523C5860</stp>
        <tr r="H87" s="2"/>
      </tp>
      <tp t="s">
        <v>N/A</v>
        <stp/>
        <stp>VOLUME</stp>
        <stp>.SPX251121C5840</stp>
        <tr r="U89" s="2"/>
      </tp>
      <tp t="s">
        <v>N/A</v>
        <stp/>
        <stp>VOLUME</stp>
        <stp>.SPX251121P5840</stp>
        <tr r="U89" s="2"/>
      </tp>
      <tp t="s">
        <v>N/A</v>
        <stp/>
        <stp>VOLUME</stp>
        <stp>.SPX250620P5850</stp>
        <tr r="K88" s="2"/>
      </tp>
      <tp t="s">
        <v>N/A</v>
        <stp/>
        <stp>VOLUME</stp>
        <stp>.SPX250523P5860</stp>
        <tr r="H87" s="2"/>
      </tp>
      <tp t="s">
        <v>N/A</v>
        <stp/>
        <stp>VOLUME</stp>
        <stp>.SPX250620C5820</stp>
        <tr r="K91" s="2"/>
      </tp>
      <tp t="s">
        <v>N/A</v>
        <stp/>
        <stp>VOLUME</stp>
        <stp>.SPX250523C5810</stp>
        <tr r="H92" s="2"/>
      </tp>
      <tp t="s">
        <v>N/A</v>
        <stp/>
        <stp>VOLUME</stp>
        <stp>.SPX251121C5830</stp>
        <tr r="U90" s="2"/>
      </tp>
      <tp t="s">
        <v>N/A</v>
        <stp/>
        <stp>VOLUME</stp>
        <stp>.SPX251121P5830</stp>
        <tr r="U90" s="2"/>
      </tp>
      <tp t="s">
        <v>N/A</v>
        <stp/>
        <stp>VOLUME</stp>
        <stp>.SPX250620P5820</stp>
        <tr r="K91" s="2"/>
      </tp>
      <tp t="s">
        <v>N/A</v>
        <stp/>
        <stp>VOLUME</stp>
        <stp>.SPX250523P5810</stp>
        <tr r="H92" s="2"/>
      </tp>
      <tp t="s">
        <v>N/A</v>
        <stp/>
        <stp>VOLUME</stp>
        <stp>.SPX250620C5830</stp>
        <tr r="K90" s="2"/>
      </tp>
      <tp t="s">
        <v>N/A</v>
        <stp/>
        <stp>VOLUME</stp>
        <stp>.SPX250523C5800</stp>
        <tr r="H93" s="2"/>
      </tp>
      <tp t="s">
        <v>N/A</v>
        <stp/>
        <stp>VOLUME</stp>
        <stp>.SPX251121C5820</stp>
        <tr r="U91" s="2"/>
      </tp>
      <tp t="s">
        <v>N/A</v>
        <stp/>
        <stp>VOLUME</stp>
        <stp>.SPX251121P5820</stp>
        <tr r="U91" s="2"/>
      </tp>
      <tp t="s">
        <v>N/A</v>
        <stp/>
        <stp>VOLUME</stp>
        <stp>.SPX250620P5830</stp>
        <tr r="K90" s="2"/>
      </tp>
      <tp t="s">
        <v>N/A</v>
        <stp/>
        <stp>VOLUME</stp>
        <stp>.SPX250523P5800</stp>
        <tr r="H93" s="2"/>
      </tp>
      <tp t="s">
        <v>N/A</v>
        <stp/>
        <stp>VOLUME</stp>
        <stp>.SPX250620C5800</stp>
        <tr r="K93" s="2"/>
      </tp>
      <tp t="s">
        <v>N/A</v>
        <stp/>
        <stp>VOLUME</stp>
        <stp>.SPX250523C5830</stp>
        <tr r="H90" s="2"/>
      </tp>
      <tp t="s">
        <v>N/A</v>
        <stp/>
        <stp>VOLUME</stp>
        <stp>.SPX251121C5810</stp>
        <tr r="U92" s="2"/>
      </tp>
      <tp t="s">
        <v>N/A</v>
        <stp/>
        <stp>VOLUME</stp>
        <stp>.SPX251121P5810</stp>
        <tr r="U92" s="2"/>
      </tp>
      <tp t="s">
        <v>N/A</v>
        <stp/>
        <stp>VOLUME</stp>
        <stp>.SPX250620P5800</stp>
        <tr r="K93" s="2"/>
      </tp>
      <tp t="s">
        <v>N/A</v>
        <stp/>
        <stp>VOLUME</stp>
        <stp>.SPX250523P5830</stp>
        <tr r="H90" s="2"/>
      </tp>
      <tp t="s">
        <v>N/A</v>
        <stp/>
        <stp>VOLUME</stp>
        <stp>.SPX250620C5810</stp>
        <tr r="K92" s="2"/>
      </tp>
      <tp t="s">
        <v>N/A</v>
        <stp/>
        <stp>VOLUME</stp>
        <stp>.SPX250523C5820</stp>
        <tr r="H91" s="2"/>
      </tp>
      <tp t="s">
        <v>N/A</v>
        <stp/>
        <stp>VOLUME</stp>
        <stp>.SPX251121C5800</stp>
        <tr r="U93" s="2"/>
      </tp>
      <tp t="s">
        <v>N/A</v>
        <stp/>
        <stp>VOLUME</stp>
        <stp>.SPX251121P5800</stp>
        <tr r="U93" s="2"/>
      </tp>
      <tp t="s">
        <v>N/A</v>
        <stp/>
        <stp>VOLUME</stp>
        <stp>.SPX250620P5810</stp>
        <tr r="K92" s="2"/>
      </tp>
      <tp t="s">
        <v>N/A</v>
        <stp/>
        <stp>VOLUME</stp>
        <stp>.SPX250523P5820</stp>
        <tr r="H91" s="2"/>
      </tp>
      <tp>
        <v>950</v>
        <stp/>
        <stp>OPEN_INT</stp>
        <stp>.SPXW250507C5760</stp>
        <tr r="AS96" s="1"/>
        <tr r="AS96" s="1"/>
      </tp>
      <tp>
        <v>1016</v>
        <stp/>
        <stp>OPEN_INT</stp>
        <stp>.SPXW250509C5780</stp>
        <tr r="AU94" s="1"/>
        <tr r="AU94" s="1"/>
      </tp>
      <tp>
        <v>147</v>
        <stp/>
        <stp>OPEN_INT</stp>
        <stp>.SPXW250516C5670</stp>
        <tr r="AW105" s="1"/>
        <tr r="AW105" s="1"/>
      </tp>
      <tp>
        <v>211</v>
        <stp/>
        <stp>OPEN_INT</stp>
        <stp>.SPXW250507P5760</stp>
        <tr r="AT96" s="1"/>
        <tr r="AT96" s="1"/>
      </tp>
      <tp>
        <v>27</v>
        <stp/>
        <stp>OPEN_INT</stp>
        <stp>.SPXW250509P5780</stp>
        <tr r="AV94" s="1"/>
        <tr r="AV94" s="1"/>
      </tp>
      <tp>
        <v>166</v>
        <stp/>
        <stp>OPEN_INT</stp>
        <stp>.SPXW250516P5670</stp>
        <tr r="AX105" s="1"/>
        <tr r="AX105" s="1"/>
      </tp>
      <tp>
        <v>741</v>
        <stp/>
        <stp>OPEN_INT</stp>
        <stp>.SPXW250507C5770</stp>
        <tr r="AS95" s="1"/>
        <tr r="AS95" s="1"/>
      </tp>
      <tp>
        <v>1022</v>
        <stp/>
        <stp>OPEN_INT</stp>
        <stp>.SPXW250509C5790</stp>
        <tr r="AU93" s="1"/>
        <tr r="AU93" s="1"/>
      </tp>
      <tp>
        <v>487</v>
        <stp/>
        <stp>OPEN_INT</stp>
        <stp>.SPXW250516C5660</stp>
        <tr r="AW106" s="1"/>
        <tr r="AW106" s="1"/>
      </tp>
      <tp>
        <v>213</v>
        <stp/>
        <stp>OPEN_INT</stp>
        <stp>.SPXW250507P5770</stp>
        <tr r="AT95" s="1"/>
        <tr r="AT95" s="1"/>
      </tp>
      <tp>
        <v>13</v>
        <stp/>
        <stp>OPEN_INT</stp>
        <stp>.SPXW250509P5790</stp>
        <tr r="AV93" s="1"/>
        <tr r="AV93" s="1"/>
      </tp>
      <tp>
        <v>342</v>
        <stp/>
        <stp>OPEN_INT</stp>
        <stp>.SPXW250516P5660</stp>
        <tr r="AX106" s="1"/>
        <tr r="AX106" s="1"/>
      </tp>
      <tp>
        <v>1316</v>
        <stp/>
        <stp>OPEN_INT</stp>
        <stp>.SPXW250507C5740</stp>
        <tr r="AS98" s="1"/>
        <tr r="AS98" s="1"/>
      </tp>
      <tp>
        <v>736</v>
        <stp/>
        <stp>OPEN_INT</stp>
        <stp>.SPXW250516C5650</stp>
        <tr r="AW107" s="1"/>
        <tr r="AW107" s="1"/>
      </tp>
      <tp>
        <v>34</v>
        <stp/>
        <stp>OPEN_INT</stp>
        <stp>.SPXW250507P5740</stp>
        <tr r="AT98" s="1"/>
        <tr r="AT98" s="1"/>
      </tp>
      <tp>
        <v>715</v>
        <stp/>
        <stp>OPEN_INT</stp>
        <stp>.SPXW250516P5650</stp>
        <tr r="AX107" s="1"/>
        <tr r="AX107" s="1"/>
      </tp>
      <tp>
        <v>2605</v>
        <stp/>
        <stp>OPEN_INT</stp>
        <stp>.SPXW250507C5750</stp>
        <tr r="AS97" s="1"/>
        <tr r="AS97" s="1"/>
      </tp>
      <tp>
        <v>235</v>
        <stp/>
        <stp>OPEN_INT</stp>
        <stp>.SPXW250516C5640</stp>
        <tr r="AW108" s="1"/>
        <tr r="AW108" s="1"/>
      </tp>
      <tp>
        <v>253</v>
        <stp/>
        <stp>OPEN_INT</stp>
        <stp>.SPXW250507P5750</stp>
        <tr r="AT97" s="1"/>
        <tr r="AT97" s="1"/>
      </tp>
      <tp>
        <v>571</v>
        <stp/>
        <stp>OPEN_INT</stp>
        <stp>.SPXW250516P5640</stp>
        <tr r="AX108" s="1"/>
        <tr r="AX108" s="1"/>
      </tp>
      <tp>
        <v>983</v>
        <stp/>
        <stp>OPEN_INT</stp>
        <stp>.SPXW250507C5720</stp>
        <tr r="AS100" s="1"/>
        <tr r="AS100" s="1"/>
      </tp>
      <tp>
        <v>241</v>
        <stp/>
        <stp>OPEN_INT</stp>
        <stp>.SPXW250516C5630</stp>
        <tr r="AW109" s="1"/>
        <tr r="AW109" s="1"/>
      </tp>
      <tp>
        <v>93</v>
        <stp/>
        <stp>OPEN_INT</stp>
        <stp>.SPXW250507P5720</stp>
        <tr r="AT100" s="1"/>
        <tr r="AT100" s="1"/>
      </tp>
      <tp>
        <v>994</v>
        <stp/>
        <stp>OPEN_INT</stp>
        <stp>.SPXW250516P5630</stp>
        <tr r="AX109" s="1"/>
        <tr r="AX109" s="1"/>
      </tp>
      <tp>
        <v>903</v>
        <stp/>
        <stp>OPEN_INT</stp>
        <stp>.SPXW250507C5730</stp>
        <tr r="AS99" s="1"/>
        <tr r="AS99" s="1"/>
      </tp>
      <tp>
        <v>573</v>
        <stp/>
        <stp>OPEN_INT</stp>
        <stp>.SPXW250516C5620</stp>
        <tr r="AW110" s="1"/>
        <tr r="AW110" s="1"/>
      </tp>
      <tp>
        <v>34</v>
        <stp/>
        <stp>OPEN_INT</stp>
        <stp>.SPXW250507P5730</stp>
        <tr r="AT99" s="1"/>
        <tr r="AT99" s="1"/>
      </tp>
      <tp>
        <v>521</v>
        <stp/>
        <stp>OPEN_INT</stp>
        <stp>.SPXW250516P5620</stp>
        <tr r="AX110" s="1"/>
        <tr r="AX110" s="1"/>
      </tp>
      <tp>
        <v>9955</v>
        <stp/>
        <stp>OPEN_INT</stp>
        <stp>.SPXW250507C5700</stp>
        <tr r="AS102" s="1"/>
        <tr r="AS102" s="1"/>
      </tp>
      <tp>
        <v>1211</v>
        <stp/>
        <stp>OPEN_INT</stp>
        <stp>.SPXW250516C5610</stp>
        <tr r="AW111" s="1"/>
        <tr r="AW111" s="1"/>
      </tp>
      <tp>
        <v>533</v>
        <stp/>
        <stp>OPEN_INT</stp>
        <stp>.SPXW250507P5700</stp>
        <tr r="AT102" s="1"/>
        <tr r="AT102" s="1"/>
      </tp>
      <tp>
        <v>320</v>
        <stp/>
        <stp>OPEN_INT</stp>
        <stp>.SPXW250516P5610</stp>
        <tr r="AX111" s="1"/>
        <tr r="AX111" s="1"/>
      </tp>
      <tp>
        <v>1404</v>
        <stp/>
        <stp>OPEN_INT</stp>
        <stp>.SPXW250507C5710</stp>
        <tr r="AS101" s="1"/>
        <tr r="AS101" s="1"/>
      </tp>
      <tp>
        <v>3109</v>
        <stp/>
        <stp>OPEN_INT</stp>
        <stp>.SPXW250516C5600</stp>
        <tr r="AW112" s="1"/>
        <tr r="AW112" s="1"/>
      </tp>
      <tp>
        <v>63</v>
        <stp/>
        <stp>OPEN_INT</stp>
        <stp>.SPXW250507P5710</stp>
        <tr r="AT101" s="1"/>
        <tr r="AT101" s="1"/>
      </tp>
      <tp>
        <v>2556</v>
        <stp/>
        <stp>OPEN_INT</stp>
        <stp>.SPXW250516P5600</stp>
        <tr r="AX112" s="1"/>
        <tr r="AX112" s="1"/>
      </tp>
      <tp>
        <v>3134</v>
        <stp/>
        <stp>OPEN_INT</stp>
        <stp>.SPXW250509C5700</stp>
        <tr r="AU102" s="1"/>
        <tr r="AU102" s="1"/>
      </tp>
      <tp>
        <v>1311</v>
        <stp/>
        <stp>OPEN_INT</stp>
        <stp>.SPXW250509P5700</stp>
        <tr r="AV102" s="1"/>
        <tr r="AV102" s="1"/>
      </tp>
      <tp>
        <v>1575</v>
        <stp/>
        <stp>OPEN_INT</stp>
        <stp>.SPXW250509C5710</stp>
        <tr r="AU101" s="1"/>
        <tr r="AU101" s="1"/>
      </tp>
      <tp>
        <v>166</v>
        <stp/>
        <stp>OPEN_INT</stp>
        <stp>.SPXW250509P5710</stp>
        <tr r="AV101" s="1"/>
        <tr r="AV101" s="1"/>
      </tp>
      <tp t="s">
        <v>N/A</v>
        <stp/>
        <stp>OPEN_INT</stp>
        <stp>.SPXW250509C5720</stp>
        <tr r="AU100" s="1"/>
      </tp>
      <tp t="s">
        <v>N/A</v>
        <stp/>
        <stp>OPEN_INT</stp>
        <stp>.SPXW250509P5720</stp>
        <tr r="AV100" s="1"/>
      </tp>
      <tp>
        <v>862</v>
        <stp/>
        <stp>OPEN_INT</stp>
        <stp>.SPXW250509C5730</stp>
        <tr r="AU99" s="1"/>
        <tr r="AU99" s="1"/>
      </tp>
      <tp>
        <v>90</v>
        <stp/>
        <stp>OPEN_INT</stp>
        <stp>.SPXW250509P5730</stp>
        <tr r="AV99" s="1"/>
        <tr r="AV99" s="1"/>
      </tp>
      <tp>
        <v>882</v>
        <stp/>
        <stp>OPEN_INT</stp>
        <stp>.SPXW250509C5740</stp>
        <tr r="AU98" s="1"/>
        <tr r="AU98" s="1"/>
      </tp>
      <tp>
        <v>20</v>
        <stp/>
        <stp>OPEN_INT</stp>
        <stp>.SPXW250509P5740</stp>
        <tr r="AV98" s="1"/>
        <tr r="AV98" s="1"/>
      </tp>
      <tp>
        <v>3541</v>
        <stp/>
        <stp>OPEN_INT</stp>
        <stp>.SPXW250509C5750</stp>
        <tr r="AU97" s="1"/>
        <tr r="AU97" s="1"/>
      </tp>
      <tp>
        <v>117</v>
        <stp/>
        <stp>OPEN_INT</stp>
        <stp>.SPXW250509P5750</stp>
        <tr r="AV97" s="1"/>
        <tr r="AV97" s="1"/>
      </tp>
      <tp>
        <v>823</v>
        <stp/>
        <stp>OPEN_INT</stp>
        <stp>.SPXW250507C5780</stp>
        <tr r="AS94" s="1"/>
        <tr r="AS94" s="1"/>
      </tp>
      <tp>
        <v>1587</v>
        <stp/>
        <stp>OPEN_INT</stp>
        <stp>.SPXW250509C5760</stp>
        <tr r="AU96" s="1"/>
        <tr r="AU96" s="1"/>
      </tp>
      <tp>
        <v>554</v>
        <stp/>
        <stp>OPEN_INT</stp>
        <stp>.SPXW250516C5690</stp>
        <tr r="AW103" s="1"/>
        <tr r="AW103" s="1"/>
      </tp>
      <tp>
        <v>213</v>
        <stp/>
        <stp>OPEN_INT</stp>
        <stp>.SPXW250507P5780</stp>
        <tr r="AT94" s="1"/>
        <tr r="AT94" s="1"/>
      </tp>
      <tp>
        <v>28</v>
        <stp/>
        <stp>OPEN_INT</stp>
        <stp>.SPXW250509P5760</stp>
        <tr r="AV96" s="1"/>
        <tr r="AV96" s="1"/>
      </tp>
      <tp>
        <v>245</v>
        <stp/>
        <stp>OPEN_INT</stp>
        <stp>.SPXW250516P5690</stp>
        <tr r="AX103" s="1"/>
        <tr r="AX103" s="1"/>
      </tp>
      <tp>
        <v>864</v>
        <stp/>
        <stp>OPEN_INT</stp>
        <stp>.SPXW250507C5790</stp>
        <tr r="AS93" s="1"/>
        <tr r="AS93" s="1"/>
      </tp>
      <tp>
        <v>914</v>
        <stp/>
        <stp>OPEN_INT</stp>
        <stp>.SPXW250509C5770</stp>
        <tr r="AU95" s="1"/>
        <tr r="AU95" s="1"/>
      </tp>
      <tp>
        <v>530</v>
        <stp/>
        <stp>OPEN_INT</stp>
        <stp>.SPXW250516C5680</stp>
        <tr r="AW104" s="1"/>
        <tr r="AW104" s="1"/>
      </tp>
      <tp>
        <v>14</v>
        <stp/>
        <stp>OPEN_INT</stp>
        <stp>.SPXW250507P5790</stp>
        <tr r="AT93" s="1"/>
        <tr r="AT93" s="1"/>
      </tp>
      <tp>
        <v>26</v>
        <stp/>
        <stp>OPEN_INT</stp>
        <stp>.SPXW250509P5770</stp>
        <tr r="AV95" s="1"/>
        <tr r="AV95" s="1"/>
      </tp>
      <tp>
        <v>830</v>
        <stp/>
        <stp>OPEN_INT</stp>
        <stp>.SPXW250516P5680</stp>
        <tr r="AX104" s="1"/>
        <tr r="AX104" s="1"/>
      </tp>
      <tp>
        <v>856</v>
        <stp/>
        <stp>OPEN_INT</stp>
        <stp>.SPXW250507C5660</stp>
        <tr r="AS106" s="1"/>
        <tr r="AS106" s="1"/>
      </tp>
      <tp>
        <v>2541</v>
        <stp/>
        <stp>OPEN_INT</stp>
        <stp>.SPXW250509C5680</stp>
        <tr r="AU104" s="1"/>
        <tr r="AU104" s="1"/>
      </tp>
      <tp>
        <v>402</v>
        <stp/>
        <stp>OPEN_INT</stp>
        <stp>.SPXW250516C5770</stp>
        <tr r="AW95" s="1"/>
        <tr r="AW95" s="1"/>
      </tp>
      <tp>
        <v>409</v>
        <stp/>
        <stp>OPEN_INT</stp>
        <stp>.SPXW250507P5660</stp>
        <tr r="AT106" s="1"/>
        <tr r="AT106" s="1"/>
      </tp>
      <tp>
        <v>287</v>
        <stp/>
        <stp>OPEN_INT</stp>
        <stp>.SPXW250509P5680</stp>
        <tr r="AV104" s="1"/>
        <tr r="AV104" s="1"/>
      </tp>
      <tp>
        <v>201</v>
        <stp/>
        <stp>OPEN_INT</stp>
        <stp>.SPXW250516P5770</stp>
        <tr r="AX95" s="1"/>
        <tr r="AX95" s="1"/>
      </tp>
      <tp>
        <v>733</v>
        <stp/>
        <stp>OPEN_INT</stp>
        <stp>.SPXW250507C5670</stp>
        <tr r="AS105" s="1"/>
        <tr r="AS105" s="1"/>
      </tp>
      <tp>
        <v>1073</v>
        <stp/>
        <stp>OPEN_INT</stp>
        <stp>.SPXW250509C5690</stp>
        <tr r="AU103" s="1"/>
        <tr r="AU103" s="1"/>
      </tp>
      <tp>
        <v>381</v>
        <stp/>
        <stp>OPEN_INT</stp>
        <stp>.SPXW250516C5760</stp>
        <tr r="AW96" s="1"/>
        <tr r="AW96" s="1"/>
      </tp>
      <tp>
        <v>123</v>
        <stp/>
        <stp>OPEN_INT</stp>
        <stp>.SPXW250507P5670</stp>
        <tr r="AT105" s="1"/>
        <tr r="AT105" s="1"/>
      </tp>
      <tp>
        <v>146</v>
        <stp/>
        <stp>OPEN_INT</stp>
        <stp>.SPXW250509P5690</stp>
        <tr r="AV103" s="1"/>
        <tr r="AV103" s="1"/>
      </tp>
      <tp>
        <v>337</v>
        <stp/>
        <stp>OPEN_INT</stp>
        <stp>.SPXW250516P5760</stp>
        <tr r="AX96" s="1"/>
        <tr r="AX96" s="1"/>
      </tp>
      <tp>
        <v>885</v>
        <stp/>
        <stp>OPEN_INT</stp>
        <stp>.SPXW250507C5640</stp>
        <tr r="AS108" s="1"/>
        <tr r="AS108" s="1"/>
      </tp>
      <tp>
        <v>2382</v>
        <stp/>
        <stp>OPEN_INT</stp>
        <stp>.SPXW250516C5750</stp>
        <tr r="AW97" s="1"/>
        <tr r="AW97" s="1"/>
      </tp>
      <tp>
        <v>859</v>
        <stp/>
        <stp>OPEN_INT</stp>
        <stp>.SPXW250507P5640</stp>
        <tr r="AT108" s="1"/>
        <tr r="AT108" s="1"/>
      </tp>
      <tp>
        <v>346</v>
        <stp/>
        <stp>OPEN_INT</stp>
        <stp>.SPXW250516P5750</stp>
        <tr r="AX97" s="1"/>
        <tr r="AX97" s="1"/>
      </tp>
      <tp>
        <v>2313</v>
        <stp/>
        <stp>OPEN_INT</stp>
        <stp>.SPXW250507C5650</stp>
        <tr r="AS107" s="1"/>
        <tr r="AS107" s="1"/>
      </tp>
      <tp>
        <v>322</v>
        <stp/>
        <stp>OPEN_INT</stp>
        <stp>.SPXW250516C5740</stp>
        <tr r="AW98" s="1"/>
        <tr r="AW98" s="1"/>
      </tp>
      <tp>
        <v>1745</v>
        <stp/>
        <stp>OPEN_INT</stp>
        <stp>.SPXW250507P5650</stp>
        <tr r="AT107" s="1"/>
        <tr r="AT107" s="1"/>
      </tp>
      <tp>
        <v>164</v>
        <stp/>
        <stp>OPEN_INT</stp>
        <stp>.SPXW250516P5740</stp>
        <tr r="AX98" s="1"/>
        <tr r="AX98" s="1"/>
      </tp>
      <tp>
        <v>1164</v>
        <stp/>
        <stp>OPEN_INT</stp>
        <stp>.SPXW250507C5620</stp>
        <tr r="AS110" s="1"/>
        <tr r="AS110" s="1"/>
      </tp>
      <tp>
        <v>411</v>
        <stp/>
        <stp>OPEN_INT</stp>
        <stp>.SPXW250516C5730</stp>
        <tr r="AW99" s="1"/>
        <tr r="AW99" s="1"/>
      </tp>
      <tp>
        <v>1025</v>
        <stp/>
        <stp>OPEN_INT</stp>
        <stp>.SPXW250507P5620</stp>
        <tr r="AT110" s="1"/>
        <tr r="AT110" s="1"/>
      </tp>
      <tp>
        <v>106</v>
        <stp/>
        <stp>OPEN_INT</stp>
        <stp>.SPXW250516P5730</stp>
        <tr r="AX99" s="1"/>
        <tr r="AX99" s="1"/>
      </tp>
      <tp>
        <v>646</v>
        <stp/>
        <stp>OPEN_INT</stp>
        <stp>.SPXW250507C5630</stp>
        <tr r="AS109" s="1"/>
        <tr r="AS109" s="1"/>
      </tp>
      <tp>
        <v>462</v>
        <stp/>
        <stp>OPEN_INT</stp>
        <stp>.SPXW250516C5720</stp>
        <tr r="AW100" s="1"/>
        <tr r="AW100" s="1"/>
      </tp>
      <tp>
        <v>373</v>
        <stp/>
        <stp>OPEN_INT</stp>
        <stp>.SPXW250507P5630</stp>
        <tr r="AT109" s="1"/>
        <tr r="AT109" s="1"/>
      </tp>
      <tp>
        <v>166</v>
        <stp/>
        <stp>OPEN_INT</stp>
        <stp>.SPXW250516P5720</stp>
        <tr r="AX100" s="1"/>
        <tr r="AX100" s="1"/>
      </tp>
      <tp>
        <v>1540</v>
        <stp/>
        <stp>OPEN_INT</stp>
        <stp>.SPXW250507C5600</stp>
        <tr r="AS112" s="1"/>
        <tr r="AS112" s="1"/>
      </tp>
      <tp>
        <v>831</v>
        <stp/>
        <stp>OPEN_INT</stp>
        <stp>.SPXW250516C5710</stp>
        <tr r="AW101" s="1"/>
        <tr r="AW101" s="1"/>
      </tp>
      <tp>
        <v>1959</v>
        <stp/>
        <stp>OPEN_INT</stp>
        <stp>.SPXW250507P5600</stp>
        <tr r="AT112" s="1"/>
        <tr r="AT112" s="1"/>
      </tp>
      <tp>
        <v>562</v>
        <stp/>
        <stp>OPEN_INT</stp>
        <stp>.SPXW250516P5710</stp>
        <tr r="AX101" s="1"/>
        <tr r="AX101" s="1"/>
      </tp>
      <tp>
        <v>1295</v>
        <stp/>
        <stp>OPEN_INT</stp>
        <stp>.SPXW250507C5610</stp>
        <tr r="AS111" s="1"/>
        <tr r="AS111" s="1"/>
      </tp>
      <tp>
        <v>3408</v>
        <stp/>
        <stp>OPEN_INT</stp>
        <stp>.SPXW250516C5700</stp>
        <tr r="AW102" s="1"/>
        <tr r="AW102" s="1"/>
      </tp>
      <tp>
        <v>1345</v>
        <stp/>
        <stp>OPEN_INT</stp>
        <stp>.SPXW250507P5610</stp>
        <tr r="AT111" s="1"/>
        <tr r="AT111" s="1"/>
      </tp>
      <tp>
        <v>6162</v>
        <stp/>
        <stp>OPEN_INT</stp>
        <stp>.SPXW250516P5700</stp>
        <tr r="AX102" s="1"/>
        <tr r="AX102" s="1"/>
      </tp>
      <tp>
        <v>1956</v>
        <stp/>
        <stp>OPEN_INT</stp>
        <stp>.SPXW250509C5600</stp>
        <tr r="AU112" s="1"/>
        <tr r="AU112" s="1"/>
      </tp>
      <tp>
        <v>2757</v>
        <stp/>
        <stp>OPEN_INT</stp>
        <stp>.SPXW250509P5600</stp>
        <tr r="AV112" s="1"/>
        <tr r="AV112" s="1"/>
      </tp>
      <tp>
        <v>344</v>
        <stp/>
        <stp>OPEN_INT</stp>
        <stp>.SPXW250509C5610</stp>
        <tr r="AU111" s="1"/>
        <tr r="AU111" s="1"/>
      </tp>
      <tp>
        <v>581</v>
        <stp/>
        <stp>OPEN_INT</stp>
        <stp>.SPXW250509P5610</stp>
        <tr r="AV111" s="1"/>
        <tr r="AV111" s="1"/>
      </tp>
      <tp>
        <v>1687</v>
        <stp/>
        <stp>OPEN_INT</stp>
        <stp>.SPXW250509C5620</stp>
        <tr r="AU110" s="1"/>
        <tr r="AU110" s="1"/>
      </tp>
      <tp>
        <v>1256</v>
        <stp/>
        <stp>OPEN_INT</stp>
        <stp>.SPXW250509P5620</stp>
        <tr r="AV110" s="1"/>
        <tr r="AV110" s="1"/>
      </tp>
      <tp>
        <v>886</v>
        <stp/>
        <stp>OPEN_INT</stp>
        <stp>.SPXW250509C5630</stp>
        <tr r="AU109" s="1"/>
        <tr r="AU109" s="1"/>
      </tp>
      <tp>
        <v>482</v>
        <stp/>
        <stp>OPEN_INT</stp>
        <stp>.SPXW250509P5630</stp>
        <tr r="AV109" s="1"/>
        <tr r="AV109" s="1"/>
      </tp>
      <tp>
        <v>1159</v>
        <stp/>
        <stp>OPEN_INT</stp>
        <stp>.SPXW250509C5640</stp>
        <tr r="AU108" s="1"/>
        <tr r="AU108" s="1"/>
      </tp>
      <tp>
        <v>432</v>
        <stp/>
        <stp>OPEN_INT</stp>
        <stp>.SPXW250509P5640</stp>
        <tr r="AV108" s="1"/>
        <tr r="AV108" s="1"/>
      </tp>
      <tp>
        <v>2897</v>
        <stp/>
        <stp>OPEN_INT</stp>
        <stp>.SPXW250509C5650</stp>
        <tr r="AU107" s="1"/>
        <tr r="AU107" s="1"/>
      </tp>
      <tp>
        <v>1906</v>
        <stp/>
        <stp>OPEN_INT</stp>
        <stp>.SPXW250509P5650</stp>
        <tr r="AV107" s="1"/>
        <tr r="AV107" s="1"/>
      </tp>
      <tp>
        <v>801</v>
        <stp/>
        <stp>OPEN_INT</stp>
        <stp>.SPXW250507C5680</stp>
        <tr r="AS104" s="1"/>
        <tr r="AS104" s="1"/>
      </tp>
      <tp>
        <v>691</v>
        <stp/>
        <stp>OPEN_INT</stp>
        <stp>.SPXW250509C5660</stp>
        <tr r="AU106" s="1"/>
        <tr r="AU106" s="1"/>
      </tp>
      <tp>
        <v>611</v>
        <stp/>
        <stp>OPEN_INT</stp>
        <stp>.SPXW250516C5790</stp>
        <tr r="AW93" s="1"/>
        <tr r="AW93" s="1"/>
      </tp>
      <tp>
        <v>188</v>
        <stp/>
        <stp>OPEN_INT</stp>
        <stp>.SPXW250507P5680</stp>
        <tr r="AT104" s="1"/>
        <tr r="AT104" s="1"/>
      </tp>
      <tp>
        <v>661</v>
        <stp/>
        <stp>OPEN_INT</stp>
        <stp>.SPXW250509P5660</stp>
        <tr r="AV106" s="1"/>
        <tr r="AV106" s="1"/>
      </tp>
      <tp>
        <v>163</v>
        <stp/>
        <stp>OPEN_INT</stp>
        <stp>.SPXW250516P5790</stp>
        <tr r="AX93" s="1"/>
        <tr r="AX93" s="1"/>
      </tp>
      <tp>
        <v>883</v>
        <stp/>
        <stp>OPEN_INT</stp>
        <stp>.SPXW250507C5690</stp>
        <tr r="AS103" s="1"/>
        <tr r="AS103" s="1"/>
      </tp>
      <tp>
        <v>500</v>
        <stp/>
        <stp>OPEN_INT</stp>
        <stp>.SPXW250509C5670</stp>
        <tr r="AU105" s="1"/>
        <tr r="AU105" s="1"/>
      </tp>
      <tp>
        <v>337</v>
        <stp/>
        <stp>OPEN_INT</stp>
        <stp>.SPXW250516C5780</stp>
        <tr r="AW94" s="1"/>
        <tr r="AW94" s="1"/>
      </tp>
      <tp>
        <v>124</v>
        <stp/>
        <stp>OPEN_INT</stp>
        <stp>.SPXW250507P5690</stp>
        <tr r="AT103" s="1"/>
        <tr r="AT103" s="1"/>
      </tp>
      <tp>
        <v>309</v>
        <stp/>
        <stp>OPEN_INT</stp>
        <stp>.SPXW250509P5670</stp>
        <tr r="AV105" s="1"/>
        <tr r="AV105" s="1"/>
      </tp>
      <tp>
        <v>450</v>
        <stp/>
        <stp>OPEN_INT</stp>
        <stp>.SPXW250516P5780</stp>
        <tr r="AX94" s="1"/>
        <tr r="AX94" s="1"/>
      </tp>
      <tp>
        <v>496</v>
        <stp/>
        <stp>OPEN_INT</stp>
        <stp>.SPXW250507C5560</stp>
        <tr r="AS116" s="1"/>
        <tr r="AS116" s="1"/>
      </tp>
      <tp>
        <v>407</v>
        <stp/>
        <stp>OPEN_INT</stp>
        <stp>.SPXW250509C5580</stp>
        <tr r="AU114" s="1"/>
        <tr r="AU114" s="1"/>
      </tp>
      <tp>
        <v>117</v>
        <stp/>
        <stp>OPEN_INT</stp>
        <stp>.SPXW250516C5470</stp>
        <tr r="AW125" s="1"/>
        <tr r="AW125" s="1"/>
      </tp>
      <tp>
        <v>903</v>
        <stp/>
        <stp>OPEN_INT</stp>
        <stp>.SPXW250507P5560</stp>
        <tr r="AT116" s="1"/>
        <tr r="AT116" s="1"/>
      </tp>
      <tp>
        <v>899</v>
        <stp/>
        <stp>OPEN_INT</stp>
        <stp>.SPXW250509P5580</stp>
        <tr r="AV114" s="1"/>
        <tr r="AV114" s="1"/>
      </tp>
      <tp>
        <v>345</v>
        <stp/>
        <stp>OPEN_INT</stp>
        <stp>.SPXW250516P5470</stp>
        <tr r="AX125" s="1"/>
        <tr r="AX125" s="1"/>
      </tp>
      <tp>
        <v>174</v>
        <stp/>
        <stp>OPEN_INT</stp>
        <stp>.SPXW250507C5570</stp>
        <tr r="AS115" s="1"/>
        <tr r="AS115" s="1"/>
      </tp>
      <tp>
        <v>610</v>
        <stp/>
        <stp>OPEN_INT</stp>
        <stp>.SPXW250509C5590</stp>
        <tr r="AU113" s="1"/>
        <tr r="AU113" s="1"/>
      </tp>
      <tp>
        <v>461</v>
        <stp/>
        <stp>OPEN_INT</stp>
        <stp>.SPXW250516C5460</stp>
        <tr r="AW126" s="1"/>
        <tr r="AW126" s="1"/>
      </tp>
      <tp>
        <v>1125</v>
        <stp/>
        <stp>OPEN_INT</stp>
        <stp>.SPXW250507P5570</stp>
        <tr r="AT115" s="1"/>
        <tr r="AT115" s="1"/>
      </tp>
      <tp>
        <v>603</v>
        <stp/>
        <stp>OPEN_INT</stp>
        <stp>.SPXW250509P5590</stp>
        <tr r="AV113" s="1"/>
        <tr r="AV113" s="1"/>
      </tp>
      <tp>
        <v>308</v>
        <stp/>
        <stp>OPEN_INT</stp>
        <stp>.SPXW250516P5460</stp>
        <tr r="AX126" s="1"/>
        <tr r="AX126" s="1"/>
      </tp>
      <tp>
        <v>179</v>
        <stp/>
        <stp>OPEN_INT</stp>
        <stp>.SPXW250507C5540</stp>
        <tr r="AS118" s="1"/>
        <tr r="AS118" s="1"/>
      </tp>
      <tp>
        <v>738</v>
        <stp/>
        <stp>OPEN_INT</stp>
        <stp>.SPXW250516C5450</stp>
        <tr r="AW127" s="1"/>
        <tr r="AW127" s="1"/>
      </tp>
      <tp>
        <v>7348</v>
        <stp/>
        <stp>OPEN_INT</stp>
        <stp>.SPXW250507P5540</stp>
        <tr r="AT118" s="1"/>
        <tr r="AT118" s="1"/>
      </tp>
      <tp>
        <v>1786</v>
        <stp/>
        <stp>OPEN_INT</stp>
        <stp>.SPXW250516P5450</stp>
        <tr r="AX127" s="1"/>
        <tr r="AX127" s="1"/>
      </tp>
      <tp>
        <v>1088</v>
        <stp/>
        <stp>OPEN_INT</stp>
        <stp>.SPXW250507C5550</stp>
        <tr r="AS117" s="1"/>
        <tr r="AS117" s="1"/>
      </tp>
      <tp>
        <v>656</v>
        <stp/>
        <stp>OPEN_INT</stp>
        <stp>.SPXW250516C5440</stp>
        <tr r="AW128" s="1"/>
        <tr r="AW128" s="1"/>
      </tp>
      <tp>
        <v>3576</v>
        <stp/>
        <stp>OPEN_INT</stp>
        <stp>.SPXW250507P5550</stp>
        <tr r="AT117" s="1"/>
        <tr r="AT117" s="1"/>
      </tp>
      <tp>
        <v>1345</v>
        <stp/>
        <stp>OPEN_INT</stp>
        <stp>.SPXW250516P5440</stp>
        <tr r="AX128" s="1"/>
        <tr r="AX128" s="1"/>
      </tp>
      <tp>
        <v>205</v>
        <stp/>
        <stp>OPEN_INT</stp>
        <stp>.SPXW250507C5520</stp>
        <tr r="AS120" s="1"/>
        <tr r="AS120" s="1"/>
      </tp>
      <tp>
        <v>116</v>
        <stp/>
        <stp>OPEN_INT</stp>
        <stp>.SPXW250516C5430</stp>
        <tr r="AW129" s="1"/>
        <tr r="AW129" s="1"/>
      </tp>
      <tp>
        <v>1139</v>
        <stp/>
        <stp>OPEN_INT</stp>
        <stp>.SPXW250507P5520</stp>
        <tr r="AT120" s="1"/>
        <tr r="AT120" s="1"/>
      </tp>
      <tp>
        <v>266</v>
        <stp/>
        <stp>OPEN_INT</stp>
        <stp>.SPXW250516P5430</stp>
        <tr r="AX129" s="1"/>
        <tr r="AX129" s="1"/>
      </tp>
      <tp>
        <v>123</v>
        <stp/>
        <stp>OPEN_INT</stp>
        <stp>.SPXW250507C5530</stp>
        <tr r="AS119" s="1"/>
        <tr r="AS119" s="1"/>
      </tp>
      <tp>
        <v>309</v>
        <stp/>
        <stp>OPEN_INT</stp>
        <stp>.SPXW250516C5420</stp>
        <tr r="AW130" s="1"/>
        <tr r="AW130" s="1"/>
      </tp>
      <tp>
        <v>787</v>
        <stp/>
        <stp>OPEN_INT</stp>
        <stp>.SPXW250507P5530</stp>
        <tr r="AT119" s="1"/>
        <tr r="AT119" s="1"/>
      </tp>
      <tp>
        <v>348</v>
        <stp/>
        <stp>OPEN_INT</stp>
        <stp>.SPXW250516P5420</stp>
        <tr r="AX130" s="1"/>
        <tr r="AX130" s="1"/>
      </tp>
      <tp>
        <v>544</v>
        <stp/>
        <stp>OPEN_INT</stp>
        <stp>.SPXW250507C5500</stp>
        <tr r="AS122" s="1"/>
        <tr r="AS122" s="1"/>
      </tp>
      <tp>
        <v>2612</v>
        <stp/>
        <stp>OPEN_INT</stp>
        <stp>.SPXW250507P5500</stp>
        <tr r="AT122" s="1"/>
        <tr r="AT122" s="1"/>
      </tp>
      <tp>
        <v>178</v>
        <stp/>
        <stp>OPEN_INT</stp>
        <stp>.SPXW250507C5510</stp>
        <tr r="AS121" s="1"/>
        <tr r="AS121" s="1"/>
      </tp>
      <tp>
        <v>1296</v>
        <stp/>
        <stp>OPEN_INT</stp>
        <stp>.SPXW250507P5510</stp>
        <tr r="AT121" s="1"/>
        <tr r="AT121" s="1"/>
      </tp>
      <tp>
        <v>1612</v>
        <stp/>
        <stp>OPEN_INT</stp>
        <stp>.SPXW250509C5500</stp>
        <tr r="AU122" s="1"/>
        <tr r="AU122" s="1"/>
      </tp>
      <tp>
        <v>4796</v>
        <stp/>
        <stp>OPEN_INT</stp>
        <stp>.SPXW250509P5500</stp>
        <tr r="AV122" s="1"/>
        <tr r="AV122" s="1"/>
      </tp>
      <tp>
        <v>358</v>
        <stp/>
        <stp>OPEN_INT</stp>
        <stp>.SPXW250509C5510</stp>
        <tr r="AU121" s="1"/>
        <tr r="AU121" s="1"/>
      </tp>
      <tp>
        <v>316</v>
        <stp/>
        <stp>OPEN_INT</stp>
        <stp>.SPXW250509P5510</stp>
        <tr r="AV121" s="1"/>
        <tr r="AV121" s="1"/>
      </tp>
      <tp>
        <v>317</v>
        <stp/>
        <stp>OPEN_INT</stp>
        <stp>.SPXW250509C5520</stp>
        <tr r="AU120" s="1"/>
        <tr r="AU120" s="1"/>
      </tp>
      <tp>
        <v>413</v>
        <stp/>
        <stp>OPEN_INT</stp>
        <stp>.SPXW250509P5520</stp>
        <tr r="AV120" s="1"/>
        <tr r="AV120" s="1"/>
      </tp>
      <tp>
        <v>136</v>
        <stp/>
        <stp>OPEN_INT</stp>
        <stp>.SPXW250509C5530</stp>
        <tr r="AU119" s="1"/>
        <tr r="AU119" s="1"/>
      </tp>
      <tp>
        <v>190</v>
        <stp/>
        <stp>OPEN_INT</stp>
        <stp>.SPXW250509P5530</stp>
        <tr r="AV119" s="1"/>
        <tr r="AV119" s="1"/>
      </tp>
      <tp>
        <v>402</v>
        <stp/>
        <stp>OPEN_INT</stp>
        <stp>.SPXW250509C5540</stp>
        <tr r="AU118" s="1"/>
        <tr r="AU118" s="1"/>
      </tp>
      <tp>
        <v>2010</v>
        <stp/>
        <stp>OPEN_INT</stp>
        <stp>.SPXW250509P5540</stp>
        <tr r="AV118" s="1"/>
        <tr r="AV118" s="1"/>
      </tp>
      <tp>
        <v>844</v>
        <stp/>
        <stp>OPEN_INT</stp>
        <stp>.SPXW250509C5550</stp>
        <tr r="AU117" s="1"/>
        <tr r="AU117" s="1"/>
      </tp>
      <tp>
        <v>1864</v>
        <stp/>
        <stp>OPEN_INT</stp>
        <stp>.SPXW250509P5550</stp>
        <tr r="AV117" s="1"/>
        <tr r="AV117" s="1"/>
      </tp>
      <tp>
        <v>184</v>
        <stp/>
        <stp>OPEN_INT</stp>
        <stp>.SPXW250507C5580</stp>
        <tr r="AS114" s="1"/>
        <tr r="AS114" s="1"/>
      </tp>
      <tp>
        <v>255</v>
        <stp/>
        <stp>OPEN_INT</stp>
        <stp>.SPXW250509C5560</stp>
        <tr r="AU116" s="1"/>
        <tr r="AU116" s="1"/>
      </tp>
      <tp>
        <v>459</v>
        <stp/>
        <stp>OPEN_INT</stp>
        <stp>.SPXW250516C5490</stp>
        <tr r="AW123" s="1"/>
        <tr r="AW123" s="1"/>
      </tp>
      <tp>
        <v>867</v>
        <stp/>
        <stp>OPEN_INT</stp>
        <stp>.SPXW250507P5580</stp>
        <tr r="AT114" s="1"/>
        <tr r="AT114" s="1"/>
      </tp>
      <tp>
        <v>261</v>
        <stp/>
        <stp>OPEN_INT</stp>
        <stp>.SPXW250509P5560</stp>
        <tr r="AV116" s="1"/>
        <tr r="AV116" s="1"/>
      </tp>
      <tp>
        <v>417</v>
        <stp/>
        <stp>OPEN_INT</stp>
        <stp>.SPXW250516P5490</stp>
        <tr r="AX123" s="1"/>
        <tr r="AX123" s="1"/>
      </tp>
      <tp>
        <v>256</v>
        <stp/>
        <stp>OPEN_INT</stp>
        <stp>.SPXW250507C5590</stp>
        <tr r="AS113" s="1"/>
        <tr r="AS113" s="1"/>
      </tp>
      <tp>
        <v>151</v>
        <stp/>
        <stp>OPEN_INT</stp>
        <stp>.SPXW250509C5570</stp>
        <tr r="AU115" s="1"/>
        <tr r="AU115" s="1"/>
      </tp>
      <tp>
        <v>183</v>
        <stp/>
        <stp>OPEN_INT</stp>
        <stp>.SPXW250516C5480</stp>
        <tr r="AW124" s="1"/>
        <tr r="AW124" s="1"/>
      </tp>
      <tp>
        <v>1157</v>
        <stp/>
        <stp>OPEN_INT</stp>
        <stp>.SPXW250507P5590</stp>
        <tr r="AT113" s="1"/>
        <tr r="AT113" s="1"/>
      </tp>
      <tp>
        <v>370</v>
        <stp/>
        <stp>OPEN_INT</stp>
        <stp>.SPXW250509P5570</stp>
        <tr r="AV115" s="1"/>
        <tr r="AV115" s="1"/>
      </tp>
      <tp>
        <v>2187</v>
        <stp/>
        <stp>OPEN_INT</stp>
        <stp>.SPXW250516P5480</stp>
        <tr r="AX124" s="1"/>
        <tr r="AX124" s="1"/>
      </tp>
      <tp>
        <v>53</v>
        <stp/>
        <stp>OPEN_INT</stp>
        <stp>.SPXW250507C5460</stp>
        <tr r="AS126" s="1"/>
        <tr r="AS126" s="1"/>
      </tp>
      <tp>
        <v>811</v>
        <stp/>
        <stp>OPEN_INT</stp>
        <stp>.SPXW250509C5480</stp>
        <tr r="AU124" s="1"/>
        <tr r="AU124" s="1"/>
      </tp>
      <tp>
        <v>219</v>
        <stp/>
        <stp>OPEN_INT</stp>
        <stp>.SPXW250516C5570</stp>
        <tr r="AW115" s="1"/>
        <tr r="AW115" s="1"/>
      </tp>
      <tp>
        <v>1750</v>
        <stp/>
        <stp>OPEN_INT</stp>
        <stp>.SPXW250507P5460</stp>
        <tr r="AT126" s="1"/>
        <tr r="AT126" s="1"/>
      </tp>
      <tp>
        <v>676</v>
        <stp/>
        <stp>OPEN_INT</stp>
        <stp>.SPXW250509P5480</stp>
        <tr r="AV124" s="1"/>
        <tr r="AV124" s="1"/>
      </tp>
      <tp>
        <v>1306</v>
        <stp/>
        <stp>OPEN_INT</stp>
        <stp>.SPXW250516P5570</stp>
        <tr r="AX115" s="1"/>
        <tr r="AX115" s="1"/>
      </tp>
      <tp>
        <v>115</v>
        <stp/>
        <stp>OPEN_INT</stp>
        <stp>.SPXW250507C5470</stp>
        <tr r="AS125" s="1"/>
        <tr r="AS125" s="1"/>
      </tp>
      <tp>
        <v>221</v>
        <stp/>
        <stp>OPEN_INT</stp>
        <stp>.SPXW250509C5490</stp>
        <tr r="AU123" s="1"/>
        <tr r="AU123" s="1"/>
      </tp>
      <tp>
        <v>212</v>
        <stp/>
        <stp>OPEN_INT</stp>
        <stp>.SPXW250516C5560</stp>
        <tr r="AW116" s="1"/>
        <tr r="AW116" s="1"/>
      </tp>
      <tp>
        <v>697</v>
        <stp/>
        <stp>OPEN_INT</stp>
        <stp>.SPXW250507P5470</stp>
        <tr r="AT125" s="1"/>
        <tr r="AT125" s="1"/>
      </tp>
      <tp>
        <v>435</v>
        <stp/>
        <stp>OPEN_INT</stp>
        <stp>.SPXW250509P5490</stp>
        <tr r="AV123" s="1"/>
        <tr r="AV123" s="1"/>
      </tp>
      <tp>
        <v>397</v>
        <stp/>
        <stp>OPEN_INT</stp>
        <stp>.SPXW250516P5560</stp>
        <tr r="AX116" s="1"/>
        <tr r="AX116" s="1"/>
      </tp>
      <tp>
        <v>83</v>
        <stp/>
        <stp>OPEN_INT</stp>
        <stp>.SPXW250507C5440</stp>
        <tr r="AS128" s="1"/>
        <tr r="AS128" s="1"/>
      </tp>
      <tp>
        <v>756</v>
        <stp/>
        <stp>OPEN_INT</stp>
        <stp>.SPXW250516C5550</stp>
        <tr r="AW117" s="1"/>
        <tr r="AW117" s="1"/>
      </tp>
      <tp>
        <v>1109</v>
        <stp/>
        <stp>OPEN_INT</stp>
        <stp>.SPXW250507P5440</stp>
        <tr r="AT128" s="1"/>
        <tr r="AT128" s="1"/>
      </tp>
      <tp>
        <v>464</v>
        <stp/>
        <stp>OPEN_INT</stp>
        <stp>.SPXW250516P5550</stp>
        <tr r="AX117" s="1"/>
        <tr r="AX117" s="1"/>
      </tp>
      <tp>
        <v>207</v>
        <stp/>
        <stp>OPEN_INT</stp>
        <stp>.SPXW250507C5450</stp>
        <tr r="AS127" s="1"/>
        <tr r="AS127" s="1"/>
      </tp>
      <tp>
        <v>505</v>
        <stp/>
        <stp>OPEN_INT</stp>
        <stp>.SPXW250516C5540</stp>
        <tr r="AW118" s="1"/>
        <tr r="AW118" s="1"/>
      </tp>
      <tp>
        <v>4927</v>
        <stp/>
        <stp>OPEN_INT</stp>
        <stp>.SPXW250507P5450</stp>
        <tr r="AT127" s="1"/>
        <tr r="AT127" s="1"/>
      </tp>
      <tp>
        <v>263</v>
        <stp/>
        <stp>OPEN_INT</stp>
        <stp>.SPXW250516P5540</stp>
        <tr r="AX118" s="1"/>
        <tr r="AX118" s="1"/>
      </tp>
      <tp>
        <v>184</v>
        <stp/>
        <stp>OPEN_INT</stp>
        <stp>.SPXW250507C5420</stp>
        <tr r="AS130" s="1"/>
        <tr r="AS130" s="1"/>
      </tp>
      <tp>
        <v>141</v>
        <stp/>
        <stp>OPEN_INT</stp>
        <stp>.SPXW250516C5530</stp>
        <tr r="AW119" s="1"/>
        <tr r="AW119" s="1"/>
      </tp>
      <tp>
        <v>543</v>
        <stp/>
        <stp>OPEN_INT</stp>
        <stp>.SPXW250507P5420</stp>
        <tr r="AT130" s="1"/>
        <tr r="AT130" s="1"/>
      </tp>
      <tp>
        <v>1019</v>
        <stp/>
        <stp>OPEN_INT</stp>
        <stp>.SPXW250516P5530</stp>
        <tr r="AX119" s="1"/>
        <tr r="AX119" s="1"/>
      </tp>
      <tp>
        <v>285</v>
        <stp/>
        <stp>OPEN_INT</stp>
        <stp>.SPXW250507C5430</stp>
        <tr r="AS129" s="1"/>
        <tr r="AS129" s="1"/>
      </tp>
      <tp>
        <v>137</v>
        <stp/>
        <stp>OPEN_INT</stp>
        <stp>.SPXW250516C5520</stp>
        <tr r="AW120" s="1"/>
        <tr r="AW120" s="1"/>
      </tp>
      <tp>
        <v>1488</v>
        <stp/>
        <stp>OPEN_INT</stp>
        <stp>.SPXW250507P5430</stp>
        <tr r="AT129" s="1"/>
        <tr r="AT129" s="1"/>
      </tp>
      <tp>
        <v>351</v>
        <stp/>
        <stp>OPEN_INT</stp>
        <stp>.SPXW250516P5520</stp>
        <tr r="AX120" s="1"/>
        <tr r="AX120" s="1"/>
      </tp>
      <tp>
        <v>457</v>
        <stp/>
        <stp>OPEN_INT</stp>
        <stp>.SPXW250516C5510</stp>
        <tr r="AW121" s="1"/>
        <tr r="AW121" s="1"/>
      </tp>
      <tp>
        <v>183</v>
        <stp/>
        <stp>OPEN_INT</stp>
        <stp>.SPXW250516P5510</stp>
        <tr r="AX121" s="1"/>
        <tr r="AX121" s="1"/>
      </tp>
      <tp>
        <v>1042</v>
        <stp/>
        <stp>OPEN_INT</stp>
        <stp>.SPXW250516C5500</stp>
        <tr r="AW122" s="1"/>
        <tr r="AW122" s="1"/>
      </tp>
      <tp>
        <v>2651</v>
        <stp/>
        <stp>OPEN_INT</stp>
        <stp>.SPXW250516P5500</stp>
        <tr r="AX122" s="1"/>
        <tr r="AX122" s="1"/>
      </tp>
      <tp>
        <v>154</v>
        <stp/>
        <stp>OPEN_INT</stp>
        <stp>.SPXW250509C5420</stp>
        <tr r="AU130" s="1"/>
        <tr r="AU130" s="1"/>
      </tp>
      <tp>
        <v>580</v>
        <stp/>
        <stp>OPEN_INT</stp>
        <stp>.SPXW250509P5420</stp>
        <tr r="AV130" s="1"/>
        <tr r="AV130" s="1"/>
      </tp>
      <tp>
        <v>1118</v>
        <stp/>
        <stp>OPEN_INT</stp>
        <stp>.SPXW250509C5430</stp>
        <tr r="AU129" s="1"/>
        <tr r="AU129" s="1"/>
      </tp>
      <tp>
        <v>386</v>
        <stp/>
        <stp>OPEN_INT</stp>
        <stp>.SPXW250509P5430</stp>
        <tr r="AV129" s="1"/>
        <tr r="AV129" s="1"/>
      </tp>
      <tp>
        <v>299</v>
        <stp/>
        <stp>OPEN_INT</stp>
        <stp>.SPXW250509C5440</stp>
        <tr r="AU128" s="1"/>
        <tr r="AU128" s="1"/>
      </tp>
      <tp>
        <v>422</v>
        <stp/>
        <stp>OPEN_INT</stp>
        <stp>.SPXW250509P5440</stp>
        <tr r="AV128" s="1"/>
        <tr r="AV128" s="1"/>
      </tp>
      <tp>
        <v>997</v>
        <stp/>
        <stp>OPEN_INT</stp>
        <stp>.SPXW250509C5450</stp>
        <tr r="AU127" s="1"/>
        <tr r="AU127" s="1"/>
      </tp>
      <tp>
        <v>3432</v>
        <stp/>
        <stp>OPEN_INT</stp>
        <stp>.SPXW250509P5450</stp>
        <tr r="AV127" s="1"/>
        <tr r="AV127" s="1"/>
      </tp>
      <tp>
        <v>60</v>
        <stp/>
        <stp>OPEN_INT</stp>
        <stp>.SPXW250507C5480</stp>
        <tr r="AS124" s="1"/>
        <tr r="AS124" s="1"/>
      </tp>
      <tp>
        <v>308</v>
        <stp/>
        <stp>OPEN_INT</stp>
        <stp>.SPXW250509C5460</stp>
        <tr r="AU126" s="1"/>
        <tr r="AU126" s="1"/>
      </tp>
      <tp>
        <v>338</v>
        <stp/>
        <stp>OPEN_INT</stp>
        <stp>.SPXW250516C5590</stp>
        <tr r="AW113" s="1"/>
        <tr r="AW113" s="1"/>
      </tp>
      <tp>
        <v>763</v>
        <stp/>
        <stp>OPEN_INT</stp>
        <stp>.SPXW250507P5480</stp>
        <tr r="AT124" s="1"/>
        <tr r="AT124" s="1"/>
      </tp>
      <tp>
        <v>1027</v>
        <stp/>
        <stp>OPEN_INT</stp>
        <stp>.SPXW250509P5460</stp>
        <tr r="AV126" s="1"/>
        <tr r="AV126" s="1"/>
      </tp>
      <tp>
        <v>605</v>
        <stp/>
        <stp>OPEN_INT</stp>
        <stp>.SPXW250516P5590</stp>
        <tr r="AX113" s="1"/>
        <tr r="AX113" s="1"/>
      </tp>
      <tp>
        <v>85</v>
        <stp/>
        <stp>OPEN_INT</stp>
        <stp>.SPXW250507C5490</stp>
        <tr r="AS123" s="1"/>
        <tr r="AS123" s="1"/>
      </tp>
      <tp>
        <v>132</v>
        <stp/>
        <stp>OPEN_INT</stp>
        <stp>.SPXW250509C5470</stp>
        <tr r="AU125" s="1"/>
        <tr r="AU125" s="1"/>
      </tp>
      <tp>
        <v>314</v>
        <stp/>
        <stp>OPEN_INT</stp>
        <stp>.SPXW250516C5580</stp>
        <tr r="AW114" s="1"/>
        <tr r="AW114" s="1"/>
      </tp>
      <tp>
        <v>517</v>
        <stp/>
        <stp>OPEN_INT</stp>
        <stp>.SPXW250507P5490</stp>
        <tr r="AT123" s="1"/>
        <tr r="AT123" s="1"/>
      </tp>
      <tp>
        <v>413</v>
        <stp/>
        <stp>OPEN_INT</stp>
        <stp>.SPXW250509P5470</stp>
        <tr r="AV125" s="1"/>
        <tr r="AV125" s="1"/>
      </tp>
      <tp>
        <v>424</v>
        <stp/>
        <stp>OPEN_INT</stp>
        <stp>.SPXW250516P5580</stp>
        <tr r="AX114" s="1"/>
        <tr r="AX114" s="1"/>
      </tp>
      <tp t="s">
        <v>28.52%</v>
        <stp/>
        <stp>IMPL_VOL</stp>
        <stp>.NDX250516C19300</stp>
        <tr r="EP183" s="1"/>
      </tp>
      <tp t="s">
        <v>22.96%</v>
        <stp/>
        <stp>IMPL_VOL</stp>
        <stp>.NDX250516C20300</stp>
        <tr r="EP143" s="1"/>
      </tp>
      <tp t="s">
        <v>28.37%</v>
        <stp/>
        <stp>IMPL_VOL</stp>
        <stp>.NDX250516C19325</stp>
        <tr r="EP182" s="1"/>
      </tp>
      <tp t="s">
        <v>22.86%</v>
        <stp/>
        <stp>IMPL_VOL</stp>
        <stp>.NDX250516C20325</stp>
        <tr r="EP142" s="1"/>
      </tp>
      <tp t="s">
        <v>28.23%</v>
        <stp/>
        <stp>IMPL_VOL</stp>
        <stp>.NDX250516C19350</stp>
        <tr r="EP181" s="1"/>
      </tp>
      <tp t="s">
        <v>22.74%</v>
        <stp/>
        <stp>IMPL_VOL</stp>
        <stp>.NDX250516C20350</stp>
        <tr r="EP141" s="1"/>
      </tp>
      <tp t="s">
        <v>28.07%</v>
        <stp/>
        <stp>IMPL_VOL</stp>
        <stp>.NDX250516C19375</stp>
        <tr r="EP180" s="1"/>
      </tp>
      <tp t="s">
        <v>22.64%</v>
        <stp/>
        <stp>IMPL_VOL</stp>
        <stp>.NDX250516C20375</stp>
        <tr r="EP140" s="1"/>
      </tp>
      <tp t="s">
        <v>26.57%</v>
        <stp/>
        <stp>IMPL_VOL</stp>
        <stp>.NDX250516P19325</stp>
        <tr r="EQ182" s="1"/>
      </tp>
      <tp t="s">
        <v>21.39%</v>
        <stp/>
        <stp>IMPL_VOL</stp>
        <stp>.NDX250516P20325</stp>
        <tr r="EQ142" s="1"/>
      </tp>
      <tp t="s">
        <v>26.70%</v>
        <stp/>
        <stp>IMPL_VOL</stp>
        <stp>.NDX250516P19300</stp>
        <tr r="EQ183" s="1"/>
      </tp>
      <tp t="s">
        <v>21.70%</v>
        <stp/>
        <stp>IMPL_VOL</stp>
        <stp>.NDX250516P20300</stp>
        <tr r="EQ143" s="1"/>
      </tp>
      <tp t="s">
        <v>26.37%</v>
        <stp/>
        <stp>IMPL_VOL</stp>
        <stp>.NDX250516P19375</stp>
        <tr r="EQ180" s="1"/>
      </tp>
      <tp t="s">
        <v>21.28%</v>
        <stp/>
        <stp>IMPL_VOL</stp>
        <stp>.NDX250516P20375</stp>
        <tr r="EQ140" s="1"/>
      </tp>
      <tp t="s">
        <v>26.47%</v>
        <stp/>
        <stp>IMPL_VOL</stp>
        <stp>.NDX250516P19350</stp>
        <tr r="EQ181" s="1"/>
      </tp>
      <tp t="s">
        <v>21.39%</v>
        <stp/>
        <stp>IMPL_VOL</stp>
        <stp>.NDX250516P20350</stp>
        <tr r="EQ141" s="1"/>
      </tp>
      <tp t="s">
        <v>28.89%</v>
        <stp/>
        <stp>IMPL_VOL</stp>
        <stp>.NDX250516C19200</stp>
        <tr r="EP187" s="1"/>
      </tp>
      <tp t="s">
        <v>23.42%</v>
        <stp/>
        <stp>IMPL_VOL</stp>
        <stp>.NDX250516C20200</stp>
        <tr r="EP147" s="1"/>
      </tp>
      <tp t="s">
        <v>28.85%</v>
        <stp/>
        <stp>IMPL_VOL</stp>
        <stp>.NDX250516C19225</stp>
        <tr r="EP186" s="1"/>
      </tp>
      <tp t="s">
        <v>23.30%</v>
        <stp/>
        <stp>IMPL_VOL</stp>
        <stp>.NDX250516C20225</stp>
        <tr r="EP146" s="1"/>
      </tp>
      <tp t="s">
        <v>28.68%</v>
        <stp/>
        <stp>IMPL_VOL</stp>
        <stp>.NDX250516C19250</stp>
        <tr r="EP185" s="1"/>
      </tp>
      <tp t="s">
        <v>23.18%</v>
        <stp/>
        <stp>IMPL_VOL</stp>
        <stp>.NDX250516C20250</stp>
        <tr r="EP145" s="1"/>
      </tp>
      <tp t="s">
        <v>28.62%</v>
        <stp/>
        <stp>IMPL_VOL</stp>
        <stp>.NDX250516C19275</stp>
        <tr r="EP184" s="1"/>
      </tp>
      <tp t="s">
        <v>23.07%</v>
        <stp/>
        <stp>IMPL_VOL</stp>
        <stp>.NDX250516C20275</stp>
        <tr r="EP144" s="1"/>
      </tp>
      <tp t="s">
        <v>27.07%</v>
        <stp/>
        <stp>IMPL_VOL</stp>
        <stp>.NDX250516P19225</stp>
        <tr r="EQ186" s="1"/>
      </tp>
      <tp t="s">
        <v>21.53%</v>
        <stp/>
        <stp>IMPL_VOL</stp>
        <stp>.NDX250516P20225</stp>
        <tr r="EQ146" s="1"/>
      </tp>
      <tp t="s">
        <v>27.18%</v>
        <stp/>
        <stp>IMPL_VOL</stp>
        <stp>.NDX250516P19200</stp>
        <tr r="EQ187" s="1"/>
      </tp>
      <tp t="s">
        <v>21.74%</v>
        <stp/>
        <stp>IMPL_VOL</stp>
        <stp>.NDX250516P20200</stp>
        <tr r="EQ147" s="1"/>
      </tp>
      <tp t="s">
        <v>26.82%</v>
        <stp/>
        <stp>IMPL_VOL</stp>
        <stp>.NDX250516P19275</stp>
        <tr r="EQ184" s="1"/>
      </tp>
      <tp t="s">
        <v>21.82%</v>
        <stp/>
        <stp>IMPL_VOL</stp>
        <stp>.NDX250516P20275</stp>
        <tr r="EQ144" s="1"/>
      </tp>
      <tp t="s">
        <v>26.99%</v>
        <stp/>
        <stp>IMPL_VOL</stp>
        <stp>.NDX250516P19250</stp>
        <tr r="EQ185" s="1"/>
      </tp>
      <tp t="s">
        <v>21.38%</v>
        <stp/>
        <stp>IMPL_VOL</stp>
        <stp>.NDX250516P20250</stp>
        <tr r="EQ145" s="1"/>
      </tp>
      <tp t="s">
        <v>23.94%</v>
        <stp/>
        <stp>IMPL_VOL</stp>
        <stp>.NDX250516C20100</stp>
        <tr r="EP151" s="1"/>
      </tp>
      <tp t="s">
        <v>23.80%</v>
        <stp/>
        <stp>IMPL_VOL</stp>
        <stp>.NDX250516C20125</stp>
        <tr r="EP150" s="1"/>
      </tp>
      <tp t="s">
        <v>28.97%</v>
        <stp/>
        <stp>IMPL_VOL</stp>
        <stp>.NDX250516C19150</stp>
        <tr r="EP189" s="1"/>
      </tp>
      <tp t="s">
        <v>23.67%</v>
        <stp/>
        <stp>IMPL_VOL</stp>
        <stp>.NDX250516C20150</stp>
        <tr r="EP149" s="1"/>
      </tp>
      <tp t="s">
        <v>29.06%</v>
        <stp/>
        <stp>IMPL_VOL</stp>
        <stp>.NDX250516C19175</stp>
        <tr r="EP188" s="1"/>
      </tp>
      <tp t="s">
        <v>23.56%</v>
        <stp/>
        <stp>IMPL_VOL</stp>
        <stp>.NDX250516C20175</stp>
        <tr r="EP148" s="1"/>
      </tp>
      <tp t="s">
        <v>22.12%</v>
        <stp/>
        <stp>IMPL_VOL</stp>
        <stp>.NDX250516P20125</stp>
        <tr r="EQ150" s="1"/>
      </tp>
      <tp t="s">
        <v>22.38%</v>
        <stp/>
        <stp>IMPL_VOL</stp>
        <stp>.NDX250516P20100</stp>
        <tr r="EQ151" s="1"/>
      </tp>
      <tp t="s">
        <v>27.33%</v>
        <stp/>
        <stp>IMPL_VOL</stp>
        <stp>.NDX250516P19175</stp>
        <tr r="EQ188" s="1"/>
      </tp>
      <tp t="s">
        <v>21.83%</v>
        <stp/>
        <stp>IMPL_VOL</stp>
        <stp>.NDX250516P20175</stp>
        <tr r="EQ148" s="1"/>
      </tp>
      <tp t="s">
        <v>27.43%</v>
        <stp/>
        <stp>IMPL_VOL</stp>
        <stp>.NDX250516P19150</stp>
        <tr r="EQ189" s="1"/>
      </tp>
      <tp t="s">
        <v>22.07%</v>
        <stp/>
        <stp>IMPL_VOL</stp>
        <stp>.NDX250516P20150</stp>
        <tr r="EQ149" s="1"/>
      </tp>
      <tp>
        <v>217</v>
        <stp/>
        <stp>OPEN_INT</stp>
        <stp>.SPXW250516C5870</stp>
        <tr r="AW85" s="1"/>
        <tr r="AW85" s="1"/>
      </tp>
      <tp>
        <v>158</v>
        <stp/>
        <stp>OPEN_INT</stp>
        <stp>.SPXW250516P5870</stp>
        <tr r="AX85" s="1"/>
        <tr r="AX85" s="1"/>
      </tp>
      <tp>
        <v>889</v>
        <stp/>
        <stp>OPEN_INT</stp>
        <stp>.SPXW250516C5860</stp>
        <tr r="AW86" s="1"/>
        <tr r="AW86" s="1"/>
      </tp>
      <tp>
        <v>283</v>
        <stp/>
        <stp>OPEN_INT</stp>
        <stp>.SPXW250516P5860</stp>
        <tr r="AX86" s="1"/>
        <tr r="AX86" s="1"/>
      </tp>
      <tp>
        <v>1729</v>
        <stp/>
        <stp>OPEN_INT</stp>
        <stp>.SPXW250516C5850</stp>
        <tr r="AW87" s="1"/>
        <tr r="AW87" s="1"/>
      </tp>
      <tp>
        <v>895</v>
        <stp/>
        <stp>OPEN_INT</stp>
        <stp>.SPXW250516P5850</stp>
        <tr r="AX87" s="1"/>
        <tr r="AX87" s="1"/>
      </tp>
      <tp>
        <v>350</v>
        <stp/>
        <stp>OPEN_INT</stp>
        <stp>.SPXW250516C5840</stp>
        <tr r="AW88" s="1"/>
        <tr r="AW88" s="1"/>
      </tp>
      <tp>
        <v>136</v>
        <stp/>
        <stp>OPEN_INT</stp>
        <stp>.SPXW250516P5840</stp>
        <tr r="AX88" s="1"/>
        <tr r="AX88" s="1"/>
      </tp>
      <tp>
        <v>270</v>
        <stp/>
        <stp>OPEN_INT</stp>
        <stp>.SPXW250516C5830</stp>
        <tr r="AW89" s="1"/>
        <tr r="AW89" s="1"/>
      </tp>
      <tp>
        <v>103</v>
        <stp/>
        <stp>OPEN_INT</stp>
        <stp>.SPXW250516P5830</stp>
        <tr r="AX89" s="1"/>
        <tr r="AX89" s="1"/>
      </tp>
      <tp>
        <v>629</v>
        <stp/>
        <stp>OPEN_INT</stp>
        <stp>.SPXW250516C5820</stp>
        <tr r="AW90" s="1"/>
        <tr r="AW90" s="1"/>
      </tp>
      <tp>
        <v>213</v>
        <stp/>
        <stp>OPEN_INT</stp>
        <stp>.SPXW250516P5820</stp>
        <tr r="AX90" s="1"/>
        <tr r="AX90" s="1"/>
      </tp>
      <tp>
        <v>345</v>
        <stp/>
        <stp>OPEN_INT</stp>
        <stp>.SPXW250516C5810</stp>
        <tr r="AW91" s="1"/>
        <tr r="AW91" s="1"/>
      </tp>
      <tp>
        <v>667</v>
        <stp/>
        <stp>OPEN_INT</stp>
        <stp>.SPXW250516P5810</stp>
        <tr r="AX91" s="1"/>
        <tr r="AX91" s="1"/>
      </tp>
      <tp>
        <v>22309</v>
        <stp/>
        <stp>OPEN_INT</stp>
        <stp>.SPXW250516C5800</stp>
        <tr r="AW92" s="1"/>
        <tr r="AW92" s="1"/>
      </tp>
      <tp>
        <v>7487</v>
        <stp/>
        <stp>OPEN_INT</stp>
        <stp>.SPXW250516P5800</stp>
        <tr r="AX92" s="1"/>
        <tr r="AX92" s="1"/>
      </tp>
      <tp t="s">
        <v>24.49%</v>
        <stp/>
        <stp>IMPL_VOL</stp>
        <stp>.NDX250516C20000</stp>
        <tr r="EP155" s="1"/>
      </tp>
      <tp t="s">
        <v>24.33%</v>
        <stp/>
        <stp>IMPL_VOL</stp>
        <stp>.NDX250516C20025</stp>
        <tr r="EP154" s="1"/>
      </tp>
      <tp t="s">
        <v>24.20%</v>
        <stp/>
        <stp>IMPL_VOL</stp>
        <stp>.NDX250516C20050</stp>
        <tr r="EP153" s="1"/>
      </tp>
      <tp t="s">
        <v>24.07%</v>
        <stp/>
        <stp>IMPL_VOL</stp>
        <stp>.NDX250516C20075</stp>
        <tr r="EP152" s="1"/>
      </tp>
      <tp t="s">
        <v>22.86%</v>
        <stp/>
        <stp>IMPL_VOL</stp>
        <stp>.NDX250516P20025</stp>
        <tr r="EQ154" s="1"/>
      </tp>
      <tp t="s">
        <v>23.01%</v>
        <stp/>
        <stp>IMPL_VOL</stp>
        <stp>.NDX250516P20000</stp>
        <tr r="EQ155" s="1"/>
      </tp>
      <tp t="s">
        <v>22.54%</v>
        <stp/>
        <stp>IMPL_VOL</stp>
        <stp>.NDX250516P20075</stp>
        <tr r="EQ152" s="1"/>
      </tp>
      <tp t="s">
        <v>22.72%</v>
        <stp/>
        <stp>IMPL_VOL</stp>
        <stp>.NDX250516P20050</stp>
        <tr r="EQ153" s="1"/>
      </tp>
      <tp>
        <v>156</v>
        <stp/>
        <stp>OPEN_INT</stp>
        <stp>.SPXW250507C5860</stp>
        <tr r="AS86" s="1"/>
        <tr r="AS86" s="1"/>
      </tp>
      <tp>
        <v>0</v>
        <stp/>
        <stp>OPEN_INT</stp>
        <stp>.SPXW250507P5860</stp>
        <tr r="AT86" s="1"/>
        <tr r="AT86" s="1"/>
      </tp>
      <tp>
        <v>99</v>
        <stp/>
        <stp>OPEN_INT</stp>
        <stp>.SPXW250507C5870</stp>
        <tr r="AS85" s="1"/>
        <tr r="AS85" s="1"/>
      </tp>
      <tp>
        <v>5</v>
        <stp/>
        <stp>OPEN_INT</stp>
        <stp>.SPXW250507P5870</stp>
        <tr r="AT85" s="1"/>
        <tr r="AT85" s="1"/>
      </tp>
      <tp>
        <v>92</v>
        <stp/>
        <stp>OPEN_INT</stp>
        <stp>.SPXW250507C5840</stp>
        <tr r="AS88" s="1"/>
        <tr r="AS88" s="1"/>
      </tp>
      <tp>
        <v>2</v>
        <stp/>
        <stp>OPEN_INT</stp>
        <stp>.SPXW250507P5840</stp>
        <tr r="AT88" s="1"/>
        <tr r="AT88" s="1"/>
      </tp>
      <tp>
        <v>1521</v>
        <stp/>
        <stp>OPEN_INT</stp>
        <stp>.SPXW250507C5850</stp>
        <tr r="AS87" s="1"/>
        <tr r="AS87" s="1"/>
      </tp>
      <tp>
        <v>154</v>
        <stp/>
        <stp>OPEN_INT</stp>
        <stp>.SPXW250507P5850</stp>
        <tr r="AT87" s="1"/>
        <tr r="AT87" s="1"/>
      </tp>
      <tp>
        <v>594</v>
        <stp/>
        <stp>OPEN_INT</stp>
        <stp>.SPXW250507C5820</stp>
        <tr r="AS90" s="1"/>
        <tr r="AS90" s="1"/>
      </tp>
      <tp>
        <v>1</v>
        <stp/>
        <stp>OPEN_INT</stp>
        <stp>.SPXW250507P5820</stp>
        <tr r="AT90" s="1"/>
        <tr r="AT90" s="1"/>
      </tp>
      <tp>
        <v>142</v>
        <stp/>
        <stp>OPEN_INT</stp>
        <stp>.SPXW250507C5830</stp>
        <tr r="AS89" s="1"/>
        <tr r="AS89" s="1"/>
      </tp>
      <tp>
        <v>6</v>
        <stp/>
        <stp>OPEN_INT</stp>
        <stp>.SPXW250507P5830</stp>
        <tr r="AT89" s="1"/>
        <tr r="AT89" s="1"/>
      </tp>
      <tp>
        <v>2037</v>
        <stp/>
        <stp>OPEN_INT</stp>
        <stp>.SPXW250507C5800</stp>
        <tr r="AS92" s="1"/>
        <tr r="AS92" s="1"/>
      </tp>
      <tp>
        <v>43</v>
        <stp/>
        <stp>OPEN_INT</stp>
        <stp>.SPXW250507P5800</stp>
        <tr r="AT92" s="1"/>
        <tr r="AT92" s="1"/>
      </tp>
      <tp>
        <v>588</v>
        <stp/>
        <stp>OPEN_INT</stp>
        <stp>.SPXW250507C5810</stp>
        <tr r="AS91" s="1"/>
        <tr r="AS91" s="1"/>
      </tp>
      <tp>
        <v>35</v>
        <stp/>
        <stp>OPEN_INT</stp>
        <stp>.SPXW250507P5810</stp>
        <tr r="AT91" s="1"/>
        <tr r="AT91" s="1"/>
      </tp>
      <tp>
        <v>5790</v>
        <stp/>
        <stp>OPEN_INT</stp>
        <stp>.SPXW250509C5800</stp>
        <tr r="AU92" s="1"/>
        <tr r="AU92" s="1"/>
      </tp>
      <tp>
        <v>40</v>
        <stp/>
        <stp>OPEN_INT</stp>
        <stp>.SPXW250509P5800</stp>
        <tr r="AV92" s="1"/>
        <tr r="AV92" s="1"/>
      </tp>
      <tp>
        <v>525</v>
        <stp/>
        <stp>OPEN_INT</stp>
        <stp>.SPXW250509C5810</stp>
        <tr r="AU91" s="1"/>
        <tr r="AU91" s="1"/>
      </tp>
      <tp>
        <v>60</v>
        <stp/>
        <stp>OPEN_INT</stp>
        <stp>.SPXW250509P5810</stp>
        <tr r="AV91" s="1"/>
        <tr r="AV91" s="1"/>
      </tp>
      <tp>
        <v>755</v>
        <stp/>
        <stp>OPEN_INT</stp>
        <stp>.SPXW250509C5820</stp>
        <tr r="AU90" s="1"/>
        <tr r="AU90" s="1"/>
      </tp>
      <tp>
        <v>14</v>
        <stp/>
        <stp>OPEN_INT</stp>
        <stp>.SPXW250509P5820</stp>
        <tr r="AV90" s="1"/>
        <tr r="AV90" s="1"/>
      </tp>
      <tp>
        <v>1283</v>
        <stp/>
        <stp>OPEN_INT</stp>
        <stp>.SPXW250509C5830</stp>
        <tr r="AU89" s="1"/>
        <tr r="AU89" s="1"/>
      </tp>
      <tp>
        <v>109</v>
        <stp/>
        <stp>OPEN_INT</stp>
        <stp>.SPXW250509P5830</stp>
        <tr r="AV89" s="1"/>
        <tr r="AV89" s="1"/>
      </tp>
      <tp>
        <v>718</v>
        <stp/>
        <stp>OPEN_INT</stp>
        <stp>.SPXW250509C5840</stp>
        <tr r="AU88" s="1"/>
        <tr r="AU88" s="1"/>
      </tp>
      <tp>
        <v>10</v>
        <stp/>
        <stp>OPEN_INT</stp>
        <stp>.SPXW250509P5840</stp>
        <tr r="AV88" s="1"/>
        <tr r="AV88" s="1"/>
      </tp>
      <tp>
        <v>8239</v>
        <stp/>
        <stp>OPEN_INT</stp>
        <stp>.SPXW250509C5850</stp>
        <tr r="AU87" s="1"/>
        <tr r="AU87" s="1"/>
      </tp>
      <tp>
        <v>60</v>
        <stp/>
        <stp>OPEN_INT</stp>
        <stp>.SPXW250509P5850</stp>
        <tr r="AV87" s="1"/>
        <tr r="AV87" s="1"/>
      </tp>
      <tp>
        <v>277</v>
        <stp/>
        <stp>OPEN_INT</stp>
        <stp>.SPXW250509C5860</stp>
        <tr r="AU86" s="1"/>
        <tr r="AU86" s="1"/>
      </tp>
      <tp>
        <v>3</v>
        <stp/>
        <stp>OPEN_INT</stp>
        <stp>.SPXW250509P5860</stp>
        <tr r="AV86" s="1"/>
        <tr r="AV86" s="1"/>
      </tp>
      <tp>
        <v>399</v>
        <stp/>
        <stp>OPEN_INT</stp>
        <stp>.SPXW250509C5870</stp>
        <tr r="AU85" s="1"/>
        <tr r="AU85" s="1"/>
      </tp>
      <tp>
        <v>1</v>
        <stp/>
        <stp>OPEN_INT</stp>
        <stp>.SPXW250509P5870</stp>
        <tr r="AV85" s="1"/>
        <tr r="AV85" s="1"/>
      </tp>
      <tp t="s">
        <v>26.15%</v>
        <stp/>
        <stp>IMPL_VOL</stp>
        <stp>.NDX250516C19700</stp>
        <tr r="EP167" s="1"/>
      </tp>
      <tp t="s">
        <v>26.01%</v>
        <stp/>
        <stp>IMPL_VOL</stp>
        <stp>.NDX250516C19725</stp>
        <tr r="EP166" s="1"/>
      </tp>
      <tp t="s">
        <v>25.88%</v>
        <stp/>
        <stp>IMPL_VOL</stp>
        <stp>.NDX250516C19750</stp>
        <tr r="EP165" s="1"/>
      </tp>
      <tp t="s">
        <v>25.74%</v>
        <stp/>
        <stp>IMPL_VOL</stp>
        <stp>.NDX250516C19775</stp>
        <tr r="EP164" s="1"/>
      </tp>
      <tp t="s">
        <v>24.60%</v>
        <stp/>
        <stp>IMPL_VOL</stp>
        <stp>.NDX250516P19725</stp>
        <tr r="EQ166" s="1"/>
      </tp>
      <tp t="s">
        <v>24.74%</v>
        <stp/>
        <stp>IMPL_VOL</stp>
        <stp>.NDX250516P19700</stp>
        <tr r="EQ167" s="1"/>
      </tp>
      <tp t="s">
        <v>24.33%</v>
        <stp/>
        <stp>IMPL_VOL</stp>
        <stp>.NDX250516P19775</stp>
        <tr r="EQ164" s="1"/>
      </tp>
      <tp t="s">
        <v>24.46%</v>
        <stp/>
        <stp>IMPL_VOL</stp>
        <stp>.NDX250516P19750</stp>
        <tr r="EQ165" s="1"/>
      </tp>
      <tp t="s">
        <v>N/A</v>
        <stp/>
        <stp>VOLUME</stp>
        <stp>.SPX250620C5760</stp>
        <tr r="K97" s="2"/>
      </tp>
      <tp t="s">
        <v>N/A</v>
        <stp/>
        <stp>VOLUME</stp>
        <stp>.SPX250523C5750</stp>
        <tr r="H98" s="2"/>
      </tp>
      <tp t="s">
        <v>N/A</v>
        <stp/>
        <stp>VOLUME</stp>
        <stp>.SPX250815C5430</stp>
        <tr r="O130" s="2"/>
      </tp>
      <tp t="s">
        <v>N/A</v>
        <stp/>
        <stp>VOLUME</stp>
        <stp>.SPX251121C5770</stp>
        <tr r="U96" s="2"/>
      </tp>
      <tp t="s">
        <v>N/A</v>
        <stp/>
        <stp>VOLUME</stp>
        <stp>.SPX251121P5770</stp>
        <tr r="U96" s="2"/>
      </tp>
      <tp t="s">
        <v>N/A</v>
        <stp/>
        <stp>VOLUME</stp>
        <stp>.SPX250620P5760</stp>
        <tr r="K97" s="2"/>
      </tp>
      <tp t="s">
        <v>N/A</v>
        <stp/>
        <stp>VOLUME</stp>
        <stp>.SPX250523P5750</stp>
        <tr r="H98" s="2"/>
      </tp>
      <tp t="s">
        <v>N/A</v>
        <stp/>
        <stp>VOLUME</stp>
        <stp>.SPX250815P5430</stp>
        <tr r="O130" s="2"/>
      </tp>
      <tp t="s">
        <v>N/A</v>
        <stp/>
        <stp>VOLUME</stp>
        <stp>.SPX250620C5770</stp>
        <tr r="K96" s="2"/>
      </tp>
      <tp t="s">
        <v>N/A</v>
        <stp/>
        <stp>VOLUME</stp>
        <stp>.SPX250523C5740</stp>
        <tr r="H99" s="2"/>
      </tp>
      <tp t="s">
        <v>N/A</v>
        <stp/>
        <stp>VOLUME</stp>
        <stp>.SPX250815C5420</stp>
        <tr r="O131" s="2"/>
      </tp>
      <tp t="s">
        <v>N/A</v>
        <stp/>
        <stp>VOLUME</stp>
        <stp>.SPX251121C5760</stp>
        <tr r="U97" s="2"/>
      </tp>
      <tp t="s">
        <v>N/A</v>
        <stp/>
        <stp>VOLUME</stp>
        <stp>.SPX251121P5760</stp>
        <tr r="U97" s="2"/>
      </tp>
      <tp t="s">
        <v>N/A</v>
        <stp/>
        <stp>VOLUME</stp>
        <stp>.SPX250620P5770</stp>
        <tr r="K96" s="2"/>
      </tp>
      <tp t="s">
        <v>N/A</v>
        <stp/>
        <stp>VOLUME</stp>
        <stp>.SPX250523P5740</stp>
        <tr r="H99" s="2"/>
      </tp>
      <tp t="s">
        <v>N/A</v>
        <stp/>
        <stp>VOLUME</stp>
        <stp>.SPX250815P5420</stp>
        <tr r="O131" s="2"/>
      </tp>
      <tp t="s">
        <v>N/A</v>
        <stp/>
        <stp>VOLUME</stp>
        <stp>.SPX250620C5740</stp>
        <tr r="K99" s="2"/>
      </tp>
      <tp t="s">
        <v>N/A</v>
        <stp/>
        <stp>VOLUME</stp>
        <stp>.SPX250523C5770</stp>
        <tr r="H96" s="2"/>
      </tp>
      <tp>
        <v>2</v>
        <stp/>
        <stp>VOLUME</stp>
        <stp>.SPX251121C5750</stp>
        <tr r="U98" s="2"/>
        <tr r="U98" s="2"/>
      </tp>
      <tp t="s">
        <v>N/A</v>
        <stp/>
        <stp>VOLUME</stp>
        <stp>.SPX251017C5430</stp>
        <tr r="S130" s="2"/>
      </tp>
      <tp t="s">
        <v>N/A</v>
        <stp/>
        <stp>VOLUME</stp>
        <stp>.SPX251121P5750</stp>
        <tr r="U98" s="2"/>
      </tp>
      <tp t="s">
        <v>N/A</v>
        <stp/>
        <stp>VOLUME</stp>
        <stp>.SPX251017P5430</stp>
        <tr r="S130" s="2"/>
      </tp>
      <tp t="s">
        <v>N/A</v>
        <stp/>
        <stp>VOLUME</stp>
        <stp>.SPX250620P5740</stp>
        <tr r="K99" s="2"/>
      </tp>
      <tp t="s">
        <v>N/A</v>
        <stp/>
        <stp>VOLUME</stp>
        <stp>.SPX250523P5770</stp>
        <tr r="H96" s="2"/>
      </tp>
      <tp t="s">
        <v>N/A</v>
        <stp/>
        <stp>VOLUME</stp>
        <stp>.SPX250620C5750</stp>
        <tr r="K98" s="2"/>
      </tp>
      <tp t="s">
        <v>N/A</v>
        <stp/>
        <stp>VOLUME</stp>
        <stp>.SPX250523C5760</stp>
        <tr r="H97" s="2"/>
      </tp>
      <tp t="s">
        <v>N/A</v>
        <stp/>
        <stp>VOLUME</stp>
        <stp>.SPX251121C5740</stp>
        <tr r="U99" s="2"/>
      </tp>
      <tp t="s">
        <v>N/A</v>
        <stp/>
        <stp>VOLUME</stp>
        <stp>.SPX251017C5420</stp>
        <tr r="S131" s="2"/>
      </tp>
      <tp t="s">
        <v>N/A</v>
        <stp/>
        <stp>VOLUME</stp>
        <stp>.SPX251121P5740</stp>
        <tr r="U99" s="2"/>
      </tp>
      <tp t="s">
        <v>N/A</v>
        <stp/>
        <stp>VOLUME</stp>
        <stp>.SPX251017P5420</stp>
        <tr r="S131" s="2"/>
      </tp>
      <tp t="s">
        <v>N/A</v>
        <stp/>
        <stp>VOLUME</stp>
        <stp>.SPX250620P5750</stp>
        <tr r="K98" s="2"/>
      </tp>
      <tp t="s">
        <v>N/A</v>
        <stp/>
        <stp>VOLUME</stp>
        <stp>.SPX250523P5760</stp>
        <tr r="H97" s="2"/>
      </tp>
      <tp t="s">
        <v>N/A</v>
        <stp/>
        <stp>VOLUME</stp>
        <stp>.SPX250620C5720</stp>
        <tr r="K101" s="2"/>
      </tp>
      <tp t="s">
        <v>N/A</v>
        <stp/>
        <stp>VOLUME</stp>
        <stp>.SPX250523C5710</stp>
        <tr r="H102" s="2"/>
      </tp>
      <tp t="s">
        <v>N/A</v>
        <stp/>
        <stp>VOLUME</stp>
        <stp>.SPX250815C5470</stp>
        <tr r="O126" s="2"/>
      </tp>
      <tp t="s">
        <v>N/A</v>
        <stp/>
        <stp>VOLUME</stp>
        <stp>.SPX251121C5730</stp>
        <tr r="U100" s="2"/>
      </tp>
      <tp t="s">
        <v>N/A</v>
        <stp/>
        <stp>VOLUME</stp>
        <stp>.SPX251017C5450</stp>
        <tr r="S128" s="2"/>
      </tp>
      <tp t="s">
        <v>N/A</v>
        <stp/>
        <stp>VOLUME</stp>
        <stp>.SPX251121P5730</stp>
        <tr r="U100" s="2"/>
      </tp>
      <tp t="s">
        <v>N/A</v>
        <stp/>
        <stp>VOLUME</stp>
        <stp>.SPX251017P5450</stp>
        <tr r="S128" s="2"/>
      </tp>
      <tp t="s">
        <v>N/A</v>
        <stp/>
        <stp>VOLUME</stp>
        <stp>.SPX250620P5720</stp>
        <tr r="K101" s="2"/>
      </tp>
      <tp t="s">
        <v>N/A</v>
        <stp/>
        <stp>VOLUME</stp>
        <stp>.SPX250523P5710</stp>
        <tr r="H102" s="2"/>
      </tp>
      <tp t="s">
        <v>N/A</v>
        <stp/>
        <stp>VOLUME</stp>
        <stp>.SPX250815P5470</stp>
        <tr r="O126" s="2"/>
      </tp>
      <tp t="s">
        <v>N/A</v>
        <stp/>
        <stp>VOLUME</stp>
        <stp>.SPX250620C5730</stp>
        <tr r="K100" s="2"/>
      </tp>
      <tp t="s">
        <v>N/A</v>
        <stp/>
        <stp>VOLUME</stp>
        <stp>.SPX250523C5700</stp>
        <tr r="H103" s="2"/>
      </tp>
      <tp t="s">
        <v>N/A</v>
        <stp/>
        <stp>VOLUME</stp>
        <stp>.SPX250815C5460</stp>
        <tr r="O127" s="2"/>
      </tp>
      <tp t="s">
        <v>N/A</v>
        <stp/>
        <stp>VOLUME</stp>
        <stp>.SPX251121C5720</stp>
        <tr r="U101" s="2"/>
      </tp>
      <tp t="s">
        <v>N/A</v>
        <stp/>
        <stp>VOLUME</stp>
        <stp>.SPX251017C5440</stp>
        <tr r="S129" s="2"/>
      </tp>
      <tp t="s">
        <v>N/A</v>
        <stp/>
        <stp>VOLUME</stp>
        <stp>.SPX251121P5720</stp>
        <tr r="U101" s="2"/>
      </tp>
      <tp t="s">
        <v>N/A</v>
        <stp/>
        <stp>VOLUME</stp>
        <stp>.SPX251017P5440</stp>
        <tr r="S129" s="2"/>
      </tp>
      <tp t="s">
        <v>N/A</v>
        <stp/>
        <stp>VOLUME</stp>
        <stp>.SPX250620P5730</stp>
        <tr r="K100" s="2"/>
      </tp>
      <tp t="s">
        <v>N/A</v>
        <stp/>
        <stp>VOLUME</stp>
        <stp>.SPX250523P5700</stp>
        <tr r="H103" s="2"/>
      </tp>
      <tp t="s">
        <v>N/A</v>
        <stp/>
        <stp>VOLUME</stp>
        <stp>.SPX250815P5460</stp>
        <tr r="O127" s="2"/>
      </tp>
      <tp t="s">
        <v>N/A</v>
        <stp/>
        <stp>VOLUME</stp>
        <stp>.SPX250718C5480</stp>
        <tr r="M125" s="2"/>
      </tp>
      <tp t="s">
        <v>N/A</v>
        <stp/>
        <stp>VOLUME</stp>
        <stp>.SPX250620C5700</stp>
        <tr r="K103" s="2"/>
      </tp>
      <tp t="s">
        <v>N/A</v>
        <stp/>
        <stp>VOLUME</stp>
        <stp>.SPX250523C5730</stp>
        <tr r="H100" s="2"/>
      </tp>
      <tp t="s">
        <v>N/A</v>
        <stp/>
        <stp>VOLUME</stp>
        <stp>.SPX250919C5490</stp>
        <tr r="Q124" s="2"/>
      </tp>
      <tp t="s">
        <v>N/A</v>
        <stp/>
        <stp>VOLUME</stp>
        <stp>.SPX250815C5450</stp>
        <tr r="O128" s="2"/>
      </tp>
      <tp t="s">
        <v>N/A</v>
        <stp/>
        <stp>VOLUME</stp>
        <stp>.SPX251219C5490</stp>
        <tr r="W124" s="2"/>
      </tp>
      <tp t="s">
        <v>N/A</v>
        <stp/>
        <stp>VOLUME</stp>
        <stp>.SPX251121C5710</stp>
        <tr r="U102" s="2"/>
      </tp>
      <tp t="s">
        <v>N/A</v>
        <stp/>
        <stp>VOLUME</stp>
        <stp>.SPX251017C5470</stp>
        <tr r="S126" s="2"/>
      </tp>
      <tp t="s">
        <v>N/A</v>
        <stp/>
        <stp>VOLUME</stp>
        <stp>.SPX251219P5490</stp>
        <tr r="W124" s="2"/>
      </tp>
      <tp t="s">
        <v>N/A</v>
        <stp/>
        <stp>VOLUME</stp>
        <stp>.SPX251121P5710</stp>
        <tr r="U102" s="2"/>
      </tp>
      <tp t="s">
        <v>N/A</v>
        <stp/>
        <stp>VOLUME</stp>
        <stp>.SPX251017P5470</stp>
        <tr r="S126" s="2"/>
      </tp>
      <tp t="s">
        <v>N/A</v>
        <stp/>
        <stp>VOLUME</stp>
        <stp>.SPX250718P5480</stp>
        <tr r="M125" s="2"/>
      </tp>
      <tp t="s">
        <v>N/A</v>
        <stp/>
        <stp>VOLUME</stp>
        <stp>.SPX250620P5700</stp>
        <tr r="K103" s="2"/>
      </tp>
      <tp t="s">
        <v>N/A</v>
        <stp/>
        <stp>VOLUME</stp>
        <stp>.SPX250523P5730</stp>
        <tr r="H100" s="2"/>
      </tp>
      <tp t="s">
        <v>N/A</v>
        <stp/>
        <stp>VOLUME</stp>
        <stp>.SPX250919P5490</stp>
        <tr r="Q124" s="2"/>
      </tp>
      <tp t="s">
        <v>N/A</v>
        <stp/>
        <stp>VOLUME</stp>
        <stp>.SPX250815P5450</stp>
        <tr r="O128" s="2"/>
      </tp>
      <tp t="s">
        <v>N/A</v>
        <stp/>
        <stp>VOLUME</stp>
        <stp>.SPX250718C5490</stp>
        <tr r="M124" s="2"/>
      </tp>
      <tp t="s">
        <v>N/A</v>
        <stp/>
        <stp>VOLUME</stp>
        <stp>.SPX250620C5710</stp>
        <tr r="K102" s="2"/>
      </tp>
      <tp t="s">
        <v>N/A</v>
        <stp/>
        <stp>VOLUME</stp>
        <stp>.SPX250523C5720</stp>
        <tr r="H101" s="2"/>
      </tp>
      <tp t="s">
        <v>N/A</v>
        <stp/>
        <stp>VOLUME</stp>
        <stp>.SPX250919C5480</stp>
        <tr r="Q125" s="2"/>
      </tp>
      <tp t="s">
        <v>N/A</v>
        <stp/>
        <stp>VOLUME</stp>
        <stp>.SPX250815C5440</stp>
        <tr r="O129" s="2"/>
      </tp>
      <tp t="s">
        <v>N/A</v>
        <stp/>
        <stp>VOLUME</stp>
        <stp>.SPX251219C5480</stp>
        <tr r="W125" s="2"/>
      </tp>
      <tp t="s">
        <v>N/A</v>
        <stp/>
        <stp>VOLUME</stp>
        <stp>.SPX251121C5700</stp>
        <tr r="U103" s="2"/>
      </tp>
      <tp t="s">
        <v>N/A</v>
        <stp/>
        <stp>VOLUME</stp>
        <stp>.SPX251017C5460</stp>
        <tr r="S127" s="2"/>
      </tp>
      <tp t="s">
        <v>N/A</v>
        <stp/>
        <stp>VOLUME</stp>
        <stp>.SPX251219P5480</stp>
        <tr r="W125" s="2"/>
      </tp>
      <tp t="s">
        <v>N/A</v>
        <stp/>
        <stp>VOLUME</stp>
        <stp>.SPX251121P5700</stp>
        <tr r="U103" s="2"/>
      </tp>
      <tp t="s">
        <v>N/A</v>
        <stp/>
        <stp>VOLUME</stp>
        <stp>.SPX251017P5460</stp>
        <tr r="S127" s="2"/>
      </tp>
      <tp t="s">
        <v>N/A</v>
        <stp/>
        <stp>VOLUME</stp>
        <stp>.SPX250718P5490</stp>
        <tr r="M124" s="2"/>
      </tp>
      <tp t="s">
        <v>N/A</v>
        <stp/>
        <stp>VOLUME</stp>
        <stp>.SPX250620P5710</stp>
        <tr r="K102" s="2"/>
      </tp>
      <tp t="s">
        <v>N/A</v>
        <stp/>
        <stp>VOLUME</stp>
        <stp>.SPX250523P5720</stp>
        <tr r="H101" s="2"/>
      </tp>
      <tp t="s">
        <v>N/A</v>
        <stp/>
        <stp>VOLUME</stp>
        <stp>.SPX250919P5480</stp>
        <tr r="Q125" s="2"/>
      </tp>
      <tp t="s">
        <v>N/A</v>
        <stp/>
        <stp>VOLUME</stp>
        <stp>.SPX250815P5440</stp>
        <tr r="O129" s="2"/>
      </tp>
      <tp t="s">
        <v>N/A</v>
        <stp/>
        <stp>VOLUME</stp>
        <stp>.SPX250718C5460</stp>
        <tr r="M127" s="2"/>
      </tp>
      <tp t="s">
        <v>N/A</v>
        <stp/>
        <stp>VOLUME</stp>
        <stp>.SPX250919C5470</stp>
        <tr r="Q126" s="2"/>
      </tp>
      <tp t="s">
        <v>N/A</v>
        <stp/>
        <stp>VOLUME</stp>
        <stp>.SPX251219C5470</stp>
        <tr r="W126" s="2"/>
      </tp>
      <tp t="s">
        <v>N/A</v>
        <stp/>
        <stp>VOLUME</stp>
        <stp>.SPX251017C5490</stp>
        <tr r="S124" s="2"/>
      </tp>
      <tp t="s">
        <v>N/A</v>
        <stp/>
        <stp>VOLUME</stp>
        <stp>.SPX251219P5470</stp>
        <tr r="W126" s="2"/>
      </tp>
      <tp t="s">
        <v>N/A</v>
        <stp/>
        <stp>VOLUME</stp>
        <stp>.SPX251017P5490</stp>
        <tr r="S124" s="2"/>
      </tp>
      <tp t="s">
        <v>N/A</v>
        <stp/>
        <stp>VOLUME</stp>
        <stp>.SPX250718P5460</stp>
        <tr r="M127" s="2"/>
      </tp>
      <tp t="s">
        <v>N/A</v>
        <stp/>
        <stp>VOLUME</stp>
        <stp>.SPX250919P5470</stp>
        <tr r="Q126" s="2"/>
      </tp>
      <tp t="s">
        <v>N/A</v>
        <stp/>
        <stp>VOLUME</stp>
        <stp>.SPX250718C5470</stp>
        <tr r="M126" s="2"/>
      </tp>
      <tp t="s">
        <v>N/A</v>
        <stp/>
        <stp>VOLUME</stp>
        <stp>.SPX250919C5460</stp>
        <tr r="Q127" s="2"/>
      </tp>
      <tp t="s">
        <v>N/A</v>
        <stp/>
        <stp>VOLUME</stp>
        <stp>.SPX251219C5460</stp>
        <tr r="W127" s="2"/>
      </tp>
      <tp t="s">
        <v>N/A</v>
        <stp/>
        <stp>VOLUME</stp>
        <stp>.SPX251017C5480</stp>
        <tr r="S125" s="2"/>
      </tp>
      <tp t="s">
        <v>N/A</v>
        <stp/>
        <stp>VOLUME</stp>
        <stp>.SPX251219P5460</stp>
        <tr r="W127" s="2"/>
      </tp>
      <tp t="s">
        <v>N/A</v>
        <stp/>
        <stp>VOLUME</stp>
        <stp>.SPX251017P5480</stp>
        <tr r="S125" s="2"/>
      </tp>
      <tp t="s">
        <v>N/A</v>
        <stp/>
        <stp>VOLUME</stp>
        <stp>.SPX250718P5470</stp>
        <tr r="M126" s="2"/>
      </tp>
      <tp t="s">
        <v>N/A</v>
        <stp/>
        <stp>VOLUME</stp>
        <stp>.SPX250919P5460</stp>
        <tr r="Q127" s="2"/>
      </tp>
      <tp t="s">
        <v>N/A</v>
        <stp/>
        <stp>VOLUME</stp>
        <stp>.SPX250718C5440</stp>
        <tr r="M129" s="2"/>
      </tp>
      <tp t="s">
        <v>N/A</v>
        <stp/>
        <stp>VOLUME</stp>
        <stp>.SPX250919C5450</stp>
        <tr r="Q128" s="2"/>
      </tp>
      <tp t="s">
        <v>N/A</v>
        <stp/>
        <stp>VOLUME</stp>
        <stp>.SPX250815C5490</stp>
        <tr r="O124" s="2"/>
      </tp>
      <tp t="s">
        <v>N/A</v>
        <stp/>
        <stp>VOLUME</stp>
        <stp>.SPX251219C5450</stp>
        <tr r="W128" s="2"/>
      </tp>
      <tp t="s">
        <v>N/A</v>
        <stp/>
        <stp>VOLUME</stp>
        <stp>.SPX251219P5450</stp>
        <tr r="W128" s="2"/>
      </tp>
      <tp t="s">
        <v>N/A</v>
        <stp/>
        <stp>VOLUME</stp>
        <stp>.SPX250718P5440</stp>
        <tr r="M129" s="2"/>
      </tp>
      <tp t="s">
        <v>N/A</v>
        <stp/>
        <stp>VOLUME</stp>
        <stp>.SPX250919P5450</stp>
        <tr r="Q128" s="2"/>
      </tp>
      <tp t="s">
        <v>N/A</v>
        <stp/>
        <stp>VOLUME</stp>
        <stp>.SPX250815P5490</stp>
        <tr r="O124" s="2"/>
      </tp>
      <tp t="s">
        <v>N/A</v>
        <stp/>
        <stp>VOLUME</stp>
        <stp>.SPX250718C5450</stp>
        <tr r="M128" s="2"/>
      </tp>
      <tp t="s">
        <v>N/A</v>
        <stp/>
        <stp>VOLUME</stp>
        <stp>.SPX250919C5440</stp>
        <tr r="Q129" s="2"/>
      </tp>
      <tp t="s">
        <v>N/A</v>
        <stp/>
        <stp>VOLUME</stp>
        <stp>.SPX250815C5480</stp>
        <tr r="O125" s="2"/>
      </tp>
      <tp t="s">
        <v>N/A</v>
        <stp/>
        <stp>VOLUME</stp>
        <stp>.SPX251219C5440</stp>
        <tr r="W129" s="2"/>
      </tp>
      <tp t="s">
        <v>N/A</v>
        <stp/>
        <stp>VOLUME</stp>
        <stp>.SPX251219P5440</stp>
        <tr r="W129" s="2"/>
      </tp>
      <tp t="s">
        <v>N/A</v>
        <stp/>
        <stp>VOLUME</stp>
        <stp>.SPX250718P5450</stp>
        <tr r="M128" s="2"/>
      </tp>
      <tp t="s">
        <v>N/A</v>
        <stp/>
        <stp>VOLUME</stp>
        <stp>.SPX250919P5440</stp>
        <tr r="Q129" s="2"/>
      </tp>
      <tp t="s">
        <v>N/A</v>
        <stp/>
        <stp>VOLUME</stp>
        <stp>.SPX250815P5480</stp>
        <tr r="O125" s="2"/>
      </tp>
      <tp t="s">
        <v>N/A</v>
        <stp/>
        <stp>VOLUME</stp>
        <stp>.SPX250718C5420</stp>
        <tr r="M131" s="2"/>
      </tp>
      <tp t="s">
        <v>N/A</v>
        <stp/>
        <stp>VOLUME</stp>
        <stp>.SPX250523C5790</stp>
        <tr r="H94" s="2"/>
      </tp>
      <tp t="s">
        <v>N/A</v>
        <stp/>
        <stp>VOLUME</stp>
        <stp>.SPX250919C5430</stp>
        <tr r="Q130" s="2"/>
      </tp>
      <tp t="s">
        <v>N/A</v>
        <stp/>
        <stp>VOLUME</stp>
        <stp>.SPX251219C5430</stp>
        <tr r="W130" s="2"/>
      </tp>
      <tp t="s">
        <v>N/A</v>
        <stp/>
        <stp>VOLUME</stp>
        <stp>.SPX251219P5430</stp>
        <tr r="W130" s="2"/>
      </tp>
      <tp t="s">
        <v>N/A</v>
        <stp/>
        <stp>VOLUME</stp>
        <stp>.SPX250718P5420</stp>
        <tr r="M131" s="2"/>
      </tp>
      <tp t="s">
        <v>N/A</v>
        <stp/>
        <stp>VOLUME</stp>
        <stp>.SPX250523P5790</stp>
        <tr r="H94" s="2"/>
      </tp>
      <tp t="s">
        <v>N/A</v>
        <stp/>
        <stp>VOLUME</stp>
        <stp>.SPX250919P5430</stp>
        <tr r="Q130" s="2"/>
      </tp>
      <tp t="s">
        <v>N/A</v>
        <stp/>
        <stp>VOLUME</stp>
        <stp>.SPX250718C5430</stp>
        <tr r="M130" s="2"/>
      </tp>
      <tp t="s">
        <v>N/A</v>
        <stp/>
        <stp>VOLUME</stp>
        <stp>.SPX250523C5780</stp>
        <tr r="H95" s="2"/>
      </tp>
      <tp t="s">
        <v>N/A</v>
        <stp/>
        <stp>VOLUME</stp>
        <stp>.SPX250919C5420</stp>
        <tr r="Q131" s="2"/>
      </tp>
      <tp t="s">
        <v>N/A</v>
        <stp/>
        <stp>VOLUME</stp>
        <stp>.SPX251219C5420</stp>
        <tr r="W131" s="2"/>
      </tp>
      <tp t="s">
        <v>N/A</v>
        <stp/>
        <stp>VOLUME</stp>
        <stp>.SPX251219P5420</stp>
        <tr r="W131" s="2"/>
      </tp>
      <tp t="s">
        <v>N/A</v>
        <stp/>
        <stp>VOLUME</stp>
        <stp>.SPX250718P5430</stp>
        <tr r="M130" s="2"/>
      </tp>
      <tp t="s">
        <v>N/A</v>
        <stp/>
        <stp>VOLUME</stp>
        <stp>.SPX250523P5780</stp>
        <tr r="H95" s="2"/>
      </tp>
      <tp t="s">
        <v>N/A</v>
        <stp/>
        <stp>VOLUME</stp>
        <stp>.SPX250919P5420</stp>
        <tr r="Q131" s="2"/>
      </tp>
      <tp t="s">
        <v>N/A</v>
        <stp/>
        <stp>VOLUME</stp>
        <stp>.SPX250620C5780</stp>
        <tr r="K95" s="2"/>
      </tp>
      <tp t="s">
        <v>N/A</v>
        <stp/>
        <stp>VOLUME</stp>
        <stp>.SPX251121C5790</stp>
        <tr r="U94" s="2"/>
      </tp>
      <tp t="s">
        <v>N/A</v>
        <stp/>
        <stp>VOLUME</stp>
        <stp>.SPX251121P5790</stp>
        <tr r="U94" s="2"/>
      </tp>
      <tp t="s">
        <v>N/A</v>
        <stp/>
        <stp>VOLUME</stp>
        <stp>.SPX250620P5780</stp>
        <tr r="K95" s="2"/>
      </tp>
      <tp t="s">
        <v>N/A</v>
        <stp/>
        <stp>VOLUME</stp>
        <stp>.SPX250620C5790</stp>
        <tr r="K94" s="2"/>
      </tp>
      <tp t="s">
        <v>N/A</v>
        <stp/>
        <stp>VOLUME</stp>
        <stp>.SPX251121C5780</stp>
        <tr r="U95" s="2"/>
      </tp>
      <tp t="s">
        <v>N/A</v>
        <stp/>
        <stp>VOLUME</stp>
        <stp>.SPX251121P5780</stp>
        <tr r="U95" s="2"/>
      </tp>
      <tp t="s">
        <v>N/A</v>
        <stp/>
        <stp>VOLUME</stp>
        <stp>.SPX250620P5790</stp>
        <tr r="K94" s="2"/>
      </tp>
      <tp t="s">
        <v>26.72%</v>
        <stp/>
        <stp>IMPL_VOL</stp>
        <stp>.NDX250516C19600</stp>
        <tr r="EP171" s="1"/>
      </tp>
      <tp t="s">
        <v>26.48%</v>
        <stp/>
        <stp>IMPL_VOL</stp>
        <stp>.NDX250516C19625</stp>
        <tr r="EP170" s="1"/>
      </tp>
      <tp t="s">
        <v>26.45%</v>
        <stp/>
        <stp>IMPL_VOL</stp>
        <stp>.NDX250516C19650</stp>
        <tr r="EP169" s="1"/>
      </tp>
      <tp t="s">
        <v>26.23%</v>
        <stp/>
        <stp>IMPL_VOL</stp>
        <stp>.NDX250516C19675</stp>
        <tr r="EP168" s="1"/>
      </tp>
      <tp t="s">
        <v>25.13%</v>
        <stp/>
        <stp>IMPL_VOL</stp>
        <stp>.NDX250516P19625</stp>
        <tr r="EQ170" s="1"/>
      </tp>
      <tp t="s">
        <v>25.27%</v>
        <stp/>
        <stp>IMPL_VOL</stp>
        <stp>.NDX250516P19600</stp>
        <tr r="EQ171" s="1"/>
      </tp>
      <tp t="s">
        <v>24.85%</v>
        <stp/>
        <stp>IMPL_VOL</stp>
        <stp>.NDX250516P19675</stp>
        <tr r="EQ168" s="1"/>
      </tp>
      <tp t="s">
        <v>24.99%</v>
        <stp/>
        <stp>IMPL_VOL</stp>
        <stp>.NDX250516P19650</stp>
        <tr r="EQ169" s="1"/>
      </tp>
      <tp t="s">
        <v>N/A</v>
        <stp/>
        <stp>VOLUME</stp>
        <stp>.SPX250620C5660</stp>
        <tr r="K107" s="2"/>
      </tp>
      <tp t="s">
        <v>N/A</v>
        <stp/>
        <stp>VOLUME</stp>
        <stp>.SPX250523C5650</stp>
        <tr r="H108" s="2"/>
      </tp>
      <tp t="s">
        <v>N/A</v>
        <stp/>
        <stp>VOLUME</stp>
        <stp>.SPX250815C5530</stp>
        <tr r="O120" s="2"/>
      </tp>
      <tp t="s">
        <v>N/A</v>
        <stp/>
        <stp>VOLUME</stp>
        <stp>.SPX251121C5670</stp>
        <tr r="U106" s="2"/>
      </tp>
      <tp t="s">
        <v>N/A</v>
        <stp/>
        <stp>VOLUME</stp>
        <stp>.SPX251017C5510</stp>
        <tr r="S122" s="2"/>
      </tp>
      <tp t="s">
        <v>N/A</v>
        <stp/>
        <stp>VOLUME</stp>
        <stp>.SPX251121P5670</stp>
        <tr r="U106" s="2"/>
      </tp>
      <tp t="s">
        <v>N/A</v>
        <stp/>
        <stp>VOLUME</stp>
        <stp>.SPX251017P5510</stp>
        <tr r="S122" s="2"/>
      </tp>
      <tp t="s">
        <v>N/A</v>
        <stp/>
        <stp>VOLUME</stp>
        <stp>.SPX250620P5660</stp>
        <tr r="K107" s="2"/>
      </tp>
      <tp t="s">
        <v>N/A</v>
        <stp/>
        <stp>VOLUME</stp>
        <stp>.SPX250523P5650</stp>
        <tr r="H108" s="2"/>
      </tp>
      <tp t="s">
        <v>N/A</v>
        <stp/>
        <stp>VOLUME</stp>
        <stp>.SPX250815P5530</stp>
        <tr r="O120" s="2"/>
      </tp>
      <tp t="s">
        <v>N/A</v>
        <stp/>
        <stp>VOLUME</stp>
        <stp>.SPX250620C5670</stp>
        <tr r="K106" s="2"/>
      </tp>
      <tp t="s">
        <v>N/A</v>
        <stp/>
        <stp>VOLUME</stp>
        <stp>.SPX250523C5640</stp>
        <tr r="H109" s="2"/>
      </tp>
      <tp t="s">
        <v>N/A</v>
        <stp/>
        <stp>VOLUME</stp>
        <stp>.SPX250815C5520</stp>
        <tr r="O121" s="2"/>
      </tp>
      <tp t="s">
        <v>N/A</v>
        <stp/>
        <stp>VOLUME</stp>
        <stp>.SPX251121C5660</stp>
        <tr r="U107" s="2"/>
      </tp>
      <tp t="s">
        <v>N/A</v>
        <stp/>
        <stp>VOLUME</stp>
        <stp>.SPX251017C5500</stp>
        <tr r="S123" s="2"/>
      </tp>
      <tp t="s">
        <v>N/A</v>
        <stp/>
        <stp>VOLUME</stp>
        <stp>.SPX251121P5660</stp>
        <tr r="U107" s="2"/>
      </tp>
      <tp t="s">
        <v>N/A</v>
        <stp/>
        <stp>VOLUME</stp>
        <stp>.SPX251017P5500</stp>
        <tr r="S123" s="2"/>
      </tp>
      <tp t="s">
        <v>N/A</v>
        <stp/>
        <stp>VOLUME</stp>
        <stp>.SPX250620P5670</stp>
        <tr r="K106" s="2"/>
      </tp>
      <tp t="s">
        <v>N/A</v>
        <stp/>
        <stp>VOLUME</stp>
        <stp>.SPX250523P5640</stp>
        <tr r="H109" s="2"/>
      </tp>
      <tp t="s">
        <v>N/A</v>
        <stp/>
        <stp>VOLUME</stp>
        <stp>.SPX250815P5520</stp>
        <tr r="O121" s="2"/>
      </tp>
      <tp t="s">
        <v>N/A</v>
        <stp/>
        <stp>VOLUME</stp>
        <stp>.SPX250620C5640</stp>
        <tr r="K109" s="2"/>
      </tp>
      <tp t="s">
        <v>N/A</v>
        <stp/>
        <stp>VOLUME</stp>
        <stp>.SPX250523C5670</stp>
        <tr r="H106" s="2"/>
      </tp>
      <tp t="s">
        <v>N/A</v>
        <stp/>
        <stp>VOLUME</stp>
        <stp>.SPX250815C5510</stp>
        <tr r="O122" s="2"/>
      </tp>
      <tp t="s">
        <v>N/A</v>
        <stp/>
        <stp>VOLUME</stp>
        <stp>.SPX251121C5650</stp>
        <tr r="U108" s="2"/>
      </tp>
      <tp t="s">
        <v>N/A</v>
        <stp/>
        <stp>VOLUME</stp>
        <stp>.SPX251017C5530</stp>
        <tr r="S120" s="2"/>
      </tp>
      <tp t="s">
        <v>N/A</v>
        <stp/>
        <stp>VOLUME</stp>
        <stp>.SPX251121P5650</stp>
        <tr r="U108" s="2"/>
      </tp>
      <tp t="s">
        <v>N/A</v>
        <stp/>
        <stp>VOLUME</stp>
        <stp>.SPX251017P5530</stp>
        <tr r="S120" s="2"/>
      </tp>
      <tp t="s">
        <v>N/A</v>
        <stp/>
        <stp>VOLUME</stp>
        <stp>.SPX250620P5640</stp>
        <tr r="K109" s="2"/>
      </tp>
      <tp t="s">
        <v>N/A</v>
        <stp/>
        <stp>VOLUME</stp>
        <stp>.SPX250523P5670</stp>
        <tr r="H106" s="2"/>
      </tp>
      <tp t="s">
        <v>N/A</v>
        <stp/>
        <stp>VOLUME</stp>
        <stp>.SPX250815P5510</stp>
        <tr r="O122" s="2"/>
      </tp>
      <tp t="s">
        <v>N/A</v>
        <stp/>
        <stp>VOLUME</stp>
        <stp>.SPX250620C5650</stp>
        <tr r="K108" s="2"/>
      </tp>
      <tp t="s">
        <v>N/A</v>
        <stp/>
        <stp>VOLUME</stp>
        <stp>.SPX250523C5660</stp>
        <tr r="H107" s="2"/>
      </tp>
      <tp t="s">
        <v>N/A</v>
        <stp/>
        <stp>VOLUME</stp>
        <stp>.SPX250815C5500</stp>
        <tr r="O123" s="2"/>
      </tp>
      <tp t="s">
        <v>N/A</v>
        <stp/>
        <stp>VOLUME</stp>
        <stp>.SPX251121C5640</stp>
        <tr r="U109" s="2"/>
      </tp>
      <tp t="s">
        <v>N/A</v>
        <stp/>
        <stp>VOLUME</stp>
        <stp>.SPX251017C5520</stp>
        <tr r="S121" s="2"/>
      </tp>
      <tp t="s">
        <v>N/A</v>
        <stp/>
        <stp>VOLUME</stp>
        <stp>.SPX251121P5640</stp>
        <tr r="U109" s="2"/>
      </tp>
      <tp t="s">
        <v>N/A</v>
        <stp/>
        <stp>VOLUME</stp>
        <stp>.SPX251017P5520</stp>
        <tr r="S121" s="2"/>
      </tp>
      <tp t="s">
        <v>N/A</v>
        <stp/>
        <stp>VOLUME</stp>
        <stp>.SPX250620P5650</stp>
        <tr r="K108" s="2"/>
      </tp>
      <tp t="s">
        <v>N/A</v>
        <stp/>
        <stp>VOLUME</stp>
        <stp>.SPX250523P5660</stp>
        <tr r="H107" s="2"/>
      </tp>
      <tp t="s">
        <v>N/A</v>
        <stp/>
        <stp>VOLUME</stp>
        <stp>.SPX250815P5500</stp>
        <tr r="O123" s="2"/>
      </tp>
      <tp t="s">
        <v>N/A</v>
        <stp/>
        <stp>VOLUME</stp>
        <stp>.SPX250620C5620</stp>
        <tr r="K111" s="2"/>
      </tp>
      <tp t="s">
        <v>N/A</v>
        <stp/>
        <stp>VOLUME</stp>
        <stp>.SPX250523C5610</stp>
        <tr r="H112" s="2"/>
      </tp>
      <tp t="s">
        <v>N/A</v>
        <stp/>
        <stp>VOLUME</stp>
        <stp>.SPX250815C5570</stp>
        <tr r="O116" s="2"/>
      </tp>
      <tp t="s">
        <v>N/A</v>
        <stp/>
        <stp>VOLUME</stp>
        <stp>.SPX251121C5630</stp>
        <tr r="U110" s="2"/>
      </tp>
      <tp t="s">
        <v>N/A</v>
        <stp/>
        <stp>VOLUME</stp>
        <stp>.SPX251017C5550</stp>
        <tr r="S118" s="2"/>
      </tp>
      <tp t="s">
        <v>N/A</v>
        <stp/>
        <stp>VOLUME</stp>
        <stp>.SPX251121P5630</stp>
        <tr r="U110" s="2"/>
      </tp>
      <tp t="s">
        <v>N/A</v>
        <stp/>
        <stp>VOLUME</stp>
        <stp>.SPX251017P5550</stp>
        <tr r="S118" s="2"/>
      </tp>
      <tp t="s">
        <v>N/A</v>
        <stp/>
        <stp>VOLUME</stp>
        <stp>.SPX250620P5620</stp>
        <tr r="K111" s="2"/>
      </tp>
      <tp t="s">
        <v>N/A</v>
        <stp/>
        <stp>VOLUME</stp>
        <stp>.SPX250523P5610</stp>
        <tr r="H112" s="2"/>
      </tp>
      <tp t="s">
        <v>N/A</v>
        <stp/>
        <stp>VOLUME</stp>
        <stp>.SPX250815P5570</stp>
        <tr r="O116" s="2"/>
      </tp>
      <tp t="s">
        <v>N/A</v>
        <stp/>
        <stp>VOLUME</stp>
        <stp>.SPX250620C5630</stp>
        <tr r="K110" s="2"/>
      </tp>
      <tp t="s">
        <v>N/A</v>
        <stp/>
        <stp>VOLUME</stp>
        <stp>.SPX250523C5600</stp>
        <tr r="H113" s="2"/>
      </tp>
      <tp t="s">
        <v>N/A</v>
        <stp/>
        <stp>VOLUME</stp>
        <stp>.SPX250815C5560</stp>
        <tr r="O117" s="2"/>
      </tp>
      <tp t="s">
        <v>N/A</v>
        <stp/>
        <stp>VOLUME</stp>
        <stp>.SPX251121C5620</stp>
        <tr r="U111" s="2"/>
      </tp>
      <tp t="s">
        <v>N/A</v>
        <stp/>
        <stp>VOLUME</stp>
        <stp>.SPX251017C5540</stp>
        <tr r="S119" s="2"/>
      </tp>
      <tp t="s">
        <v>N/A</v>
        <stp/>
        <stp>VOLUME</stp>
        <stp>.SPX251121P5620</stp>
        <tr r="U111" s="2"/>
      </tp>
      <tp t="s">
        <v>N/A</v>
        <stp/>
        <stp>VOLUME</stp>
        <stp>.SPX251017P5540</stp>
        <tr r="S119" s="2"/>
      </tp>
      <tp t="s">
        <v>N/A</v>
        <stp/>
        <stp>VOLUME</stp>
        <stp>.SPX250620P5630</stp>
        <tr r="K110" s="2"/>
      </tp>
      <tp t="s">
        <v>N/A</v>
        <stp/>
        <stp>VOLUME</stp>
        <stp>.SPX250523P5600</stp>
        <tr r="H113" s="2"/>
      </tp>
      <tp t="s">
        <v>N/A</v>
        <stp/>
        <stp>VOLUME</stp>
        <stp>.SPX250815P5560</stp>
        <tr r="O117" s="2"/>
      </tp>
      <tp t="s">
        <v>N/A</v>
        <stp/>
        <stp>VOLUME</stp>
        <stp>.SPX250718C5580</stp>
        <tr r="M115" s="2"/>
      </tp>
      <tp t="s">
        <v>N/A</v>
        <stp/>
        <stp>VOLUME</stp>
        <stp>.SPX250620C5600</stp>
        <tr r="K113" s="2"/>
      </tp>
      <tp t="s">
        <v>N/A</v>
        <stp/>
        <stp>VOLUME</stp>
        <stp>.SPX250523C5630</stp>
        <tr r="H110" s="2"/>
      </tp>
      <tp t="s">
        <v>N/A</v>
        <stp/>
        <stp>VOLUME</stp>
        <stp>.SPX250919C5590</stp>
        <tr r="Q114" s="2"/>
      </tp>
      <tp t="s">
        <v>N/A</v>
        <stp/>
        <stp>VOLUME</stp>
        <stp>.SPX250815C5550</stp>
        <tr r="O118" s="2"/>
      </tp>
      <tp t="s">
        <v>N/A</v>
        <stp/>
        <stp>VOLUME</stp>
        <stp>.SPX251219C5590</stp>
        <tr r="W114" s="2"/>
      </tp>
      <tp t="s">
        <v>N/A</v>
        <stp/>
        <stp>VOLUME</stp>
        <stp>.SPX251121C5610</stp>
        <tr r="U112" s="2"/>
      </tp>
      <tp t="s">
        <v>N/A</v>
        <stp/>
        <stp>VOLUME</stp>
        <stp>.SPX251017C5570</stp>
        <tr r="S116" s="2"/>
      </tp>
      <tp t="s">
        <v>N/A</v>
        <stp/>
        <stp>VOLUME</stp>
        <stp>.SPX251219P5590</stp>
        <tr r="W114" s="2"/>
      </tp>
      <tp t="s">
        <v>N/A</v>
        <stp/>
        <stp>VOLUME</stp>
        <stp>.SPX251121P5610</stp>
        <tr r="U112" s="2"/>
      </tp>
      <tp t="s">
        <v>N/A</v>
        <stp/>
        <stp>VOLUME</stp>
        <stp>.SPX251017P5570</stp>
        <tr r="S116" s="2"/>
      </tp>
      <tp t="s">
        <v>N/A</v>
        <stp/>
        <stp>VOLUME</stp>
        <stp>.SPX250718P5580</stp>
        <tr r="M115" s="2"/>
      </tp>
      <tp>
        <v>1</v>
        <stp/>
        <stp>VOLUME</stp>
        <stp>.SPX250620P5600</stp>
        <tr r="K113" s="2"/>
        <tr r="K113" s="2"/>
      </tp>
      <tp t="s">
        <v>N/A</v>
        <stp/>
        <stp>VOLUME</stp>
        <stp>.SPX250523P5630</stp>
        <tr r="H110" s="2"/>
      </tp>
      <tp t="s">
        <v>N/A</v>
        <stp/>
        <stp>VOLUME</stp>
        <stp>.SPX250919P5590</stp>
        <tr r="Q114" s="2"/>
      </tp>
      <tp t="s">
        <v>N/A</v>
        <stp/>
        <stp>VOLUME</stp>
        <stp>.SPX250815P5550</stp>
        <tr r="O118" s="2"/>
      </tp>
      <tp t="s">
        <v>N/A</v>
        <stp/>
        <stp>VOLUME</stp>
        <stp>.SPX250718C5590</stp>
        <tr r="M114" s="2"/>
      </tp>
      <tp t="s">
        <v>N/A</v>
        <stp/>
        <stp>VOLUME</stp>
        <stp>.SPX250620C5610</stp>
        <tr r="K112" s="2"/>
      </tp>
      <tp t="s">
        <v>N/A</v>
        <stp/>
        <stp>VOLUME</stp>
        <stp>.SPX250523C5620</stp>
        <tr r="H111" s="2"/>
      </tp>
      <tp t="s">
        <v>N/A</v>
        <stp/>
        <stp>VOLUME</stp>
        <stp>.SPX250919C5580</stp>
        <tr r="Q115" s="2"/>
      </tp>
      <tp t="s">
        <v>N/A</v>
        <stp/>
        <stp>VOLUME</stp>
        <stp>.SPX250815C5540</stp>
        <tr r="O119" s="2"/>
      </tp>
      <tp t="s">
        <v>N/A</v>
        <stp/>
        <stp>VOLUME</stp>
        <stp>.SPX251219C5580</stp>
        <tr r="W115" s="2"/>
      </tp>
      <tp t="s">
        <v>N/A</v>
        <stp/>
        <stp>VOLUME</stp>
        <stp>.SPX251121C5600</stp>
        <tr r="U113" s="2"/>
      </tp>
      <tp t="s">
        <v>N/A</v>
        <stp/>
        <stp>VOLUME</stp>
        <stp>.SPX251017C5560</stp>
        <tr r="S117" s="2"/>
      </tp>
      <tp t="s">
        <v>N/A</v>
        <stp/>
        <stp>VOLUME</stp>
        <stp>.SPX251219P5580</stp>
        <tr r="W115" s="2"/>
      </tp>
      <tp t="s">
        <v>N/A</v>
        <stp/>
        <stp>VOLUME</stp>
        <stp>.SPX251121P5600</stp>
        <tr r="U113" s="2"/>
      </tp>
      <tp t="s">
        <v>N/A</v>
        <stp/>
        <stp>VOLUME</stp>
        <stp>.SPX251017P5560</stp>
        <tr r="S117" s="2"/>
      </tp>
      <tp t="s">
        <v>N/A</v>
        <stp/>
        <stp>VOLUME</stp>
        <stp>.SPX250718P5590</stp>
        <tr r="M114" s="2"/>
      </tp>
      <tp t="s">
        <v>N/A</v>
        <stp/>
        <stp>VOLUME</stp>
        <stp>.SPX250620P5610</stp>
        <tr r="K112" s="2"/>
      </tp>
      <tp t="s">
        <v>N/A</v>
        <stp/>
        <stp>VOLUME</stp>
        <stp>.SPX250523P5620</stp>
        <tr r="H111" s="2"/>
      </tp>
      <tp t="s">
        <v>N/A</v>
        <stp/>
        <stp>VOLUME</stp>
        <stp>.SPX250919P5580</stp>
        <tr r="Q115" s="2"/>
      </tp>
      <tp t="s">
        <v>N/A</v>
        <stp/>
        <stp>VOLUME</stp>
        <stp>.SPX250815P5540</stp>
        <tr r="O119" s="2"/>
      </tp>
      <tp t="s">
        <v>N/A</v>
        <stp/>
        <stp>VOLUME</stp>
        <stp>.SPX250718C5560</stp>
        <tr r="M117" s="2"/>
      </tp>
      <tp t="s">
        <v>N/A</v>
        <stp/>
        <stp>VOLUME</stp>
        <stp>.SPX250919C5570</stp>
        <tr r="Q116" s="2"/>
      </tp>
      <tp t="s">
        <v>N/A</v>
        <stp/>
        <stp>VOLUME</stp>
        <stp>.SPX251219C5570</stp>
        <tr r="W116" s="2"/>
      </tp>
      <tp t="s">
        <v>N/A</v>
        <stp/>
        <stp>VOLUME</stp>
        <stp>.SPX251017C5590</stp>
        <tr r="S114" s="2"/>
      </tp>
      <tp t="s">
        <v>N/A</v>
        <stp/>
        <stp>VOLUME</stp>
        <stp>.SPX251219P5570</stp>
        <tr r="W116" s="2"/>
      </tp>
      <tp t="s">
        <v>N/A</v>
        <stp/>
        <stp>VOLUME</stp>
        <stp>.SPX251017P5590</stp>
        <tr r="S114" s="2"/>
      </tp>
      <tp t="s">
        <v>N/A</v>
        <stp/>
        <stp>VOLUME</stp>
        <stp>.SPX250718P5560</stp>
        <tr r="M117" s="2"/>
      </tp>
      <tp t="s">
        <v>N/A</v>
        <stp/>
        <stp>VOLUME</stp>
        <stp>.SPX250919P5570</stp>
        <tr r="Q116" s="2"/>
      </tp>
      <tp t="s">
        <v>N/A</v>
        <stp/>
        <stp>VOLUME</stp>
        <stp>.SPX250718C5570</stp>
        <tr r="M116" s="2"/>
      </tp>
      <tp t="s">
        <v>N/A</v>
        <stp/>
        <stp>VOLUME</stp>
        <stp>.SPX250919C5560</stp>
        <tr r="Q117" s="2"/>
      </tp>
      <tp t="s">
        <v>N/A</v>
        <stp/>
        <stp>VOLUME</stp>
        <stp>.SPX251219C5560</stp>
        <tr r="W117" s="2"/>
      </tp>
      <tp t="s">
        <v>N/A</v>
        <stp/>
        <stp>VOLUME</stp>
        <stp>.SPX251017C5580</stp>
        <tr r="S115" s="2"/>
      </tp>
      <tp t="s">
        <v>N/A</v>
        <stp/>
        <stp>VOLUME</stp>
        <stp>.SPX251219P5560</stp>
        <tr r="W117" s="2"/>
      </tp>
      <tp t="s">
        <v>N/A</v>
        <stp/>
        <stp>VOLUME</stp>
        <stp>.SPX251017P5580</stp>
        <tr r="S115" s="2"/>
      </tp>
      <tp t="s">
        <v>N/A</v>
        <stp/>
        <stp>VOLUME</stp>
        <stp>.SPX250718P5570</stp>
        <tr r="M116" s="2"/>
      </tp>
      <tp t="s">
        <v>N/A</v>
        <stp/>
        <stp>VOLUME</stp>
        <stp>.SPX250919P5560</stp>
        <tr r="Q117" s="2"/>
      </tp>
      <tp t="s">
        <v>N/A</v>
        <stp/>
        <stp>VOLUME</stp>
        <stp>.SPX250718C5540</stp>
        <tr r="M119" s="2"/>
      </tp>
      <tp t="s">
        <v>N/A</v>
        <stp/>
        <stp>VOLUME</stp>
        <stp>.SPX250919C5550</stp>
        <tr r="Q118" s="2"/>
      </tp>
      <tp t="s">
        <v>N/A</v>
        <stp/>
        <stp>VOLUME</stp>
        <stp>.SPX250815C5590</stp>
        <tr r="O114" s="2"/>
      </tp>
      <tp t="s">
        <v>N/A</v>
        <stp/>
        <stp>VOLUME</stp>
        <stp>.SPX251219C5550</stp>
        <tr r="W118" s="2"/>
      </tp>
      <tp t="s">
        <v>N/A</v>
        <stp/>
        <stp>VOLUME</stp>
        <stp>.SPX251219P5550</stp>
        <tr r="W118" s="2"/>
      </tp>
      <tp t="s">
        <v>N/A</v>
        <stp/>
        <stp>VOLUME</stp>
        <stp>.SPX250718P5540</stp>
        <tr r="M119" s="2"/>
      </tp>
      <tp t="s">
        <v>N/A</v>
        <stp/>
        <stp>VOLUME</stp>
        <stp>.SPX250919P5550</stp>
        <tr r="Q118" s="2"/>
      </tp>
      <tp t="s">
        <v>N/A</v>
        <stp/>
        <stp>VOLUME</stp>
        <stp>.SPX250815P5590</stp>
        <tr r="O114" s="2"/>
      </tp>
      <tp t="s">
        <v>N/A</v>
        <stp/>
        <stp>VOLUME</stp>
        <stp>.SPX250718C5550</stp>
        <tr r="M118" s="2"/>
      </tp>
      <tp t="s">
        <v>N/A</v>
        <stp/>
        <stp>VOLUME</stp>
        <stp>.SPX250919C5540</stp>
        <tr r="Q119" s="2"/>
      </tp>
      <tp t="s">
        <v>N/A</v>
        <stp/>
        <stp>VOLUME</stp>
        <stp>.SPX250815C5580</stp>
        <tr r="O115" s="2"/>
      </tp>
      <tp t="s">
        <v>N/A</v>
        <stp/>
        <stp>VOLUME</stp>
        <stp>.SPX251219C5540</stp>
        <tr r="W119" s="2"/>
      </tp>
      <tp t="s">
        <v>N/A</v>
        <stp/>
        <stp>VOLUME</stp>
        <stp>.SPX251219P5540</stp>
        <tr r="W119" s="2"/>
      </tp>
      <tp t="s">
        <v>N/A</v>
        <stp/>
        <stp>VOLUME</stp>
        <stp>.SPX250718P5550</stp>
        <tr r="M118" s="2"/>
      </tp>
      <tp t="s">
        <v>N/A</v>
        <stp/>
        <stp>VOLUME</stp>
        <stp>.SPX250919P5540</stp>
        <tr r="Q119" s="2"/>
      </tp>
      <tp t="s">
        <v>N/A</v>
        <stp/>
        <stp>VOLUME</stp>
        <stp>.SPX250815P5580</stp>
        <tr r="O115" s="2"/>
      </tp>
      <tp t="s">
        <v>N/A</v>
        <stp/>
        <stp>VOLUME</stp>
        <stp>.SPX250718C5520</stp>
        <tr r="M121" s="2"/>
      </tp>
      <tp t="s">
        <v>N/A</v>
        <stp/>
        <stp>VOLUME</stp>
        <stp>.SPX250523C5690</stp>
        <tr r="H104" s="2"/>
      </tp>
      <tp t="s">
        <v>N/A</v>
        <stp/>
        <stp>VOLUME</stp>
        <stp>.SPX250919C5530</stp>
        <tr r="Q120" s="2"/>
      </tp>
      <tp t="s">
        <v>N/A</v>
        <stp/>
        <stp>VOLUME</stp>
        <stp>.SPX251219C5530</stp>
        <tr r="W120" s="2"/>
      </tp>
      <tp t="s">
        <v>N/A</v>
        <stp/>
        <stp>VOLUME</stp>
        <stp>.SPX251219P5530</stp>
        <tr r="W120" s="2"/>
      </tp>
      <tp t="s">
        <v>N/A</v>
        <stp/>
        <stp>VOLUME</stp>
        <stp>.SPX250718P5520</stp>
        <tr r="M121" s="2"/>
      </tp>
      <tp t="s">
        <v>N/A</v>
        <stp/>
        <stp>VOLUME</stp>
        <stp>.SPX250523P5690</stp>
        <tr r="H104" s="2"/>
      </tp>
      <tp t="s">
        <v>N/A</v>
        <stp/>
        <stp>VOLUME</stp>
        <stp>.SPX250919P5530</stp>
        <tr r="Q120" s="2"/>
      </tp>
      <tp t="s">
        <v>N/A</v>
        <stp/>
        <stp>VOLUME</stp>
        <stp>.SPX250718C5530</stp>
        <tr r="M120" s="2"/>
      </tp>
      <tp t="s">
        <v>N/A</v>
        <stp/>
        <stp>VOLUME</stp>
        <stp>.SPX250523C5680</stp>
        <tr r="H105" s="2"/>
      </tp>
      <tp t="s">
        <v>N/A</v>
        <stp/>
        <stp>VOLUME</stp>
        <stp>.SPX250919C5520</stp>
        <tr r="Q121" s="2"/>
      </tp>
      <tp t="s">
        <v>N/A</v>
        <stp/>
        <stp>VOLUME</stp>
        <stp>.SPX251219C5520</stp>
        <tr r="W121" s="2"/>
      </tp>
      <tp t="s">
        <v>N/A</v>
        <stp/>
        <stp>VOLUME</stp>
        <stp>.SPX251219P5520</stp>
        <tr r="W121" s="2"/>
      </tp>
      <tp t="s">
        <v>N/A</v>
        <stp/>
        <stp>VOLUME</stp>
        <stp>.SPX250718P5530</stp>
        <tr r="M120" s="2"/>
      </tp>
      <tp t="s">
        <v>N/A</v>
        <stp/>
        <stp>VOLUME</stp>
        <stp>.SPX250523P5680</stp>
        <tr r="H105" s="2"/>
      </tp>
      <tp t="s">
        <v>N/A</v>
        <stp/>
        <stp>VOLUME</stp>
        <stp>.SPX250919P5520</stp>
        <tr r="Q121" s="2"/>
      </tp>
      <tp t="s">
        <v>N/A</v>
        <stp/>
        <stp>VOLUME</stp>
        <stp>.SPX250718C5500</stp>
        <tr r="M123" s="2"/>
      </tp>
      <tp t="s">
        <v>N/A</v>
        <stp/>
        <stp>VOLUME</stp>
        <stp>.SPX250620C5680</stp>
        <tr r="K105" s="2"/>
      </tp>
      <tp t="s">
        <v>N/A</v>
        <stp/>
        <stp>VOLUME</stp>
        <stp>.SPX250919C5510</stp>
        <tr r="Q122" s="2"/>
      </tp>
      <tp t="s">
        <v>N/A</v>
        <stp/>
        <stp>VOLUME</stp>
        <stp>.SPX251219C5510</stp>
        <tr r="W122" s="2"/>
      </tp>
      <tp t="s">
        <v>N/A</v>
        <stp/>
        <stp>VOLUME</stp>
        <stp>.SPX251121C5690</stp>
        <tr r="U104" s="2"/>
      </tp>
      <tp t="s">
        <v>N/A</v>
        <stp/>
        <stp>VOLUME</stp>
        <stp>.SPX251219P5510</stp>
        <tr r="W122" s="2"/>
      </tp>
      <tp t="s">
        <v>N/A</v>
        <stp/>
        <stp>VOLUME</stp>
        <stp>.SPX251121P5690</stp>
        <tr r="U104" s="2"/>
      </tp>
      <tp t="s">
        <v>N/A</v>
        <stp/>
        <stp>VOLUME</stp>
        <stp>.SPX250718P5500</stp>
        <tr r="M123" s="2"/>
      </tp>
      <tp t="s">
        <v>N/A</v>
        <stp/>
        <stp>VOLUME</stp>
        <stp>.SPX250620P5680</stp>
        <tr r="K105" s="2"/>
      </tp>
      <tp t="s">
        <v>N/A</v>
        <stp/>
        <stp>VOLUME</stp>
        <stp>.SPX250919P5510</stp>
        <tr r="Q122" s="2"/>
      </tp>
      <tp t="s">
        <v>N/A</v>
        <stp/>
        <stp>VOLUME</stp>
        <stp>.SPX250718C5510</stp>
        <tr r="M122" s="2"/>
      </tp>
      <tp t="s">
        <v>N/A</v>
        <stp/>
        <stp>VOLUME</stp>
        <stp>.SPX250620C5690</stp>
        <tr r="K104" s="2"/>
      </tp>
      <tp t="s">
        <v>N/A</v>
        <stp/>
        <stp>VOLUME</stp>
        <stp>.SPX250919C5500</stp>
        <tr r="Q123" s="2"/>
      </tp>
      <tp t="s">
        <v>N/A</v>
        <stp/>
        <stp>VOLUME</stp>
        <stp>.SPX251219C5500</stp>
        <tr r="W123" s="2"/>
      </tp>
      <tp t="s">
        <v>N/A</v>
        <stp/>
        <stp>VOLUME</stp>
        <stp>.SPX251121C5680</stp>
        <tr r="U105" s="2"/>
      </tp>
      <tp t="s">
        <v>N/A</v>
        <stp/>
        <stp>VOLUME</stp>
        <stp>.SPX251219P5500</stp>
        <tr r="W123" s="2"/>
      </tp>
      <tp t="s">
        <v>N/A</v>
        <stp/>
        <stp>VOLUME</stp>
        <stp>.SPX251121P5680</stp>
        <tr r="U105" s="2"/>
      </tp>
      <tp t="s">
        <v>N/A</v>
        <stp/>
        <stp>VOLUME</stp>
        <stp>.SPX250718P5510</stp>
        <tr r="M122" s="2"/>
      </tp>
      <tp t="s">
        <v>N/A</v>
        <stp/>
        <stp>VOLUME</stp>
        <stp>.SPX250620P5690</stp>
        <tr r="K104" s="2"/>
      </tp>
      <tp t="s">
        <v>N/A</v>
        <stp/>
        <stp>VOLUME</stp>
        <stp>.SPX250919P5500</stp>
        <tr r="Q123" s="2"/>
      </tp>
      <tp t="s">
        <v>27.41%</v>
        <stp/>
        <stp>IMPL_VOL</stp>
        <stp>.NDX250516C19500</stp>
        <tr r="EP175" s="1"/>
      </tp>
      <tp t="s">
        <v>27.09%</v>
        <stp/>
        <stp>IMPL_VOL</stp>
        <stp>.NDX250516C19525</stp>
        <tr r="EP174" s="1"/>
      </tp>
      <tp t="s">
        <v>27.01%</v>
        <stp/>
        <stp>IMPL_VOL</stp>
        <stp>.NDX250516C19550</stp>
        <tr r="EP173" s="1"/>
      </tp>
      <tp t="s">
        <v>26.78%</v>
        <stp/>
        <stp>IMPL_VOL</stp>
        <stp>.NDX250516C19575</stp>
        <tr r="EP172" s="1"/>
      </tp>
      <tp t="s">
        <v>25.61%</v>
        <stp/>
        <stp>IMPL_VOL</stp>
        <stp>.NDX250516P19525</stp>
        <tr r="EQ174" s="1"/>
      </tp>
      <tp t="s">
        <v>25.75%</v>
        <stp/>
        <stp>IMPL_VOL</stp>
        <stp>.NDX250516P19500</stp>
        <tr r="EQ175" s="1"/>
      </tp>
      <tp t="s">
        <v>25.37%</v>
        <stp/>
        <stp>IMPL_VOL</stp>
        <stp>.NDX250516P19575</stp>
        <tr r="EQ172" s="1"/>
      </tp>
      <tp t="s">
        <v>25.49%</v>
        <stp/>
        <stp>IMPL_VOL</stp>
        <stp>.NDX250516P19550</stp>
        <tr r="EQ173" s="1"/>
      </tp>
      <tp t="s">
        <v>N/A</v>
        <stp/>
        <stp>VOLUME</stp>
        <stp>.SPX250620C5560</stp>
        <tr r="K117" s="2"/>
      </tp>
      <tp t="s">
        <v>N/A</v>
        <stp/>
        <stp>VOLUME</stp>
        <stp>.SPX250523C5550</stp>
        <tr r="H118" s="2"/>
      </tp>
      <tp t="s">
        <v>N/A</v>
        <stp/>
        <stp>VOLUME</stp>
        <stp>.SPX250815C5630</stp>
        <tr r="O110" s="2"/>
      </tp>
      <tp t="s">
        <v>N/A</v>
        <stp/>
        <stp>VOLUME</stp>
        <stp>.SPX251121C5570</stp>
        <tr r="U116" s="2"/>
      </tp>
      <tp t="s">
        <v>N/A</v>
        <stp/>
        <stp>VOLUME</stp>
        <stp>.SPX251017C5610</stp>
        <tr r="S112" s="2"/>
      </tp>
      <tp t="s">
        <v>N/A</v>
        <stp/>
        <stp>VOLUME</stp>
        <stp>.SPX251121P5570</stp>
        <tr r="U116" s="2"/>
      </tp>
      <tp t="s">
        <v>N/A</v>
        <stp/>
        <stp>VOLUME</stp>
        <stp>.SPX251017P5610</stp>
        <tr r="S112" s="2"/>
      </tp>
      <tp t="s">
        <v>N/A</v>
        <stp/>
        <stp>VOLUME</stp>
        <stp>.SPX250620P5560</stp>
        <tr r="K117" s="2"/>
      </tp>
      <tp t="s">
        <v>N/A</v>
        <stp/>
        <stp>VOLUME</stp>
        <stp>.SPX250523P5550</stp>
        <tr r="H118" s="2"/>
      </tp>
      <tp t="s">
        <v>N/A</v>
        <stp/>
        <stp>VOLUME</stp>
        <stp>.SPX250815P5630</stp>
        <tr r="O110" s="2"/>
      </tp>
      <tp t="s">
        <v>N/A</v>
        <stp/>
        <stp>VOLUME</stp>
        <stp>.SPX250620C5570</stp>
        <tr r="K116" s="2"/>
      </tp>
      <tp t="s">
        <v>N/A</v>
        <stp/>
        <stp>VOLUME</stp>
        <stp>.SPX250523C5540</stp>
        <tr r="H119" s="2"/>
      </tp>
      <tp t="s">
        <v>N/A</v>
        <stp/>
        <stp>VOLUME</stp>
        <stp>.SPX250815C5620</stp>
        <tr r="O111" s="2"/>
      </tp>
      <tp t="s">
        <v>N/A</v>
        <stp/>
        <stp>VOLUME</stp>
        <stp>.SPX251121C5560</stp>
        <tr r="U117" s="2"/>
      </tp>
      <tp t="s">
        <v>N/A</v>
        <stp/>
        <stp>VOLUME</stp>
        <stp>.SPX251017C5600</stp>
        <tr r="S113" s="2"/>
      </tp>
      <tp t="s">
        <v>N/A</v>
        <stp/>
        <stp>VOLUME</stp>
        <stp>.SPX251121P5560</stp>
        <tr r="U117" s="2"/>
      </tp>
      <tp t="s">
        <v>N/A</v>
        <stp/>
        <stp>VOLUME</stp>
        <stp>.SPX251017P5600</stp>
        <tr r="S113" s="2"/>
      </tp>
      <tp t="s">
        <v>N/A</v>
        <stp/>
        <stp>VOLUME</stp>
        <stp>.SPX250620P5570</stp>
        <tr r="K116" s="2"/>
      </tp>
      <tp t="s">
        <v>N/A</v>
        <stp/>
        <stp>VOLUME</stp>
        <stp>.SPX250523P5540</stp>
        <tr r="H119" s="2"/>
      </tp>
      <tp t="s">
        <v>N/A</v>
        <stp/>
        <stp>VOLUME</stp>
        <stp>.SPX250815P5620</stp>
        <tr r="O111" s="2"/>
      </tp>
      <tp t="s">
        <v>N/A</v>
        <stp/>
        <stp>VOLUME</stp>
        <stp>.SPX250620C5540</stp>
        <tr r="K119" s="2"/>
      </tp>
      <tp t="s">
        <v>N/A</v>
        <stp/>
        <stp>VOLUME</stp>
        <stp>.SPX250523C5570</stp>
        <tr r="H116" s="2"/>
      </tp>
      <tp t="s">
        <v>N/A</v>
        <stp/>
        <stp>VOLUME</stp>
        <stp>.SPX250815C5610</stp>
        <tr r="O112" s="2"/>
      </tp>
      <tp t="s">
        <v>N/A</v>
        <stp/>
        <stp>VOLUME</stp>
        <stp>.SPX251121C5550</stp>
        <tr r="U118" s="2"/>
      </tp>
      <tp t="s">
        <v>N/A</v>
        <stp/>
        <stp>VOLUME</stp>
        <stp>.SPX251017C5630</stp>
        <tr r="S110" s="2"/>
      </tp>
      <tp t="s">
        <v>N/A</v>
        <stp/>
        <stp>VOLUME</stp>
        <stp>.SPX251121P5550</stp>
        <tr r="U118" s="2"/>
      </tp>
      <tp t="s">
        <v>N/A</v>
        <stp/>
        <stp>VOLUME</stp>
        <stp>.SPX251017P5630</stp>
        <tr r="S110" s="2"/>
      </tp>
      <tp t="s">
        <v>N/A</v>
        <stp/>
        <stp>VOLUME</stp>
        <stp>.SPX250620P5540</stp>
        <tr r="K119" s="2"/>
      </tp>
      <tp t="s">
        <v>N/A</v>
        <stp/>
        <stp>VOLUME</stp>
        <stp>.SPX250523P5570</stp>
        <tr r="H116" s="2"/>
      </tp>
      <tp t="s">
        <v>N/A</v>
        <stp/>
        <stp>VOLUME</stp>
        <stp>.SPX250815P5610</stp>
        <tr r="O112" s="2"/>
      </tp>
      <tp t="s">
        <v>N/A</v>
        <stp/>
        <stp>VOLUME</stp>
        <stp>.SPX250620C5550</stp>
        <tr r="K118" s="2"/>
      </tp>
      <tp t="s">
        <v>N/A</v>
        <stp/>
        <stp>VOLUME</stp>
        <stp>.SPX250523C5560</stp>
        <tr r="H117" s="2"/>
      </tp>
      <tp t="s">
        <v>N/A</v>
        <stp/>
        <stp>VOLUME</stp>
        <stp>.SPX250815C5600</stp>
        <tr r="O113" s="2"/>
      </tp>
      <tp t="s">
        <v>N/A</v>
        <stp/>
        <stp>VOLUME</stp>
        <stp>.SPX251121C5540</stp>
        <tr r="U119" s="2"/>
      </tp>
      <tp t="s">
        <v>N/A</v>
        <stp/>
        <stp>VOLUME</stp>
        <stp>.SPX251017C5620</stp>
        <tr r="S111" s="2"/>
      </tp>
      <tp t="s">
        <v>N/A</v>
        <stp/>
        <stp>VOLUME</stp>
        <stp>.SPX251121P5540</stp>
        <tr r="U119" s="2"/>
      </tp>
      <tp t="s">
        <v>N/A</v>
        <stp/>
        <stp>VOLUME</stp>
        <stp>.SPX251017P5620</stp>
        <tr r="S111" s="2"/>
      </tp>
      <tp t="s">
        <v>N/A</v>
        <stp/>
        <stp>VOLUME</stp>
        <stp>.SPX250620P5550</stp>
        <tr r="K118" s="2"/>
      </tp>
      <tp t="s">
        <v>N/A</v>
        <stp/>
        <stp>VOLUME</stp>
        <stp>.SPX250523P5560</stp>
        <tr r="H117" s="2"/>
      </tp>
      <tp t="s">
        <v>N/A</v>
        <stp/>
        <stp>VOLUME</stp>
        <stp>.SPX250815P5600</stp>
        <tr r="O113" s="2"/>
      </tp>
      <tp t="s">
        <v>N/A</v>
        <stp/>
        <stp>VOLUME</stp>
        <stp>.SPX250620C5520</stp>
        <tr r="K121" s="2"/>
      </tp>
      <tp t="s">
        <v>N/A</v>
        <stp/>
        <stp>VOLUME</stp>
        <stp>.SPX250523C5510</stp>
        <tr r="H122" s="2"/>
      </tp>
      <tp t="s">
        <v>N/A</v>
        <stp/>
        <stp>VOLUME</stp>
        <stp>.SPX250815C5670</stp>
        <tr r="O106" s="2"/>
      </tp>
      <tp t="s">
        <v>N/A</v>
        <stp/>
        <stp>VOLUME</stp>
        <stp>.SPX251121C5530</stp>
        <tr r="U120" s="2"/>
      </tp>
      <tp t="s">
        <v>N/A</v>
        <stp/>
        <stp>VOLUME</stp>
        <stp>.SPX251017C5650</stp>
        <tr r="S108" s="2"/>
      </tp>
      <tp t="s">
        <v>N/A</v>
        <stp/>
        <stp>VOLUME</stp>
        <stp>.SPX251121P5530</stp>
        <tr r="U120" s="2"/>
      </tp>
      <tp t="s">
        <v>N/A</v>
        <stp/>
        <stp>VOLUME</stp>
        <stp>.SPX251017P5650</stp>
        <tr r="S108" s="2"/>
      </tp>
      <tp t="s">
        <v>N/A</v>
        <stp/>
        <stp>VOLUME</stp>
        <stp>.SPX250620P5520</stp>
        <tr r="K121" s="2"/>
      </tp>
      <tp t="s">
        <v>N/A</v>
        <stp/>
        <stp>VOLUME</stp>
        <stp>.SPX250523P5510</stp>
        <tr r="H122" s="2"/>
      </tp>
      <tp t="s">
        <v>N/A</v>
        <stp/>
        <stp>VOLUME</stp>
        <stp>.SPX250815P5670</stp>
        <tr r="O106" s="2"/>
      </tp>
      <tp t="s">
        <v>N/A</v>
        <stp/>
        <stp>VOLUME</stp>
        <stp>.SPX250620C5530</stp>
        <tr r="K120" s="2"/>
      </tp>
      <tp t="s">
        <v>N/A</v>
        <stp/>
        <stp>VOLUME</stp>
        <stp>.SPX250523C5500</stp>
        <tr r="H123" s="2"/>
      </tp>
      <tp t="s">
        <v>N/A</v>
        <stp/>
        <stp>VOLUME</stp>
        <stp>.SPX250815C5660</stp>
        <tr r="O107" s="2"/>
      </tp>
      <tp t="s">
        <v>N/A</v>
        <stp/>
        <stp>VOLUME</stp>
        <stp>.SPX251121C5520</stp>
        <tr r="U121" s="2"/>
      </tp>
      <tp t="s">
        <v>N/A</v>
        <stp/>
        <stp>VOLUME</stp>
        <stp>.SPX251017C5640</stp>
        <tr r="S109" s="2"/>
      </tp>
      <tp t="s">
        <v>N/A</v>
        <stp/>
        <stp>VOLUME</stp>
        <stp>.SPX251121P5520</stp>
        <tr r="U121" s="2"/>
      </tp>
      <tp t="s">
        <v>N/A</v>
        <stp/>
        <stp>VOLUME</stp>
        <stp>.SPX251017P5640</stp>
        <tr r="S109" s="2"/>
      </tp>
      <tp t="s">
        <v>N/A</v>
        <stp/>
        <stp>VOLUME</stp>
        <stp>.SPX250620P5530</stp>
        <tr r="K120" s="2"/>
      </tp>
      <tp t="s">
        <v>N/A</v>
        <stp/>
        <stp>VOLUME</stp>
        <stp>.SPX250523P5500</stp>
        <tr r="H123" s="2"/>
      </tp>
      <tp t="s">
        <v>N/A</v>
        <stp/>
        <stp>VOLUME</stp>
        <stp>.SPX250815P5660</stp>
        <tr r="O107" s="2"/>
      </tp>
      <tp t="s">
        <v>N/A</v>
        <stp/>
        <stp>VOLUME</stp>
        <stp>.SPX250718C5680</stp>
        <tr r="M105" s="2"/>
      </tp>
      <tp t="s">
        <v>N/A</v>
        <stp/>
        <stp>VOLUME</stp>
        <stp>.SPX250620C5500</stp>
        <tr r="K123" s="2"/>
      </tp>
      <tp t="s">
        <v>N/A</v>
        <stp/>
        <stp>VOLUME</stp>
        <stp>.SPX250523C5530</stp>
        <tr r="H120" s="2"/>
      </tp>
      <tp t="s">
        <v>N/A</v>
        <stp/>
        <stp>VOLUME</stp>
        <stp>.SPX250919C5690</stp>
        <tr r="Q104" s="2"/>
      </tp>
      <tp t="s">
        <v>N/A</v>
        <stp/>
        <stp>VOLUME</stp>
        <stp>.SPX250815C5650</stp>
        <tr r="O108" s="2"/>
      </tp>
      <tp t="s">
        <v>N/A</v>
        <stp/>
        <stp>VOLUME</stp>
        <stp>.SPX251219C5690</stp>
        <tr r="W104" s="2"/>
      </tp>
      <tp t="s">
        <v>N/A</v>
        <stp/>
        <stp>VOLUME</stp>
        <stp>.SPX251121C5510</stp>
        <tr r="U122" s="2"/>
      </tp>
      <tp t="s">
        <v>N/A</v>
        <stp/>
        <stp>VOLUME</stp>
        <stp>.SPX251017C5670</stp>
        <tr r="S106" s="2"/>
      </tp>
      <tp t="s">
        <v>N/A</v>
        <stp/>
        <stp>VOLUME</stp>
        <stp>.SPX251219P5690</stp>
        <tr r="W104" s="2"/>
      </tp>
      <tp t="s">
        <v>N/A</v>
        <stp/>
        <stp>VOLUME</stp>
        <stp>.SPX251121P5510</stp>
        <tr r="U122" s="2"/>
      </tp>
      <tp t="s">
        <v>N/A</v>
        <stp/>
        <stp>VOLUME</stp>
        <stp>.SPX251017P5670</stp>
        <tr r="S106" s="2"/>
      </tp>
      <tp t="s">
        <v>N/A</v>
        <stp/>
        <stp>VOLUME</stp>
        <stp>.SPX250718P5680</stp>
        <tr r="M105" s="2"/>
      </tp>
      <tp>
        <v>1</v>
        <stp/>
        <stp>VOLUME</stp>
        <stp>.SPX250620P5500</stp>
        <tr r="K123" s="2"/>
        <tr r="K123" s="2"/>
      </tp>
      <tp t="s">
        <v>N/A</v>
        <stp/>
        <stp>VOLUME</stp>
        <stp>.SPX250523P5530</stp>
        <tr r="H120" s="2"/>
      </tp>
      <tp t="s">
        <v>N/A</v>
        <stp/>
        <stp>VOLUME</stp>
        <stp>.SPX250919P5690</stp>
        <tr r="Q104" s="2"/>
      </tp>
      <tp t="s">
        <v>N/A</v>
        <stp/>
        <stp>VOLUME</stp>
        <stp>.SPX250815P5650</stp>
        <tr r="O108" s="2"/>
      </tp>
      <tp t="s">
        <v>N/A</v>
        <stp/>
        <stp>VOLUME</stp>
        <stp>.SPX250718C5690</stp>
        <tr r="M104" s="2"/>
      </tp>
      <tp t="s">
        <v>N/A</v>
        <stp/>
        <stp>VOLUME</stp>
        <stp>.SPX250620C5510</stp>
        <tr r="K122" s="2"/>
      </tp>
      <tp t="s">
        <v>N/A</v>
        <stp/>
        <stp>VOLUME</stp>
        <stp>.SPX250523C5520</stp>
        <tr r="H121" s="2"/>
      </tp>
      <tp t="s">
        <v>N/A</v>
        <stp/>
        <stp>VOLUME</stp>
        <stp>.SPX250919C5680</stp>
        <tr r="Q105" s="2"/>
      </tp>
      <tp t="s">
        <v>N/A</v>
        <stp/>
        <stp>VOLUME</stp>
        <stp>.SPX250815C5640</stp>
        <tr r="O109" s="2"/>
      </tp>
      <tp t="s">
        <v>N/A</v>
        <stp/>
        <stp>VOLUME</stp>
        <stp>.SPX251219C5680</stp>
        <tr r="W105" s="2"/>
      </tp>
      <tp t="s">
        <v>N/A</v>
        <stp/>
        <stp>VOLUME</stp>
        <stp>.SPX251121C5500</stp>
        <tr r="U123" s="2"/>
      </tp>
      <tp t="s">
        <v>N/A</v>
        <stp/>
        <stp>VOLUME</stp>
        <stp>.SPX251017C5660</stp>
        <tr r="S107" s="2"/>
      </tp>
      <tp t="s">
        <v>N/A</v>
        <stp/>
        <stp>VOLUME</stp>
        <stp>.SPX251219P5680</stp>
        <tr r="W105" s="2"/>
      </tp>
      <tp t="s">
        <v>N/A</v>
        <stp/>
        <stp>VOLUME</stp>
        <stp>.SPX251121P5500</stp>
        <tr r="U123" s="2"/>
      </tp>
      <tp t="s">
        <v>N/A</v>
        <stp/>
        <stp>VOLUME</stp>
        <stp>.SPX251017P5660</stp>
        <tr r="S107" s="2"/>
      </tp>
      <tp t="s">
        <v>N/A</v>
        <stp/>
        <stp>VOLUME</stp>
        <stp>.SPX250718P5690</stp>
        <tr r="M104" s="2"/>
      </tp>
      <tp t="s">
        <v>N/A</v>
        <stp/>
        <stp>VOLUME</stp>
        <stp>.SPX250620P5510</stp>
        <tr r="K122" s="2"/>
      </tp>
      <tp t="s">
        <v>N/A</v>
        <stp/>
        <stp>VOLUME</stp>
        <stp>.SPX250523P5520</stp>
        <tr r="H121" s="2"/>
      </tp>
      <tp t="s">
        <v>N/A</v>
        <stp/>
        <stp>VOLUME</stp>
        <stp>.SPX250919P5680</stp>
        <tr r="Q105" s="2"/>
      </tp>
      <tp t="s">
        <v>N/A</v>
        <stp/>
        <stp>VOLUME</stp>
        <stp>.SPX250815P5640</stp>
        <tr r="O109" s="2"/>
      </tp>
      <tp t="s">
        <v>N/A</v>
        <stp/>
        <stp>VOLUME</stp>
        <stp>.SPX250718C5660</stp>
        <tr r="M107" s="2"/>
      </tp>
      <tp t="s">
        <v>N/A</v>
        <stp/>
        <stp>VOLUME</stp>
        <stp>.SPX250919C5670</stp>
        <tr r="Q106" s="2"/>
      </tp>
      <tp t="s">
        <v>N/A</v>
        <stp/>
        <stp>VOLUME</stp>
        <stp>.SPX251219C5670</stp>
        <tr r="W106" s="2"/>
      </tp>
      <tp t="s">
        <v>N/A</v>
        <stp/>
        <stp>VOLUME</stp>
        <stp>.SPX251017C5690</stp>
        <tr r="S104" s="2"/>
      </tp>
      <tp t="s">
        <v>N/A</v>
        <stp/>
        <stp>VOLUME</stp>
        <stp>.SPX251219P5670</stp>
        <tr r="W106" s="2"/>
      </tp>
      <tp t="s">
        <v>N/A</v>
        <stp/>
        <stp>VOLUME</stp>
        <stp>.SPX251017P5690</stp>
        <tr r="S104" s="2"/>
      </tp>
      <tp t="s">
        <v>N/A</v>
        <stp/>
        <stp>VOLUME</stp>
        <stp>.SPX250718P5660</stp>
        <tr r="M107" s="2"/>
      </tp>
      <tp t="s">
        <v>N/A</v>
        <stp/>
        <stp>VOLUME</stp>
        <stp>.SPX250919P5670</stp>
        <tr r="Q106" s="2"/>
      </tp>
      <tp t="s">
        <v>N/A</v>
        <stp/>
        <stp>VOLUME</stp>
        <stp>.SPX250718C5670</stp>
        <tr r="M106" s="2"/>
      </tp>
      <tp t="s">
        <v>N/A</v>
        <stp/>
        <stp>VOLUME</stp>
        <stp>.SPX250919C5660</stp>
        <tr r="Q107" s="2"/>
      </tp>
      <tp t="s">
        <v>N/A</v>
        <stp/>
        <stp>VOLUME</stp>
        <stp>.SPX251219C5660</stp>
        <tr r="W107" s="2"/>
      </tp>
      <tp t="s">
        <v>N/A</v>
        <stp/>
        <stp>VOLUME</stp>
        <stp>.SPX251017C5680</stp>
        <tr r="S105" s="2"/>
      </tp>
      <tp t="s">
        <v>N/A</v>
        <stp/>
        <stp>VOLUME</stp>
        <stp>.SPX251219P5660</stp>
        <tr r="W107" s="2"/>
      </tp>
      <tp t="s">
        <v>N/A</v>
        <stp/>
        <stp>VOLUME</stp>
        <stp>.SPX251017P5680</stp>
        <tr r="S105" s="2"/>
      </tp>
      <tp t="s">
        <v>N/A</v>
        <stp/>
        <stp>VOLUME</stp>
        <stp>.SPX250718P5670</stp>
        <tr r="M106" s="2"/>
      </tp>
      <tp t="s">
        <v>N/A</v>
        <stp/>
        <stp>VOLUME</stp>
        <stp>.SPX250919P5660</stp>
        <tr r="Q107" s="2"/>
      </tp>
      <tp t="s">
        <v>N/A</v>
        <stp/>
        <stp>VOLUME</stp>
        <stp>.SPX250718C5640</stp>
        <tr r="M109" s="2"/>
      </tp>
      <tp t="s">
        <v>N/A</v>
        <stp/>
        <stp>VOLUME</stp>
        <stp>.SPX250919C5650</stp>
        <tr r="Q108" s="2"/>
      </tp>
      <tp t="s">
        <v>N/A</v>
        <stp/>
        <stp>VOLUME</stp>
        <stp>.SPX250815C5690</stp>
        <tr r="O104" s="2"/>
      </tp>
      <tp t="s">
        <v>N/A</v>
        <stp/>
        <stp>VOLUME</stp>
        <stp>.SPX251219C5650</stp>
        <tr r="W108" s="2"/>
      </tp>
      <tp t="s">
        <v>N/A</v>
        <stp/>
        <stp>VOLUME</stp>
        <stp>.SPX251219P5650</stp>
        <tr r="W108" s="2"/>
      </tp>
      <tp t="s">
        <v>N/A</v>
        <stp/>
        <stp>VOLUME</stp>
        <stp>.SPX250718P5640</stp>
        <tr r="M109" s="2"/>
      </tp>
      <tp t="s">
        <v>N/A</v>
        <stp/>
        <stp>VOLUME</stp>
        <stp>.SPX250919P5650</stp>
        <tr r="Q108" s="2"/>
      </tp>
      <tp t="s">
        <v>N/A</v>
        <stp/>
        <stp>VOLUME</stp>
        <stp>.SPX250815P5690</stp>
        <tr r="O104" s="2"/>
      </tp>
      <tp t="s">
        <v>N/A</v>
        <stp/>
        <stp>VOLUME</stp>
        <stp>.SPX250718C5650</stp>
        <tr r="M108" s="2"/>
      </tp>
      <tp t="s">
        <v>N/A</v>
        <stp/>
        <stp>VOLUME</stp>
        <stp>.SPX250919C5640</stp>
        <tr r="Q109" s="2"/>
      </tp>
      <tp t="s">
        <v>N/A</v>
        <stp/>
        <stp>VOLUME</stp>
        <stp>.SPX250815C5680</stp>
        <tr r="O105" s="2"/>
      </tp>
      <tp t="s">
        <v>N/A</v>
        <stp/>
        <stp>VOLUME</stp>
        <stp>.SPX251219C5640</stp>
        <tr r="W109" s="2"/>
      </tp>
      <tp t="s">
        <v>N/A</v>
        <stp/>
        <stp>VOLUME</stp>
        <stp>.SPX251219P5640</stp>
        <tr r="W109" s="2"/>
      </tp>
      <tp t="s">
        <v>N/A</v>
        <stp/>
        <stp>VOLUME</stp>
        <stp>.SPX250718P5650</stp>
        <tr r="M108" s="2"/>
      </tp>
      <tp t="s">
        <v>N/A</v>
        <stp/>
        <stp>VOLUME</stp>
        <stp>.SPX250919P5640</stp>
        <tr r="Q109" s="2"/>
      </tp>
      <tp t="s">
        <v>N/A</v>
        <stp/>
        <stp>VOLUME</stp>
        <stp>.SPX250815P5680</stp>
        <tr r="O105" s="2"/>
      </tp>
      <tp t="s">
        <v>N/A</v>
        <stp/>
        <stp>VOLUME</stp>
        <stp>.SPX250718C5620</stp>
        <tr r="M111" s="2"/>
      </tp>
      <tp t="s">
        <v>N/A</v>
        <stp/>
        <stp>VOLUME</stp>
        <stp>.SPX250523C5590</stp>
        <tr r="H114" s="2"/>
      </tp>
      <tp t="s">
        <v>N/A</v>
        <stp/>
        <stp>VOLUME</stp>
        <stp>.SPX250919C5630</stp>
        <tr r="Q110" s="2"/>
      </tp>
      <tp t="s">
        <v>N/A</v>
        <stp/>
        <stp>VOLUME</stp>
        <stp>.SPX251219C5630</stp>
        <tr r="W110" s="2"/>
      </tp>
      <tp t="s">
        <v>N/A</v>
        <stp/>
        <stp>VOLUME</stp>
        <stp>.SPX251219P5630</stp>
        <tr r="W110" s="2"/>
      </tp>
      <tp t="s">
        <v>N/A</v>
        <stp/>
        <stp>VOLUME</stp>
        <stp>.SPX250718P5620</stp>
        <tr r="M111" s="2"/>
      </tp>
      <tp t="s">
        <v>N/A</v>
        <stp/>
        <stp>VOLUME</stp>
        <stp>.SPX250523P5590</stp>
        <tr r="H114" s="2"/>
      </tp>
      <tp t="s">
        <v>N/A</v>
        <stp/>
        <stp>VOLUME</stp>
        <stp>.SPX250919P5630</stp>
        <tr r="Q110" s="2"/>
      </tp>
      <tp t="s">
        <v>N/A</v>
        <stp/>
        <stp>VOLUME</stp>
        <stp>.SPX250718C5630</stp>
        <tr r="M110" s="2"/>
      </tp>
      <tp t="s">
        <v>N/A</v>
        <stp/>
        <stp>VOLUME</stp>
        <stp>.SPX250523C5580</stp>
        <tr r="H115" s="2"/>
      </tp>
      <tp t="s">
        <v>N/A</v>
        <stp/>
        <stp>VOLUME</stp>
        <stp>.SPX250919C5620</stp>
        <tr r="Q111" s="2"/>
      </tp>
      <tp t="s">
        <v>N/A</v>
        <stp/>
        <stp>VOLUME</stp>
        <stp>.SPX251219C5620</stp>
        <tr r="W111" s="2"/>
      </tp>
      <tp t="s">
        <v>N/A</v>
        <stp/>
        <stp>VOLUME</stp>
        <stp>.SPX251219P5620</stp>
        <tr r="W111" s="2"/>
      </tp>
      <tp t="s">
        <v>N/A</v>
        <stp/>
        <stp>VOLUME</stp>
        <stp>.SPX250718P5630</stp>
        <tr r="M110" s="2"/>
      </tp>
      <tp t="s">
        <v>N/A</v>
        <stp/>
        <stp>VOLUME</stp>
        <stp>.SPX250523P5580</stp>
        <tr r="H115" s="2"/>
      </tp>
      <tp t="s">
        <v>N/A</v>
        <stp/>
        <stp>VOLUME</stp>
        <stp>.SPX250919P5620</stp>
        <tr r="Q111" s="2"/>
      </tp>
      <tp t="s">
        <v>N/A</v>
        <stp/>
        <stp>VOLUME</stp>
        <stp>.SPX250718C5600</stp>
        <tr r="M113" s="2"/>
      </tp>
      <tp t="s">
        <v>N/A</v>
        <stp/>
        <stp>VOLUME</stp>
        <stp>.SPX250620C5580</stp>
        <tr r="K115" s="2"/>
      </tp>
      <tp t="s">
        <v>N/A</v>
        <stp/>
        <stp>VOLUME</stp>
        <stp>.SPX250919C5610</stp>
        <tr r="Q112" s="2"/>
      </tp>
      <tp t="s">
        <v>N/A</v>
        <stp/>
        <stp>VOLUME</stp>
        <stp>.SPX251219C5610</stp>
        <tr r="W112" s="2"/>
      </tp>
      <tp t="s">
        <v>N/A</v>
        <stp/>
        <stp>VOLUME</stp>
        <stp>.SPX251121C5590</stp>
        <tr r="U114" s="2"/>
      </tp>
      <tp t="s">
        <v>N/A</v>
        <stp/>
        <stp>VOLUME</stp>
        <stp>.SPX251219P5610</stp>
        <tr r="W112" s="2"/>
      </tp>
      <tp t="s">
        <v>N/A</v>
        <stp/>
        <stp>VOLUME</stp>
        <stp>.SPX251121P5590</stp>
        <tr r="U114" s="2"/>
      </tp>
      <tp t="s">
        <v>N/A</v>
        <stp/>
        <stp>VOLUME</stp>
        <stp>.SPX250718P5600</stp>
        <tr r="M113" s="2"/>
      </tp>
      <tp t="s">
        <v>N/A</v>
        <stp/>
        <stp>VOLUME</stp>
        <stp>.SPX250620P5580</stp>
        <tr r="K115" s="2"/>
      </tp>
      <tp t="s">
        <v>N/A</v>
        <stp/>
        <stp>VOLUME</stp>
        <stp>.SPX250919P5610</stp>
        <tr r="Q112" s="2"/>
      </tp>
      <tp t="s">
        <v>N/A</v>
        <stp/>
        <stp>VOLUME</stp>
        <stp>.SPX250718C5610</stp>
        <tr r="M112" s="2"/>
      </tp>
      <tp t="s">
        <v>N/A</v>
        <stp/>
        <stp>VOLUME</stp>
        <stp>.SPX250620C5590</stp>
        <tr r="K114" s="2"/>
      </tp>
      <tp t="s">
        <v>N/A</v>
        <stp/>
        <stp>VOLUME</stp>
        <stp>.SPX250919C5600</stp>
        <tr r="Q113" s="2"/>
      </tp>
      <tp t="s">
        <v>N/A</v>
        <stp/>
        <stp>VOLUME</stp>
        <stp>.SPX251219C5600</stp>
        <tr r="W113" s="2"/>
      </tp>
      <tp t="s">
        <v>N/A</v>
        <stp/>
        <stp>VOLUME</stp>
        <stp>.SPX251121C5580</stp>
        <tr r="U115" s="2"/>
      </tp>
      <tp t="s">
        <v>N/A</v>
        <stp/>
        <stp>VOLUME</stp>
        <stp>.SPX251219P5600</stp>
        <tr r="W113" s="2"/>
      </tp>
      <tp t="s">
        <v>N/A</v>
        <stp/>
        <stp>VOLUME</stp>
        <stp>.SPX251121P5580</stp>
        <tr r="U115" s="2"/>
      </tp>
      <tp t="s">
        <v>N/A</v>
        <stp/>
        <stp>VOLUME</stp>
        <stp>.SPX250718P5610</stp>
        <tr r="M112" s="2"/>
      </tp>
      <tp t="s">
        <v>N/A</v>
        <stp/>
        <stp>VOLUME</stp>
        <stp>.SPX250620P5590</stp>
        <tr r="K114" s="2"/>
      </tp>
      <tp t="s">
        <v>N/A</v>
        <stp/>
        <stp>VOLUME</stp>
        <stp>.SPX250919P5600</stp>
        <tr r="Q113" s="2"/>
      </tp>
      <tp t="s">
        <v>28.03%</v>
        <stp/>
        <stp>IMPL_VOL</stp>
        <stp>.NDX250516C19400</stp>
        <tr r="EP179" s="1"/>
      </tp>
      <tp t="s">
        <v>22.57%</v>
        <stp/>
        <stp>IMPL_VOL</stp>
        <stp>.NDX250516C20400</stp>
        <tr r="EP139" s="1"/>
      </tp>
      <tp t="s">
        <v>27.30%</v>
        <stp/>
        <stp>IMPL_VOL</stp>
        <stp>.NDX250516C19425</stp>
        <tr r="EP178" s="1"/>
      </tp>
      <tp t="s">
        <v>22.45%</v>
        <stp/>
        <stp>IMPL_VOL</stp>
        <stp>.NDX250516C20425</stp>
        <tr r="EP138" s="1"/>
      </tp>
      <tp t="s">
        <v>27.71%</v>
        <stp/>
        <stp>IMPL_VOL</stp>
        <stp>.NDX250516C19450</stp>
        <tr r="EP177" s="1"/>
      </tp>
      <tp t="s">
        <v>22.37%</v>
        <stp/>
        <stp>IMPL_VOL</stp>
        <stp>.NDX250516C20450</stp>
        <tr r="EP137" s="1"/>
      </tp>
      <tp t="s">
        <v>27.95%</v>
        <stp/>
        <stp>IMPL_VOL</stp>
        <stp>.NDX250516C19475</stp>
        <tr r="EP176" s="1"/>
      </tp>
      <tp t="s">
        <v>26.13%</v>
        <stp/>
        <stp>IMPL_VOL</stp>
        <stp>.NDX250516P19425</stp>
        <tr r="EQ178" s="1"/>
      </tp>
      <tp t="s">
        <v>20.42%</v>
        <stp/>
        <stp>IMPL_VOL</stp>
        <stp>.NDX250516P20425</stp>
        <tr r="EQ138" s="1"/>
      </tp>
      <tp t="s">
        <v>26.22%</v>
        <stp/>
        <stp>IMPL_VOL</stp>
        <stp>.NDX250516P19400</stp>
        <tr r="EQ179" s="1"/>
      </tp>
      <tp t="s">
        <v>20.58%</v>
        <stp/>
        <stp>IMPL_VOL</stp>
        <stp>.NDX250516P20400</stp>
        <tr r="EQ139" s="1"/>
      </tp>
      <tp t="s">
        <v>25.85%</v>
        <stp/>
        <stp>IMPL_VOL</stp>
        <stp>.NDX250516P19475</stp>
        <tr r="EQ176" s="1"/>
      </tp>
      <tp t="s">
        <v>26.00%</v>
        <stp/>
        <stp>IMPL_VOL</stp>
        <stp>.NDX250516P19450</stp>
        <tr r="EQ177" s="1"/>
      </tp>
      <tp t="s">
        <v>20.27%</v>
        <stp/>
        <stp>IMPL_VOL</stp>
        <stp>.NDX250516P20450</stp>
        <tr r="EQ137" s="1"/>
      </tp>
      <tp t="s">
        <v>N/A</v>
        <stp/>
        <stp>VOLUME</stp>
        <stp>.SPX250620C5460</stp>
        <tr r="K127" s="2"/>
      </tp>
      <tp t="s">
        <v>N/A</v>
        <stp/>
        <stp>VOLUME</stp>
        <stp>.SPX250523C5450</stp>
        <tr r="H128" s="2"/>
      </tp>
      <tp t="s">
        <v>N/A</v>
        <stp/>
        <stp>VOLUME</stp>
        <stp>.SPX250815C5730</stp>
        <tr r="O100" s="2"/>
      </tp>
      <tp t="s">
        <v>N/A</v>
        <stp/>
        <stp>VOLUME</stp>
        <stp>.SPX251121C5470</stp>
        <tr r="U126" s="2"/>
      </tp>
      <tp t="s">
        <v>N/A</v>
        <stp/>
        <stp>VOLUME</stp>
        <stp>.SPX251017C5710</stp>
        <tr r="S102" s="2"/>
      </tp>
      <tp t="s">
        <v>N/A</v>
        <stp/>
        <stp>VOLUME</stp>
        <stp>.SPX251121P5470</stp>
        <tr r="U126" s="2"/>
      </tp>
      <tp t="s">
        <v>N/A</v>
        <stp/>
        <stp>VOLUME</stp>
        <stp>.SPX251017P5710</stp>
        <tr r="S102" s="2"/>
      </tp>
      <tp t="s">
        <v>N/A</v>
        <stp/>
        <stp>VOLUME</stp>
        <stp>.SPX250620P5460</stp>
        <tr r="K127" s="2"/>
      </tp>
      <tp t="s">
        <v>N/A</v>
        <stp/>
        <stp>VOLUME</stp>
        <stp>.SPX250523P5450</stp>
        <tr r="H128" s="2"/>
      </tp>
      <tp t="s">
        <v>N/A</v>
        <stp/>
        <stp>VOLUME</stp>
        <stp>.SPX250815P5730</stp>
        <tr r="O100" s="2"/>
      </tp>
      <tp t="s">
        <v>N/A</v>
        <stp/>
        <stp>VOLUME</stp>
        <stp>.SPX250620C5470</stp>
        <tr r="K126" s="2"/>
      </tp>
      <tp t="s">
        <v>N/A</v>
        <stp/>
        <stp>VOLUME</stp>
        <stp>.SPX250523C5440</stp>
        <tr r="H129" s="2"/>
      </tp>
      <tp t="s">
        <v>N/A</v>
        <stp/>
        <stp>VOLUME</stp>
        <stp>.SPX250815C5720</stp>
        <tr r="O101" s="2"/>
      </tp>
      <tp t="s">
        <v>N/A</v>
        <stp/>
        <stp>VOLUME</stp>
        <stp>.SPX251121C5460</stp>
        <tr r="U127" s="2"/>
      </tp>
      <tp t="s">
        <v>N/A</v>
        <stp/>
        <stp>VOLUME</stp>
        <stp>.SPX251017C5700</stp>
        <tr r="S103" s="2"/>
      </tp>
      <tp t="s">
        <v>N/A</v>
        <stp/>
        <stp>VOLUME</stp>
        <stp>.SPX251121P5460</stp>
        <tr r="U127" s="2"/>
      </tp>
      <tp t="s">
        <v>N/A</v>
        <stp/>
        <stp>VOLUME</stp>
        <stp>.SPX251017P5700</stp>
        <tr r="S103" s="2"/>
      </tp>
      <tp t="s">
        <v>N/A</v>
        <stp/>
        <stp>VOLUME</stp>
        <stp>.SPX250620P5470</stp>
        <tr r="K126" s="2"/>
      </tp>
      <tp t="s">
        <v>N/A</v>
        <stp/>
        <stp>VOLUME</stp>
        <stp>.SPX250523P5440</stp>
        <tr r="H129" s="2"/>
      </tp>
      <tp t="s">
        <v>N/A</v>
        <stp/>
        <stp>VOLUME</stp>
        <stp>.SPX250815P5720</stp>
        <tr r="O101" s="2"/>
      </tp>
      <tp t="s">
        <v>N/A</v>
        <stp/>
        <stp>VOLUME</stp>
        <stp>.SPX250620C5440</stp>
        <tr r="K129" s="2"/>
      </tp>
      <tp t="s">
        <v>N/A</v>
        <stp/>
        <stp>VOLUME</stp>
        <stp>.SPX250523C5470</stp>
        <tr r="H126" s="2"/>
      </tp>
      <tp t="s">
        <v>N/A</v>
        <stp/>
        <stp>VOLUME</stp>
        <stp>.SPX250815C5710</stp>
        <tr r="O102" s="2"/>
      </tp>
      <tp t="s">
        <v>N/A</v>
        <stp/>
        <stp>VOLUME</stp>
        <stp>.SPX251121C5450</stp>
        <tr r="U128" s="2"/>
      </tp>
      <tp t="s">
        <v>N/A</v>
        <stp/>
        <stp>VOLUME</stp>
        <stp>.SPX251017C5730</stp>
        <tr r="S100" s="2"/>
      </tp>
      <tp t="s">
        <v>N/A</v>
        <stp/>
        <stp>VOLUME</stp>
        <stp>.SPX251121P5450</stp>
        <tr r="U128" s="2"/>
      </tp>
      <tp t="s">
        <v>N/A</v>
        <stp/>
        <stp>VOLUME</stp>
        <stp>.SPX251017P5730</stp>
        <tr r="S100" s="2"/>
      </tp>
      <tp t="s">
        <v>N/A</v>
        <stp/>
        <stp>VOLUME</stp>
        <stp>.SPX250620P5440</stp>
        <tr r="K129" s="2"/>
      </tp>
      <tp t="s">
        <v>N/A</v>
        <stp/>
        <stp>VOLUME</stp>
        <stp>.SPX250523P5470</stp>
        <tr r="H126" s="2"/>
      </tp>
      <tp t="s">
        <v>N/A</v>
        <stp/>
        <stp>VOLUME</stp>
        <stp>.SPX250815P5710</stp>
        <tr r="O102" s="2"/>
      </tp>
      <tp t="s">
        <v>N/A</v>
        <stp/>
        <stp>VOLUME</stp>
        <stp>.SPX250620C5450</stp>
        <tr r="K128" s="2"/>
      </tp>
      <tp t="s">
        <v>N/A</v>
        <stp/>
        <stp>VOLUME</stp>
        <stp>.SPX250523C5460</stp>
        <tr r="H127" s="2"/>
      </tp>
      <tp t="s">
        <v>N/A</v>
        <stp/>
        <stp>VOLUME</stp>
        <stp>.SPX250815C5700</stp>
        <tr r="O103" s="2"/>
      </tp>
      <tp t="s">
        <v>N/A</v>
        <stp/>
        <stp>VOLUME</stp>
        <stp>.SPX251121C5440</stp>
        <tr r="U129" s="2"/>
      </tp>
      <tp t="s">
        <v>N/A</v>
        <stp/>
        <stp>VOLUME</stp>
        <stp>.SPX251017C5720</stp>
        <tr r="S101" s="2"/>
      </tp>
      <tp t="s">
        <v>N/A</v>
        <stp/>
        <stp>VOLUME</stp>
        <stp>.SPX251121P5440</stp>
        <tr r="U129" s="2"/>
      </tp>
      <tp t="s">
        <v>N/A</v>
        <stp/>
        <stp>VOLUME</stp>
        <stp>.SPX251017P5720</stp>
        <tr r="S101" s="2"/>
      </tp>
      <tp t="s">
        <v>N/A</v>
        <stp/>
        <stp>VOLUME</stp>
        <stp>.SPX250620P5450</stp>
        <tr r="K128" s="2"/>
      </tp>
      <tp t="s">
        <v>N/A</v>
        <stp/>
        <stp>VOLUME</stp>
        <stp>.SPX250523P5460</stp>
        <tr r="H127" s="2"/>
      </tp>
      <tp t="s">
        <v>N/A</v>
        <stp/>
        <stp>VOLUME</stp>
        <stp>.SPX250815P5700</stp>
        <tr r="O103" s="2"/>
      </tp>
      <tp t="s">
        <v>N/A</v>
        <stp/>
        <stp>VOLUME</stp>
        <stp>.SPX250620C5420</stp>
        <tr r="K131" s="2"/>
      </tp>
      <tp t="s">
        <v>N/A</v>
        <stp/>
        <stp>VOLUME</stp>
        <stp>.SPX250815C5770</stp>
        <tr r="O96" s="2"/>
      </tp>
      <tp t="s">
        <v>N/A</v>
        <stp/>
        <stp>VOLUME</stp>
        <stp>.SPX251121C5430</stp>
        <tr r="U130" s="2"/>
      </tp>
      <tp t="s">
        <v>N/A</v>
        <stp/>
        <stp>VOLUME</stp>
        <stp>.SPX251017C5750</stp>
        <tr r="S98" s="2"/>
      </tp>
      <tp t="s">
        <v>N/A</v>
        <stp/>
        <stp>VOLUME</stp>
        <stp>.SPX251121P5430</stp>
        <tr r="U130" s="2"/>
      </tp>
      <tp t="s">
        <v>N/A</v>
        <stp/>
        <stp>VOLUME</stp>
        <stp>.SPX251017P5750</stp>
        <tr r="S98" s="2"/>
      </tp>
      <tp t="s">
        <v>N/A</v>
        <stp/>
        <stp>VOLUME</stp>
        <stp>.SPX250620P5420</stp>
        <tr r="K131" s="2"/>
      </tp>
      <tp t="s">
        <v>N/A</v>
        <stp/>
        <stp>VOLUME</stp>
        <stp>.SPX250815P5770</stp>
        <tr r="O96" s="2"/>
      </tp>
      <tp t="s">
        <v>N/A</v>
        <stp/>
        <stp>VOLUME</stp>
        <stp>.SPX250620C5430</stp>
        <tr r="K130" s="2"/>
      </tp>
      <tp t="s">
        <v>N/A</v>
        <stp/>
        <stp>VOLUME</stp>
        <stp>.SPX250815C5760</stp>
        <tr r="O97" s="2"/>
      </tp>
      <tp t="s">
        <v>N/A</v>
        <stp/>
        <stp>VOLUME</stp>
        <stp>.SPX251121C5420</stp>
        <tr r="U131" s="2"/>
      </tp>
      <tp t="s">
        <v>N/A</v>
        <stp/>
        <stp>VOLUME</stp>
        <stp>.SPX251017C5740</stp>
        <tr r="S99" s="2"/>
      </tp>
      <tp t="s">
        <v>N/A</v>
        <stp/>
        <stp>VOLUME</stp>
        <stp>.SPX251121P5420</stp>
        <tr r="U131" s="2"/>
      </tp>
      <tp t="s">
        <v>N/A</v>
        <stp/>
        <stp>VOLUME</stp>
        <stp>.SPX251017P5740</stp>
        <tr r="S99" s="2"/>
      </tp>
      <tp t="s">
        <v>N/A</v>
        <stp/>
        <stp>VOLUME</stp>
        <stp>.SPX250620P5430</stp>
        <tr r="K130" s="2"/>
      </tp>
      <tp t="s">
        <v>N/A</v>
        <stp/>
        <stp>VOLUME</stp>
        <stp>.SPX250815P5760</stp>
        <tr r="O97" s="2"/>
      </tp>
      <tp t="s">
        <v>N/A</v>
        <stp/>
        <stp>VOLUME</stp>
        <stp>.SPX250718C5780</stp>
        <tr r="M95" s="2"/>
      </tp>
      <tp t="s">
        <v>N/A</v>
        <stp/>
        <stp>VOLUME</stp>
        <stp>.SPX250523C5430</stp>
        <tr r="H130" s="2"/>
      </tp>
      <tp t="s">
        <v>N/A</v>
        <stp/>
        <stp>VOLUME</stp>
        <stp>.SPX250919C5790</stp>
        <tr r="Q94" s="2"/>
      </tp>
      <tp t="s">
        <v>N/A</v>
        <stp/>
        <stp>VOLUME</stp>
        <stp>.SPX250815C5750</stp>
        <tr r="O98" s="2"/>
      </tp>
      <tp t="s">
        <v>N/A</v>
        <stp/>
        <stp>VOLUME</stp>
        <stp>.SPX251219C5790</stp>
        <tr r="W94" s="2"/>
      </tp>
      <tp t="s">
        <v>N/A</v>
        <stp/>
        <stp>VOLUME</stp>
        <stp>.SPX251017C5770</stp>
        <tr r="S96" s="2"/>
      </tp>
      <tp t="s">
        <v>N/A</v>
        <stp/>
        <stp>VOLUME</stp>
        <stp>.SPX251219P5790</stp>
        <tr r="W94" s="2"/>
      </tp>
      <tp t="s">
        <v>N/A</v>
        <stp/>
        <stp>VOLUME</stp>
        <stp>.SPX251017P5770</stp>
        <tr r="S96" s="2"/>
      </tp>
      <tp t="s">
        <v>N/A</v>
        <stp/>
        <stp>VOLUME</stp>
        <stp>.SPX250718P5780</stp>
        <tr r="M95" s="2"/>
      </tp>
      <tp t="s">
        <v>N/A</v>
        <stp/>
        <stp>VOLUME</stp>
        <stp>.SPX250523P5430</stp>
        <tr r="H130" s="2"/>
      </tp>
      <tp t="s">
        <v>N/A</v>
        <stp/>
        <stp>VOLUME</stp>
        <stp>.SPX250919P5790</stp>
        <tr r="Q94" s="2"/>
      </tp>
      <tp t="s">
        <v>N/A</v>
        <stp/>
        <stp>VOLUME</stp>
        <stp>.SPX250815P5750</stp>
        <tr r="O98" s="2"/>
      </tp>
      <tp t="s">
        <v>N/A</v>
        <stp/>
        <stp>VOLUME</stp>
        <stp>.SPX250718C5790</stp>
        <tr r="M94" s="2"/>
      </tp>
      <tp t="s">
        <v>N/A</v>
        <stp/>
        <stp>VOLUME</stp>
        <stp>.SPX250523C5420</stp>
        <tr r="H131" s="2"/>
      </tp>
      <tp t="s">
        <v>N/A</v>
        <stp/>
        <stp>VOLUME</stp>
        <stp>.SPX250919C5780</stp>
        <tr r="Q95" s="2"/>
      </tp>
      <tp t="s">
        <v>N/A</v>
        <stp/>
        <stp>VOLUME</stp>
        <stp>.SPX250815C5740</stp>
        <tr r="O99" s="2"/>
      </tp>
      <tp t="s">
        <v>N/A</v>
        <stp/>
        <stp>VOLUME</stp>
        <stp>.SPX251219C5780</stp>
        <tr r="W95" s="2"/>
      </tp>
      <tp t="s">
        <v>N/A</v>
        <stp/>
        <stp>VOLUME</stp>
        <stp>.SPX251017C5760</stp>
        <tr r="S97" s="2"/>
      </tp>
      <tp t="s">
        <v>N/A</v>
        <stp/>
        <stp>VOLUME</stp>
        <stp>.SPX251219P5780</stp>
        <tr r="W95" s="2"/>
      </tp>
      <tp t="s">
        <v>N/A</v>
        <stp/>
        <stp>VOLUME</stp>
        <stp>.SPX251017P5760</stp>
        <tr r="S97" s="2"/>
      </tp>
      <tp t="s">
        <v>N/A</v>
        <stp/>
        <stp>VOLUME</stp>
        <stp>.SPX250718P5790</stp>
        <tr r="M94" s="2"/>
      </tp>
      <tp t="s">
        <v>N/A</v>
        <stp/>
        <stp>VOLUME</stp>
        <stp>.SPX250523P5420</stp>
        <tr r="H131" s="2"/>
      </tp>
      <tp t="s">
        <v>N/A</v>
        <stp/>
        <stp>VOLUME</stp>
        <stp>.SPX250919P5780</stp>
        <tr r="Q95" s="2"/>
      </tp>
      <tp t="s">
        <v>N/A</v>
        <stp/>
        <stp>VOLUME</stp>
        <stp>.SPX250815P5740</stp>
        <tr r="O99" s="2"/>
      </tp>
      <tp t="s">
        <v>N/A</v>
        <stp/>
        <stp>VOLUME</stp>
        <stp>.SPX250718C5760</stp>
        <tr r="M97" s="2"/>
      </tp>
      <tp t="s">
        <v>N/A</v>
        <stp/>
        <stp>VOLUME</stp>
        <stp>.SPX250919C5770</stp>
        <tr r="Q96" s="2"/>
      </tp>
      <tp t="s">
        <v>N/A</v>
        <stp/>
        <stp>VOLUME</stp>
        <stp>.SPX251219C5770</stp>
        <tr r="W96" s="2"/>
      </tp>
      <tp t="s">
        <v>N/A</v>
        <stp/>
        <stp>VOLUME</stp>
        <stp>.SPX251017C5790</stp>
        <tr r="S94" s="2"/>
      </tp>
      <tp t="s">
        <v>N/A</v>
        <stp/>
        <stp>VOLUME</stp>
        <stp>.SPX251219P5770</stp>
        <tr r="W96" s="2"/>
      </tp>
      <tp t="s">
        <v>N/A</v>
        <stp/>
        <stp>VOLUME</stp>
        <stp>.SPX251017P5790</stp>
        <tr r="S94" s="2"/>
      </tp>
      <tp t="s">
        <v>N/A</v>
        <stp/>
        <stp>VOLUME</stp>
        <stp>.SPX250718P5760</stp>
        <tr r="M97" s="2"/>
      </tp>
      <tp t="s">
        <v>N/A</v>
        <stp/>
        <stp>VOLUME</stp>
        <stp>.SPX250919P5770</stp>
        <tr r="Q96" s="2"/>
      </tp>
      <tp t="s">
        <v>N/A</v>
        <stp/>
        <stp>VOLUME</stp>
        <stp>.SPX250718C5770</stp>
        <tr r="M96" s="2"/>
      </tp>
      <tp t="s">
        <v>N/A</v>
        <stp/>
        <stp>VOLUME</stp>
        <stp>.SPX250919C5760</stp>
        <tr r="Q97" s="2"/>
      </tp>
      <tp t="s">
        <v>N/A</v>
        <stp/>
        <stp>VOLUME</stp>
        <stp>.SPX251219C5760</stp>
        <tr r="W97" s="2"/>
      </tp>
      <tp t="s">
        <v>N/A</v>
        <stp/>
        <stp>VOLUME</stp>
        <stp>.SPX251017C5780</stp>
        <tr r="S95" s="2"/>
      </tp>
      <tp t="s">
        <v>N/A</v>
        <stp/>
        <stp>VOLUME</stp>
        <stp>.SPX251219P5760</stp>
        <tr r="W97" s="2"/>
      </tp>
      <tp t="s">
        <v>N/A</v>
        <stp/>
        <stp>VOLUME</stp>
        <stp>.SPX251017P5780</stp>
        <tr r="S95" s="2"/>
      </tp>
      <tp t="s">
        <v>N/A</v>
        <stp/>
        <stp>VOLUME</stp>
        <stp>.SPX250718P5770</stp>
        <tr r="M96" s="2"/>
      </tp>
      <tp t="s">
        <v>N/A</v>
        <stp/>
        <stp>VOLUME</stp>
        <stp>.SPX250919P5760</stp>
        <tr r="Q97" s="2"/>
      </tp>
      <tp t="s">
        <v>N/A</v>
        <stp/>
        <stp>VOLUME</stp>
        <stp>.SPX250718C5740</stp>
        <tr r="M99" s="2"/>
      </tp>
      <tp t="s">
        <v>N/A</v>
        <stp/>
        <stp>VOLUME</stp>
        <stp>.SPX250919C5750</stp>
        <tr r="Q98" s="2"/>
      </tp>
      <tp t="s">
        <v>N/A</v>
        <stp/>
        <stp>VOLUME</stp>
        <stp>.SPX250815C5790</stp>
        <tr r="O94" s="2"/>
      </tp>
      <tp t="s">
        <v>N/A</v>
        <stp/>
        <stp>VOLUME</stp>
        <stp>.SPX251219C5750</stp>
        <tr r="W98" s="2"/>
      </tp>
      <tp t="s">
        <v>N/A</v>
        <stp/>
        <stp>VOLUME</stp>
        <stp>.SPX251219P5750</stp>
        <tr r="W98" s="2"/>
      </tp>
      <tp t="s">
        <v>N/A</v>
        <stp/>
        <stp>VOLUME</stp>
        <stp>.SPX250718P5740</stp>
        <tr r="M99" s="2"/>
      </tp>
      <tp t="s">
        <v>N/A</v>
        <stp/>
        <stp>VOLUME</stp>
        <stp>.SPX250919P5750</stp>
        <tr r="Q98" s="2"/>
      </tp>
      <tp t="s">
        <v>N/A</v>
        <stp/>
        <stp>VOLUME</stp>
        <stp>.SPX250815P5790</stp>
        <tr r="O94" s="2"/>
      </tp>
      <tp t="s">
        <v>N/A</v>
        <stp/>
        <stp>VOLUME</stp>
        <stp>.SPX250718C5750</stp>
        <tr r="M98" s="2"/>
      </tp>
      <tp t="s">
        <v>N/A</v>
        <stp/>
        <stp>VOLUME</stp>
        <stp>.SPX250919C5740</stp>
        <tr r="Q99" s="2"/>
      </tp>
      <tp t="s">
        <v>N/A</v>
        <stp/>
        <stp>VOLUME</stp>
        <stp>.SPX250815C5780</stp>
        <tr r="O95" s="2"/>
      </tp>
      <tp t="s">
        <v>N/A</v>
        <stp/>
        <stp>VOLUME</stp>
        <stp>.SPX251219C5740</stp>
        <tr r="W99" s="2"/>
      </tp>
      <tp t="s">
        <v>N/A</v>
        <stp/>
        <stp>VOLUME</stp>
        <stp>.SPX251219P5740</stp>
        <tr r="W99" s="2"/>
      </tp>
      <tp t="s">
        <v>N/A</v>
        <stp/>
        <stp>VOLUME</stp>
        <stp>.SPX250718P5750</stp>
        <tr r="M98" s="2"/>
      </tp>
      <tp t="s">
        <v>N/A</v>
        <stp/>
        <stp>VOLUME</stp>
        <stp>.SPX250919P5740</stp>
        <tr r="Q99" s="2"/>
      </tp>
      <tp t="s">
        <v>N/A</v>
        <stp/>
        <stp>VOLUME</stp>
        <stp>.SPX250815P5780</stp>
        <tr r="O95" s="2"/>
      </tp>
      <tp t="s">
        <v>N/A</v>
        <stp/>
        <stp>VOLUME</stp>
        <stp>.SPX250718C5720</stp>
        <tr r="M101" s="2"/>
      </tp>
      <tp t="s">
        <v>N/A</v>
        <stp/>
        <stp>VOLUME</stp>
        <stp>.SPX250523C5490</stp>
        <tr r="H124" s="2"/>
      </tp>
      <tp t="s">
        <v>N/A</v>
        <stp/>
        <stp>VOLUME</stp>
        <stp>.SPX250919C5730</stp>
        <tr r="Q100" s="2"/>
      </tp>
      <tp t="s">
        <v>N/A</v>
        <stp/>
        <stp>VOLUME</stp>
        <stp>.SPX251219C5730</stp>
        <tr r="W100" s="2"/>
      </tp>
      <tp t="s">
        <v>N/A</v>
        <stp/>
        <stp>VOLUME</stp>
        <stp>.SPX251219P5730</stp>
        <tr r="W100" s="2"/>
      </tp>
      <tp t="s">
        <v>N/A</v>
        <stp/>
        <stp>VOLUME</stp>
        <stp>.SPX250718P5720</stp>
        <tr r="M101" s="2"/>
      </tp>
      <tp t="s">
        <v>N/A</v>
        <stp/>
        <stp>VOLUME</stp>
        <stp>.SPX250523P5490</stp>
        <tr r="H124" s="2"/>
      </tp>
      <tp t="s">
        <v>N/A</v>
        <stp/>
        <stp>VOLUME</stp>
        <stp>.SPX250919P5730</stp>
        <tr r="Q100" s="2"/>
      </tp>
      <tp t="s">
        <v>N/A</v>
        <stp/>
        <stp>VOLUME</stp>
        <stp>.SPX250718C5730</stp>
        <tr r="M100" s="2"/>
      </tp>
      <tp t="s">
        <v>N/A</v>
        <stp/>
        <stp>VOLUME</stp>
        <stp>.SPX250523C5480</stp>
        <tr r="H125" s="2"/>
      </tp>
      <tp t="s">
        <v>N/A</v>
        <stp/>
        <stp>VOLUME</stp>
        <stp>.SPX250919C5720</stp>
        <tr r="Q101" s="2"/>
      </tp>
      <tp t="s">
        <v>N/A</v>
        <stp/>
        <stp>VOLUME</stp>
        <stp>.SPX251219C5720</stp>
        <tr r="W101" s="2"/>
      </tp>
      <tp t="s">
        <v>N/A</v>
        <stp/>
        <stp>VOLUME</stp>
        <stp>.SPX251219P5720</stp>
        <tr r="W101" s="2"/>
      </tp>
      <tp t="s">
        <v>N/A</v>
        <stp/>
        <stp>VOLUME</stp>
        <stp>.SPX250718P5730</stp>
        <tr r="M100" s="2"/>
      </tp>
      <tp t="s">
        <v>N/A</v>
        <stp/>
        <stp>VOLUME</stp>
        <stp>.SPX250523P5480</stp>
        <tr r="H125" s="2"/>
      </tp>
      <tp t="s">
        <v>N/A</v>
        <stp/>
        <stp>VOLUME</stp>
        <stp>.SPX250919P5720</stp>
        <tr r="Q101" s="2"/>
      </tp>
      <tp t="s">
        <v>N/A</v>
        <stp/>
        <stp>VOLUME</stp>
        <stp>.SPX250718C5700</stp>
        <tr r="M103" s="2"/>
      </tp>
      <tp t="s">
        <v>N/A</v>
        <stp/>
        <stp>VOLUME</stp>
        <stp>.SPX250620C5480</stp>
        <tr r="K125" s="2"/>
      </tp>
      <tp t="s">
        <v>N/A</v>
        <stp/>
        <stp>VOLUME</stp>
        <stp>.SPX250919C5710</stp>
        <tr r="Q102" s="2"/>
      </tp>
      <tp t="s">
        <v>N/A</v>
        <stp/>
        <stp>VOLUME</stp>
        <stp>.SPX251219C5710</stp>
        <tr r="W102" s="2"/>
      </tp>
      <tp t="s">
        <v>N/A</v>
        <stp/>
        <stp>VOLUME</stp>
        <stp>.SPX251121C5490</stp>
        <tr r="U124" s="2"/>
      </tp>
      <tp t="s">
        <v>N/A</v>
        <stp/>
        <stp>VOLUME</stp>
        <stp>.SPX251219P5710</stp>
        <tr r="W102" s="2"/>
      </tp>
      <tp t="s">
        <v>N/A</v>
        <stp/>
        <stp>VOLUME</stp>
        <stp>.SPX251121P5490</stp>
        <tr r="U124" s="2"/>
      </tp>
      <tp t="s">
        <v>N/A</v>
        <stp/>
        <stp>VOLUME</stp>
        <stp>.SPX250718P5700</stp>
        <tr r="M103" s="2"/>
      </tp>
      <tp t="s">
        <v>N/A</v>
        <stp/>
        <stp>VOLUME</stp>
        <stp>.SPX250620P5480</stp>
        <tr r="K125" s="2"/>
      </tp>
      <tp t="s">
        <v>N/A</v>
        <stp/>
        <stp>VOLUME</stp>
        <stp>.SPX250919P5710</stp>
        <tr r="Q102" s="2"/>
      </tp>
      <tp t="s">
        <v>N/A</v>
        <stp/>
        <stp>VOLUME</stp>
        <stp>.SPX250718C5710</stp>
        <tr r="M102" s="2"/>
      </tp>
      <tp t="s">
        <v>N/A</v>
        <stp/>
        <stp>VOLUME</stp>
        <stp>.SPX250620C5490</stp>
        <tr r="K124" s="2"/>
      </tp>
      <tp t="s">
        <v>N/A</v>
        <stp/>
        <stp>VOLUME</stp>
        <stp>.SPX250919C5700</stp>
        <tr r="Q103" s="2"/>
      </tp>
      <tp t="s">
        <v>N/A</v>
        <stp/>
        <stp>VOLUME</stp>
        <stp>.SPX251219C5700</stp>
        <tr r="W103" s="2"/>
      </tp>
      <tp t="s">
        <v>N/A</v>
        <stp/>
        <stp>VOLUME</stp>
        <stp>.SPX251121C5480</stp>
        <tr r="U125" s="2"/>
      </tp>
      <tp t="s">
        <v>N/A</v>
        <stp/>
        <stp>VOLUME</stp>
        <stp>.SPX251219P5700</stp>
        <tr r="W103" s="2"/>
      </tp>
      <tp t="s">
        <v>N/A</v>
        <stp/>
        <stp>VOLUME</stp>
        <stp>.SPX251121P5480</stp>
        <tr r="U125" s="2"/>
      </tp>
      <tp t="s">
        <v>N/A</v>
        <stp/>
        <stp>VOLUME</stp>
        <stp>.SPX250718P5710</stp>
        <tr r="M102" s="2"/>
      </tp>
      <tp t="s">
        <v>N/A</v>
        <stp/>
        <stp>VOLUME</stp>
        <stp>.SPX250620P5490</stp>
        <tr r="K124" s="2"/>
      </tp>
      <tp t="s">
        <v>N/A</v>
        <stp/>
        <stp>VOLUME</stp>
        <stp>.SPX250919P5700</stp>
        <tr r="Q103" s="2"/>
      </tp>
      <tp t="s">
        <v>N/A</v>
        <stp/>
        <stp>IMPL_VOL</stp>
        <stp>.SPXW250509C5720</stp>
        <tr r="EN100" s="1"/>
      </tp>
      <tp t="s">
        <v>N/A</v>
        <stp/>
        <stp>IMPL_VOL</stp>
        <stp>.SPXW250509P5720</stp>
        <tr r="EO100" s="1"/>
      </tp>
      <tp t="s">
        <v>27.39%</v>
        <stp/>
        <stp>IMPL_VOL</stp>
        <stp>.SPXW250509C5730</stp>
        <tr r="EN99" s="1"/>
      </tp>
      <tp t="s">
        <v>--</v>
        <stp/>
        <stp>IMPL_VOL</stp>
        <stp>.SPXW250509P5730</stp>
        <tr r="EO99" s="1"/>
      </tp>
      <tp t="s">
        <v>29.23%</v>
        <stp/>
        <stp>IMPL_VOL</stp>
        <stp>.SPXW250509C5700</stp>
        <tr r="EN102" s="1"/>
      </tp>
      <tp t="s">
        <v>--</v>
        <stp/>
        <stp>IMPL_VOL</stp>
        <stp>.SPXW250509P5700</stp>
        <tr r="EO102" s="1"/>
      </tp>
      <tp t="s">
        <v>28.52%</v>
        <stp/>
        <stp>IMPL_VOL</stp>
        <stp>.SPXW250509C5710</stp>
        <tr r="EN101" s="1"/>
      </tp>
      <tp t="s">
        <v>--</v>
        <stp/>
        <stp>IMPL_VOL</stp>
        <stp>.SPXW250509P5710</stp>
        <tr r="EO101" s="1"/>
      </tp>
      <tp t="s">
        <v>117.67%</v>
        <stp/>
        <stp>IMPL_VOL</stp>
        <stp>.SPXW250507C5780</stp>
        <tr r="EL94" s="1"/>
      </tp>
      <tp t="s">
        <v>25.77%</v>
        <stp/>
        <stp>IMPL_VOL</stp>
        <stp>.SPXW250509C5760</stp>
        <tr r="EN96" s="1"/>
      </tp>
      <tp t="s">
        <v>23.32%</v>
        <stp/>
        <stp>IMPL_VOL</stp>
        <stp>.SPXW250516C5690</stp>
        <tr r="EP103" s="1"/>
      </tp>
      <tp t="s">
        <v>192.18%</v>
        <stp/>
        <stp>IMPL_VOL</stp>
        <stp>.SPXW250507P5780</stp>
        <tr r="EM94" s="1"/>
      </tp>
      <tp t="s">
        <v>--</v>
        <stp/>
        <stp>IMPL_VOL</stp>
        <stp>.SPXW250509P5760</stp>
        <tr r="EO96" s="1"/>
      </tp>
      <tp t="s">
        <v>15.81%</v>
        <stp/>
        <stp>IMPL_VOL</stp>
        <stp>.SPXW250516P5690</stp>
        <tr r="EQ103" s="1"/>
      </tp>
      <tp t="s">
        <v>124.97%</v>
        <stp/>
        <stp>IMPL_VOL</stp>
        <stp>.SPXW250507C5790</stp>
        <tr r="EL93" s="1"/>
      </tp>
      <tp t="s">
        <v>25.33%</v>
        <stp/>
        <stp>IMPL_VOL</stp>
        <stp>.SPXW250509C5770</stp>
        <tr r="EN95" s="1"/>
      </tp>
      <tp t="s">
        <v>23.65%</v>
        <stp/>
        <stp>IMPL_VOL</stp>
        <stp>.SPXW250516C5680</stp>
        <tr r="EP104" s="1"/>
      </tp>
      <tp t="s">
        <v>202.55%</v>
        <stp/>
        <stp>IMPL_VOL</stp>
        <stp>.SPXW250507P5790</stp>
        <tr r="EM93" s="1"/>
      </tp>
      <tp t="s">
        <v>--</v>
        <stp/>
        <stp>IMPL_VOL</stp>
        <stp>.SPXW250509P5770</stp>
        <tr r="EO95" s="1"/>
      </tp>
      <tp t="s">
        <v>16.27%</v>
        <stp/>
        <stp>IMPL_VOL</stp>
        <stp>.SPXW250516P5680</stp>
        <tr r="EQ104" s="1"/>
      </tp>
      <tp t="s">
        <v>26.82%</v>
        <stp/>
        <stp>IMPL_VOL</stp>
        <stp>.SPXW250509C5740</stp>
        <tr r="EN98" s="1"/>
      </tp>
      <tp t="s">
        <v>--</v>
        <stp/>
        <stp>IMPL_VOL</stp>
        <stp>.SPXW250509P5740</stp>
        <tr r="EO98" s="1"/>
      </tp>
      <tp t="s">
        <v>26.32%</v>
        <stp/>
        <stp>IMPL_VOL</stp>
        <stp>.SPXW250509C5750</stp>
        <tr r="EN97" s="1"/>
      </tp>
      <tp t="s">
        <v>--</v>
        <stp/>
        <stp>IMPL_VOL</stp>
        <stp>.SPXW250509P5750</stp>
        <tr r="EO97" s="1"/>
      </tp>
      <tp t="s">
        <v>88.89%</v>
        <stp/>
        <stp>IMPL_VOL</stp>
        <stp>.SPXW250507C5740</stp>
        <tr r="EL98" s="1"/>
      </tp>
      <tp t="s">
        <v>24.72%</v>
        <stp/>
        <stp>IMPL_VOL</stp>
        <stp>.SPXW250516C5650</stp>
        <tr r="EP107" s="1"/>
      </tp>
      <tp t="s">
        <v>149.54%</v>
        <stp/>
        <stp>IMPL_VOL</stp>
        <stp>.SPXW250507P5740</stp>
        <tr r="EM98" s="1"/>
      </tp>
      <tp t="s">
        <v>17.48%</v>
        <stp/>
        <stp>IMPL_VOL</stp>
        <stp>.SPXW250516P5650</stp>
        <tr r="EQ107" s="1"/>
      </tp>
      <tp t="s">
        <v>96.17%</v>
        <stp/>
        <stp>IMPL_VOL</stp>
        <stp>.SPXW250507C5750</stp>
        <tr r="EL97" s="1"/>
      </tp>
      <tp t="s">
        <v>25.09%</v>
        <stp/>
        <stp>IMPL_VOL</stp>
        <stp>.SPXW250516C5640</stp>
        <tr r="EP108" s="1"/>
      </tp>
      <tp t="s">
        <v>160.41%</v>
        <stp/>
        <stp>IMPL_VOL</stp>
        <stp>.SPXW250507P5750</stp>
        <tr r="EM97" s="1"/>
      </tp>
      <tp t="s">
        <v>17.90%</v>
        <stp/>
        <stp>IMPL_VOL</stp>
        <stp>.SPXW250516P5640</stp>
        <tr r="EQ108" s="1"/>
      </tp>
      <tp t="s">
        <v>103.40%</v>
        <stp/>
        <stp>IMPL_VOL</stp>
        <stp>.SPXW250507C5760</stp>
        <tr r="EL96" s="1"/>
      </tp>
      <tp t="s">
        <v>24.97%</v>
        <stp/>
        <stp>IMPL_VOL</stp>
        <stp>.SPXW250509C5780</stp>
        <tr r="EN94" s="1"/>
      </tp>
      <tp t="s">
        <v>24.01%</v>
        <stp/>
        <stp>IMPL_VOL</stp>
        <stp>.SPXW250516C5670</stp>
        <tr r="EP105" s="1"/>
      </tp>
      <tp t="s">
        <v>171.12%</v>
        <stp/>
        <stp>IMPL_VOL</stp>
        <stp>.SPXW250507P5760</stp>
        <tr r="EM96" s="1"/>
      </tp>
      <tp t="s">
        <v>--</v>
        <stp/>
        <stp>IMPL_VOL</stp>
        <stp>.SPXW250509P5780</stp>
        <tr r="EO94" s="1"/>
      </tp>
      <tp t="s">
        <v>16.71%</v>
        <stp/>
        <stp>IMPL_VOL</stp>
        <stp>.SPXW250516P5670</stp>
        <tr r="EQ105" s="1"/>
      </tp>
      <tp t="s">
        <v>110.56%</v>
        <stp/>
        <stp>IMPL_VOL</stp>
        <stp>.SPXW250507C5770</stp>
        <tr r="EL95" s="1"/>
      </tp>
      <tp t="s">
        <v>24.71%</v>
        <stp/>
        <stp>IMPL_VOL</stp>
        <stp>.SPXW250509C5790</stp>
        <tr r="EN93" s="1"/>
      </tp>
      <tp t="s">
        <v>24.37%</v>
        <stp/>
        <stp>IMPL_VOL</stp>
        <stp>.SPXW250516C5660</stp>
        <tr r="EP106" s="1"/>
      </tp>
      <tp t="s">
        <v>181.71%</v>
        <stp/>
        <stp>IMPL_VOL</stp>
        <stp>.SPXW250507P5770</stp>
        <tr r="EM95" s="1"/>
      </tp>
      <tp t="s">
        <v>--</v>
        <stp/>
        <stp>IMPL_VOL</stp>
        <stp>.SPXW250509P5790</stp>
        <tr r="EO93" s="1"/>
      </tp>
      <tp t="s">
        <v>17.10%</v>
        <stp/>
        <stp>IMPL_VOL</stp>
        <stp>.SPXW250516P5660</stp>
        <tr r="EQ106" s="1"/>
      </tp>
      <tp t="s">
        <v>59.05%</v>
        <stp/>
        <stp>IMPL_VOL</stp>
        <stp>.SPXW250507C5700</stp>
        <tr r="EL102" s="1"/>
      </tp>
      <tp t="s">
        <v>26.20%</v>
        <stp/>
        <stp>IMPL_VOL</stp>
        <stp>.SPXW250516C5610</stp>
        <tr r="EP111" s="1"/>
      </tp>
      <tp t="s">
        <v>104.30%</v>
        <stp/>
        <stp>IMPL_VOL</stp>
        <stp>.SPXW250507P5700</stp>
        <tr r="EM102" s="1"/>
      </tp>
      <tp t="s">
        <v>18.91%</v>
        <stp/>
        <stp>IMPL_VOL</stp>
        <stp>.SPXW250516P5610</stp>
        <tr r="EQ111" s="1"/>
      </tp>
      <tp t="s">
        <v>66.73%</v>
        <stp/>
        <stp>IMPL_VOL</stp>
        <stp>.SPXW250507C5710</stp>
        <tr r="EL101" s="1"/>
      </tp>
      <tp t="s">
        <v>26.62%</v>
        <stp/>
        <stp>IMPL_VOL</stp>
        <stp>.SPXW250516C5600</stp>
        <tr r="EP112" s="1"/>
      </tp>
      <tp t="s">
        <v>115.93%</v>
        <stp/>
        <stp>IMPL_VOL</stp>
        <stp>.SPXW250507P5710</stp>
        <tr r="EM101" s="1"/>
      </tp>
      <tp t="s">
        <v>19.25%</v>
        <stp/>
        <stp>IMPL_VOL</stp>
        <stp>.SPXW250516P5600</stp>
        <tr r="EQ112" s="1"/>
      </tp>
      <tp t="s">
        <v>74.17%</v>
        <stp/>
        <stp>IMPL_VOL</stp>
        <stp>.SPXW250507C5720</stp>
        <tr r="EL100" s="1"/>
      </tp>
      <tp t="s">
        <v>25.45%</v>
        <stp/>
        <stp>IMPL_VOL</stp>
        <stp>.SPXW250516C5630</stp>
        <tr r="EP109" s="1"/>
      </tp>
      <tp t="s">
        <v>128.41%</v>
        <stp/>
        <stp>IMPL_VOL</stp>
        <stp>.SPXW250507P5720</stp>
        <tr r="EM100" s="1"/>
      </tp>
      <tp t="s">
        <v>18.24%</v>
        <stp/>
        <stp>IMPL_VOL</stp>
        <stp>.SPXW250516P5630</stp>
        <tr r="EQ109" s="1"/>
      </tp>
      <tp t="s">
        <v>81.53%</v>
        <stp/>
        <stp>IMPL_VOL</stp>
        <stp>.SPXW250507C5730</stp>
        <tr r="EL99" s="1"/>
      </tp>
      <tp t="s">
        <v>25.83%</v>
        <stp/>
        <stp>IMPL_VOL</stp>
        <stp>.SPXW250516C5620</stp>
        <tr r="EP110" s="1"/>
      </tp>
      <tp t="s">
        <v>138.52%</v>
        <stp/>
        <stp>IMPL_VOL</stp>
        <stp>.SPXW250507P5730</stp>
        <tr r="EM99" s="1"/>
      </tp>
      <tp t="s">
        <v>18.59%</v>
        <stp/>
        <stp>IMPL_VOL</stp>
        <stp>.SPXW250516P5620</stp>
        <tr r="EQ110" s="1"/>
      </tp>
      <tp t="s">
        <v>36.54%</v>
        <stp/>
        <stp>IMPL_VOL</stp>
        <stp>.SPXW250509C5620</stp>
        <tr r="EN110" s="1"/>
      </tp>
      <tp t="s">
        <v>17.82%</v>
        <stp/>
        <stp>IMPL_VOL</stp>
        <stp>.SPXW250509P5620</stp>
        <tr r="EO110" s="1"/>
      </tp>
      <tp t="s">
        <v>35.45%</v>
        <stp/>
        <stp>IMPL_VOL</stp>
        <stp>.SPXW250509C5630</stp>
        <tr r="EN109" s="1"/>
      </tp>
      <tp t="s">
        <v>16.92%</v>
        <stp/>
        <stp>IMPL_VOL</stp>
        <stp>.SPXW250509P5630</stp>
        <tr r="EO109" s="1"/>
      </tp>
      <tp t="s">
        <v>39.53%</v>
        <stp/>
        <stp>IMPL_VOL</stp>
        <stp>.SPXW250509C5600</stp>
        <tr r="EN112" s="1"/>
      </tp>
      <tp t="s">
        <v>19.51%</v>
        <stp/>
        <stp>IMPL_VOL</stp>
        <stp>.SPXW250509P5600</stp>
        <tr r="EO112" s="1"/>
      </tp>
      <tp t="s">
        <v>37.76%</v>
        <stp/>
        <stp>IMPL_VOL</stp>
        <stp>.SPXW250509C5610</stp>
        <tr r="EN111" s="1"/>
      </tp>
      <tp t="s">
        <v>18.70%</v>
        <stp/>
        <stp>IMPL_VOL</stp>
        <stp>.SPXW250509P5610</stp>
        <tr r="EO111" s="1"/>
      </tp>
      <tp t="s">
        <v>43.43%</v>
        <stp/>
        <stp>IMPL_VOL</stp>
        <stp>.SPXW250507C5680</stp>
        <tr r="EL104" s="1"/>
      </tp>
      <tp t="s">
        <v>32.35%</v>
        <stp/>
        <stp>IMPL_VOL</stp>
        <stp>.SPXW250509C5660</stp>
        <tr r="EN106" s="1"/>
      </tp>
      <tp t="s">
        <v>20.41%</v>
        <stp/>
        <stp>IMPL_VOL</stp>
        <stp>.SPXW250516C5790</stp>
        <tr r="EP93" s="1"/>
      </tp>
      <tp t="s">
        <v>80.16%</v>
        <stp/>
        <stp>IMPL_VOL</stp>
        <stp>.SPXW250507P5680</stp>
        <tr r="EM104" s="1"/>
      </tp>
      <tp t="s">
        <v>12.78%</v>
        <stp/>
        <stp>IMPL_VOL</stp>
        <stp>.SPXW250509P5660</stp>
        <tr r="EO106" s="1"/>
      </tp>
      <tp t="s">
        <v>--</v>
        <stp/>
        <stp>IMPL_VOL</stp>
        <stp>.SPXW250516P5790</stp>
        <tr r="EQ93" s="1"/>
      </tp>
      <tp t="s">
        <v>51.30%</v>
        <stp/>
        <stp>IMPL_VOL</stp>
        <stp>.SPXW250507C5690</stp>
        <tr r="EL103" s="1"/>
      </tp>
      <tp t="s">
        <v>31.60%</v>
        <stp/>
        <stp>IMPL_VOL</stp>
        <stp>.SPXW250509C5670</stp>
        <tr r="EN105" s="1"/>
      </tp>
      <tp t="s">
        <v>20.63%</v>
        <stp/>
        <stp>IMPL_VOL</stp>
        <stp>.SPXW250516C5780</stp>
        <tr r="EP94" s="1"/>
      </tp>
      <tp t="s">
        <v>92.40%</v>
        <stp/>
        <stp>IMPL_VOL</stp>
        <stp>.SPXW250507P5690</stp>
        <tr r="EM103" s="1"/>
      </tp>
      <tp t="s">
        <v>10.29%</v>
        <stp/>
        <stp>IMPL_VOL</stp>
        <stp>.SPXW250509P5670</stp>
        <tr r="EO105" s="1"/>
      </tp>
      <tp t="s">
        <v>--</v>
        <stp/>
        <stp>IMPL_VOL</stp>
        <stp>.SPXW250516P5780</stp>
        <tr r="EQ94" s="1"/>
      </tp>
      <tp t="s">
        <v>34.33%</v>
        <stp/>
        <stp>IMPL_VOL</stp>
        <stp>.SPXW250509C5640</stp>
        <tr r="EN108" s="1"/>
      </tp>
      <tp t="s">
        <v>15.80%</v>
        <stp/>
        <stp>IMPL_VOL</stp>
        <stp>.SPXW250509P5640</stp>
        <tr r="EO108" s="1"/>
      </tp>
      <tp t="s">
        <v>33.33%</v>
        <stp/>
        <stp>IMPL_VOL</stp>
        <stp>.SPXW250509C5650</stp>
        <tr r="EN107" s="1"/>
      </tp>
      <tp t="s">
        <v>14.46%</v>
        <stp/>
        <stp>IMPL_VOL</stp>
        <stp>.SPXW250509P5650</stp>
        <tr r="EO107" s="1"/>
      </tp>
      <tp t="s">
        <v>12.75%</v>
        <stp/>
        <stp>IMPL_VOL</stp>
        <stp>.SPXW250507C5640</stp>
        <tr r="EL108" s="1"/>
      </tp>
      <tp t="s">
        <v>21.43%</v>
        <stp/>
        <stp>IMPL_VOL</stp>
        <stp>.SPXW250516C5750</stp>
        <tr r="EP97" s="1"/>
      </tp>
      <tp t="s">
        <v>21.12%</v>
        <stp/>
        <stp>IMPL_VOL</stp>
        <stp>.SPXW250507P5640</stp>
        <tr r="EM108" s="1"/>
      </tp>
      <tp t="s">
        <v>11.47%</v>
        <stp/>
        <stp>IMPL_VOL</stp>
        <stp>.SPXW250516P5750</stp>
        <tr r="EQ97" s="1"/>
      </tp>
      <tp t="s">
        <v>18.69%</v>
        <stp/>
        <stp>IMPL_VOL</stp>
        <stp>.SPXW250507C5650</stp>
        <tr r="EL107" s="1"/>
      </tp>
      <tp t="s">
        <v>21.72%</v>
        <stp/>
        <stp>IMPL_VOL</stp>
        <stp>.SPXW250516C5740</stp>
        <tr r="EP98" s="1"/>
      </tp>
      <tp t="s">
        <v>32.20%</v>
        <stp/>
        <stp>IMPL_VOL</stp>
        <stp>.SPXW250507P5650</stp>
        <tr r="EM107" s="1"/>
      </tp>
      <tp t="s">
        <v>12.54%</v>
        <stp/>
        <stp>IMPL_VOL</stp>
        <stp>.SPXW250516P5740</stp>
        <tr r="EQ98" s="1"/>
      </tp>
      <tp t="s">
        <v>27.15%</v>
        <stp/>
        <stp>IMPL_VOL</stp>
        <stp>.SPXW250507C5660</stp>
        <tr r="EL106" s="1"/>
      </tp>
      <tp t="s">
        <v>30.76%</v>
        <stp/>
        <stp>IMPL_VOL</stp>
        <stp>.SPXW250509C5680</stp>
        <tr r="EN104" s="1"/>
      </tp>
      <tp t="s">
        <v>20.89%</v>
        <stp/>
        <stp>IMPL_VOL</stp>
        <stp>.SPXW250516C5770</stp>
        <tr r="EP95" s="1"/>
      </tp>
      <tp t="s">
        <v>54.91%</v>
        <stp/>
        <stp>IMPL_VOL</stp>
        <stp>.SPXW250507P5660</stp>
        <tr r="EM106" s="1"/>
      </tp>
      <tp t="s">
        <v>--</v>
        <stp/>
        <stp>IMPL_VOL</stp>
        <stp>.SPXW250509P5680</stp>
        <tr r="EO104" s="1"/>
      </tp>
      <tp t="s">
        <v>6.61%</v>
        <stp/>
        <stp>IMPL_VOL</stp>
        <stp>.SPXW250516P5770</stp>
        <tr r="EQ95" s="1"/>
      </tp>
      <tp t="s">
        <v>35.41%</v>
        <stp/>
        <stp>IMPL_VOL</stp>
        <stp>.SPXW250507C5670</stp>
        <tr r="EL105" s="1"/>
      </tp>
      <tp t="s">
        <v>30.01%</v>
        <stp/>
        <stp>IMPL_VOL</stp>
        <stp>.SPXW250509C5690</stp>
        <tr r="EN103" s="1"/>
      </tp>
      <tp t="s">
        <v>21.15%</v>
        <stp/>
        <stp>IMPL_VOL</stp>
        <stp>.SPXW250516C5760</stp>
        <tr r="EP96" s="1"/>
      </tp>
      <tp t="s">
        <v>67.50%</v>
        <stp/>
        <stp>IMPL_VOL</stp>
        <stp>.SPXW250507P5670</stp>
        <tr r="EM105" s="1"/>
      </tp>
      <tp t="s">
        <v>--</v>
        <stp/>
        <stp>IMPL_VOL</stp>
        <stp>.SPXW250509P5690</stp>
        <tr r="EO103" s="1"/>
      </tp>
      <tp t="s">
        <v>10.07%</v>
        <stp/>
        <stp>IMPL_VOL</stp>
        <stp>.SPXW250516P5760</stp>
        <tr r="EQ96" s="1"/>
      </tp>
      <tp t="s">
        <v>--</v>
        <stp/>
        <stp>IMPL_VOL</stp>
        <stp>.SPXW250507C5600</stp>
        <tr r="EL112" s="1"/>
      </tp>
      <tp t="s">
        <v>22.65%</v>
        <stp/>
        <stp>IMPL_VOL</stp>
        <stp>.SPXW250516C5710</stp>
        <tr r="EP101" s="1"/>
      </tp>
      <tp t="s">
        <v>29.45%</v>
        <stp/>
        <stp>IMPL_VOL</stp>
        <stp>.SPXW250507P5600</stp>
        <tr r="EM112" s="1"/>
      </tp>
      <tp t="s">
        <v>14.73%</v>
        <stp/>
        <stp>IMPL_VOL</stp>
        <stp>.SPXW250516P5710</stp>
        <tr r="EQ101" s="1"/>
      </tp>
      <tp t="s">
        <v>--</v>
        <stp/>
        <stp>IMPL_VOL</stp>
        <stp>.SPXW250507C5610</stp>
        <tr r="EL111" s="1"/>
      </tp>
      <tp t="s">
        <v>22.97%</v>
        <stp/>
        <stp>IMPL_VOL</stp>
        <stp>.SPXW250516C5700</stp>
        <tr r="EP102" s="1"/>
      </tp>
      <tp t="s">
        <v>21.03%</v>
        <stp/>
        <stp>IMPL_VOL</stp>
        <stp>.SPXW250507P5610</stp>
        <tr r="EM111" s="1"/>
      </tp>
      <tp t="s">
        <v>15.25%</v>
        <stp/>
        <stp>IMPL_VOL</stp>
        <stp>.SPXW250516P5700</stp>
        <tr r="EQ102" s="1"/>
      </tp>
      <tp t="s">
        <v>--</v>
        <stp/>
        <stp>IMPL_VOL</stp>
        <stp>.SPXW250507C5620</stp>
        <tr r="EL110" s="1"/>
      </tp>
      <tp t="s">
        <v>22.01%</v>
        <stp/>
        <stp>IMPL_VOL</stp>
        <stp>.SPXW250516C5730</stp>
        <tr r="EP99" s="1"/>
      </tp>
      <tp t="s">
        <v>12.08%</v>
        <stp/>
        <stp>IMPL_VOL</stp>
        <stp>.SPXW250507P5620</stp>
        <tr r="EM110" s="1"/>
      </tp>
      <tp t="s">
        <v>13.41%</v>
        <stp/>
        <stp>IMPL_VOL</stp>
        <stp>.SPXW250516P5730</stp>
        <tr r="EQ99" s="1"/>
      </tp>
      <tp t="s">
        <v>6.38%</v>
        <stp/>
        <stp>IMPL_VOL</stp>
        <stp>.SPXW250507C5630</stp>
        <tr r="EL109" s="1"/>
      </tp>
      <tp t="s">
        <v>22.33%</v>
        <stp/>
        <stp>IMPL_VOL</stp>
        <stp>.SPXW250516C5720</stp>
        <tr r="EP100" s="1"/>
      </tp>
      <tp t="s">
        <v>5.67%</v>
        <stp/>
        <stp>IMPL_VOL</stp>
        <stp>.SPXW250507P5630</stp>
        <tr r="EM109" s="1"/>
      </tp>
      <tp t="s">
        <v>14.11%</v>
        <stp/>
        <stp>IMPL_VOL</stp>
        <stp>.SPXW250516P5720</stp>
        <tr r="EQ100" s="1"/>
      </tp>
      <tp t="s">
        <v>139.00%</v>
        <stp/>
        <stp>IMPL_VOL</stp>
        <stp>.QQQ250507C501</stp>
        <tr r="EL46" s="1"/>
      </tp>
      <tp t="s">
        <v>562.14%</v>
        <stp/>
        <stp>IMPL_VOL</stp>
        <stp>.QQQ250507P501</stp>
        <tr r="EM46" s="1"/>
      </tp>
      <tp t="s">
        <v>130.26%</v>
        <stp/>
        <stp>IMPL_VOL</stp>
        <stp>.QQQ250507C500</stp>
        <tr r="EL47" s="1"/>
      </tp>
      <tp t="s">
        <v>543.06%</v>
        <stp/>
        <stp>IMPL_VOL</stp>
        <stp>.QQQ250507P500</stp>
        <tr r="EM47" s="1"/>
      </tp>
      <tp t="s">
        <v>147.67%</v>
        <stp/>
        <stp>IMPL_VOL</stp>
        <stp>.QQQ250507C502</stp>
        <tr r="EL45" s="1"/>
      </tp>
      <tp t="s">
        <v>582.57%</v>
        <stp/>
        <stp>IMPL_VOL</stp>
        <stp>.QQQ250507P502</stp>
        <tr r="EM45" s="1"/>
      </tp>
      <tp t="s">
        <v>25.01%</v>
        <stp/>
        <stp>IMPL_VOL</stp>
        <stp>.QQQ250509C502</stp>
        <tr r="EN45" s="1"/>
      </tp>
      <tp t="s">
        <v>62.35%</v>
        <stp/>
        <stp>IMPL_VOL</stp>
        <stp>.QQQ250509P502</stp>
        <tr r="EO45" s="1"/>
      </tp>
      <tp t="s">
        <v>24.32%</v>
        <stp/>
        <stp>IMPL_VOL</stp>
        <stp>.QQQ250509C501</stp>
        <tr r="EN46" s="1"/>
      </tp>
      <tp t="s">
        <v>61.20%</v>
        <stp/>
        <stp>IMPL_VOL</stp>
        <stp>.QQQ250509P501</stp>
        <tr r="EO46" s="1"/>
      </tp>
      <tp t="s">
        <v>23.82%</v>
        <stp/>
        <stp>IMPL_VOL</stp>
        <stp>.QQQ250509C500</stp>
        <tr r="EN47" s="1"/>
      </tp>
      <tp t="s">
        <v>58.14%</v>
        <stp/>
        <stp>IMPL_VOL</stp>
        <stp>.QQQ250509P500</stp>
        <tr r="EO47" s="1"/>
      </tp>
      <tp t="s">
        <v>20.02%</v>
        <stp/>
        <stp>IMPL_VOL</stp>
        <stp>.QQQ250516C500</stp>
        <tr r="EP47" s="1"/>
      </tp>
      <tp t="s">
        <v>32.58%</v>
        <stp/>
        <stp>IMPL_VOL</stp>
        <stp>.QQQ250516P500</stp>
        <tr r="EQ47" s="1"/>
      </tp>
      <tp t="s">
        <v>19.97%</v>
        <stp/>
        <stp>IMPL_VOL</stp>
        <stp>.QQQ250516C501</stp>
        <tr r="EP46" s="1"/>
      </tp>
      <tp t="s">
        <v>32.65%</v>
        <stp/>
        <stp>IMPL_VOL</stp>
        <stp>.QQQ250516P501</stp>
        <tr r="EQ46" s="1"/>
      </tp>
      <tp t="s">
        <v>19.95%</v>
        <stp/>
        <stp>IMPL_VOL</stp>
        <stp>.QQQ250516C502</stp>
        <tr r="EP45" s="1"/>
      </tp>
      <tp t="s">
        <v>33.13%</v>
        <stp/>
        <stp>IMPL_VOL</stp>
        <stp>.QQQ250516P502</stp>
        <tr r="EQ45" s="1"/>
      </tp>
      <tp>
        <v>0.01</v>
        <stp/>
        <stp>ASK</stp>
        <stp>.SPY250507C565</stp>
        <tr r="DC21" s="1"/>
        <tr r="DC21" s="1"/>
      </tp>
      <tp>
        <v>4.37</v>
        <stp/>
        <stp>ASK</stp>
        <stp>.SPY250507P565</stp>
        <tr r="DD21" s="1"/>
        <tr r="DD21" s="1"/>
      </tp>
      <tp>
        <v>0.01</v>
        <stp/>
        <stp>ASK</stp>
        <stp>.SPY250507C564</stp>
        <tr r="DC22" s="1"/>
        <tr r="DC22" s="1"/>
      </tp>
      <tp>
        <v>2.63</v>
        <stp/>
        <stp>ASK</stp>
        <stp>.SPY250507P564</stp>
        <tr r="DD22" s="1"/>
        <tr r="DD22" s="1"/>
      </tp>
      <tp>
        <v>0.01</v>
        <stp/>
        <stp>ASK</stp>
        <stp>.SPY250507C567</stp>
        <tr r="DC19" s="1"/>
        <tr r="DC19" s="1"/>
      </tp>
      <tp>
        <v>6.45</v>
        <stp/>
        <stp>ASK</stp>
        <stp>.SPY250507P567</stp>
        <tr r="DD19" s="1"/>
        <tr r="DD19" s="1"/>
      </tp>
      <tp>
        <v>0.01</v>
        <stp/>
        <stp>ASK</stp>
        <stp>.SPY250507C566</stp>
        <tr r="DC20" s="1"/>
        <tr r="DC20" s="1"/>
      </tp>
      <tp>
        <v>5.45</v>
        <stp/>
        <stp>ASK</stp>
        <stp>.SPY250507P566</stp>
        <tr r="DD20" s="1"/>
        <tr r="DD20" s="1"/>
      </tp>
      <tp>
        <v>0.56000000000000005</v>
        <stp/>
        <stp>ASK</stp>
        <stp>.SPY250507C561</stp>
        <tr r="DC25" s="1"/>
        <tr r="DC25" s="1"/>
      </tp>
      <tp>
        <v>0.1</v>
        <stp/>
        <stp>ASK</stp>
        <stp>.SPY250507P561</stp>
        <tr r="DD25" s="1"/>
        <tr r="DD25" s="1"/>
      </tp>
      <tp>
        <v>1.51</v>
        <stp/>
        <stp>ASK</stp>
        <stp>.SPY250507C560</stp>
        <tr r="DC26" s="1"/>
        <tr r="DC26" s="1"/>
      </tp>
      <tp>
        <v>0.02</v>
        <stp/>
        <stp>ASK</stp>
        <stp>.SPY250507P560</stp>
        <tr r="DD26" s="1"/>
        <tr r="DD26" s="1"/>
      </tp>
      <tp>
        <v>0.02</v>
        <stp/>
        <stp>ASK</stp>
        <stp>.SPY250507C563</stp>
        <tr r="DC23" s="1"/>
        <tr r="DC23" s="1"/>
      </tp>
      <tp>
        <v>1.64</v>
        <stp/>
        <stp>ASK</stp>
        <stp>.SPY250507P563</stp>
        <tr r="DD23" s="1"/>
        <tr r="DD23" s="1"/>
      </tp>
      <tp>
        <v>0.06</v>
        <stp/>
        <stp>ASK</stp>
        <stp>.SPY250507C562</stp>
        <tr r="DC24" s="1"/>
        <tr r="DC24" s="1"/>
      </tp>
      <tp>
        <v>0.67</v>
        <stp/>
        <stp>ASK</stp>
        <stp>.SPY250507P562</stp>
        <tr r="DD24" s="1"/>
        <tr r="DD24" s="1"/>
      </tp>
      <tp>
        <v>0.01</v>
        <stp/>
        <stp>ASK</stp>
        <stp>.SPY250507C569</stp>
        <tr r="DC17" s="1"/>
        <tr r="DC17" s="1"/>
      </tp>
      <tp>
        <v>8.27</v>
        <stp/>
        <stp>ASK</stp>
        <stp>.SPY250507P569</stp>
        <tr r="DD17" s="1"/>
        <tr r="DD17" s="1"/>
      </tp>
      <tp>
        <v>0.01</v>
        <stp/>
        <stp>ASK</stp>
        <stp>.SPY250507C568</stp>
        <tr r="DC18" s="1"/>
        <tr r="DC18" s="1"/>
      </tp>
      <tp>
        <v>7.45</v>
        <stp/>
        <stp>ASK</stp>
        <stp>.SPY250507P568</stp>
        <tr r="DD18" s="1"/>
        <tr r="DD18" s="1"/>
      </tp>
      <tp>
        <v>2.36</v>
        <stp/>
        <stp>BID</stp>
        <stp>.SPY250507C559</stp>
        <tr r="DE27" s="1"/>
        <tr r="DE27" s="1"/>
      </tp>
      <tp>
        <v>0</v>
        <stp/>
        <stp>BID</stp>
        <stp>.SPY250507P559</stp>
        <tr r="DF27" s="1"/>
        <tr r="DF27" s="1"/>
      </tp>
      <tp>
        <v>2.57</v>
        <stp/>
        <stp>BID</stp>
        <stp>.SPY250507C558</stp>
        <tr r="DE28" s="1"/>
        <tr r="DE28" s="1"/>
      </tp>
      <tp>
        <v>0.01</v>
        <stp/>
        <stp>BID</stp>
        <stp>.SPY250507P558</stp>
        <tr r="DF28" s="1"/>
        <tr r="DF28" s="1"/>
      </tp>
      <tp>
        <v>3.6</v>
        <stp/>
        <stp>BID</stp>
        <stp>.SPY250507C557</stp>
        <tr r="DE29" s="1"/>
        <tr r="DE29" s="1"/>
      </tp>
      <tp>
        <v>0</v>
        <stp/>
        <stp>BID</stp>
        <stp>.SPY250507P557</stp>
        <tr r="DF29" s="1"/>
        <tr r="DF29" s="1"/>
      </tp>
      <tp>
        <v>4.75</v>
        <stp/>
        <stp>BID</stp>
        <stp>.SPY250507C556</stp>
        <tr r="DE30" s="1"/>
        <tr r="DE30" s="1"/>
      </tp>
      <tp>
        <v>0</v>
        <stp/>
        <stp>BID</stp>
        <stp>.SPY250507P556</stp>
        <tr r="DF30" s="1"/>
        <tr r="DF30" s="1"/>
      </tp>
      <tp>
        <v>5.64</v>
        <stp/>
        <stp>BID</stp>
        <stp>.SPY250507C555</stp>
        <tr r="DE31" s="1"/>
        <tr r="DE31" s="1"/>
      </tp>
      <tp>
        <v>0</v>
        <stp/>
        <stp>BID</stp>
        <stp>.SPY250507P555</stp>
        <tr r="DF31" s="1"/>
        <tr r="DF31" s="1"/>
      </tp>
      <tp>
        <v>7.32</v>
        <stp/>
        <stp>BID</stp>
        <stp>.SPY250507C554</stp>
        <tr r="DE32" s="1"/>
        <tr r="DE32" s="1"/>
      </tp>
      <tp>
        <v>0</v>
        <stp/>
        <stp>BID</stp>
        <stp>.SPY250507P554</stp>
        <tr r="DF32" s="1"/>
        <tr r="DF32" s="1"/>
      </tp>
      <tp>
        <v>7.46</v>
        <stp/>
        <stp>BID</stp>
        <stp>.SPY250507C553</stp>
        <tr r="DE33" s="1"/>
        <tr r="DE33" s="1"/>
      </tp>
      <tp>
        <v>0</v>
        <stp/>
        <stp>BID</stp>
        <stp>.SPY250507P553</stp>
        <tr r="DF33" s="1"/>
        <tr r="DF33" s="1"/>
      </tp>
      <tp>
        <v>8.3699999999999992</v>
        <stp/>
        <stp>BID</stp>
        <stp>.SPY250507C552</stp>
        <tr r="DE34" s="1"/>
        <tr r="DE34" s="1"/>
      </tp>
      <tp>
        <v>0</v>
        <stp/>
        <stp>BID</stp>
        <stp>.SPY250507P552</stp>
        <tr r="DF34" s="1"/>
        <tr r="DF34" s="1"/>
      </tp>
      <tp>
        <v>9.4499999999999993</v>
        <stp/>
        <stp>BID</stp>
        <stp>.SPY250507C551</stp>
        <tr r="DE35" s="1"/>
        <tr r="DE35" s="1"/>
      </tp>
      <tp>
        <v>0</v>
        <stp/>
        <stp>BID</stp>
        <stp>.SPY250507P551</stp>
        <tr r="DF35" s="1"/>
        <tr r="DF35" s="1"/>
      </tp>
      <tp>
        <v>10.64</v>
        <stp/>
        <stp>BID</stp>
        <stp>.SPY250507C550</stp>
        <tr r="DE36" s="1"/>
        <tr r="DE36" s="1"/>
      </tp>
      <tp>
        <v>0</v>
        <stp/>
        <stp>BID</stp>
        <stp>.SPY250507P550</stp>
        <tr r="DF36" s="1"/>
        <tr r="DF36" s="1"/>
      </tp>
      <tp>
        <v>0.01</v>
        <stp/>
        <stp>ASK</stp>
        <stp>.SPY250507C575</stp>
        <tr r="DC11" s="1"/>
        <tr r="DC11" s="1"/>
      </tp>
      <tp>
        <v>14.29</v>
        <stp/>
        <stp>ASK</stp>
        <stp>.SPY250507P575</stp>
        <tr r="DD11" s="1"/>
        <tr r="DD11" s="1"/>
      </tp>
      <tp>
        <v>0.01</v>
        <stp/>
        <stp>ASK</stp>
        <stp>.SPY250507C574</stp>
        <tr r="DC12" s="1"/>
        <tr r="DC12" s="1"/>
      </tp>
      <tp>
        <v>13.29</v>
        <stp/>
        <stp>ASK</stp>
        <stp>.SPY250507P574</stp>
        <tr r="DD12" s="1"/>
        <tr r="DD12" s="1"/>
      </tp>
      <tp>
        <v>0.01</v>
        <stp/>
        <stp>ASK</stp>
        <stp>.SPY250507C577</stp>
        <tr r="DC9" s="1"/>
        <tr r="DC9" s="1"/>
      </tp>
      <tp>
        <v>16.29</v>
        <stp/>
        <stp>ASK</stp>
        <stp>.SPY250507P577</stp>
        <tr r="DD9" s="1"/>
        <tr r="DD9" s="1"/>
      </tp>
      <tp>
        <v>0.01</v>
        <stp/>
        <stp>ASK</stp>
        <stp>.SPY250507C576</stp>
        <tr r="DC10" s="1"/>
        <tr r="DC10" s="1"/>
      </tp>
      <tp>
        <v>15.29</v>
        <stp/>
        <stp>ASK</stp>
        <stp>.SPY250507P576</stp>
        <tr r="DD10" s="1"/>
        <tr r="DD10" s="1"/>
      </tp>
      <tp>
        <v>0.01</v>
        <stp/>
        <stp>ASK</stp>
        <stp>.SPY250507C571</stp>
        <tr r="DC15" s="1"/>
        <tr r="DC15" s="1"/>
      </tp>
      <tp>
        <v>10.29</v>
        <stp/>
        <stp>ASK</stp>
        <stp>.SPY250507P571</stp>
        <tr r="DD15" s="1"/>
        <tr r="DD15" s="1"/>
      </tp>
      <tp>
        <v>0.01</v>
        <stp/>
        <stp>ASK</stp>
        <stp>.SPY250507C570</stp>
        <tr r="DC16" s="1"/>
        <tr r="DC16" s="1"/>
      </tp>
      <tp>
        <v>9.2899999999999991</v>
        <stp/>
        <stp>ASK</stp>
        <stp>.SPY250507P570</stp>
        <tr r="DD16" s="1"/>
        <tr r="DD16" s="1"/>
      </tp>
      <tp>
        <v>0.01</v>
        <stp/>
        <stp>ASK</stp>
        <stp>.SPY250507C573</stp>
        <tr r="DC13" s="1"/>
        <tr r="DC13" s="1"/>
      </tp>
      <tp>
        <v>12.29</v>
        <stp/>
        <stp>ASK</stp>
        <stp>.SPY250507P573</stp>
        <tr r="DD13" s="1"/>
        <tr r="DD13" s="1"/>
      </tp>
      <tp>
        <v>0.01</v>
        <stp/>
        <stp>ASK</stp>
        <stp>.SPY250507C572</stp>
        <tr r="DC14" s="1"/>
        <tr r="DC14" s="1"/>
      </tp>
      <tp>
        <v>11.58</v>
        <stp/>
        <stp>ASK</stp>
        <stp>.SPY250507P572</stp>
        <tr r="DD14" s="1"/>
        <tr r="DD14" s="1"/>
      </tp>
      <tp>
        <v>0.01</v>
        <stp/>
        <stp>ASK</stp>
        <stp>.SPY250507C579</stp>
        <tr r="DC7" s="1"/>
        <tr r="DC7" s="1"/>
      </tp>
      <tp>
        <v>18.29</v>
        <stp/>
        <stp>ASK</stp>
        <stp>.SPY250507P579</stp>
        <tr r="DD7" s="1"/>
        <tr r="DD7" s="1"/>
      </tp>
      <tp>
        <v>0.01</v>
        <stp/>
        <stp>ASK</stp>
        <stp>.SPY250507C578</stp>
        <tr r="DC8" s="1"/>
        <tr r="DC8" s="1"/>
      </tp>
      <tp>
        <v>17.29</v>
        <stp/>
        <stp>ASK</stp>
        <stp>.SPY250507P578</stp>
        <tr r="DD8" s="1"/>
        <tr r="DD8" s="1"/>
      </tp>
      <tp>
        <v>11.43</v>
        <stp/>
        <stp>BID</stp>
        <stp>.SPY250507C549</stp>
        <tr r="DE37" s="1"/>
        <tr r="DE37" s="1"/>
      </tp>
      <tp>
        <v>0</v>
        <stp/>
        <stp>BID</stp>
        <stp>.SPY250507P549</stp>
        <tr r="DF37" s="1"/>
        <tr r="DF37" s="1"/>
      </tp>
      <tp>
        <v>12.46</v>
        <stp/>
        <stp>BID</stp>
        <stp>.SPY250507C548</stp>
        <tr r="DE38" s="1"/>
        <tr r="DE38" s="1"/>
      </tp>
      <tp>
        <v>0</v>
        <stp/>
        <stp>BID</stp>
        <stp>.SPY250507P548</stp>
        <tr r="DF38" s="1"/>
        <tr r="DF38" s="1"/>
      </tp>
      <tp>
        <v>12.99</v>
        <stp/>
        <stp>ASK</stp>
        <stp>.SPY250507C549</stp>
        <tr r="DC37" s="1"/>
        <tr r="DC37" s="1"/>
      </tp>
      <tp>
        <v>0.01</v>
        <stp/>
        <stp>ASK</stp>
        <stp>.SPY250507P549</stp>
        <tr r="DD37" s="1"/>
        <tr r="DD37" s="1"/>
      </tp>
      <tp>
        <v>13.98</v>
        <stp/>
        <stp>ASK</stp>
        <stp>.SPY250507C548</stp>
        <tr r="DC38" s="1"/>
        <tr r="DC38" s="1"/>
      </tp>
      <tp>
        <v>0.01</v>
        <stp/>
        <stp>ASK</stp>
        <stp>.SPY250507P548</stp>
        <tr r="DD38" s="1"/>
        <tr r="DD38" s="1"/>
      </tp>
      <tp>
        <v>0</v>
        <stp/>
        <stp>BID</stp>
        <stp>.SPY250507C579</stp>
        <tr r="DE7" s="1"/>
        <tr r="DE7" s="1"/>
      </tp>
      <tp>
        <v>17.02</v>
        <stp/>
        <stp>BID</stp>
        <stp>.SPY250507P579</stp>
        <tr r="DF7" s="1"/>
        <tr r="DF7" s="1"/>
      </tp>
      <tp>
        <v>0</v>
        <stp/>
        <stp>BID</stp>
        <stp>.SPY250507C578</stp>
        <tr r="DE8" s="1"/>
        <tr r="DE8" s="1"/>
      </tp>
      <tp>
        <v>15.98</v>
        <stp/>
        <stp>BID</stp>
        <stp>.SPY250507P578</stp>
        <tr r="DF8" s="1"/>
        <tr r="DF8" s="1"/>
      </tp>
      <tp>
        <v>0</v>
        <stp/>
        <stp>BID</stp>
        <stp>.SPY250507C577</stp>
        <tr r="DE9" s="1"/>
        <tr r="DE9" s="1"/>
      </tp>
      <tp>
        <v>14.96</v>
        <stp/>
        <stp>BID</stp>
        <stp>.SPY250507P577</stp>
        <tr r="DF9" s="1"/>
        <tr r="DF9" s="1"/>
      </tp>
      <tp>
        <v>0</v>
        <stp/>
        <stp>BID</stp>
        <stp>.SPY250507C576</stp>
        <tr r="DE10" s="1"/>
        <tr r="DE10" s="1"/>
      </tp>
      <tp>
        <v>13.98</v>
        <stp/>
        <stp>BID</stp>
        <stp>.SPY250507P576</stp>
        <tr r="DF10" s="1"/>
        <tr r="DF10" s="1"/>
      </tp>
      <tp>
        <v>0</v>
        <stp/>
        <stp>BID</stp>
        <stp>.SPY250507C575</stp>
        <tr r="DE11" s="1"/>
        <tr r="DE11" s="1"/>
      </tp>
      <tp>
        <v>13.03</v>
        <stp/>
        <stp>BID</stp>
        <stp>.SPY250507P575</stp>
        <tr r="DF11" s="1"/>
        <tr r="DF11" s="1"/>
      </tp>
      <tp>
        <v>0</v>
        <stp/>
        <stp>BID</stp>
        <stp>.SPY250507C574</stp>
        <tr r="DE12" s="1"/>
        <tr r="DE12" s="1"/>
      </tp>
      <tp>
        <v>11.96</v>
        <stp/>
        <stp>BID</stp>
        <stp>.SPY250507P574</stp>
        <tr r="DF12" s="1"/>
        <tr r="DF12" s="1"/>
      </tp>
      <tp>
        <v>0</v>
        <stp/>
        <stp>BID</stp>
        <stp>.SPY250507C573</stp>
        <tr r="DE13" s="1"/>
        <tr r="DE13" s="1"/>
      </tp>
      <tp>
        <v>10.98</v>
        <stp/>
        <stp>BID</stp>
        <stp>.SPY250507P573</stp>
        <tr r="DF13" s="1"/>
        <tr r="DF13" s="1"/>
      </tp>
      <tp>
        <v>0</v>
        <stp/>
        <stp>BID</stp>
        <stp>.SPY250507C572</stp>
        <tr r="DE14" s="1"/>
        <tr r="DE14" s="1"/>
      </tp>
      <tp>
        <v>9.74</v>
        <stp/>
        <stp>BID</stp>
        <stp>.SPY250507P572</stp>
        <tr r="DF14" s="1"/>
        <tr r="DF14" s="1"/>
      </tp>
      <tp>
        <v>0</v>
        <stp/>
        <stp>BID</stp>
        <stp>.SPY250507C571</stp>
        <tr r="DE15" s="1"/>
        <tr r="DE15" s="1"/>
      </tp>
      <tp>
        <v>8.74</v>
        <stp/>
        <stp>BID</stp>
        <stp>.SPY250507P571</stp>
        <tr r="DF15" s="1"/>
        <tr r="DF15" s="1"/>
      </tp>
      <tp>
        <v>0</v>
        <stp/>
        <stp>BID</stp>
        <stp>.SPY250507C570</stp>
        <tr r="DE16" s="1"/>
        <tr r="DE16" s="1"/>
      </tp>
      <tp>
        <v>7.96</v>
        <stp/>
        <stp>BID</stp>
        <stp>.SPY250507P570</stp>
        <tr r="DF16" s="1"/>
        <tr r="DF16" s="1"/>
      </tp>
      <tp>
        <v>7.3</v>
        <stp/>
        <stp>ASK</stp>
        <stp>.SPY250507C555</stp>
        <tr r="DC31" s="1"/>
        <tr r="DC31" s="1"/>
      </tp>
      <tp>
        <v>0.01</v>
        <stp/>
        <stp>ASK</stp>
        <stp>.SPY250507P555</stp>
        <tr r="DD31" s="1"/>
        <tr r="DD31" s="1"/>
      </tp>
      <tp>
        <v>8.09</v>
        <stp/>
        <stp>ASK</stp>
        <stp>.SPY250507C554</stp>
        <tr r="DC32" s="1"/>
        <tr r="DC32" s="1"/>
      </tp>
      <tp>
        <v>0.01</v>
        <stp/>
        <stp>ASK</stp>
        <stp>.SPY250507P554</stp>
        <tr r="DD32" s="1"/>
        <tr r="DD32" s="1"/>
      </tp>
      <tp>
        <v>5.09</v>
        <stp/>
        <stp>ASK</stp>
        <stp>.SPY250507C557</stp>
        <tr r="DC29" s="1"/>
        <tr r="DC29" s="1"/>
      </tp>
      <tp>
        <v>0.01</v>
        <stp/>
        <stp>ASK</stp>
        <stp>.SPY250507P557</stp>
        <tr r="DD29" s="1"/>
        <tr r="DD29" s="1"/>
      </tp>
      <tp>
        <v>6.18</v>
        <stp/>
        <stp>ASK</stp>
        <stp>.SPY250507C556</stp>
        <tr r="DC30" s="1"/>
        <tr r="DC30" s="1"/>
      </tp>
      <tp>
        <v>0.01</v>
        <stp/>
        <stp>ASK</stp>
        <stp>.SPY250507P556</stp>
        <tr r="DD30" s="1"/>
        <tr r="DD30" s="1"/>
      </tp>
      <tp>
        <v>11</v>
        <stp/>
        <stp>ASK</stp>
        <stp>.SPY250507C551</stp>
        <tr r="DC35" s="1"/>
        <tr r="DC35" s="1"/>
      </tp>
      <tp>
        <v>0.01</v>
        <stp/>
        <stp>ASK</stp>
        <stp>.SPY250507P551</stp>
        <tr r="DD35" s="1"/>
        <tr r="DD35" s="1"/>
      </tp>
      <tp>
        <v>11.95</v>
        <stp/>
        <stp>ASK</stp>
        <stp>.SPY250507C550</stp>
        <tr r="DC36" s="1"/>
        <tr r="DC36" s="1"/>
      </tp>
      <tp>
        <v>0.01</v>
        <stp/>
        <stp>ASK</stp>
        <stp>.SPY250507P550</stp>
        <tr r="DD36" s="1"/>
        <tr r="DD36" s="1"/>
      </tp>
      <tp>
        <v>9.3000000000000007</v>
        <stp/>
        <stp>ASK</stp>
        <stp>.SPY250507C553</stp>
        <tr r="DC33" s="1"/>
        <tr r="DC33" s="1"/>
      </tp>
      <tp>
        <v>0.01</v>
        <stp/>
        <stp>ASK</stp>
        <stp>.SPY250507P553</stp>
        <tr r="DD33" s="1"/>
        <tr r="DD33" s="1"/>
      </tp>
      <tp>
        <v>9.9499999999999993</v>
        <stp/>
        <stp>ASK</stp>
        <stp>.SPY250507C552</stp>
        <tr r="DC34" s="1"/>
        <tr r="DC34" s="1"/>
      </tp>
      <tp>
        <v>0.01</v>
        <stp/>
        <stp>ASK</stp>
        <stp>.SPY250507P552</stp>
        <tr r="DD34" s="1"/>
        <tr r="DD34" s="1"/>
      </tp>
      <tp>
        <v>2.5099999999999998</v>
        <stp/>
        <stp>ASK</stp>
        <stp>.SPY250507C559</stp>
        <tr r="DC27" s="1"/>
        <tr r="DC27" s="1"/>
      </tp>
      <tp>
        <v>0.01</v>
        <stp/>
        <stp>ASK</stp>
        <stp>.SPY250507P559</stp>
        <tr r="DD27" s="1"/>
        <tr r="DD27" s="1"/>
      </tp>
      <tp>
        <v>4.12</v>
        <stp/>
        <stp>ASK</stp>
        <stp>.SPY250507C558</stp>
        <tr r="DC28" s="1"/>
        <tr r="DC28" s="1"/>
      </tp>
      <tp>
        <v>0.02</v>
        <stp/>
        <stp>ASK</stp>
        <stp>.SPY250507P558</stp>
        <tr r="DD28" s="1"/>
        <tr r="DD28" s="1"/>
      </tp>
      <tp>
        <v>0</v>
        <stp/>
        <stp>BID</stp>
        <stp>.SPY250507C569</stp>
        <tr r="DE17" s="1"/>
        <tr r="DE17" s="1"/>
      </tp>
      <tp>
        <v>6.74</v>
        <stp/>
        <stp>BID</stp>
        <stp>.SPY250507P569</stp>
        <tr r="DF17" s="1"/>
        <tr r="DF17" s="1"/>
      </tp>
      <tp>
        <v>0</v>
        <stp/>
        <stp>BID</stp>
        <stp>.SPY250507C568</stp>
        <tr r="DE18" s="1"/>
        <tr r="DE18" s="1"/>
      </tp>
      <tp>
        <v>5.6</v>
        <stp/>
        <stp>BID</stp>
        <stp>.SPY250507P568</stp>
        <tr r="DF18" s="1"/>
        <tr r="DF18" s="1"/>
      </tp>
      <tp>
        <v>0</v>
        <stp/>
        <stp>BID</stp>
        <stp>.SPY250507C567</stp>
        <tr r="DE19" s="1"/>
        <tr r="DE19" s="1"/>
      </tp>
      <tp>
        <v>4.5999999999999996</v>
        <stp/>
        <stp>BID</stp>
        <stp>.SPY250507P567</stp>
        <tr r="DF19" s="1"/>
        <tr r="DF19" s="1"/>
      </tp>
      <tp>
        <v>0</v>
        <stp/>
        <stp>BID</stp>
        <stp>.SPY250507C566</stp>
        <tr r="DE20" s="1"/>
        <tr r="DE20" s="1"/>
      </tp>
      <tp>
        <v>3.76</v>
        <stp/>
        <stp>BID</stp>
        <stp>.SPY250507P566</stp>
        <tr r="DF20" s="1"/>
        <tr r="DF20" s="1"/>
      </tp>
      <tp>
        <v>0</v>
        <stp/>
        <stp>BID</stp>
        <stp>.SPY250507C565</stp>
        <tr r="DE21" s="1"/>
        <tr r="DE21" s="1"/>
      </tp>
      <tp>
        <v>2.91</v>
        <stp/>
        <stp>BID</stp>
        <stp>.SPY250507P565</stp>
        <tr r="DF21" s="1"/>
        <tr r="DF21" s="1"/>
      </tp>
      <tp>
        <v>0</v>
        <stp/>
        <stp>BID</stp>
        <stp>.SPY250507C564</stp>
        <tr r="DE22" s="1"/>
        <tr r="DE22" s="1"/>
      </tp>
      <tp>
        <v>2.4900000000000002</v>
        <stp/>
        <stp>BID</stp>
        <stp>.SPY250507P564</stp>
        <tr r="DF22" s="1"/>
        <tr r="DF22" s="1"/>
      </tp>
      <tp>
        <v>0.01</v>
        <stp/>
        <stp>BID</stp>
        <stp>.SPY250507C563</stp>
        <tr r="DE23" s="1"/>
        <tr r="DE23" s="1"/>
      </tp>
      <tp>
        <v>1.5</v>
        <stp/>
        <stp>BID</stp>
        <stp>.SPY250507P563</stp>
        <tr r="DF23" s="1"/>
        <tr r="DF23" s="1"/>
      </tp>
      <tp>
        <v>0.05</v>
        <stp/>
        <stp>BID</stp>
        <stp>.SPY250507C562</stp>
        <tr r="DE24" s="1"/>
        <tr r="DE24" s="1"/>
      </tp>
      <tp>
        <v>0.56999999999999995</v>
        <stp/>
        <stp>BID</stp>
        <stp>.SPY250507P562</stp>
        <tr r="DF24" s="1"/>
        <tr r="DF24" s="1"/>
      </tp>
      <tp>
        <v>0.47</v>
        <stp/>
        <stp>BID</stp>
        <stp>.SPY250507C561</stp>
        <tr r="DE25" s="1"/>
        <tr r="DE25" s="1"/>
      </tp>
      <tp>
        <v>0.08</v>
        <stp/>
        <stp>BID</stp>
        <stp>.SPY250507P561</stp>
        <tr r="DF25" s="1"/>
        <tr r="DF25" s="1"/>
      </tp>
      <tp>
        <v>1.37</v>
        <stp/>
        <stp>BID</stp>
        <stp>.SPY250507C560</stp>
        <tr r="DE26" s="1"/>
        <tr r="DE26" s="1"/>
      </tp>
      <tp>
        <v>0.01</v>
        <stp/>
        <stp>BID</stp>
        <stp>.SPY250507P560</stp>
        <tr r="DF26" s="1"/>
        <tr r="DF26" s="1"/>
      </tp>
      <tp>
        <v>0</v>
        <stp/>
        <stp>BID</stp>
        <stp>.SPY250507C582</stp>
        <tr r="DE4" s="1"/>
        <tr r="DE4" s="1"/>
      </tp>
      <tp>
        <v>20.010000000000002</v>
        <stp/>
        <stp>BID</stp>
        <stp>.SPY250507P582</stp>
        <tr r="DF4" s="1"/>
        <tr r="DF4" s="1"/>
      </tp>
      <tp>
        <v>0</v>
        <stp/>
        <stp>BID</stp>
        <stp>.SPY250507C581</stp>
        <tr r="DE5" s="1"/>
        <tr r="DE5" s="1"/>
      </tp>
      <tp>
        <v>18.96</v>
        <stp/>
        <stp>BID</stp>
        <stp>.SPY250507P581</stp>
        <tr r="DF5" s="1"/>
        <tr r="DF5" s="1"/>
      </tp>
      <tp>
        <v>0</v>
        <stp/>
        <stp>BID</stp>
        <stp>.SPY250507C580</stp>
        <tr r="DE6" s="1"/>
        <tr r="DE6" s="1"/>
      </tp>
      <tp>
        <v>17.600000000000001</v>
        <stp/>
        <stp>BID</stp>
        <stp>.SPY250507P580</stp>
        <tr r="DF6" s="1"/>
        <tr r="DF6" s="1"/>
      </tp>
      <tp>
        <v>0.01</v>
        <stp/>
        <stp>ASK</stp>
        <stp>.SPY250507C581</stp>
        <tr r="DC5" s="1"/>
        <tr r="DC5" s="1"/>
      </tp>
      <tp>
        <v>20.29</v>
        <stp/>
        <stp>ASK</stp>
        <stp>.SPY250507P581</stp>
        <tr r="DD5" s="1"/>
        <tr r="DD5" s="1"/>
      </tp>
      <tp>
        <v>0.01</v>
        <stp/>
        <stp>ASK</stp>
        <stp>.SPY250507C580</stp>
        <tr r="DC6" s="1"/>
        <tr r="DC6" s="1"/>
      </tp>
      <tp>
        <v>19.579999999999998</v>
        <stp/>
        <stp>ASK</stp>
        <stp>.SPY250507P580</stp>
        <tr r="DD6" s="1"/>
        <tr r="DD6" s="1"/>
      </tp>
      <tp>
        <v>0.01</v>
        <stp/>
        <stp>ASK</stp>
        <stp>.SPY250507C582</stp>
        <tr r="DC4" s="1"/>
        <tr r="DC4" s="1"/>
      </tp>
      <tp>
        <v>21.29</v>
        <stp/>
        <stp>ASK</stp>
        <stp>.SPY250507P582</stp>
        <tr r="DD4" s="1"/>
        <tr r="DD4" s="1"/>
      </tp>
      <tp t="s">
        <v>51.74%</v>
        <stp/>
        <stp>IMPL_VOL</stp>
        <stp>.SPXW250509C5520</stp>
        <tr r="EN120" s="1"/>
      </tp>
      <tp t="s">
        <v>24.32%</v>
        <stp/>
        <stp>IMPL_VOL</stp>
        <stp>.SPXW250509P5520</stp>
        <tr r="EO120" s="1"/>
      </tp>
      <tp t="s">
        <v>50.09%</v>
        <stp/>
        <stp>IMPL_VOL</stp>
        <stp>.SPXW250509C5530</stp>
        <tr r="EN119" s="1"/>
      </tp>
      <tp t="s">
        <v>23.82%</v>
        <stp/>
        <stp>IMPL_VOL</stp>
        <stp>.SPXW250509P5530</stp>
        <tr r="EO119" s="1"/>
      </tp>
      <tp t="s">
        <v>55.09%</v>
        <stp/>
        <stp>IMPL_VOL</stp>
        <stp>.SPXW250509C5500</stp>
        <tr r="EN122" s="1"/>
      </tp>
      <tp t="s">
        <v>25.22%</v>
        <stp/>
        <stp>IMPL_VOL</stp>
        <stp>.SPXW250509P5500</stp>
        <tr r="EO122" s="1"/>
      </tp>
      <tp t="s">
        <v>53.38%</v>
        <stp/>
        <stp>IMPL_VOL</stp>
        <stp>.SPXW250509C5510</stp>
        <tr r="EN121" s="1"/>
      </tp>
      <tp t="s">
        <v>24.86%</v>
        <stp/>
        <stp>IMPL_VOL</stp>
        <stp>.SPXW250509P5510</stp>
        <tr r="EO121" s="1"/>
      </tp>
      <tp t="s">
        <v>--</v>
        <stp/>
        <stp>IMPL_VOL</stp>
        <stp>.SPXW250507C5580</stp>
        <tr r="EL114" s="1"/>
      </tp>
      <tp t="s">
        <v>44.24%</v>
        <stp/>
        <stp>IMPL_VOL</stp>
        <stp>.SPXW250509C5560</stp>
        <tr r="EN116" s="1"/>
      </tp>
      <tp t="s">
        <v>31.38%</v>
        <stp/>
        <stp>IMPL_VOL</stp>
        <stp>.SPXW250516C5490</stp>
        <tr r="EP123" s="1"/>
      </tp>
      <tp t="s">
        <v>45.89%</v>
        <stp/>
        <stp>IMPL_VOL</stp>
        <stp>.SPXW250507P5580</stp>
        <tr r="EM114" s="1"/>
      </tp>
      <tp t="s">
        <v>22.10%</v>
        <stp/>
        <stp>IMPL_VOL</stp>
        <stp>.SPXW250509P5560</stp>
        <tr r="EO116" s="1"/>
      </tp>
      <tp t="s">
        <v>22.48%</v>
        <stp/>
        <stp>IMPL_VOL</stp>
        <stp>.SPXW250516P5490</stp>
        <tr r="EQ123" s="1"/>
      </tp>
      <tp t="s">
        <v>--</v>
        <stp/>
        <stp>IMPL_VOL</stp>
        <stp>.SPXW250507C5590</stp>
        <tr r="EL113" s="1"/>
      </tp>
      <tp t="s">
        <v>43.36%</v>
        <stp/>
        <stp>IMPL_VOL</stp>
        <stp>.SPXW250509C5570</stp>
        <tr r="EN115" s="1"/>
      </tp>
      <tp t="s">
        <v>31.86%</v>
        <stp/>
        <stp>IMPL_VOL</stp>
        <stp>.SPXW250516C5480</stp>
        <tr r="EP124" s="1"/>
      </tp>
      <tp t="s">
        <v>37.78%</v>
        <stp/>
        <stp>IMPL_VOL</stp>
        <stp>.SPXW250507P5590</stp>
        <tr r="EM113" s="1"/>
      </tp>
      <tp t="s">
        <v>21.53%</v>
        <stp/>
        <stp>IMPL_VOL</stp>
        <stp>.SPXW250509P5570</stp>
        <tr r="EO115" s="1"/>
      </tp>
      <tp t="s">
        <v>22.77%</v>
        <stp/>
        <stp>IMPL_VOL</stp>
        <stp>.SPXW250516P5480</stp>
        <tr r="EQ124" s="1"/>
      </tp>
      <tp t="s">
        <v>48.53%</v>
        <stp/>
        <stp>IMPL_VOL</stp>
        <stp>.SPXW250509C5540</stp>
        <tr r="EN118" s="1"/>
      </tp>
      <tp t="s">
        <v>23.32%</v>
        <stp/>
        <stp>IMPL_VOL</stp>
        <stp>.SPXW250509P5540</stp>
        <tr r="EO118" s="1"/>
      </tp>
      <tp t="s">
        <v>46.94%</v>
        <stp/>
        <stp>IMPL_VOL</stp>
        <stp>.SPXW250509C5550</stp>
        <tr r="EN117" s="1"/>
      </tp>
      <tp t="s">
        <v>22.75%</v>
        <stp/>
        <stp>IMPL_VOL</stp>
        <stp>.SPXW250509P5550</stp>
        <tr r="EO117" s="1"/>
      </tp>
      <tp t="s">
        <v>--</v>
        <stp/>
        <stp>IMPL_VOL</stp>
        <stp>.SPXW250507C5540</stp>
        <tr r="EL118" s="1"/>
      </tp>
      <tp t="s">
        <v>33.58%</v>
        <stp/>
        <stp>IMPL_VOL</stp>
        <stp>.SPXW250516C5450</stp>
        <tr r="EP127" s="1"/>
      </tp>
      <tp t="s">
        <v>77.35%</v>
        <stp/>
        <stp>IMPL_VOL</stp>
        <stp>.SPXW250507P5540</stp>
        <tr r="EM118" s="1"/>
      </tp>
      <tp t="s">
        <v>23.55%</v>
        <stp/>
        <stp>IMPL_VOL</stp>
        <stp>.SPXW250516P5450</stp>
        <tr r="EQ127" s="1"/>
      </tp>
      <tp t="s">
        <v>--</v>
        <stp/>
        <stp>IMPL_VOL</stp>
        <stp>.SPXW250507C5550</stp>
        <tr r="EL117" s="1"/>
      </tp>
      <tp t="s">
        <v>33.92%</v>
        <stp/>
        <stp>IMPL_VOL</stp>
        <stp>.SPXW250516C5440</stp>
        <tr r="EP128" s="1"/>
      </tp>
      <tp t="s">
        <v>69.70%</v>
        <stp/>
        <stp>IMPL_VOL</stp>
        <stp>.SPXW250507P5550</stp>
        <tr r="EM117" s="1"/>
      </tp>
      <tp t="s">
        <v>23.83%</v>
        <stp/>
        <stp>IMPL_VOL</stp>
        <stp>.SPXW250516P5440</stp>
        <tr r="EQ128" s="1"/>
      </tp>
      <tp t="s">
        <v>--</v>
        <stp/>
        <stp>IMPL_VOL</stp>
        <stp>.SPXW250507C5560</stp>
        <tr r="EL116" s="1"/>
      </tp>
      <tp t="s">
        <v>42.08%</v>
        <stp/>
        <stp>IMPL_VOL</stp>
        <stp>.SPXW250509C5580</stp>
        <tr r="EN114" s="1"/>
      </tp>
      <tp t="s">
        <v>32.34%</v>
        <stp/>
        <stp>IMPL_VOL</stp>
        <stp>.SPXW250516C5470</stp>
        <tr r="EP125" s="1"/>
      </tp>
      <tp t="s">
        <v>61.82%</v>
        <stp/>
        <stp>IMPL_VOL</stp>
        <stp>.SPXW250507P5560</stp>
        <tr r="EM116" s="1"/>
      </tp>
      <tp t="s">
        <v>20.88%</v>
        <stp/>
        <stp>IMPL_VOL</stp>
        <stp>.SPXW250509P5580</stp>
        <tr r="EO114" s="1"/>
      </tp>
      <tp t="s">
        <v>23.01%</v>
        <stp/>
        <stp>IMPL_VOL</stp>
        <stp>.SPXW250516P5470</stp>
        <tr r="EQ125" s="1"/>
      </tp>
      <tp t="s">
        <v>--</v>
        <stp/>
        <stp>IMPL_VOL</stp>
        <stp>.SPXW250507C5570</stp>
        <tr r="EL115" s="1"/>
      </tp>
      <tp t="s">
        <v>40.80%</v>
        <stp/>
        <stp>IMPL_VOL</stp>
        <stp>.SPXW250509C5590</stp>
        <tr r="EN113" s="1"/>
      </tp>
      <tp t="s">
        <v>32.79%</v>
        <stp/>
        <stp>IMPL_VOL</stp>
        <stp>.SPXW250516C5460</stp>
        <tr r="EP126" s="1"/>
      </tp>
      <tp t="s">
        <v>53.90%</v>
        <stp/>
        <stp>IMPL_VOL</stp>
        <stp>.SPXW250507P5570</stp>
        <tr r="EM115" s="1"/>
      </tp>
      <tp t="s">
        <v>20.28%</v>
        <stp/>
        <stp>IMPL_VOL</stp>
        <stp>.SPXW250509P5590</stp>
        <tr r="EO113" s="1"/>
      </tp>
      <tp t="s">
        <v>23.28%</v>
        <stp/>
        <stp>IMPL_VOL</stp>
        <stp>.SPXW250516P5460</stp>
        <tr r="EQ126" s="1"/>
      </tp>
      <tp t="s">
        <v>--</v>
        <stp/>
        <stp>IMPL_VOL</stp>
        <stp>.SPXW250507C5500</stp>
        <tr r="EL122" s="1"/>
      </tp>
      <tp t="s">
        <v>107.75%</v>
        <stp/>
        <stp>IMPL_VOL</stp>
        <stp>.SPXW250507P5500</stp>
        <tr r="EM122" s="1"/>
      </tp>
      <tp t="s">
        <v>--</v>
        <stp/>
        <stp>IMPL_VOL</stp>
        <stp>.SPXW250507C5510</stp>
        <tr r="EL121" s="1"/>
      </tp>
      <tp t="s">
        <v>100.19%</v>
        <stp/>
        <stp>IMPL_VOL</stp>
        <stp>.SPXW250507P5510</stp>
        <tr r="EM121" s="1"/>
      </tp>
      <tp t="s">
        <v>--</v>
        <stp/>
        <stp>IMPL_VOL</stp>
        <stp>.SPXW250507C5520</stp>
        <tr r="EL120" s="1"/>
      </tp>
      <tp t="s">
        <v>34.38%</v>
        <stp/>
        <stp>IMPL_VOL</stp>
        <stp>.SPXW250516C5430</stp>
        <tr r="EP129" s="1"/>
      </tp>
      <tp t="s">
        <v>92.59%</v>
        <stp/>
        <stp>IMPL_VOL</stp>
        <stp>.SPXW250507P5520</stp>
        <tr r="EM120" s="1"/>
      </tp>
      <tp t="s">
        <v>24.05%</v>
        <stp/>
        <stp>IMPL_VOL</stp>
        <stp>.SPXW250516P5430</stp>
        <tr r="EQ129" s="1"/>
      </tp>
      <tp t="s">
        <v>--</v>
        <stp/>
        <stp>IMPL_VOL</stp>
        <stp>.SPXW250507C5530</stp>
        <tr r="EL119" s="1"/>
      </tp>
      <tp t="s">
        <v>35.18%</v>
        <stp/>
        <stp>IMPL_VOL</stp>
        <stp>.SPXW250516C5420</stp>
        <tr r="EP130" s="1"/>
      </tp>
      <tp t="s">
        <v>84.96%</v>
        <stp/>
        <stp>IMPL_VOL</stp>
        <stp>.SPXW250507P5530</stp>
        <tr r="EM119" s="1"/>
      </tp>
      <tp t="s">
        <v>24.33%</v>
        <stp/>
        <stp>IMPL_VOL</stp>
        <stp>.SPXW250516P5420</stp>
        <tr r="EQ130" s="1"/>
      </tp>
      <tp t="s">
        <v>17.67%</v>
        <stp/>
        <stp>IMPL_VOL</stp>
        <stp>.QQQ250516C474</stp>
        <tr r="EP73" s="1"/>
      </tp>
      <tp t="s">
        <v>30.29%</v>
        <stp/>
        <stp>IMPL_VOL</stp>
        <stp>.QQQ250516P474</stp>
        <tr r="EQ73" s="1"/>
      </tp>
      <tp t="s">
        <v>18.27%</v>
        <stp/>
        <stp>IMPL_VOL</stp>
        <stp>.QQQ250516C475</stp>
        <tr r="EP72" s="1"/>
      </tp>
      <tp t="s">
        <v>30.18%</v>
        <stp/>
        <stp>IMPL_VOL</stp>
        <stp>.QQQ250516P475</stp>
        <tr r="EQ72" s="1"/>
      </tp>
      <tp t="s">
        <v>--</v>
        <stp/>
        <stp>IMPL_VOL</stp>
        <stp>.QQQ250509C469</stp>
        <tr r="EN78" s="1"/>
      </tp>
      <tp t="s">
        <v>18.73%</v>
        <stp/>
        <stp>IMPL_VOL</stp>
        <stp>.QQQ250516C476</stp>
        <tr r="EP71" s="1"/>
      </tp>
      <tp t="s">
        <v>38.92%</v>
        <stp/>
        <stp>IMPL_VOL</stp>
        <stp>.QQQ250509P469</stp>
        <tr r="EO78" s="1"/>
      </tp>
      <tp t="s">
        <v>30.09%</v>
        <stp/>
        <stp>IMPL_VOL</stp>
        <stp>.QQQ250516P476</stp>
        <tr r="EQ71" s="1"/>
      </tp>
      <tp t="s">
        <v>--</v>
        <stp/>
        <stp>IMPL_VOL</stp>
        <stp>.QQQ250509C468</stp>
        <tr r="EN79" s="1"/>
      </tp>
      <tp t="s">
        <v>19.13%</v>
        <stp/>
        <stp>IMPL_VOL</stp>
        <stp>.QQQ250516C477</stp>
        <tr r="EP70" s="1"/>
      </tp>
      <tp t="s">
        <v>39.18%</v>
        <stp/>
        <stp>IMPL_VOL</stp>
        <stp>.QQQ250509P468</stp>
        <tr r="EO79" s="1"/>
      </tp>
      <tp t="s">
        <v>30.01%</v>
        <stp/>
        <stp>IMPL_VOL</stp>
        <stp>.QQQ250516P477</stp>
        <tr r="EQ70" s="1"/>
      </tp>
      <tp t="s">
        <v>14.01%</v>
        <stp/>
        <stp>IMPL_VOL</stp>
        <stp>.QQQ250516C470</stp>
        <tr r="EP77" s="1"/>
      </tp>
      <tp t="s">
        <v>30.77%</v>
        <stp/>
        <stp>IMPL_VOL</stp>
        <stp>.QQQ250516P470</stp>
        <tr r="EQ77" s="1"/>
      </tp>
      <tp t="s">
        <v>15.69%</v>
        <stp/>
        <stp>IMPL_VOL</stp>
        <stp>.QQQ250516C471</stp>
        <tr r="EP76" s="1"/>
      </tp>
      <tp t="s">
        <v>30.63%</v>
        <stp/>
        <stp>IMPL_VOL</stp>
        <stp>.QQQ250516P471</stp>
        <tr r="EQ76" s="1"/>
      </tp>
      <tp t="s">
        <v>16.69%</v>
        <stp/>
        <stp>IMPL_VOL</stp>
        <stp>.QQQ250516C472</stp>
        <tr r="EP75" s="1"/>
      </tp>
      <tp t="s">
        <v>30.52%</v>
        <stp/>
        <stp>IMPL_VOL</stp>
        <stp>.QQQ250516P472</stp>
        <tr r="EQ75" s="1"/>
      </tp>
      <tp t="s">
        <v>17.05%</v>
        <stp/>
        <stp>IMPL_VOL</stp>
        <stp>.QQQ250516C473</stp>
        <tr r="EP74" s="1"/>
      </tp>
      <tp t="s">
        <v>30.38%</v>
        <stp/>
        <stp>IMPL_VOL</stp>
        <stp>.QQQ250516P473</stp>
        <tr r="EQ74" s="1"/>
      </tp>
      <tp t="s">
        <v>--</v>
        <stp/>
        <stp>IMPL_VOL</stp>
        <stp>.QQQ250507C469</stp>
        <tr r="EL78" s="1"/>
      </tp>
      <tp t="s">
        <v>19.50%</v>
        <stp/>
        <stp>IMPL_VOL</stp>
        <stp>.QQQ250516C478</stp>
        <tr r="EP69" s="1"/>
      </tp>
      <tp t="s">
        <v>177.15%</v>
        <stp/>
        <stp>IMPL_VOL</stp>
        <stp>.QQQ250507P469</stp>
        <tr r="EM78" s="1"/>
      </tp>
      <tp t="s">
        <v>29.90%</v>
        <stp/>
        <stp>IMPL_VOL</stp>
        <stp>.QQQ250516P478</stp>
        <tr r="EQ69" s="1"/>
      </tp>
      <tp t="s">
        <v>--</v>
        <stp/>
        <stp>IMPL_VOL</stp>
        <stp>.QQQ250507C468</stp>
        <tr r="EL79" s="1"/>
      </tp>
      <tp t="s">
        <v>19.56%</v>
        <stp/>
        <stp>IMPL_VOL</stp>
        <stp>.QQQ250516C479</stp>
        <tr r="EP68" s="1"/>
      </tp>
      <tp t="s">
        <v>186.30%</v>
        <stp/>
        <stp>IMPL_VOL</stp>
        <stp>.QQQ250507P468</stp>
        <tr r="EM79" s="1"/>
      </tp>
      <tp t="s">
        <v>29.83%</v>
        <stp/>
        <stp>IMPL_VOL</stp>
        <stp>.QQQ250516P479</stp>
        <tr r="EQ68" s="1"/>
      </tp>
      <tp t="s">
        <v>--</v>
        <stp/>
        <stp>IMPL_VOL</stp>
        <stp>.QQQ250507C475</stp>
        <tr r="EL72" s="1"/>
      </tp>
      <tp t="s">
        <v>121.74%</v>
        <stp/>
        <stp>IMPL_VOL</stp>
        <stp>.QQQ250507P475</stp>
        <tr r="EM72" s="1"/>
      </tp>
      <tp t="s">
        <v>--</v>
        <stp/>
        <stp>IMPL_VOL</stp>
        <stp>.QQQ250507C474</stp>
        <tr r="EL73" s="1"/>
      </tp>
      <tp t="s">
        <v>131.06%</v>
        <stp/>
        <stp>IMPL_VOL</stp>
        <stp>.QQQ250507P474</stp>
        <tr r="EM73" s="1"/>
      </tp>
      <tp t="s">
        <v>--</v>
        <stp/>
        <stp>IMPL_VOL</stp>
        <stp>.QQQ250507C477</stp>
        <tr r="EL70" s="1"/>
      </tp>
      <tp t="s">
        <v>--</v>
        <stp/>
        <stp>IMPL_VOL</stp>
        <stp>.QQQ250509C479</stp>
        <tr r="EN68" s="1"/>
      </tp>
      <tp t="s">
        <v>102.95%</v>
        <stp/>
        <stp>IMPL_VOL</stp>
        <stp>.QQQ250507P477</stp>
        <tr r="EM70" s="1"/>
      </tp>
      <tp t="s">
        <v>37.44%</v>
        <stp/>
        <stp>IMPL_VOL</stp>
        <stp>.QQQ250509P479</stp>
        <tr r="EO68" s="1"/>
      </tp>
      <tp t="s">
        <v>--</v>
        <stp/>
        <stp>IMPL_VOL</stp>
        <stp>.QQQ250507C476</stp>
        <tr r="EL71" s="1"/>
      </tp>
      <tp t="s">
        <v>--</v>
        <stp/>
        <stp>IMPL_VOL</stp>
        <stp>.QQQ250509C478</stp>
        <tr r="EN69" s="1"/>
      </tp>
      <tp t="s">
        <v>112.37%</v>
        <stp/>
        <stp>IMPL_VOL</stp>
        <stp>.QQQ250507P476</stp>
        <tr r="EM71" s="1"/>
      </tp>
      <tp t="s">
        <v>37.41%</v>
        <stp/>
        <stp>IMPL_VOL</stp>
        <stp>.QQQ250509P478</stp>
        <tr r="EO69" s="1"/>
      </tp>
      <tp t="s">
        <v>--</v>
        <stp/>
        <stp>IMPL_VOL</stp>
        <stp>.QQQ250507C471</stp>
        <tr r="EL76" s="1"/>
      </tp>
      <tp t="s">
        <v>158.80%</v>
        <stp/>
        <stp>IMPL_VOL</stp>
        <stp>.QQQ250507P471</stp>
        <tr r="EM76" s="1"/>
      </tp>
      <tp t="s">
        <v>--</v>
        <stp/>
        <stp>IMPL_VOL</stp>
        <stp>.QQQ250507C470</stp>
        <tr r="EL77" s="1"/>
      </tp>
      <tp t="s">
        <v>167.99%</v>
        <stp/>
        <stp>IMPL_VOL</stp>
        <stp>.QQQ250507P470</stp>
        <tr r="EM77" s="1"/>
      </tp>
      <tp t="s">
        <v>--</v>
        <stp/>
        <stp>IMPL_VOL</stp>
        <stp>.QQQ250507C473</stp>
        <tr r="EL74" s="1"/>
      </tp>
      <tp t="s">
        <v>140.34%</v>
        <stp/>
        <stp>IMPL_VOL</stp>
        <stp>.QQQ250507P473</stp>
        <tr r="EM74" s="1"/>
      </tp>
      <tp t="s">
        <v>--</v>
        <stp/>
        <stp>IMPL_VOL</stp>
        <stp>.QQQ250507C472</stp>
        <tr r="EL75" s="1"/>
      </tp>
      <tp t="s">
        <v>149.59%</v>
        <stp/>
        <stp>IMPL_VOL</stp>
        <stp>.QQQ250507P472</stp>
        <tr r="EM75" s="1"/>
      </tp>
      <tp t="s">
        <v>--</v>
        <stp/>
        <stp>IMPL_VOL</stp>
        <stp>.QQQ250509C473</stp>
        <tr r="EN74" s="1"/>
      </tp>
      <tp t="s">
        <v>37.94%</v>
        <stp/>
        <stp>IMPL_VOL</stp>
        <stp>.QQQ250509P473</stp>
        <tr r="EO74" s="1"/>
      </tp>
      <tp t="s">
        <v>--</v>
        <stp/>
        <stp>IMPL_VOL</stp>
        <stp>.QQQ250509C472</stp>
        <tr r="EN75" s="1"/>
      </tp>
      <tp t="s">
        <v>38.13%</v>
        <stp/>
        <stp>IMPL_VOL</stp>
        <stp>.QQQ250509P472</stp>
        <tr r="EO75" s="1"/>
      </tp>
      <tp t="s">
        <v>--</v>
        <stp/>
        <stp>IMPL_VOL</stp>
        <stp>.QQQ250509C471</stp>
        <tr r="EN76" s="1"/>
      </tp>
      <tp t="s">
        <v>38.42%</v>
        <stp/>
        <stp>IMPL_VOL</stp>
        <stp>.QQQ250509P471</stp>
        <tr r="EO76" s="1"/>
      </tp>
      <tp t="s">
        <v>--</v>
        <stp/>
        <stp>IMPL_VOL</stp>
        <stp>.QQQ250509C470</stp>
        <tr r="EN77" s="1"/>
      </tp>
      <tp t="s">
        <v>38.58%</v>
        <stp/>
        <stp>IMPL_VOL</stp>
        <stp>.QQQ250509P470</stp>
        <tr r="EO77" s="1"/>
      </tp>
      <tp t="s">
        <v>--</v>
        <stp/>
        <stp>IMPL_VOL</stp>
        <stp>.QQQ250507C479</stp>
        <tr r="EL68" s="1"/>
      </tp>
      <tp t="s">
        <v>--</v>
        <stp/>
        <stp>IMPL_VOL</stp>
        <stp>.QQQ250509C477</stp>
        <tr r="EN70" s="1"/>
      </tp>
      <tp t="s">
        <v>0.07%</v>
        <stp/>
        <stp>IMPL_VOL</stp>
        <stp>.QQQ250516C468</stp>
        <tr r="EP79" s="1"/>
      </tp>
      <tp t="s">
        <v>83.91%</v>
        <stp/>
        <stp>IMPL_VOL</stp>
        <stp>.QQQ250507P479</stp>
        <tr r="EM68" s="1"/>
      </tp>
      <tp t="s">
        <v>37.43%</v>
        <stp/>
        <stp>IMPL_VOL</stp>
        <stp>.QQQ250509P477</stp>
        <tr r="EO70" s="1"/>
      </tp>
      <tp t="s">
        <v>31.01%</v>
        <stp/>
        <stp>IMPL_VOL</stp>
        <stp>.QQQ250516P468</stp>
        <tr r="EQ79" s="1"/>
      </tp>
      <tp t="s">
        <v>--</v>
        <stp/>
        <stp>IMPL_VOL</stp>
        <stp>.QQQ250507C478</stp>
        <tr r="EL69" s="1"/>
      </tp>
      <tp t="s">
        <v>--</v>
        <stp/>
        <stp>IMPL_VOL</stp>
        <stp>.QQQ250509C476</stp>
        <tr r="EN71" s="1"/>
      </tp>
      <tp t="s">
        <v>0.06%</v>
        <stp/>
        <stp>IMPL_VOL</stp>
        <stp>.QQQ250516C469</stp>
        <tr r="EP78" s="1"/>
      </tp>
      <tp t="s">
        <v>93.46%</v>
        <stp/>
        <stp>IMPL_VOL</stp>
        <stp>.QQQ250507P478</stp>
        <tr r="EM69" s="1"/>
      </tp>
      <tp t="s">
        <v>37.53%</v>
        <stp/>
        <stp>IMPL_VOL</stp>
        <stp>.QQQ250509P476</stp>
        <tr r="EO71" s="1"/>
      </tp>
      <tp t="s">
        <v>30.86%</v>
        <stp/>
        <stp>IMPL_VOL</stp>
        <stp>.QQQ250516P469</stp>
        <tr r="EQ78" s="1"/>
      </tp>
      <tp t="s">
        <v>--</v>
        <stp/>
        <stp>IMPL_VOL</stp>
        <stp>.QQQ250509C475</stp>
        <tr r="EN72" s="1"/>
      </tp>
      <tp t="s">
        <v>37.55%</v>
        <stp/>
        <stp>IMPL_VOL</stp>
        <stp>.QQQ250509P475</stp>
        <tr r="EO72" s="1"/>
      </tp>
      <tp t="s">
        <v>--</v>
        <stp/>
        <stp>IMPL_VOL</stp>
        <stp>.QQQ250509C474</stp>
        <tr r="EN73" s="1"/>
      </tp>
      <tp t="s">
        <v>37.69%</v>
        <stp/>
        <stp>IMPL_VOL</stp>
        <stp>.QQQ250509P474</stp>
        <tr r="EO73" s="1"/>
      </tp>
      <tp t="s">
        <v>--</v>
        <stp/>
        <stp>IMPL_VOL</stp>
        <stp>.QQQ250507C485</stp>
        <tr r="EL62" s="1"/>
      </tp>
      <tp t="s">
        <v>20.17%</v>
        <stp/>
        <stp>IMPL_VOL</stp>
        <stp>.QQQ250516C494</stp>
        <tr r="EP53" s="1"/>
      </tp>
      <tp t="s">
        <v>124.17%</v>
        <stp/>
        <stp>IMPL_VOL</stp>
        <stp>.QQQ250507P485</stp>
        <tr r="EM62" s="1"/>
      </tp>
      <tp t="s">
        <v>30.63%</v>
        <stp/>
        <stp>IMPL_VOL</stp>
        <stp>.QQQ250516P494</stp>
        <tr r="EQ53" s="1"/>
      </tp>
      <tp t="s">
        <v>--</v>
        <stp/>
        <stp>IMPL_VOL</stp>
        <stp>.QQQ250507C484</stp>
        <tr r="EL63" s="1"/>
      </tp>
      <tp t="s">
        <v>20.12%</v>
        <stp/>
        <stp>IMPL_VOL</stp>
        <stp>.QQQ250516C495</stp>
        <tr r="EP52" s="1"/>
      </tp>
      <tp t="s">
        <v>89.64%</v>
        <stp/>
        <stp>IMPL_VOL</stp>
        <stp>.QQQ250507P484</stp>
        <tr r="EM63" s="1"/>
      </tp>
      <tp t="s">
        <v>31.59%</v>
        <stp/>
        <stp>IMPL_VOL</stp>
        <stp>.QQQ250516P495</stp>
        <tr r="EQ52" s="1"/>
      </tp>
      <tp t="s">
        <v>3.08%</v>
        <stp/>
        <stp>IMPL_VOL</stp>
        <stp>.QQQ250507C487</stp>
        <tr r="EL60" s="1"/>
      </tp>
      <tp t="s">
        <v>20.12%</v>
        <stp/>
        <stp>IMPL_VOL</stp>
        <stp>.QQQ250509C489</stp>
        <tr r="EN58" s="1"/>
      </tp>
      <tp t="s">
        <v>20.08%</v>
        <stp/>
        <stp>IMPL_VOL</stp>
        <stp>.QQQ250516C496</stp>
        <tr r="EP51" s="1"/>
      </tp>
      <tp t="s">
        <v>218.47%</v>
        <stp/>
        <stp>IMPL_VOL</stp>
        <stp>.QQQ250507P487</stp>
        <tr r="EM60" s="1"/>
      </tp>
      <tp t="s">
        <v>42.99%</v>
        <stp/>
        <stp>IMPL_VOL</stp>
        <stp>.QQQ250509P489</stp>
        <tr r="EO58" s="1"/>
      </tp>
      <tp t="s">
        <v>31.13%</v>
        <stp/>
        <stp>IMPL_VOL</stp>
        <stp>.QQQ250516P496</stp>
        <tr r="EQ51" s="1"/>
      </tp>
      <tp t="s">
        <v>--</v>
        <stp/>
        <stp>IMPL_VOL</stp>
        <stp>.QQQ250507C486</stp>
        <tr r="EL61" s="1"/>
      </tp>
      <tp t="s">
        <v>19.73%</v>
        <stp/>
        <stp>IMPL_VOL</stp>
        <stp>.QQQ250509C488</stp>
        <tr r="EN59" s="1"/>
      </tp>
      <tp t="s">
        <v>20.04%</v>
        <stp/>
        <stp>IMPL_VOL</stp>
        <stp>.QQQ250516C497</stp>
        <tr r="EP50" s="1"/>
      </tp>
      <tp t="s">
        <v>221.27%</v>
        <stp/>
        <stp>IMPL_VOL</stp>
        <stp>.QQQ250507P486</stp>
        <tr r="EM61" s="1"/>
      </tp>
      <tp t="s">
        <v>40.17%</v>
        <stp/>
        <stp>IMPL_VOL</stp>
        <stp>.QQQ250509P488</stp>
        <tr r="EO59" s="1"/>
      </tp>
      <tp t="s">
        <v>31.27%</v>
        <stp/>
        <stp>IMPL_VOL</stp>
        <stp>.QQQ250516P497</stp>
        <tr r="EQ50" s="1"/>
      </tp>
      <tp t="s">
        <v>--</v>
        <stp/>
        <stp>IMPL_VOL</stp>
        <stp>.QQQ250507C481</stp>
        <tr r="EL66" s="1"/>
      </tp>
      <tp t="s">
        <v>20.29%</v>
        <stp/>
        <stp>IMPL_VOL</stp>
        <stp>.QQQ250516C490</stp>
        <tr r="EP57" s="1"/>
      </tp>
      <tp t="s">
        <v>64.51%</v>
        <stp/>
        <stp>IMPL_VOL</stp>
        <stp>.QQQ250507P481</stp>
        <tr r="EM66" s="1"/>
      </tp>
      <tp t="s">
        <v>30.48%</v>
        <stp/>
        <stp>IMPL_VOL</stp>
        <stp>.QQQ250516P490</stp>
        <tr r="EQ57" s="1"/>
      </tp>
      <tp t="s">
        <v>--</v>
        <stp/>
        <stp>IMPL_VOL</stp>
        <stp>.QQQ250507C480</stp>
        <tr r="EL67" s="1"/>
      </tp>
      <tp t="s">
        <v>20.26%</v>
        <stp/>
        <stp>IMPL_VOL</stp>
        <stp>.QQQ250516C491</stp>
        <tr r="EP56" s="1"/>
      </tp>
      <tp t="s">
        <v>74.26%</v>
        <stp/>
        <stp>IMPL_VOL</stp>
        <stp>.QQQ250507P480</stp>
        <tr r="EM67" s="1"/>
      </tp>
      <tp t="s">
        <v>30.52%</v>
        <stp/>
        <stp>IMPL_VOL</stp>
        <stp>.QQQ250516P491</stp>
        <tr r="EQ56" s="1"/>
      </tp>
      <tp t="s">
        <v>--</v>
        <stp/>
        <stp>IMPL_VOL</stp>
        <stp>.QQQ250507C483</stp>
        <tr r="EL64" s="1"/>
      </tp>
      <tp t="s">
        <v>20.21%</v>
        <stp/>
        <stp>IMPL_VOL</stp>
        <stp>.QQQ250516C492</stp>
        <tr r="EP55" s="1"/>
      </tp>
      <tp t="s">
        <v>66.79%</v>
        <stp/>
        <stp>IMPL_VOL</stp>
        <stp>.QQQ250507P483</stp>
        <tr r="EM64" s="1"/>
      </tp>
      <tp t="s">
        <v>30.29%</v>
        <stp/>
        <stp>IMPL_VOL</stp>
        <stp>.QQQ250516P492</stp>
        <tr r="EQ55" s="1"/>
      </tp>
      <tp t="s">
        <v>--</v>
        <stp/>
        <stp>IMPL_VOL</stp>
        <stp>.QQQ250507C482</stp>
        <tr r="EL65" s="1"/>
      </tp>
      <tp t="s">
        <v>20.18%</v>
        <stp/>
        <stp>IMPL_VOL</stp>
        <stp>.QQQ250516C493</stp>
        <tr r="EP54" s="1"/>
      </tp>
      <tp t="s">
        <v>54.62%</v>
        <stp/>
        <stp>IMPL_VOL</stp>
        <stp>.QQQ250507P482</stp>
        <tr r="EM65" s="1"/>
      </tp>
      <tp t="s">
        <v>30.43%</v>
        <stp/>
        <stp>IMPL_VOL</stp>
        <stp>.QQQ250516P493</stp>
        <tr r="EQ54" s="1"/>
      </tp>
      <tp t="s">
        <v>15.48%</v>
        <stp/>
        <stp>IMPL_VOL</stp>
        <stp>.QQQ250509C483</stp>
        <tr r="EN64" s="1"/>
      </tp>
      <tp t="s">
        <v>38.25%</v>
        <stp/>
        <stp>IMPL_VOL</stp>
        <stp>.QQQ250509P483</stp>
        <tr r="EO64" s="1"/>
      </tp>
      <tp t="s">
        <v>12.75%</v>
        <stp/>
        <stp>IMPL_VOL</stp>
        <stp>.QQQ250509C482</stp>
        <tr r="EN65" s="1"/>
      </tp>
      <tp t="s">
        <v>37.91%</v>
        <stp/>
        <stp>IMPL_VOL</stp>
        <stp>.QQQ250509P482</stp>
        <tr r="EO65" s="1"/>
      </tp>
      <tp t="s">
        <v>--</v>
        <stp/>
        <stp>IMPL_VOL</stp>
        <stp>.QQQ250509C481</stp>
        <tr r="EN66" s="1"/>
      </tp>
      <tp t="s">
        <v>37.72%</v>
        <stp/>
        <stp>IMPL_VOL</stp>
        <stp>.QQQ250509P481</stp>
        <tr r="EO66" s="1"/>
      </tp>
      <tp t="s">
        <v>--</v>
        <stp/>
        <stp>IMPL_VOL</stp>
        <stp>.QQQ250509C480</stp>
        <tr r="EN67" s="1"/>
      </tp>
      <tp t="s">
        <v>37.53%</v>
        <stp/>
        <stp>IMPL_VOL</stp>
        <stp>.QQQ250509P480</stp>
        <tr r="EO67" s="1"/>
      </tp>
      <tp t="s">
        <v>26.68%</v>
        <stp/>
        <stp>IMPL_VOL</stp>
        <stp>.QQQ250507C489</stp>
        <tr r="EL58" s="1"/>
      </tp>
      <tp t="s">
        <v>19.33%</v>
        <stp/>
        <stp>IMPL_VOL</stp>
        <stp>.QQQ250509C487</stp>
        <tr r="EN60" s="1"/>
      </tp>
      <tp t="s">
        <v>20.02%</v>
        <stp/>
        <stp>IMPL_VOL</stp>
        <stp>.QQQ250516C498</stp>
        <tr r="EP49" s="1"/>
      </tp>
      <tp t="s">
        <v>288.38%</v>
        <stp/>
        <stp>IMPL_VOL</stp>
        <stp>.QQQ250507P489</stp>
        <tr r="EM58" s="1"/>
      </tp>
      <tp t="s">
        <v>39.59%</v>
        <stp/>
        <stp>IMPL_VOL</stp>
        <stp>.QQQ250509P487</stp>
        <tr r="EO60" s="1"/>
      </tp>
      <tp t="s">
        <v>31.45%</v>
        <stp/>
        <stp>IMPL_VOL</stp>
        <stp>.QQQ250516P498</stp>
        <tr r="EQ49" s="1"/>
      </tp>
      <tp t="s">
        <v>15.67%</v>
        <stp/>
        <stp>IMPL_VOL</stp>
        <stp>.QQQ250507C488</stp>
        <tr r="EL59" s="1"/>
      </tp>
      <tp t="s">
        <v>18.80%</v>
        <stp/>
        <stp>IMPL_VOL</stp>
        <stp>.QQQ250509C486</stp>
        <tr r="EN61" s="1"/>
      </tp>
      <tp t="s">
        <v>20.01%</v>
        <stp/>
        <stp>IMPL_VOL</stp>
        <stp>.QQQ250516C499</stp>
        <tr r="EP48" s="1"/>
      </tp>
      <tp t="s">
        <v>213.28%</v>
        <stp/>
        <stp>IMPL_VOL</stp>
        <stp>.QQQ250507P488</stp>
        <tr r="EM59" s="1"/>
      </tp>
      <tp t="s">
        <v>39.31%</v>
        <stp/>
        <stp>IMPL_VOL</stp>
        <stp>.QQQ250509P486</stp>
        <tr r="EO61" s="1"/>
      </tp>
      <tp t="s">
        <v>31.83%</v>
        <stp/>
        <stp>IMPL_VOL</stp>
        <stp>.QQQ250516P499</stp>
        <tr r="EQ48" s="1"/>
      </tp>
      <tp t="s">
        <v>17.99%</v>
        <stp/>
        <stp>IMPL_VOL</stp>
        <stp>.QQQ250509C485</stp>
        <tr r="EN62" s="1"/>
      </tp>
      <tp t="s">
        <v>38.79%</v>
        <stp/>
        <stp>IMPL_VOL</stp>
        <stp>.QQQ250509P485</stp>
        <tr r="EO62" s="1"/>
      </tp>
      <tp t="s">
        <v>16.97%</v>
        <stp/>
        <stp>IMPL_VOL</stp>
        <stp>.QQQ250509C484</stp>
        <tr r="EN63" s="1"/>
      </tp>
      <tp t="s">
        <v>38.52%</v>
        <stp/>
        <stp>IMPL_VOL</stp>
        <stp>.QQQ250509P484</stp>
        <tr r="EO63" s="1"/>
      </tp>
      <tp t="s">
        <v>85.32%</v>
        <stp/>
        <stp>IMPL_VOL</stp>
        <stp>.QQQ250507C495</stp>
        <tr r="EL52" s="1"/>
      </tp>
      <tp t="s">
        <v>20.32%</v>
        <stp/>
        <stp>IMPL_VOL</stp>
        <stp>.QQQ250516C484</stp>
        <tr r="EP63" s="1"/>
      </tp>
      <tp t="s">
        <v>443.35%</v>
        <stp/>
        <stp>IMPL_VOL</stp>
        <stp>.QQQ250507P495</stp>
        <tr r="EM52" s="1"/>
      </tp>
      <tp t="s">
        <v>29.49%</v>
        <stp/>
        <stp>IMPL_VOL</stp>
        <stp>.QQQ250516P484</stp>
        <tr r="EQ63" s="1"/>
      </tp>
      <tp t="s">
        <v>76.02%</v>
        <stp/>
        <stp>IMPL_VOL</stp>
        <stp>.QQQ250507C494</stp>
        <tr r="EL53" s="1"/>
      </tp>
      <tp t="s">
        <v>20.32%</v>
        <stp/>
        <stp>IMPL_VOL</stp>
        <stp>.QQQ250516C485</stp>
        <tr r="EP62" s="1"/>
      </tp>
      <tp t="s">
        <v>412.99%</v>
        <stp/>
        <stp>IMPL_VOL</stp>
        <stp>.QQQ250507P494</stp>
        <tr r="EM53" s="1"/>
      </tp>
      <tp t="s">
        <v>29.46%</v>
        <stp/>
        <stp>IMPL_VOL</stp>
        <stp>.QQQ250516P485</stp>
        <tr r="EQ62" s="1"/>
      </tp>
      <tp t="s">
        <v>103.58%</v>
        <stp/>
        <stp>IMPL_VOL</stp>
        <stp>.QQQ250507C497</stp>
        <tr r="EL50" s="1"/>
      </tp>
      <tp t="s">
        <v>23.38%</v>
        <stp/>
        <stp>IMPL_VOL</stp>
        <stp>.QQQ250509C499</stp>
        <tr r="EN48" s="1"/>
      </tp>
      <tp t="s">
        <v>20.36%</v>
        <stp/>
        <stp>IMPL_VOL</stp>
        <stp>.QQQ250516C486</stp>
        <tr r="EP61" s="1"/>
      </tp>
      <tp t="s">
        <v>481.75%</v>
        <stp/>
        <stp>IMPL_VOL</stp>
        <stp>.QQQ250507P497</stp>
        <tr r="EM50" s="1"/>
      </tp>
      <tp t="s">
        <v>56.34%</v>
        <stp/>
        <stp>IMPL_VOL</stp>
        <stp>.QQQ250509P499</stp>
        <tr r="EO48" s="1"/>
      </tp>
      <tp t="s">
        <v>29.44%</v>
        <stp/>
        <stp>IMPL_VOL</stp>
        <stp>.QQQ250516P486</stp>
        <tr r="EQ61" s="1"/>
      </tp>
      <tp t="s">
        <v>94.50%</v>
        <stp/>
        <stp>IMPL_VOL</stp>
        <stp>.QQQ250507C496</stp>
        <tr r="EL51" s="1"/>
      </tp>
      <tp t="s">
        <v>22.95%</v>
        <stp/>
        <stp>IMPL_VOL</stp>
        <stp>.QQQ250509C498</stp>
        <tr r="EN49" s="1"/>
      </tp>
      <tp t="s">
        <v>20.35%</v>
        <stp/>
        <stp>IMPL_VOL</stp>
        <stp>.QQQ250516C487</stp>
        <tr r="EP60" s="1"/>
      </tp>
      <tp t="s">
        <v>459.35%</v>
        <stp/>
        <stp>IMPL_VOL</stp>
        <stp>.QQQ250507P496</stp>
        <tr r="EM51" s="1"/>
      </tp>
      <tp t="s">
        <v>54.66%</v>
        <stp/>
        <stp>IMPL_VOL</stp>
        <stp>.QQQ250509P498</stp>
        <tr r="EO49" s="1"/>
      </tp>
      <tp t="s">
        <v>31.24%</v>
        <stp/>
        <stp>IMPL_VOL</stp>
        <stp>.QQQ250516P487</stp>
        <tr r="EQ60" s="1"/>
      </tp>
      <tp t="s">
        <v>47.17%</v>
        <stp/>
        <stp>IMPL_VOL</stp>
        <stp>.QQQ250507C491</stp>
        <tr r="EL56" s="1"/>
      </tp>
      <tp t="s">
        <v>19.68%</v>
        <stp/>
        <stp>IMPL_VOL</stp>
        <stp>.QQQ250516C480</stp>
        <tr r="EP67" s="1"/>
      </tp>
      <tp t="s">
        <v>344.78%</v>
        <stp/>
        <stp>IMPL_VOL</stp>
        <stp>.QQQ250507P491</stp>
        <tr r="EM56" s="1"/>
      </tp>
      <tp t="s">
        <v>29.71%</v>
        <stp/>
        <stp>IMPL_VOL</stp>
        <stp>.QQQ250516P480</stp>
        <tr r="EQ67" s="1"/>
      </tp>
      <tp t="s">
        <v>37.10%</v>
        <stp/>
        <stp>IMPL_VOL</stp>
        <stp>.QQQ250507C490</stp>
        <tr r="EL57" s="1"/>
      </tp>
      <tp t="s">
        <v>19.91%</v>
        <stp/>
        <stp>IMPL_VOL</stp>
        <stp>.QQQ250516C481</stp>
        <tr r="EP66" s="1"/>
      </tp>
      <tp t="s">
        <v>317.93%</v>
        <stp/>
        <stp>IMPL_VOL</stp>
        <stp>.QQQ250507P490</stp>
        <tr r="EM57" s="1"/>
      </tp>
      <tp t="s">
        <v>29.68%</v>
        <stp/>
        <stp>IMPL_VOL</stp>
        <stp>.QQQ250516P481</stp>
        <tr r="EQ66" s="1"/>
      </tp>
      <tp t="s">
        <v>66.58%</v>
        <stp/>
        <stp>IMPL_VOL</stp>
        <stp>.QQQ250507C493</stp>
        <tr r="EL54" s="1"/>
      </tp>
      <tp t="s">
        <v>20.07%</v>
        <stp/>
        <stp>IMPL_VOL</stp>
        <stp>.QQQ250516C482</stp>
        <tr r="EP65" s="1"/>
      </tp>
      <tp t="s">
        <v>395.55%</v>
        <stp/>
        <stp>IMPL_VOL</stp>
        <stp>.QQQ250507P493</stp>
        <tr r="EM54" s="1"/>
      </tp>
      <tp t="s">
        <v>29.61%</v>
        <stp/>
        <stp>IMPL_VOL</stp>
        <stp>.QQQ250516P482</stp>
        <tr r="EQ65" s="1"/>
      </tp>
      <tp t="s">
        <v>56.97%</v>
        <stp/>
        <stp>IMPL_VOL</stp>
        <stp>.QQQ250507C492</stp>
        <tr r="EL55" s="1"/>
      </tp>
      <tp t="s">
        <v>20.26%</v>
        <stp/>
        <stp>IMPL_VOL</stp>
        <stp>.QQQ250516C483</stp>
        <tr r="EP64" s="1"/>
      </tp>
      <tp t="s">
        <v>364.43%</v>
        <stp/>
        <stp>IMPL_VOL</stp>
        <stp>.QQQ250507P492</stp>
        <tr r="EM55" s="1"/>
      </tp>
      <tp t="s">
        <v>29.57%</v>
        <stp/>
        <stp>IMPL_VOL</stp>
        <stp>.QQQ250516P483</stp>
        <tr r="EQ64" s="1"/>
      </tp>
      <tp t="s">
        <v>21.03%</v>
        <stp/>
        <stp>IMPL_VOL</stp>
        <stp>.QQQ250509C493</stp>
        <tr r="EN54" s="1"/>
      </tp>
      <tp t="s">
        <v>45.47%</v>
        <stp/>
        <stp>IMPL_VOL</stp>
        <stp>.QQQ250509P493</stp>
        <tr r="EO54" s="1"/>
      </tp>
      <tp t="s">
        <v>20.80%</v>
        <stp/>
        <stp>IMPL_VOL</stp>
        <stp>.QQQ250509C492</stp>
        <tr r="EN55" s="1"/>
      </tp>
      <tp t="s">
        <v>44.19%</v>
        <stp/>
        <stp>IMPL_VOL</stp>
        <stp>.QQQ250509P492</stp>
        <tr r="EO55" s="1"/>
      </tp>
      <tp t="s">
        <v>20.53%</v>
        <stp/>
        <stp>IMPL_VOL</stp>
        <stp>.QQQ250509C491</stp>
        <tr r="EN56" s="1"/>
      </tp>
      <tp t="s">
        <v>38.59%</v>
        <stp/>
        <stp>IMPL_VOL</stp>
        <stp>.QQQ250509P491</stp>
        <tr r="EO56" s="1"/>
      </tp>
      <tp t="s">
        <v>20.40%</v>
        <stp/>
        <stp>IMPL_VOL</stp>
        <stp>.QQQ250509C490</stp>
        <tr r="EN57" s="1"/>
      </tp>
      <tp t="s">
        <v>48.43%</v>
        <stp/>
        <stp>IMPL_VOL</stp>
        <stp>.QQQ250509P490</stp>
        <tr r="EO57" s="1"/>
      </tp>
      <tp t="s">
        <v>121.45%</v>
        <stp/>
        <stp>IMPL_VOL</stp>
        <stp>.QQQ250507C499</stp>
        <tr r="EL48" s="1"/>
      </tp>
      <tp t="s">
        <v>22.50%</v>
        <stp/>
        <stp>IMPL_VOL</stp>
        <stp>.QQQ250509C497</stp>
        <tr r="EN50" s="1"/>
      </tp>
      <tp t="s">
        <v>20.36%</v>
        <stp/>
        <stp>IMPL_VOL</stp>
        <stp>.QQQ250516C488</stp>
        <tr r="EP59" s="1"/>
      </tp>
      <tp t="s">
        <v>521.95%</v>
        <stp/>
        <stp>IMPL_VOL</stp>
        <stp>.QQQ250507P499</stp>
        <tr r="EM48" s="1"/>
      </tp>
      <tp t="s">
        <v>52.42%</v>
        <stp/>
        <stp>IMPL_VOL</stp>
        <stp>.QQQ250509P497</stp>
        <tr r="EO50" s="1"/>
      </tp>
      <tp t="s">
        <v>30.35%</v>
        <stp/>
        <stp>IMPL_VOL</stp>
        <stp>.QQQ250516P488</stp>
        <tr r="EQ59" s="1"/>
      </tp>
      <tp t="s">
        <v>112.56%</v>
        <stp/>
        <stp>IMPL_VOL</stp>
        <stp>.QQQ250507C498</stp>
        <tr r="EL49" s="1"/>
      </tp>
      <tp t="s">
        <v>22.16%</v>
        <stp/>
        <stp>IMPL_VOL</stp>
        <stp>.QQQ250509C496</stp>
        <tr r="EN51" s="1"/>
      </tp>
      <tp t="s">
        <v>20.32%</v>
        <stp/>
        <stp>IMPL_VOL</stp>
        <stp>.QQQ250516C489</stp>
        <tr r="EP58" s="1"/>
      </tp>
      <tp t="s">
        <v>503.69%</v>
        <stp/>
        <stp>IMPL_VOL</stp>
        <stp>.QQQ250507P498</stp>
        <tr r="EM49" s="1"/>
      </tp>
      <tp t="s">
        <v>51.55%</v>
        <stp/>
        <stp>IMPL_VOL</stp>
        <stp>.QQQ250509P496</stp>
        <tr r="EO51" s="1"/>
      </tp>
      <tp t="s">
        <v>29.26%</v>
        <stp/>
        <stp>IMPL_VOL</stp>
        <stp>.QQQ250516P489</stp>
        <tr r="EQ58" s="1"/>
      </tp>
      <tp t="s">
        <v>21.69%</v>
        <stp/>
        <stp>IMPL_VOL</stp>
        <stp>.QQQ250509C495</stp>
        <tr r="EN52" s="1"/>
      </tp>
      <tp t="s">
        <v>51.09%</v>
        <stp/>
        <stp>IMPL_VOL</stp>
        <stp>.QQQ250509P495</stp>
        <tr r="EO52" s="1"/>
      </tp>
      <tp t="s">
        <v>21.33%</v>
        <stp/>
        <stp>IMPL_VOL</stp>
        <stp>.QQQ250509C494</stp>
        <tr r="EN53" s="1"/>
      </tp>
      <tp t="s">
        <v>47.80%</v>
        <stp/>
        <stp>IMPL_VOL</stp>
        <stp>.QQQ250509P494</stp>
        <tr r="EO53" s="1"/>
      </tp>
      <tp t="s">
        <v>68.63%</v>
        <stp/>
        <stp>IMPL_VOL</stp>
        <stp>.SPXW250509C5420</stp>
        <tr r="EN130" s="1"/>
      </tp>
      <tp t="s">
        <v>28.56%</v>
        <stp/>
        <stp>IMPL_VOL</stp>
        <stp>.SPXW250509P5420</stp>
        <tr r="EO130" s="1"/>
      </tp>
      <tp t="s">
        <v>66.78%</v>
        <stp/>
        <stp>IMPL_VOL</stp>
        <stp>.SPXW250509C5430</stp>
        <tr r="EN129" s="1"/>
      </tp>
      <tp t="s">
        <v>28.13%</v>
        <stp/>
        <stp>IMPL_VOL</stp>
        <stp>.SPXW250509P5430</stp>
        <tr r="EO129" s="1"/>
      </tp>
      <tp t="s">
        <v>--</v>
        <stp/>
        <stp>IMPL_VOL</stp>
        <stp>.SPXW250507C5480</stp>
        <tr r="EL124" s="1"/>
      </tp>
      <tp t="s">
        <v>61.91%</v>
        <stp/>
        <stp>IMPL_VOL</stp>
        <stp>.SPXW250509C5460</stp>
        <tr r="EN126" s="1"/>
      </tp>
      <tp t="s">
        <v>26.99%</v>
        <stp/>
        <stp>IMPL_VOL</stp>
        <stp>.SPXW250516C5590</stp>
        <tr r="EP113" s="1"/>
      </tp>
      <tp t="s">
        <v>122.77%</v>
        <stp/>
        <stp>IMPL_VOL</stp>
        <stp>.SPXW250507P5480</stp>
        <tr r="EM124" s="1"/>
      </tp>
      <tp t="s">
        <v>27.02%</v>
        <stp/>
        <stp>IMPL_VOL</stp>
        <stp>.SPXW250509P5460</stp>
        <tr r="EO126" s="1"/>
      </tp>
      <tp t="s">
        <v>19.53%</v>
        <stp/>
        <stp>IMPL_VOL</stp>
        <stp>.SPXW250516P5590</stp>
        <tr r="EQ113" s="1"/>
      </tp>
      <tp t="s">
        <v>--</v>
        <stp/>
        <stp>IMPL_VOL</stp>
        <stp>.SPXW250507C5490</stp>
        <tr r="EL123" s="1"/>
      </tp>
      <tp t="s">
        <v>60.18%</v>
        <stp/>
        <stp>IMPL_VOL</stp>
        <stp>.SPXW250509C5470</stp>
        <tr r="EN125" s="1"/>
      </tp>
      <tp t="s">
        <v>27.39%</v>
        <stp/>
        <stp>IMPL_VOL</stp>
        <stp>.SPXW250516C5580</stp>
        <tr r="EP114" s="1"/>
      </tp>
      <tp t="s">
        <v>115.27%</v>
        <stp/>
        <stp>IMPL_VOL</stp>
        <stp>.SPXW250507P5490</stp>
        <tr r="EM123" s="1"/>
      </tp>
      <tp t="s">
        <v>26.60%</v>
        <stp/>
        <stp>IMPL_VOL</stp>
        <stp>.SPXW250509P5470</stp>
        <tr r="EO125" s="1"/>
      </tp>
      <tp t="s">
        <v>19.86%</v>
        <stp/>
        <stp>IMPL_VOL</stp>
        <stp>.SPXW250516P5580</stp>
        <tr r="EQ114" s="1"/>
      </tp>
      <tp t="s">
        <v>65.23%</v>
        <stp/>
        <stp>IMPL_VOL</stp>
        <stp>.SPXW250509C5440</stp>
        <tr r="EN128" s="1"/>
      </tp>
      <tp t="s">
        <v>27.85%</v>
        <stp/>
        <stp>IMPL_VOL</stp>
        <stp>.SPXW250509P5440</stp>
        <tr r="EO128" s="1"/>
      </tp>
      <tp t="s">
        <v>63.48%</v>
        <stp/>
        <stp>IMPL_VOL</stp>
        <stp>.SPXW250509C5450</stp>
        <tr r="EN127" s="1"/>
      </tp>
      <tp t="s">
        <v>27.35%</v>
        <stp/>
        <stp>IMPL_VOL</stp>
        <stp>.SPXW250509P5450</stp>
        <tr r="EO127" s="1"/>
      </tp>
      <tp t="s">
        <v>--</v>
        <stp/>
        <stp>IMPL_VOL</stp>
        <stp>.SPXW250507C5440</stp>
        <tr r="EL128" s="1"/>
      </tp>
      <tp t="s">
        <v>28.70%</v>
        <stp/>
        <stp>IMPL_VOL</stp>
        <stp>.SPXW250516C5550</stp>
        <tr r="EP117" s="1"/>
      </tp>
      <tp t="s">
        <v>152.88%</v>
        <stp/>
        <stp>IMPL_VOL</stp>
        <stp>.SPXW250507P5440</stp>
        <tr r="EM128" s="1"/>
      </tp>
      <tp t="s">
        <v>20.76%</v>
        <stp/>
        <stp>IMPL_VOL</stp>
        <stp>.SPXW250516P5550</stp>
        <tr r="EQ117" s="1"/>
      </tp>
      <tp t="s">
        <v>--</v>
        <stp/>
        <stp>IMPL_VOL</stp>
        <stp>.SPXW250507C5450</stp>
        <tr r="EL127" s="1"/>
      </tp>
      <tp t="s">
        <v>29.12%</v>
        <stp/>
        <stp>IMPL_VOL</stp>
        <stp>.SPXW250516C5540</stp>
        <tr r="EP118" s="1"/>
      </tp>
      <tp t="s">
        <v>145.43%</v>
        <stp/>
        <stp>IMPL_VOL</stp>
        <stp>.SPXW250507P5450</stp>
        <tr r="EM127" s="1"/>
      </tp>
      <tp t="s">
        <v>21.06%</v>
        <stp/>
        <stp>IMPL_VOL</stp>
        <stp>.SPXW250516P5540</stp>
        <tr r="EQ118" s="1"/>
      </tp>
      <tp t="s">
        <v>--</v>
        <stp/>
        <stp>IMPL_VOL</stp>
        <stp>.SPXW250507C5460</stp>
        <tr r="EL126" s="1"/>
      </tp>
      <tp t="s">
        <v>58.59%</v>
        <stp/>
        <stp>IMPL_VOL</stp>
        <stp>.SPXW250509C5480</stp>
        <tr r="EN124" s="1"/>
      </tp>
      <tp t="s">
        <v>27.80%</v>
        <stp/>
        <stp>IMPL_VOL</stp>
        <stp>.SPXW250516C5570</stp>
        <tr r="EP115" s="1"/>
      </tp>
      <tp t="s">
        <v>137.96%</v>
        <stp/>
        <stp>IMPL_VOL</stp>
        <stp>.SPXW250507P5460</stp>
        <tr r="EM126" s="1"/>
      </tp>
      <tp t="s">
        <v>26.21%</v>
        <stp/>
        <stp>IMPL_VOL</stp>
        <stp>.SPXW250509P5480</stp>
        <tr r="EO124" s="1"/>
      </tp>
      <tp t="s">
        <v>20.17%</v>
        <stp/>
        <stp>IMPL_VOL</stp>
        <stp>.SPXW250516P5570</stp>
        <tr r="EQ115" s="1"/>
      </tp>
      <tp t="s">
        <v>--</v>
        <stp/>
        <stp>IMPL_VOL</stp>
        <stp>.SPXW250507C5470</stp>
        <tr r="EL125" s="1"/>
      </tp>
      <tp t="s">
        <v>56.72%</v>
        <stp/>
        <stp>IMPL_VOL</stp>
        <stp>.SPXW250509C5490</stp>
        <tr r="EN123" s="1"/>
      </tp>
      <tp t="s">
        <v>28.27%</v>
        <stp/>
        <stp>IMPL_VOL</stp>
        <stp>.SPXW250516C5560</stp>
        <tr r="EP116" s="1"/>
      </tp>
      <tp t="s">
        <v>130.25%</v>
        <stp/>
        <stp>IMPL_VOL</stp>
        <stp>.SPXW250507P5470</stp>
        <tr r="EM125" s="1"/>
      </tp>
      <tp t="s">
        <v>25.76%</v>
        <stp/>
        <stp>IMPL_VOL</stp>
        <stp>.SPXW250509P5490</stp>
        <tr r="EO123" s="1"/>
      </tp>
      <tp t="s">
        <v>20.48%</v>
        <stp/>
        <stp>IMPL_VOL</stp>
        <stp>.SPXW250516P5560</stp>
        <tr r="EQ116" s="1"/>
      </tp>
      <tp t="s">
        <v>30.61%</v>
        <stp/>
        <stp>IMPL_VOL</stp>
        <stp>.SPXW250516C5510</stp>
        <tr r="EP121" s="1"/>
      </tp>
      <tp t="s">
        <v>21.92%</v>
        <stp/>
        <stp>IMPL_VOL</stp>
        <stp>.SPXW250516P5510</stp>
        <tr r="EQ121" s="1"/>
      </tp>
      <tp t="s">
        <v>30.92%</v>
        <stp/>
        <stp>IMPL_VOL</stp>
        <stp>.SPXW250516C5500</stp>
        <tr r="EP122" s="1"/>
      </tp>
      <tp t="s">
        <v>22.21%</v>
        <stp/>
        <stp>IMPL_VOL</stp>
        <stp>.SPXW250516P5500</stp>
        <tr r="EQ122" s="1"/>
      </tp>
      <tp t="s">
        <v>--</v>
        <stp/>
        <stp>IMPL_VOL</stp>
        <stp>.SPXW250507C5420</stp>
        <tr r="EL130" s="1"/>
      </tp>
      <tp t="s">
        <v>29.66%</v>
        <stp/>
        <stp>IMPL_VOL</stp>
        <stp>.SPXW250516C5530</stp>
        <tr r="EP119" s="1"/>
      </tp>
      <tp t="s">
        <v>167.73%</v>
        <stp/>
        <stp>IMPL_VOL</stp>
        <stp>.SPXW250507P5420</stp>
        <tr r="EM130" s="1"/>
      </tp>
      <tp t="s">
        <v>21.36%</v>
        <stp/>
        <stp>IMPL_VOL</stp>
        <stp>.SPXW250516P5530</stp>
        <tr r="EQ119" s="1"/>
      </tp>
      <tp t="s">
        <v>--</v>
        <stp/>
        <stp>IMPL_VOL</stp>
        <stp>.SPXW250507C5430</stp>
        <tr r="EL129" s="1"/>
      </tp>
      <tp t="s">
        <v>29.98%</v>
        <stp/>
        <stp>IMPL_VOL</stp>
        <stp>.SPXW250516C5520</stp>
        <tr r="EP120" s="1"/>
      </tp>
      <tp t="s">
        <v>160.31%</v>
        <stp/>
        <stp>IMPL_VOL</stp>
        <stp>.SPXW250507P5430</stp>
        <tr r="EM129" s="1"/>
      </tp>
      <tp t="s">
        <v>21.63%</v>
        <stp/>
        <stp>IMPL_VOL</stp>
        <stp>.SPXW250516P5520</stp>
        <tr r="EQ120" s="1"/>
      </tp>
      <tp>
        <v>9</v>
        <stp/>
        <stp>OPEN_INT</stp>
        <stp>.QQQ250507P501</stp>
        <tr r="AT46" s="1"/>
        <tr r="AT46" s="1"/>
      </tp>
      <tp>
        <v>728</v>
        <stp/>
        <stp>OPEN_INT</stp>
        <stp>.QQQ250507C501</stp>
        <tr r="AS46" s="1"/>
        <tr r="AS46" s="1"/>
      </tp>
      <tp>
        <v>20</v>
        <stp/>
        <stp>OPEN_INT</stp>
        <stp>.QQQ250507P500</stp>
        <tr r="AT47" s="1"/>
        <tr r="AT47" s="1"/>
      </tp>
      <tp>
        <v>3010</v>
        <stp/>
        <stp>OPEN_INT</stp>
        <stp>.QQQ250507C500</stp>
        <tr r="AS47" s="1"/>
        <tr r="AS47" s="1"/>
      </tp>
      <tp>
        <v>10</v>
        <stp/>
        <stp>OPEN_INT</stp>
        <stp>.QQQ250507P502</stp>
        <tr r="AT45" s="1"/>
        <tr r="AT45" s="1"/>
      </tp>
      <tp>
        <v>545</v>
        <stp/>
        <stp>OPEN_INT</stp>
        <stp>.QQQ250507C502</stp>
        <tr r="AS45" s="1"/>
        <tr r="AS45" s="1"/>
      </tp>
      <tp>
        <v>3</v>
        <stp/>
        <stp>OPEN_INT</stp>
        <stp>.QQQ250509P502</stp>
        <tr r="AV45" s="1"/>
        <tr r="AV45" s="1"/>
      </tp>
      <tp>
        <v>861</v>
        <stp/>
        <stp>OPEN_INT</stp>
        <stp>.QQQ250509C502</stp>
        <tr r="AU45" s="1"/>
        <tr r="AU45" s="1"/>
      </tp>
      <tp>
        <v>13</v>
        <stp/>
        <stp>OPEN_INT</stp>
        <stp>.QQQ250509P501</stp>
        <tr r="AV46" s="1"/>
        <tr r="AV46" s="1"/>
      </tp>
      <tp>
        <v>1230</v>
        <stp/>
        <stp>OPEN_INT</stp>
        <stp>.QQQ250509C501</stp>
        <tr r="AU46" s="1"/>
        <tr r="AU46" s="1"/>
      </tp>
      <tp>
        <v>116</v>
        <stp/>
        <stp>OPEN_INT</stp>
        <stp>.QQQ250509P500</stp>
        <tr r="AV47" s="1"/>
        <tr r="AV47" s="1"/>
      </tp>
      <tp>
        <v>9383</v>
        <stp/>
        <stp>OPEN_INT</stp>
        <stp>.QQQ250509C500</stp>
        <tr r="AU47" s="1"/>
        <tr r="AU47" s="1"/>
      </tp>
      <tp>
        <v>2853</v>
        <stp/>
        <stp>OPEN_INT</stp>
        <stp>.QQQ250516P500</stp>
        <tr r="AX47" s="1"/>
        <tr r="AX47" s="1"/>
      </tp>
      <tp>
        <v>55915</v>
        <stp/>
        <stp>OPEN_INT</stp>
        <stp>.QQQ250516C500</stp>
        <tr r="AW47" s="1"/>
        <tr r="AW47" s="1"/>
      </tp>
      <tp>
        <v>19</v>
        <stp/>
        <stp>OPEN_INT</stp>
        <stp>.QQQ250516P501</stp>
        <tr r="AX46" s="1"/>
        <tr r="AX46" s="1"/>
      </tp>
      <tp>
        <v>2273</v>
        <stp/>
        <stp>OPEN_INT</stp>
        <stp>.QQQ250516C501</stp>
        <tr r="AW46" s="1"/>
        <tr r="AW46" s="1"/>
      </tp>
      <tp>
        <v>102</v>
        <stp/>
        <stp>OPEN_INT</stp>
        <stp>.QQQ250516P502</stp>
        <tr r="AX45" s="1"/>
        <tr r="AX45" s="1"/>
      </tp>
      <tp>
        <v>3079</v>
        <stp/>
        <stp>OPEN_INT</stp>
        <stp>.QQQ250516C502</stp>
        <tr r="AW45" s="1"/>
        <tr r="AW45" s="1"/>
      </tp>
      <tp>
        <v>26008</v>
        <stp/>
        <stp>OPEN_INT</stp>
        <stp>.QQQ250516P470</stp>
        <tr r="AX77" s="1"/>
        <tr r="AX77" s="1"/>
      </tp>
      <tp>
        <v>35263</v>
        <stp/>
        <stp>OPEN_INT</stp>
        <stp>.QQQ250516C470</stp>
        <tr r="AW77" s="1"/>
        <tr r="AW77" s="1"/>
      </tp>
      <tp>
        <v>286</v>
        <stp/>
        <stp>OPEN_INT</stp>
        <stp>.QQQ250516P471</stp>
        <tr r="AX76" s="1"/>
        <tr r="AX76" s="1"/>
      </tp>
      <tp>
        <v>18</v>
        <stp/>
        <stp>OPEN_INT</stp>
        <stp>.QQQ250516C471</stp>
        <tr r="AW76" s="1"/>
        <tr r="AW76" s="1"/>
      </tp>
      <tp>
        <v>391</v>
        <stp/>
        <stp>OPEN_INT</stp>
        <stp>.QQQ250516P472</stp>
        <tr r="AX75" s="1"/>
        <tr r="AX75" s="1"/>
      </tp>
      <tp>
        <v>106</v>
        <stp/>
        <stp>OPEN_INT</stp>
        <stp>.QQQ250516C472</stp>
        <tr r="AW75" s="1"/>
        <tr r="AW75" s="1"/>
      </tp>
      <tp>
        <v>1327</v>
        <stp/>
        <stp>OPEN_INT</stp>
        <stp>.QQQ250516P473</stp>
        <tr r="AX74" s="1"/>
        <tr r="AX74" s="1"/>
      </tp>
      <tp>
        <v>8</v>
        <stp/>
        <stp>OPEN_INT</stp>
        <stp>.QQQ250516C473</stp>
        <tr r="AW74" s="1"/>
        <tr r="AW74" s="1"/>
      </tp>
      <tp>
        <v>246</v>
        <stp/>
        <stp>OPEN_INT</stp>
        <stp>.QQQ250516P474</stp>
        <tr r="AX73" s="1"/>
        <tr r="AX73" s="1"/>
      </tp>
      <tp>
        <v>71</v>
        <stp/>
        <stp>OPEN_INT</stp>
        <stp>.QQQ250516C474</stp>
        <tr r="AW73" s="1"/>
        <tr r="AW73" s="1"/>
      </tp>
      <tp>
        <v>19295</v>
        <stp/>
        <stp>OPEN_INT</stp>
        <stp>.QQQ250516P475</stp>
        <tr r="AX72" s="1"/>
        <tr r="AX72" s="1"/>
      </tp>
      <tp>
        <v>28884</v>
        <stp/>
        <stp>OPEN_INT</stp>
        <stp>.QQQ250516C475</stp>
        <tr r="AW72" s="1"/>
        <tr r="AW72" s="1"/>
      </tp>
      <tp>
        <v>1987</v>
        <stp/>
        <stp>OPEN_INT</stp>
        <stp>.QQQ250509P469</stp>
        <tr r="AV78" s="1"/>
        <tr r="AV78" s="1"/>
      </tp>
      <tp>
        <v>213</v>
        <stp/>
        <stp>OPEN_INT</stp>
        <stp>.QQQ250516P476</stp>
        <tr r="AX71" s="1"/>
        <tr r="AX71" s="1"/>
      </tp>
      <tp>
        <v>699</v>
        <stp/>
        <stp>OPEN_INT</stp>
        <stp>.QQQ250509C469</stp>
        <tr r="AU78" s="1"/>
        <tr r="AU78" s="1"/>
      </tp>
      <tp>
        <v>85</v>
        <stp/>
        <stp>OPEN_INT</stp>
        <stp>.QQQ250516C476</stp>
        <tr r="AW71" s="1"/>
        <tr r="AW71" s="1"/>
      </tp>
      <tp>
        <v>1472</v>
        <stp/>
        <stp>OPEN_INT</stp>
        <stp>.QQQ250509P468</stp>
        <tr r="AV79" s="1"/>
        <tr r="AV79" s="1"/>
      </tp>
      <tp>
        <v>630</v>
        <stp/>
        <stp>OPEN_INT</stp>
        <stp>.QQQ250516P477</stp>
        <tr r="AX70" s="1"/>
        <tr r="AX70" s="1"/>
      </tp>
      <tp>
        <v>1032</v>
        <stp/>
        <stp>OPEN_INT</stp>
        <stp>.QQQ250509C468</stp>
        <tr r="AU79" s="1"/>
        <tr r="AU79" s="1"/>
      </tp>
      <tp>
        <v>39</v>
        <stp/>
        <stp>OPEN_INT</stp>
        <stp>.QQQ250516C477</stp>
        <tr r="AW70" s="1"/>
        <tr r="AW70" s="1"/>
      </tp>
      <tp>
        <v>1354</v>
        <stp/>
        <stp>OPEN_INT</stp>
        <stp>.QQQ250507P469</stp>
        <tr r="AT78" s="1"/>
        <tr r="AT78" s="1"/>
      </tp>
      <tp>
        <v>647</v>
        <stp/>
        <stp>OPEN_INT</stp>
        <stp>.QQQ250516P478</stp>
        <tr r="AX69" s="1"/>
        <tr r="AX69" s="1"/>
      </tp>
      <tp>
        <v>42</v>
        <stp/>
        <stp>OPEN_INT</stp>
        <stp>.QQQ250507C469</stp>
        <tr r="AS78" s="1"/>
        <tr r="AS78" s="1"/>
      </tp>
      <tp>
        <v>541</v>
        <stp/>
        <stp>OPEN_INT</stp>
        <stp>.QQQ250516C478</stp>
        <tr r="AW69" s="1"/>
        <tr r="AW69" s="1"/>
      </tp>
      <tp>
        <v>1968</v>
        <stp/>
        <stp>OPEN_INT</stp>
        <stp>.QQQ250507P468</stp>
        <tr r="AT79" s="1"/>
        <tr r="AT79" s="1"/>
      </tp>
      <tp>
        <v>360</v>
        <stp/>
        <stp>OPEN_INT</stp>
        <stp>.QQQ250516P479</stp>
        <tr r="AX68" s="1"/>
        <tr r="AX68" s="1"/>
      </tp>
      <tp>
        <v>125</v>
        <stp/>
        <stp>OPEN_INT</stp>
        <stp>.QQQ250507C468</stp>
        <tr r="AS79" s="1"/>
        <tr r="AS79" s="1"/>
      </tp>
      <tp>
        <v>95</v>
        <stp/>
        <stp>OPEN_INT</stp>
        <stp>.QQQ250516C479</stp>
        <tr r="AW68" s="1"/>
        <tr r="AW68" s="1"/>
      </tp>
      <tp>
        <v>1748</v>
        <stp/>
        <stp>OPEN_INT</stp>
        <stp>.QQQ250507P471</stp>
        <tr r="AT76" s="1"/>
        <tr r="AT76" s="1"/>
      </tp>
      <tp>
        <v>543</v>
        <stp/>
        <stp>OPEN_INT</stp>
        <stp>.QQQ250507C471</stp>
        <tr r="AS76" s="1"/>
        <tr r="AS76" s="1"/>
      </tp>
      <tp>
        <v>3981</v>
        <stp/>
        <stp>OPEN_INT</stp>
        <stp>.QQQ250507P470</stp>
        <tr r="AT77" s="1"/>
        <tr r="AT77" s="1"/>
      </tp>
      <tp>
        <v>268</v>
        <stp/>
        <stp>OPEN_INT</stp>
        <stp>.QQQ250507C470</stp>
        <tr r="AS77" s="1"/>
        <tr r="AS77" s="1"/>
      </tp>
      <tp>
        <v>3352</v>
        <stp/>
        <stp>OPEN_INT</stp>
        <stp>.QQQ250507P473</stp>
        <tr r="AT74" s="1"/>
        <tr r="AT74" s="1"/>
      </tp>
      <tp>
        <v>174</v>
        <stp/>
        <stp>OPEN_INT</stp>
        <stp>.QQQ250507C473</stp>
        <tr r="AS74" s="1"/>
        <tr r="AS74" s="1"/>
      </tp>
      <tp>
        <v>1662</v>
        <stp/>
        <stp>OPEN_INT</stp>
        <stp>.QQQ250507P472</stp>
        <tr r="AT75" s="1"/>
        <tr r="AT75" s="1"/>
      </tp>
      <tp>
        <v>140</v>
        <stp/>
        <stp>OPEN_INT</stp>
        <stp>.QQQ250507C472</stp>
        <tr r="AS75" s="1"/>
        <tr r="AS75" s="1"/>
      </tp>
      <tp>
        <v>4535</v>
        <stp/>
        <stp>OPEN_INT</stp>
        <stp>.QQQ250507P475</stp>
        <tr r="AT72" s="1"/>
        <tr r="AT72" s="1"/>
      </tp>
      <tp>
        <v>442</v>
        <stp/>
        <stp>OPEN_INT</stp>
        <stp>.QQQ250507C475</stp>
        <tr r="AS72" s="1"/>
        <tr r="AS72" s="1"/>
      </tp>
      <tp>
        <v>1808</v>
        <stp/>
        <stp>OPEN_INT</stp>
        <stp>.QQQ250507P474</stp>
        <tr r="AT73" s="1"/>
        <tr r="AT73" s="1"/>
      </tp>
      <tp>
        <v>472</v>
        <stp/>
        <stp>OPEN_INT</stp>
        <stp>.QQQ250507C474</stp>
        <tr r="AS73" s="1"/>
        <tr r="AS73" s="1"/>
      </tp>
      <tp>
        <v>3231</v>
        <stp/>
        <stp>OPEN_INT</stp>
        <stp>.QQQ250507P477</stp>
        <tr r="AT70" s="1"/>
        <tr r="AT70" s="1"/>
      </tp>
      <tp>
        <v>2070</v>
        <stp/>
        <stp>OPEN_INT</stp>
        <stp>.QQQ250509P479</stp>
        <tr r="AV68" s="1"/>
        <tr r="AV68" s="1"/>
      </tp>
      <tp>
        <v>264</v>
        <stp/>
        <stp>OPEN_INT</stp>
        <stp>.QQQ250507C477</stp>
        <tr r="AS70" s="1"/>
        <tr r="AS70" s="1"/>
      </tp>
      <tp>
        <v>688</v>
        <stp/>
        <stp>OPEN_INT</stp>
        <stp>.QQQ250509C479</stp>
        <tr r="AU68" s="1"/>
        <tr r="AU68" s="1"/>
      </tp>
      <tp>
        <v>1914</v>
        <stp/>
        <stp>OPEN_INT</stp>
        <stp>.QQQ250507P476</stp>
        <tr r="AT71" s="1"/>
        <tr r="AT71" s="1"/>
      </tp>
      <tp>
        <v>2032</v>
        <stp/>
        <stp>OPEN_INT</stp>
        <stp>.QQQ250509P478</stp>
        <tr r="AV69" s="1"/>
        <tr r="AV69" s="1"/>
      </tp>
      <tp>
        <v>459</v>
        <stp/>
        <stp>OPEN_INT</stp>
        <stp>.QQQ250507C476</stp>
        <tr r="AS71" s="1"/>
        <tr r="AS71" s="1"/>
      </tp>
      <tp>
        <v>845</v>
        <stp/>
        <stp>OPEN_INT</stp>
        <stp>.QQQ250509C478</stp>
        <tr r="AU69" s="1"/>
        <tr r="AU69" s="1"/>
      </tp>
      <tp>
        <v>2936</v>
        <stp/>
        <stp>OPEN_INT</stp>
        <stp>.QQQ250507P479</stp>
        <tr r="AT68" s="1"/>
        <tr r="AT68" s="1"/>
      </tp>
      <tp>
        <v>1224</v>
        <stp/>
        <stp>OPEN_INT</stp>
        <stp>.QQQ250509P477</stp>
        <tr r="AV70" s="1"/>
        <tr r="AV70" s="1"/>
      </tp>
      <tp>
        <v>1542</v>
        <stp/>
        <stp>OPEN_INT</stp>
        <stp>.QQQ250516P468</stp>
        <tr r="AX79" s="1"/>
        <tr r="AX79" s="1"/>
      </tp>
      <tp>
        <v>861</v>
        <stp/>
        <stp>OPEN_INT</stp>
        <stp>.QQQ250507C479</stp>
        <tr r="AS68" s="1"/>
        <tr r="AS68" s="1"/>
      </tp>
      <tp>
        <v>861</v>
        <stp/>
        <stp>OPEN_INT</stp>
        <stp>.QQQ250509C477</stp>
        <tr r="AU70" s="1"/>
        <tr r="AU70" s="1"/>
      </tp>
      <tp>
        <v>1736</v>
        <stp/>
        <stp>OPEN_INT</stp>
        <stp>.QQQ250516C468</stp>
        <tr r="AW79" s="1"/>
        <tr r="AW79" s="1"/>
      </tp>
      <tp>
        <v>3861</v>
        <stp/>
        <stp>OPEN_INT</stp>
        <stp>.QQQ250507P478</stp>
        <tr r="AT69" s="1"/>
        <tr r="AT69" s="1"/>
      </tp>
      <tp>
        <v>1567</v>
        <stp/>
        <stp>OPEN_INT</stp>
        <stp>.QQQ250509P476</stp>
        <tr r="AV71" s="1"/>
        <tr r="AV71" s="1"/>
      </tp>
      <tp>
        <v>1284</v>
        <stp/>
        <stp>OPEN_INT</stp>
        <stp>.QQQ250516P469</stp>
        <tr r="AX78" s="1"/>
        <tr r="AX78" s="1"/>
      </tp>
      <tp>
        <v>1393</v>
        <stp/>
        <stp>OPEN_INT</stp>
        <stp>.QQQ250507C478</stp>
        <tr r="AS69" s="1"/>
        <tr r="AS69" s="1"/>
      </tp>
      <tp>
        <v>760</v>
        <stp/>
        <stp>OPEN_INT</stp>
        <stp>.QQQ250509C476</stp>
        <tr r="AU71" s="1"/>
        <tr r="AU71" s="1"/>
      </tp>
      <tp>
        <v>969</v>
        <stp/>
        <stp>OPEN_INT</stp>
        <stp>.QQQ250516C469</stp>
        <tr r="AW78" s="1"/>
        <tr r="AW78" s="1"/>
      </tp>
      <tp>
        <v>4996</v>
        <stp/>
        <stp>OPEN_INT</stp>
        <stp>.QQQ250509P475</stp>
        <tr r="AV72" s="1"/>
        <tr r="AV72" s="1"/>
      </tp>
      <tp>
        <v>3843</v>
        <stp/>
        <stp>OPEN_INT</stp>
        <stp>.QQQ250509C475</stp>
        <tr r="AU72" s="1"/>
        <tr r="AU72" s="1"/>
      </tp>
      <tp>
        <v>1168</v>
        <stp/>
        <stp>OPEN_INT</stp>
        <stp>.QQQ250509P474</stp>
        <tr r="AV73" s="1"/>
        <tr r="AV73" s="1"/>
      </tp>
      <tp>
        <v>456</v>
        <stp/>
        <stp>OPEN_INT</stp>
        <stp>.QQQ250509C474</stp>
        <tr r="AU73" s="1"/>
        <tr r="AU73" s="1"/>
      </tp>
      <tp>
        <v>2002</v>
        <stp/>
        <stp>OPEN_INT</stp>
        <stp>.QQQ250509P473</stp>
        <tr r="AV74" s="1"/>
        <tr r="AV74" s="1"/>
      </tp>
      <tp>
        <v>1566</v>
        <stp/>
        <stp>OPEN_INT</stp>
        <stp>.QQQ250509C473</stp>
        <tr r="AU74" s="1"/>
        <tr r="AU74" s="1"/>
      </tp>
      <tp>
        <v>1831</v>
        <stp/>
        <stp>OPEN_INT</stp>
        <stp>.QQQ250509P472</stp>
        <tr r="AV75" s="1"/>
        <tr r="AV75" s="1"/>
      </tp>
      <tp>
        <v>1130</v>
        <stp/>
        <stp>OPEN_INT</stp>
        <stp>.QQQ250509C472</stp>
        <tr r="AU75" s="1"/>
        <tr r="AU75" s="1"/>
      </tp>
      <tp>
        <v>1455</v>
        <stp/>
        <stp>OPEN_INT</stp>
        <stp>.QQQ250509P471</stp>
        <tr r="AV76" s="1"/>
        <tr r="AV76" s="1"/>
      </tp>
      <tp>
        <v>974</v>
        <stp/>
        <stp>OPEN_INT</stp>
        <stp>.QQQ250509C471</stp>
        <tr r="AU76" s="1"/>
        <tr r="AU76" s="1"/>
      </tp>
      <tp>
        <v>10593</v>
        <stp/>
        <stp>OPEN_INT</stp>
        <stp>.QQQ250509P470</stp>
        <tr r="AV77" s="1"/>
        <tr r="AV77" s="1"/>
      </tp>
      <tp>
        <v>3233</v>
        <stp/>
        <stp>OPEN_INT</stp>
        <stp>.QQQ250509C470</stp>
        <tr r="AU77" s="1"/>
        <tr r="AU77" s="1"/>
      </tp>
      <tp>
        <v>1696</v>
        <stp/>
        <stp>OPEN_INT</stp>
        <stp>.QQQ250507P481</stp>
        <tr r="AT66" s="1"/>
        <tr r="AT66" s="1"/>
      </tp>
      <tp>
        <v>13979</v>
        <stp/>
        <stp>OPEN_INT</stp>
        <stp>.QQQ250516P490</stp>
        <tr r="AX57" s="1"/>
        <tr r="AX57" s="1"/>
      </tp>
      <tp>
        <v>1805</v>
        <stp/>
        <stp>OPEN_INT</stp>
        <stp>.QQQ250507C481</stp>
        <tr r="AS66" s="1"/>
        <tr r="AS66" s="1"/>
      </tp>
      <tp>
        <v>63575</v>
        <stp/>
        <stp>OPEN_INT</stp>
        <stp>.QQQ250516C490</stp>
        <tr r="AW57" s="1"/>
        <tr r="AW57" s="1"/>
      </tp>
      <tp>
        <v>6596</v>
        <stp/>
        <stp>OPEN_INT</stp>
        <stp>.QQQ250507P480</stp>
        <tr r="AT67" s="1"/>
        <tr r="AT67" s="1"/>
      </tp>
      <tp>
        <v>9</v>
        <stp/>
        <stp>OPEN_INT</stp>
        <stp>.QQQ250516P491</stp>
        <tr r="AX56" s="1"/>
        <tr r="AX56" s="1"/>
      </tp>
      <tp>
        <v>1608</v>
        <stp/>
        <stp>OPEN_INT</stp>
        <stp>.QQQ250507C480</stp>
        <tr r="AS67" s="1"/>
        <tr r="AS67" s="1"/>
      </tp>
      <tp>
        <v>476</v>
        <stp/>
        <stp>OPEN_INT</stp>
        <stp>.QQQ250516C491</stp>
        <tr r="AW56" s="1"/>
        <tr r="AW56" s="1"/>
      </tp>
      <tp>
        <v>1444</v>
        <stp/>
        <stp>OPEN_INT</stp>
        <stp>.QQQ250507P483</stp>
        <tr r="AT64" s="1"/>
        <tr r="AT64" s="1"/>
      </tp>
      <tp>
        <v>16</v>
        <stp/>
        <stp>OPEN_INT</stp>
        <stp>.QQQ250516P492</stp>
        <tr r="AX55" s="1"/>
        <tr r="AX55" s="1"/>
      </tp>
      <tp>
        <v>2927</v>
        <stp/>
        <stp>OPEN_INT</stp>
        <stp>.QQQ250507C483</stp>
        <tr r="AS64" s="1"/>
        <tr r="AS64" s="1"/>
      </tp>
      <tp>
        <v>345</v>
        <stp/>
        <stp>OPEN_INT</stp>
        <stp>.QQQ250516C492</stp>
        <tr r="AW55" s="1"/>
        <tr r="AW55" s="1"/>
      </tp>
      <tp>
        <v>2414</v>
        <stp/>
        <stp>OPEN_INT</stp>
        <stp>.QQQ250507P482</stp>
        <tr r="AT65" s="1"/>
        <tr r="AT65" s="1"/>
      </tp>
      <tp>
        <v>4</v>
        <stp/>
        <stp>OPEN_INT</stp>
        <stp>.QQQ250516P493</stp>
        <tr r="AX54" s="1"/>
        <tr r="AX54" s="1"/>
      </tp>
      <tp>
        <v>1782</v>
        <stp/>
        <stp>OPEN_INT</stp>
        <stp>.QQQ250507C482</stp>
        <tr r="AS65" s="1"/>
        <tr r="AS65" s="1"/>
      </tp>
      <tp>
        <v>247</v>
        <stp/>
        <stp>OPEN_INT</stp>
        <stp>.QQQ250516C493</stp>
        <tr r="AW54" s="1"/>
        <tr r="AW54" s="1"/>
      </tp>
      <tp>
        <v>2389</v>
        <stp/>
        <stp>OPEN_INT</stp>
        <stp>.QQQ250507P485</stp>
        <tr r="AT62" s="1"/>
        <tr r="AT62" s="1"/>
      </tp>
      <tp>
        <v>5</v>
        <stp/>
        <stp>OPEN_INT</stp>
        <stp>.QQQ250516P494</stp>
        <tr r="AX53" s="1"/>
        <tr r="AX53" s="1"/>
      </tp>
      <tp>
        <v>6154</v>
        <stp/>
        <stp>OPEN_INT</stp>
        <stp>.QQQ250507C485</stp>
        <tr r="AS62" s="1"/>
        <tr r="AS62" s="1"/>
      </tp>
      <tp>
        <v>145</v>
        <stp/>
        <stp>OPEN_INT</stp>
        <stp>.QQQ250516C494</stp>
        <tr r="AW53" s="1"/>
        <tr r="AW53" s="1"/>
      </tp>
      <tp>
        <v>1592</v>
        <stp/>
        <stp>OPEN_INT</stp>
        <stp>.QQQ250507P484</stp>
        <tr r="AT63" s="1"/>
        <tr r="AT63" s="1"/>
      </tp>
      <tp>
        <v>2239</v>
        <stp/>
        <stp>OPEN_INT</stp>
        <stp>.QQQ250516P495</stp>
        <tr r="AX52" s="1"/>
        <tr r="AX52" s="1"/>
      </tp>
      <tp>
        <v>3590</v>
        <stp/>
        <stp>OPEN_INT</stp>
        <stp>.QQQ250507C484</stp>
        <tr r="AS63" s="1"/>
        <tr r="AS63" s="1"/>
      </tp>
      <tp>
        <v>36344</v>
        <stp/>
        <stp>OPEN_INT</stp>
        <stp>.QQQ250516C495</stp>
        <tr r="AW52" s="1"/>
        <tr r="AW52" s="1"/>
      </tp>
      <tp>
        <v>1468</v>
        <stp/>
        <stp>OPEN_INT</stp>
        <stp>.QQQ250507P487</stp>
        <tr r="AT60" s="1"/>
        <tr r="AT60" s="1"/>
      </tp>
      <tp>
        <v>1005</v>
        <stp/>
        <stp>OPEN_INT</stp>
        <stp>.QQQ250509P489</stp>
        <tr r="AV58" s="1"/>
        <tr r="AV58" s="1"/>
      </tp>
      <tp>
        <v>1</v>
        <stp/>
        <stp>OPEN_INT</stp>
        <stp>.QQQ250516P496</stp>
        <tr r="AX51" s="1"/>
        <tr r="AX51" s="1"/>
      </tp>
      <tp>
        <v>7928</v>
        <stp/>
        <stp>OPEN_INT</stp>
        <stp>.QQQ250507C487</stp>
        <tr r="AS60" s="1"/>
        <tr r="AS60" s="1"/>
      </tp>
      <tp>
        <v>597</v>
        <stp/>
        <stp>OPEN_INT</stp>
        <stp>.QQQ250516C496</stp>
        <tr r="AW51" s="1"/>
        <tr r="AW51" s="1"/>
      </tp>
      <tp>
        <v>1889</v>
        <stp/>
        <stp>OPEN_INT</stp>
        <stp>.QQQ250507P486</stp>
        <tr r="AT61" s="1"/>
        <tr r="AT61" s="1"/>
      </tp>
      <tp>
        <v>1252</v>
        <stp/>
        <stp>OPEN_INT</stp>
        <stp>.QQQ250509P488</stp>
        <tr r="AV59" s="1"/>
        <tr r="AV59" s="1"/>
      </tp>
      <tp>
        <v>2</v>
        <stp/>
        <stp>OPEN_INT</stp>
        <stp>.QQQ250516P497</stp>
        <tr r="AX50" s="1"/>
        <tr r="AX50" s="1"/>
      </tp>
      <tp>
        <v>3215</v>
        <stp/>
        <stp>OPEN_INT</stp>
        <stp>.QQQ250507C486</stp>
        <tr r="AS61" s="1"/>
        <tr r="AS61" s="1"/>
      </tp>
      <tp>
        <v>1708</v>
        <stp/>
        <stp>OPEN_INT</stp>
        <stp>.QQQ250509C488</stp>
        <tr r="AU59" s="1"/>
        <tr r="AU59" s="1"/>
      </tp>
      <tp>
        <v>330</v>
        <stp/>
        <stp>OPEN_INT</stp>
        <stp>.QQQ250516C497</stp>
        <tr r="AW50" s="1"/>
        <tr r="AW50" s="1"/>
      </tp>
      <tp>
        <v>949</v>
        <stp/>
        <stp>OPEN_INT</stp>
        <stp>.QQQ250507P489</stp>
        <tr r="AT58" s="1"/>
        <tr r="AT58" s="1"/>
      </tp>
      <tp>
        <v>1015</v>
        <stp/>
        <stp>OPEN_INT</stp>
        <stp>.QQQ250509P487</stp>
        <tr r="AV60" s="1"/>
        <tr r="AV60" s="1"/>
      </tp>
      <tp>
        <v>15</v>
        <stp/>
        <stp>OPEN_INT</stp>
        <stp>.QQQ250516P498</stp>
        <tr r="AX49" s="1"/>
        <tr r="AX49" s="1"/>
      </tp>
      <tp>
        <v>6246</v>
        <stp/>
        <stp>OPEN_INT</stp>
        <stp>.QQQ250507C489</stp>
        <tr r="AS58" s="1"/>
        <tr r="AS58" s="1"/>
      </tp>
      <tp>
        <v>1250</v>
        <stp/>
        <stp>OPEN_INT</stp>
        <stp>.QQQ250509C487</stp>
        <tr r="AU60" s="1"/>
        <tr r="AU60" s="1"/>
      </tp>
      <tp>
        <v>856</v>
        <stp/>
        <stp>OPEN_INT</stp>
        <stp>.QQQ250516C498</stp>
        <tr r="AW49" s="1"/>
        <tr r="AW49" s="1"/>
      </tp>
      <tp>
        <v>2088</v>
        <stp/>
        <stp>OPEN_INT</stp>
        <stp>.QQQ250507P488</stp>
        <tr r="AT59" s="1"/>
        <tr r="AT59" s="1"/>
      </tp>
      <tp>
        <v>1012</v>
        <stp/>
        <stp>OPEN_INT</stp>
        <stp>.QQQ250509P486</stp>
        <tr r="AV61" s="1"/>
        <tr r="AV61" s="1"/>
      </tp>
      <tp>
        <v>1</v>
        <stp/>
        <stp>OPEN_INT</stp>
        <stp>.QQQ250516P499</stp>
        <tr r="AX48" s="1"/>
        <tr r="AX48" s="1"/>
      </tp>
      <tp>
        <v>3352</v>
        <stp/>
        <stp>OPEN_INT</stp>
        <stp>.QQQ250507C488</stp>
        <tr r="AS59" s="1"/>
        <tr r="AS59" s="1"/>
      </tp>
      <tp>
        <v>1601</v>
        <stp/>
        <stp>OPEN_INT</stp>
        <stp>.QQQ250509C486</stp>
        <tr r="AU61" s="1"/>
        <tr r="AU61" s="1"/>
      </tp>
      <tp>
        <v>355</v>
        <stp/>
        <stp>OPEN_INT</stp>
        <stp>.QQQ250516C499</stp>
        <tr r="AW48" s="1"/>
        <tr r="AW48" s="1"/>
      </tp>
      <tp>
        <v>10137</v>
        <stp/>
        <stp>OPEN_INT</stp>
        <stp>.QQQ250509P485</stp>
        <tr r="AV62" s="1"/>
        <tr r="AV62" s="1"/>
      </tp>
      <tp>
        <v>14304</v>
        <stp/>
        <stp>OPEN_INT</stp>
        <stp>.QQQ250509C485</stp>
        <tr r="AU62" s="1"/>
        <tr r="AU62" s="1"/>
      </tp>
      <tp>
        <v>2199</v>
        <stp/>
        <stp>OPEN_INT</stp>
        <stp>.QQQ250509P484</stp>
        <tr r="AV63" s="1"/>
        <tr r="AV63" s="1"/>
      </tp>
      <tp>
        <v>1253</v>
        <stp/>
        <stp>OPEN_INT</stp>
        <stp>.QQQ250509C484</stp>
        <tr r="AU63" s="1"/>
        <tr r="AU63" s="1"/>
      </tp>
      <tp>
        <v>1434</v>
        <stp/>
        <stp>OPEN_INT</stp>
        <stp>.QQQ250509P483</stp>
        <tr r="AV64" s="1"/>
        <tr r="AV64" s="1"/>
      </tp>
      <tp>
        <v>1360</v>
        <stp/>
        <stp>OPEN_INT</stp>
        <stp>.QQQ250509C483</stp>
        <tr r="AU64" s="1"/>
        <tr r="AU64" s="1"/>
      </tp>
      <tp>
        <v>2552</v>
        <stp/>
        <stp>OPEN_INT</stp>
        <stp>.QQQ250509P482</stp>
        <tr r="AV65" s="1"/>
        <tr r="AV65" s="1"/>
      </tp>
      <tp>
        <v>895</v>
        <stp/>
        <stp>OPEN_INT</stp>
        <stp>.QQQ250509C482</stp>
        <tr r="AU65" s="1"/>
        <tr r="AU65" s="1"/>
      </tp>
      <tp>
        <v>1160</v>
        <stp/>
        <stp>OPEN_INT</stp>
        <stp>.QQQ250509P481</stp>
        <tr r="AV66" s="1"/>
        <tr r="AV66" s="1"/>
      </tp>
      <tp>
        <v>1874</v>
        <stp/>
        <stp>OPEN_INT</stp>
        <stp>.QQQ250509C481</stp>
        <tr r="AU66" s="1"/>
        <tr r="AU66" s="1"/>
      </tp>
      <tp>
        <v>6180</v>
        <stp/>
        <stp>OPEN_INT</stp>
        <stp>.QQQ250509P480</stp>
        <tr r="AV67" s="1"/>
        <tr r="AV67" s="1"/>
      </tp>
      <tp>
        <v>3740</v>
        <stp/>
        <stp>OPEN_INT</stp>
        <stp>.QQQ250509C480</stp>
        <tr r="AU67" s="1"/>
        <tr r="AU67" s="1"/>
      </tp>
      <tp>
        <v>467</v>
        <stp/>
        <stp>OPEN_INT</stp>
        <stp>.QQQ250507P491</stp>
        <tr r="AT56" s="1"/>
        <tr r="AT56" s="1"/>
      </tp>
      <tp>
        <v>24461</v>
        <stp/>
        <stp>OPEN_INT</stp>
        <stp>.QQQ250516P480</stp>
        <tr r="AX67" s="1"/>
        <tr r="AX67" s="1"/>
      </tp>
      <tp>
        <v>1821</v>
        <stp/>
        <stp>OPEN_INT</stp>
        <stp>.QQQ250507C491</stp>
        <tr r="AS56" s="1"/>
        <tr r="AS56" s="1"/>
      </tp>
      <tp>
        <v>29879</v>
        <stp/>
        <stp>OPEN_INT</stp>
        <stp>.QQQ250516C480</stp>
        <tr r="AW67" s="1"/>
        <tr r="AW67" s="1"/>
      </tp>
      <tp>
        <v>1076</v>
        <stp/>
        <stp>OPEN_INT</stp>
        <stp>.QQQ250507P490</stp>
        <tr r="AT57" s="1"/>
        <tr r="AT57" s="1"/>
      </tp>
      <tp>
        <v>608</v>
        <stp/>
        <stp>OPEN_INT</stp>
        <stp>.QQQ250516P481</stp>
        <tr r="AX66" s="1"/>
        <tr r="AX66" s="1"/>
      </tp>
      <tp>
        <v>4955</v>
        <stp/>
        <stp>OPEN_INT</stp>
        <stp>.QQQ250507C490</stp>
        <tr r="AS57" s="1"/>
        <tr r="AS57" s="1"/>
      </tp>
      <tp>
        <v>331</v>
        <stp/>
        <stp>OPEN_INT</stp>
        <stp>.QQQ250516C481</stp>
        <tr r="AW66" s="1"/>
        <tr r="AW66" s="1"/>
      </tp>
      <tp>
        <v>235</v>
        <stp/>
        <stp>OPEN_INT</stp>
        <stp>.QQQ250507P493</stp>
        <tr r="AT54" s="1"/>
        <tr r="AT54" s="1"/>
      </tp>
      <tp>
        <v>463</v>
        <stp/>
        <stp>OPEN_INT</stp>
        <stp>.QQQ250516P482</stp>
        <tr r="AX65" s="1"/>
        <tr r="AX65" s="1"/>
      </tp>
      <tp>
        <v>1489</v>
        <stp/>
        <stp>OPEN_INT</stp>
        <stp>.QQQ250507C493</stp>
        <tr r="AS54" s="1"/>
        <tr r="AS54" s="1"/>
      </tp>
      <tp>
        <v>242</v>
        <stp/>
        <stp>OPEN_INT</stp>
        <stp>.QQQ250516C482</stp>
        <tr r="AW65" s="1"/>
        <tr r="AW65" s="1"/>
      </tp>
      <tp>
        <v>209</v>
        <stp/>
        <stp>OPEN_INT</stp>
        <stp>.QQQ250507P492</stp>
        <tr r="AT55" s="1"/>
        <tr r="AT55" s="1"/>
      </tp>
      <tp>
        <v>469</v>
        <stp/>
        <stp>OPEN_INT</stp>
        <stp>.QQQ250516P483</stp>
        <tr r="AX64" s="1"/>
        <tr r="AX64" s="1"/>
      </tp>
      <tp>
        <v>8053</v>
        <stp/>
        <stp>OPEN_INT</stp>
        <stp>.QQQ250507C492</stp>
        <tr r="AS55" s="1"/>
        <tr r="AS55" s="1"/>
      </tp>
      <tp>
        <v>314</v>
        <stp/>
        <stp>OPEN_INT</stp>
        <stp>.QQQ250516C483</stp>
        <tr r="AW64" s="1"/>
        <tr r="AW64" s="1"/>
      </tp>
      <tp>
        <v>40</v>
        <stp/>
        <stp>OPEN_INT</stp>
        <stp>.QQQ250507P495</stp>
        <tr r="AT52" s="1"/>
        <tr r="AT52" s="1"/>
      </tp>
      <tp>
        <v>690</v>
        <stp/>
        <stp>OPEN_INT</stp>
        <stp>.QQQ250516P484</stp>
        <tr r="AX63" s="1"/>
        <tr r="AX63" s="1"/>
      </tp>
      <tp>
        <v>2208</v>
        <stp/>
        <stp>OPEN_INT</stp>
        <stp>.QQQ250507C495</stp>
        <tr r="AS52" s="1"/>
        <tr r="AS52" s="1"/>
      </tp>
      <tp>
        <v>1371</v>
        <stp/>
        <stp>OPEN_INT</stp>
        <stp>.QQQ250516C484</stp>
        <tr r="AW63" s="1"/>
        <tr r="AW63" s="1"/>
      </tp>
      <tp>
        <v>32</v>
        <stp/>
        <stp>OPEN_INT</stp>
        <stp>.QQQ250507P494</stp>
        <tr r="AT53" s="1"/>
        <tr r="AT53" s="1"/>
      </tp>
      <tp>
        <v>14069</v>
        <stp/>
        <stp>OPEN_INT</stp>
        <stp>.QQQ250516P485</stp>
        <tr r="AX62" s="1"/>
        <tr r="AX62" s="1"/>
      </tp>
      <tp>
        <v>5255</v>
        <stp/>
        <stp>OPEN_INT</stp>
        <stp>.QQQ250507C494</stp>
        <tr r="AS53" s="1"/>
        <tr r="AS53" s="1"/>
      </tp>
      <tp>
        <v>27699</v>
        <stp/>
        <stp>OPEN_INT</stp>
        <stp>.QQQ250516C485</stp>
        <tr r="AW62" s="1"/>
        <tr r="AW62" s="1"/>
      </tp>
      <tp>
        <v>10</v>
        <stp/>
        <stp>OPEN_INT</stp>
        <stp>.QQQ250507P497</stp>
        <tr r="AT50" s="1"/>
        <tr r="AT50" s="1"/>
      </tp>
      <tp>
        <v>5</v>
        <stp/>
        <stp>OPEN_INT</stp>
        <stp>.QQQ250509P499</stp>
        <tr r="AV48" s="1"/>
        <tr r="AV48" s="1"/>
      </tp>
      <tp>
        <v>327</v>
        <stp/>
        <stp>OPEN_INT</stp>
        <stp>.QQQ250516P486</stp>
        <tr r="AX61" s="1"/>
        <tr r="AX61" s="1"/>
      </tp>
      <tp>
        <v>952</v>
        <stp/>
        <stp>OPEN_INT</stp>
        <stp>.QQQ250507C497</stp>
        <tr r="AS50" s="1"/>
        <tr r="AS50" s="1"/>
      </tp>
      <tp>
        <v>893</v>
        <stp/>
        <stp>OPEN_INT</stp>
        <stp>.QQQ250509C499</stp>
        <tr r="AU48" s="1"/>
        <tr r="AU48" s="1"/>
      </tp>
      <tp>
        <v>490</v>
        <stp/>
        <stp>OPEN_INT</stp>
        <stp>.QQQ250516C486</stp>
        <tr r="AW61" s="1"/>
        <tr r="AW61" s="1"/>
      </tp>
      <tp>
        <v>12</v>
        <stp/>
        <stp>OPEN_INT</stp>
        <stp>.QQQ250507P496</stp>
        <tr r="AT51" s="1"/>
        <tr r="AT51" s="1"/>
      </tp>
      <tp>
        <v>14</v>
        <stp/>
        <stp>OPEN_INT</stp>
        <stp>.QQQ250509P498</stp>
        <tr r="AV49" s="1"/>
        <tr r="AV49" s="1"/>
      </tp>
      <tp>
        <v>219</v>
        <stp/>
        <stp>OPEN_INT</stp>
        <stp>.QQQ250516P487</stp>
        <tr r="AX60" s="1"/>
        <tr r="AX60" s="1"/>
      </tp>
      <tp>
        <v>1206</v>
        <stp/>
        <stp>OPEN_INT</stp>
        <stp>.QQQ250507C496</stp>
        <tr r="AS51" s="1"/>
        <tr r="AS51" s="1"/>
      </tp>
      <tp>
        <v>895</v>
        <stp/>
        <stp>OPEN_INT</stp>
        <stp>.QQQ250509C498</stp>
        <tr r="AU49" s="1"/>
        <tr r="AU49" s="1"/>
      </tp>
      <tp>
        <v>590</v>
        <stp/>
        <stp>OPEN_INT</stp>
        <stp>.QQQ250516C487</stp>
        <tr r="AW60" s="1"/>
        <tr r="AW60" s="1"/>
      </tp>
      <tp>
        <v>1</v>
        <stp/>
        <stp>OPEN_INT</stp>
        <stp>.QQQ250507P499</stp>
        <tr r="AT48" s="1"/>
        <tr r="AT48" s="1"/>
      </tp>
      <tp>
        <v>12</v>
        <stp/>
        <stp>OPEN_INT</stp>
        <stp>.QQQ250509P497</stp>
        <tr r="AV50" s="1"/>
        <tr r="AV50" s="1"/>
      </tp>
      <tp>
        <v>307</v>
        <stp/>
        <stp>OPEN_INT</stp>
        <stp>.QQQ250516P488</stp>
        <tr r="AX59" s="1"/>
        <tr r="AX59" s="1"/>
      </tp>
      <tp>
        <v>755</v>
        <stp/>
        <stp>OPEN_INT</stp>
        <stp>.QQQ250507C499</stp>
        <tr r="AS48" s="1"/>
        <tr r="AS48" s="1"/>
      </tp>
      <tp>
        <v>1062</v>
        <stp/>
        <stp>OPEN_INT</stp>
        <stp>.QQQ250509C497</stp>
        <tr r="AU50" s="1"/>
        <tr r="AU50" s="1"/>
      </tp>
      <tp>
        <v>890</v>
        <stp/>
        <stp>OPEN_INT</stp>
        <stp>.QQQ250516C488</stp>
        <tr r="AW59" s="1"/>
        <tr r="AW59" s="1"/>
      </tp>
      <tp>
        <v>10</v>
        <stp/>
        <stp>OPEN_INT</stp>
        <stp>.QQQ250507P498</stp>
        <tr r="AT49" s="1"/>
        <tr r="AT49" s="1"/>
      </tp>
      <tp>
        <v>36</v>
        <stp/>
        <stp>OPEN_INT</stp>
        <stp>.QQQ250509P496</stp>
        <tr r="AV51" s="1"/>
        <tr r="AV51" s="1"/>
      </tp>
      <tp>
        <v>107</v>
        <stp/>
        <stp>OPEN_INT</stp>
        <stp>.QQQ250516P489</stp>
        <tr r="AX58" s="1"/>
        <tr r="AX58" s="1"/>
      </tp>
      <tp>
        <v>873</v>
        <stp/>
        <stp>OPEN_INT</stp>
        <stp>.QQQ250507C498</stp>
        <tr r="AS49" s="1"/>
        <tr r="AS49" s="1"/>
      </tp>
      <tp>
        <v>804</v>
        <stp/>
        <stp>OPEN_INT</stp>
        <stp>.QQQ250509C496</stp>
        <tr r="AU51" s="1"/>
        <tr r="AU51" s="1"/>
      </tp>
      <tp>
        <v>364</v>
        <stp/>
        <stp>OPEN_INT</stp>
        <stp>.QQQ250516C489</stp>
        <tr r="AW58" s="1"/>
        <tr r="AW58" s="1"/>
      </tp>
      <tp>
        <v>583</v>
        <stp/>
        <stp>OPEN_INT</stp>
        <stp>.QQQ250509P495</stp>
        <tr r="AV52" s="1"/>
        <tr r="AV52" s="1"/>
      </tp>
      <tp>
        <v>5540</v>
        <stp/>
        <stp>OPEN_INT</stp>
        <stp>.QQQ250509C495</stp>
        <tr r="AU52" s="1"/>
        <tr r="AU52" s="1"/>
      </tp>
      <tp>
        <v>109</v>
        <stp/>
        <stp>OPEN_INT</stp>
        <stp>.QQQ250509P494</stp>
        <tr r="AV53" s="1"/>
        <tr r="AV53" s="1"/>
      </tp>
      <tp>
        <v>1433</v>
        <stp/>
        <stp>OPEN_INT</stp>
        <stp>.QQQ250509C494</stp>
        <tr r="AU53" s="1"/>
        <tr r="AU53" s="1"/>
      </tp>
      <tp>
        <v>176</v>
        <stp/>
        <stp>OPEN_INT</stp>
        <stp>.QQQ250509P493</stp>
        <tr r="AV54" s="1"/>
        <tr r="AV54" s="1"/>
      </tp>
      <tp>
        <v>1392</v>
        <stp/>
        <stp>OPEN_INT</stp>
        <stp>.QQQ250509C493</stp>
        <tr r="AU54" s="1"/>
        <tr r="AU54" s="1"/>
      </tp>
      <tp>
        <v>216</v>
        <stp/>
        <stp>OPEN_INT</stp>
        <stp>.QQQ250509P492</stp>
        <tr r="AV55" s="1"/>
        <tr r="AV55" s="1"/>
      </tp>
      <tp>
        <v>1071</v>
        <stp/>
        <stp>OPEN_INT</stp>
        <stp>.QQQ250509C492</stp>
        <tr r="AU55" s="1"/>
        <tr r="AU55" s="1"/>
      </tp>
      <tp>
        <v>542</v>
        <stp/>
        <stp>OPEN_INT</stp>
        <stp>.QQQ250509P491</stp>
        <tr r="AV56" s="1"/>
        <tr r="AV56" s="1"/>
      </tp>
      <tp>
        <v>1126</v>
        <stp/>
        <stp>OPEN_INT</stp>
        <stp>.QQQ250509C491</stp>
        <tr r="AU56" s="1"/>
        <tr r="AU56" s="1"/>
      </tp>
      <tp>
        <v>2467</v>
        <stp/>
        <stp>OPEN_INT</stp>
        <stp>.QQQ250509P490</stp>
        <tr r="AV57" s="1"/>
        <tr r="AV57" s="1"/>
      </tp>
      <tp>
        <v>8977</v>
        <stp/>
        <stp>OPEN_INT</stp>
        <stp>.QQQ250509C490</stp>
        <tr r="AU57" s="1"/>
        <tr r="AU57" s="1"/>
      </tp>
      <tp>
        <v>54</v>
        <stp/>
        <stp>OPEN_INT</stp>
        <stp>.NDX250516P19900</stp>
        <tr r="AX159" s="1"/>
        <tr r="AX159" s="1"/>
      </tp>
      <tp>
        <v>5</v>
        <stp/>
        <stp>OPEN_INT</stp>
        <stp>.NDX250516P19925</stp>
        <tr r="AX158" s="1"/>
        <tr r="AX158" s="1"/>
      </tp>
      <tp>
        <v>5</v>
        <stp/>
        <stp>OPEN_INT</stp>
        <stp>.NDX250516P19950</stp>
        <tr r="AX157" s="1"/>
        <tr r="AX157" s="1"/>
      </tp>
      <tp>
        <v>6</v>
        <stp/>
        <stp>OPEN_INT</stp>
        <stp>.NDX250516P19975</stp>
        <tr r="AX156" s="1"/>
        <tr r="AX156" s="1"/>
      </tp>
      <tp>
        <v>15</v>
        <stp/>
        <stp>OPEN_INT</stp>
        <stp>.NDX250516C19925</stp>
        <tr r="AW158" s="1"/>
        <tr r="AW158" s="1"/>
      </tp>
      <tp>
        <v>50</v>
        <stp/>
        <stp>OPEN_INT</stp>
        <stp>.NDX250516C19900</stp>
        <tr r="AW159" s="1"/>
        <tr r="AW159" s="1"/>
      </tp>
      <tp>
        <v>18</v>
        <stp/>
        <stp>OPEN_INT</stp>
        <stp>.NDX250516C19975</stp>
        <tr r="AW156" s="1"/>
        <tr r="AW156" s="1"/>
      </tp>
      <tp>
        <v>30</v>
        <stp/>
        <stp>OPEN_INT</stp>
        <stp>.NDX250516C19950</stp>
        <tr r="AW157" s="1"/>
        <tr r="AW157" s="1"/>
      </tp>
      <tp>
        <v>26</v>
        <stp/>
        <stp>OPEN_INT</stp>
        <stp>.NDX250516P19800</stp>
        <tr r="AX163" s="1"/>
        <tr r="AX163" s="1"/>
      </tp>
      <tp>
        <v>27</v>
        <stp/>
        <stp>OPEN_INT</stp>
        <stp>.NDX250516P19825</stp>
        <tr r="AX162" s="1"/>
        <tr r="AX162" s="1"/>
      </tp>
      <tp>
        <v>7</v>
        <stp/>
        <stp>OPEN_INT</stp>
        <stp>.NDX250516P19850</stp>
        <tr r="AX161" s="1"/>
        <tr r="AX161" s="1"/>
      </tp>
      <tp>
        <v>7</v>
        <stp/>
        <stp>OPEN_INT</stp>
        <stp>.NDX250516P19875</stp>
        <tr r="AX160" s="1"/>
        <tr r="AX160" s="1"/>
      </tp>
      <tp>
        <v>33</v>
        <stp/>
        <stp>OPEN_INT</stp>
        <stp>.NDX250516C19825</stp>
        <tr r="AW162" s="1"/>
        <tr r="AW162" s="1"/>
      </tp>
      <tp>
        <v>30</v>
        <stp/>
        <stp>OPEN_INT</stp>
        <stp>.NDX250516C19800</stp>
        <tr r="AW163" s="1"/>
        <tr r="AW163" s="1"/>
      </tp>
      <tp>
        <v>13</v>
        <stp/>
        <stp>OPEN_INT</stp>
        <stp>.NDX250516C19875</stp>
        <tr r="AW160" s="1"/>
        <tr r="AW160" s="1"/>
      </tp>
      <tp>
        <v>27</v>
        <stp/>
        <stp>OPEN_INT</stp>
        <stp>.NDX250516C19850</stp>
        <tr r="AW161" s="1"/>
        <tr r="AW161" s="1"/>
      </tp>
      <tp>
        <v>49</v>
        <stp/>
        <stp>OPEN_INT</stp>
        <stp>.NDX250516P19700</stp>
        <tr r="AX167" s="1"/>
        <tr r="AX167" s="1"/>
      </tp>
      <tp>
        <v>4</v>
        <stp/>
        <stp>OPEN_INT</stp>
        <stp>.NDX250516P19725</stp>
        <tr r="AX166" s="1"/>
        <tr r="AX166" s="1"/>
      </tp>
      <tp>
        <v>7</v>
        <stp/>
        <stp>OPEN_INT</stp>
        <stp>.NDX250516P19750</stp>
        <tr r="AX165" s="1"/>
        <tr r="AX165" s="1"/>
      </tp>
      <tp>
        <v>10</v>
        <stp/>
        <stp>OPEN_INT</stp>
        <stp>.NDX250516P19775</stp>
        <tr r="AX164" s="1"/>
        <tr r="AX164" s="1"/>
      </tp>
      <tp>
        <v>31</v>
        <stp/>
        <stp>OPEN_INT</stp>
        <stp>.NDX250516C19725</stp>
        <tr r="AW166" s="1"/>
        <tr r="AW166" s="1"/>
      </tp>
      <tp>
        <v>35</v>
        <stp/>
        <stp>OPEN_INT</stp>
        <stp>.NDX250516C19700</stp>
        <tr r="AW167" s="1"/>
        <tr r="AW167" s="1"/>
      </tp>
      <tp>
        <v>23</v>
        <stp/>
        <stp>OPEN_INT</stp>
        <stp>.NDX250516C19775</stp>
        <tr r="AW164" s="1"/>
        <tr r="AW164" s="1"/>
      </tp>
      <tp>
        <v>65</v>
        <stp/>
        <stp>OPEN_INT</stp>
        <stp>.NDX250516C19750</stp>
        <tr r="AW165" s="1"/>
        <tr r="AW165" s="1"/>
      </tp>
      <tp>
        <v>46</v>
        <stp/>
        <stp>OPEN_INT</stp>
        <stp>.NDX250516P19600</stp>
        <tr r="AX171" s="1"/>
        <tr r="AX171" s="1"/>
      </tp>
      <tp>
        <v>6</v>
        <stp/>
        <stp>OPEN_INT</stp>
        <stp>.NDX250516P19625</stp>
        <tr r="AX170" s="1"/>
        <tr r="AX170" s="1"/>
      </tp>
      <tp>
        <v>13</v>
        <stp/>
        <stp>OPEN_INT</stp>
        <stp>.NDX250516P19650</stp>
        <tr r="AX169" s="1"/>
        <tr r="AX169" s="1"/>
      </tp>
      <tp>
        <v>5</v>
        <stp/>
        <stp>OPEN_INT</stp>
        <stp>.NDX250516P19675</stp>
        <tr r="AX168" s="1"/>
        <tr r="AX168" s="1"/>
      </tp>
      <tp>
        <v>28</v>
        <stp/>
        <stp>OPEN_INT</stp>
        <stp>.NDX250516C19625</stp>
        <tr r="AW170" s="1"/>
        <tr r="AW170" s="1"/>
      </tp>
      <tp>
        <v>58</v>
        <stp/>
        <stp>OPEN_INT</stp>
        <stp>.NDX250516C19600</stp>
        <tr r="AW171" s="1"/>
        <tr r="AW171" s="1"/>
      </tp>
      <tp>
        <v>6</v>
        <stp/>
        <stp>OPEN_INT</stp>
        <stp>.NDX250516C19675</stp>
        <tr r="AW168" s="1"/>
        <tr r="AW168" s="1"/>
      </tp>
      <tp>
        <v>8</v>
        <stp/>
        <stp>OPEN_INT</stp>
        <stp>.NDX250516C19650</stp>
        <tr r="AW169" s="1"/>
        <tr r="AW169" s="1"/>
      </tp>
      <tp>
        <v>91</v>
        <stp/>
        <stp>OPEN_INT</stp>
        <stp>.NDX250516P19500</stp>
        <tr r="AX175" s="1"/>
        <tr r="AX175" s="1"/>
      </tp>
      <tp>
        <v>2</v>
        <stp/>
        <stp>OPEN_INT</stp>
        <stp>.NDX250516P19525</stp>
        <tr r="AX174" s="1"/>
        <tr r="AX174" s="1"/>
      </tp>
      <tp>
        <v>41</v>
        <stp/>
        <stp>OPEN_INT</stp>
        <stp>.NDX250516P19550</stp>
        <tr r="AX173" s="1"/>
        <tr r="AX173" s="1"/>
      </tp>
      <tp>
        <v>7</v>
        <stp/>
        <stp>OPEN_INT</stp>
        <stp>.NDX250516P19575</stp>
        <tr r="AX172" s="1"/>
        <tr r="AX172" s="1"/>
      </tp>
      <tp>
        <v>22</v>
        <stp/>
        <stp>OPEN_INT</stp>
        <stp>.NDX250516C19525</stp>
        <tr r="AW174" s="1"/>
        <tr r="AW174" s="1"/>
      </tp>
      <tp>
        <v>77</v>
        <stp/>
        <stp>OPEN_INT</stp>
        <stp>.NDX250516C19500</stp>
        <tr r="AW175" s="1"/>
        <tr r="AW175" s="1"/>
      </tp>
      <tp t="s">
        <v>--</v>
        <stp/>
        <stp>IMPL_VOL</stp>
        <stp>.SPY250509C549</stp>
        <tr r="EN37" s="1"/>
      </tp>
      <tp t="s">
        <v>16.68%</v>
        <stp/>
        <stp>IMPL_VOL</stp>
        <stp>.SPY250516C556</stp>
        <tr r="EP30" s="1"/>
      </tp>
      <tp t="s">
        <v>33.11%</v>
        <stp/>
        <stp>IMPL_VOL</stp>
        <stp>.SPY250509P549</stp>
        <tr r="EO37" s="1"/>
      </tp>
      <tp t="s">
        <v>25.51%</v>
        <stp/>
        <stp>IMPL_VOL</stp>
        <stp>.SPY250516P556</stp>
        <tr r="EQ30" s="1"/>
      </tp>
      <tp t="s">
        <v>--</v>
        <stp/>
        <stp>IMPL_VOL</stp>
        <stp>.SPY250509C548</stp>
        <tr r="EN38" s="1"/>
      </tp>
      <tp t="s">
        <v>16.80%</v>
        <stp/>
        <stp>IMPL_VOL</stp>
        <stp>.SPY250516C557</stp>
        <tr r="EP29" s="1"/>
      </tp>
      <tp t="s">
        <v>33.28%</v>
        <stp/>
        <stp>IMPL_VOL</stp>
        <stp>.SPY250509P548</stp>
        <tr r="EO38" s="1"/>
      </tp>
      <tp t="s">
        <v>25.41%</v>
        <stp/>
        <stp>IMPL_VOL</stp>
        <stp>.SPY250516P557</stp>
        <tr r="EQ29" s="1"/>
      </tp>
      <tp t="s">
        <v>16.35%</v>
        <stp/>
        <stp>IMPL_VOL</stp>
        <stp>.SPY250516C554</stp>
        <tr r="EP32" s="1"/>
      </tp>
      <tp t="s">
        <v>25.78%</v>
        <stp/>
        <stp>IMPL_VOL</stp>
        <stp>.SPY250516P554</stp>
        <tr r="EQ32" s="1"/>
      </tp>
      <tp t="s">
        <v>16.56%</v>
        <stp/>
        <stp>IMPL_VOL</stp>
        <stp>.SPY250516C555</stp>
        <tr r="EP31" s="1"/>
      </tp>
      <tp t="s">
        <v>25.67%</v>
        <stp/>
        <stp>IMPL_VOL</stp>
        <stp>.SPY250516P555</stp>
        <tr r="EQ31" s="1"/>
      </tp>
      <tp t="s">
        <v>15.86%</v>
        <stp/>
        <stp>IMPL_VOL</stp>
        <stp>.SPY250516C552</stp>
        <tr r="EP34" s="1"/>
      </tp>
      <tp t="s">
        <v>26.04%</v>
        <stp/>
        <stp>IMPL_VOL</stp>
        <stp>.SPY250516P552</stp>
        <tr r="EQ34" s="1"/>
      </tp>
      <tp t="s">
        <v>16.13%</v>
        <stp/>
        <stp>IMPL_VOL</stp>
        <stp>.SPY250516C553</stp>
        <tr r="EP33" s="1"/>
      </tp>
      <tp t="s">
        <v>25.91%</v>
        <stp/>
        <stp>IMPL_VOL</stp>
        <stp>.SPY250516P553</stp>
        <tr r="EQ33" s="1"/>
      </tp>
      <tp t="s">
        <v>15.03%</v>
        <stp/>
        <stp>IMPL_VOL</stp>
        <stp>.SPY250516C550</stp>
        <tr r="EP36" s="1"/>
      </tp>
      <tp t="s">
        <v>26.32%</v>
        <stp/>
        <stp>IMPL_VOL</stp>
        <stp>.SPY250516P550</stp>
        <tr r="EQ36" s="1"/>
      </tp>
      <tp t="s">
        <v>15.46%</v>
        <stp/>
        <stp>IMPL_VOL</stp>
        <stp>.SPY250516C551</stp>
        <tr r="EP35" s="1"/>
      </tp>
      <tp t="s">
        <v>26.19%</v>
        <stp/>
        <stp>IMPL_VOL</stp>
        <stp>.SPY250516P551</stp>
        <tr r="EQ35" s="1"/>
      </tp>
      <tp t="s">
        <v>--</v>
        <stp/>
        <stp>IMPL_VOL</stp>
        <stp>.SPY250507C549</stp>
        <tr r="EL37" s="1"/>
      </tp>
      <tp t="s">
        <v>16.87%</v>
        <stp/>
        <stp>IMPL_VOL</stp>
        <stp>.SPY250516C558</stp>
        <tr r="EP28" s="1"/>
      </tp>
      <tp t="s">
        <v>132.57%</v>
        <stp/>
        <stp>IMPL_VOL</stp>
        <stp>.SPY250507P549</stp>
        <tr r="EM37" s="1"/>
      </tp>
      <tp t="s">
        <v>25.30%</v>
        <stp/>
        <stp>IMPL_VOL</stp>
        <stp>.SPY250516P558</stp>
        <tr r="EQ28" s="1"/>
      </tp>
      <tp t="s">
        <v>--</v>
        <stp/>
        <stp>IMPL_VOL</stp>
        <stp>.SPY250507C548</stp>
        <tr r="EL38" s="1"/>
      </tp>
      <tp t="s">
        <v>16.93%</v>
        <stp/>
        <stp>IMPL_VOL</stp>
        <stp>.SPY250516C559</stp>
        <tr r="EP27" s="1"/>
      </tp>
      <tp t="s">
        <v>140.47%</v>
        <stp/>
        <stp>IMPL_VOL</stp>
        <stp>.SPY250507P548</stp>
        <tr r="EM38" s="1"/>
      </tp>
      <tp t="s">
        <v>25.19%</v>
        <stp/>
        <stp>IMPL_VOL</stp>
        <stp>.SPY250516P559</stp>
        <tr r="EQ27" s="1"/>
      </tp>
      <tp>
        <v>15</v>
        <stp/>
        <stp>OPEN_INT</stp>
        <stp>.NDX250516C19575</stp>
        <tr r="AW172" s="1"/>
        <tr r="AW172" s="1"/>
      </tp>
      <tp t="s">
        <v>--</v>
        <stp/>
        <stp>IMPL_VOL</stp>
        <stp>.SPY250507C557</stp>
        <tr r="EL29" s="1"/>
      </tp>
      <tp t="s">
        <v>0.14%</v>
        <stp/>
        <stp>IMPL_VOL</stp>
        <stp>.SPY250509C559</stp>
        <tr r="EN27" s="1"/>
      </tp>
      <tp t="s">
        <v>68.00%</v>
        <stp/>
        <stp>IMPL_VOL</stp>
        <stp>.SPY250507P557</stp>
        <tr r="EM29" s="1"/>
      </tp>
      <tp t="s">
        <v>32.39%</v>
        <stp/>
        <stp>IMPL_VOL</stp>
        <stp>.SPY250509P559</stp>
        <tr r="EO27" s="1"/>
      </tp>
      <tp t="s">
        <v>--</v>
        <stp/>
        <stp>IMPL_VOL</stp>
        <stp>.SPY250507C556</stp>
        <tr r="EL30" s="1"/>
      </tp>
      <tp t="s">
        <v>--</v>
        <stp/>
        <stp>IMPL_VOL</stp>
        <stp>.SPY250509C558</stp>
        <tr r="EN28" s="1"/>
      </tp>
      <tp t="s">
        <v>76.26%</v>
        <stp/>
        <stp>IMPL_VOL</stp>
        <stp>.SPY250507P556</stp>
        <tr r="EM30" s="1"/>
      </tp>
      <tp t="s">
        <v>32.30%</v>
        <stp/>
        <stp>IMPL_VOL</stp>
        <stp>.SPY250509P558</stp>
        <tr r="EO28" s="1"/>
      </tp>
      <tp t="s">
        <v>--</v>
        <stp/>
        <stp>IMPL_VOL</stp>
        <stp>.SPY250507C555</stp>
        <tr r="EL31" s="1"/>
      </tp>
      <tp t="s">
        <v>84.45%</v>
        <stp/>
        <stp>IMPL_VOL</stp>
        <stp>.SPY250507P555</stp>
        <tr r="EM31" s="1"/>
      </tp>
      <tp t="s">
        <v>--</v>
        <stp/>
        <stp>IMPL_VOL</stp>
        <stp>.SPY250507C554</stp>
        <tr r="EL32" s="1"/>
      </tp>
      <tp t="s">
        <v>92.58%</v>
        <stp/>
        <stp>IMPL_VOL</stp>
        <stp>.SPY250507P554</stp>
        <tr r="EM32" s="1"/>
      </tp>
      <tp t="s">
        <v>--</v>
        <stp/>
        <stp>IMPL_VOL</stp>
        <stp>.SPY250507C553</stp>
        <tr r="EL33" s="1"/>
      </tp>
      <tp t="s">
        <v>100.66%</v>
        <stp/>
        <stp>IMPL_VOL</stp>
        <stp>.SPY250507P553</stp>
        <tr r="EM33" s="1"/>
      </tp>
      <tp t="s">
        <v>--</v>
        <stp/>
        <stp>IMPL_VOL</stp>
        <stp>.SPY250507C552</stp>
        <tr r="EL34" s="1"/>
      </tp>
      <tp t="s">
        <v>108.70%</v>
        <stp/>
        <stp>IMPL_VOL</stp>
        <stp>.SPY250507P552</stp>
        <tr r="EM34" s="1"/>
      </tp>
      <tp t="s">
        <v>--</v>
        <stp/>
        <stp>IMPL_VOL</stp>
        <stp>.SPY250507C551</stp>
        <tr r="EL35" s="1"/>
      </tp>
      <tp t="s">
        <v>116.69%</v>
        <stp/>
        <stp>IMPL_VOL</stp>
        <stp>.SPY250507P551</stp>
        <tr r="EM35" s="1"/>
      </tp>
      <tp t="s">
        <v>--</v>
        <stp/>
        <stp>IMPL_VOL</stp>
        <stp>.SPY250507C550</stp>
        <tr r="EL36" s="1"/>
      </tp>
      <tp t="s">
        <v>124.65%</v>
        <stp/>
        <stp>IMPL_VOL</stp>
        <stp>.SPY250507P550</stp>
        <tr r="EM36" s="1"/>
      </tp>
      <tp t="s">
        <v>--</v>
        <stp/>
        <stp>IMPL_VOL</stp>
        <stp>.SPY250509C551</stp>
        <tr r="EN35" s="1"/>
      </tp>
      <tp t="s">
        <v>32.81%</v>
        <stp/>
        <stp>IMPL_VOL</stp>
        <stp>.SPY250509P551</stp>
        <tr r="EO35" s="1"/>
      </tp>
      <tp t="s">
        <v>--</v>
        <stp/>
        <stp>IMPL_VOL</stp>
        <stp>.SPY250509C550</stp>
        <tr r="EN36" s="1"/>
      </tp>
      <tp t="s">
        <v>32.96%</v>
        <stp/>
        <stp>IMPL_VOL</stp>
        <stp>.SPY250509P550</stp>
        <tr r="EO36" s="1"/>
      </tp>
      <tp t="s">
        <v>--</v>
        <stp/>
        <stp>IMPL_VOL</stp>
        <stp>.SPY250509C553</stp>
        <tr r="EN33" s="1"/>
      </tp>
      <tp t="s">
        <v>32.57%</v>
        <stp/>
        <stp>IMPL_VOL</stp>
        <stp>.SPY250509P553</stp>
        <tr r="EO33" s="1"/>
      </tp>
      <tp t="s">
        <v>--</v>
        <stp/>
        <stp>IMPL_VOL</stp>
        <stp>.SPY250509C552</stp>
        <tr r="EN34" s="1"/>
      </tp>
      <tp t="s">
        <v>32.66%</v>
        <stp/>
        <stp>IMPL_VOL</stp>
        <stp>.SPY250509P552</stp>
        <tr r="EO34" s="1"/>
      </tp>
      <tp t="s">
        <v>--</v>
        <stp/>
        <stp>IMPL_VOL</stp>
        <stp>.SPY250509C555</stp>
        <tr r="EN31" s="1"/>
      </tp>
      <tp t="s">
        <v>32.38%</v>
        <stp/>
        <stp>IMPL_VOL</stp>
        <stp>.SPY250509P555</stp>
        <tr r="EO31" s="1"/>
      </tp>
      <tp t="s">
        <v>--</v>
        <stp/>
        <stp>IMPL_VOL</stp>
        <stp>.SPY250509C554</stp>
        <tr r="EN32" s="1"/>
      </tp>
      <tp t="s">
        <v>32.43%</v>
        <stp/>
        <stp>IMPL_VOL</stp>
        <stp>.SPY250509P554</stp>
        <tr r="EO32" s="1"/>
      </tp>
      <tp t="s">
        <v>--</v>
        <stp/>
        <stp>IMPL_VOL</stp>
        <stp>.SPY250507C559</stp>
        <tr r="EL27" s="1"/>
      </tp>
      <tp t="s">
        <v>--</v>
        <stp/>
        <stp>IMPL_VOL</stp>
        <stp>.SPY250509C557</stp>
        <tr r="EN29" s="1"/>
      </tp>
      <tp t="s">
        <v>13.58%</v>
        <stp/>
        <stp>IMPL_VOL</stp>
        <stp>.SPY250516C548</stp>
        <tr r="EP38" s="1"/>
      </tp>
      <tp t="s">
        <v>51.19%</v>
        <stp/>
        <stp>IMPL_VOL</stp>
        <stp>.SPY250507P559</stp>
        <tr r="EM27" s="1"/>
      </tp>
      <tp t="s">
        <v>32.28%</v>
        <stp/>
        <stp>IMPL_VOL</stp>
        <stp>.SPY250509P557</stp>
        <tr r="EO29" s="1"/>
      </tp>
      <tp t="s">
        <v>26.62%</v>
        <stp/>
        <stp>IMPL_VOL</stp>
        <stp>.SPY250516P548</stp>
        <tr r="EQ38" s="1"/>
      </tp>
      <tp t="s">
        <v>--</v>
        <stp/>
        <stp>IMPL_VOL</stp>
        <stp>.SPY250507C558</stp>
        <tr r="EL28" s="1"/>
      </tp>
      <tp t="s">
        <v>--</v>
        <stp/>
        <stp>IMPL_VOL</stp>
        <stp>.SPY250509C556</stp>
        <tr r="EN30" s="1"/>
      </tp>
      <tp t="s">
        <v>14.41%</v>
        <stp/>
        <stp>IMPL_VOL</stp>
        <stp>.SPY250516C549</stp>
        <tr r="EP37" s="1"/>
      </tp>
      <tp t="s">
        <v>68.41%</v>
        <stp/>
        <stp>IMPL_VOL</stp>
        <stp>.SPY250507P558</stp>
        <tr r="EM28" s="1"/>
      </tp>
      <tp t="s">
        <v>32.29%</v>
        <stp/>
        <stp>IMPL_VOL</stp>
        <stp>.SPY250509P556</stp>
        <tr r="EO30" s="1"/>
      </tp>
      <tp t="s">
        <v>26.47%</v>
        <stp/>
        <stp>IMPL_VOL</stp>
        <stp>.SPY250516P549</stp>
        <tr r="EQ37" s="1"/>
      </tp>
      <tp t="s">
        <v>27.75%</v>
        <stp/>
        <stp>IMPL_VOL</stp>
        <stp>.SPY250507C567</stp>
        <tr r="EL19" s="1"/>
      </tp>
      <tp t="s">
        <v>17.10%</v>
        <stp/>
        <stp>IMPL_VOL</stp>
        <stp>.SPY250509C569</stp>
        <tr r="EN17" s="1"/>
      </tp>
      <tp t="s">
        <v>16.13%</v>
        <stp/>
        <stp>IMPL_VOL</stp>
        <stp>.SPY250516C576</stp>
        <tr r="EP10" s="1"/>
      </tp>
      <tp t="s">
        <v>237.75%</v>
        <stp/>
        <stp>IMPL_VOL</stp>
        <stp>.SPY250507P567</stp>
        <tr r="EM19" s="1"/>
      </tp>
      <tp t="s">
        <v>37.15%</v>
        <stp/>
        <stp>IMPL_VOL</stp>
        <stp>.SPY250509P569</stp>
        <tr r="EO17" s="1"/>
      </tp>
      <tp t="s">
        <v>25.89%</v>
        <stp/>
        <stp>IMPL_VOL</stp>
        <stp>.SPY250516P576</stp>
        <tr r="EQ10" s="1"/>
      </tp>
      <tp t="s">
        <v>18.54%</v>
        <stp/>
        <stp>IMPL_VOL</stp>
        <stp>.SPY250507C566</stp>
        <tr r="EL20" s="1"/>
      </tp>
      <tp t="s">
        <v>16.92%</v>
        <stp/>
        <stp>IMPL_VOL</stp>
        <stp>.SPY250509C568</stp>
        <tr r="EN18" s="1"/>
      </tp>
      <tp t="s">
        <v>16.08%</v>
        <stp/>
        <stp>IMPL_VOL</stp>
        <stp>.SPY250516C577</stp>
        <tr r="EP9" s="1"/>
      </tp>
      <tp t="s">
        <v>217.94%</v>
        <stp/>
        <stp>IMPL_VOL</stp>
        <stp>.SPY250507P566</stp>
        <tr r="EM20" s="1"/>
      </tp>
      <tp t="s">
        <v>36.19%</v>
        <stp/>
        <stp>IMPL_VOL</stp>
        <stp>.SPY250509P568</stp>
        <tr r="EO18" s="1"/>
      </tp>
      <tp t="s">
        <v>26.19%</v>
        <stp/>
        <stp>IMPL_VOL</stp>
        <stp>.SPY250516P577</stp>
        <tr r="EQ9" s="1"/>
      </tp>
      <tp t="s">
        <v>8.62%</v>
        <stp/>
        <stp>IMPL_VOL</stp>
        <stp>.SPY250507C565</stp>
        <tr r="EL21" s="1"/>
      </tp>
      <tp t="s">
        <v>16.26%</v>
        <stp/>
        <stp>IMPL_VOL</stp>
        <stp>.SPY250516C574</stp>
        <tr r="EP12" s="1"/>
      </tp>
      <tp t="s">
        <v>193.66%</v>
        <stp/>
        <stp>IMPL_VOL</stp>
        <stp>.SPY250507P565</stp>
        <tr r="EM21" s="1"/>
      </tp>
      <tp t="s">
        <v>25.41%</v>
        <stp/>
        <stp>IMPL_VOL</stp>
        <stp>.SPY250516P574</stp>
        <tr r="EQ12" s="1"/>
      </tp>
      <tp t="s">
        <v>--</v>
        <stp/>
        <stp>IMPL_VOL</stp>
        <stp>.SPY250507C564</stp>
        <tr r="EL22" s="1"/>
      </tp>
      <tp t="s">
        <v>16.24%</v>
        <stp/>
        <stp>IMPL_VOL</stp>
        <stp>.SPY250516C575</stp>
        <tr r="EP11" s="1"/>
      </tp>
      <tp t="s">
        <v>160.17%</v>
        <stp/>
        <stp>IMPL_VOL</stp>
        <stp>.SPY250507P564</stp>
        <tr r="EM22" s="1"/>
      </tp>
      <tp t="s">
        <v>25.64%</v>
        <stp/>
        <stp>IMPL_VOL</stp>
        <stp>.SPY250516P575</stp>
        <tr r="EQ11" s="1"/>
      </tp>
      <tp t="s">
        <v>--</v>
        <stp/>
        <stp>IMPL_VOL</stp>
        <stp>.SPY250507C563</stp>
        <tr r="EL23" s="1"/>
      </tp>
      <tp t="s">
        <v>16.42%</v>
        <stp/>
        <stp>IMPL_VOL</stp>
        <stp>.SPY250516C572</stp>
        <tr r="EP14" s="1"/>
      </tp>
      <tp t="s">
        <v>127.85%</v>
        <stp/>
        <stp>IMPL_VOL</stp>
        <stp>.SPY250507P563</stp>
        <tr r="EM23" s="1"/>
      </tp>
      <tp t="s">
        <v>25.06%</v>
        <stp/>
        <stp>IMPL_VOL</stp>
        <stp>.SPY250516P572</stp>
        <tr r="EQ14" s="1"/>
      </tp>
      <tp t="s">
        <v>--</v>
        <stp/>
        <stp>IMPL_VOL</stp>
        <stp>.SPY250507C562</stp>
        <tr r="EL24" s="1"/>
      </tp>
      <tp t="s">
        <v>16.34%</v>
        <stp/>
        <stp>IMPL_VOL</stp>
        <stp>.SPY250516C573</stp>
        <tr r="EP13" s="1"/>
      </tp>
      <tp t="s">
        <v>88.84%</v>
        <stp/>
        <stp>IMPL_VOL</stp>
        <stp>.SPY250507P562</stp>
        <tr r="EM24" s="1"/>
      </tp>
      <tp t="s">
        <v>25.23%</v>
        <stp/>
        <stp>IMPL_VOL</stp>
        <stp>.SPY250516P573</stp>
        <tr r="EQ13" s="1"/>
      </tp>
      <tp t="s">
        <v>--</v>
        <stp/>
        <stp>IMPL_VOL</stp>
        <stp>.SPY250507C561</stp>
        <tr r="EL25" s="1"/>
      </tp>
      <tp t="s">
        <v>16.58%</v>
        <stp/>
        <stp>IMPL_VOL</stp>
        <stp>.SPY250516C570</stp>
        <tr r="EP16" s="1"/>
      </tp>
      <tp t="s">
        <v>56.42%</v>
        <stp/>
        <stp>IMPL_VOL</stp>
        <stp>.SPY250507P561</stp>
        <tr r="EM25" s="1"/>
      </tp>
      <tp t="s">
        <v>24.86%</v>
        <stp/>
        <stp>IMPL_VOL</stp>
        <stp>.SPY250516P570</stp>
        <tr r="EQ16" s="1"/>
      </tp>
      <tp t="s">
        <v>--</v>
        <stp/>
        <stp>IMPL_VOL</stp>
        <stp>.SPY250507C560</stp>
        <tr r="EL26" s="1"/>
      </tp>
      <tp t="s">
        <v>16.49%</v>
        <stp/>
        <stp>IMPL_VOL</stp>
        <stp>.SPY250516C571</stp>
        <tr r="EP15" s="1"/>
      </tp>
      <tp t="s">
        <v>49.55%</v>
        <stp/>
        <stp>IMPL_VOL</stp>
        <stp>.SPY250507P560</stp>
        <tr r="EM26" s="1"/>
      </tp>
      <tp t="s">
        <v>24.94%</v>
        <stp/>
        <stp>IMPL_VOL</stp>
        <stp>.SPY250516P571</stp>
        <tr r="EQ15" s="1"/>
      </tp>
      <tp t="s">
        <v>13.08%</v>
        <stp/>
        <stp>IMPL_VOL</stp>
        <stp>.SPY250509C561</stp>
        <tr r="EN25" s="1"/>
      </tp>
      <tp t="s">
        <v>32.68%</v>
        <stp/>
        <stp>IMPL_VOL</stp>
        <stp>.SPY250509P561</stp>
        <tr r="EO25" s="1"/>
      </tp>
      <tp t="s">
        <v>11.22%</v>
        <stp/>
        <stp>IMPL_VOL</stp>
        <stp>.SPY250509C560</stp>
        <tr r="EN26" s="1"/>
      </tp>
      <tp t="s">
        <v>32.49%</v>
        <stp/>
        <stp>IMPL_VOL</stp>
        <stp>.SPY250509P560</stp>
        <tr r="EO26" s="1"/>
      </tp>
      <tp t="s">
        <v>15.07%</v>
        <stp/>
        <stp>IMPL_VOL</stp>
        <stp>.SPY250509C563</stp>
        <tr r="EN23" s="1"/>
      </tp>
      <tp t="s">
        <v>33.22%</v>
        <stp/>
        <stp>IMPL_VOL</stp>
        <stp>.SPY250509P563</stp>
        <tr r="EO23" s="1"/>
      </tp>
      <tp t="s">
        <v>14.28%</v>
        <stp/>
        <stp>IMPL_VOL</stp>
        <stp>.SPY250509C562</stp>
        <tr r="EN24" s="1"/>
      </tp>
      <tp t="s">
        <v>32.92%</v>
        <stp/>
        <stp>IMPL_VOL</stp>
        <stp>.SPY250509P562</stp>
        <tr r="EO24" s="1"/>
      </tp>
      <tp t="s">
        <v>16.12%</v>
        <stp/>
        <stp>IMPL_VOL</stp>
        <stp>.SPY250509C565</stp>
        <tr r="EN21" s="1"/>
      </tp>
      <tp t="s">
        <v>34.07%</v>
        <stp/>
        <stp>IMPL_VOL</stp>
        <stp>.SPY250509P565</stp>
        <tr r="EO21" s="1"/>
      </tp>
      <tp t="s">
        <v>15.69%</v>
        <stp/>
        <stp>IMPL_VOL</stp>
        <stp>.SPY250509C564</stp>
        <tr r="EN22" s="1"/>
      </tp>
      <tp t="s">
        <v>33.60%</v>
        <stp/>
        <stp>IMPL_VOL</stp>
        <stp>.SPY250509P564</stp>
        <tr r="EO22" s="1"/>
      </tp>
      <tp t="s">
        <v>45.14%</v>
        <stp/>
        <stp>IMPL_VOL</stp>
        <stp>.SPY250507C569</stp>
        <tr r="EL17" s="1"/>
      </tp>
      <tp t="s">
        <v>16.73%</v>
        <stp/>
        <stp>IMPL_VOL</stp>
        <stp>.SPY250509C567</stp>
        <tr r="EN19" s="1"/>
      </tp>
      <tp t="s">
        <v>16.02%</v>
        <stp/>
        <stp>IMPL_VOL</stp>
        <stp>.SPY250516C578</stp>
        <tr r="EP8" s="1"/>
      </tp>
      <tp t="s">
        <v>282.07%</v>
        <stp/>
        <stp>IMPL_VOL</stp>
        <stp>.SPY250507P569</stp>
        <tr r="EM17" s="1"/>
      </tp>
      <tp t="s">
        <v>35.35%</v>
        <stp/>
        <stp>IMPL_VOL</stp>
        <stp>.SPY250509P567</stp>
        <tr r="EO19" s="1"/>
      </tp>
      <tp t="s">
        <v>26.53%</v>
        <stp/>
        <stp>IMPL_VOL</stp>
        <stp>.SPY250516P578</stp>
        <tr r="EQ8" s="1"/>
      </tp>
      <tp t="s">
        <v>36.57%</v>
        <stp/>
        <stp>IMPL_VOL</stp>
        <stp>.SPY250507C568</stp>
        <tr r="EL18" s="1"/>
      </tp>
      <tp t="s">
        <v>16.45%</v>
        <stp/>
        <stp>IMPL_VOL</stp>
        <stp>.SPY250509C566</stp>
        <tr r="EN20" s="1"/>
      </tp>
      <tp t="s">
        <v>15.96%</v>
        <stp/>
        <stp>IMPL_VOL</stp>
        <stp>.SPY250516C579</stp>
        <tr r="EP7" s="1"/>
      </tp>
      <tp t="s">
        <v>261.03%</v>
        <stp/>
        <stp>IMPL_VOL</stp>
        <stp>.SPY250507P568</stp>
        <tr r="EM18" s="1"/>
      </tp>
      <tp t="s">
        <v>34.64%</v>
        <stp/>
        <stp>IMPL_VOL</stp>
        <stp>.SPY250509P566</stp>
        <tr r="EO20" s="1"/>
      </tp>
      <tp t="s">
        <v>26.89%</v>
        <stp/>
        <stp>IMPL_VOL</stp>
        <stp>.SPY250516P579</stp>
        <tr r="EQ7" s="1"/>
      </tp>
      <tp>
        <v>30</v>
        <stp/>
        <stp>OPEN_INT</stp>
        <stp>.NDX250516C19550</stp>
        <tr r="AW173" s="1"/>
        <tr r="AW173" s="1"/>
      </tp>
      <tp t="s">
        <v>108.93%</v>
        <stp/>
        <stp>IMPL_VOL</stp>
        <stp>.SPY250507C577</stp>
        <tr r="EL9" s="1"/>
      </tp>
      <tp t="s">
        <v>19.14%</v>
        <stp/>
        <stp>IMPL_VOL</stp>
        <stp>.SPY250509C579</stp>
        <tr r="EN7" s="1"/>
      </tp>
      <tp t="s">
        <v>16.85%</v>
        <stp/>
        <stp>IMPL_VOL</stp>
        <stp>.SPY250516C566</stp>
        <tr r="EP20" s="1"/>
      </tp>
      <tp t="s">
        <v>447.31%</v>
        <stp/>
        <stp>IMPL_VOL</stp>
        <stp>.SPY250507P577</stp>
        <tr r="EM9" s="1"/>
      </tp>
      <tp t="s">
        <v>55.43%</v>
        <stp/>
        <stp>IMPL_VOL</stp>
        <stp>.SPY250509P579</stp>
        <tr r="EO7" s="1"/>
      </tp>
      <tp t="s">
        <v>24.75%</v>
        <stp/>
        <stp>IMPL_VOL</stp>
        <stp>.SPY250516P566</stp>
        <tr r="EQ20" s="1"/>
      </tp>
      <tp t="s">
        <v>101.27%</v>
        <stp/>
        <stp>IMPL_VOL</stp>
        <stp>.SPY250507C576</stp>
        <tr r="EL10" s="1"/>
      </tp>
      <tp t="s">
        <v>18.80%</v>
        <stp/>
        <stp>IMPL_VOL</stp>
        <stp>.SPY250509C578</stp>
        <tr r="EN8" s="1"/>
      </tp>
      <tp t="s">
        <v>16.78%</v>
        <stp/>
        <stp>IMPL_VOL</stp>
        <stp>.SPY250516C567</stp>
        <tr r="EP19" s="1"/>
      </tp>
      <tp t="s">
        <v>429.77%</v>
        <stp/>
        <stp>IMPL_VOL</stp>
        <stp>.SPY250507P576</stp>
        <tr r="EM10" s="1"/>
      </tp>
      <tp t="s">
        <v>53.57%</v>
        <stp/>
        <stp>IMPL_VOL</stp>
        <stp>.SPY250509P578</stp>
        <tr r="EO8" s="1"/>
      </tp>
      <tp t="s">
        <v>24.74%</v>
        <stp/>
        <stp>IMPL_VOL</stp>
        <stp>.SPY250516P567</stp>
        <tr r="EQ19" s="1"/>
      </tp>
      <tp t="s">
        <v>93.53%</v>
        <stp/>
        <stp>IMPL_VOL</stp>
        <stp>.SPY250507C575</stp>
        <tr r="EL11" s="1"/>
      </tp>
      <tp t="s">
        <v>16.91%</v>
        <stp/>
        <stp>IMPL_VOL</stp>
        <stp>.SPY250516C564</stp>
        <tr r="EP22" s="1"/>
      </tp>
      <tp t="s">
        <v>412.92%</v>
        <stp/>
        <stp>IMPL_VOL</stp>
        <stp>.SPY250507P575</stp>
        <tr r="EM11" s="1"/>
      </tp>
      <tp t="s">
        <v>24.82%</v>
        <stp/>
        <stp>IMPL_VOL</stp>
        <stp>.SPY250516P564</stp>
        <tr r="EQ22" s="1"/>
      </tp>
      <tp t="s">
        <v>85.73%</v>
        <stp/>
        <stp>IMPL_VOL</stp>
        <stp>.SPY250507C574</stp>
        <tr r="EL12" s="1"/>
      </tp>
      <tp t="s">
        <v>16.88%</v>
        <stp/>
        <stp>IMPL_VOL</stp>
        <stp>.SPY250516C565</stp>
        <tr r="EP21" s="1"/>
      </tp>
      <tp t="s">
        <v>391.54%</v>
        <stp/>
        <stp>IMPL_VOL</stp>
        <stp>.SPY250507P574</stp>
        <tr r="EM12" s="1"/>
      </tp>
      <tp t="s">
        <v>24.77%</v>
        <stp/>
        <stp>IMPL_VOL</stp>
        <stp>.SPY250516P565</stp>
        <tr r="EQ21" s="1"/>
      </tp>
      <tp t="s">
        <v>77.83%</v>
        <stp/>
        <stp>IMPL_VOL</stp>
        <stp>.SPY250507C573</stp>
        <tr r="EL13" s="1"/>
      </tp>
      <tp t="s">
        <v>16.98%</v>
        <stp/>
        <stp>IMPL_VOL</stp>
        <stp>.SPY250516C562</stp>
        <tr r="EP24" s="1"/>
      </tp>
      <tp t="s">
        <v>372.87%</v>
        <stp/>
        <stp>IMPL_VOL</stp>
        <stp>.SPY250507P573</stp>
        <tr r="EM13" s="1"/>
      </tp>
      <tp t="s">
        <v>24.94%</v>
        <stp/>
        <stp>IMPL_VOL</stp>
        <stp>.SPY250516P562</stp>
        <tr r="EQ24" s="1"/>
      </tp>
      <tp t="s">
        <v>69.84%</v>
        <stp/>
        <stp>IMPL_VOL</stp>
        <stp>.SPY250507C572</stp>
        <tr r="EL14" s="1"/>
      </tp>
      <tp t="s">
        <v>16.96%</v>
        <stp/>
        <stp>IMPL_VOL</stp>
        <stp>.SPY250516C563</stp>
        <tr r="EP23" s="1"/>
      </tp>
      <tp t="s">
        <v>354.71%</v>
        <stp/>
        <stp>IMPL_VOL</stp>
        <stp>.SPY250507P572</stp>
        <tr r="EM14" s="1"/>
      </tp>
      <tp t="s">
        <v>24.86%</v>
        <stp/>
        <stp>IMPL_VOL</stp>
        <stp>.SPY250516P563</stp>
        <tr r="EQ23" s="1"/>
      </tp>
      <tp t="s">
        <v>61.75%</v>
        <stp/>
        <stp>IMPL_VOL</stp>
        <stp>.SPY250507C571</stp>
        <tr r="EL15" s="1"/>
      </tp>
      <tp t="s">
        <v>16.96%</v>
        <stp/>
        <stp>IMPL_VOL</stp>
        <stp>.SPY250516C560</stp>
        <tr r="EP26" s="1"/>
      </tp>
      <tp t="s">
        <v>324.89%</v>
        <stp/>
        <stp>IMPL_VOL</stp>
        <stp>.SPY250507P571</stp>
        <tr r="EM15" s="1"/>
      </tp>
      <tp t="s">
        <v>25.10%</v>
        <stp/>
        <stp>IMPL_VOL</stp>
        <stp>.SPY250516P560</stp>
        <tr r="EQ26" s="1"/>
      </tp>
      <tp t="s">
        <v>53.52%</v>
        <stp/>
        <stp>IMPL_VOL</stp>
        <stp>.SPY250507C570</stp>
        <tr r="EL16" s="1"/>
      </tp>
      <tp t="s">
        <v>16.97%</v>
        <stp/>
        <stp>IMPL_VOL</stp>
        <stp>.SPY250516C561</stp>
        <tr r="EP25" s="1"/>
      </tp>
      <tp t="s">
        <v>311.18%</v>
        <stp/>
        <stp>IMPL_VOL</stp>
        <stp>.SPY250507P570</stp>
        <tr r="EM16" s="1"/>
      </tp>
      <tp t="s">
        <v>25.01%</v>
        <stp/>
        <stp>IMPL_VOL</stp>
        <stp>.SPY250516P561</stp>
        <tr r="EQ25" s="1"/>
      </tp>
      <tp t="s">
        <v>17.31%</v>
        <stp/>
        <stp>IMPL_VOL</stp>
        <stp>.SPY250509C571</stp>
        <tr r="EN15" s="1"/>
      </tp>
      <tp t="s">
        <v>39.52%</v>
        <stp/>
        <stp>IMPL_VOL</stp>
        <stp>.SPY250509P571</stp>
        <tr r="EO15" s="1"/>
      </tp>
      <tp t="s">
        <v>17.20%</v>
        <stp/>
        <stp>IMPL_VOL</stp>
        <stp>.SPY250509C570</stp>
        <tr r="EN16" s="1"/>
      </tp>
      <tp t="s">
        <v>38.28%</v>
        <stp/>
        <stp>IMPL_VOL</stp>
        <stp>.SPY250509P570</stp>
        <tr r="EO16" s="1"/>
      </tp>
      <tp t="s">
        <v>17.61%</v>
        <stp/>
        <stp>IMPL_VOL</stp>
        <stp>.SPY250509C573</stp>
        <tr r="EN13" s="1"/>
      </tp>
      <tp t="s">
        <v>42.48%</v>
        <stp/>
        <stp>IMPL_VOL</stp>
        <stp>.SPY250509P573</stp>
        <tr r="EO13" s="1"/>
      </tp>
      <tp t="s">
        <v>17.44%</v>
        <stp/>
        <stp>IMPL_VOL</stp>
        <stp>.SPY250509C572</stp>
        <tr r="EN14" s="1"/>
      </tp>
      <tp t="s">
        <v>40.92%</v>
        <stp/>
        <stp>IMPL_VOL</stp>
        <stp>.SPY250509P572</stp>
        <tr r="EO14" s="1"/>
      </tp>
      <tp t="s">
        <v>17.99%</v>
        <stp/>
        <stp>IMPL_VOL</stp>
        <stp>.SPY250509C575</stp>
        <tr r="EN11" s="1"/>
      </tp>
      <tp t="s">
        <v>45.76%</v>
        <stp/>
        <stp>IMPL_VOL</stp>
        <stp>.SPY250509P575</stp>
        <tr r="EO11" s="1"/>
      </tp>
      <tp t="s">
        <v>17.82%</v>
        <stp/>
        <stp>IMPL_VOL</stp>
        <stp>.SPY250509C574</stp>
        <tr r="EN12" s="1"/>
      </tp>
      <tp t="s">
        <v>44.08%</v>
        <stp/>
        <stp>IMPL_VOL</stp>
        <stp>.SPY250509P574</stp>
        <tr r="EO12" s="1"/>
      </tp>
      <tp t="s">
        <v>124.06%</v>
        <stp/>
        <stp>IMPL_VOL</stp>
        <stp>.SPY250507C579</stp>
        <tr r="EL7" s="1"/>
      </tp>
      <tp t="s">
        <v>18.44%</v>
        <stp/>
        <stp>IMPL_VOL</stp>
        <stp>.SPY250509C577</stp>
        <tr r="EN9" s="1"/>
      </tp>
      <tp t="s">
        <v>16.73%</v>
        <stp/>
        <stp>IMPL_VOL</stp>
        <stp>.SPY250516C568</stp>
        <tr r="EP18" s="1"/>
      </tp>
      <tp t="s">
        <v>485.16%</v>
        <stp/>
        <stp>IMPL_VOL</stp>
        <stp>.SPY250507P579</stp>
        <tr r="EM7" s="1"/>
      </tp>
      <tp t="s">
        <v>49.32%</v>
        <stp/>
        <stp>IMPL_VOL</stp>
        <stp>.SPY250509P577</stp>
        <tr r="EO9" s="1"/>
      </tp>
      <tp t="s">
        <v>24.76%</v>
        <stp/>
        <stp>IMPL_VOL</stp>
        <stp>.SPY250516P568</stp>
        <tr r="EQ18" s="1"/>
      </tp>
      <tp t="s">
        <v>116.52%</v>
        <stp/>
        <stp>IMPL_VOL</stp>
        <stp>.SPY250507C578</stp>
        <tr r="EL8" s="1"/>
      </tp>
      <tp t="s">
        <v>18.16%</v>
        <stp/>
        <stp>IMPL_VOL</stp>
        <stp>.SPY250509C576</stp>
        <tr r="EN10" s="1"/>
      </tp>
      <tp t="s">
        <v>16.65%</v>
        <stp/>
        <stp>IMPL_VOL</stp>
        <stp>.SPY250516C569</stp>
        <tr r="EP17" s="1"/>
      </tp>
      <tp t="s">
        <v>466.00%</v>
        <stp/>
        <stp>IMPL_VOL</stp>
        <stp>.SPY250507P578</stp>
        <tr r="EM8" s="1"/>
      </tp>
      <tp t="s">
        <v>47.51%</v>
        <stp/>
        <stp>IMPL_VOL</stp>
        <stp>.SPY250509P576</stp>
        <tr r="EO10" s="1"/>
      </tp>
      <tp t="s">
        <v>24.79%</v>
        <stp/>
        <stp>IMPL_VOL</stp>
        <stp>.SPY250516P569</stp>
        <tr r="EQ17" s="1"/>
      </tp>
      <tp t="s">
        <v>146.35%</v>
        <stp/>
        <stp>IMPL_VOL</stp>
        <stp>.SPY250507C582</stp>
        <tr r="EL4" s="1"/>
      </tp>
      <tp t="s">
        <v>536.42%</v>
        <stp/>
        <stp>IMPL_VOL</stp>
        <stp>.SPY250507P582</stp>
        <tr r="EM4" s="1"/>
      </tp>
      <tp t="s">
        <v>138.97%</v>
        <stp/>
        <stp>IMPL_VOL</stp>
        <stp>.SPY250507C581</stp>
        <tr r="EL5" s="1"/>
      </tp>
      <tp t="s">
        <v>517.53%</v>
        <stp/>
        <stp>IMPL_VOL</stp>
        <stp>.SPY250507P581</stp>
        <tr r="EM5" s="1"/>
      </tp>
      <tp t="s">
        <v>131.54%</v>
        <stp/>
        <stp>IMPL_VOL</stp>
        <stp>.SPY250507C580</stp>
        <tr r="EL6" s="1"/>
      </tp>
      <tp t="s">
        <v>497.71%</v>
        <stp/>
        <stp>IMPL_VOL</stp>
        <stp>.SPY250507P580</stp>
        <tr r="EM6" s="1"/>
      </tp>
      <tp t="s">
        <v>19.73%</v>
        <stp/>
        <stp>IMPL_VOL</stp>
        <stp>.SPY250509C581</stp>
        <tr r="EN5" s="1"/>
      </tp>
      <tp t="s">
        <v>57.69%</v>
        <stp/>
        <stp>IMPL_VOL</stp>
        <stp>.SPY250509P581</stp>
        <tr r="EO5" s="1"/>
      </tp>
      <tp t="s">
        <v>19.26%</v>
        <stp/>
        <stp>IMPL_VOL</stp>
        <stp>.SPY250509C580</stp>
        <tr r="EN6" s="1"/>
      </tp>
      <tp t="s">
        <v>55.67%</v>
        <stp/>
        <stp>IMPL_VOL</stp>
        <stp>.SPY250509P580</stp>
        <tr r="EO6" s="1"/>
      </tp>
      <tp t="s">
        <v>20.73%</v>
        <stp/>
        <stp>IMPL_VOL</stp>
        <stp>.SPY250509C582</stp>
        <tr r="EN4" s="1"/>
      </tp>
      <tp t="s">
        <v>58.21%</v>
        <stp/>
        <stp>IMPL_VOL</stp>
        <stp>.SPY250509P582</stp>
        <tr r="EO4" s="1"/>
      </tp>
      <tp t="s">
        <v>15.82%</v>
        <stp/>
        <stp>IMPL_VOL</stp>
        <stp>.SPY250516C582</stp>
        <tr r="EP4" s="1"/>
      </tp>
      <tp t="s">
        <v>28.27%</v>
        <stp/>
        <stp>IMPL_VOL</stp>
        <stp>.SPY250516P582</stp>
        <tr r="EQ4" s="1"/>
      </tp>
      <tp t="s">
        <v>15.94%</v>
        <stp/>
        <stp>IMPL_VOL</stp>
        <stp>.SPY250516C580</stp>
        <tr r="EP6" s="1"/>
      </tp>
      <tp t="s">
        <v>27.32%</v>
        <stp/>
        <stp>IMPL_VOL</stp>
        <stp>.SPY250516P580</stp>
        <tr r="EQ6" s="1"/>
      </tp>
      <tp t="s">
        <v>15.85%</v>
        <stp/>
        <stp>IMPL_VOL</stp>
        <stp>.SPY250516C581</stp>
        <tr r="EP5" s="1"/>
      </tp>
      <tp t="s">
        <v>27.78%</v>
        <stp/>
        <stp>IMPL_VOL</stp>
        <stp>.SPY250516P581</stp>
        <tr r="EQ5" s="1"/>
      </tp>
      <tp>
        <v>0</v>
        <stp/>
        <stp>BID</stp>
        <stp>.QQQ250507C501</stp>
        <tr r="DE46" s="1"/>
        <tr r="DE46" s="1"/>
      </tp>
      <tp>
        <v>15.44</v>
        <stp/>
        <stp>BID</stp>
        <stp>.QQQ250507P501</stp>
        <tr r="DF46" s="1"/>
        <tr r="DF46" s="1"/>
      </tp>
      <tp>
        <v>0</v>
        <stp/>
        <stp>BID</stp>
        <stp>.QQQ250507C500</stp>
        <tr r="DE47" s="1"/>
        <tr r="DE47" s="1"/>
      </tp>
      <tp>
        <v>14.44</v>
        <stp/>
        <stp>BID</stp>
        <stp>.QQQ250507P500</stp>
        <tr r="DF47" s="1"/>
        <tr r="DF47" s="1"/>
      </tp>
      <tp>
        <v>0</v>
        <stp/>
        <stp>BID</stp>
        <stp>.QQQ250507C502</stp>
        <tr r="DE45" s="1"/>
        <tr r="DE45" s="1"/>
      </tp>
      <tp>
        <v>16.440000000000001</v>
        <stp/>
        <stp>BID</stp>
        <stp>.QQQ250507P502</stp>
        <tr r="DF45" s="1"/>
        <tr r="DF45" s="1"/>
      </tp>
      <tp>
        <v>0.01</v>
        <stp/>
        <stp>ASK</stp>
        <stp>.QQQ250507C502</stp>
        <tr r="DC45" s="1"/>
        <tr r="DC45" s="1"/>
      </tp>
      <tp>
        <v>20.100000000000001</v>
        <stp/>
        <stp>ASK</stp>
        <stp>.QQQ250507P502</stp>
        <tr r="DD45" s="1"/>
        <tr r="DD45" s="1"/>
      </tp>
      <tp>
        <v>0.01</v>
        <stp/>
        <stp>ASK</stp>
        <stp>.QQQ250507C501</stp>
        <tr r="DC46" s="1"/>
        <tr r="DC46" s="1"/>
      </tp>
      <tp>
        <v>19.100000000000001</v>
        <stp/>
        <stp>ASK</stp>
        <stp>.QQQ250507P501</stp>
        <tr r="DD46" s="1"/>
        <tr r="DD46" s="1"/>
      </tp>
      <tp>
        <v>0.01</v>
        <stp/>
        <stp>ASK</stp>
        <stp>.QQQ250507C500</stp>
        <tr r="DC47" s="1"/>
        <tr r="DC47" s="1"/>
      </tp>
      <tp>
        <v>18.14</v>
        <stp/>
        <stp>ASK</stp>
        <stp>.QQQ250507P500</stp>
        <tr r="DD47" s="1"/>
        <tr r="DD47" s="1"/>
      </tp>
      <tp>
        <v>95</v>
        <stp/>
        <stp>OPEN_INT</stp>
        <stp>.NDX250516P20400</stp>
        <tr r="AX139" s="1"/>
        <tr r="AX139" s="1"/>
      </tp>
      <tp>
        <v>63</v>
        <stp/>
        <stp>OPEN_INT</stp>
        <stp>.NDX250516P19400</stp>
        <tr r="AX179" s="1"/>
        <tr r="AX179" s="1"/>
      </tp>
      <tp>
        <v>44</v>
        <stp/>
        <stp>OPEN_INT</stp>
        <stp>.NDX250516P20425</stp>
        <tr r="AX138" s="1"/>
        <tr r="AX138" s="1"/>
      </tp>
      <tp>
        <v>25</v>
        <stp/>
        <stp>OPEN_INT</stp>
        <stp>.NDX250516P19425</stp>
        <tr r="AX178" s="1"/>
        <tr r="AX178" s="1"/>
      </tp>
      <tp>
        <v>5</v>
        <stp/>
        <stp>OPEN_INT</stp>
        <stp>.NDX250516P20450</stp>
        <tr r="AX137" s="1"/>
        <tr r="AX137" s="1"/>
      </tp>
      <tp>
        <v>10</v>
        <stp/>
        <stp>OPEN_INT</stp>
        <stp>.NDX250516P19450</stp>
        <tr r="AX177" s="1"/>
        <tr r="AX177" s="1"/>
      </tp>
      <tp>
        <v>29</v>
        <stp/>
        <stp>OPEN_INT</stp>
        <stp>.NDX250516P19475</stp>
        <tr r="AX176" s="1"/>
        <tr r="AX176" s="1"/>
      </tp>
      <tp>
        <v>20</v>
        <stp/>
        <stp>OPEN_INT</stp>
        <stp>.NDX250516C20425</stp>
        <tr r="AW138" s="1"/>
        <tr r="AW138" s="1"/>
      </tp>
      <tp>
        <v>33</v>
        <stp/>
        <stp>OPEN_INT</stp>
        <stp>.NDX250516C19425</stp>
        <tr r="AW178" s="1"/>
        <tr r="AW178" s="1"/>
      </tp>
      <tp>
        <v>69</v>
        <stp/>
        <stp>OPEN_INT</stp>
        <stp>.NDX250516C20400</stp>
        <tr r="AW139" s="1"/>
        <tr r="AW139" s="1"/>
      </tp>
      <tp>
        <v>43</v>
        <stp/>
        <stp>OPEN_INT</stp>
        <stp>.NDX250516C19400</stp>
        <tr r="AW179" s="1"/>
        <tr r="AW179" s="1"/>
      </tp>
      <tp>
        <v>257</v>
        <stp/>
        <stp>OPEN_INT</stp>
        <stp>.NDX250516C19475</stp>
        <tr r="AW176" s="1"/>
        <tr r="AW176" s="1"/>
      </tp>
      <tp>
        <v>16</v>
        <stp/>
        <stp>OPEN_INT</stp>
        <stp>.NDX250516C20450</stp>
        <tr r="AW137" s="1"/>
        <tr r="AW137" s="1"/>
      </tp>
      <tp>
        <v>25</v>
        <stp/>
        <stp>OPEN_INT</stp>
        <stp>.NDX250516C19450</stp>
        <tr r="AW177" s="1"/>
        <tr r="AW177" s="1"/>
      </tp>
      <tp>
        <v>16.559999999999999</v>
        <stp/>
        <stp>ASK</stp>
        <stp>.QQQ250507C469</stp>
        <tr r="DC78" s="1"/>
        <tr r="DC78" s="1"/>
      </tp>
      <tp>
        <v>0.01</v>
        <stp/>
        <stp>ASK</stp>
        <stp>.QQQ250507P469</stp>
        <tr r="DD78" s="1"/>
        <tr r="DD78" s="1"/>
      </tp>
      <tp>
        <v>17.559999999999999</v>
        <stp/>
        <stp>ASK</stp>
        <stp>.QQQ250507C468</stp>
        <tr r="DC79" s="1"/>
        <tr r="DC79" s="1"/>
      </tp>
      <tp>
        <v>0.01</v>
        <stp/>
        <stp>ASK</stp>
        <stp>.QQQ250507P468</stp>
        <tr r="DD79" s="1"/>
        <tr r="DD79" s="1"/>
      </tp>
      <tp>
        <v>8.5299999999999994</v>
        <stp/>
        <stp>ASK</stp>
        <stp>.QQQ250507C477</stp>
        <tr r="DC70" s="1"/>
        <tr r="DC70" s="1"/>
      </tp>
      <tp>
        <v>0.01</v>
        <stp/>
        <stp>ASK</stp>
        <stp>.QQQ250507P477</stp>
        <tr r="DD70" s="1"/>
        <tr r="DD70" s="1"/>
      </tp>
      <tp>
        <v>9.56</v>
        <stp/>
        <stp>ASK</stp>
        <stp>.QQQ250507C476</stp>
        <tr r="DC71" s="1"/>
        <tr r="DC71" s="1"/>
      </tp>
      <tp>
        <v>0.01</v>
        <stp/>
        <stp>ASK</stp>
        <stp>.QQQ250507P476</stp>
        <tr r="DD71" s="1"/>
        <tr r="DD71" s="1"/>
      </tp>
      <tp>
        <v>10.44</v>
        <stp/>
        <stp>ASK</stp>
        <stp>.QQQ250507C475</stp>
        <tr r="DC72" s="1"/>
        <tr r="DC72" s="1"/>
      </tp>
      <tp>
        <v>0.01</v>
        <stp/>
        <stp>ASK</stp>
        <stp>.QQQ250507P475</stp>
        <tr r="DD72" s="1"/>
        <tr r="DD72" s="1"/>
      </tp>
      <tp>
        <v>11.56</v>
        <stp/>
        <stp>ASK</stp>
        <stp>.QQQ250507C474</stp>
        <tr r="DC73" s="1"/>
        <tr r="DC73" s="1"/>
      </tp>
      <tp>
        <v>0.01</v>
        <stp/>
        <stp>ASK</stp>
        <stp>.QQQ250507P474</stp>
        <tr r="DD73" s="1"/>
        <tr r="DD73" s="1"/>
      </tp>
      <tp>
        <v>12.56</v>
        <stp/>
        <stp>ASK</stp>
        <stp>.QQQ250507C473</stp>
        <tr r="DC74" s="1"/>
        <tr r="DC74" s="1"/>
      </tp>
      <tp>
        <v>0.01</v>
        <stp/>
        <stp>ASK</stp>
        <stp>.QQQ250507P473</stp>
        <tr r="DD74" s="1"/>
        <tr r="DD74" s="1"/>
      </tp>
      <tp>
        <v>13.56</v>
        <stp/>
        <stp>ASK</stp>
        <stp>.QQQ250507C472</stp>
        <tr r="DC75" s="1"/>
        <tr r="DC75" s="1"/>
      </tp>
      <tp>
        <v>0.01</v>
        <stp/>
        <stp>ASK</stp>
        <stp>.QQQ250507P472</stp>
        <tr r="DD75" s="1"/>
        <tr r="DD75" s="1"/>
      </tp>
      <tp>
        <v>14.56</v>
        <stp/>
        <stp>ASK</stp>
        <stp>.QQQ250507C471</stp>
        <tr r="DC76" s="1"/>
        <tr r="DC76" s="1"/>
      </tp>
      <tp>
        <v>0.01</v>
        <stp/>
        <stp>ASK</stp>
        <stp>.QQQ250507P471</stp>
        <tr r="DD76" s="1"/>
        <tr r="DD76" s="1"/>
      </tp>
      <tp>
        <v>15.56</v>
        <stp/>
        <stp>ASK</stp>
        <stp>.QQQ250507C470</stp>
        <tr r="DC77" s="1"/>
        <tr r="DC77" s="1"/>
      </tp>
      <tp>
        <v>0.01</v>
        <stp/>
        <stp>ASK</stp>
        <stp>.QQQ250507P470</stp>
        <tr r="DD77" s="1"/>
        <tr r="DD77" s="1"/>
      </tp>
      <tp>
        <v>6.64</v>
        <stp/>
        <stp>ASK</stp>
        <stp>.QQQ250507C479</stp>
        <tr r="DC68" s="1"/>
        <tr r="DC68" s="1"/>
      </tp>
      <tp>
        <v>0.01</v>
        <stp/>
        <stp>ASK</stp>
        <stp>.QQQ250507P479</stp>
        <tr r="DD68" s="1"/>
        <tr r="DD68" s="1"/>
      </tp>
      <tp>
        <v>7.52</v>
        <stp/>
        <stp>ASK</stp>
        <stp>.QQQ250507C478</stp>
        <tr r="DC69" s="1"/>
        <tr r="DC69" s="1"/>
      </tp>
      <tp>
        <v>0.01</v>
        <stp/>
        <stp>ASK</stp>
        <stp>.QQQ250507P478</stp>
        <tr r="DD69" s="1"/>
        <tr r="DD69" s="1"/>
      </tp>
      <tp>
        <v>3.54</v>
        <stp/>
        <stp>BID</stp>
        <stp>.QQQ250507C479</stp>
        <tr r="DE68" s="1"/>
        <tr r="DE68" s="1"/>
      </tp>
      <tp>
        <v>0</v>
        <stp/>
        <stp>BID</stp>
        <stp>.QQQ250507P479</stp>
        <tr r="DF68" s="1"/>
        <tr r="DF68" s="1"/>
      </tp>
      <tp>
        <v>4.54</v>
        <stp/>
        <stp>BID</stp>
        <stp>.QQQ250507C478</stp>
        <tr r="DE69" s="1"/>
        <tr r="DE69" s="1"/>
      </tp>
      <tp>
        <v>0</v>
        <stp/>
        <stp>BID</stp>
        <stp>.QQQ250507P478</stp>
        <tr r="DF69" s="1"/>
        <tr r="DF69" s="1"/>
      </tp>
      <tp>
        <v>7.55</v>
        <stp/>
        <stp>BID</stp>
        <stp>.QQQ250507C475</stp>
        <tr r="DE72" s="1"/>
        <tr r="DE72" s="1"/>
      </tp>
      <tp>
        <v>0</v>
        <stp/>
        <stp>BID</stp>
        <stp>.QQQ250507P475</stp>
        <tr r="DF72" s="1"/>
        <tr r="DF72" s="1"/>
      </tp>
      <tp>
        <v>8.5399999999999991</v>
        <stp/>
        <stp>BID</stp>
        <stp>.QQQ250507C474</stp>
        <tr r="DE73" s="1"/>
        <tr r="DE73" s="1"/>
      </tp>
      <tp>
        <v>0</v>
        <stp/>
        <stp>BID</stp>
        <stp>.QQQ250507P474</stp>
        <tr r="DF73" s="1"/>
        <tr r="DF73" s="1"/>
      </tp>
      <tp>
        <v>5.54</v>
        <stp/>
        <stp>BID</stp>
        <stp>.QQQ250507C477</stp>
        <tr r="DE70" s="1"/>
        <tr r="DE70" s="1"/>
      </tp>
      <tp>
        <v>0</v>
        <stp/>
        <stp>BID</stp>
        <stp>.QQQ250507P477</stp>
        <tr r="DF70" s="1"/>
        <tr r="DF70" s="1"/>
      </tp>
      <tp>
        <v>6.54</v>
        <stp/>
        <stp>BID</stp>
        <stp>.QQQ250507C476</stp>
        <tr r="DE71" s="1"/>
        <tr r="DE71" s="1"/>
      </tp>
      <tp>
        <v>0</v>
        <stp/>
        <stp>BID</stp>
        <stp>.QQQ250507P476</stp>
        <tr r="DF71" s="1"/>
        <tr r="DF71" s="1"/>
      </tp>
      <tp>
        <v>11.54</v>
        <stp/>
        <stp>BID</stp>
        <stp>.QQQ250507C471</stp>
        <tr r="DE76" s="1"/>
        <tr r="DE76" s="1"/>
      </tp>
      <tp>
        <v>0</v>
        <stp/>
        <stp>BID</stp>
        <stp>.QQQ250507P471</stp>
        <tr r="DF76" s="1"/>
        <tr r="DF76" s="1"/>
      </tp>
      <tp>
        <v>11.85</v>
        <stp/>
        <stp>BID</stp>
        <stp>.QQQ250507C470</stp>
        <tr r="DE77" s="1"/>
        <tr r="DE77" s="1"/>
      </tp>
      <tp>
        <v>0</v>
        <stp/>
        <stp>BID</stp>
        <stp>.QQQ250507P470</stp>
        <tr r="DF77" s="1"/>
        <tr r="DF77" s="1"/>
      </tp>
      <tp>
        <v>9.5399999999999991</v>
        <stp/>
        <stp>BID</stp>
        <stp>.QQQ250507C473</stp>
        <tr r="DE74" s="1"/>
        <tr r="DE74" s="1"/>
      </tp>
      <tp>
        <v>0</v>
        <stp/>
        <stp>BID</stp>
        <stp>.QQQ250507P473</stp>
        <tr r="DF74" s="1"/>
        <tr r="DF74" s="1"/>
      </tp>
      <tp>
        <v>10.54</v>
        <stp/>
        <stp>BID</stp>
        <stp>.QQQ250507C472</stp>
        <tr r="DE75" s="1"/>
        <tr r="DE75" s="1"/>
      </tp>
      <tp>
        <v>0</v>
        <stp/>
        <stp>BID</stp>
        <stp>.QQQ250507P472</stp>
        <tr r="DF75" s="1"/>
        <tr r="DF75" s="1"/>
      </tp>
      <tp>
        <v>12.66</v>
        <stp/>
        <stp>BID</stp>
        <stp>.QQQ250507C469</stp>
        <tr r="DE78" s="1"/>
        <tr r="DE78" s="1"/>
      </tp>
      <tp>
        <v>0</v>
        <stp/>
        <stp>BID</stp>
        <stp>.QQQ250507P469</stp>
        <tr r="DF78" s="1"/>
        <tr r="DF78" s="1"/>
      </tp>
      <tp>
        <v>14.01</v>
        <stp/>
        <stp>BID</stp>
        <stp>.QQQ250507C468</stp>
        <tr r="DE79" s="1"/>
        <tr r="DE79" s="1"/>
      </tp>
      <tp>
        <v>0</v>
        <stp/>
        <stp>BID</stp>
        <stp>.QQQ250507P468</stp>
        <tr r="DF79" s="1"/>
        <tr r="DF79" s="1"/>
      </tp>
      <tp>
        <v>0</v>
        <stp/>
        <stp>BID</stp>
        <stp>.QQQ250507C499</stp>
        <tr r="DE48" s="1"/>
        <tr r="DE48" s="1"/>
      </tp>
      <tp>
        <v>13.44</v>
        <stp/>
        <stp>BID</stp>
        <stp>.QQQ250507P499</stp>
        <tr r="DF48" s="1"/>
        <tr r="DF48" s="1"/>
      </tp>
      <tp>
        <v>0</v>
        <stp/>
        <stp>BID</stp>
        <stp>.QQQ250507C498</stp>
        <tr r="DE49" s="1"/>
        <tr r="DE49" s="1"/>
      </tp>
      <tp>
        <v>12.52</v>
        <stp/>
        <stp>BID</stp>
        <stp>.QQQ250507P498</stp>
        <tr r="DF49" s="1"/>
        <tr r="DF49" s="1"/>
      </tp>
      <tp>
        <v>0</v>
        <stp/>
        <stp>BID</stp>
        <stp>.QQQ250507C495</stp>
        <tr r="DE52" s="1"/>
        <tr r="DE52" s="1"/>
      </tp>
      <tp>
        <v>9.52</v>
        <stp/>
        <stp>BID</stp>
        <stp>.QQQ250507P495</stp>
        <tr r="DF52" s="1"/>
        <tr r="DF52" s="1"/>
      </tp>
      <tp>
        <v>0</v>
        <stp/>
        <stp>BID</stp>
        <stp>.QQQ250507C494</stp>
        <tr r="DE53" s="1"/>
        <tr r="DE53" s="1"/>
      </tp>
      <tp>
        <v>8.52</v>
        <stp/>
        <stp>BID</stp>
        <stp>.QQQ250507P494</stp>
        <tr r="DF53" s="1"/>
        <tr r="DF53" s="1"/>
      </tp>
      <tp>
        <v>0</v>
        <stp/>
        <stp>BID</stp>
        <stp>.QQQ250507C497</stp>
        <tr r="DE50" s="1"/>
        <tr r="DE50" s="1"/>
      </tp>
      <tp>
        <v>11.52</v>
        <stp/>
        <stp>BID</stp>
        <stp>.QQQ250507P497</stp>
        <tr r="DF50" s="1"/>
        <tr r="DF50" s="1"/>
      </tp>
      <tp>
        <v>0</v>
        <stp/>
        <stp>BID</stp>
        <stp>.QQQ250507C496</stp>
        <tr r="DE51" s="1"/>
        <tr r="DE51" s="1"/>
      </tp>
      <tp>
        <v>10.52</v>
        <stp/>
        <stp>BID</stp>
        <stp>.QQQ250507P496</stp>
        <tr r="DF51" s="1"/>
        <tr r="DF51" s="1"/>
      </tp>
      <tp>
        <v>0</v>
        <stp/>
        <stp>BID</stp>
        <stp>.QQQ250507C491</stp>
        <tr r="DE56" s="1"/>
        <tr r="DE56" s="1"/>
      </tp>
      <tp>
        <v>5.52</v>
        <stp/>
        <stp>BID</stp>
        <stp>.QQQ250507P491</stp>
        <tr r="DF56" s="1"/>
        <tr r="DF56" s="1"/>
      </tp>
      <tp>
        <v>0</v>
        <stp/>
        <stp>BID</stp>
        <stp>.QQQ250507C490</stp>
        <tr r="DE57" s="1"/>
        <tr r="DE57" s="1"/>
      </tp>
      <tp>
        <v>4.5199999999999996</v>
        <stp/>
        <stp>BID</stp>
        <stp>.QQQ250507P490</stp>
        <tr r="DF57" s="1"/>
        <tr r="DF57" s="1"/>
      </tp>
      <tp>
        <v>0</v>
        <stp/>
        <stp>BID</stp>
        <stp>.QQQ250507C493</stp>
        <tr r="DE54" s="1"/>
        <tr r="DE54" s="1"/>
      </tp>
      <tp>
        <v>7.52</v>
        <stp/>
        <stp>BID</stp>
        <stp>.QQQ250507P493</stp>
        <tr r="DF54" s="1"/>
        <tr r="DF54" s="1"/>
      </tp>
      <tp>
        <v>0</v>
        <stp/>
        <stp>BID</stp>
        <stp>.QQQ250507C492</stp>
        <tr r="DE55" s="1"/>
        <tr r="DE55" s="1"/>
      </tp>
      <tp>
        <v>6.52</v>
        <stp/>
        <stp>BID</stp>
        <stp>.QQQ250507P492</stp>
        <tr r="DF55" s="1"/>
        <tr r="DF55" s="1"/>
      </tp>
      <tp>
        <v>0</v>
        <stp/>
        <stp>BID</stp>
        <stp>.QQQ250507C489</stp>
        <tr r="DE58" s="1"/>
        <tr r="DE58" s="1"/>
      </tp>
      <tp>
        <v>3.48</v>
        <stp/>
        <stp>BID</stp>
        <stp>.QQQ250507P489</stp>
        <tr r="DF58" s="1"/>
        <tr r="DF58" s="1"/>
      </tp>
      <tp>
        <v>0</v>
        <stp/>
        <stp>BID</stp>
        <stp>.QQQ250507C488</stp>
        <tr r="DE59" s="1"/>
        <tr r="DE59" s="1"/>
      </tp>
      <tp>
        <v>2.52</v>
        <stp/>
        <stp>BID</stp>
        <stp>.QQQ250507P488</stp>
        <tr r="DF59" s="1"/>
        <tr r="DF59" s="1"/>
      </tp>
      <tp>
        <v>0.05</v>
        <stp/>
        <stp>BID</stp>
        <stp>.QQQ250507C485</stp>
        <tr r="DE62" s="1"/>
        <tr r="DE62" s="1"/>
      </tp>
      <tp>
        <v>0.96</v>
        <stp/>
        <stp>BID</stp>
        <stp>.QQQ250507P485</stp>
        <tr r="DF62" s="1"/>
        <tr r="DF62" s="1"/>
      </tp>
      <tp>
        <v>0.35</v>
        <stp/>
        <stp>BID</stp>
        <stp>.QQQ250507C484</stp>
        <tr r="DE63" s="1"/>
        <tr r="DE63" s="1"/>
      </tp>
      <tp>
        <v>0.32</v>
        <stp/>
        <stp>BID</stp>
        <stp>.QQQ250507P484</stp>
        <tr r="DF63" s="1"/>
        <tr r="DF63" s="1"/>
      </tp>
      <tp>
        <v>0</v>
        <stp/>
        <stp>BID</stp>
        <stp>.QQQ250507C487</stp>
        <tr r="DE60" s="1"/>
        <tr r="DE60" s="1"/>
      </tp>
      <tp>
        <v>1.56</v>
        <stp/>
        <stp>BID</stp>
        <stp>.QQQ250507P487</stp>
        <tr r="DF60" s="1"/>
        <tr r="DF60" s="1"/>
      </tp>
      <tp>
        <v>0.01</v>
        <stp/>
        <stp>BID</stp>
        <stp>.QQQ250507C486</stp>
        <tr r="DE61" s="1"/>
        <tr r="DE61" s="1"/>
      </tp>
      <tp>
        <v>1.21</v>
        <stp/>
        <stp>BID</stp>
        <stp>.QQQ250507P486</stp>
        <tr r="DF61" s="1"/>
        <tr r="DF61" s="1"/>
      </tp>
      <tp>
        <v>2.95</v>
        <stp/>
        <stp>BID</stp>
        <stp>.QQQ250507C481</stp>
        <tr r="DE66" s="1"/>
        <tr r="DE66" s="1"/>
      </tp>
      <tp>
        <v>0</v>
        <stp/>
        <stp>BID</stp>
        <stp>.QQQ250507P481</stp>
        <tr r="DF66" s="1"/>
        <tr r="DF66" s="1"/>
      </tp>
      <tp>
        <v>2.8</v>
        <stp/>
        <stp>BID</stp>
        <stp>.QQQ250507C480</stp>
        <tr r="DE67" s="1"/>
        <tr r="DE67" s="1"/>
      </tp>
      <tp>
        <v>0</v>
        <stp/>
        <stp>BID</stp>
        <stp>.QQQ250507P480</stp>
        <tr r="DF67" s="1"/>
        <tr r="DF67" s="1"/>
      </tp>
      <tp>
        <v>1.01</v>
        <stp/>
        <stp>BID</stp>
        <stp>.QQQ250507C483</stp>
        <tr r="DE64" s="1"/>
        <tr r="DE64" s="1"/>
      </tp>
      <tp>
        <v>0.05</v>
        <stp/>
        <stp>BID</stp>
        <stp>.QQQ250507P483</stp>
        <tr r="DF64" s="1"/>
        <tr r="DF64" s="1"/>
      </tp>
      <tp>
        <v>1.89</v>
        <stp/>
        <stp>BID</stp>
        <stp>.QQQ250507C482</stp>
        <tr r="DE65" s="1"/>
        <tr r="DE65" s="1"/>
      </tp>
      <tp>
        <v>0</v>
        <stp/>
        <stp>BID</stp>
        <stp>.QQQ250507P482</stp>
        <tr r="DF65" s="1"/>
        <tr r="DF65" s="1"/>
      </tp>
      <tp>
        <v>0.01</v>
        <stp/>
        <stp>ASK</stp>
        <stp>.QQQ250507C487</stp>
        <tr r="DC60" s="1"/>
        <tr r="DC60" s="1"/>
      </tp>
      <tp>
        <v>5</v>
        <stp/>
        <stp>ASK</stp>
        <stp>.QQQ250507P487</stp>
        <tr r="DD60" s="1"/>
        <tr r="DD60" s="1"/>
      </tp>
      <tp>
        <v>0.02</v>
        <stp/>
        <stp>ASK</stp>
        <stp>.QQQ250507C486</stp>
        <tr r="DC61" s="1"/>
        <tr r="DC61" s="1"/>
      </tp>
      <tp>
        <v>4.46</v>
        <stp/>
        <stp>ASK</stp>
        <stp>.QQQ250507P486</stp>
        <tr r="DD61" s="1"/>
        <tr r="DD61" s="1"/>
      </tp>
      <tp>
        <v>0.08</v>
        <stp/>
        <stp>ASK</stp>
        <stp>.QQQ250507C485</stp>
        <tr r="DC62" s="1"/>
        <tr r="DC62" s="1"/>
      </tp>
      <tp>
        <v>1.1200000000000001</v>
        <stp/>
        <stp>ASK</stp>
        <stp>.QQQ250507P485</stp>
        <tr r="DD62" s="1"/>
        <tr r="DD62" s="1"/>
      </tp>
      <tp>
        <v>0.4</v>
        <stp/>
        <stp>ASK</stp>
        <stp>.QQQ250507C484</stp>
        <tr r="DC63" s="1"/>
        <tr r="DC63" s="1"/>
      </tp>
      <tp>
        <v>0.38</v>
        <stp/>
        <stp>ASK</stp>
        <stp>.QQQ250507P484</stp>
        <tr r="DD63" s="1"/>
        <tr r="DD63" s="1"/>
      </tp>
      <tp>
        <v>1.17</v>
        <stp/>
        <stp>ASK</stp>
        <stp>.QQQ250507C483</stp>
        <tr r="DC64" s="1"/>
        <tr r="DC64" s="1"/>
      </tp>
      <tp>
        <v>7.0000000000000007E-2</v>
        <stp/>
        <stp>ASK</stp>
        <stp>.QQQ250507P483</stp>
        <tr r="DD64" s="1"/>
        <tr r="DD64" s="1"/>
      </tp>
      <tp>
        <v>2.16</v>
        <stp/>
        <stp>ASK</stp>
        <stp>.QQQ250507C482</stp>
        <tr r="DC65" s="1"/>
        <tr r="DC65" s="1"/>
      </tp>
      <tp>
        <v>0.01</v>
        <stp/>
        <stp>ASK</stp>
        <stp>.QQQ250507P482</stp>
        <tr r="DD65" s="1"/>
        <tr r="DD65" s="1"/>
      </tp>
      <tp>
        <v>4.59</v>
        <stp/>
        <stp>ASK</stp>
        <stp>.QQQ250507C481</stp>
        <tr r="DC66" s="1"/>
        <tr r="DC66" s="1"/>
      </tp>
      <tp>
        <v>0.01</v>
        <stp/>
        <stp>ASK</stp>
        <stp>.QQQ250507P481</stp>
        <tr r="DD66" s="1"/>
        <tr r="DD66" s="1"/>
      </tp>
      <tp>
        <v>5.57</v>
        <stp/>
        <stp>ASK</stp>
        <stp>.QQQ250507C480</stp>
        <tr r="DC67" s="1"/>
        <tr r="DC67" s="1"/>
      </tp>
      <tp>
        <v>0.01</v>
        <stp/>
        <stp>ASK</stp>
        <stp>.QQQ250507P480</stp>
        <tr r="DD67" s="1"/>
        <tr r="DD67" s="1"/>
      </tp>
      <tp>
        <v>0.01</v>
        <stp/>
        <stp>ASK</stp>
        <stp>.QQQ250507C489</stp>
        <tr r="DC58" s="1"/>
        <tr r="DC58" s="1"/>
      </tp>
      <tp>
        <v>7.32</v>
        <stp/>
        <stp>ASK</stp>
        <stp>.QQQ250507P489</stp>
        <tr r="DD58" s="1"/>
        <tr r="DD58" s="1"/>
      </tp>
      <tp>
        <v>0.01</v>
        <stp/>
        <stp>ASK</stp>
        <stp>.QQQ250507C488</stp>
        <tr r="DC59" s="1"/>
        <tr r="DC59" s="1"/>
      </tp>
      <tp>
        <v>4.96</v>
        <stp/>
        <stp>ASK</stp>
        <stp>.QQQ250507P488</stp>
        <tr r="DD59" s="1"/>
        <tr r="DD59" s="1"/>
      </tp>
      <tp>
        <v>0.01</v>
        <stp/>
        <stp>ASK</stp>
        <stp>.QQQ250507C497</stp>
        <tr r="DC50" s="1"/>
        <tr r="DC50" s="1"/>
      </tp>
      <tp>
        <v>15.14</v>
        <stp/>
        <stp>ASK</stp>
        <stp>.QQQ250507P497</stp>
        <tr r="DD50" s="1"/>
        <tr r="DD50" s="1"/>
      </tp>
      <tp>
        <v>0.01</v>
        <stp/>
        <stp>ASK</stp>
        <stp>.QQQ250507C496</stp>
        <tr r="DC51" s="1"/>
        <tr r="DC51" s="1"/>
      </tp>
      <tp>
        <v>14.14</v>
        <stp/>
        <stp>ASK</stp>
        <stp>.QQQ250507P496</stp>
        <tr r="DD51" s="1"/>
        <tr r="DD51" s="1"/>
      </tp>
      <tp>
        <v>0.01</v>
        <stp/>
        <stp>ASK</stp>
        <stp>.QQQ250507C495</stp>
        <tr r="DC52" s="1"/>
        <tr r="DC52" s="1"/>
      </tp>
      <tp>
        <v>13.32</v>
        <stp/>
        <stp>ASK</stp>
        <stp>.QQQ250507P495</stp>
        <tr r="DD52" s="1"/>
        <tr r="DD52" s="1"/>
      </tp>
      <tp>
        <v>0.01</v>
        <stp/>
        <stp>ASK</stp>
        <stp>.QQQ250507C494</stp>
        <tr r="DC53" s="1"/>
        <tr r="DC53" s="1"/>
      </tp>
      <tp>
        <v>12.14</v>
        <stp/>
        <stp>ASK</stp>
        <stp>.QQQ250507P494</stp>
        <tr r="DD53" s="1"/>
        <tr r="DD53" s="1"/>
      </tp>
      <tp>
        <v>0.01</v>
        <stp/>
        <stp>ASK</stp>
        <stp>.QQQ250507C493</stp>
        <tr r="DC54" s="1"/>
        <tr r="DC54" s="1"/>
      </tp>
      <tp>
        <v>11.32</v>
        <stp/>
        <stp>ASK</stp>
        <stp>.QQQ250507P493</stp>
        <tr r="DD54" s="1"/>
        <tr r="DD54" s="1"/>
      </tp>
      <tp>
        <v>0.01</v>
        <stp/>
        <stp>ASK</stp>
        <stp>.QQQ250507C492</stp>
        <tr r="DC55" s="1"/>
        <tr r="DC55" s="1"/>
      </tp>
      <tp>
        <v>10.15</v>
        <stp/>
        <stp>ASK</stp>
        <stp>.QQQ250507P492</stp>
        <tr r="DD55" s="1"/>
        <tr r="DD55" s="1"/>
      </tp>
      <tp>
        <v>0.01</v>
        <stp/>
        <stp>ASK</stp>
        <stp>.QQQ250507C491</stp>
        <tr r="DC56" s="1"/>
        <tr r="DC56" s="1"/>
      </tp>
      <tp>
        <v>9.32</v>
        <stp/>
        <stp>ASK</stp>
        <stp>.QQQ250507P491</stp>
        <tr r="DD56" s="1"/>
        <tr r="DD56" s="1"/>
      </tp>
      <tp>
        <v>0.01</v>
        <stp/>
        <stp>ASK</stp>
        <stp>.QQQ250507C490</stp>
        <tr r="DC57" s="1"/>
        <tr r="DC57" s="1"/>
      </tp>
      <tp>
        <v>8.32</v>
        <stp/>
        <stp>ASK</stp>
        <stp>.QQQ250507P490</stp>
        <tr r="DD57" s="1"/>
        <tr r="DD57" s="1"/>
      </tp>
      <tp>
        <v>0.01</v>
        <stp/>
        <stp>ASK</stp>
        <stp>.QQQ250507C499</stp>
        <tr r="DC48" s="1"/>
        <tr r="DC48" s="1"/>
      </tp>
      <tp>
        <v>17.14</v>
        <stp/>
        <stp>ASK</stp>
        <stp>.QQQ250507P499</stp>
        <tr r="DD48" s="1"/>
        <tr r="DD48" s="1"/>
      </tp>
      <tp>
        <v>0.01</v>
        <stp/>
        <stp>ASK</stp>
        <stp>.QQQ250507C498</stp>
        <tr r="DC49" s="1"/>
        <tr r="DC49" s="1"/>
      </tp>
      <tp>
        <v>16.14</v>
        <stp/>
        <stp>ASK</stp>
        <stp>.QQQ250507P498</stp>
        <tr r="DD49" s="1"/>
        <tr r="DD49" s="1"/>
      </tp>
      <tp>
        <v>27</v>
        <stp/>
        <stp>OPEN_INT</stp>
        <stp>.NDX250516P20300</stp>
        <tr r="AX143" s="1"/>
        <tr r="AX143" s="1"/>
      </tp>
      <tp>
        <v>27</v>
        <stp/>
        <stp>OPEN_INT</stp>
        <stp>.NDX250516P19300</stp>
        <tr r="AX183" s="1"/>
        <tr r="AX183" s="1"/>
      </tp>
      <tp>
        <v>4</v>
        <stp/>
        <stp>OPEN_INT</stp>
        <stp>.NDX250516P20325</stp>
        <tr r="AX142" s="1"/>
        <tr r="AX142" s="1"/>
      </tp>
      <tp>
        <v>24</v>
        <stp/>
        <stp>OPEN_INT</stp>
        <stp>.NDX250516P19325</stp>
        <tr r="AX182" s="1"/>
        <tr r="AX182" s="1"/>
      </tp>
      <tp>
        <v>11</v>
        <stp/>
        <stp>OPEN_INT</stp>
        <stp>.NDX250516P20350</stp>
        <tr r="AX141" s="1"/>
        <tr r="AX141" s="1"/>
      </tp>
      <tp>
        <v>16</v>
        <stp/>
        <stp>OPEN_INT</stp>
        <stp>.NDX250516P19350</stp>
        <tr r="AX181" s="1"/>
        <tr r="AX181" s="1"/>
      </tp>
      <tp>
        <v>6</v>
        <stp/>
        <stp>OPEN_INT</stp>
        <stp>.NDX250516P20375</stp>
        <tr r="AX140" s="1"/>
        <tr r="AX140" s="1"/>
      </tp>
      <tp>
        <v>12</v>
        <stp/>
        <stp>OPEN_INT</stp>
        <stp>.NDX250516P19375</stp>
        <tr r="AX180" s="1"/>
        <tr r="AX180" s="1"/>
      </tp>
      <tp>
        <v>14</v>
        <stp/>
        <stp>OPEN_INT</stp>
        <stp>.NDX250516C20325</stp>
        <tr r="AW142" s="1"/>
        <tr r="AW142" s="1"/>
      </tp>
      <tp>
        <v>30</v>
        <stp/>
        <stp>OPEN_INT</stp>
        <stp>.NDX250516C19325</stp>
        <tr r="AW182" s="1"/>
        <tr r="AW182" s="1"/>
      </tp>
      <tp>
        <v>64</v>
        <stp/>
        <stp>OPEN_INT</stp>
        <stp>.NDX250516C20300</stp>
        <tr r="AW143" s="1"/>
        <tr r="AW143" s="1"/>
      </tp>
      <tp>
        <v>66</v>
        <stp/>
        <stp>OPEN_INT</stp>
        <stp>.NDX250516C19300</stp>
        <tr r="AW183" s="1"/>
        <tr r="AW183" s="1"/>
      </tp>
      <tp>
        <v>1743</v>
        <stp/>
        <stp>OPEN_INT</stp>
        <stp>.SPY250507P563</stp>
        <tr r="AT23" s="1"/>
        <tr r="AT23" s="1"/>
      </tp>
      <tp>
        <v>611</v>
        <stp/>
        <stp>OPEN_INT</stp>
        <stp>.SPY250516P572</stp>
        <tr r="AX14" s="1"/>
        <tr r="AX14" s="1"/>
      </tp>
      <tp>
        <v>4951</v>
        <stp/>
        <stp>OPEN_INT</stp>
        <stp>.SPY250507C563</stp>
        <tr r="AS23" s="1"/>
        <tr r="AS23" s="1"/>
      </tp>
      <tp>
        <v>2665</v>
        <stp/>
        <stp>OPEN_INT</stp>
        <stp>.SPY250516C572</stp>
        <tr r="AW14" s="1"/>
        <tr r="AW14" s="1"/>
      </tp>
      <tp>
        <v>3280</v>
        <stp/>
        <stp>OPEN_INT</stp>
        <stp>.SPY250507P562</stp>
        <tr r="AT24" s="1"/>
        <tr r="AT24" s="1"/>
      </tp>
      <tp>
        <v>470</v>
        <stp/>
        <stp>OPEN_INT</stp>
        <stp>.SPY250516P573</stp>
        <tr r="AX13" s="1"/>
        <tr r="AX13" s="1"/>
      </tp>
      <tp>
        <v>6080</v>
        <stp/>
        <stp>OPEN_INT</stp>
        <stp>.SPY250507C562</stp>
        <tr r="AS24" s="1"/>
        <tr r="AS24" s="1"/>
      </tp>
      <tp>
        <v>3232</v>
        <stp/>
        <stp>OPEN_INT</stp>
        <stp>.SPY250516C573</stp>
        <tr r="AW13" s="1"/>
        <tr r="AW13" s="1"/>
      </tp>
      <tp>
        <v>3921</v>
        <stp/>
        <stp>OPEN_INT</stp>
        <stp>.SPY250507P561</stp>
        <tr r="AT25" s="1"/>
        <tr r="AT25" s="1"/>
      </tp>
      <tp>
        <v>16361</v>
        <stp/>
        <stp>OPEN_INT</stp>
        <stp>.SPY250516P570</stp>
        <tr r="AX16" s="1"/>
        <tr r="AX16" s="1"/>
      </tp>
      <tp>
        <v>4988</v>
        <stp/>
        <stp>OPEN_INT</stp>
        <stp>.SPY250507C561</stp>
        <tr r="AS25" s="1"/>
        <tr r="AS25" s="1"/>
      </tp>
      <tp>
        <v>24126</v>
        <stp/>
        <stp>OPEN_INT</stp>
        <stp>.SPY250516C570</stp>
        <tr r="AW16" s="1"/>
        <tr r="AW16" s="1"/>
      </tp>
      <tp>
        <v>8572</v>
        <stp/>
        <stp>OPEN_INT</stp>
        <stp>.SPY250507P560</stp>
        <tr r="AT26" s="1"/>
        <tr r="AT26" s="1"/>
      </tp>
      <tp>
        <v>756</v>
        <stp/>
        <stp>OPEN_INT</stp>
        <stp>.SPY250516P571</stp>
        <tr r="AX15" s="1"/>
        <tr r="AX15" s="1"/>
      </tp>
      <tp>
        <v>5118</v>
        <stp/>
        <stp>OPEN_INT</stp>
        <stp>.SPY250507C560</stp>
        <tr r="AS26" s="1"/>
        <tr r="AS26" s="1"/>
      </tp>
      <tp>
        <v>2545</v>
        <stp/>
        <stp>OPEN_INT</stp>
        <stp>.SPY250516C571</stp>
        <tr r="AW15" s="1"/>
        <tr r="AW15" s="1"/>
      </tp>
      <tp>
        <v>1326</v>
        <stp/>
        <stp>OPEN_INT</stp>
        <stp>.SPY250507P567</stp>
        <tr r="AT19" s="1"/>
        <tr r="AT19" s="1"/>
      </tp>
      <tp>
        <v>338</v>
        <stp/>
        <stp>OPEN_INT</stp>
        <stp>.SPY250509P569</stp>
        <tr r="AV17" s="1"/>
        <tr r="AV17" s="1"/>
      </tp>
      <tp>
        <v>278</v>
        <stp/>
        <stp>OPEN_INT</stp>
        <stp>.SPY250516P576</stp>
        <tr r="AX10" s="1"/>
        <tr r="AX10" s="1"/>
      </tp>
      <tp>
        <v>6994</v>
        <stp/>
        <stp>OPEN_INT</stp>
        <stp>.SPY250507C567</stp>
        <tr r="AS19" s="1"/>
        <tr r="AS19" s="1"/>
      </tp>
      <tp>
        <v>2674</v>
        <stp/>
        <stp>OPEN_INT</stp>
        <stp>.SPY250509C569</stp>
        <tr r="AU17" s="1"/>
        <tr r="AU17" s="1"/>
      </tp>
      <tp>
        <v>4333</v>
        <stp/>
        <stp>OPEN_INT</stp>
        <stp>.SPY250516C576</stp>
        <tr r="AW10" s="1"/>
        <tr r="AW10" s="1"/>
      </tp>
      <tp>
        <v>1768</v>
        <stp/>
        <stp>OPEN_INT</stp>
        <stp>.SPY250507P566</stp>
        <tr r="AT20" s="1"/>
        <tr r="AT20" s="1"/>
      </tp>
      <tp>
        <v>2435</v>
        <stp/>
        <stp>OPEN_INT</stp>
        <stp>.SPY250509P568</stp>
        <tr r="AV18" s="1"/>
        <tr r="AV18" s="1"/>
      </tp>
      <tp>
        <v>20</v>
        <stp/>
        <stp>OPEN_INT</stp>
        <stp>.SPY250516P577</stp>
        <tr r="AX9" s="1"/>
        <tr r="AX9" s="1"/>
      </tp>
      <tp>
        <v>5611</v>
        <stp/>
        <stp>OPEN_INT</stp>
        <stp>.SPY250507C566</stp>
        <tr r="AS20" s="1"/>
        <tr r="AS20" s="1"/>
      </tp>
      <tp>
        <v>4739</v>
        <stp/>
        <stp>OPEN_INT</stp>
        <stp>.SPY250509C568</stp>
        <tr r="AU18" s="1"/>
        <tr r="AU18" s="1"/>
      </tp>
      <tp>
        <v>4106</v>
        <stp/>
        <stp>OPEN_INT</stp>
        <stp>.SPY250516C577</stp>
        <tr r="AW9" s="1"/>
        <tr r="AW9" s="1"/>
      </tp>
      <tp>
        <v>1378</v>
        <stp/>
        <stp>OPEN_INT</stp>
        <stp>.SPY250507P565</stp>
        <tr r="AT21" s="1"/>
        <tr r="AT21" s="1"/>
      </tp>
      <tp>
        <v>358</v>
        <stp/>
        <stp>OPEN_INT</stp>
        <stp>.SPY250516P574</stp>
        <tr r="AX12" s="1"/>
        <tr r="AX12" s="1"/>
      </tp>
      <tp>
        <v>5976</v>
        <stp/>
        <stp>OPEN_INT</stp>
        <stp>.SPY250507C565</stp>
        <tr r="AS21" s="1"/>
        <tr r="AS21" s="1"/>
      </tp>
      <tp>
        <v>3156</v>
        <stp/>
        <stp>OPEN_INT</stp>
        <stp>.SPY250516C574</stp>
        <tr r="AW12" s="1"/>
        <tr r="AW12" s="1"/>
      </tp>
      <tp>
        <v>1823</v>
        <stp/>
        <stp>OPEN_INT</stp>
        <stp>.SPY250507P564</stp>
        <tr r="AT22" s="1"/>
        <tr r="AT22" s="1"/>
      </tp>
      <tp>
        <v>2739</v>
        <stp/>
        <stp>OPEN_INT</stp>
        <stp>.SPY250516P575</stp>
        <tr r="AX11" s="1"/>
        <tr r="AX11" s="1"/>
      </tp>
      <tp>
        <v>5325</v>
        <stp/>
        <stp>OPEN_INT</stp>
        <stp>.SPY250507C564</stp>
        <tr r="AS22" s="1"/>
        <tr r="AS22" s="1"/>
      </tp>
      <tp>
        <v>49888</v>
        <stp/>
        <stp>OPEN_INT</stp>
        <stp>.SPY250516C575</stp>
        <tr r="AW11" s="1"/>
        <tr r="AW11" s="1"/>
      </tp>
      <tp>
        <v>3657</v>
        <stp/>
        <stp>OPEN_INT</stp>
        <stp>.SPY250509P565</stp>
        <tr r="AV21" s="1"/>
        <tr r="AV21" s="1"/>
      </tp>
      <tp>
        <v>8817</v>
        <stp/>
        <stp>OPEN_INT</stp>
        <stp>.SPY250509C565</stp>
        <tr r="AU21" s="1"/>
        <tr r="AU21" s="1"/>
      </tp>
      <tp>
        <v>1465</v>
        <stp/>
        <stp>OPEN_INT</stp>
        <stp>.SPY250509P564</stp>
        <tr r="AV22" s="1"/>
        <tr r="AV22" s="1"/>
      </tp>
      <tp>
        <v>1832</v>
        <stp/>
        <stp>OPEN_INT</stp>
        <stp>.SPY250509C564</stp>
        <tr r="AU22" s="1"/>
        <tr r="AU22" s="1"/>
      </tp>
      <tp>
        <v>349</v>
        <stp/>
        <stp>OPEN_INT</stp>
        <stp>.SPY250507P569</stp>
        <tr r="AT17" s="1"/>
        <tr r="AT17" s="1"/>
      </tp>
      <tp>
        <v>1393</v>
        <stp/>
        <stp>OPEN_INT</stp>
        <stp>.SPY250509P567</stp>
        <tr r="AV19" s="1"/>
        <tr r="AV19" s="1"/>
      </tp>
      <tp>
        <v>282</v>
        <stp/>
        <stp>OPEN_INT</stp>
        <stp>.SPY250516P578</stp>
        <tr r="AX8" s="1"/>
        <tr r="AX8" s="1"/>
      </tp>
      <tp>
        <v>3879</v>
        <stp/>
        <stp>OPEN_INT</stp>
        <stp>.SPY250507C569</stp>
        <tr r="AS17" s="1"/>
        <tr r="AS17" s="1"/>
      </tp>
      <tp>
        <v>3204</v>
        <stp/>
        <stp>OPEN_INT</stp>
        <stp>.SPY250509C567</stp>
        <tr r="AU19" s="1"/>
        <tr r="AU19" s="1"/>
      </tp>
      <tp>
        <v>10828</v>
        <stp/>
        <stp>OPEN_INT</stp>
        <stp>.SPY250516C578</stp>
        <tr r="AW8" s="1"/>
        <tr r="AW8" s="1"/>
      </tp>
      <tp>
        <v>870</v>
        <stp/>
        <stp>OPEN_INT</stp>
        <stp>.SPY250507P568</stp>
        <tr r="AT18" s="1"/>
        <tr r="AT18" s="1"/>
      </tp>
      <tp>
        <v>1895</v>
        <stp/>
        <stp>OPEN_INT</stp>
        <stp>.SPY250509P566</stp>
        <tr r="AV20" s="1"/>
        <tr r="AV20" s="1"/>
      </tp>
      <tp>
        <v>12</v>
        <stp/>
        <stp>OPEN_INT</stp>
        <stp>.SPY250516P579</stp>
        <tr r="AX7" s="1"/>
        <tr r="AX7" s="1"/>
      </tp>
      <tp>
        <v>5769</v>
        <stp/>
        <stp>OPEN_INT</stp>
        <stp>.SPY250507C568</stp>
        <tr r="AS18" s="1"/>
        <tr r="AS18" s="1"/>
      </tp>
      <tp>
        <v>3684</v>
        <stp/>
        <stp>OPEN_INT</stp>
        <stp>.SPY250509C566</stp>
        <tr r="AU20" s="1"/>
        <tr r="AU20" s="1"/>
      </tp>
      <tp>
        <v>4067</v>
        <stp/>
        <stp>OPEN_INT</stp>
        <stp>.SPY250516C579</stp>
        <tr r="AW7" s="1"/>
        <tr r="AW7" s="1"/>
      </tp>
      <tp>
        <v>2819</v>
        <stp/>
        <stp>OPEN_INT</stp>
        <stp>.SPY250509P561</stp>
        <tr r="AV25" s="1"/>
        <tr r="AV25" s="1"/>
      </tp>
      <tp>
        <v>2071</v>
        <stp/>
        <stp>OPEN_INT</stp>
        <stp>.SPY250509C561</stp>
        <tr r="AU25" s="1"/>
        <tr r="AU25" s="1"/>
      </tp>
      <tp>
        <v>9162</v>
        <stp/>
        <stp>OPEN_INT</stp>
        <stp>.SPY250509P560</stp>
        <tr r="AV26" s="1"/>
        <tr r="AV26" s="1"/>
      </tp>
      <tp>
        <v>10129</v>
        <stp/>
        <stp>OPEN_INT</stp>
        <stp>.SPY250509C560</stp>
        <tr r="AU26" s="1"/>
        <tr r="AU26" s="1"/>
      </tp>
      <tp>
        <v>2349</v>
        <stp/>
        <stp>OPEN_INT</stp>
        <stp>.SPY250509P563</stp>
        <tr r="AV23" s="1"/>
        <tr r="AV23" s="1"/>
      </tp>
      <tp>
        <v>2108</v>
        <stp/>
        <stp>OPEN_INT</stp>
        <stp>.SPY250509C563</stp>
        <tr r="AU23" s="1"/>
        <tr r="AU23" s="1"/>
      </tp>
      <tp>
        <v>2021</v>
        <stp/>
        <stp>OPEN_INT</stp>
        <stp>.SPY250509P562</stp>
        <tr r="AV24" s="1"/>
        <tr r="AV24" s="1"/>
      </tp>
      <tp>
        <v>3126</v>
        <stp/>
        <stp>OPEN_INT</stp>
        <stp>.SPY250509C562</stp>
        <tr r="AU24" s="1"/>
        <tr r="AU24" s="1"/>
      </tp>
      <tp>
        <v>11</v>
        <stp/>
        <stp>OPEN_INT</stp>
        <stp>.NDX250516C20375</stp>
        <tr r="AW140" s="1"/>
        <tr r="AW140" s="1"/>
      </tp>
      <tp>
        <v>18</v>
        <stp/>
        <stp>OPEN_INT</stp>
        <stp>.NDX250516C19375</stp>
        <tr r="AW180" s="1"/>
        <tr r="AW180" s="1"/>
      </tp>
      <tp>
        <v>140</v>
        <stp/>
        <stp>OPEN_INT</stp>
        <stp>.SPY250507P573</stp>
        <tr r="AT13" s="1"/>
        <tr r="AT13" s="1"/>
      </tp>
      <tp>
        <v>2894</v>
        <stp/>
        <stp>OPEN_INT</stp>
        <stp>.SPY250516P562</stp>
        <tr r="AX24" s="1"/>
        <tr r="AX24" s="1"/>
      </tp>
      <tp>
        <v>6008</v>
        <stp/>
        <stp>OPEN_INT</stp>
        <stp>.SPY250507C573</stp>
        <tr r="AS13" s="1"/>
        <tr r="AS13" s="1"/>
      </tp>
      <tp>
        <v>4967</v>
        <stp/>
        <stp>OPEN_INT</stp>
        <stp>.SPY250516C562</stp>
        <tr r="AW24" s="1"/>
        <tr r="AW24" s="1"/>
      </tp>
      <tp>
        <v>133</v>
        <stp/>
        <stp>OPEN_INT</stp>
        <stp>.SPY250507P572</stp>
        <tr r="AT14" s="1"/>
        <tr r="AT14" s="1"/>
      </tp>
      <tp>
        <v>2503</v>
        <stp/>
        <stp>OPEN_INT</stp>
        <stp>.SPY250516P563</stp>
        <tr r="AX23" s="1"/>
        <tr r="AX23" s="1"/>
      </tp>
      <tp>
        <v>6271</v>
        <stp/>
        <stp>OPEN_INT</stp>
        <stp>.SPY250507C572</stp>
        <tr r="AS14" s="1"/>
        <tr r="AS14" s="1"/>
      </tp>
      <tp>
        <v>4687</v>
        <stp/>
        <stp>OPEN_INT</stp>
        <stp>.SPY250516C563</stp>
        <tr r="AW23" s="1"/>
        <tr r="AW23" s="1"/>
      </tp>
      <tp>
        <v>115</v>
        <stp/>
        <stp>OPEN_INT</stp>
        <stp>.SPY250507P571</stp>
        <tr r="AT15" s="1"/>
        <tr r="AT15" s="1"/>
      </tp>
      <tp>
        <v>28372</v>
        <stp/>
        <stp>OPEN_INT</stp>
        <stp>.SPY250516P560</stp>
        <tr r="AX26" s="1"/>
        <tr r="AX26" s="1"/>
      </tp>
      <tp>
        <v>5484</v>
        <stp/>
        <stp>OPEN_INT</stp>
        <stp>.SPY250507C571</stp>
        <tr r="AS15" s="1"/>
        <tr r="AS15" s="1"/>
      </tp>
      <tp>
        <v>12439</v>
        <stp/>
        <stp>OPEN_INT</stp>
        <stp>.SPY250516C560</stp>
        <tr r="AW26" s="1"/>
        <tr r="AW26" s="1"/>
      </tp>
      <tp>
        <v>280</v>
        <stp/>
        <stp>OPEN_INT</stp>
        <stp>.SPY250507P570</stp>
        <tr r="AT16" s="1"/>
        <tr r="AT16" s="1"/>
      </tp>
      <tp>
        <v>1224</v>
        <stp/>
        <stp>OPEN_INT</stp>
        <stp>.SPY250516P561</stp>
        <tr r="AX25" s="1"/>
        <tr r="AX25" s="1"/>
      </tp>
      <tp>
        <v>11918</v>
        <stp/>
        <stp>OPEN_INT</stp>
        <stp>.SPY250507C570</stp>
        <tr r="AS16" s="1"/>
        <tr r="AS16" s="1"/>
      </tp>
      <tp>
        <v>3766</v>
        <stp/>
        <stp>OPEN_INT</stp>
        <stp>.SPY250516C561</stp>
        <tr r="AW25" s="1"/>
        <tr r="AW25" s="1"/>
      </tp>
      <tp>
        <v>1</v>
        <stp/>
        <stp>OPEN_INT</stp>
        <stp>.SPY250507P577</stp>
        <tr r="AT9" s="1"/>
        <tr r="AT9" s="1"/>
      </tp>
      <tp>
        <v>18</v>
        <stp/>
        <stp>OPEN_INT</stp>
        <stp>.SPY250509P579</stp>
        <tr r="AV7" s="1"/>
        <tr r="AV7" s="1"/>
      </tp>
      <tp>
        <v>3449</v>
        <stp/>
        <stp>OPEN_INT</stp>
        <stp>.SPY250516P566</stp>
        <tr r="AX20" s="1"/>
        <tr r="AX20" s="1"/>
      </tp>
      <tp>
        <v>3324</v>
        <stp/>
        <stp>OPEN_INT</stp>
        <stp>.SPY250507C577</stp>
        <tr r="AS9" s="1"/>
        <tr r="AS9" s="1"/>
      </tp>
      <tp>
        <v>4947</v>
        <stp/>
        <stp>OPEN_INT</stp>
        <stp>.SPY250509C579</stp>
        <tr r="AU7" s="1"/>
        <tr r="AU7" s="1"/>
      </tp>
      <tp>
        <v>5834</v>
        <stp/>
        <stp>OPEN_INT</stp>
        <stp>.SPY250516C566</stp>
        <tr r="AW20" s="1"/>
        <tr r="AW20" s="1"/>
      </tp>
      <tp>
        <v>2</v>
        <stp/>
        <stp>OPEN_INT</stp>
        <stp>.SPY250507P576</stp>
        <tr r="AT10" s="1"/>
        <tr r="AT10" s="1"/>
      </tp>
      <tp>
        <v>105</v>
        <stp/>
        <stp>OPEN_INT</stp>
        <stp>.SPY250509P578</stp>
        <tr r="AV8" s="1"/>
        <tr r="AV8" s="1"/>
      </tp>
      <tp>
        <v>2641</v>
        <stp/>
        <stp>OPEN_INT</stp>
        <stp>.SPY250516P567</stp>
        <tr r="AX19" s="1"/>
        <tr r="AX19" s="1"/>
      </tp>
      <tp>
        <v>1913</v>
        <stp/>
        <stp>OPEN_INT</stp>
        <stp>.SPY250507C576</stp>
        <tr r="AS10" s="1"/>
        <tr r="AS10" s="1"/>
      </tp>
      <tp>
        <v>3598</v>
        <stp/>
        <stp>OPEN_INT</stp>
        <stp>.SPY250509C578</stp>
        <tr r="AU8" s="1"/>
        <tr r="AU8" s="1"/>
      </tp>
      <tp>
        <v>3608</v>
        <stp/>
        <stp>OPEN_INT</stp>
        <stp>.SPY250516C567</stp>
        <tr r="AW19" s="1"/>
        <tr r="AW19" s="1"/>
      </tp>
      <tp>
        <v>46</v>
        <stp/>
        <stp>OPEN_INT</stp>
        <stp>.SPY250507P575</stp>
        <tr r="AT11" s="1"/>
        <tr r="AT11" s="1"/>
      </tp>
      <tp>
        <v>1748</v>
        <stp/>
        <stp>OPEN_INT</stp>
        <stp>.SPY250516P564</stp>
        <tr r="AX22" s="1"/>
        <tr r="AX22" s="1"/>
      </tp>
      <tp>
        <v>9420</v>
        <stp/>
        <stp>OPEN_INT</stp>
        <stp>.SPY250507C575</stp>
        <tr r="AS11" s="1"/>
        <tr r="AS11" s="1"/>
      </tp>
      <tp>
        <v>3455</v>
        <stp/>
        <stp>OPEN_INT</stp>
        <stp>.SPY250516C564</stp>
        <tr r="AW22" s="1"/>
        <tr r="AW22" s="1"/>
      </tp>
      <tp>
        <v>17</v>
        <stp/>
        <stp>OPEN_INT</stp>
        <stp>.SPY250507P574</stp>
        <tr r="AT12" s="1"/>
        <tr r="AT12" s="1"/>
      </tp>
      <tp>
        <v>10922</v>
        <stp/>
        <stp>OPEN_INT</stp>
        <stp>.SPY250516P565</stp>
        <tr r="AX21" s="1"/>
        <tr r="AX21" s="1"/>
      </tp>
      <tp>
        <v>3432</v>
        <stp/>
        <stp>OPEN_INT</stp>
        <stp>.SPY250507C574</stp>
        <tr r="AS12" s="1"/>
        <tr r="AS12" s="1"/>
      </tp>
      <tp>
        <v>17336</v>
        <stp/>
        <stp>OPEN_INT</stp>
        <stp>.SPY250516C565</stp>
        <tr r="AW21" s="1"/>
        <tr r="AW21" s="1"/>
      </tp>
      <tp>
        <v>700</v>
        <stp/>
        <stp>OPEN_INT</stp>
        <stp>.SPY250509P575</stp>
        <tr r="AV11" s="1"/>
        <tr r="AV11" s="1"/>
      </tp>
      <tp>
        <v>9854</v>
        <stp/>
        <stp>OPEN_INT</stp>
        <stp>.SPY250509C575</stp>
        <tr r="AU11" s="1"/>
        <tr r="AU11" s="1"/>
      </tp>
      <tp>
        <v>227</v>
        <stp/>
        <stp>OPEN_INT</stp>
        <stp>.SPY250509P574</stp>
        <tr r="AV12" s="1"/>
        <tr r="AV12" s="1"/>
      </tp>
      <tp>
        <v>1908</v>
        <stp/>
        <stp>OPEN_INT</stp>
        <stp>.SPY250509C574</stp>
        <tr r="AU12" s="1"/>
        <tr r="AU12" s="1"/>
      </tp>
      <tp>
        <v>0</v>
        <stp/>
        <stp>OPEN_INT</stp>
        <stp>.SPY250507P579</stp>
        <tr r="AT7" s="1"/>
        <tr r="AT7" s="1"/>
      </tp>
      <tp>
        <v>62</v>
        <stp/>
        <stp>OPEN_INT</stp>
        <stp>.SPY250509P577</stp>
        <tr r="AV9" s="1"/>
        <tr r="AV9" s="1"/>
      </tp>
      <tp>
        <v>2210</v>
        <stp/>
        <stp>OPEN_INT</stp>
        <stp>.SPY250516P568</stp>
        <tr r="AX18" s="1"/>
        <tr r="AX18" s="1"/>
      </tp>
      <tp>
        <v>2956</v>
        <stp/>
        <stp>OPEN_INT</stp>
        <stp>.SPY250507C579</stp>
        <tr r="AS7" s="1"/>
        <tr r="AS7" s="1"/>
      </tp>
      <tp>
        <v>1877</v>
        <stp/>
        <stp>OPEN_INT</stp>
        <stp>.SPY250509C577</stp>
        <tr r="AU9" s="1"/>
        <tr r="AU9" s="1"/>
      </tp>
      <tp>
        <v>6358</v>
        <stp/>
        <stp>OPEN_INT</stp>
        <stp>.SPY250516C568</stp>
        <tr r="AW18" s="1"/>
        <tr r="AW18" s="1"/>
      </tp>
      <tp>
        <v>1</v>
        <stp/>
        <stp>OPEN_INT</stp>
        <stp>.SPY250507P578</stp>
        <tr r="AT8" s="1"/>
        <tr r="AT8" s="1"/>
      </tp>
      <tp>
        <v>68</v>
        <stp/>
        <stp>OPEN_INT</stp>
        <stp>.SPY250509P576</stp>
        <tr r="AV10" s="1"/>
        <tr r="AV10" s="1"/>
      </tp>
      <tp>
        <v>1703</v>
        <stp/>
        <stp>OPEN_INT</stp>
        <stp>.SPY250516P569</stp>
        <tr r="AX17" s="1"/>
        <tr r="AX17" s="1"/>
      </tp>
      <tp>
        <v>6414</v>
        <stp/>
        <stp>OPEN_INT</stp>
        <stp>.SPY250507C578</stp>
        <tr r="AS8" s="1"/>
        <tr r="AS8" s="1"/>
      </tp>
      <tp>
        <v>2232</v>
        <stp/>
        <stp>OPEN_INT</stp>
        <stp>.SPY250509C576</stp>
        <tr r="AU10" s="1"/>
        <tr r="AU10" s="1"/>
      </tp>
      <tp>
        <v>2939</v>
        <stp/>
        <stp>OPEN_INT</stp>
        <stp>.SPY250516C569</stp>
        <tr r="AW17" s="1"/>
        <tr r="AW17" s="1"/>
      </tp>
      <tp>
        <v>767</v>
        <stp/>
        <stp>OPEN_INT</stp>
        <stp>.SPY250509P571</stp>
        <tr r="AV15" s="1"/>
        <tr r="AV15" s="1"/>
      </tp>
      <tp>
        <v>2556</v>
        <stp/>
        <stp>OPEN_INT</stp>
        <stp>.SPY250509C571</stp>
        <tr r="AU15" s="1"/>
        <tr r="AU15" s="1"/>
      </tp>
      <tp>
        <v>763</v>
        <stp/>
        <stp>OPEN_INT</stp>
        <stp>.SPY250509P570</stp>
        <tr r="AV16" s="1"/>
        <tr r="AV16" s="1"/>
      </tp>
      <tp>
        <v>11220</v>
        <stp/>
        <stp>OPEN_INT</stp>
        <stp>.SPY250509C570</stp>
        <tr r="AU16" s="1"/>
        <tr r="AU16" s="1"/>
      </tp>
      <tp>
        <v>36</v>
        <stp/>
        <stp>OPEN_INT</stp>
        <stp>.SPY250509P573</stp>
        <tr r="AV13" s="1"/>
        <tr r="AV13" s="1"/>
      </tp>
      <tp>
        <v>1994</v>
        <stp/>
        <stp>OPEN_INT</stp>
        <stp>.SPY250509C573</stp>
        <tr r="AU13" s="1"/>
        <tr r="AU13" s="1"/>
      </tp>
      <tp>
        <v>120</v>
        <stp/>
        <stp>OPEN_INT</stp>
        <stp>.SPY250509P572</stp>
        <tr r="AV14" s="1"/>
        <tr r="AV14" s="1"/>
      </tp>
      <tp>
        <v>3415</v>
        <stp/>
        <stp>OPEN_INT</stp>
        <stp>.SPY250509C572</stp>
        <tr r="AU14" s="1"/>
        <tr r="AU14" s="1"/>
      </tp>
      <tp>
        <v>4552</v>
        <stp/>
        <stp>OPEN_INT</stp>
        <stp>.SPY250516P552</stp>
        <tr r="AX34" s="1"/>
        <tr r="AX34" s="1"/>
      </tp>
      <tp>
        <v>2010</v>
        <stp/>
        <stp>OPEN_INT</stp>
        <stp>.SPY250516C552</stp>
        <tr r="AW34" s="1"/>
        <tr r="AW34" s="1"/>
      </tp>
      <tp>
        <v>1566</v>
        <stp/>
        <stp>OPEN_INT</stp>
        <stp>.SPY250516P553</stp>
        <tr r="AX33" s="1"/>
        <tr r="AX33" s="1"/>
      </tp>
      <tp>
        <v>2530</v>
        <stp/>
        <stp>OPEN_INT</stp>
        <stp>.SPY250516C553</stp>
        <tr r="AW33" s="1"/>
        <tr r="AW33" s="1"/>
      </tp>
      <tp>
        <v>58189</v>
        <stp/>
        <stp>OPEN_INT</stp>
        <stp>.SPY250516P550</stp>
        <tr r="AX36" s="1"/>
        <tr r="AX36" s="1"/>
      </tp>
      <tp>
        <v>23850</v>
        <stp/>
        <stp>OPEN_INT</stp>
        <stp>.SPY250516C550</stp>
        <tr r="AW36" s="1"/>
        <tr r="AW36" s="1"/>
      </tp>
      <tp>
        <v>2818</v>
        <stp/>
        <stp>OPEN_INT</stp>
        <stp>.SPY250516P551</stp>
        <tr r="AX35" s="1"/>
        <tr r="AX35" s="1"/>
      </tp>
      <tp>
        <v>7386</v>
        <stp/>
        <stp>OPEN_INT</stp>
        <stp>.SPY250516C551</stp>
        <tr r="AW35" s="1"/>
        <tr r="AW35" s="1"/>
      </tp>
      <tp>
        <v>2977</v>
        <stp/>
        <stp>OPEN_INT</stp>
        <stp>.SPY250509P549</stp>
        <tr r="AV37" s="1"/>
        <tr r="AV37" s="1"/>
      </tp>
      <tp>
        <v>2126</v>
        <stp/>
        <stp>OPEN_INT</stp>
        <stp>.SPY250516P556</stp>
        <tr r="AX30" s="1"/>
        <tr r="AX30" s="1"/>
      </tp>
      <tp>
        <v>775</v>
        <stp/>
        <stp>OPEN_INT</stp>
        <stp>.SPY250509C549</stp>
        <tr r="AU37" s="1"/>
        <tr r="AU37" s="1"/>
      </tp>
      <tp>
        <v>1607</v>
        <stp/>
        <stp>OPEN_INT</stp>
        <stp>.SPY250516C556</stp>
        <tr r="AW30" s="1"/>
        <tr r="AW30" s="1"/>
      </tp>
      <tp>
        <v>1972</v>
        <stp/>
        <stp>OPEN_INT</stp>
        <stp>.SPY250509P548</stp>
        <tr r="AV38" s="1"/>
        <tr r="AV38" s="1"/>
      </tp>
      <tp>
        <v>9609</v>
        <stp/>
        <stp>OPEN_INT</stp>
        <stp>.SPY250516P557</stp>
        <tr r="AX29" s="1"/>
        <tr r="AX29" s="1"/>
      </tp>
      <tp>
        <v>979</v>
        <stp/>
        <stp>OPEN_INT</stp>
        <stp>.SPY250509C548</stp>
        <tr r="AU38" s="1"/>
        <tr r="AU38" s="1"/>
      </tp>
      <tp>
        <v>2126</v>
        <stp/>
        <stp>OPEN_INT</stp>
        <stp>.SPY250516C557</stp>
        <tr r="AW29" s="1"/>
        <tr r="AW29" s="1"/>
      </tp>
      <tp>
        <v>2290</v>
        <stp/>
        <stp>OPEN_INT</stp>
        <stp>.SPY250516P554</stp>
        <tr r="AX32" s="1"/>
        <tr r="AX32" s="1"/>
      </tp>
      <tp>
        <v>2056</v>
        <stp/>
        <stp>OPEN_INT</stp>
        <stp>.SPY250516C554</stp>
        <tr r="AW32" s="1"/>
        <tr r="AW32" s="1"/>
      </tp>
      <tp>
        <v>53264</v>
        <stp/>
        <stp>OPEN_INT</stp>
        <stp>.SPY250516P555</stp>
        <tr r="AX31" s="1"/>
        <tr r="AX31" s="1"/>
      </tp>
      <tp>
        <v>9156</v>
        <stp/>
        <stp>OPEN_INT</stp>
        <stp>.SPY250516C555</stp>
        <tr r="AW31" s="1"/>
        <tr r="AW31" s="1"/>
      </tp>
      <tp>
        <v>4304</v>
        <stp/>
        <stp>OPEN_INT</stp>
        <stp>.SPY250507P549</stp>
        <tr r="AT37" s="1"/>
        <tr r="AT37" s="1"/>
      </tp>
      <tp>
        <v>3075</v>
        <stp/>
        <stp>OPEN_INT</stp>
        <stp>.SPY250516P558</stp>
        <tr r="AX28" s="1"/>
        <tr r="AX28" s="1"/>
      </tp>
      <tp>
        <v>1133</v>
        <stp/>
        <stp>OPEN_INT</stp>
        <stp>.SPY250507C549</stp>
        <tr r="AS37" s="1"/>
        <tr r="AS37" s="1"/>
      </tp>
      <tp>
        <v>11385</v>
        <stp/>
        <stp>OPEN_INT</stp>
        <stp>.SPY250516C558</stp>
        <tr r="AW28" s="1"/>
        <tr r="AW28" s="1"/>
      </tp>
      <tp>
        <v>4885</v>
        <stp/>
        <stp>OPEN_INT</stp>
        <stp>.SPY250507P548</stp>
        <tr r="AT38" s="1"/>
        <tr r="AT38" s="1"/>
      </tp>
      <tp>
        <v>1990</v>
        <stp/>
        <stp>OPEN_INT</stp>
        <stp>.SPY250516P559</stp>
        <tr r="AX27" s="1"/>
        <tr r="AX27" s="1"/>
      </tp>
      <tp>
        <v>856</v>
        <stp/>
        <stp>OPEN_INT</stp>
        <stp>.SPY250507C548</stp>
        <tr r="AS38" s="1"/>
        <tr r="AS38" s="1"/>
      </tp>
      <tp>
        <v>3428</v>
        <stp/>
        <stp>OPEN_INT</stp>
        <stp>.SPY250516C559</stp>
        <tr r="AW27" s="1"/>
        <tr r="AW27" s="1"/>
      </tp>
      <tp>
        <v>16</v>
        <stp/>
        <stp>OPEN_INT</stp>
        <stp>.NDX250516C20350</stp>
        <tr r="AW141" s="1"/>
        <tr r="AW141" s="1"/>
      </tp>
      <tp>
        <v>27</v>
        <stp/>
        <stp>OPEN_INT</stp>
        <stp>.NDX250516C19350</stp>
        <tr r="AW181" s="1"/>
        <tr r="AW181" s="1"/>
      </tp>
      <tp>
        <v>3636</v>
        <stp/>
        <stp>OPEN_INT</stp>
        <stp>.SPY250507P553</stp>
        <tr r="AT33" s="1"/>
        <tr r="AT33" s="1"/>
      </tp>
      <tp>
        <v>692</v>
        <stp/>
        <stp>OPEN_INT</stp>
        <stp>.SPY250507C553</stp>
        <tr r="AS33" s="1"/>
        <tr r="AS33" s="1"/>
      </tp>
      <tp>
        <v>2796</v>
        <stp/>
        <stp>OPEN_INT</stp>
        <stp>.SPY250507P552</stp>
        <tr r="AT34" s="1"/>
        <tr r="AT34" s="1"/>
      </tp>
      <tp>
        <v>589</v>
        <stp/>
        <stp>OPEN_INT</stp>
        <stp>.SPY250507C552</stp>
        <tr r="AS34" s="1"/>
        <tr r="AS34" s="1"/>
      </tp>
      <tp>
        <v>2507</v>
        <stp/>
        <stp>OPEN_INT</stp>
        <stp>.SPY250507P551</stp>
        <tr r="AT35" s="1"/>
        <tr r="AT35" s="1"/>
      </tp>
      <tp>
        <v>555</v>
        <stp/>
        <stp>OPEN_INT</stp>
        <stp>.SPY250507C551</stp>
        <tr r="AS35" s="1"/>
        <tr r="AS35" s="1"/>
      </tp>
      <tp>
        <v>14597</v>
        <stp/>
        <stp>OPEN_INT</stp>
        <stp>.SPY250507P550</stp>
        <tr r="AT36" s="1"/>
        <tr r="AT36" s="1"/>
      </tp>
      <tp>
        <v>942</v>
        <stp/>
        <stp>OPEN_INT</stp>
        <stp>.SPY250507C550</stp>
        <tr r="AS36" s="1"/>
        <tr r="AS36" s="1"/>
      </tp>
      <tp>
        <v>5094</v>
        <stp/>
        <stp>OPEN_INT</stp>
        <stp>.SPY250507P557</stp>
        <tr r="AT29" s="1"/>
        <tr r="AT29" s="1"/>
      </tp>
      <tp>
        <v>2076</v>
        <stp/>
        <stp>OPEN_INT</stp>
        <stp>.SPY250509P559</stp>
        <tr r="AV27" s="1"/>
        <tr r="AV27" s="1"/>
      </tp>
      <tp>
        <v>4419</v>
        <stp/>
        <stp>OPEN_INT</stp>
        <stp>.SPY250507C557</stp>
        <tr r="AS29" s="1"/>
        <tr r="AS29" s="1"/>
      </tp>
      <tp>
        <v>1765</v>
        <stp/>
        <stp>OPEN_INT</stp>
        <stp>.SPY250509C559</stp>
        <tr r="AU27" s="1"/>
        <tr r="AU27" s="1"/>
      </tp>
      <tp>
        <v>3783</v>
        <stp/>
        <stp>OPEN_INT</stp>
        <stp>.SPY250507P556</stp>
        <tr r="AT30" s="1"/>
        <tr r="AT30" s="1"/>
      </tp>
      <tp>
        <v>3315</v>
        <stp/>
        <stp>OPEN_INT</stp>
        <stp>.SPY250509P558</stp>
        <tr r="AV28" s="1"/>
        <tr r="AV28" s="1"/>
      </tp>
      <tp>
        <v>733</v>
        <stp/>
        <stp>OPEN_INT</stp>
        <stp>.SPY250507C556</stp>
        <tr r="AS30" s="1"/>
        <tr r="AS30" s="1"/>
      </tp>
      <tp>
        <v>1532</v>
        <stp/>
        <stp>OPEN_INT</stp>
        <stp>.SPY250509C558</stp>
        <tr r="AU28" s="1"/>
        <tr r="AU28" s="1"/>
      </tp>
      <tp>
        <v>12302</v>
        <stp/>
        <stp>OPEN_INT</stp>
        <stp>.SPY250507P555</stp>
        <tr r="AT31" s="1"/>
        <tr r="AT31" s="1"/>
      </tp>
      <tp>
        <v>1230</v>
        <stp/>
        <stp>OPEN_INT</stp>
        <stp>.SPY250507C555</stp>
        <tr r="AS31" s="1"/>
        <tr r="AS31" s="1"/>
      </tp>
      <tp>
        <v>6078</v>
        <stp/>
        <stp>OPEN_INT</stp>
        <stp>.SPY250507P554</stp>
        <tr r="AT32" s="1"/>
        <tr r="AT32" s="1"/>
      </tp>
      <tp>
        <v>440</v>
        <stp/>
        <stp>OPEN_INT</stp>
        <stp>.SPY250507C554</stp>
        <tr r="AS32" s="1"/>
        <tr r="AS32" s="1"/>
      </tp>
      <tp>
        <v>16080</v>
        <stp/>
        <stp>OPEN_INT</stp>
        <stp>.SPY250509P555</stp>
        <tr r="AV31" s="1"/>
        <tr r="AV31" s="1"/>
      </tp>
      <tp>
        <v>10135</v>
        <stp/>
        <stp>OPEN_INT</stp>
        <stp>.SPY250509C555</stp>
        <tr r="AU31" s="1"/>
        <tr r="AU31" s="1"/>
      </tp>
      <tp>
        <v>2069</v>
        <stp/>
        <stp>OPEN_INT</stp>
        <stp>.SPY250509P554</stp>
        <tr r="AV32" s="1"/>
        <tr r="AV32" s="1"/>
      </tp>
      <tp>
        <v>776</v>
        <stp/>
        <stp>OPEN_INT</stp>
        <stp>.SPY250509C554</stp>
        <tr r="AU32" s="1"/>
        <tr r="AU32" s="1"/>
      </tp>
      <tp>
        <v>5433</v>
        <stp/>
        <stp>OPEN_INT</stp>
        <stp>.SPY250507P559</stp>
        <tr r="AT27" s="1"/>
        <tr r="AT27" s="1"/>
      </tp>
      <tp>
        <v>4860</v>
        <stp/>
        <stp>OPEN_INT</stp>
        <stp>.SPY250509P557</stp>
        <tr r="AV29" s="1"/>
        <tr r="AV29" s="1"/>
      </tp>
      <tp>
        <v>4406</v>
        <stp/>
        <stp>OPEN_INT</stp>
        <stp>.SPY250516P548</stp>
        <tr r="AX38" s="1"/>
        <tr r="AX38" s="1"/>
      </tp>
      <tp>
        <v>3264</v>
        <stp/>
        <stp>OPEN_INT</stp>
        <stp>.SPY250507C559</stp>
        <tr r="AS27" s="1"/>
        <tr r="AS27" s="1"/>
      </tp>
      <tp>
        <v>1502</v>
        <stp/>
        <stp>OPEN_INT</stp>
        <stp>.SPY250509C557</stp>
        <tr r="AU29" s="1"/>
        <tr r="AU29" s="1"/>
      </tp>
      <tp>
        <v>5709</v>
        <stp/>
        <stp>OPEN_INT</stp>
        <stp>.SPY250516C548</stp>
        <tr r="AW38" s="1"/>
        <tr r="AW38" s="1"/>
      </tp>
      <tp>
        <v>4810</v>
        <stp/>
        <stp>OPEN_INT</stp>
        <stp>.SPY250507P558</stp>
        <tr r="AT28" s="1"/>
        <tr r="AT28" s="1"/>
      </tp>
      <tp>
        <v>1994</v>
        <stp/>
        <stp>OPEN_INT</stp>
        <stp>.SPY250509P556</stp>
        <tr r="AV30" s="1"/>
        <tr r="AV30" s="1"/>
      </tp>
      <tp>
        <v>3580</v>
        <stp/>
        <stp>OPEN_INT</stp>
        <stp>.SPY250516P549</stp>
        <tr r="AX37" s="1"/>
        <tr r="AX37" s="1"/>
      </tp>
      <tp>
        <v>5359</v>
        <stp/>
        <stp>OPEN_INT</stp>
        <stp>.SPY250507C558</stp>
        <tr r="AS28" s="1"/>
        <tr r="AS28" s="1"/>
      </tp>
      <tp>
        <v>1583</v>
        <stp/>
        <stp>OPEN_INT</stp>
        <stp>.SPY250509C556</stp>
        <tr r="AU30" s="1"/>
        <tr r="AU30" s="1"/>
      </tp>
      <tp>
        <v>4393</v>
        <stp/>
        <stp>OPEN_INT</stp>
        <stp>.SPY250516C549</stp>
        <tr r="AW37" s="1"/>
        <tr r="AW37" s="1"/>
      </tp>
      <tp>
        <v>3145</v>
        <stp/>
        <stp>OPEN_INT</stp>
        <stp>.SPY250509P551</stp>
        <tr r="AV35" s="1"/>
        <tr r="AV35" s="1"/>
      </tp>
      <tp>
        <v>1298</v>
        <stp/>
        <stp>OPEN_INT</stp>
        <stp>.SPY250509C551</stp>
        <tr r="AU35" s="1"/>
        <tr r="AU35" s="1"/>
      </tp>
      <tp>
        <v>26400</v>
        <stp/>
        <stp>OPEN_INT</stp>
        <stp>.SPY250509P550</stp>
        <tr r="AV36" s="1"/>
        <tr r="AV36" s="1"/>
      </tp>
      <tp>
        <v>9487</v>
        <stp/>
        <stp>OPEN_INT</stp>
        <stp>.SPY250509C550</stp>
        <tr r="AU36" s="1"/>
        <tr r="AU36" s="1"/>
      </tp>
      <tp>
        <v>1744</v>
        <stp/>
        <stp>OPEN_INT</stp>
        <stp>.SPY250509P553</stp>
        <tr r="AV33" s="1"/>
        <tr r="AV33" s="1"/>
      </tp>
      <tp>
        <v>853</v>
        <stp/>
        <stp>OPEN_INT</stp>
        <stp>.SPY250509C553</stp>
        <tr r="AU33" s="1"/>
        <tr r="AU33" s="1"/>
      </tp>
      <tp>
        <v>6979</v>
        <stp/>
        <stp>OPEN_INT</stp>
        <stp>.SPY250509P552</stp>
        <tr r="AV34" s="1"/>
        <tr r="AV34" s="1"/>
      </tp>
      <tp>
        <v>536</v>
        <stp/>
        <stp>OPEN_INT</stp>
        <stp>.SPY250509C552</stp>
        <tr r="AU34" s="1"/>
        <tr r="AU34" s="1"/>
      </tp>
      <tp>
        <v>1</v>
        <stp/>
        <stp>OPEN_INT</stp>
        <stp>.SPY250507P582</stp>
        <tr r="AT4" s="1"/>
        <tr r="AT4" s="1"/>
      </tp>
      <tp>
        <v>1652</v>
        <stp/>
        <stp>OPEN_INT</stp>
        <stp>.SPY250507C582</stp>
        <tr r="AS4" s="1"/>
        <tr r="AS4" s="1"/>
      </tp>
      <tp>
        <v>0</v>
        <stp/>
        <stp>OPEN_INT</stp>
        <stp>.SPY250507P581</stp>
        <tr r="AT5" s="1"/>
        <tr r="AT5" s="1"/>
      </tp>
      <tp>
        <v>2000</v>
        <stp/>
        <stp>OPEN_INT</stp>
        <stp>.SPY250507C581</stp>
        <tr r="AS5" s="1"/>
        <tr r="AS5" s="1"/>
      </tp>
      <tp>
        <v>29</v>
        <stp/>
        <stp>OPEN_INT</stp>
        <stp>.SPY250507P580</stp>
        <tr r="AT6" s="1"/>
        <tr r="AT6" s="1"/>
      </tp>
      <tp>
        <v>6500</v>
        <stp/>
        <stp>OPEN_INT</stp>
        <stp>.SPY250507C580</stp>
        <tr r="AS6" s="1"/>
        <tr r="AS6" s="1"/>
      </tp>
      <tp>
        <v>17</v>
        <stp/>
        <stp>OPEN_INT</stp>
        <stp>.SPY250509P581</stp>
        <tr r="AV5" s="1"/>
        <tr r="AV5" s="1"/>
      </tp>
      <tp>
        <v>2550</v>
        <stp/>
        <stp>OPEN_INT</stp>
        <stp>.SPY250509C581</stp>
        <tr r="AU5" s="1"/>
        <tr r="AU5" s="1"/>
      </tp>
      <tp>
        <v>186</v>
        <stp/>
        <stp>OPEN_INT</stp>
        <stp>.SPY250509P580</stp>
        <tr r="AV6" s="1"/>
        <tr r="AV6" s="1"/>
      </tp>
      <tp>
        <v>10560</v>
        <stp/>
        <stp>OPEN_INT</stp>
        <stp>.SPY250509C580</stp>
        <tr r="AU6" s="1"/>
        <tr r="AU6" s="1"/>
      </tp>
      <tp>
        <v>5</v>
        <stp/>
        <stp>OPEN_INT</stp>
        <stp>.SPY250509P582</stp>
        <tr r="AV4" s="1"/>
        <tr r="AV4" s="1"/>
      </tp>
      <tp>
        <v>2030</v>
        <stp/>
        <stp>OPEN_INT</stp>
        <stp>.SPY250509C582</stp>
        <tr r="AU4" s="1"/>
        <tr r="AU4" s="1"/>
      </tp>
      <tp>
        <v>1</v>
        <stp/>
        <stp>OPEN_INT</stp>
        <stp>.SPY250516P582</stp>
        <tr r="AX4" s="1"/>
        <tr r="AX4" s="1"/>
      </tp>
      <tp>
        <v>3920</v>
        <stp/>
        <stp>OPEN_INT</stp>
        <stp>.SPY250516C582</stp>
        <tr r="AW4" s="1"/>
        <tr r="AW4" s="1"/>
      </tp>
      <tp>
        <v>1632</v>
        <stp/>
        <stp>OPEN_INT</stp>
        <stp>.SPY250516P580</stp>
        <tr r="AX6" s="1"/>
        <tr r="AX6" s="1"/>
      </tp>
      <tp>
        <v>27992</v>
        <stp/>
        <stp>OPEN_INT</stp>
        <stp>.SPY250516C580</stp>
        <tr r="AW6" s="1"/>
        <tr r="AW6" s="1"/>
      </tp>
      <tp>
        <v>28</v>
        <stp/>
        <stp>OPEN_INT</stp>
        <stp>.SPY250516P581</stp>
        <tr r="AX5" s="1"/>
        <tr r="AX5" s="1"/>
      </tp>
      <tp>
        <v>4712</v>
        <stp/>
        <stp>OPEN_INT</stp>
        <stp>.SPY250516C581</stp>
        <tr r="AW5" s="1"/>
        <tr r="AW5" s="1"/>
      </tp>
      <tp>
        <v>19</v>
        <stp/>
        <stp>OPEN_INT</stp>
        <stp>.NDX250516P20200</stp>
        <tr r="AX147" s="1"/>
        <tr r="AX147" s="1"/>
      </tp>
      <tp>
        <v>132</v>
        <stp/>
        <stp>OPEN_INT</stp>
        <stp>.NDX250516P19200</stp>
        <tr r="AX187" s="1"/>
        <tr r="AX187" s="1"/>
      </tp>
      <tp>
        <v>0</v>
        <stp/>
        <stp>OPEN_INT</stp>
        <stp>.NDX250516P20225</stp>
        <tr r="AX146" s="1"/>
        <tr r="AX146" s="1"/>
      </tp>
      <tp>
        <v>9</v>
        <stp/>
        <stp>OPEN_INT</stp>
        <stp>.NDX250516P19225</stp>
        <tr r="AX186" s="1"/>
        <tr r="AX186" s="1"/>
      </tp>
      <tp>
        <v>4</v>
        <stp/>
        <stp>OPEN_INT</stp>
        <stp>.NDX250516P20250</stp>
        <tr r="AX145" s="1"/>
        <tr r="AX145" s="1"/>
      </tp>
      <tp>
        <v>9</v>
        <stp/>
        <stp>OPEN_INT</stp>
        <stp>.NDX250516P19250</stp>
        <tr r="AX185" s="1"/>
        <tr r="AX185" s="1"/>
      </tp>
      <tp>
        <v>1</v>
        <stp/>
        <stp>OPEN_INT</stp>
        <stp>.NDX250516P20275</stp>
        <tr r="AX144" s="1"/>
        <tr r="AX144" s="1"/>
      </tp>
      <tp>
        <v>2</v>
        <stp/>
        <stp>OPEN_INT</stp>
        <stp>.NDX250516P19275</stp>
        <tr r="AX184" s="1"/>
        <tr r="AX184" s="1"/>
      </tp>
      <tp>
        <v>15</v>
        <stp/>
        <stp>OPEN_INT</stp>
        <stp>.NDX250516C20225</stp>
        <tr r="AW146" s="1"/>
        <tr r="AW146" s="1"/>
      </tp>
      <tp>
        <v>4</v>
        <stp/>
        <stp>OPEN_INT</stp>
        <stp>.NDX250516C19225</stp>
        <tr r="AW186" s="1"/>
        <tr r="AW186" s="1"/>
      </tp>
      <tp>
        <v>78</v>
        <stp/>
        <stp>OPEN_INT</stp>
        <stp>.NDX250516C20200</stp>
        <tr r="AW147" s="1"/>
        <tr r="AW147" s="1"/>
      </tp>
      <tp>
        <v>80</v>
        <stp/>
        <stp>OPEN_INT</stp>
        <stp>.NDX250516C19200</stp>
        <tr r="AW187" s="1"/>
        <tr r="AW187" s="1"/>
      </tp>
      <tp>
        <v>24</v>
        <stp/>
        <stp>OPEN_INT</stp>
        <stp>.NDX250516C20275</stp>
        <tr r="AW144" s="1"/>
        <tr r="AW144" s="1"/>
      </tp>
      <tp>
        <v>10</v>
        <stp/>
        <stp>OPEN_INT</stp>
        <stp>.NDX250516C19275</stp>
        <tr r="AW184" s="1"/>
        <tr r="AW184" s="1"/>
      </tp>
      <tp>
        <v>48</v>
        <stp/>
        <stp>OPEN_INT</stp>
        <stp>.NDX250516C20250</stp>
        <tr r="AW145" s="1"/>
        <tr r="AW145" s="1"/>
      </tp>
      <tp>
        <v>21</v>
        <stp/>
        <stp>OPEN_INT</stp>
        <stp>.NDX250516C19250</stp>
        <tr r="AW185" s="1"/>
        <tr r="AW185" s="1"/>
      </tp>
      <tp>
        <v>73</v>
        <stp/>
        <stp>OPEN_INT</stp>
        <stp>.NDX250516P20100</stp>
        <tr r="AX151" s="1"/>
        <tr r="AX151" s="1"/>
      </tp>
      <tp>
        <v>18</v>
        <stp/>
        <stp>OPEN_INT</stp>
        <stp>.NDX250516P20125</stp>
        <tr r="AX150" s="1"/>
        <tr r="AX150" s="1"/>
      </tp>
      <tp>
        <v>5</v>
        <stp/>
        <stp>OPEN_INT</stp>
        <stp>.NDX250516P20150</stp>
        <tr r="AX149" s="1"/>
        <tr r="AX149" s="1"/>
      </tp>
      <tp>
        <v>11</v>
        <stp/>
        <stp>OPEN_INT</stp>
        <stp>.NDX250516P19150</stp>
        <tr r="AX189" s="1"/>
        <tr r="AX189" s="1"/>
      </tp>
      <tp>
        <v>6</v>
        <stp/>
        <stp>OPEN_INT</stp>
        <stp>.NDX250516P20175</stp>
        <tr r="AX148" s="1"/>
        <tr r="AX148" s="1"/>
      </tp>
      <tp>
        <v>12</v>
        <stp/>
        <stp>OPEN_INT</stp>
        <stp>.NDX250516P19175</stp>
        <tr r="AX188" s="1"/>
        <tr r="AX188" s="1"/>
      </tp>
      <tp>
        <v>19</v>
        <stp/>
        <stp>OPEN_INT</stp>
        <stp>.NDX250516C20125</stp>
        <tr r="AW150" s="1"/>
        <tr r="AW150" s="1"/>
      </tp>
      <tp>
        <v>103</v>
        <stp/>
        <stp>OPEN_INT</stp>
        <stp>.NDX250516C20100</stp>
        <tr r="AW151" s="1"/>
        <tr r="AW151" s="1"/>
      </tp>
      <tp>
        <v>16</v>
        <stp/>
        <stp>OPEN_INT</stp>
        <stp>.NDX250516C20175</stp>
        <tr r="AW148" s="1"/>
        <tr r="AW148" s="1"/>
      </tp>
      <tp>
        <v>5</v>
        <stp/>
        <stp>OPEN_INT</stp>
        <stp>.NDX250516C19175</stp>
        <tr r="AW188" s="1"/>
        <tr r="AW188" s="1"/>
      </tp>
      <tp>
        <v>9</v>
        <stp/>
        <stp>OPEN_INT</stp>
        <stp>.NDX250516C20150</stp>
        <tr r="AW149" s="1"/>
        <tr r="AW149" s="1"/>
      </tp>
      <tp>
        <v>11</v>
        <stp/>
        <stp>OPEN_INT</stp>
        <stp>.NDX250516C19150</stp>
        <tr r="AW189" s="1"/>
        <tr r="AW189" s="1"/>
      </tp>
      <tp t="s">
        <v>19.23%</v>
        <stp/>
        <stp>IMPL_VOL</stp>
        <stp>.SPXW250516C5850</stp>
        <tr r="EP87" s="1"/>
      </tp>
      <tp t="s">
        <v>--</v>
        <stp/>
        <stp>IMPL_VOL</stp>
        <stp>.SPXW250516P5850</stp>
        <tr r="EQ87" s="1"/>
      </tp>
      <tp t="s">
        <v>19.41%</v>
        <stp/>
        <stp>IMPL_VOL</stp>
        <stp>.SPXW250516C5840</stp>
        <tr r="EP88" s="1"/>
      </tp>
      <tp t="s">
        <v>--</v>
        <stp/>
        <stp>IMPL_VOL</stp>
        <stp>.SPXW250516P5840</stp>
        <tr r="EQ88" s="1"/>
      </tp>
      <tp t="s">
        <v>18.96%</v>
        <stp/>
        <stp>IMPL_VOL</stp>
        <stp>.SPXW250516C5870</stp>
        <tr r="EP85" s="1"/>
      </tp>
      <tp t="s">
        <v>--</v>
        <stp/>
        <stp>IMPL_VOL</stp>
        <stp>.SPXW250516P5870</stp>
        <tr r="EQ85" s="1"/>
      </tp>
      <tp t="s">
        <v>19.12%</v>
        <stp/>
        <stp>IMPL_VOL</stp>
        <stp>.SPXW250516C5860</stp>
        <tr r="EP86" s="1"/>
      </tp>
      <tp t="s">
        <v>--</v>
        <stp/>
        <stp>IMPL_VOL</stp>
        <stp>.SPXW250516P5860</stp>
        <tr r="EQ86" s="1"/>
      </tp>
      <tp t="s">
        <v>19.95%</v>
        <stp/>
        <stp>IMPL_VOL</stp>
        <stp>.SPXW250516C5810</stp>
        <tr r="EP91" s="1"/>
      </tp>
      <tp t="s">
        <v>--</v>
        <stp/>
        <stp>IMPL_VOL</stp>
        <stp>.SPXW250516P5810</stp>
        <tr r="EQ91" s="1"/>
      </tp>
      <tp t="s">
        <v>20.20%</v>
        <stp/>
        <stp>IMPL_VOL</stp>
        <stp>.SPXW250516C5800</stp>
        <tr r="EP92" s="1"/>
      </tp>
      <tp t="s">
        <v>--</v>
        <stp/>
        <stp>IMPL_VOL</stp>
        <stp>.SPXW250516P5800</stp>
        <tr r="EQ92" s="1"/>
      </tp>
      <tp t="s">
        <v>19.58%</v>
        <stp/>
        <stp>IMPL_VOL</stp>
        <stp>.SPXW250516C5830</stp>
        <tr r="EP89" s="1"/>
      </tp>
      <tp t="s">
        <v>--</v>
        <stp/>
        <stp>IMPL_VOL</stp>
        <stp>.SPXW250516P5830</stp>
        <tr r="EQ89" s="1"/>
      </tp>
      <tp t="s">
        <v>19.77%</v>
        <stp/>
        <stp>IMPL_VOL</stp>
        <stp>.SPXW250516C5820</stp>
        <tr r="EP90" s="1"/>
      </tp>
      <tp t="s">
        <v>--</v>
        <stp/>
        <stp>IMPL_VOL</stp>
        <stp>.SPXW250516P5820</stp>
        <tr r="EQ90" s="1"/>
      </tp>
      <tp>
        <v>119</v>
        <stp/>
        <stp>OPEN_INT</stp>
        <stp>.NDX250516P20000</stp>
        <tr r="AX155" s="1"/>
        <tr r="AX155" s="1"/>
      </tp>
      <tp>
        <v>25</v>
        <stp/>
        <stp>OPEN_INT</stp>
        <stp>.NDX250516P20025</stp>
        <tr r="AX154" s="1"/>
        <tr r="AX154" s="1"/>
      </tp>
      <tp>
        <v>12</v>
        <stp/>
        <stp>OPEN_INT</stp>
        <stp>.NDX250516P20050</stp>
        <tr r="AX153" s="1"/>
        <tr r="AX153" s="1"/>
      </tp>
      <tp>
        <v>1</v>
        <stp/>
        <stp>OPEN_INT</stp>
        <stp>.NDX250516P20075</stp>
        <tr r="AX152" s="1"/>
        <tr r="AX152" s="1"/>
      </tp>
      <tp>
        <v>35</v>
        <stp/>
        <stp>OPEN_INT</stp>
        <stp>.NDX250516C20025</stp>
        <tr r="AW154" s="1"/>
        <tr r="AW154" s="1"/>
      </tp>
      <tp>
        <v>145</v>
        <stp/>
        <stp>OPEN_INT</stp>
        <stp>.NDX250516C20000</stp>
        <tr r="AW155" s="1"/>
        <tr r="AW155" s="1"/>
      </tp>
      <tp>
        <v>32</v>
        <stp/>
        <stp>OPEN_INT</stp>
        <stp>.NDX250516C20075</stp>
        <tr r="AW152" s="1"/>
        <tr r="AW152" s="1"/>
      </tp>
      <tp>
        <v>29</v>
        <stp/>
        <stp>OPEN_INT</stp>
        <stp>.NDX250516C20050</stp>
        <tr r="AW153" s="1"/>
        <tr r="AW153" s="1"/>
      </tp>
      <tp t="s">
        <v>24.30%</v>
        <stp/>
        <stp>IMPL_VOL</stp>
        <stp>.SPXW250509C5820</stp>
        <tr r="EN90" s="1"/>
      </tp>
      <tp t="s">
        <v>--</v>
        <stp/>
        <stp>IMPL_VOL</stp>
        <stp>.SPXW250509P5820</stp>
        <tr r="EO90" s="1"/>
      </tp>
      <tp t="s">
        <v>24.26%</v>
        <stp/>
        <stp>IMPL_VOL</stp>
        <stp>.SPXW250509C5830</stp>
        <tr r="EN89" s="1"/>
      </tp>
      <tp t="s">
        <v>--</v>
        <stp/>
        <stp>IMPL_VOL</stp>
        <stp>.SPXW250509P5830</stp>
        <tr r="EO89" s="1"/>
      </tp>
      <tp t="s">
        <v>24.53%</v>
        <stp/>
        <stp>IMPL_VOL</stp>
        <stp>.SPXW250509C5800</stp>
        <tr r="EN92" s="1"/>
      </tp>
      <tp t="s">
        <v>--</v>
        <stp/>
        <stp>IMPL_VOL</stp>
        <stp>.SPXW250509P5800</stp>
        <tr r="EO92" s="1"/>
      </tp>
      <tp t="s">
        <v>24.39%</v>
        <stp/>
        <stp>IMPL_VOL</stp>
        <stp>.SPXW250509C5810</stp>
        <tr r="EN91" s="1"/>
      </tp>
      <tp t="s">
        <v>--</v>
        <stp/>
        <stp>IMPL_VOL</stp>
        <stp>.SPXW250509P5810</stp>
        <tr r="EO91" s="1"/>
      </tp>
      <tp t="s">
        <v>24.95%</v>
        <stp/>
        <stp>IMPL_VOL</stp>
        <stp>.SPXW250509C5860</stp>
        <tr r="EN86" s="1"/>
      </tp>
      <tp t="s">
        <v>--</v>
        <stp/>
        <stp>IMPL_VOL</stp>
        <stp>.SPXW250509P5860</stp>
        <tr r="EO86" s="1"/>
      </tp>
      <tp t="s">
        <v>25.38%</v>
        <stp/>
        <stp>IMPL_VOL</stp>
        <stp>.SPXW250509C5870</stp>
        <tr r="EN85" s="1"/>
      </tp>
      <tp t="s">
        <v>--</v>
        <stp/>
        <stp>IMPL_VOL</stp>
        <stp>.SPXW250509P5870</stp>
        <tr r="EO85" s="1"/>
      </tp>
      <tp t="s">
        <v>24.69%</v>
        <stp/>
        <stp>IMPL_VOL</stp>
        <stp>.SPXW250509C5840</stp>
        <tr r="EN88" s="1"/>
      </tp>
      <tp t="s">
        <v>--</v>
        <stp/>
        <stp>IMPL_VOL</stp>
        <stp>.SPXW250509P5840</stp>
        <tr r="EO88" s="1"/>
      </tp>
      <tp t="s">
        <v>24.63%</v>
        <stp/>
        <stp>IMPL_VOL</stp>
        <stp>.SPXW250509C5850</stp>
        <tr r="EN87" s="1"/>
      </tp>
      <tp t="s">
        <v>--</v>
        <stp/>
        <stp>IMPL_VOL</stp>
        <stp>.SPXW250509P5850</stp>
        <tr r="EO87" s="1"/>
      </tp>
      <tp t="s">
        <v>159.78%</v>
        <stp/>
        <stp>IMPL_VOL</stp>
        <stp>.SPXW250507C5840</stp>
        <tr r="EL88" s="1"/>
      </tp>
      <tp t="s">
        <v>359.40%</v>
        <stp/>
        <stp>IMPL_VOL</stp>
        <stp>.SPXW250507P5840</stp>
        <tr r="EM88" s="1"/>
      </tp>
      <tp t="s">
        <v>166.63%</v>
        <stp/>
        <stp>IMPL_VOL</stp>
        <stp>.SPXW250507C5850</stp>
        <tr r="EL87" s="1"/>
      </tp>
      <tp t="s">
        <v>371.10%</v>
        <stp/>
        <stp>IMPL_VOL</stp>
        <stp>.SPXW250507P5850</stp>
        <tr r="EM87" s="1"/>
      </tp>
      <tp t="s">
        <v>173.44%</v>
        <stp/>
        <stp>IMPL_VOL</stp>
        <stp>.SPXW250507C5860</stp>
        <tr r="EL86" s="1"/>
      </tp>
      <tp t="s">
        <v>384.15%</v>
        <stp/>
        <stp>IMPL_VOL</stp>
        <stp>.SPXW250507P5860</stp>
        <tr r="EM86" s="1"/>
      </tp>
      <tp t="s">
        <v>180.22%</v>
        <stp/>
        <stp>IMPL_VOL</stp>
        <stp>.SPXW250507C5870</stp>
        <tr r="EL85" s="1"/>
      </tp>
      <tp t="s">
        <v>334.49%</v>
        <stp/>
        <stp>IMPL_VOL</stp>
        <stp>.SPXW250507P5870</stp>
        <tr r="EM85" s="1"/>
      </tp>
      <tp t="s">
        <v>132.01%</v>
        <stp/>
        <stp>IMPL_VOL</stp>
        <stp>.SPXW250507C5800</stp>
        <tr r="EL92" s="1"/>
      </tp>
      <tp t="s">
        <v>307.77%</v>
        <stp/>
        <stp>IMPL_VOL</stp>
        <stp>.SPXW250507P5800</stp>
        <tr r="EM92" s="1"/>
      </tp>
      <tp t="s">
        <v>139.02%</v>
        <stp/>
        <stp>IMPL_VOL</stp>
        <stp>.SPXW250507C5810</stp>
        <tr r="EL91" s="1"/>
      </tp>
      <tp t="s">
        <v>327.26%</v>
        <stp/>
        <stp>IMPL_VOL</stp>
        <stp>.SPXW250507P5810</stp>
        <tr r="EM91" s="1"/>
      </tp>
      <tp t="s">
        <v>145.98%</v>
        <stp/>
        <stp>IMPL_VOL</stp>
        <stp>.SPXW250507C5820</stp>
        <tr r="EL90" s="1"/>
      </tp>
      <tp t="s">
        <v>334.18%</v>
        <stp/>
        <stp>IMPL_VOL</stp>
        <stp>.SPXW250507P5820</stp>
        <tr r="EM90" s="1"/>
      </tp>
      <tp t="s">
        <v>152.90%</v>
        <stp/>
        <stp>IMPL_VOL</stp>
        <stp>.SPXW250507C5830</stp>
        <tr r="EL89" s="1"/>
      </tp>
      <tp t="s">
        <v>289.22%</v>
        <stp/>
        <stp>IMPL_VOL</stp>
        <stp>.SPXW250507P5830</stp>
        <tr r="EM89" s="1"/>
      </tp>
      <tp>
        <v>4</v>
        <stp/>
        <stp>OPEN_INT</stp>
        <stp>.NDXP250507C19200</stp>
        <tr r="AS187" s="1"/>
        <tr r="AS187" s="1"/>
      </tp>
      <tp>
        <v>28</v>
        <stp/>
        <stp>OPEN_INT</stp>
        <stp>.NDXP250507C20200</stp>
        <tr r="AS147" s="1"/>
        <tr r="AS147" s="1"/>
      </tp>
      <tp>
        <v>0</v>
        <stp/>
        <stp>OPEN_INT</stp>
        <stp>.NDXP250507C19225</stp>
        <tr r="AS186" s="1"/>
        <tr r="AS186" s="1"/>
      </tp>
      <tp>
        <v>5</v>
        <stp/>
        <stp>OPEN_INT</stp>
        <stp>.NDXP250507C20225</stp>
        <tr r="AS146" s="1"/>
        <tr r="AS146" s="1"/>
      </tp>
      <tp>
        <v>0</v>
        <stp/>
        <stp>OPEN_INT</stp>
        <stp>.NDXP250507C19250</stp>
        <tr r="AS185" s="1"/>
        <tr r="AS185" s="1"/>
      </tp>
      <tp>
        <v>15</v>
        <stp/>
        <stp>OPEN_INT</stp>
        <stp>.NDXP250507C20250</stp>
        <tr r="AS145" s="1"/>
        <tr r="AS145" s="1"/>
      </tp>
      <tp>
        <v>0</v>
        <stp/>
        <stp>OPEN_INT</stp>
        <stp>.NDXP250507C19275</stp>
        <tr r="AS184" s="1"/>
        <tr r="AS184" s="1"/>
      </tp>
      <tp>
        <v>3</v>
        <stp/>
        <stp>OPEN_INT</stp>
        <stp>.NDXP250507C20275</stp>
        <tr r="AS144" s="1"/>
        <tr r="AS144" s="1"/>
      </tp>
      <tp>
        <v>1</v>
        <stp/>
        <stp>OPEN_INT</stp>
        <stp>.NDXP250507P19225</stp>
        <tr r="AT186" s="1"/>
        <tr r="AT186" s="1"/>
      </tp>
      <tp>
        <v>0</v>
        <stp/>
        <stp>OPEN_INT</stp>
        <stp>.NDXP250507P20225</stp>
        <tr r="AT146" s="1"/>
        <tr r="AT146" s="1"/>
      </tp>
      <tp>
        <v>16</v>
        <stp/>
        <stp>OPEN_INT</stp>
        <stp>.NDXP250507P19200</stp>
        <tr r="AT187" s="1"/>
        <tr r="AT187" s="1"/>
      </tp>
      <tp>
        <v>3</v>
        <stp/>
        <stp>OPEN_INT</stp>
        <stp>.NDXP250507P20200</stp>
        <tr r="AT147" s="1"/>
        <tr r="AT147" s="1"/>
      </tp>
      <tp>
        <v>16</v>
        <stp/>
        <stp>OPEN_INT</stp>
        <stp>.NDXP250507P19275</stp>
        <tr r="AT184" s="1"/>
        <tr r="AT184" s="1"/>
      </tp>
      <tp>
        <v>0</v>
        <stp/>
        <stp>OPEN_INT</stp>
        <stp>.NDXP250507P20275</stp>
        <tr r="AT144" s="1"/>
        <tr r="AT144" s="1"/>
      </tp>
      <tp>
        <v>18</v>
        <stp/>
        <stp>OPEN_INT</stp>
        <stp>.NDXP250507P19250</stp>
        <tr r="AT185" s="1"/>
        <tr r="AT185" s="1"/>
      </tp>
      <tp>
        <v>0</v>
        <stp/>
        <stp>OPEN_INT</stp>
        <stp>.NDXP250507P20250</stp>
        <tr r="AT145" s="1"/>
        <tr r="AT145" s="1"/>
      </tp>
      <tp>
        <v>-0.21</v>
        <stp/>
        <stp>DELTA</stp>
        <stp>.NDXP250507P19825</stp>
        <tr r="CE162" s="1"/>
        <tr r="CE162" s="1"/>
      </tp>
      <tp>
        <v>-0.26</v>
        <stp/>
        <stp>DELTA</stp>
        <stp>.NDXP250509P19625</stp>
        <tr r="CG170" s="1"/>
        <tr r="CG170" s="1"/>
      </tp>
      <tp>
        <v>-0.04</v>
        <stp/>
        <stp>DELTA</stp>
        <stp>.NDXP250507P19800</stp>
        <tr r="CE163" s="1"/>
        <tr r="CE163" s="1"/>
      </tp>
      <tp>
        <v>-0.24</v>
        <stp/>
        <stp>DELTA</stp>
        <stp>.NDXP250509P19600</stp>
        <tr r="CG171" s="1"/>
        <tr r="CG171" s="1"/>
      </tp>
      <tp>
        <v>-0.6</v>
        <stp/>
        <stp>DELTA</stp>
        <stp>.NDXP250507P19875</stp>
        <tr r="CE160" s="1"/>
        <tr r="CE160" s="1"/>
      </tp>
      <tp>
        <v>-0.3</v>
        <stp/>
        <stp>DELTA</stp>
        <stp>.NDXP250509P19675</stp>
        <tr r="CG168" s="1"/>
        <tr r="CG168" s="1"/>
      </tp>
      <tp>
        <v>-0.34</v>
        <stp/>
        <stp>DELTA</stp>
        <stp>.NDXP250507P19850</stp>
        <tr r="CE161" s="1"/>
        <tr r="CE161" s="1"/>
      </tp>
      <tp>
        <v>-0.28000000000000003</v>
        <stp/>
        <stp>DELTA</stp>
        <stp>.NDXP250509P19650</stp>
        <tr r="CG169" s="1"/>
        <tr r="CG169" s="1"/>
      </tp>
      <tp>
        <v>1</v>
        <stp/>
        <stp>DELTA</stp>
        <stp>.NDXP250507C19800</stp>
        <tr r="CD163" s="1"/>
        <tr r="CD163" s="1"/>
      </tp>
      <tp>
        <v>0.72</v>
        <stp/>
        <stp>DELTA</stp>
        <stp>.NDXP250509C19600</stp>
        <tr r="CF171" s="1"/>
        <tr r="CF171" s="1"/>
      </tp>
      <tp>
        <v>1</v>
        <stp/>
        <stp>DELTA</stp>
        <stp>.NDXP250507C19825</stp>
        <tr r="CD162" s="1"/>
        <tr r="CD162" s="1"/>
      </tp>
      <tp>
        <v>0.7</v>
        <stp/>
        <stp>DELTA</stp>
        <stp>.NDXP250509C19625</stp>
        <tr r="CF170" s="1"/>
        <tr r="CF170" s="1"/>
      </tp>
      <tp>
        <v>0.73</v>
        <stp/>
        <stp>DELTA</stp>
        <stp>.NDXP250507C19850</stp>
        <tr r="CD161" s="1"/>
        <tr r="CD161" s="1"/>
      </tp>
      <tp>
        <v>0.69</v>
        <stp/>
        <stp>DELTA</stp>
        <stp>.NDXP250509C19650</stp>
        <tr r="CF169" s="1"/>
        <tr r="CF169" s="1"/>
      </tp>
      <tp>
        <v>0.42</v>
        <stp/>
        <stp>DELTA</stp>
        <stp>.NDXP250507C19875</stp>
        <tr r="CD160" s="1"/>
        <tr r="CD160" s="1"/>
      </tp>
      <tp>
        <v>0.67</v>
        <stp/>
        <stp>DELTA</stp>
        <stp>.NDXP250509C19675</stp>
        <tr r="CF168" s="1"/>
        <tr r="CF168" s="1"/>
      </tp>
      <tp t="s">
        <v>N/A</v>
        <stp/>
        <stp>VOLUME</stp>
        <stp>.NDXP250829C19575</stp>
        <tr r="P173" s="2"/>
      </tp>
      <tp t="s">
        <v>N/A</v>
        <stp/>
        <stp>VOLUME</stp>
        <stp>.NDXP250509C19575</stp>
        <tr r="BC172" s="1"/>
      </tp>
      <tp t="s">
        <v>N/A</v>
        <stp/>
        <stp>VOLUME</stp>
        <stp>.NDXP251128C19475</stp>
        <tr r="V177" s="2"/>
      </tp>
      <tp t="s">
        <v>N/A</v>
        <stp/>
        <stp>VOLUME</stp>
        <stp>.NDXP250829C19550</stp>
        <tr r="P174" s="2"/>
      </tp>
      <tp t="s">
        <v>N/A</v>
        <stp/>
        <stp>VOLUME</stp>
        <stp>.NDXP250509C19550</stp>
        <tr r="BC173" s="1"/>
      </tp>
      <tp t="s">
        <v>N/A</v>
        <stp/>
        <stp>VOLUME</stp>
        <stp>.NDXP251128C20450</stp>
        <tr r="V138" s="2"/>
      </tp>
      <tp t="s">
        <v>N/A</v>
        <stp/>
        <stp>VOLUME</stp>
        <stp>.NDXP251128C19450</stp>
        <tr r="V178" s="2"/>
      </tp>
      <tp t="s">
        <v>N/A</v>
        <stp/>
        <stp>VOLUME</stp>
        <stp>.NDXP251128C20425</stp>
        <tr r="V139" s="2"/>
      </tp>
      <tp t="s">
        <v>N/A</v>
        <stp/>
        <stp>VOLUME</stp>
        <stp>.NDXP251128C19425</stp>
        <tr r="V179" s="2"/>
      </tp>
      <tp t="s">
        <v>N/A</v>
        <stp/>
        <stp>VOLUME</stp>
        <stp>.NDXP250829C19525</stp>
        <tr r="P175" s="2"/>
      </tp>
      <tp t="s">
        <v>N/A</v>
        <stp/>
        <stp>VOLUME</stp>
        <stp>.NDXP250509C19525</stp>
        <tr r="BC174" s="1"/>
      </tp>
      <tp t="s">
        <v>N/A</v>
        <stp/>
        <stp>VOLUME</stp>
        <stp>.NDXP251128C20400</stp>
        <tr r="V140" s="2"/>
      </tp>
      <tp t="s">
        <v>N/A</v>
        <stp/>
        <stp>VOLUME</stp>
        <stp>.NDXP251128C19400</stp>
        <tr r="V180" s="2"/>
      </tp>
      <tp t="s">
        <v>N/A</v>
        <stp/>
        <stp>VOLUME</stp>
        <stp>.NDXP250829C19500</stp>
        <tr r="P176" s="2"/>
      </tp>
      <tp>
        <v>16</v>
        <stp/>
        <stp>VOLUME</stp>
        <stp>.NDXP250509C19500</stp>
        <tr r="BC175" s="1"/>
        <tr r="BC175" s="1"/>
      </tp>
      <tp t="s">
        <v>N/A</v>
        <stp/>
        <stp>VOLUME</stp>
        <stp>.NDXP251128P20450</stp>
        <tr r="V138" s="2"/>
      </tp>
      <tp t="s">
        <v>N/A</v>
        <stp/>
        <stp>VOLUME</stp>
        <stp>.NDXP251128P19450</stp>
        <tr r="V178" s="2"/>
      </tp>
      <tp t="s">
        <v>N/A</v>
        <stp/>
        <stp>VOLUME</stp>
        <stp>.NDXP250829P19550</stp>
        <tr r="P174" s="2"/>
      </tp>
      <tp>
        <v>8</v>
        <stp/>
        <stp>VOLUME</stp>
        <stp>.NDXP250509P19550</stp>
        <tr r="BD173" s="1"/>
        <tr r="BD173" s="1"/>
      </tp>
      <tp t="s">
        <v>N/A</v>
        <stp/>
        <stp>VOLUME</stp>
        <stp>.NDXP251128P19475</stp>
        <tr r="V177" s="2"/>
      </tp>
      <tp t="s">
        <v>N/A</v>
        <stp/>
        <stp>VOLUME</stp>
        <stp>.NDXP250829P19575</stp>
        <tr r="P173" s="2"/>
      </tp>
      <tp>
        <v>2</v>
        <stp/>
        <stp>VOLUME</stp>
        <stp>.NDXP250509P19575</stp>
        <tr r="BD172" s="1"/>
        <tr r="BD172" s="1"/>
      </tp>
      <tp t="s">
        <v>N/A</v>
        <stp/>
        <stp>VOLUME</stp>
        <stp>.NDXP250829P19500</stp>
        <tr r="P176" s="2"/>
      </tp>
      <tp>
        <v>38</v>
        <stp/>
        <stp>VOLUME</stp>
        <stp>.NDXP250509P19500</stp>
        <tr r="BD175" s="1"/>
        <tr r="BD175" s="1"/>
      </tp>
      <tp t="s">
        <v>N/A</v>
        <stp/>
        <stp>VOLUME</stp>
        <stp>.NDXP251128P20400</stp>
        <tr r="V140" s="2"/>
      </tp>
      <tp t="s">
        <v>N/A</v>
        <stp/>
        <stp>VOLUME</stp>
        <stp>.NDXP251128P19400</stp>
        <tr r="V180" s="2"/>
      </tp>
      <tp t="s">
        <v>N/A</v>
        <stp/>
        <stp>VOLUME</stp>
        <stp>.NDXP250829P19525</stp>
        <tr r="P175" s="2"/>
      </tp>
      <tp>
        <v>1</v>
        <stp/>
        <stp>VOLUME</stp>
        <stp>.NDXP250509P19525</stp>
        <tr r="BD174" s="1"/>
        <tr r="BD174" s="1"/>
      </tp>
      <tp t="s">
        <v>N/A</v>
        <stp/>
        <stp>VOLUME</stp>
        <stp>.NDXP251128P20425</stp>
        <tr r="V139" s="2"/>
      </tp>
      <tp t="s">
        <v>N/A</v>
        <stp/>
        <stp>VOLUME</stp>
        <stp>.NDXP251128P19425</stp>
        <tr r="V179" s="2"/>
      </tp>
      <tp>
        <v>49</v>
        <stp/>
        <stp>OPEN_INT</stp>
        <stp>.NDXP250507C19300</stp>
        <tr r="AS183" s="1"/>
        <tr r="AS183" s="1"/>
      </tp>
      <tp>
        <v>106</v>
        <stp/>
        <stp>OPEN_INT</stp>
        <stp>.NDXP250507C20300</stp>
        <tr r="AS143" s="1"/>
        <tr r="AS143" s="1"/>
      </tp>
      <tp>
        <v>2</v>
        <stp/>
        <stp>OPEN_INT</stp>
        <stp>.NDXP250507C19325</stp>
        <tr r="AS182" s="1"/>
        <tr r="AS182" s="1"/>
      </tp>
      <tp>
        <v>6</v>
        <stp/>
        <stp>OPEN_INT</stp>
        <stp>.NDXP250507C20325</stp>
        <tr r="AS142" s="1"/>
        <tr r="AS142" s="1"/>
      </tp>
      <tp>
        <v>2</v>
        <stp/>
        <stp>OPEN_INT</stp>
        <stp>.NDXP250507C19350</stp>
        <tr r="AS181" s="1"/>
        <tr r="AS181" s="1"/>
      </tp>
      <tp>
        <v>12</v>
        <stp/>
        <stp>OPEN_INT</stp>
        <stp>.NDXP250507C20350</stp>
        <tr r="AS141" s="1"/>
        <tr r="AS141" s="1"/>
      </tp>
      <tp>
        <v>0</v>
        <stp/>
        <stp>OPEN_INT</stp>
        <stp>.NDXP250507C19375</stp>
        <tr r="AS180" s="1"/>
        <tr r="AS180" s="1"/>
      </tp>
      <tp>
        <v>4</v>
        <stp/>
        <stp>OPEN_INT</stp>
        <stp>.NDXP250507C20375</stp>
        <tr r="AS140" s="1"/>
        <tr r="AS140" s="1"/>
      </tp>
      <tp>
        <v>14</v>
        <stp/>
        <stp>OPEN_INT</stp>
        <stp>.NDXP250507P19325</stp>
        <tr r="AT182" s="1"/>
        <tr r="AT182" s="1"/>
      </tp>
      <tp>
        <v>0</v>
        <stp/>
        <stp>OPEN_INT</stp>
        <stp>.NDXP250507P20325</stp>
        <tr r="AT142" s="1"/>
        <tr r="AT142" s="1"/>
      </tp>
      <tp>
        <v>543</v>
        <stp/>
        <stp>OPEN_INT</stp>
        <stp>.NDXP250507P19300</stp>
        <tr r="AT183" s="1"/>
        <tr r="AT183" s="1"/>
      </tp>
      <tp>
        <v>19</v>
        <stp/>
        <stp>OPEN_INT</stp>
        <stp>.NDXP250507P20300</stp>
        <tr r="AT143" s="1"/>
        <tr r="AT143" s="1"/>
      </tp>
      <tp>
        <v>3</v>
        <stp/>
        <stp>OPEN_INT</stp>
        <stp>.NDXP250507P19375</stp>
        <tr r="AT180" s="1"/>
        <tr r="AT180" s="1"/>
      </tp>
      <tp>
        <v>0</v>
        <stp/>
        <stp>OPEN_INT</stp>
        <stp>.NDXP250507P20375</stp>
        <tr r="AT140" s="1"/>
        <tr r="AT140" s="1"/>
      </tp>
      <tp>
        <v>67</v>
        <stp/>
        <stp>OPEN_INT</stp>
        <stp>.NDXP250507P19350</stp>
        <tr r="AT181" s="1"/>
        <tr r="AT181" s="1"/>
      </tp>
      <tp>
        <v>0</v>
        <stp/>
        <stp>OPEN_INT</stp>
        <stp>.NDXP250507P20350</stp>
        <tr r="AT141" s="1"/>
        <tr r="AT141" s="1"/>
      </tp>
      <tp>
        <v>-0.87</v>
        <stp/>
        <stp>DELTA</stp>
        <stp>.NDXP250507P19925</stp>
        <tr r="CE158" s="1"/>
        <tr r="CE158" s="1"/>
      </tp>
      <tp>
        <v>-0.35</v>
        <stp/>
        <stp>DELTA</stp>
        <stp>.NDXP250509P19725</stp>
        <tr r="CG166" s="1"/>
        <tr r="CG166" s="1"/>
      </tp>
      <tp>
        <v>-0.82</v>
        <stp/>
        <stp>DELTA</stp>
        <stp>.NDXP250507P19900</stp>
        <tr r="CE159" s="1"/>
        <tr r="CE159" s="1"/>
      </tp>
      <tp>
        <v>-0.32</v>
        <stp/>
        <stp>DELTA</stp>
        <stp>.NDXP250509P19700</stp>
        <tr r="CG167" s="1"/>
        <tr r="CG167" s="1"/>
      </tp>
      <tp>
        <v>-0.91</v>
        <stp/>
        <stp>DELTA</stp>
        <stp>.NDXP250507P19975</stp>
        <tr r="CE156" s="1"/>
        <tr r="CE156" s="1"/>
      </tp>
      <tp>
        <v>-0.39</v>
        <stp/>
        <stp>DELTA</stp>
        <stp>.NDXP250509P19775</stp>
        <tr r="CG164" s="1"/>
        <tr r="CG164" s="1"/>
      </tp>
      <tp>
        <v>-0.9</v>
        <stp/>
        <stp>DELTA</stp>
        <stp>.NDXP250507P19950</stp>
        <tr r="CE157" s="1"/>
        <tr r="CE157" s="1"/>
      </tp>
      <tp>
        <v>-0.37</v>
        <stp/>
        <stp>DELTA</stp>
        <stp>.NDXP250509P19750</stp>
        <tr r="CG165" s="1"/>
        <tr r="CG165" s="1"/>
      </tp>
      <tp>
        <v>0.11</v>
        <stp/>
        <stp>DELTA</stp>
        <stp>.NDXP250507C19900</stp>
        <tr r="CD159" s="1"/>
        <tr r="CD159" s="1"/>
      </tp>
      <tp>
        <v>0.65</v>
        <stp/>
        <stp>DELTA</stp>
        <stp>.NDXP250509C19700</stp>
        <tr r="CF167" s="1"/>
        <tr r="CF167" s="1"/>
      </tp>
      <tp>
        <v>0.1</v>
        <stp/>
        <stp>DELTA</stp>
        <stp>.NDXP250507C19925</stp>
        <tr r="CD158" s="1"/>
        <tr r="CD158" s="1"/>
      </tp>
      <tp>
        <v>0.63</v>
        <stp/>
        <stp>DELTA</stp>
        <stp>.NDXP250509C19725</stp>
        <tr r="CF166" s="1"/>
        <tr r="CF166" s="1"/>
      </tp>
      <tp>
        <v>0.03</v>
        <stp/>
        <stp>DELTA</stp>
        <stp>.NDXP250507C19950</stp>
        <tr r="CD157" s="1"/>
        <tr r="CD157" s="1"/>
      </tp>
      <tp>
        <v>0.61</v>
        <stp/>
        <stp>DELTA</stp>
        <stp>.NDXP250509C19750</stp>
        <tr r="CF165" s="1"/>
        <tr r="CF165" s="1"/>
      </tp>
      <tp>
        <v>0.17</v>
        <stp/>
        <stp>DELTA</stp>
        <stp>.NDXP250507C19975</stp>
        <tr r="CD156" s="1"/>
        <tr r="CD156" s="1"/>
      </tp>
      <tp>
        <v>0.59</v>
        <stp/>
        <stp>DELTA</stp>
        <stp>.NDXP250509C19775</stp>
        <tr r="CF164" s="1"/>
        <tr r="CF164" s="1"/>
      </tp>
      <tp t="s">
        <v>N/A</v>
        <stp/>
        <stp>VOLUME</stp>
        <stp>.NDXP250829C19475</stp>
        <tr r="P177" s="2"/>
      </tp>
      <tp t="s">
        <v>N/A</v>
        <stp/>
        <stp>VOLUME</stp>
        <stp>.NDXP250509C19475</stp>
        <tr r="BC176" s="1"/>
      </tp>
      <tp t="s">
        <v>N/A</v>
        <stp/>
        <stp>VOLUME</stp>
        <stp>.NDXP251128C19575</stp>
        <tr r="V173" s="2"/>
      </tp>
      <tp t="s">
        <v>N/A</v>
        <stp/>
        <stp>VOLUME</stp>
        <stp>.NDXP250829C20450</stp>
        <tr r="P138" s="2"/>
      </tp>
      <tp t="s">
        <v>N/A</v>
        <stp/>
        <stp>VOLUME</stp>
        <stp>.NDXP250829C19450</stp>
        <tr r="P178" s="2"/>
      </tp>
      <tp>
        <v>66</v>
        <stp/>
        <stp>VOLUME</stp>
        <stp>.NDXP250509C20450</stp>
        <tr r="BC137" s="1"/>
        <tr r="BC137" s="1"/>
      </tp>
      <tp t="s">
        <v>N/A</v>
        <stp/>
        <stp>VOLUME</stp>
        <stp>.NDXP250509C19450</stp>
        <tr r="BC177" s="1"/>
      </tp>
      <tp t="s">
        <v>N/A</v>
        <stp/>
        <stp>VOLUME</stp>
        <stp>.NDXP251128C19550</stp>
        <tr r="V174" s="2"/>
      </tp>
      <tp t="s">
        <v>N/A</v>
        <stp/>
        <stp>VOLUME</stp>
        <stp>.NDXP251128C19525</stp>
        <tr r="V175" s="2"/>
      </tp>
      <tp t="s">
        <v>N/A</v>
        <stp/>
        <stp>VOLUME</stp>
        <stp>.NDXP250829C20425</stp>
        <tr r="P139" s="2"/>
      </tp>
      <tp t="s">
        <v>N/A</v>
        <stp/>
        <stp>VOLUME</stp>
        <stp>.NDXP250829C19425</stp>
        <tr r="P179" s="2"/>
      </tp>
      <tp t="s">
        <v>N/A</v>
        <stp/>
        <stp>VOLUME</stp>
        <stp>.NDXP250509C20425</stp>
        <tr r="BC138" s="1"/>
      </tp>
      <tp t="s">
        <v>N/A</v>
        <stp/>
        <stp>VOLUME</stp>
        <stp>.NDXP250509C19425</stp>
        <tr r="BC178" s="1"/>
      </tp>
      <tp t="s">
        <v>N/A</v>
        <stp/>
        <stp>VOLUME</stp>
        <stp>.NDXP251128C19500</stp>
        <tr r="V176" s="2"/>
      </tp>
      <tp t="s">
        <v>N/A</v>
        <stp/>
        <stp>VOLUME</stp>
        <stp>.NDXP250829C20400</stp>
        <tr r="P140" s="2"/>
      </tp>
      <tp t="s">
        <v>N/A</v>
        <stp/>
        <stp>VOLUME</stp>
        <stp>.NDXP250829C19400</stp>
        <tr r="P180" s="2"/>
      </tp>
      <tp>
        <v>45</v>
        <stp/>
        <stp>VOLUME</stp>
        <stp>.NDXP250509C20400</stp>
        <tr r="BC139" s="1"/>
        <tr r="BC139" s="1"/>
      </tp>
      <tp>
        <v>2</v>
        <stp/>
        <stp>VOLUME</stp>
        <stp>.NDXP250509C19400</stp>
        <tr r="BC179" s="1"/>
        <tr r="BC179" s="1"/>
      </tp>
      <tp t="s">
        <v>N/A</v>
        <stp/>
        <stp>VOLUME</stp>
        <stp>.NDXP251128P19550</stp>
        <tr r="V174" s="2"/>
      </tp>
      <tp t="s">
        <v>N/A</v>
        <stp/>
        <stp>VOLUME</stp>
        <stp>.NDXP250829P20450</stp>
        <tr r="P138" s="2"/>
      </tp>
      <tp t="s">
        <v>N/A</v>
        <stp/>
        <stp>VOLUME</stp>
        <stp>.NDXP250829P19450</stp>
        <tr r="P178" s="2"/>
      </tp>
      <tp t="s">
        <v>N/A</v>
        <stp/>
        <stp>VOLUME</stp>
        <stp>.NDXP250509P20450</stp>
        <tr r="BD137" s="1"/>
      </tp>
      <tp>
        <v>3</v>
        <stp/>
        <stp>VOLUME</stp>
        <stp>.NDXP250509P19450</stp>
        <tr r="BD177" s="1"/>
        <tr r="BD177" s="1"/>
      </tp>
      <tp t="s">
        <v>N/A</v>
        <stp/>
        <stp>VOLUME</stp>
        <stp>.NDXP251128P19575</stp>
        <tr r="V173" s="2"/>
      </tp>
      <tp t="s">
        <v>N/A</v>
        <stp/>
        <stp>VOLUME</stp>
        <stp>.NDXP250829P19475</stp>
        <tr r="P177" s="2"/>
      </tp>
      <tp>
        <v>11</v>
        <stp/>
        <stp>VOLUME</stp>
        <stp>.NDXP250509P19475</stp>
        <tr r="BD176" s="1"/>
        <tr r="BD176" s="1"/>
      </tp>
      <tp t="s">
        <v>N/A</v>
        <stp/>
        <stp>VOLUME</stp>
        <stp>.NDXP250829P20400</stp>
        <tr r="P140" s="2"/>
      </tp>
      <tp t="s">
        <v>N/A</v>
        <stp/>
        <stp>VOLUME</stp>
        <stp>.NDXP250829P19400</stp>
        <tr r="P180" s="2"/>
      </tp>
      <tp t="s">
        <v>N/A</v>
        <stp/>
        <stp>VOLUME</stp>
        <stp>.NDXP250509P20400</stp>
        <tr r="BD139" s="1"/>
      </tp>
      <tp>
        <v>45</v>
        <stp/>
        <stp>VOLUME</stp>
        <stp>.NDXP250509P19400</stp>
        <tr r="BD179" s="1"/>
        <tr r="BD179" s="1"/>
      </tp>
      <tp t="s">
        <v>N/A</v>
        <stp/>
        <stp>VOLUME</stp>
        <stp>.NDXP251128P19500</stp>
        <tr r="V176" s="2"/>
      </tp>
      <tp t="s">
        <v>N/A</v>
        <stp/>
        <stp>VOLUME</stp>
        <stp>.NDXP250829P20425</stp>
        <tr r="P139" s="2"/>
      </tp>
      <tp t="s">
        <v>N/A</v>
        <stp/>
        <stp>VOLUME</stp>
        <stp>.NDXP250829P19425</stp>
        <tr r="P179" s="2"/>
      </tp>
      <tp t="s">
        <v>N/A</v>
        <stp/>
        <stp>VOLUME</stp>
        <stp>.NDXP250509P20425</stp>
        <tr r="BD138" s="1"/>
      </tp>
      <tp>
        <v>1</v>
        <stp/>
        <stp>VOLUME</stp>
        <stp>.NDXP250509P19425</stp>
        <tr r="BD178" s="1"/>
        <tr r="BD178" s="1"/>
      </tp>
      <tp t="s">
        <v>N/A</v>
        <stp/>
        <stp>VOLUME</stp>
        <stp>.NDXP251128P19525</stp>
        <tr r="V175" s="2"/>
      </tp>
      <tp>
        <v>47</v>
        <stp/>
        <stp>OPEN_INT</stp>
        <stp>.NDXP250507C20000</stp>
        <tr r="AS155" s="1"/>
        <tr r="AS155" s="1"/>
      </tp>
      <tp>
        <v>10</v>
        <stp/>
        <stp>OPEN_INT</stp>
        <stp>.NDXP250507C20025</stp>
        <tr r="AS154" s="1"/>
        <tr r="AS154" s="1"/>
      </tp>
      <tp>
        <v>11</v>
        <stp/>
        <stp>OPEN_INT</stp>
        <stp>.NDXP250507C20050</stp>
        <tr r="AS153" s="1"/>
        <tr r="AS153" s="1"/>
      </tp>
      <tp>
        <v>21</v>
        <stp/>
        <stp>OPEN_INT</stp>
        <stp>.NDXP250507C20075</stp>
        <tr r="AS152" s="1"/>
        <tr r="AS152" s="1"/>
      </tp>
      <tp>
        <v>2</v>
        <stp/>
        <stp>OPEN_INT</stp>
        <stp>.NDXP250507P20025</stp>
        <tr r="AT154" s="1"/>
        <tr r="AT154" s="1"/>
      </tp>
      <tp>
        <v>10</v>
        <stp/>
        <stp>OPEN_INT</stp>
        <stp>.NDXP250507P20000</stp>
        <tr r="AT155" s="1"/>
        <tr r="AT155" s="1"/>
      </tp>
      <tp>
        <v>2</v>
        <stp/>
        <stp>OPEN_INT</stp>
        <stp>.NDXP250507P20075</stp>
        <tr r="AT152" s="1"/>
        <tr r="AT152" s="1"/>
      </tp>
      <tp>
        <v>10</v>
        <stp/>
        <stp>OPEN_INT</stp>
        <stp>.NDXP250507P20050</stp>
        <tr r="AT153" s="1"/>
        <tr r="AT153" s="1"/>
      </tp>
      <tp>
        <v>-1</v>
        <stp/>
        <stp>DELTA</stp>
        <stp>.NDXP250509P20425</stp>
        <tr r="CG138" s="1"/>
        <tr r="CG138" s="1"/>
      </tp>
      <tp>
        <v>-0.14000000000000001</v>
        <stp/>
        <stp>DELTA</stp>
        <stp>.NDXP250509P19425</stp>
        <tr r="CG178" s="1"/>
        <tr r="CG178" s="1"/>
      </tp>
      <tp>
        <v>-1</v>
        <stp/>
        <stp>DELTA</stp>
        <stp>.NDXP250509P20400</stp>
        <tr r="CG139" s="1"/>
        <tr r="CG139" s="1"/>
      </tp>
      <tp>
        <v>-0.13</v>
        <stp/>
        <stp>DELTA</stp>
        <stp>.NDXP250509P19400</stp>
        <tr r="CG179" s="1"/>
        <tr r="CG179" s="1"/>
      </tp>
      <tp>
        <v>-0.16</v>
        <stp/>
        <stp>DELTA</stp>
        <stp>.NDXP250509P19475</stp>
        <tr r="CG176" s="1"/>
        <tr r="CG176" s="1"/>
      </tp>
      <tp>
        <v>-1</v>
        <stp/>
        <stp>DELTA</stp>
        <stp>.NDXP250509P20450</stp>
        <tr r="CG137" s="1"/>
        <tr r="CG137" s="1"/>
      </tp>
      <tp>
        <v>-0.15</v>
        <stp/>
        <stp>DELTA</stp>
        <stp>.NDXP250509P19450</stp>
        <tr r="CG177" s="1"/>
        <tr r="CG177" s="1"/>
      </tp>
      <tp>
        <v>0.08</v>
        <stp/>
        <stp>DELTA</stp>
        <stp>.NDXP250509C20400</stp>
        <tr r="CF139" s="1"/>
        <tr r="CF139" s="1"/>
      </tp>
      <tp>
        <v>0.81</v>
        <stp/>
        <stp>DELTA</stp>
        <stp>.NDXP250509C19400</stp>
        <tr r="CF179" s="1"/>
        <tr r="CF179" s="1"/>
      </tp>
      <tp>
        <v>0.08</v>
        <stp/>
        <stp>DELTA</stp>
        <stp>.NDXP250509C20425</stp>
        <tr r="CF138" s="1"/>
        <tr r="CF138" s="1"/>
      </tp>
      <tp>
        <v>0.81</v>
        <stp/>
        <stp>DELTA</stp>
        <stp>.NDXP250509C19425</stp>
        <tr r="CF178" s="1"/>
        <tr r="CF178" s="1"/>
      </tp>
      <tp>
        <v>7.0000000000000007E-2</v>
        <stp/>
        <stp>DELTA</stp>
        <stp>.NDXP250509C20450</stp>
        <tr r="CF137" s="1"/>
        <tr r="CF137" s="1"/>
      </tp>
      <tp>
        <v>0.8</v>
        <stp/>
        <stp>DELTA</stp>
        <stp>.NDXP250509C19450</stp>
        <tr r="CF177" s="1"/>
        <tr r="CF177" s="1"/>
      </tp>
      <tp>
        <v>0.79</v>
        <stp/>
        <stp>DELTA</stp>
        <stp>.NDXP250509C19475</stp>
        <tr r="CF176" s="1"/>
        <tr r="CF176" s="1"/>
      </tp>
      <tp t="s">
        <v>N/A</v>
        <stp/>
        <stp>VOLUME</stp>
        <stp>.NDXP250829C19775</stp>
        <tr r="P165" s="2"/>
      </tp>
      <tp t="s">
        <v>N/A</v>
        <stp/>
        <stp>VOLUME</stp>
        <stp>.NDXP250606C19875</stp>
        <tr r="J161" s="2"/>
      </tp>
      <tp>
        <v>256</v>
        <stp/>
        <stp>VOLUME</stp>
        <stp>.NDXP250507C19975</stp>
        <tr r="BA156" s="1"/>
        <tr r="BA156" s="1"/>
      </tp>
      <tp>
        <v>1</v>
        <stp/>
        <stp>VOLUME</stp>
        <stp>.NDXP250509C19775</stp>
        <tr r="BC164" s="1"/>
        <tr r="BC164" s="1"/>
      </tp>
      <tp t="s">
        <v>N/A</v>
        <stp/>
        <stp>VOLUME</stp>
        <stp>.NDXP251128C19675</stp>
        <tr r="V169" s="2"/>
      </tp>
      <tp t="s">
        <v>N/A</v>
        <stp/>
        <stp>VOLUME</stp>
        <stp>.NDXP250829C19750</stp>
        <tr r="P166" s="2"/>
      </tp>
      <tp>
        <v>1</v>
        <stp/>
        <stp>VOLUME</stp>
        <stp>.NDXP250606C19850</stp>
        <tr r="J162" s="2"/>
        <tr r="J162" s="2"/>
      </tp>
      <tp>
        <v>659</v>
        <stp/>
        <stp>VOLUME</stp>
        <stp>.NDXP250507C19950</stp>
        <tr r="BA157" s="1"/>
        <tr r="BA157" s="1"/>
      </tp>
      <tp>
        <v>3</v>
        <stp/>
        <stp>VOLUME</stp>
        <stp>.NDXP250509C19750</stp>
        <tr r="BC165" s="1"/>
        <tr r="BC165" s="1"/>
      </tp>
      <tp t="s">
        <v>N/A</v>
        <stp/>
        <stp>VOLUME</stp>
        <stp>.NDXP251128C19650</stp>
        <tr r="V170" s="2"/>
      </tp>
      <tp t="s">
        <v>N/A</v>
        <stp/>
        <stp>VOLUME</stp>
        <stp>.NDXP251128C19625</stp>
        <tr r="V171" s="2"/>
      </tp>
      <tp t="s">
        <v>N/A</v>
        <stp/>
        <stp>VOLUME</stp>
        <stp>.NDXP250829C19725</stp>
        <tr r="P167" s="2"/>
      </tp>
      <tp>
        <v>1</v>
        <stp/>
        <stp>VOLUME</stp>
        <stp>.NDXP250606C19825</stp>
        <tr r="J163" s="2"/>
        <tr r="J163" s="2"/>
      </tp>
      <tp>
        <v>127</v>
        <stp/>
        <stp>VOLUME</stp>
        <stp>.NDXP250507C19925</stp>
        <tr r="BA158" s="1"/>
        <tr r="BA158" s="1"/>
      </tp>
      <tp t="s">
        <v>N/A</v>
        <stp/>
        <stp>VOLUME</stp>
        <stp>.NDXP250509C19725</stp>
        <tr r="BC166" s="1"/>
      </tp>
      <tp t="s">
        <v>N/A</v>
        <stp/>
        <stp>VOLUME</stp>
        <stp>.NDXP251128C19600</stp>
        <tr r="V172" s="2"/>
      </tp>
      <tp t="s">
        <v>N/A</v>
        <stp/>
        <stp>VOLUME</stp>
        <stp>.NDXP250829C19700</stp>
        <tr r="P168" s="2"/>
      </tp>
      <tp>
        <v>1</v>
        <stp/>
        <stp>VOLUME</stp>
        <stp>.NDXP250606C19800</stp>
        <tr r="J164" s="2"/>
        <tr r="J164" s="2"/>
      </tp>
      <tp>
        <v>726</v>
        <stp/>
        <stp>VOLUME</stp>
        <stp>.NDXP250507C19900</stp>
        <tr r="BA159" s="1"/>
        <tr r="BA159" s="1"/>
      </tp>
      <tp>
        <v>2</v>
        <stp/>
        <stp>VOLUME</stp>
        <stp>.NDXP250509C19700</stp>
        <tr r="BC167" s="1"/>
        <tr r="BC167" s="1"/>
      </tp>
      <tp t="s">
        <v>N/A</v>
        <stp/>
        <stp>VOLUME</stp>
        <stp>.NDXP251128P19650</stp>
        <tr r="V170" s="2"/>
      </tp>
      <tp t="s">
        <v>N/A</v>
        <stp/>
        <stp>VOLUME</stp>
        <stp>.NDXP250829P19750</stp>
        <tr r="P166" s="2"/>
      </tp>
      <tp t="s">
        <v>N/A</v>
        <stp/>
        <stp>VOLUME</stp>
        <stp>.NDXP250606P19850</stp>
        <tr r="J162" s="2"/>
      </tp>
      <tp>
        <v>10</v>
        <stp/>
        <stp>VOLUME</stp>
        <stp>.NDXP250507P19950</stp>
        <tr r="BB157" s="1"/>
        <tr r="BB157" s="1"/>
      </tp>
      <tp>
        <v>4</v>
        <stp/>
        <stp>VOLUME</stp>
        <stp>.NDXP250509P19750</stp>
        <tr r="BD165" s="1"/>
        <tr r="BD165" s="1"/>
      </tp>
      <tp t="s">
        <v>N/A</v>
        <stp/>
        <stp>VOLUME</stp>
        <stp>.NDXP251128P19675</stp>
        <tr r="V169" s="2"/>
      </tp>
      <tp t="s">
        <v>N/A</v>
        <stp/>
        <stp>VOLUME</stp>
        <stp>.NDXP250829P19775</stp>
        <tr r="P165" s="2"/>
      </tp>
      <tp t="s">
        <v>N/A</v>
        <stp/>
        <stp>VOLUME</stp>
        <stp>.NDXP250606P19875</stp>
        <tr r="J161" s="2"/>
      </tp>
      <tp>
        <v>23</v>
        <stp/>
        <stp>VOLUME</stp>
        <stp>.NDXP250507P19975</stp>
        <tr r="BB156" s="1"/>
        <tr r="BB156" s="1"/>
      </tp>
      <tp>
        <v>2</v>
        <stp/>
        <stp>VOLUME</stp>
        <stp>.NDXP250509P19775</stp>
        <tr r="BD164" s="1"/>
        <tr r="BD164" s="1"/>
      </tp>
      <tp t="s">
        <v>N/A</v>
        <stp/>
        <stp>VOLUME</stp>
        <stp>.NDXP250829P19700</stp>
        <tr r="P168" s="2"/>
      </tp>
      <tp t="s">
        <v>N/A</v>
        <stp/>
        <stp>VOLUME</stp>
        <stp>.NDXP250606P19800</stp>
        <tr r="J164" s="2"/>
      </tp>
      <tp>
        <v>76</v>
        <stp/>
        <stp>VOLUME</stp>
        <stp>.NDXP250507P19900</stp>
        <tr r="BB159" s="1"/>
        <tr r="BB159" s="1"/>
      </tp>
      <tp>
        <v>6</v>
        <stp/>
        <stp>VOLUME</stp>
        <stp>.NDXP250509P19700</stp>
        <tr r="BD167" s="1"/>
        <tr r="BD167" s="1"/>
      </tp>
      <tp t="s">
        <v>N/A</v>
        <stp/>
        <stp>VOLUME</stp>
        <stp>.NDXP251128P19600</stp>
        <tr r="V172" s="2"/>
      </tp>
      <tp t="s">
        <v>N/A</v>
        <stp/>
        <stp>VOLUME</stp>
        <stp>.NDXP250829P19725</stp>
        <tr r="P167" s="2"/>
      </tp>
      <tp t="s">
        <v>N/A</v>
        <stp/>
        <stp>VOLUME</stp>
        <stp>.NDXP250606P19825</stp>
        <tr r="J163" s="2"/>
      </tp>
      <tp>
        <v>120</v>
        <stp/>
        <stp>VOLUME</stp>
        <stp>.NDXP250507P19925</stp>
        <tr r="BB158" s="1"/>
        <tr r="BB158" s="1"/>
      </tp>
      <tp>
        <v>3</v>
        <stp/>
        <stp>VOLUME</stp>
        <stp>.NDXP250509P19725</stp>
        <tr r="BD166" s="1"/>
        <tr r="BD166" s="1"/>
      </tp>
      <tp t="s">
        <v>N/A</v>
        <stp/>
        <stp>VOLUME</stp>
        <stp>.NDXP251128P19625</stp>
        <tr r="V171" s="2"/>
      </tp>
      <tp>
        <v>15</v>
        <stp/>
        <stp>OPEN_INT</stp>
        <stp>.NDXP250507C20100</stp>
        <tr r="AS151" s="1"/>
        <tr r="AS151" s="1"/>
      </tp>
      <tp>
        <v>1</v>
        <stp/>
        <stp>OPEN_INT</stp>
        <stp>.NDXP250507C20125</stp>
        <tr r="AS150" s="1"/>
        <tr r="AS150" s="1"/>
      </tp>
      <tp>
        <v>0</v>
        <stp/>
        <stp>OPEN_INT</stp>
        <stp>.NDXP250507C19150</stp>
        <tr r="AS189" s="1"/>
        <tr r="AS189" s="1"/>
      </tp>
      <tp>
        <v>22</v>
        <stp/>
        <stp>OPEN_INT</stp>
        <stp>.NDXP250507C20150</stp>
        <tr r="AS149" s="1"/>
        <tr r="AS149" s="1"/>
      </tp>
      <tp>
        <v>0</v>
        <stp/>
        <stp>OPEN_INT</stp>
        <stp>.NDXP250507C19175</stp>
        <tr r="AS188" s="1"/>
        <tr r="AS188" s="1"/>
      </tp>
      <tp>
        <v>1</v>
        <stp/>
        <stp>OPEN_INT</stp>
        <stp>.NDXP250507C20175</stp>
        <tr r="AS148" s="1"/>
        <tr r="AS148" s="1"/>
      </tp>
      <tp>
        <v>0</v>
        <stp/>
        <stp>OPEN_INT</stp>
        <stp>.NDXP250507P20125</stp>
        <tr r="AT150" s="1"/>
        <tr r="AT150" s="1"/>
      </tp>
      <tp>
        <v>4</v>
        <stp/>
        <stp>OPEN_INT</stp>
        <stp>.NDXP250507P20100</stp>
        <tr r="AT151" s="1"/>
        <tr r="AT151" s="1"/>
      </tp>
      <tp>
        <v>49</v>
        <stp/>
        <stp>OPEN_INT</stp>
        <stp>.NDXP250507P19175</stp>
        <tr r="AT188" s="1"/>
        <tr r="AT188" s="1"/>
      </tp>
      <tp>
        <v>0</v>
        <stp/>
        <stp>OPEN_INT</stp>
        <stp>.NDXP250507P20175</stp>
        <tr r="AT148" s="1"/>
        <tr r="AT148" s="1"/>
      </tp>
      <tp>
        <v>34</v>
        <stp/>
        <stp>OPEN_INT</stp>
        <stp>.NDXP250507P19150</stp>
        <tr r="AT189" s="1"/>
        <tr r="AT189" s="1"/>
      </tp>
      <tp>
        <v>0</v>
        <stp/>
        <stp>OPEN_INT</stp>
        <stp>.NDXP250507P20150</stp>
        <tr r="AT149" s="1"/>
        <tr r="AT149" s="1"/>
      </tp>
      <tp>
        <v>-0.19</v>
        <stp/>
        <stp>DELTA</stp>
        <stp>.NDXP250509P19525</stp>
        <tr r="CG174" s="1"/>
        <tr r="CG174" s="1"/>
      </tp>
      <tp>
        <v>-0.18</v>
        <stp/>
        <stp>DELTA</stp>
        <stp>.NDXP250509P19500</stp>
        <tr r="CG175" s="1"/>
        <tr r="CG175" s="1"/>
      </tp>
      <tp>
        <v>-0.23</v>
        <stp/>
        <stp>DELTA</stp>
        <stp>.NDXP250509P19575</stp>
        <tr r="CG172" s="1"/>
        <tr r="CG172" s="1"/>
      </tp>
      <tp>
        <v>-0.21</v>
        <stp/>
        <stp>DELTA</stp>
        <stp>.NDXP250509P19550</stp>
        <tr r="CG173" s="1"/>
        <tr r="CG173" s="1"/>
      </tp>
      <tp>
        <v>0.78</v>
        <stp/>
        <stp>DELTA</stp>
        <stp>.NDXP250509C19500</stp>
        <tr r="CF175" s="1"/>
        <tr r="CF175" s="1"/>
      </tp>
      <tp>
        <v>0.76</v>
        <stp/>
        <stp>DELTA</stp>
        <stp>.NDXP250509C19525</stp>
        <tr r="CF174" s="1"/>
        <tr r="CF174" s="1"/>
      </tp>
      <tp>
        <v>0.75</v>
        <stp/>
        <stp>DELTA</stp>
        <stp>.NDXP250509C19550</stp>
        <tr r="CF173" s="1"/>
        <tr r="CF173" s="1"/>
      </tp>
      <tp>
        <v>0.73</v>
        <stp/>
        <stp>DELTA</stp>
        <stp>.NDXP250509C19575</stp>
        <tr r="CF172" s="1"/>
        <tr r="CF172" s="1"/>
      </tp>
      <tp t="s">
        <v>N/A</v>
        <stp/>
        <stp>VOLUME</stp>
        <stp>.NDXP250829C19675</stp>
        <tr r="P169" s="2"/>
      </tp>
      <tp t="s">
        <v>N/A</v>
        <stp/>
        <stp>VOLUME</stp>
        <stp>.NDXP250606C19975</stp>
        <tr r="J157" s="2"/>
      </tp>
      <tp>
        <v>100</v>
        <stp/>
        <stp>VOLUME</stp>
        <stp>.NDXP250507C19875</stp>
        <tr r="BA160" s="1"/>
        <tr r="BA160" s="1"/>
      </tp>
      <tp t="s">
        <v>N/A</v>
        <stp/>
        <stp>VOLUME</stp>
        <stp>.NDXP250509C19675</stp>
        <tr r="BC168" s="1"/>
      </tp>
      <tp t="s">
        <v>N/A</v>
        <stp/>
        <stp>VOLUME</stp>
        <stp>.NDXP251128C19775</stp>
        <tr r="V165" s="2"/>
      </tp>
      <tp t="s">
        <v>N/A</v>
        <stp/>
        <stp>VOLUME</stp>
        <stp>.NDXP250829C19650</stp>
        <tr r="P170" s="2"/>
      </tp>
      <tp t="s">
        <v>N/A</v>
        <stp/>
        <stp>VOLUME</stp>
        <stp>.NDXP250606C19950</stp>
        <tr r="J158" s="2"/>
      </tp>
      <tp>
        <v>716</v>
        <stp/>
        <stp>VOLUME</stp>
        <stp>.NDXP250507C19850</stp>
        <tr r="BA161" s="1"/>
        <tr r="BA161" s="1"/>
      </tp>
      <tp t="s">
        <v>N/A</v>
        <stp/>
        <stp>VOLUME</stp>
        <stp>.NDXP250509C19650</stp>
        <tr r="BC169" s="1"/>
      </tp>
      <tp t="s">
        <v>N/A</v>
        <stp/>
        <stp>VOLUME</stp>
        <stp>.NDXP251128C19750</stp>
        <tr r="V166" s="2"/>
      </tp>
      <tp t="s">
        <v>N/A</v>
        <stp/>
        <stp>VOLUME</stp>
        <stp>.NDXP251128C19725</stp>
        <tr r="V167" s="2"/>
      </tp>
      <tp t="s">
        <v>N/A</v>
        <stp/>
        <stp>VOLUME</stp>
        <stp>.NDXP250829C19625</stp>
        <tr r="P171" s="2"/>
      </tp>
      <tp t="s">
        <v>N/A</v>
        <stp/>
        <stp>VOLUME</stp>
        <stp>.NDXP250606C19925</stp>
        <tr r="J159" s="2"/>
      </tp>
      <tp>
        <v>142</v>
        <stp/>
        <stp>VOLUME</stp>
        <stp>.NDXP250507C19825</stp>
        <tr r="BA162" s="1"/>
        <tr r="BA162" s="1"/>
      </tp>
      <tp t="s">
        <v>N/A</v>
        <stp/>
        <stp>VOLUME</stp>
        <stp>.NDXP250509C19625</stp>
        <tr r="BC170" s="1"/>
      </tp>
      <tp t="s">
        <v>N/A</v>
        <stp/>
        <stp>VOLUME</stp>
        <stp>.NDXP251128C19700</stp>
        <tr r="V168" s="2"/>
      </tp>
      <tp t="s">
        <v>N/A</v>
        <stp/>
        <stp>VOLUME</stp>
        <stp>.NDXP250829C19600</stp>
        <tr r="P172" s="2"/>
      </tp>
      <tp t="s">
        <v>N/A</v>
        <stp/>
        <stp>VOLUME</stp>
        <stp>.NDXP250606C19900</stp>
        <tr r="J160" s="2"/>
      </tp>
      <tp>
        <v>521</v>
        <stp/>
        <stp>VOLUME</stp>
        <stp>.NDXP250507C19800</stp>
        <tr r="BA163" s="1"/>
        <tr r="BA163" s="1"/>
      </tp>
      <tp>
        <v>9</v>
        <stp/>
        <stp>VOLUME</stp>
        <stp>.NDXP250509C19600</stp>
        <tr r="BC171" s="1"/>
        <tr r="BC171" s="1"/>
      </tp>
      <tp t="s">
        <v>N/A</v>
        <stp/>
        <stp>VOLUME</stp>
        <stp>.NDXP251128P19750</stp>
        <tr r="V166" s="2"/>
      </tp>
      <tp t="s">
        <v>N/A</v>
        <stp/>
        <stp>VOLUME</stp>
        <stp>.NDXP250829P19650</stp>
        <tr r="P170" s="2"/>
      </tp>
      <tp t="s">
        <v>N/A</v>
        <stp/>
        <stp>VOLUME</stp>
        <stp>.NDXP250606P19950</stp>
        <tr r="J158" s="2"/>
      </tp>
      <tp>
        <v>142</v>
        <stp/>
        <stp>VOLUME</stp>
        <stp>.NDXP250507P19850</stp>
        <tr r="BB161" s="1"/>
        <tr r="BB161" s="1"/>
      </tp>
      <tp>
        <v>15</v>
        <stp/>
        <stp>VOLUME</stp>
        <stp>.NDXP250509P19650</stp>
        <tr r="BD169" s="1"/>
        <tr r="BD169" s="1"/>
      </tp>
      <tp t="s">
        <v>N/A</v>
        <stp/>
        <stp>VOLUME</stp>
        <stp>.NDXP251128P19775</stp>
        <tr r="V165" s="2"/>
      </tp>
      <tp t="s">
        <v>N/A</v>
        <stp/>
        <stp>VOLUME</stp>
        <stp>.NDXP250829P19675</stp>
        <tr r="P169" s="2"/>
      </tp>
      <tp t="s">
        <v>N/A</v>
        <stp/>
        <stp>VOLUME</stp>
        <stp>.NDXP250606P19975</stp>
        <tr r="J157" s="2"/>
      </tp>
      <tp>
        <v>52</v>
        <stp/>
        <stp>VOLUME</stp>
        <stp>.NDXP250507P19875</stp>
        <tr r="BB160" s="1"/>
        <tr r="BB160" s="1"/>
      </tp>
      <tp>
        <v>4</v>
        <stp/>
        <stp>VOLUME</stp>
        <stp>.NDXP250509P19675</stp>
        <tr r="BD168" s="1"/>
        <tr r="BD168" s="1"/>
      </tp>
      <tp t="s">
        <v>N/A</v>
        <stp/>
        <stp>VOLUME</stp>
        <stp>.NDXP250829P19600</stp>
        <tr r="P172" s="2"/>
      </tp>
      <tp t="s">
        <v>N/A</v>
        <stp/>
        <stp>VOLUME</stp>
        <stp>.NDXP250606P19900</stp>
        <tr r="J160" s="2"/>
      </tp>
      <tp>
        <v>330</v>
        <stp/>
        <stp>VOLUME</stp>
        <stp>.NDXP250507P19800</stp>
        <tr r="BB163" s="1"/>
        <tr r="BB163" s="1"/>
      </tp>
      <tp>
        <v>13</v>
        <stp/>
        <stp>VOLUME</stp>
        <stp>.NDXP250509P19600</stp>
        <tr r="BD171" s="1"/>
        <tr r="BD171" s="1"/>
      </tp>
      <tp t="s">
        <v>N/A</v>
        <stp/>
        <stp>VOLUME</stp>
        <stp>.NDXP251128P19700</stp>
        <tr r="V168" s="2"/>
      </tp>
      <tp t="s">
        <v>N/A</v>
        <stp/>
        <stp>VOLUME</stp>
        <stp>.NDXP250829P19625</stp>
        <tr r="P171" s="2"/>
      </tp>
      <tp t="s">
        <v>N/A</v>
        <stp/>
        <stp>VOLUME</stp>
        <stp>.NDXP250606P19925</stp>
        <tr r="J159" s="2"/>
      </tp>
      <tp>
        <v>67</v>
        <stp/>
        <stp>VOLUME</stp>
        <stp>.NDXP250507P19825</stp>
        <tr r="BB162" s="1"/>
        <tr r="BB162" s="1"/>
      </tp>
      <tp t="s">
        <v>N/A</v>
        <stp/>
        <stp>VOLUME</stp>
        <stp>.NDXP250509P19625</stp>
        <tr r="BD170" s="1"/>
      </tp>
      <tp t="s">
        <v>N/A</v>
        <stp/>
        <stp>VOLUME</stp>
        <stp>.NDXP251128P19725</stp>
        <tr r="V167" s="2"/>
      </tp>
      <tp>
        <v>26</v>
        <stp/>
        <stp>OPEN_INT</stp>
        <stp>.NDXP250507C19600</stp>
        <tr r="AS171" s="1"/>
        <tr r="AS171" s="1"/>
      </tp>
      <tp>
        <v>39</v>
        <stp/>
        <stp>OPEN_INT</stp>
        <stp>.NDXP250509C19800</stp>
        <tr r="AU163" s="1"/>
        <tr r="AU163" s="1"/>
      </tp>
      <tp>
        <v>1</v>
        <stp/>
        <stp>OPEN_INT</stp>
        <stp>.NDXP250507C19625</stp>
        <tr r="AS170" s="1"/>
        <tr r="AS170" s="1"/>
      </tp>
      <tp>
        <v>14</v>
        <stp/>
        <stp>OPEN_INT</stp>
        <stp>.NDXP250509C19825</stp>
        <tr r="AU162" s="1"/>
        <tr r="AU162" s="1"/>
      </tp>
      <tp>
        <v>1</v>
        <stp/>
        <stp>OPEN_INT</stp>
        <stp>.NDXP250507C19650</stp>
        <tr r="AS169" s="1"/>
        <tr r="AS169" s="1"/>
      </tp>
      <tp>
        <v>7</v>
        <stp/>
        <stp>OPEN_INT</stp>
        <stp>.NDXP250509C19850</stp>
        <tr r="AU161" s="1"/>
        <tr r="AU161" s="1"/>
      </tp>
      <tp>
        <v>2</v>
        <stp/>
        <stp>OPEN_INT</stp>
        <stp>.NDXP250507C19675</stp>
        <tr r="AS168" s="1"/>
        <tr r="AS168" s="1"/>
      </tp>
      <tp>
        <v>6</v>
        <stp/>
        <stp>OPEN_INT</stp>
        <stp>.NDXP250509C19875</stp>
        <tr r="AU160" s="1"/>
        <tr r="AU160" s="1"/>
      </tp>
      <tp>
        <v>13</v>
        <stp/>
        <stp>OPEN_INT</stp>
        <stp>.NDXP250507P19625</stp>
        <tr r="AT170" s="1"/>
        <tr r="AT170" s="1"/>
      </tp>
      <tp>
        <v>2</v>
        <stp/>
        <stp>OPEN_INT</stp>
        <stp>.NDXP250509P19825</stp>
        <tr r="AV162" s="1"/>
        <tr r="AV162" s="1"/>
      </tp>
      <tp>
        <v>24</v>
        <stp/>
        <stp>OPEN_INT</stp>
        <stp>.NDXP250507P19600</stp>
        <tr r="AT171" s="1"/>
        <tr r="AT171" s="1"/>
      </tp>
      <tp>
        <v>13</v>
        <stp/>
        <stp>OPEN_INT</stp>
        <stp>.NDXP250509P19800</stp>
        <tr r="AV163" s="1"/>
        <tr r="AV163" s="1"/>
      </tp>
      <tp>
        <v>7</v>
        <stp/>
        <stp>OPEN_INT</stp>
        <stp>.NDXP250507P19675</stp>
        <tr r="AT168" s="1"/>
        <tr r="AT168" s="1"/>
      </tp>
      <tp>
        <v>3</v>
        <stp/>
        <stp>OPEN_INT</stp>
        <stp>.NDXP250509P19875</stp>
        <tr r="AV160" s="1"/>
        <tr r="AV160" s="1"/>
      </tp>
      <tp>
        <v>8</v>
        <stp/>
        <stp>OPEN_INT</stp>
        <stp>.NDXP250507P19650</stp>
        <tr r="AT169" s="1"/>
        <tr r="AT169" s="1"/>
      </tp>
      <tp>
        <v>3</v>
        <stp/>
        <stp>OPEN_INT</stp>
        <stp>.NDXP250509P19850</stp>
        <tr r="AV161" s="1"/>
        <tr r="AV161" s="1"/>
      </tp>
      <tp>
        <v>-0.93</v>
        <stp/>
        <stp>DELTA</stp>
        <stp>.NDXP250509P20225</stp>
        <tr r="CG146" s="1"/>
        <tr r="CG146" s="1"/>
      </tp>
      <tp>
        <v>-7.0000000000000007E-2</v>
        <stp/>
        <stp>DELTA</stp>
        <stp>.NDXP250509P19225</stp>
        <tr r="CG186" s="1"/>
        <tr r="CG186" s="1"/>
      </tp>
      <tp>
        <v>-0.9</v>
        <stp/>
        <stp>DELTA</stp>
        <stp>.NDXP250509P20200</stp>
        <tr r="CG147" s="1"/>
        <tr r="CG147" s="1"/>
      </tp>
      <tp>
        <v>-7.0000000000000007E-2</v>
        <stp/>
        <stp>DELTA</stp>
        <stp>.NDXP250509P19200</stp>
        <tr r="CG187" s="1"/>
        <tr r="CG187" s="1"/>
      </tp>
      <tp>
        <v>-1</v>
        <stp/>
        <stp>DELTA</stp>
        <stp>.NDXP250509P20275</stp>
        <tr r="CG144" s="1"/>
        <tr r="CG144" s="1"/>
      </tp>
      <tp>
        <v>-0.08</v>
        <stp/>
        <stp>DELTA</stp>
        <stp>.NDXP250509P19275</stp>
        <tr r="CG184" s="1"/>
        <tr r="CG184" s="1"/>
      </tp>
      <tp>
        <v>-0.95</v>
        <stp/>
        <stp>DELTA</stp>
        <stp>.NDXP250509P20250</stp>
        <tr r="CG145" s="1"/>
        <tr r="CG145" s="1"/>
      </tp>
      <tp>
        <v>-0.08</v>
        <stp/>
        <stp>DELTA</stp>
        <stp>.NDXP250509P19250</stp>
        <tr r="CG185" s="1"/>
        <tr r="CG185" s="1"/>
      </tp>
      <tp>
        <v>0.2</v>
        <stp/>
        <stp>DELTA</stp>
        <stp>.NDXP250509C20200</stp>
        <tr r="CF147" s="1"/>
        <tr r="CF147" s="1"/>
      </tp>
      <tp>
        <v>0.87</v>
        <stp/>
        <stp>DELTA</stp>
        <stp>.NDXP250509C19200</stp>
        <tr r="CF187" s="1"/>
        <tr r="CF187" s="1"/>
      </tp>
      <tp>
        <v>0.18</v>
        <stp/>
        <stp>DELTA</stp>
        <stp>.NDXP250509C20225</stp>
        <tr r="CF146" s="1"/>
        <tr r="CF146" s="1"/>
      </tp>
      <tp>
        <v>0.86</v>
        <stp/>
        <stp>DELTA</stp>
        <stp>.NDXP250509C19225</stp>
        <tr r="CF186" s="1"/>
        <tr r="CF186" s="1"/>
      </tp>
      <tp>
        <v>0.16</v>
        <stp/>
        <stp>DELTA</stp>
        <stp>.NDXP250509C20250</stp>
        <tr r="CF145" s="1"/>
        <tr r="CF145" s="1"/>
      </tp>
      <tp>
        <v>0.86</v>
        <stp/>
        <stp>DELTA</stp>
        <stp>.NDXP250509C19250</stp>
        <tr r="CF185" s="1"/>
        <tr r="CF185" s="1"/>
      </tp>
      <tp>
        <v>0.15</v>
        <stp/>
        <stp>DELTA</stp>
        <stp>.NDXP250509C20275</stp>
        <tr r="CF144" s="1"/>
        <tr r="CF144" s="1"/>
      </tp>
      <tp>
        <v>0.85</v>
        <stp/>
        <stp>DELTA</stp>
        <stp>.NDXP250509C19275</stp>
        <tr r="CF184" s="1"/>
        <tr r="CF184" s="1"/>
      </tp>
      <tp t="s">
        <v>N/A</v>
        <stp/>
        <stp>VOLUME</stp>
        <stp>.NDXP250829C20175</stp>
        <tr r="P149" s="2"/>
      </tp>
      <tp t="s">
        <v>N/A</v>
        <stp/>
        <stp>VOLUME</stp>
        <stp>.NDXP250930C19875</stp>
        <tr r="R161" s="2"/>
      </tp>
      <tp t="s">
        <v>N/A</v>
        <stp/>
        <stp>VOLUME</stp>
        <stp>.NDXP250829C19175</stp>
        <tr r="P189" s="2"/>
      </tp>
      <tp t="s">
        <v>N/A</v>
        <stp/>
        <stp>VOLUME</stp>
        <stp>.NDXP250731C19975</stp>
        <tr r="N157" s="2"/>
      </tp>
      <tp>
        <v>1</v>
        <stp/>
        <stp>VOLUME</stp>
        <stp>.NDXP250630C19875</stp>
        <tr r="L161" s="2"/>
        <tr r="L161" s="2"/>
      </tp>
      <tp>
        <v>42</v>
        <stp/>
        <stp>VOLUME</stp>
        <stp>.NDXP250509C20175</stp>
        <tr r="BC148" s="1"/>
        <tr r="BC148" s="1"/>
      </tp>
      <tp t="s">
        <v>N/A</v>
        <stp/>
        <stp>VOLUME</stp>
        <stp>.NDXP250509C19175</stp>
        <tr r="BC188" s="1"/>
      </tp>
      <tp t="s">
        <v>N/A</v>
        <stp/>
        <stp>VOLUME</stp>
        <stp>.NDXP250530C19875</stp>
        <tr r="I161" s="2"/>
      </tp>
      <tp t="s">
        <v>N/A</v>
        <stp/>
        <stp>VOLUME</stp>
        <stp>.NDXP251231C19975</stp>
        <tr r="X157" s="2"/>
      </tp>
      <tp t="s">
        <v>N/A</v>
        <stp/>
        <stp>VOLUME</stp>
        <stp>.NDXP251128C20075</stp>
        <tr r="V153" s="2"/>
      </tp>
      <tp t="s">
        <v>N/A</v>
        <stp/>
        <stp>VOLUME</stp>
        <stp>.NDXP251031C19975</stp>
        <tr r="T157" s="2"/>
      </tp>
      <tp t="s">
        <v>N/A</v>
        <stp/>
        <stp>VOLUME</stp>
        <stp>.NDXP250829C20150</stp>
        <tr r="P150" s="2"/>
      </tp>
      <tp t="s">
        <v>N/A</v>
        <stp/>
        <stp>VOLUME</stp>
        <stp>.NDXP250829C19150</stp>
        <tr r="P190" s="2"/>
      </tp>
      <tp t="s">
        <v>N/A</v>
        <stp/>
        <stp>VOLUME</stp>
        <stp>.NDXP250930C19850</stp>
        <tr r="R162" s="2"/>
      </tp>
      <tp>
        <v>1</v>
        <stp/>
        <stp>VOLUME</stp>
        <stp>.NDXP250630C19850</stp>
        <tr r="L162" s="2"/>
        <tr r="L162" s="2"/>
      </tp>
      <tp>
        <v>2</v>
        <stp/>
        <stp>VOLUME</stp>
        <stp>.NDXP250509C20150</stp>
        <tr r="BC149" s="1"/>
        <tr r="BC149" s="1"/>
      </tp>
      <tp t="s">
        <v>N/A</v>
        <stp/>
        <stp>VOLUME</stp>
        <stp>.NDXP250731C19950</stp>
        <tr r="N158" s="2"/>
      </tp>
      <tp t="s">
        <v>N/A</v>
        <stp/>
        <stp>VOLUME</stp>
        <stp>.NDXP250509C19150</stp>
        <tr r="BC189" s="1"/>
      </tp>
      <tp>
        <v>2</v>
        <stp/>
        <stp>VOLUME</stp>
        <stp>.NDXP250530C19850</stp>
        <tr r="I162" s="2"/>
        <tr r="I162" s="2"/>
      </tp>
      <tp t="s">
        <v>N/A</v>
        <stp/>
        <stp>VOLUME</stp>
        <stp>.NDXP251231C19950</stp>
        <tr r="X158" s="2"/>
      </tp>
      <tp t="s">
        <v>N/A</v>
        <stp/>
        <stp>VOLUME</stp>
        <stp>.NDXP251128C20050</stp>
        <tr r="V154" s="2"/>
      </tp>
      <tp t="s">
        <v>N/A</v>
        <stp/>
        <stp>VOLUME</stp>
        <stp>.NDXP251031C19950</stp>
        <tr r="T158" s="2"/>
      </tp>
      <tp t="s">
        <v>N/A</v>
        <stp/>
        <stp>VOLUME</stp>
        <stp>.NDXP251231C19925</stp>
        <tr r="X159" s="2"/>
      </tp>
      <tp t="s">
        <v>N/A</v>
        <stp/>
        <stp>VOLUME</stp>
        <stp>.NDXP251128C20025</stp>
        <tr r="V155" s="2"/>
      </tp>
      <tp t="s">
        <v>N/A</v>
        <stp/>
        <stp>VOLUME</stp>
        <stp>.NDXP251031C19925</stp>
        <tr r="T159" s="2"/>
      </tp>
      <tp t="s">
        <v>N/A</v>
        <stp/>
        <stp>VOLUME</stp>
        <stp>.NDXP250829C20125</stp>
        <tr r="P151" s="2"/>
      </tp>
      <tp t="s">
        <v>N/A</v>
        <stp/>
        <stp>VOLUME</stp>
        <stp>.NDXP250930C19825</stp>
        <tr r="R163" s="2"/>
      </tp>
      <tp t="s">
        <v>N/A</v>
        <stp/>
        <stp>VOLUME</stp>
        <stp>.NDXP250731C19925</stp>
        <tr r="N159" s="2"/>
      </tp>
      <tp t="s">
        <v>N/A</v>
        <stp/>
        <stp>VOLUME</stp>
        <stp>.NDXP250630C19825</stp>
        <tr r="L163" s="2"/>
      </tp>
      <tp>
        <v>2</v>
        <stp/>
        <stp>VOLUME</stp>
        <stp>.NDXP250509C20125</stp>
        <tr r="BC150" s="1"/>
        <tr r="BC150" s="1"/>
      </tp>
      <tp>
        <v>2</v>
        <stp/>
        <stp>VOLUME</stp>
        <stp>.NDXP250530C19825</stp>
        <tr r="I163" s="2"/>
        <tr r="I163" s="2"/>
      </tp>
      <tp t="s">
        <v>N/A</v>
        <stp/>
        <stp>VOLUME</stp>
        <stp>.NDXP251231C19900</stp>
        <tr r="X160" s="2"/>
      </tp>
      <tp t="s">
        <v>N/A</v>
        <stp/>
        <stp>VOLUME</stp>
        <stp>.NDXP251128C20000</stp>
        <tr r="V156" s="2"/>
      </tp>
      <tp t="s">
        <v>N/A</v>
        <stp/>
        <stp>VOLUME</stp>
        <stp>.NDXP251031C19900</stp>
        <tr r="T160" s="2"/>
      </tp>
      <tp t="s">
        <v>N/A</v>
        <stp/>
        <stp>VOLUME</stp>
        <stp>.NDXP250829C20100</stp>
        <tr r="P152" s="2"/>
      </tp>
      <tp t="s">
        <v>N/A</v>
        <stp/>
        <stp>VOLUME</stp>
        <stp>.NDXP250930C19800</stp>
        <tr r="R164" s="2"/>
      </tp>
      <tp t="s">
        <v>N/A</v>
        <stp/>
        <stp>VOLUME</stp>
        <stp>.NDXP250630C19800</stp>
        <tr r="L164" s="2"/>
      </tp>
      <tp>
        <v>17</v>
        <stp/>
        <stp>VOLUME</stp>
        <stp>.NDXP250509C20100</stp>
        <tr r="BC151" s="1"/>
        <tr r="BC151" s="1"/>
      </tp>
      <tp t="s">
        <v>N/A</v>
        <stp/>
        <stp>VOLUME</stp>
        <stp>.NDXP250731C19900</stp>
        <tr r="N160" s="2"/>
      </tp>
      <tp>
        <v>24</v>
        <stp/>
        <stp>VOLUME</stp>
        <stp>.NDXP250530C19800</stp>
        <tr r="I164" s="2"/>
        <tr r="I164" s="2"/>
      </tp>
      <tp t="s">
        <v>N/A</v>
        <stp/>
        <stp>VOLUME</stp>
        <stp>.SPXW250930C5680</stp>
        <tr r="R105" s="2"/>
      </tp>
      <tp t="s">
        <v>N/A</v>
        <stp/>
        <stp>VOLUME</stp>
        <stp>.SPXW250829C5710</stp>
        <tr r="P102" s="2"/>
      </tp>
      <tp t="s">
        <v>N/A</v>
        <stp/>
        <stp>VOLUME</stp>
        <stp>.SPXW250509C5510</stp>
        <tr r="BC121" s="1"/>
      </tp>
      <tp t="s">
        <v>N/A</v>
        <stp/>
        <stp>VOLUME</stp>
        <stp>.SPXW250530C5680</stp>
        <tr r="I105" s="2"/>
      </tp>
      <tp t="s">
        <v>N/A</v>
        <stp/>
        <stp>VOLUME</stp>
        <stp>.SPXW250731C5690</stp>
        <tr r="N104" s="2"/>
      </tp>
      <tp t="s">
        <v>N/A</v>
        <stp/>
        <stp>VOLUME</stp>
        <stp>.SPXW250630C5680</stp>
        <tr r="L105" s="2"/>
      </tp>
      <tp t="s">
        <v>N/A</v>
        <stp/>
        <stp>VOLUME</stp>
        <stp>.SPXW251128C5700</stp>
        <tr r="V103" s="2"/>
      </tp>
      <tp t="s">
        <v>N/A</v>
        <stp/>
        <stp>VOLUME</stp>
        <stp>.SPXW251031C5690</stp>
        <tr r="T104" s="2"/>
      </tp>
      <tp t="s">
        <v>N/A</v>
        <stp/>
        <stp>VOLUME</stp>
        <stp>.SPXW251231C5690</stp>
        <tr r="X104" s="2"/>
      </tp>
      <tp t="s">
        <v>N/A</v>
        <stp/>
        <stp>VOLUME</stp>
        <stp>.SPXW251128P5700</stp>
        <tr r="V103" s="2"/>
      </tp>
      <tp t="s">
        <v>N/A</v>
        <stp/>
        <stp>VOLUME</stp>
        <stp>.SPXW251031P5690</stp>
        <tr r="T104" s="2"/>
      </tp>
      <tp t="s">
        <v>N/A</v>
        <stp/>
        <stp>VOLUME</stp>
        <stp>.SPXW251231P5690</stp>
        <tr r="X104" s="2"/>
      </tp>
      <tp t="s">
        <v>N/A</v>
        <stp/>
        <stp>VOLUME</stp>
        <stp>.SPXW250930P5680</stp>
        <tr r="R105" s="2"/>
      </tp>
      <tp t="s">
        <v>N/A</v>
        <stp/>
        <stp>VOLUME</stp>
        <stp>.SPXW250829P5710</stp>
        <tr r="P102" s="2"/>
      </tp>
      <tp t="s">
        <v>N/A</v>
        <stp/>
        <stp>VOLUME</stp>
        <stp>.SPXW250509P5510</stp>
        <tr r="BD121" s="1"/>
      </tp>
      <tp t="s">
        <v>N/A</v>
        <stp/>
        <stp>VOLUME</stp>
        <stp>.SPXW250530P5680</stp>
        <tr r="I105" s="2"/>
      </tp>
      <tp t="s">
        <v>N/A</v>
        <stp/>
        <stp>VOLUME</stp>
        <stp>.SPXW250731P5690</stp>
        <tr r="N104" s="2"/>
      </tp>
      <tp t="s">
        <v>N/A</v>
        <stp/>
        <stp>VOLUME</stp>
        <stp>.SPXW250630P5680</stp>
        <tr r="L105" s="2"/>
      </tp>
      <tp t="s">
        <v>N/A</v>
        <stp/>
        <stp>VOLUME</stp>
        <stp>.SPXW250930C5690</stp>
        <tr r="R104" s="2"/>
      </tp>
      <tp t="s">
        <v>N/A</v>
        <stp/>
        <stp>VOLUME</stp>
        <stp>.SPXW250829C5700</stp>
        <tr r="P103" s="2"/>
      </tp>
      <tp t="s">
        <v>N/A</v>
        <stp/>
        <stp>VOLUME</stp>
        <stp>.SPXW250509C5500</stp>
        <tr r="BC122" s="1"/>
      </tp>
      <tp t="s">
        <v>N/A</v>
        <stp/>
        <stp>VOLUME</stp>
        <stp>.SPXW250530C5690</stp>
        <tr r="I104" s="2"/>
      </tp>
      <tp t="s">
        <v>N/A</v>
        <stp/>
        <stp>VOLUME</stp>
        <stp>.SPXW250731C5680</stp>
        <tr r="N105" s="2"/>
      </tp>
      <tp t="s">
        <v>N/A</v>
        <stp/>
        <stp>VOLUME</stp>
        <stp>.SPXW250630C5690</stp>
        <tr r="L104" s="2"/>
      </tp>
      <tp t="s">
        <v>N/A</v>
        <stp/>
        <stp>VOLUME</stp>
        <stp>.SPXW251128C5710</stp>
        <tr r="V102" s="2"/>
      </tp>
      <tp t="s">
        <v>N/A</v>
        <stp/>
        <stp>VOLUME</stp>
        <stp>.SPXW251031C5680</stp>
        <tr r="T105" s="2"/>
      </tp>
      <tp t="s">
        <v>N/A</v>
        <stp/>
        <stp>VOLUME</stp>
        <stp>.SPXW251231C5680</stp>
        <tr r="X105" s="2"/>
      </tp>
      <tp t="s">
        <v>N/A</v>
        <stp/>
        <stp>VOLUME</stp>
        <stp>.SPXW251128P5710</stp>
        <tr r="V102" s="2"/>
      </tp>
      <tp t="s">
        <v>N/A</v>
        <stp/>
        <stp>VOLUME</stp>
        <stp>.SPXW251031P5680</stp>
        <tr r="T105" s="2"/>
      </tp>
      <tp t="s">
        <v>N/A</v>
        <stp/>
        <stp>VOLUME</stp>
        <stp>.SPXW251231P5680</stp>
        <tr r="X105" s="2"/>
      </tp>
      <tp t="s">
        <v>N/A</v>
        <stp/>
        <stp>VOLUME</stp>
        <stp>.SPXW250930P5690</stp>
        <tr r="R104" s="2"/>
      </tp>
      <tp t="s">
        <v>N/A</v>
        <stp/>
        <stp>VOLUME</stp>
        <stp>.SPXW250829P5700</stp>
        <tr r="P103" s="2"/>
      </tp>
      <tp>
        <v>10</v>
        <stp/>
        <stp>VOLUME</stp>
        <stp>.SPXW250509P5500</stp>
        <tr r="BD122" s="1"/>
        <tr r="BD122" s="1"/>
      </tp>
      <tp t="s">
        <v>N/A</v>
        <stp/>
        <stp>VOLUME</stp>
        <stp>.SPXW250530P5690</stp>
        <tr r="I104" s="2"/>
      </tp>
      <tp t="s">
        <v>N/A</v>
        <stp/>
        <stp>VOLUME</stp>
        <stp>.SPXW250731P5680</stp>
        <tr r="N105" s="2"/>
      </tp>
      <tp t="s">
        <v>N/A</v>
        <stp/>
        <stp>VOLUME</stp>
        <stp>.SPXW250630P5690</stp>
        <tr r="L104" s="2"/>
      </tp>
      <tp t="s">
        <v>N/A</v>
        <stp/>
        <stp>VOLUME</stp>
        <stp>.SPXW250829C5730</stp>
        <tr r="P100" s="2"/>
      </tp>
      <tp t="s">
        <v>N/A</v>
        <stp/>
        <stp>VOLUME</stp>
        <stp>.SPXW250509C5530</stp>
        <tr r="BC119" s="1"/>
      </tp>
      <tp t="s">
        <v>N/A</v>
        <stp/>
        <stp>VOLUME</stp>
        <stp>.SPXW251128C5720</stp>
        <tr r="V101" s="2"/>
      </tp>
      <tp t="s">
        <v>N/A</v>
        <stp/>
        <stp>VOLUME</stp>
        <stp>.SPXW251128P5720</stp>
        <tr r="V101" s="2"/>
      </tp>
      <tp t="s">
        <v>N/A</v>
        <stp/>
        <stp>VOLUME</stp>
        <stp>.SPXW250829P5730</stp>
        <tr r="P100" s="2"/>
      </tp>
      <tp t="s">
        <v>N/A</v>
        <stp/>
        <stp>VOLUME</stp>
        <stp>.SPXW250509P5530</stp>
        <tr r="BD119" s="1"/>
      </tp>
      <tp t="s">
        <v>N/A</v>
        <stp/>
        <stp>VOLUME</stp>
        <stp>.SPXW250829C5720</stp>
        <tr r="P101" s="2"/>
      </tp>
      <tp>
        <v>1</v>
        <stp/>
        <stp>VOLUME</stp>
        <stp>.SPXW250509C5520</stp>
        <tr r="BC120" s="1"/>
        <tr r="BC120" s="1"/>
      </tp>
      <tp t="s">
        <v>N/A</v>
        <stp/>
        <stp>VOLUME</stp>
        <stp>.SPXW251128C5730</stp>
        <tr r="V100" s="2"/>
      </tp>
      <tp t="s">
        <v>N/A</v>
        <stp/>
        <stp>VOLUME</stp>
        <stp>.SPXW251128P5730</stp>
        <tr r="V100" s="2"/>
      </tp>
      <tp t="s">
        <v>N/A</v>
        <stp/>
        <stp>VOLUME</stp>
        <stp>.SPXW250829P5720</stp>
        <tr r="P101" s="2"/>
      </tp>
      <tp>
        <v>2</v>
        <stp/>
        <stp>VOLUME</stp>
        <stp>.SPXW250509P5520</stp>
        <tr r="BD120" s="1"/>
        <tr r="BD120" s="1"/>
      </tp>
      <tp t="s">
        <v>N/A</v>
        <stp/>
        <stp>VOLUME</stp>
        <stp>.SPXW250829C5750</stp>
        <tr r="P98" s="2"/>
      </tp>
      <tp t="s">
        <v>N/A</v>
        <stp/>
        <stp>VOLUME</stp>
        <stp>.SPXW250509C5550</stp>
        <tr r="BC117" s="1"/>
      </tp>
      <tp t="s">
        <v>N/A</v>
        <stp/>
        <stp>VOLUME</stp>
        <stp>.SPXW251128C5740</stp>
        <tr r="V99" s="2"/>
      </tp>
      <tp t="s">
        <v>N/A</v>
        <stp/>
        <stp>VOLUME</stp>
        <stp>.SPXW251128P5740</stp>
        <tr r="V99" s="2"/>
      </tp>
      <tp t="s">
        <v>N/A</v>
        <stp/>
        <stp>VOLUME</stp>
        <stp>.SPXW250829P5750</stp>
        <tr r="P98" s="2"/>
      </tp>
      <tp>
        <v>2</v>
        <stp/>
        <stp>VOLUME</stp>
        <stp>.SPXW250509P5550</stp>
        <tr r="BD117" s="1"/>
        <tr r="BD117" s="1"/>
      </tp>
      <tp t="s">
        <v>N/A</v>
        <stp/>
        <stp>VOLUME</stp>
        <stp>.SPXW250829C5740</stp>
        <tr r="P99" s="2"/>
      </tp>
      <tp t="s">
        <v>N/A</v>
        <stp/>
        <stp>VOLUME</stp>
        <stp>.SPXW250509C5540</stp>
        <tr r="BC118" s="1"/>
      </tp>
      <tp t="s">
        <v>N/A</v>
        <stp/>
        <stp>VOLUME</stp>
        <stp>.SPXW251128C5750</stp>
        <tr r="V98" s="2"/>
      </tp>
      <tp t="s">
        <v>N/A</v>
        <stp/>
        <stp>VOLUME</stp>
        <stp>.SPXW251128P5750</stp>
        <tr r="V98" s="2"/>
      </tp>
      <tp t="s">
        <v>N/A</v>
        <stp/>
        <stp>VOLUME</stp>
        <stp>.SPXW250829P5740</stp>
        <tr r="P99" s="2"/>
      </tp>
      <tp>
        <v>7</v>
        <stp/>
        <stp>VOLUME</stp>
        <stp>.SPXW250509P5540</stp>
        <tr r="BD118" s="1"/>
        <tr r="BD118" s="1"/>
      </tp>
      <tp t="s">
        <v>N/A</v>
        <stp/>
        <stp>VOLUME</stp>
        <stp>.SPXW250829C5770</stp>
        <tr r="P96" s="2"/>
      </tp>
      <tp t="s">
        <v>N/A</v>
        <stp/>
        <stp>VOLUME</stp>
        <stp>.SPXW250507C5590</stp>
        <tr r="BA113" s="1"/>
      </tp>
      <tp t="s">
        <v>N/A</v>
        <stp/>
        <stp>VOLUME</stp>
        <stp>.SPXW250509C5570</stp>
        <tr r="BC115" s="1"/>
      </tp>
      <tp t="s">
        <v>N/A</v>
        <stp/>
        <stp>VOLUME</stp>
        <stp>.SPXW250516C5480</stp>
        <tr r="BE124" s="1"/>
      </tp>
      <tp t="s">
        <v>N/A</v>
        <stp/>
        <stp>VOLUME</stp>
        <stp>.SPXW250606C5580</stp>
        <tr r="J115" s="2"/>
      </tp>
      <tp t="s">
        <v>N/A</v>
        <stp/>
        <stp>VOLUME</stp>
        <stp>.SPXW251128C5760</stp>
        <tr r="V97" s="2"/>
      </tp>
      <tp t="s">
        <v>N/A</v>
        <stp/>
        <stp>VOLUME</stp>
        <stp>.SPXW251128P5760</stp>
        <tr r="V97" s="2"/>
      </tp>
      <tp t="s">
        <v>N/A</v>
        <stp/>
        <stp>VOLUME</stp>
        <stp>.SPXW250829P5770</stp>
        <tr r="P96" s="2"/>
      </tp>
      <tp t="s">
        <v>N/A</v>
        <stp/>
        <stp>VOLUME</stp>
        <stp>.SPXW250507P5590</stp>
        <tr r="BB113" s="1"/>
      </tp>
      <tp>
        <v>6</v>
        <stp/>
        <stp>VOLUME</stp>
        <stp>.SPXW250509P5570</stp>
        <tr r="BD115" s="1"/>
        <tr r="BD115" s="1"/>
      </tp>
      <tp t="s">
        <v>N/A</v>
        <stp/>
        <stp>VOLUME</stp>
        <stp>.SPXW250516P5480</stp>
        <tr r="BF124" s="1"/>
      </tp>
      <tp t="s">
        <v>N/A</v>
        <stp/>
        <stp>VOLUME</stp>
        <stp>.SPXW250606P5580</stp>
        <tr r="J115" s="2"/>
      </tp>
      <tp t="s">
        <v>N/A</v>
        <stp/>
        <stp>VOLUME</stp>
        <stp>.SPXW250829C5760</stp>
        <tr r="P97" s="2"/>
      </tp>
      <tp t="s">
        <v>N/A</v>
        <stp/>
        <stp>VOLUME</stp>
        <stp>.SPXW250507C5580</stp>
        <tr r="BA114" s="1"/>
      </tp>
      <tp t="s">
        <v>N/A</v>
        <stp/>
        <stp>VOLUME</stp>
        <stp>.SPXW250509C5560</stp>
        <tr r="BC116" s="1"/>
      </tp>
      <tp t="s">
        <v>N/A</v>
        <stp/>
        <stp>VOLUME</stp>
        <stp>.SPXW250516C5490</stp>
        <tr r="BE123" s="1"/>
      </tp>
      <tp t="s">
        <v>N/A</v>
        <stp/>
        <stp>VOLUME</stp>
        <stp>.SPXW250606C5590</stp>
        <tr r="J114" s="2"/>
      </tp>
      <tp t="s">
        <v>N/A</v>
        <stp/>
        <stp>VOLUME</stp>
        <stp>.SPXW251128C5770</stp>
        <tr r="V96" s="2"/>
      </tp>
      <tp t="s">
        <v>N/A</v>
        <stp/>
        <stp>VOLUME</stp>
        <stp>.SPXW251128P5770</stp>
        <tr r="V96" s="2"/>
      </tp>
      <tp t="s">
        <v>N/A</v>
        <stp/>
        <stp>VOLUME</stp>
        <stp>.SPXW250829P5760</stp>
        <tr r="P97" s="2"/>
      </tp>
      <tp t="s">
        <v>N/A</v>
        <stp/>
        <stp>VOLUME</stp>
        <stp>.SPXW250507P5580</stp>
        <tr r="BB114" s="1"/>
      </tp>
      <tp>
        <v>2</v>
        <stp/>
        <stp>VOLUME</stp>
        <stp>.SPXW250509P5560</stp>
        <tr r="BD116" s="1"/>
        <tr r="BD116" s="1"/>
      </tp>
      <tp t="s">
        <v>N/A</v>
        <stp/>
        <stp>VOLUME</stp>
        <stp>.SPXW250516P5490</stp>
        <tr r="BF123" s="1"/>
      </tp>
      <tp t="s">
        <v>N/A</v>
        <stp/>
        <stp>VOLUME</stp>
        <stp>.SPXW250606P5590</stp>
        <tr r="J114" s="2"/>
      </tp>
      <tp t="s">
        <v>N/A</v>
        <stp/>
        <stp>VOLUME</stp>
        <stp>.NDXP251231P19950</stp>
        <tr r="X158" s="2"/>
      </tp>
      <tp t="s">
        <v>N/A</v>
        <stp/>
        <stp>VOLUME</stp>
        <stp>.NDXP251128P20050</stp>
        <tr r="V154" s="2"/>
      </tp>
      <tp t="s">
        <v>N/A</v>
        <stp/>
        <stp>VOLUME</stp>
        <stp>.NDXP251031P19950</stp>
        <tr r="T158" s="2"/>
      </tp>
      <tp t="s">
        <v>N/A</v>
        <stp/>
        <stp>VOLUME</stp>
        <stp>.SPXW250930C5600</stp>
        <tr r="R113" s="2"/>
      </tp>
      <tp t="s">
        <v>N/A</v>
        <stp/>
        <stp>VOLUME</stp>
        <stp>.SPXW250829C5790</stp>
        <tr r="P94" s="2"/>
      </tp>
      <tp t="s">
        <v>N/A</v>
        <stp/>
        <stp>VOLUME</stp>
        <stp>.SPXW250507C5570</stp>
        <tr r="BA115" s="1"/>
      </tp>
      <tp t="s">
        <v>N/A</v>
        <stp/>
        <stp>VOLUME</stp>
        <stp>.SPXW250509C5590</stp>
        <tr r="BC113" s="1"/>
      </tp>
      <tp t="s">
        <v>N/A</v>
        <stp/>
        <stp>VOLUME</stp>
        <stp>.SPXW250516C5460</stp>
        <tr r="BE126" s="1"/>
      </tp>
      <tp t="s">
        <v>N/A</v>
        <stp/>
        <stp>VOLUME</stp>
        <stp>.SPXW250530C5600</stp>
        <tr r="I113" s="2"/>
      </tp>
      <tp t="s">
        <v>N/A</v>
        <stp/>
        <stp>VOLUME</stp>
        <stp>.SPXW250731C5610</stp>
        <tr r="N112" s="2"/>
      </tp>
      <tp t="s">
        <v>N/A</v>
        <stp/>
        <stp>VOLUME</stp>
        <stp>.SPXW250606C5560</stp>
        <tr r="J117" s="2"/>
      </tp>
      <tp t="s">
        <v>N/A</v>
        <stp/>
        <stp>VOLUME</stp>
        <stp>.SPXW250630C5600</stp>
        <tr r="L113" s="2"/>
      </tp>
      <tp t="s">
        <v>N/A</v>
        <stp/>
        <stp>VOLUME</stp>
        <stp>.SPXW251128C5780</stp>
        <tr r="V95" s="2"/>
      </tp>
      <tp t="s">
        <v>N/A</v>
        <stp/>
        <stp>VOLUME</stp>
        <stp>.SPXW251031C5610</stp>
        <tr r="T112" s="2"/>
      </tp>
      <tp t="s">
        <v>N/A</v>
        <stp/>
        <stp>VOLUME</stp>
        <stp>.SPXW251231C5610</stp>
        <tr r="X112" s="2"/>
      </tp>
      <tp t="s">
        <v>N/A</v>
        <stp/>
        <stp>VOLUME</stp>
        <stp>.SPXW251128P5780</stp>
        <tr r="V95" s="2"/>
      </tp>
      <tp t="s">
        <v>N/A</v>
        <stp/>
        <stp>VOLUME</stp>
        <stp>.SPXW251031P5610</stp>
        <tr r="T112" s="2"/>
      </tp>
      <tp t="s">
        <v>N/A</v>
        <stp/>
        <stp>VOLUME</stp>
        <stp>.SPXW251231P5610</stp>
        <tr r="X112" s="2"/>
      </tp>
      <tp t="s">
        <v>N/A</v>
        <stp/>
        <stp>VOLUME</stp>
        <stp>.SPXW250930P5600</stp>
        <tr r="R113" s="2"/>
      </tp>
      <tp t="s">
        <v>N/A</v>
        <stp/>
        <stp>VOLUME</stp>
        <stp>.SPXW250829P5790</stp>
        <tr r="P94" s="2"/>
      </tp>
      <tp t="s">
        <v>N/A</v>
        <stp/>
        <stp>VOLUME</stp>
        <stp>.SPXW250507P5570</stp>
        <tr r="BB115" s="1"/>
      </tp>
      <tp>
        <v>4</v>
        <stp/>
        <stp>VOLUME</stp>
        <stp>.SPXW250509P5590</stp>
        <tr r="BD113" s="1"/>
        <tr r="BD113" s="1"/>
      </tp>
      <tp t="s">
        <v>N/A</v>
        <stp/>
        <stp>VOLUME</stp>
        <stp>.SPXW250516P5460</stp>
        <tr r="BF126" s="1"/>
      </tp>
      <tp t="s">
        <v>N/A</v>
        <stp/>
        <stp>VOLUME</stp>
        <stp>.SPXW250530P5600</stp>
        <tr r="I113" s="2"/>
      </tp>
      <tp t="s">
        <v>N/A</v>
        <stp/>
        <stp>VOLUME</stp>
        <stp>.SPXW250731P5610</stp>
        <tr r="N112" s="2"/>
      </tp>
      <tp t="s">
        <v>N/A</v>
        <stp/>
        <stp>VOLUME</stp>
        <stp>.SPXW250606P5560</stp>
        <tr r="J117" s="2"/>
      </tp>
      <tp t="s">
        <v>N/A</v>
        <stp/>
        <stp>VOLUME</stp>
        <stp>.SPXW250630P5600</stp>
        <tr r="L113" s="2"/>
      </tp>
      <tp t="s">
        <v>N/A</v>
        <stp/>
        <stp>VOLUME</stp>
        <stp>.NDXP250829P20150</stp>
        <tr r="P150" s="2"/>
      </tp>
      <tp t="s">
        <v>N/A</v>
        <stp/>
        <stp>VOLUME</stp>
        <stp>.NDXP250829P19150</stp>
        <tr r="P190" s="2"/>
      </tp>
      <tp t="s">
        <v>N/A</v>
        <stp/>
        <stp>VOLUME</stp>
        <stp>.NDXP250930P19850</stp>
        <tr r="R162" s="2"/>
      </tp>
      <tp t="s">
        <v>N/A</v>
        <stp/>
        <stp>VOLUME</stp>
        <stp>.NDXP250630P19850</stp>
        <tr r="L162" s="2"/>
      </tp>
      <tp t="s">
        <v>N/A</v>
        <stp/>
        <stp>VOLUME</stp>
        <stp>.NDXP250509P20150</stp>
        <tr r="BD149" s="1"/>
      </tp>
      <tp t="s">
        <v>N/A</v>
        <stp/>
        <stp>VOLUME</stp>
        <stp>.NDXP250731P19950</stp>
        <tr r="N158" s="2"/>
      </tp>
      <tp>
        <v>7</v>
        <stp/>
        <stp>VOLUME</stp>
        <stp>.NDXP250509P19150</stp>
        <tr r="BD189" s="1"/>
        <tr r="BD189" s="1"/>
      </tp>
      <tp>
        <v>2</v>
        <stp/>
        <stp>VOLUME</stp>
        <stp>.NDXP250530P19850</stp>
        <tr r="I162" s="2"/>
        <tr r="I162" s="2"/>
      </tp>
      <tp t="s">
        <v>N/A</v>
        <stp/>
        <stp>VOLUME</stp>
        <stp>.SPXW250930C5610</stp>
        <tr r="R112" s="2"/>
      </tp>
      <tp t="s">
        <v>N/A</v>
        <stp/>
        <stp>VOLUME</stp>
        <stp>.SPXW250829C5780</stp>
        <tr r="P95" s="2"/>
      </tp>
      <tp t="s">
        <v>N/A</v>
        <stp/>
        <stp>VOLUME</stp>
        <stp>.SPXW250507C5560</stp>
        <tr r="BA116" s="1"/>
      </tp>
      <tp t="s">
        <v>N/A</v>
        <stp/>
        <stp>VOLUME</stp>
        <stp>.SPXW250509C5580</stp>
        <tr r="BC114" s="1"/>
      </tp>
      <tp t="s">
        <v>N/A</v>
        <stp/>
        <stp>VOLUME</stp>
        <stp>.SPXW250516C5470</stp>
        <tr r="BE125" s="1"/>
      </tp>
      <tp t="s">
        <v>N/A</v>
        <stp/>
        <stp>VOLUME</stp>
        <stp>.SPXW250530C5610</stp>
        <tr r="I112" s="2"/>
      </tp>
      <tp t="s">
        <v>N/A</v>
        <stp/>
        <stp>VOLUME</stp>
        <stp>.SPXW250731C5600</stp>
        <tr r="N113" s="2"/>
      </tp>
      <tp t="s">
        <v>N/A</v>
        <stp/>
        <stp>VOLUME</stp>
        <stp>.SPXW250606C5570</stp>
        <tr r="J116" s="2"/>
      </tp>
      <tp t="s">
        <v>N/A</v>
        <stp/>
        <stp>VOLUME</stp>
        <stp>.SPXW250630C5610</stp>
        <tr r="L112" s="2"/>
      </tp>
      <tp t="s">
        <v>N/A</v>
        <stp/>
        <stp>VOLUME</stp>
        <stp>.SPXW251128C5790</stp>
        <tr r="V94" s="2"/>
      </tp>
      <tp t="s">
        <v>N/A</v>
        <stp/>
        <stp>VOLUME</stp>
        <stp>.SPXW251031C5600</stp>
        <tr r="T113" s="2"/>
      </tp>
      <tp t="s">
        <v>N/A</v>
        <stp/>
        <stp>VOLUME</stp>
        <stp>.SPXW251231C5600</stp>
        <tr r="X113" s="2"/>
      </tp>
      <tp t="s">
        <v>N/A</v>
        <stp/>
        <stp>VOLUME</stp>
        <stp>.SPXW251128P5790</stp>
        <tr r="V94" s="2"/>
      </tp>
      <tp t="s">
        <v>N/A</v>
        <stp/>
        <stp>VOLUME</stp>
        <stp>.SPXW251031P5600</stp>
        <tr r="T113" s="2"/>
      </tp>
      <tp t="s">
        <v>N/A</v>
        <stp/>
        <stp>VOLUME</stp>
        <stp>.SPXW251231P5600</stp>
        <tr r="X113" s="2"/>
      </tp>
      <tp t="s">
        <v>N/A</v>
        <stp/>
        <stp>VOLUME</stp>
        <stp>.SPXW250930P5610</stp>
        <tr r="R112" s="2"/>
      </tp>
      <tp t="s">
        <v>N/A</v>
        <stp/>
        <stp>VOLUME</stp>
        <stp>.SPXW250829P5780</stp>
        <tr r="P95" s="2"/>
      </tp>
      <tp t="s">
        <v>N/A</v>
        <stp/>
        <stp>VOLUME</stp>
        <stp>.SPXW250507P5560</stp>
        <tr r="BB116" s="1"/>
      </tp>
      <tp>
        <v>2</v>
        <stp/>
        <stp>VOLUME</stp>
        <stp>.SPXW250509P5580</stp>
        <tr r="BD114" s="1"/>
        <tr r="BD114" s="1"/>
      </tp>
      <tp t="s">
        <v>N/A</v>
        <stp/>
        <stp>VOLUME</stp>
        <stp>.SPXW250516P5470</stp>
        <tr r="BF125" s="1"/>
      </tp>
      <tp t="s">
        <v>N/A</v>
        <stp/>
        <stp>VOLUME</stp>
        <stp>.SPXW250530P5610</stp>
        <tr r="I112" s="2"/>
      </tp>
      <tp t="s">
        <v>N/A</v>
        <stp/>
        <stp>VOLUME</stp>
        <stp>.SPXW250731P5600</stp>
        <tr r="N113" s="2"/>
      </tp>
      <tp t="s">
        <v>N/A</v>
        <stp/>
        <stp>VOLUME</stp>
        <stp>.SPXW250606P5570</stp>
        <tr r="J116" s="2"/>
      </tp>
      <tp t="s">
        <v>N/A</v>
        <stp/>
        <stp>VOLUME</stp>
        <stp>.SPXW250630P5610</stp>
        <tr r="L112" s="2"/>
      </tp>
      <tp t="s">
        <v>N/A</v>
        <stp/>
        <stp>VOLUME</stp>
        <stp>.NDXP251231P19975</stp>
        <tr r="X157" s="2"/>
      </tp>
      <tp t="s">
        <v>N/A</v>
        <stp/>
        <stp>VOLUME</stp>
        <stp>.NDXP251128P20075</stp>
        <tr r="V153" s="2"/>
      </tp>
      <tp t="s">
        <v>N/A</v>
        <stp/>
        <stp>VOLUME</stp>
        <stp>.NDXP251031P19975</stp>
        <tr r="T157" s="2"/>
      </tp>
      <tp t="s">
        <v>N/A</v>
        <stp/>
        <stp>VOLUME</stp>
        <stp>.SPXW250930C5620</stp>
        <tr r="R111" s="2"/>
      </tp>
      <tp t="s">
        <v>N/A</v>
        <stp/>
        <stp>VOLUME</stp>
        <stp>.SPXW250507C5550</stp>
        <tr r="BA117" s="1"/>
      </tp>
      <tp t="s">
        <v>N/A</v>
        <stp/>
        <stp>VOLUME</stp>
        <stp>.SPXW250516C5440</stp>
        <tr r="BE128" s="1"/>
      </tp>
      <tp t="s">
        <v>N/A</v>
        <stp/>
        <stp>VOLUME</stp>
        <stp>.SPXW250530C5620</stp>
        <tr r="I111" s="2"/>
      </tp>
      <tp t="s">
        <v>N/A</v>
        <stp/>
        <stp>VOLUME</stp>
        <stp>.SPXW250731C5630</stp>
        <tr r="N110" s="2"/>
      </tp>
      <tp t="s">
        <v>N/A</v>
        <stp/>
        <stp>VOLUME</stp>
        <stp>.SPXW250606C5540</stp>
        <tr r="J119" s="2"/>
      </tp>
      <tp t="s">
        <v>N/A</v>
        <stp/>
        <stp>VOLUME</stp>
        <stp>.SPXW250630C5620</stp>
        <tr r="L111" s="2"/>
      </tp>
      <tp t="s">
        <v>N/A</v>
        <stp/>
        <stp>VOLUME</stp>
        <stp>.SPXW251031C5630</stp>
        <tr r="T110" s="2"/>
      </tp>
      <tp t="s">
        <v>N/A</v>
        <stp/>
        <stp>VOLUME</stp>
        <stp>.SPXW251231C5630</stp>
        <tr r="X110" s="2"/>
      </tp>
      <tp t="s">
        <v>N/A</v>
        <stp/>
        <stp>VOLUME</stp>
        <stp>.SPXW251031P5630</stp>
        <tr r="T110" s="2"/>
      </tp>
      <tp t="s">
        <v>N/A</v>
        <stp/>
        <stp>VOLUME</stp>
        <stp>.SPXW251231P5630</stp>
        <tr r="X110" s="2"/>
      </tp>
      <tp t="s">
        <v>N/A</v>
        <stp/>
        <stp>VOLUME</stp>
        <stp>.SPXW250930P5620</stp>
        <tr r="R111" s="2"/>
      </tp>
      <tp t="s">
        <v>N/A</v>
        <stp/>
        <stp>VOLUME</stp>
        <stp>.SPXW250507P5550</stp>
        <tr r="BB117" s="1"/>
      </tp>
      <tp>
        <v>2</v>
        <stp/>
        <stp>VOLUME</stp>
        <stp>.SPXW250516P5440</stp>
        <tr r="BF128" s="1"/>
        <tr r="BF128" s="1"/>
      </tp>
      <tp t="s">
        <v>N/A</v>
        <stp/>
        <stp>VOLUME</stp>
        <stp>.SPXW250530P5620</stp>
        <tr r="I111" s="2"/>
      </tp>
      <tp t="s">
        <v>N/A</v>
        <stp/>
        <stp>VOLUME</stp>
        <stp>.SPXW250731P5630</stp>
        <tr r="N110" s="2"/>
      </tp>
      <tp t="s">
        <v>N/A</v>
        <stp/>
        <stp>VOLUME</stp>
        <stp>.SPXW250606P5540</stp>
        <tr r="J119" s="2"/>
      </tp>
      <tp t="s">
        <v>N/A</v>
        <stp/>
        <stp>VOLUME</stp>
        <stp>.SPXW250630P5620</stp>
        <tr r="L111" s="2"/>
      </tp>
      <tp t="s">
        <v>N/A</v>
        <stp/>
        <stp>VOLUME</stp>
        <stp>.NDXP250829P20175</stp>
        <tr r="P149" s="2"/>
      </tp>
      <tp t="s">
        <v>N/A</v>
        <stp/>
        <stp>VOLUME</stp>
        <stp>.NDXP250930P19875</stp>
        <tr r="R161" s="2"/>
      </tp>
      <tp t="s">
        <v>N/A</v>
        <stp/>
        <stp>VOLUME</stp>
        <stp>.NDXP250829P19175</stp>
        <tr r="P189" s="2"/>
      </tp>
      <tp t="s">
        <v>N/A</v>
        <stp/>
        <stp>VOLUME</stp>
        <stp>.NDXP250731P19975</stp>
        <tr r="N157" s="2"/>
      </tp>
      <tp t="s">
        <v>N/A</v>
        <stp/>
        <stp>VOLUME</stp>
        <stp>.NDXP250630P19875</stp>
        <tr r="L161" s="2"/>
      </tp>
      <tp t="s">
        <v>N/A</v>
        <stp/>
        <stp>VOLUME</stp>
        <stp>.NDXP250509P20175</stp>
        <tr r="BD148" s="1"/>
      </tp>
      <tp>
        <v>7</v>
        <stp/>
        <stp>VOLUME</stp>
        <stp>.NDXP250509P19175</stp>
        <tr r="BD188" s="1"/>
        <tr r="BD188" s="1"/>
      </tp>
      <tp>
        <v>1</v>
        <stp/>
        <stp>VOLUME</stp>
        <stp>.NDXP250530P19875</stp>
        <tr r="I161" s="2"/>
        <tr r="I161" s="2"/>
      </tp>
      <tp t="s">
        <v>N/A</v>
        <stp/>
        <stp>VOLUME</stp>
        <stp>.SPXW250930C5630</stp>
        <tr r="R110" s="2"/>
      </tp>
      <tp t="s">
        <v>N/A</v>
        <stp/>
        <stp>VOLUME</stp>
        <stp>.SPXW250507C5540</stp>
        <tr r="BA118" s="1"/>
      </tp>
      <tp t="s">
        <v>N/A</v>
        <stp/>
        <stp>VOLUME</stp>
        <stp>.SPXW250516C5450</stp>
        <tr r="BE127" s="1"/>
      </tp>
      <tp t="s">
        <v>N/A</v>
        <stp/>
        <stp>VOLUME</stp>
        <stp>.SPXW250530C5630</stp>
        <tr r="I110" s="2"/>
      </tp>
      <tp t="s">
        <v>N/A</v>
        <stp/>
        <stp>VOLUME</stp>
        <stp>.SPXW250731C5620</stp>
        <tr r="N111" s="2"/>
      </tp>
      <tp t="s">
        <v>N/A</v>
        <stp/>
        <stp>VOLUME</stp>
        <stp>.SPXW250606C5550</stp>
        <tr r="J118" s="2"/>
      </tp>
      <tp t="s">
        <v>N/A</v>
        <stp/>
        <stp>VOLUME</stp>
        <stp>.SPXW250630C5630</stp>
        <tr r="L110" s="2"/>
      </tp>
      <tp t="s">
        <v>N/A</v>
        <stp/>
        <stp>VOLUME</stp>
        <stp>.SPXW251031C5620</stp>
        <tr r="T111" s="2"/>
      </tp>
      <tp t="s">
        <v>N/A</v>
        <stp/>
        <stp>VOLUME</stp>
        <stp>.SPXW251231C5620</stp>
        <tr r="X111" s="2"/>
      </tp>
      <tp t="s">
        <v>N/A</v>
        <stp/>
        <stp>VOLUME</stp>
        <stp>.SPXW251031P5620</stp>
        <tr r="T111" s="2"/>
      </tp>
      <tp t="s">
        <v>N/A</v>
        <stp/>
        <stp>VOLUME</stp>
        <stp>.SPXW251231P5620</stp>
        <tr r="X111" s="2"/>
      </tp>
      <tp t="s">
        <v>N/A</v>
        <stp/>
        <stp>VOLUME</stp>
        <stp>.SPXW250930P5630</stp>
        <tr r="R110" s="2"/>
      </tp>
      <tp t="s">
        <v>N/A</v>
        <stp/>
        <stp>VOLUME</stp>
        <stp>.SPXW250507P5540</stp>
        <tr r="BB118" s="1"/>
      </tp>
      <tp t="s">
        <v>N/A</v>
        <stp/>
        <stp>VOLUME</stp>
        <stp>.SPXW250516P5450</stp>
        <tr r="BF127" s="1"/>
      </tp>
      <tp t="s">
        <v>N/A</v>
        <stp/>
        <stp>VOLUME</stp>
        <stp>.SPXW250530P5630</stp>
        <tr r="I110" s="2"/>
      </tp>
      <tp t="s">
        <v>N/A</v>
        <stp/>
        <stp>VOLUME</stp>
        <stp>.SPXW250731P5620</stp>
        <tr r="N111" s="2"/>
      </tp>
      <tp t="s">
        <v>N/A</v>
        <stp/>
        <stp>VOLUME</stp>
        <stp>.SPXW250606P5550</stp>
        <tr r="J118" s="2"/>
      </tp>
      <tp t="s">
        <v>N/A</v>
        <stp/>
        <stp>VOLUME</stp>
        <stp>.SPXW250630P5630</stp>
        <tr r="L110" s="2"/>
      </tp>
      <tp t="s">
        <v>N/A</v>
        <stp/>
        <stp>VOLUME</stp>
        <stp>.QQQP500</stp>
        <tr r="G48" s="2"/>
        <tr r="F48" s="2"/>
        <tr r="E48" s="2"/>
        <tr r="D48" s="2"/>
        <tr r="C48" s="2"/>
        <tr r="B48" s="2"/>
      </tp>
      <tp t="s">
        <v>N/A</v>
        <stp/>
        <stp>VOLUME</stp>
        <stp>.QQQC500</stp>
        <tr r="G48" s="2"/>
        <tr r="F48" s="2"/>
        <tr r="E48" s="2"/>
        <tr r="D48" s="2"/>
        <tr r="C48" s="2"/>
        <tr r="B48" s="2"/>
      </tp>
      <tp t="s">
        <v>N/A</v>
        <stp/>
        <stp>VOLUME</stp>
        <stp>.QQQP501</stp>
        <tr r="G47" s="2"/>
        <tr r="F47" s="2"/>
        <tr r="E47" s="2"/>
        <tr r="D47" s="2"/>
        <tr r="C47" s="2"/>
        <tr r="B47" s="2"/>
      </tp>
      <tp t="s">
        <v>N/A</v>
        <stp/>
        <stp>VOLUME</stp>
        <stp>.QQQC501</stp>
        <tr r="G47" s="2"/>
        <tr r="F47" s="2"/>
        <tr r="E47" s="2"/>
        <tr r="D47" s="2"/>
        <tr r="C47" s="2"/>
        <tr r="B47" s="2"/>
      </tp>
      <tp t="s">
        <v>N/A</v>
        <stp/>
        <stp>VOLUME</stp>
        <stp>.QQQP502</stp>
        <tr r="G46" s="2"/>
        <tr r="F46" s="2"/>
        <tr r="E46" s="2"/>
        <tr r="D46" s="2"/>
        <tr r="C46" s="2"/>
        <tr r="B46" s="2"/>
      </tp>
      <tp t="s">
        <v>N/A</v>
        <stp/>
        <stp>VOLUME</stp>
        <stp>.QQQC502</stp>
        <tr r="G46" s="2"/>
        <tr r="F46" s="2"/>
        <tr r="E46" s="2"/>
        <tr r="D46" s="2"/>
        <tr r="C46" s="2"/>
        <tr r="B46" s="2"/>
      </tp>
      <tp t="s">
        <v>N/A</v>
        <stp/>
        <stp>VOLUME</stp>
        <stp>.NDXP250829P20100</stp>
        <tr r="P152" s="2"/>
      </tp>
      <tp t="s">
        <v>N/A</v>
        <stp/>
        <stp>VOLUME</stp>
        <stp>.NDXP250930P19800</stp>
        <tr r="R164" s="2"/>
      </tp>
      <tp t="s">
        <v>N/A</v>
        <stp/>
        <stp>VOLUME</stp>
        <stp>.NDXP250630P19800</stp>
        <tr r="L164" s="2"/>
      </tp>
      <tp t="s">
        <v>N/A</v>
        <stp/>
        <stp>VOLUME</stp>
        <stp>.NDXP250509P20100</stp>
        <tr r="BD151" s="1"/>
      </tp>
      <tp t="s">
        <v>N/A</v>
        <stp/>
        <stp>VOLUME</stp>
        <stp>.NDXP250731P19900</stp>
        <tr r="N160" s="2"/>
      </tp>
      <tp>
        <v>1</v>
        <stp/>
        <stp>VOLUME</stp>
        <stp>.NDXP250530P19800</stp>
        <tr r="I164" s="2"/>
        <tr r="I164" s="2"/>
      </tp>
      <tp t="s">
        <v>N/A</v>
        <stp/>
        <stp>VOLUME</stp>
        <stp>.SPXW250930C5640</stp>
        <tr r="R109" s="2"/>
      </tp>
      <tp t="s">
        <v>N/A</v>
        <stp/>
        <stp>VOLUME</stp>
        <stp>.SPXW250507C5530</stp>
        <tr r="BA119" s="1"/>
      </tp>
      <tp t="s">
        <v>N/A</v>
        <stp/>
        <stp>VOLUME</stp>
        <stp>.SPXW250516C5420</stp>
        <tr r="BE130" s="1"/>
      </tp>
      <tp t="s">
        <v>N/A</v>
        <stp/>
        <stp>VOLUME</stp>
        <stp>.SPXW250530C5640</stp>
        <tr r="I109" s="2"/>
      </tp>
      <tp t="s">
        <v>N/A</v>
        <stp/>
        <stp>VOLUME</stp>
        <stp>.SPXW250731C5650</stp>
        <tr r="N108" s="2"/>
      </tp>
      <tp t="s">
        <v>N/A</v>
        <stp/>
        <stp>VOLUME</stp>
        <stp>.SPXW250606C5520</stp>
        <tr r="J121" s="2"/>
      </tp>
      <tp t="s">
        <v>N/A</v>
        <stp/>
        <stp>VOLUME</stp>
        <stp>.SPXW250630C5640</stp>
        <tr r="L109" s="2"/>
      </tp>
      <tp t="s">
        <v>N/A</v>
        <stp/>
        <stp>VOLUME</stp>
        <stp>.SPXW251031C5650</stp>
        <tr r="T108" s="2"/>
      </tp>
      <tp t="s">
        <v>N/A</v>
        <stp/>
        <stp>VOLUME</stp>
        <stp>.SPXW251231C5650</stp>
        <tr r="X108" s="2"/>
      </tp>
      <tp t="s">
        <v>N/A</v>
        <stp/>
        <stp>VOLUME</stp>
        <stp>.SPXW251031P5650</stp>
        <tr r="T108" s="2"/>
      </tp>
      <tp t="s">
        <v>N/A</v>
        <stp/>
        <stp>VOLUME</stp>
        <stp>.SPXW251231P5650</stp>
        <tr r="X108" s="2"/>
      </tp>
      <tp t="s">
        <v>N/A</v>
        <stp/>
        <stp>VOLUME</stp>
        <stp>.SPXW250930P5640</stp>
        <tr r="R109" s="2"/>
      </tp>
      <tp t="s">
        <v>N/A</v>
        <stp/>
        <stp>VOLUME</stp>
        <stp>.SPXW250507P5530</stp>
        <tr r="BB119" s="1"/>
      </tp>
      <tp t="s">
        <v>N/A</v>
        <stp/>
        <stp>VOLUME</stp>
        <stp>.SPXW250516P5420</stp>
        <tr r="BF130" s="1"/>
      </tp>
      <tp t="s">
        <v>N/A</v>
        <stp/>
        <stp>VOLUME</stp>
        <stp>.SPXW250530P5640</stp>
        <tr r="I109" s="2"/>
      </tp>
      <tp t="s">
        <v>N/A</v>
        <stp/>
        <stp>VOLUME</stp>
        <stp>.SPXW250731P5650</stp>
        <tr r="N108" s="2"/>
      </tp>
      <tp t="s">
        <v>N/A</v>
        <stp/>
        <stp>VOLUME</stp>
        <stp>.SPXW250606P5520</stp>
        <tr r="J121" s="2"/>
      </tp>
      <tp t="s">
        <v>N/A</v>
        <stp/>
        <stp>VOLUME</stp>
        <stp>.SPXW250630P5640</stp>
        <tr r="L109" s="2"/>
      </tp>
      <tp t="s">
        <v>N/A</v>
        <stp/>
        <stp>VOLUME</stp>
        <stp>.NDXP251231P19900</stp>
        <tr r="X160" s="2"/>
      </tp>
      <tp t="s">
        <v>N/A</v>
        <stp/>
        <stp>VOLUME</stp>
        <stp>.NDXP251128P20000</stp>
        <tr r="V156" s="2"/>
      </tp>
      <tp t="s">
        <v>N/A</v>
        <stp/>
        <stp>VOLUME</stp>
        <stp>.NDXP251031P19900</stp>
        <tr r="T160" s="2"/>
      </tp>
      <tp t="s">
        <v>N/A</v>
        <stp/>
        <stp>VOLUME</stp>
        <stp>.SPXW250930C5650</stp>
        <tr r="R108" s="2"/>
      </tp>
      <tp t="s">
        <v>N/A</v>
        <stp/>
        <stp>VOLUME</stp>
        <stp>.SPXW250507C5520</stp>
        <tr r="BA120" s="1"/>
      </tp>
      <tp t="s">
        <v>N/A</v>
        <stp/>
        <stp>VOLUME</stp>
        <stp>.SPXW250516C5430</stp>
        <tr r="BE129" s="1"/>
      </tp>
      <tp t="s">
        <v>N/A</v>
        <stp/>
        <stp>VOLUME</stp>
        <stp>.SPXW250530C5650</stp>
        <tr r="I108" s="2"/>
      </tp>
      <tp t="s">
        <v>N/A</v>
        <stp/>
        <stp>VOLUME</stp>
        <stp>.SPXW250731C5640</stp>
        <tr r="N109" s="2"/>
      </tp>
      <tp t="s">
        <v>N/A</v>
        <stp/>
        <stp>VOLUME</stp>
        <stp>.SPXW250606C5530</stp>
        <tr r="J120" s="2"/>
      </tp>
      <tp t="s">
        <v>N/A</v>
        <stp/>
        <stp>VOLUME</stp>
        <stp>.SPXW250630C5650</stp>
        <tr r="L108" s="2"/>
      </tp>
      <tp t="s">
        <v>N/A</v>
        <stp/>
        <stp>VOLUME</stp>
        <stp>.SPXW251031C5640</stp>
        <tr r="T109" s="2"/>
      </tp>
      <tp t="s">
        <v>N/A</v>
        <stp/>
        <stp>VOLUME</stp>
        <stp>.SPXW251231C5640</stp>
        <tr r="X109" s="2"/>
      </tp>
      <tp t="s">
        <v>N/A</v>
        <stp/>
        <stp>VOLUME</stp>
        <stp>.SPXW251031P5640</stp>
        <tr r="T109" s="2"/>
      </tp>
      <tp t="s">
        <v>N/A</v>
        <stp/>
        <stp>VOLUME</stp>
        <stp>.SPXW251231P5640</stp>
        <tr r="X109" s="2"/>
      </tp>
      <tp t="s">
        <v>N/A</v>
        <stp/>
        <stp>VOLUME</stp>
        <stp>.SPXW250930P5650</stp>
        <tr r="R108" s="2"/>
      </tp>
      <tp t="s">
        <v>N/A</v>
        <stp/>
        <stp>VOLUME</stp>
        <stp>.SPXW250507P5520</stp>
        <tr r="BB120" s="1"/>
      </tp>
      <tp>
        <v>2</v>
        <stp/>
        <stp>VOLUME</stp>
        <stp>.SPXW250516P5430</stp>
        <tr r="BF129" s="1"/>
        <tr r="BF129" s="1"/>
      </tp>
      <tp t="s">
        <v>N/A</v>
        <stp/>
        <stp>VOLUME</stp>
        <stp>.SPXW250530P5650</stp>
        <tr r="I108" s="2"/>
      </tp>
      <tp t="s">
        <v>N/A</v>
        <stp/>
        <stp>VOLUME</stp>
        <stp>.SPXW250731P5640</stp>
        <tr r="N109" s="2"/>
      </tp>
      <tp t="s">
        <v>N/A</v>
        <stp/>
        <stp>VOLUME</stp>
        <stp>.SPXW250606P5530</stp>
        <tr r="J120" s="2"/>
      </tp>
      <tp t="s">
        <v>N/A</v>
        <stp/>
        <stp>VOLUME</stp>
        <stp>.SPXW250630P5650</stp>
        <tr r="L108" s="2"/>
      </tp>
      <tp t="s">
        <v>N/A</v>
        <stp/>
        <stp>VOLUME</stp>
        <stp>.NDXP250829P20125</stp>
        <tr r="P151" s="2"/>
      </tp>
      <tp t="s">
        <v>N/A</v>
        <stp/>
        <stp>VOLUME</stp>
        <stp>.NDXP250930P19825</stp>
        <tr r="R163" s="2"/>
      </tp>
      <tp t="s">
        <v>N/A</v>
        <stp/>
        <stp>VOLUME</stp>
        <stp>.NDXP250731P19925</stp>
        <tr r="N159" s="2"/>
      </tp>
      <tp t="s">
        <v>N/A</v>
        <stp/>
        <stp>VOLUME</stp>
        <stp>.NDXP250630P19825</stp>
        <tr r="L163" s="2"/>
      </tp>
      <tp t="s">
        <v>N/A</v>
        <stp/>
        <stp>VOLUME</stp>
        <stp>.NDXP250509P20125</stp>
        <tr r="BD150" s="1"/>
      </tp>
      <tp t="s">
        <v>N/A</v>
        <stp/>
        <stp>VOLUME</stp>
        <stp>.NDXP250530P19825</stp>
        <tr r="I163" s="2"/>
      </tp>
      <tp t="s">
        <v>N/A</v>
        <stp/>
        <stp>VOLUME</stp>
        <stp>.SPXW250930C5660</stp>
        <tr r="R107" s="2"/>
      </tp>
      <tp t="s">
        <v>N/A</v>
        <stp/>
        <stp>VOLUME</stp>
        <stp>.SPXW250507C5510</stp>
        <tr r="BA121" s="1"/>
      </tp>
      <tp t="s">
        <v>N/A</v>
        <stp/>
        <stp>VOLUME</stp>
        <stp>.SPXW250530C5660</stp>
        <tr r="I107" s="2"/>
      </tp>
      <tp t="s">
        <v>N/A</v>
        <stp/>
        <stp>VOLUME</stp>
        <stp>.SPXW250731C5670</stp>
        <tr r="N106" s="2"/>
      </tp>
      <tp t="s">
        <v>N/A</v>
        <stp/>
        <stp>VOLUME</stp>
        <stp>.SPXW250606C5500</stp>
        <tr r="J123" s="2"/>
      </tp>
      <tp t="s">
        <v>N/A</v>
        <stp/>
        <stp>VOLUME</stp>
        <stp>.SPXW250630C5660</stp>
        <tr r="L107" s="2"/>
      </tp>
      <tp t="s">
        <v>N/A</v>
        <stp/>
        <stp>VOLUME</stp>
        <stp>.SPXW251031C5670</stp>
        <tr r="T106" s="2"/>
      </tp>
      <tp t="s">
        <v>N/A</v>
        <stp/>
        <stp>VOLUME</stp>
        <stp>.SPXW251231C5670</stp>
        <tr r="X106" s="2"/>
      </tp>
      <tp t="s">
        <v>N/A</v>
        <stp/>
        <stp>VOLUME</stp>
        <stp>.SPXW251031P5670</stp>
        <tr r="T106" s="2"/>
      </tp>
      <tp t="s">
        <v>N/A</v>
        <stp/>
        <stp>VOLUME</stp>
        <stp>.SPXW251231P5670</stp>
        <tr r="X106" s="2"/>
      </tp>
      <tp t="s">
        <v>N/A</v>
        <stp/>
        <stp>VOLUME</stp>
        <stp>.SPXW250930P5660</stp>
        <tr r="R107" s="2"/>
      </tp>
      <tp t="s">
        <v>N/A</v>
        <stp/>
        <stp>VOLUME</stp>
        <stp>.SPXW250507P5510</stp>
        <tr r="BB121" s="1"/>
      </tp>
      <tp t="s">
        <v>N/A</v>
        <stp/>
        <stp>VOLUME</stp>
        <stp>.SPXW250530P5660</stp>
        <tr r="I107" s="2"/>
      </tp>
      <tp t="s">
        <v>N/A</v>
        <stp/>
        <stp>VOLUME</stp>
        <stp>.SPXW250731P5670</stp>
        <tr r="N106" s="2"/>
      </tp>
      <tp t="s">
        <v>N/A</v>
        <stp/>
        <stp>VOLUME</stp>
        <stp>.SPXW250606P5500</stp>
        <tr r="J123" s="2"/>
      </tp>
      <tp t="s">
        <v>N/A</v>
        <stp/>
        <stp>VOLUME</stp>
        <stp>.SPXW250630P5660</stp>
        <tr r="L107" s="2"/>
      </tp>
      <tp t="s">
        <v>N/A</v>
        <stp/>
        <stp>VOLUME</stp>
        <stp>.NDXP251231P19925</stp>
        <tr r="X159" s="2"/>
      </tp>
      <tp t="s">
        <v>N/A</v>
        <stp/>
        <stp>VOLUME</stp>
        <stp>.NDXP251128P20025</stp>
        <tr r="V155" s="2"/>
      </tp>
      <tp t="s">
        <v>N/A</v>
        <stp/>
        <stp>VOLUME</stp>
        <stp>.NDXP251031P19925</stp>
        <tr r="T159" s="2"/>
      </tp>
      <tp t="s">
        <v>N/A</v>
        <stp/>
        <stp>VOLUME</stp>
        <stp>.SPXW250930C5670</stp>
        <tr r="R106" s="2"/>
      </tp>
      <tp t="s">
        <v>N/A</v>
        <stp/>
        <stp>VOLUME</stp>
        <stp>.SPXW250507C5500</stp>
        <tr r="BA122" s="1"/>
      </tp>
      <tp t="s">
        <v>N/A</v>
        <stp/>
        <stp>VOLUME</stp>
        <stp>.SPXW250530C5670</stp>
        <tr r="I106" s="2"/>
      </tp>
      <tp t="s">
        <v>N/A</v>
        <stp/>
        <stp>VOLUME</stp>
        <stp>.SPXW250731C5660</stp>
        <tr r="N107" s="2"/>
      </tp>
      <tp t="s">
        <v>N/A</v>
        <stp/>
        <stp>VOLUME</stp>
        <stp>.SPXW250606C5510</stp>
        <tr r="J122" s="2"/>
      </tp>
      <tp>
        <v>1</v>
        <stp/>
        <stp>VOLUME</stp>
        <stp>.SPXW250630C5670</stp>
        <tr r="L106" s="2"/>
        <tr r="L106" s="2"/>
      </tp>
      <tp t="s">
        <v>N/A</v>
        <stp/>
        <stp>VOLUME</stp>
        <stp>.SPXW251031C5660</stp>
        <tr r="T107" s="2"/>
      </tp>
      <tp t="s">
        <v>N/A</v>
        <stp/>
        <stp>VOLUME</stp>
        <stp>.SPXW251231C5660</stp>
        <tr r="X107" s="2"/>
      </tp>
      <tp t="s">
        <v>N/A</v>
        <stp/>
        <stp>VOLUME</stp>
        <stp>.SPXW251031P5660</stp>
        <tr r="T107" s="2"/>
      </tp>
      <tp t="s">
        <v>N/A</v>
        <stp/>
        <stp>VOLUME</stp>
        <stp>.SPXW251231P5660</stp>
        <tr r="X107" s="2"/>
      </tp>
      <tp t="s">
        <v>N/A</v>
        <stp/>
        <stp>VOLUME</stp>
        <stp>.SPXW250930P5670</stp>
        <tr r="R106" s="2"/>
      </tp>
      <tp t="s">
        <v>N/A</v>
        <stp/>
        <stp>VOLUME</stp>
        <stp>.SPXW250507P5500</stp>
        <tr r="BB122" s="1"/>
      </tp>
      <tp t="s">
        <v>N/A</v>
        <stp/>
        <stp>VOLUME</stp>
        <stp>.SPXW250530P5670</stp>
        <tr r="I106" s="2"/>
      </tp>
      <tp t="s">
        <v>N/A</v>
        <stp/>
        <stp>VOLUME</stp>
        <stp>.SPXW250731P5660</stp>
        <tr r="N107" s="2"/>
      </tp>
      <tp t="s">
        <v>N/A</v>
        <stp/>
        <stp>VOLUME</stp>
        <stp>.SPXW250606P5510</stp>
        <tr r="J122" s="2"/>
      </tp>
      <tp>
        <v>1</v>
        <stp/>
        <stp>VOLUME</stp>
        <stp>.SPXW250630P5670</stp>
        <tr r="L106" s="2"/>
        <tr r="L106" s="2"/>
      </tp>
      <tp>
        <v>49</v>
        <stp/>
        <stp>OPEN_INT</stp>
        <stp>.NDXP250507C19700</stp>
        <tr r="AS167" s="1"/>
        <tr r="AS167" s="1"/>
      </tp>
      <tp>
        <v>20</v>
        <stp/>
        <stp>OPEN_INT</stp>
        <stp>.NDXP250509C19900</stp>
        <tr r="AU159" s="1"/>
        <tr r="AU159" s="1"/>
      </tp>
      <tp>
        <v>4</v>
        <stp/>
        <stp>OPEN_INT</stp>
        <stp>.NDXP250507C19725</stp>
        <tr r="AS166" s="1"/>
        <tr r="AS166" s="1"/>
      </tp>
      <tp>
        <v>4</v>
        <stp/>
        <stp>OPEN_INT</stp>
        <stp>.NDXP250509C19925</stp>
        <tr r="AU158" s="1"/>
        <tr r="AU158" s="1"/>
      </tp>
      <tp>
        <v>6</v>
        <stp/>
        <stp>OPEN_INT</stp>
        <stp>.NDXP250507C19750</stp>
        <tr r="AS165" s="1"/>
        <tr r="AS165" s="1"/>
      </tp>
      <tp>
        <v>5</v>
        <stp/>
        <stp>OPEN_INT</stp>
        <stp>.NDXP250509C19950</stp>
        <tr r="AU157" s="1"/>
        <tr r="AU157" s="1"/>
      </tp>
      <tp>
        <v>3</v>
        <stp/>
        <stp>OPEN_INT</stp>
        <stp>.NDXP250507C19775</stp>
        <tr r="AS164" s="1"/>
        <tr r="AS164" s="1"/>
      </tp>
      <tp>
        <v>3</v>
        <stp/>
        <stp>OPEN_INT</stp>
        <stp>.NDXP250509C19975</stp>
        <tr r="AU156" s="1"/>
        <tr r="AU156" s="1"/>
      </tp>
      <tp>
        <v>9</v>
        <stp/>
        <stp>OPEN_INT</stp>
        <stp>.NDXP250507P19725</stp>
        <tr r="AT166" s="1"/>
        <tr r="AT166" s="1"/>
      </tp>
      <tp>
        <v>3</v>
        <stp/>
        <stp>OPEN_INT</stp>
        <stp>.NDXP250509P19925</stp>
        <tr r="AV158" s="1"/>
        <tr r="AV158" s="1"/>
      </tp>
      <tp>
        <v>21</v>
        <stp/>
        <stp>OPEN_INT</stp>
        <stp>.NDXP250507P19700</stp>
        <tr r="AT167" s="1"/>
        <tr r="AT167" s="1"/>
      </tp>
      <tp>
        <v>5</v>
        <stp/>
        <stp>OPEN_INT</stp>
        <stp>.NDXP250509P19900</stp>
        <tr r="AV159" s="1"/>
        <tr r="AV159" s="1"/>
      </tp>
      <tp>
        <v>8</v>
        <stp/>
        <stp>OPEN_INT</stp>
        <stp>.NDXP250507P19775</stp>
        <tr r="AT164" s="1"/>
        <tr r="AT164" s="1"/>
      </tp>
      <tp>
        <v>7</v>
        <stp/>
        <stp>OPEN_INT</stp>
        <stp>.NDXP250509P19975</stp>
        <tr r="AV156" s="1"/>
        <tr r="AV156" s="1"/>
      </tp>
      <tp>
        <v>19</v>
        <stp/>
        <stp>OPEN_INT</stp>
        <stp>.NDXP250507P19750</stp>
        <tr r="AT165" s="1"/>
        <tr r="AT165" s="1"/>
      </tp>
      <tp>
        <v>3</v>
        <stp/>
        <stp>OPEN_INT</stp>
        <stp>.NDXP250509P19950</stp>
        <tr r="AV157" s="1"/>
        <tr r="AV157" s="1"/>
      </tp>
      <tp>
        <v>-1</v>
        <stp/>
        <stp>DELTA</stp>
        <stp>.NDXP250509P20325</stp>
        <tr r="CG142" s="1"/>
        <tr r="CG142" s="1"/>
      </tp>
      <tp>
        <v>-0.1</v>
        <stp/>
        <stp>DELTA</stp>
        <stp>.NDXP250509P19325</stp>
        <tr r="CG182" s="1"/>
        <tr r="CG182" s="1"/>
      </tp>
      <tp>
        <v>-1</v>
        <stp/>
        <stp>DELTA</stp>
        <stp>.NDXP250509P20300</stp>
        <tr r="CG143" s="1"/>
        <tr r="CG143" s="1"/>
      </tp>
      <tp>
        <v>-0.09</v>
        <stp/>
        <stp>DELTA</stp>
        <stp>.NDXP250509P19300</stp>
        <tr r="CG183" s="1"/>
        <tr r="CG183" s="1"/>
      </tp>
      <tp>
        <v>-1</v>
        <stp/>
        <stp>DELTA</stp>
        <stp>.NDXP250509P20375</stp>
        <tr r="CG140" s="1"/>
        <tr r="CG140" s="1"/>
      </tp>
      <tp>
        <v>-0.12</v>
        <stp/>
        <stp>DELTA</stp>
        <stp>.NDXP250509P19375</stp>
        <tr r="CG180" s="1"/>
        <tr r="CG180" s="1"/>
      </tp>
      <tp>
        <v>-1</v>
        <stp/>
        <stp>DELTA</stp>
        <stp>.NDXP250509P20350</stp>
        <tr r="CG141" s="1"/>
        <tr r="CG141" s="1"/>
      </tp>
      <tp>
        <v>-0.11</v>
        <stp/>
        <stp>DELTA</stp>
        <stp>.NDXP250509P19350</stp>
        <tr r="CG181" s="1"/>
        <tr r="CG181" s="1"/>
      </tp>
      <tp>
        <v>0.13</v>
        <stp/>
        <stp>DELTA</stp>
        <stp>.NDXP250509C20300</stp>
        <tr r="CF143" s="1"/>
        <tr r="CF143" s="1"/>
      </tp>
      <tp>
        <v>0.84</v>
        <stp/>
        <stp>DELTA</stp>
        <stp>.NDXP250509C19300</stp>
        <tr r="CF183" s="1"/>
        <tr r="CF183" s="1"/>
      </tp>
      <tp>
        <v>0.12</v>
        <stp/>
        <stp>DELTA</stp>
        <stp>.NDXP250509C20325</stp>
        <tr r="CF142" s="1"/>
        <tr r="CF142" s="1"/>
      </tp>
      <tp>
        <v>0.84</v>
        <stp/>
        <stp>DELTA</stp>
        <stp>.NDXP250509C19325</stp>
        <tr r="CF182" s="1"/>
        <tr r="CF182" s="1"/>
      </tp>
      <tp>
        <v>0.11</v>
        <stp/>
        <stp>DELTA</stp>
        <stp>.NDXP250509C20350</stp>
        <tr r="CF141" s="1"/>
        <tr r="CF141" s="1"/>
      </tp>
      <tp>
        <v>0.83</v>
        <stp/>
        <stp>DELTA</stp>
        <stp>.NDXP250509C19350</stp>
        <tr r="CF181" s="1"/>
        <tr r="CF181" s="1"/>
      </tp>
      <tp>
        <v>0.09</v>
        <stp/>
        <stp>DELTA</stp>
        <stp>.NDXP250509C20375</stp>
        <tr r="CF140" s="1"/>
        <tr r="CF140" s="1"/>
      </tp>
      <tp>
        <v>0.82</v>
        <stp/>
        <stp>DELTA</stp>
        <stp>.NDXP250509C19375</stp>
        <tr r="CF180" s="1"/>
        <tr r="CF180" s="1"/>
      </tp>
      <tp t="s">
        <v>N/A</v>
        <stp/>
        <stp>VOLUME</stp>
        <stp>.NDXP250829C20075</stp>
        <tr r="P153" s="2"/>
      </tp>
      <tp t="s">
        <v>N/A</v>
        <stp/>
        <stp>VOLUME</stp>
        <stp>.NDXP250930C19975</stp>
        <tr r="R157" s="2"/>
      </tp>
      <tp t="s">
        <v>N/A</v>
        <stp/>
        <stp>VOLUME</stp>
        <stp>.NDXP250731C19875</stp>
        <tr r="N161" s="2"/>
      </tp>
      <tp t="s">
        <v>N/A</v>
        <stp/>
        <stp>VOLUME</stp>
        <stp>.NDXP250630C19975</stp>
        <tr r="L157" s="2"/>
      </tp>
      <tp>
        <v>6</v>
        <stp/>
        <stp>VOLUME</stp>
        <stp>.NDXP250509C20075</stp>
        <tr r="BC152" s="1"/>
        <tr r="BC152" s="1"/>
      </tp>
      <tp t="s">
        <v>N/A</v>
        <stp/>
        <stp>VOLUME</stp>
        <stp>.NDXP250530C19975</stp>
        <tr r="I157" s="2"/>
      </tp>
      <tp t="s">
        <v>N/A</v>
        <stp/>
        <stp>VOLUME</stp>
        <stp>.NDXP251231C19875</stp>
        <tr r="X161" s="2"/>
      </tp>
      <tp t="s">
        <v>N/A</v>
        <stp/>
        <stp>VOLUME</stp>
        <stp>.NDXP251128C20175</stp>
        <tr r="V149" s="2"/>
      </tp>
      <tp t="s">
        <v>N/A</v>
        <stp/>
        <stp>VOLUME</stp>
        <stp>.NDXP251128C19175</stp>
        <tr r="V189" s="2"/>
      </tp>
      <tp t="s">
        <v>N/A</v>
        <stp/>
        <stp>VOLUME</stp>
        <stp>.NDXP251031C19875</stp>
        <tr r="T161" s="2"/>
      </tp>
      <tp t="s">
        <v>N/A</v>
        <stp/>
        <stp>VOLUME</stp>
        <stp>.NDXP250829C20050</stp>
        <tr r="P154" s="2"/>
      </tp>
      <tp t="s">
        <v>N/A</v>
        <stp/>
        <stp>VOLUME</stp>
        <stp>.NDXP250930C19950</stp>
        <tr r="R158" s="2"/>
      </tp>
      <tp t="s">
        <v>N/A</v>
        <stp/>
        <stp>VOLUME</stp>
        <stp>.NDXP250630C19950</stp>
        <tr r="L158" s="2"/>
      </tp>
      <tp>
        <v>12</v>
        <stp/>
        <stp>VOLUME</stp>
        <stp>.NDXP250509C20050</stp>
        <tr r="BC153" s="1"/>
        <tr r="BC153" s="1"/>
      </tp>
      <tp t="s">
        <v>N/A</v>
        <stp/>
        <stp>VOLUME</stp>
        <stp>.NDXP250731C19850</stp>
        <tr r="N162" s="2"/>
      </tp>
      <tp t="s">
        <v>N/A</v>
        <stp/>
        <stp>VOLUME</stp>
        <stp>.NDXP250530C19950</stp>
        <tr r="I158" s="2"/>
      </tp>
      <tp t="s">
        <v>N/A</v>
        <stp/>
        <stp>VOLUME</stp>
        <stp>.NDXP251231C19850</stp>
        <tr r="X162" s="2"/>
      </tp>
      <tp t="s">
        <v>N/A</v>
        <stp/>
        <stp>VOLUME</stp>
        <stp>.NDXP251128C20150</stp>
        <tr r="V150" s="2"/>
      </tp>
      <tp t="s">
        <v>N/A</v>
        <stp/>
        <stp>VOLUME</stp>
        <stp>.NDXP251031C19850</stp>
        <tr r="T162" s="2"/>
      </tp>
      <tp t="s">
        <v>N/A</v>
        <stp/>
        <stp>VOLUME</stp>
        <stp>.NDXP251128C19150</stp>
        <tr r="V190" s="2"/>
      </tp>
      <tp t="s">
        <v>N/A</v>
        <stp/>
        <stp>VOLUME</stp>
        <stp>.NDXP251231C19825</stp>
        <tr r="X163" s="2"/>
      </tp>
      <tp t="s">
        <v>N/A</v>
        <stp/>
        <stp>VOLUME</stp>
        <stp>.NDXP251128C20125</stp>
        <tr r="V151" s="2"/>
      </tp>
      <tp t="s">
        <v>N/A</v>
        <stp/>
        <stp>VOLUME</stp>
        <stp>.NDXP251031C19825</stp>
        <tr r="T163" s="2"/>
      </tp>
      <tp t="s">
        <v>N/A</v>
        <stp/>
        <stp>VOLUME</stp>
        <stp>.NDXP250829C20025</stp>
        <tr r="P155" s="2"/>
      </tp>
      <tp t="s">
        <v>N/A</v>
        <stp/>
        <stp>VOLUME</stp>
        <stp>.NDXP250930C19925</stp>
        <tr r="R159" s="2"/>
      </tp>
      <tp t="s">
        <v>N/A</v>
        <stp/>
        <stp>VOLUME</stp>
        <stp>.NDXP250731C19825</stp>
        <tr r="N163" s="2"/>
      </tp>
      <tp t="s">
        <v>N/A</v>
        <stp/>
        <stp>VOLUME</stp>
        <stp>.NDXP250630C19925</stp>
        <tr r="L159" s="2"/>
      </tp>
      <tp>
        <v>6</v>
        <stp/>
        <stp>VOLUME</stp>
        <stp>.NDXP250509C20025</stp>
        <tr r="BC154" s="1"/>
        <tr r="BC154" s="1"/>
      </tp>
      <tp t="s">
        <v>N/A</v>
        <stp/>
        <stp>VOLUME</stp>
        <stp>.NDXP250530C19925</stp>
        <tr r="I159" s="2"/>
      </tp>
      <tp t="s">
        <v>N/A</v>
        <stp/>
        <stp>VOLUME</stp>
        <stp>.NDXP251231C19800</stp>
        <tr r="X164" s="2"/>
      </tp>
      <tp t="s">
        <v>N/A</v>
        <stp/>
        <stp>VOLUME</stp>
        <stp>.NDXP251128C20100</stp>
        <tr r="V152" s="2"/>
      </tp>
      <tp t="s">
        <v>N/A</v>
        <stp/>
        <stp>VOLUME</stp>
        <stp>.NDXP251031C19800</stp>
        <tr r="T164" s="2"/>
      </tp>
      <tp t="s">
        <v>N/A</v>
        <stp/>
        <stp>VOLUME</stp>
        <stp>.NDXP250829C20000</stp>
        <tr r="P156" s="2"/>
      </tp>
      <tp t="s">
        <v>N/A</v>
        <stp/>
        <stp>VOLUME</stp>
        <stp>.NDXP250930C19900</stp>
        <tr r="R160" s="2"/>
      </tp>
      <tp t="s">
        <v>N/A</v>
        <stp/>
        <stp>VOLUME</stp>
        <stp>.NDXP250630C19900</stp>
        <tr r="L160" s="2"/>
      </tp>
      <tp>
        <v>54</v>
        <stp/>
        <stp>VOLUME</stp>
        <stp>.NDXP250509C20000</stp>
        <tr r="BC155" s="1"/>
        <tr r="BC155" s="1"/>
      </tp>
      <tp t="s">
        <v>N/A</v>
        <stp/>
        <stp>VOLUME</stp>
        <stp>.NDXP250731C19800</stp>
        <tr r="N164" s="2"/>
      </tp>
      <tp>
        <v>18</v>
        <stp/>
        <stp>VOLUME</stp>
        <stp>.NDXP250530C19900</stp>
        <tr r="I160" s="2"/>
        <tr r="I160" s="2"/>
      </tp>
      <tp t="s">
        <v>N/A</v>
        <stp/>
        <stp>VOLUME</stp>
        <stp>.SPXW250930C5780</stp>
        <tr r="R95" s="2"/>
      </tp>
      <tp t="s">
        <v>N/A</v>
        <stp/>
        <stp>VOLUME</stp>
        <stp>.SPXW250829C5610</stp>
        <tr r="P112" s="2"/>
      </tp>
      <tp t="s">
        <v>N/A</v>
        <stp/>
        <stp>VOLUME</stp>
        <stp>.SPXW250530C5780</stp>
        <tr r="I95" s="2"/>
      </tp>
      <tp t="s">
        <v>N/A</v>
        <stp/>
        <stp>VOLUME</stp>
        <stp>.SPXW250731C5790</stp>
        <tr r="N94" s="2"/>
      </tp>
      <tp t="s">
        <v>N/A</v>
        <stp/>
        <stp>VOLUME</stp>
        <stp>.SPXW250630C5780</stp>
        <tr r="L95" s="2"/>
      </tp>
      <tp t="s">
        <v>N/A</v>
        <stp/>
        <stp>VOLUME</stp>
        <stp>.SPXW251128C5600</stp>
        <tr r="V113" s="2"/>
      </tp>
      <tp t="s">
        <v>N/A</v>
        <stp/>
        <stp>VOLUME</stp>
        <stp>.SPXW251031C5790</stp>
        <tr r="T94" s="2"/>
      </tp>
      <tp t="s">
        <v>N/A</v>
        <stp/>
        <stp>VOLUME</stp>
        <stp>.SPXW251231C5790</stp>
        <tr r="X94" s="2"/>
      </tp>
      <tp t="s">
        <v>N/A</v>
        <stp/>
        <stp>VOLUME</stp>
        <stp>.SPXW251128P5600</stp>
        <tr r="V113" s="2"/>
      </tp>
      <tp t="s">
        <v>N/A</v>
        <stp/>
        <stp>VOLUME</stp>
        <stp>.SPXW251031P5790</stp>
        <tr r="T94" s="2"/>
      </tp>
      <tp t="s">
        <v>N/A</v>
        <stp/>
        <stp>VOLUME</stp>
        <stp>.SPXW251231P5790</stp>
        <tr r="X94" s="2"/>
      </tp>
      <tp t="s">
        <v>N/A</v>
        <stp/>
        <stp>VOLUME</stp>
        <stp>.SPXW250930P5780</stp>
        <tr r="R95" s="2"/>
      </tp>
      <tp t="s">
        <v>N/A</v>
        <stp/>
        <stp>VOLUME</stp>
        <stp>.SPXW250829P5610</stp>
        <tr r="P112" s="2"/>
      </tp>
      <tp t="s">
        <v>N/A</v>
        <stp/>
        <stp>VOLUME</stp>
        <stp>.SPXW250530P5780</stp>
        <tr r="I95" s="2"/>
      </tp>
      <tp t="s">
        <v>N/A</v>
        <stp/>
        <stp>VOLUME</stp>
        <stp>.SPXW250731P5790</stp>
        <tr r="N94" s="2"/>
      </tp>
      <tp t="s">
        <v>N/A</v>
        <stp/>
        <stp>VOLUME</stp>
        <stp>.SPXW250630P5780</stp>
        <tr r="L95" s="2"/>
      </tp>
      <tp t="s">
        <v>N/A</v>
        <stp/>
        <stp>VOLUME</stp>
        <stp>.SPXW250930C5790</stp>
        <tr r="R94" s="2"/>
      </tp>
      <tp t="s">
        <v>N/A</v>
        <stp/>
        <stp>VOLUME</stp>
        <stp>.SPXW250829C5600</stp>
        <tr r="P113" s="2"/>
      </tp>
      <tp t="s">
        <v>N/A</v>
        <stp/>
        <stp>VOLUME</stp>
        <stp>.SPXW250530C5790</stp>
        <tr r="I94" s="2"/>
      </tp>
      <tp t="s">
        <v>N/A</v>
        <stp/>
        <stp>VOLUME</stp>
        <stp>.SPXW250731C5780</stp>
        <tr r="N95" s="2"/>
      </tp>
      <tp t="s">
        <v>N/A</v>
        <stp/>
        <stp>VOLUME</stp>
        <stp>.SPXW250630C5790</stp>
        <tr r="L94" s="2"/>
      </tp>
      <tp t="s">
        <v>N/A</v>
        <stp/>
        <stp>VOLUME</stp>
        <stp>.SPXW251128C5610</stp>
        <tr r="V112" s="2"/>
      </tp>
      <tp t="s">
        <v>N/A</v>
        <stp/>
        <stp>VOLUME</stp>
        <stp>.SPXW251031C5780</stp>
        <tr r="T95" s="2"/>
      </tp>
      <tp t="s">
        <v>N/A</v>
        <stp/>
        <stp>VOLUME</stp>
        <stp>.SPXW251231C5780</stp>
        <tr r="X95" s="2"/>
      </tp>
      <tp t="s">
        <v>N/A</v>
        <stp/>
        <stp>VOLUME</stp>
        <stp>.SPXW251128P5610</stp>
        <tr r="V112" s="2"/>
      </tp>
      <tp t="s">
        <v>N/A</v>
        <stp/>
        <stp>VOLUME</stp>
        <stp>.SPXW251031P5780</stp>
        <tr r="T95" s="2"/>
      </tp>
      <tp t="s">
        <v>N/A</v>
        <stp/>
        <stp>VOLUME</stp>
        <stp>.SPXW251231P5780</stp>
        <tr r="X95" s="2"/>
      </tp>
      <tp t="s">
        <v>N/A</v>
        <stp/>
        <stp>VOLUME</stp>
        <stp>.SPXW250930P5790</stp>
        <tr r="R94" s="2"/>
      </tp>
      <tp t="s">
        <v>N/A</v>
        <stp/>
        <stp>VOLUME</stp>
        <stp>.SPXW250829P5600</stp>
        <tr r="P113" s="2"/>
      </tp>
      <tp t="s">
        <v>N/A</v>
        <stp/>
        <stp>VOLUME</stp>
        <stp>.SPXW250530P5790</stp>
        <tr r="I94" s="2"/>
      </tp>
      <tp t="s">
        <v>N/A</v>
        <stp/>
        <stp>VOLUME</stp>
        <stp>.SPXW250731P5780</stp>
        <tr r="N95" s="2"/>
      </tp>
      <tp t="s">
        <v>N/A</v>
        <stp/>
        <stp>VOLUME</stp>
        <stp>.SPXW250630P5790</stp>
        <tr r="L94" s="2"/>
      </tp>
      <tp t="s">
        <v>N/A</v>
        <stp/>
        <stp>VOLUME</stp>
        <stp>.SPXW250829C5630</stp>
        <tr r="P110" s="2"/>
      </tp>
      <tp t="s">
        <v>N/A</v>
        <stp/>
        <stp>VOLUME</stp>
        <stp>.SPXW250509C5430</stp>
        <tr r="BC129" s="1"/>
      </tp>
      <tp t="s">
        <v>N/A</v>
        <stp/>
        <stp>VOLUME</stp>
        <stp>.SPXW251128C5620</stp>
        <tr r="V111" s="2"/>
      </tp>
      <tp t="s">
        <v>N/A</v>
        <stp/>
        <stp>VOLUME</stp>
        <stp>.SPXW251128P5620</stp>
        <tr r="V111" s="2"/>
      </tp>
      <tp t="s">
        <v>N/A</v>
        <stp/>
        <stp>VOLUME</stp>
        <stp>.SPXW250829P5630</stp>
        <tr r="P110" s="2"/>
      </tp>
      <tp t="s">
        <v>N/A</v>
        <stp/>
        <stp>VOLUME</stp>
        <stp>.SPXW250509P5430</stp>
        <tr r="BD129" s="1"/>
      </tp>
      <tp t="s">
        <v>N/A</v>
        <stp/>
        <stp>VOLUME</stp>
        <stp>.SPXW250829C5620</stp>
        <tr r="P111" s="2"/>
      </tp>
      <tp t="s">
        <v>N/A</v>
        <stp/>
        <stp>VOLUME</stp>
        <stp>.SPXW250509C5420</stp>
        <tr r="BC130" s="1"/>
      </tp>
      <tp t="s">
        <v>N/A</v>
        <stp/>
        <stp>VOLUME</stp>
        <stp>.SPXW251128C5630</stp>
        <tr r="V110" s="2"/>
      </tp>
      <tp t="s">
        <v>N/A</v>
        <stp/>
        <stp>VOLUME</stp>
        <stp>.SPXW251128P5630</stp>
        <tr r="V110" s="2"/>
      </tp>
      <tp t="s">
        <v>N/A</v>
        <stp/>
        <stp>VOLUME</stp>
        <stp>.SPXW250829P5620</stp>
        <tr r="P111" s="2"/>
      </tp>
      <tp>
        <v>1</v>
        <stp/>
        <stp>VOLUME</stp>
        <stp>.SPXW250509P5420</stp>
        <tr r="BD130" s="1"/>
        <tr r="BD130" s="1"/>
      </tp>
      <tp t="s">
        <v>N/A</v>
        <stp/>
        <stp>VOLUME</stp>
        <stp>.QQQP488</stp>
        <tr r="D60" s="2"/>
        <tr r="B60" s="2"/>
        <tr r="E60" s="2"/>
        <tr r="F60" s="2"/>
        <tr r="G60" s="2"/>
        <tr r="C60" s="2"/>
      </tp>
      <tp t="s">
        <v>N/A</v>
        <stp/>
        <stp>VOLUME</stp>
        <stp>.QQQC488</stp>
        <tr r="D60" s="2"/>
        <tr r="B60" s="2"/>
        <tr r="E60" s="2"/>
        <tr r="F60" s="2"/>
        <tr r="G60" s="2"/>
        <tr r="C60" s="2"/>
      </tp>
      <tp t="s">
        <v>N/A</v>
        <stp/>
        <stp>VOLUME</stp>
        <stp>.QQQP489</stp>
        <tr r="B59" s="2"/>
        <tr r="E59" s="2"/>
        <tr r="G59" s="2"/>
        <tr r="D59" s="2"/>
        <tr r="F59" s="2"/>
        <tr r="C59" s="2"/>
      </tp>
      <tp t="s">
        <v>N/A</v>
        <stp/>
        <stp>VOLUME</stp>
        <stp>.QQQC489</stp>
        <tr r="B59" s="2"/>
        <tr r="E59" s="2"/>
        <tr r="G59" s="2"/>
        <tr r="D59" s="2"/>
        <tr r="F59" s="2"/>
        <tr r="C59" s="2"/>
      </tp>
      <tp t="s">
        <v>N/A</v>
        <stp/>
        <stp>VOLUME</stp>
        <stp>.QQQP484</stp>
        <tr r="B64" s="2"/>
        <tr r="G64" s="2"/>
        <tr r="E64" s="2"/>
        <tr r="F64" s="2"/>
        <tr r="C64" s="2"/>
        <tr r="D64" s="2"/>
      </tp>
      <tp t="s">
        <v>N/A</v>
        <stp/>
        <stp>VOLUME</stp>
        <stp>.QQQC484</stp>
        <tr r="B64" s="2"/>
        <tr r="G64" s="2"/>
        <tr r="E64" s="2"/>
        <tr r="F64" s="2"/>
        <tr r="C64" s="2"/>
        <tr r="D64" s="2"/>
      </tp>
      <tp t="s">
        <v>N/A</v>
        <stp/>
        <stp>VOLUME</stp>
        <stp>.QQQP485</stp>
        <tr r="G63" s="2"/>
        <tr r="F63" s="2"/>
        <tr r="C63" s="2"/>
        <tr r="D63" s="2"/>
        <tr r="E63" s="2"/>
        <tr r="B63" s="2"/>
      </tp>
      <tp t="s">
        <v>N/A</v>
        <stp/>
        <stp>VOLUME</stp>
        <stp>.QQQC485</stp>
        <tr r="G63" s="2"/>
        <tr r="F63" s="2"/>
        <tr r="C63" s="2"/>
        <tr r="D63" s="2"/>
        <tr r="E63" s="2"/>
        <tr r="B63" s="2"/>
      </tp>
      <tp t="s">
        <v>N/A</v>
        <stp/>
        <stp>VOLUME</stp>
        <stp>.QQQP486</stp>
        <tr r="B62" s="2"/>
        <tr r="D62" s="2"/>
        <tr r="G62" s="2"/>
        <tr r="C62" s="2"/>
        <tr r="F62" s="2"/>
        <tr r="E62" s="2"/>
      </tp>
      <tp t="s">
        <v>N/A</v>
        <stp/>
        <stp>VOLUME</stp>
        <stp>.QQQC486</stp>
        <tr r="B62" s="2"/>
        <tr r="D62" s="2"/>
        <tr r="G62" s="2"/>
        <tr r="C62" s="2"/>
        <tr r="F62" s="2"/>
        <tr r="E62" s="2"/>
      </tp>
      <tp t="s">
        <v>N/A</v>
        <stp/>
        <stp>VOLUME</stp>
        <stp>.QQQP487</stp>
        <tr r="G61" s="2"/>
        <tr r="D61" s="2"/>
        <tr r="F61" s="2"/>
        <tr r="B61" s="2"/>
        <tr r="E61" s="2"/>
        <tr r="C61" s="2"/>
      </tp>
      <tp t="s">
        <v>N/A</v>
        <stp/>
        <stp>VOLUME</stp>
        <stp>.QQQC487</stp>
        <tr r="G61" s="2"/>
        <tr r="D61" s="2"/>
        <tr r="F61" s="2"/>
        <tr r="B61" s="2"/>
        <tr r="E61" s="2"/>
        <tr r="C61" s="2"/>
      </tp>
      <tp t="s">
        <v>N/A</v>
        <stp/>
        <stp>VOLUME</stp>
        <stp>.QQQP480</stp>
        <tr r="D68" s="2"/>
        <tr r="B68" s="2"/>
        <tr r="E68" s="2"/>
        <tr r="F68" s="2"/>
        <tr r="G68" s="2"/>
        <tr r="C68" s="2"/>
      </tp>
      <tp t="s">
        <v>N/A</v>
        <stp/>
        <stp>VOLUME</stp>
        <stp>.QQQC480</stp>
        <tr r="D68" s="2"/>
        <tr r="B68" s="2"/>
        <tr r="E68" s="2"/>
        <tr r="F68" s="2"/>
        <tr r="G68" s="2"/>
        <tr r="C68" s="2"/>
      </tp>
      <tp t="s">
        <v>N/A</v>
        <stp/>
        <stp>VOLUME</stp>
        <stp>.QQQP481</stp>
        <tr r="E67" s="2"/>
        <tr r="G67" s="2"/>
        <tr r="B67" s="2"/>
        <tr r="C67" s="2"/>
        <tr r="F67" s="2"/>
        <tr r="D67" s="2"/>
      </tp>
      <tp t="s">
        <v>N/A</v>
        <stp/>
        <stp>VOLUME</stp>
        <stp>.QQQC481</stp>
        <tr r="E67" s="2"/>
        <tr r="G67" s="2"/>
        <tr r="B67" s="2"/>
        <tr r="C67" s="2"/>
        <tr r="F67" s="2"/>
        <tr r="D67" s="2"/>
      </tp>
      <tp t="s">
        <v>N/A</v>
        <stp/>
        <stp>VOLUME</stp>
        <stp>.QQQP482</stp>
        <tr r="F66" s="2"/>
        <tr r="C66" s="2"/>
        <tr r="B66" s="2"/>
        <tr r="D66" s="2"/>
        <tr r="G66" s="2"/>
        <tr r="E66" s="2"/>
      </tp>
      <tp t="s">
        <v>N/A</v>
        <stp/>
        <stp>VOLUME</stp>
        <stp>.QQQC482</stp>
        <tr r="F66" s="2"/>
        <tr r="C66" s="2"/>
        <tr r="B66" s="2"/>
        <tr r="D66" s="2"/>
        <tr r="G66" s="2"/>
        <tr r="E66" s="2"/>
      </tp>
      <tp t="s">
        <v>N/A</v>
        <stp/>
        <stp>VOLUME</stp>
        <stp>.QQQP483</stp>
        <tr r="F65" s="2"/>
        <tr r="G65" s="2"/>
        <tr r="B65" s="2"/>
        <tr r="C65" s="2"/>
        <tr r="D65" s="2"/>
        <tr r="E65" s="2"/>
      </tp>
      <tp t="s">
        <v>N/A</v>
        <stp/>
        <stp>VOLUME</stp>
        <stp>.QQQC483</stp>
        <tr r="F65" s="2"/>
        <tr r="G65" s="2"/>
        <tr r="B65" s="2"/>
        <tr r="C65" s="2"/>
        <tr r="D65" s="2"/>
        <tr r="E65" s="2"/>
      </tp>
      <tp t="s">
        <v>N/A</v>
        <stp/>
        <stp>VOLUME</stp>
        <stp>.SPXW250829C5650</stp>
        <tr r="P108" s="2"/>
      </tp>
      <tp t="s">
        <v>N/A</v>
        <stp/>
        <stp>VOLUME</stp>
        <stp>.SPXW250509C5450</stp>
        <tr r="BC127" s="1"/>
      </tp>
      <tp t="s">
        <v>N/A</v>
        <stp/>
        <stp>VOLUME</stp>
        <stp>.SPXW251128C5640</stp>
        <tr r="V109" s="2"/>
      </tp>
      <tp t="s">
        <v>N/A</v>
        <stp/>
        <stp>VOLUME</stp>
        <stp>.SPXW251128P5640</stp>
        <tr r="V109" s="2"/>
      </tp>
      <tp t="s">
        <v>N/A</v>
        <stp/>
        <stp>VOLUME</stp>
        <stp>.SPXW250829P5650</stp>
        <tr r="P108" s="2"/>
      </tp>
      <tp>
        <v>17</v>
        <stp/>
        <stp>VOLUME</stp>
        <stp>.SPXW250509P5450</stp>
        <tr r="BD127" s="1"/>
        <tr r="BD127" s="1"/>
      </tp>
      <tp t="s">
        <v>N/A</v>
        <stp/>
        <stp>VOLUME</stp>
        <stp>.QQQP498</stp>
        <tr r="G50" s="2"/>
        <tr r="F50" s="2"/>
        <tr r="E50" s="2"/>
        <tr r="D50" s="2"/>
        <tr r="C50" s="2"/>
        <tr r="B50" s="2"/>
      </tp>
      <tp t="s">
        <v>N/A</v>
        <stp/>
        <stp>VOLUME</stp>
        <stp>.QQQC498</stp>
        <tr r="G50" s="2"/>
        <tr r="F50" s="2"/>
        <tr r="E50" s="2"/>
        <tr r="D50" s="2"/>
        <tr r="C50" s="2"/>
        <tr r="B50" s="2"/>
      </tp>
      <tp t="s">
        <v>N/A</v>
        <stp/>
        <stp>VOLUME</stp>
        <stp>.QQQP499</stp>
        <tr r="G49" s="2"/>
        <tr r="F49" s="2"/>
        <tr r="E49" s="2"/>
        <tr r="D49" s="2"/>
        <tr r="C49" s="2"/>
        <tr r="B49" s="2"/>
      </tp>
      <tp t="s">
        <v>N/A</v>
        <stp/>
        <stp>VOLUME</stp>
        <stp>.QQQC499</stp>
        <tr r="G49" s="2"/>
        <tr r="F49" s="2"/>
        <tr r="E49" s="2"/>
        <tr r="D49" s="2"/>
        <tr r="C49" s="2"/>
        <tr r="B49" s="2"/>
      </tp>
      <tp t="s">
        <v>N/A</v>
        <stp/>
        <stp>VOLUME</stp>
        <stp>.QQQP494</stp>
        <tr r="F54" s="2"/>
        <tr r="G54" s="2"/>
        <tr r="C54" s="2"/>
        <tr r="E54" s="2"/>
        <tr r="B54" s="2"/>
        <tr r="D54" s="2"/>
      </tp>
      <tp t="s">
        <v>N/A</v>
        <stp/>
        <stp>VOLUME</stp>
        <stp>.QQQC494</stp>
        <tr r="F54" s="2"/>
        <tr r="G54" s="2"/>
        <tr r="C54" s="2"/>
        <tr r="E54" s="2"/>
        <tr r="B54" s="2"/>
        <tr r="D54" s="2"/>
      </tp>
      <tp t="s">
        <v>N/A</v>
        <stp/>
        <stp>VOLUME</stp>
        <stp>.QQQP495</stp>
        <tr r="G53" s="2"/>
        <tr r="F53" s="2"/>
        <tr r="C53" s="2"/>
        <tr r="B53" s="2"/>
        <tr r="D53" s="2"/>
        <tr r="E53" s="2"/>
      </tp>
      <tp t="s">
        <v>N/A</v>
        <stp/>
        <stp>VOLUME</stp>
        <stp>.QQQC495</stp>
        <tr r="G53" s="2"/>
        <tr r="F53" s="2"/>
        <tr r="C53" s="2"/>
        <tr r="B53" s="2"/>
        <tr r="D53" s="2"/>
        <tr r="E53" s="2"/>
      </tp>
      <tp t="s">
        <v>N/A</v>
        <stp/>
        <stp>VOLUME</stp>
        <stp>.QQQP496</stp>
        <tr r="G52" s="2"/>
        <tr r="F52" s="2"/>
        <tr r="D52" s="2"/>
        <tr r="B52" s="2"/>
        <tr r="C52" s="2"/>
        <tr r="E52" s="2"/>
      </tp>
      <tp t="s">
        <v>N/A</v>
        <stp/>
        <stp>VOLUME</stp>
        <stp>.QQQC496</stp>
        <tr r="G52" s="2"/>
        <tr r="F52" s="2"/>
        <tr r="D52" s="2"/>
        <tr r="B52" s="2"/>
        <tr r="C52" s="2"/>
        <tr r="E52" s="2"/>
      </tp>
      <tp t="s">
        <v>N/A</v>
        <stp/>
        <stp>VOLUME</stp>
        <stp>.QQQP497</stp>
        <tr r="G51" s="2"/>
        <tr r="F51" s="2"/>
        <tr r="E51" s="2"/>
        <tr r="B51" s="2"/>
        <tr r="D51" s="2"/>
        <tr r="C51" s="2"/>
      </tp>
      <tp t="s">
        <v>N/A</v>
        <stp/>
        <stp>VOLUME</stp>
        <stp>.QQQC497</stp>
        <tr r="G51" s="2"/>
        <tr r="F51" s="2"/>
        <tr r="E51" s="2"/>
        <tr r="B51" s="2"/>
        <tr r="D51" s="2"/>
        <tr r="C51" s="2"/>
      </tp>
      <tp t="s">
        <v>N/A</v>
        <stp/>
        <stp>VOLUME</stp>
        <stp>.QQQP490</stp>
        <tr r="D58" s="2"/>
        <tr r="G58" s="2"/>
        <tr r="B58" s="2"/>
        <tr r="F58" s="2"/>
        <tr r="E58" s="2"/>
        <tr r="C58" s="2"/>
      </tp>
      <tp t="s">
        <v>N/A</v>
        <stp/>
        <stp>VOLUME</stp>
        <stp>.QQQC490</stp>
        <tr r="D58" s="2"/>
        <tr r="G58" s="2"/>
        <tr r="B58" s="2"/>
        <tr r="F58" s="2"/>
        <tr r="E58" s="2"/>
        <tr r="C58" s="2"/>
      </tp>
      <tp t="s">
        <v>N/A</v>
        <stp/>
        <stp>VOLUME</stp>
        <stp>.QQQP491</stp>
        <tr r="D57" s="2"/>
        <tr r="E57" s="2"/>
        <tr r="F57" s="2"/>
        <tr r="C57" s="2"/>
        <tr r="G57" s="2"/>
        <tr r="B57" s="2"/>
      </tp>
      <tp t="s">
        <v>N/A</v>
        <stp/>
        <stp>VOLUME</stp>
        <stp>.QQQC491</stp>
        <tr r="D57" s="2"/>
        <tr r="E57" s="2"/>
        <tr r="F57" s="2"/>
        <tr r="C57" s="2"/>
        <tr r="G57" s="2"/>
        <tr r="B57" s="2"/>
      </tp>
      <tp t="s">
        <v>N/A</v>
        <stp/>
        <stp>VOLUME</stp>
        <stp>.QQQP492</stp>
        <tr r="B56" s="2"/>
        <tr r="F56" s="2"/>
        <tr r="G56" s="2"/>
        <tr r="C56" s="2"/>
        <tr r="E56" s="2"/>
        <tr r="D56" s="2"/>
      </tp>
      <tp t="s">
        <v>N/A</v>
        <stp/>
        <stp>VOLUME</stp>
        <stp>.QQQC492</stp>
        <tr r="B56" s="2"/>
        <tr r="F56" s="2"/>
        <tr r="G56" s="2"/>
        <tr r="C56" s="2"/>
        <tr r="E56" s="2"/>
        <tr r="D56" s="2"/>
      </tp>
      <tp t="s">
        <v>N/A</v>
        <stp/>
        <stp>VOLUME</stp>
        <stp>.QQQP493</stp>
        <tr r="G55" s="2"/>
        <tr r="C55" s="2"/>
        <tr r="B55" s="2"/>
        <tr r="F55" s="2"/>
        <tr r="D55" s="2"/>
        <tr r="E55" s="2"/>
      </tp>
      <tp t="s">
        <v>N/A</v>
        <stp/>
        <stp>VOLUME</stp>
        <stp>.QQQC493</stp>
        <tr r="G55" s="2"/>
        <tr r="C55" s="2"/>
        <tr r="B55" s="2"/>
        <tr r="F55" s="2"/>
        <tr r="D55" s="2"/>
        <tr r="E55" s="2"/>
      </tp>
      <tp t="s">
        <v>N/A</v>
        <stp/>
        <stp>VOLUME</stp>
        <stp>.SPXW250829C5640</stp>
        <tr r="P109" s="2"/>
      </tp>
      <tp>
        <v>6</v>
        <stp/>
        <stp>VOLUME</stp>
        <stp>.SPXW250509C5440</stp>
        <tr r="BC128" s="1"/>
        <tr r="BC128" s="1"/>
      </tp>
      <tp t="s">
        <v>N/A</v>
        <stp/>
        <stp>VOLUME</stp>
        <stp>.SPXW251128C5650</stp>
        <tr r="V108" s="2"/>
      </tp>
      <tp t="s">
        <v>N/A</v>
        <stp/>
        <stp>VOLUME</stp>
        <stp>.SPXW251128P5650</stp>
        <tr r="V108" s="2"/>
      </tp>
      <tp t="s">
        <v>N/A</v>
        <stp/>
        <stp>VOLUME</stp>
        <stp>.SPXW250829P5640</stp>
        <tr r="P109" s="2"/>
      </tp>
      <tp t="s">
        <v>N/A</v>
        <stp/>
        <stp>VOLUME</stp>
        <stp>.SPXW250509P5440</stp>
        <tr r="BD128" s="1"/>
      </tp>
      <tp t="s">
        <v>N/A</v>
        <stp/>
        <stp>VOLUME</stp>
        <stp>.SPXW250829C5670</stp>
        <tr r="P106" s="2"/>
      </tp>
      <tp t="s">
        <v>N/A</v>
        <stp/>
        <stp>VOLUME</stp>
        <stp>.SPXW250507C5490</stp>
        <tr r="BA123" s="1"/>
      </tp>
      <tp>
        <v>1</v>
        <stp/>
        <stp>VOLUME</stp>
        <stp>.SPXW250509C5470</stp>
        <tr r="BC125" s="1"/>
        <tr r="BC125" s="1"/>
      </tp>
      <tp t="s">
        <v>N/A</v>
        <stp/>
        <stp>VOLUME</stp>
        <stp>.SPXW250516C5580</stp>
        <tr r="BE114" s="1"/>
      </tp>
      <tp t="s">
        <v>N/A</v>
        <stp/>
        <stp>VOLUME</stp>
        <stp>.SPXW250606C5480</stp>
        <tr r="J125" s="2"/>
      </tp>
      <tp t="s">
        <v>N/A</v>
        <stp/>
        <stp>VOLUME</stp>
        <stp>.SPXW251128C5660</stp>
        <tr r="V107" s="2"/>
      </tp>
      <tp t="s">
        <v>N/A</v>
        <stp/>
        <stp>VOLUME</stp>
        <stp>.SPXW251128P5660</stp>
        <tr r="V107" s="2"/>
      </tp>
      <tp t="s">
        <v>N/A</v>
        <stp/>
        <stp>VOLUME</stp>
        <stp>.SPXW250829P5670</stp>
        <tr r="P106" s="2"/>
      </tp>
      <tp t="s">
        <v>N/A</v>
        <stp/>
        <stp>VOLUME</stp>
        <stp>.SPXW250507P5490</stp>
        <tr r="BB123" s="1"/>
      </tp>
      <tp>
        <v>3</v>
        <stp/>
        <stp>VOLUME</stp>
        <stp>.SPXW250509P5470</stp>
        <tr r="BD125" s="1"/>
        <tr r="BD125" s="1"/>
      </tp>
      <tp t="s">
        <v>N/A</v>
        <stp/>
        <stp>VOLUME</stp>
        <stp>.SPXW250516P5580</stp>
        <tr r="BF114" s="1"/>
      </tp>
      <tp t="s">
        <v>N/A</v>
        <stp/>
        <stp>VOLUME</stp>
        <stp>.SPXW250606P5480</stp>
        <tr r="J125" s="2"/>
      </tp>
      <tp t="s">
        <v>N/A</v>
        <stp/>
        <stp>VOLUME</stp>
        <stp>.SPXW250829C5660</stp>
        <tr r="P107" s="2"/>
      </tp>
      <tp t="s">
        <v>N/A</v>
        <stp/>
        <stp>VOLUME</stp>
        <stp>.SPXW250507C5480</stp>
        <tr r="BA124" s="1"/>
      </tp>
      <tp t="s">
        <v>N/A</v>
        <stp/>
        <stp>VOLUME</stp>
        <stp>.SPXW250509C5460</stp>
        <tr r="BC126" s="1"/>
      </tp>
      <tp t="s">
        <v>N/A</v>
        <stp/>
        <stp>VOLUME</stp>
        <stp>.SPXW250516C5590</stp>
        <tr r="BE113" s="1"/>
      </tp>
      <tp t="s">
        <v>N/A</v>
        <stp/>
        <stp>VOLUME</stp>
        <stp>.SPXW250606C5490</stp>
        <tr r="J124" s="2"/>
      </tp>
      <tp t="s">
        <v>N/A</v>
        <stp/>
        <stp>VOLUME</stp>
        <stp>.SPXW251128C5670</stp>
        <tr r="V106" s="2"/>
      </tp>
      <tp t="s">
        <v>N/A</v>
        <stp/>
        <stp>VOLUME</stp>
        <stp>.SPXW251128P5670</stp>
        <tr r="V106" s="2"/>
      </tp>
      <tp t="s">
        <v>N/A</v>
        <stp/>
        <stp>VOLUME</stp>
        <stp>.SPXW250829P5660</stp>
        <tr r="P107" s="2"/>
      </tp>
      <tp t="s">
        <v>N/A</v>
        <stp/>
        <stp>VOLUME</stp>
        <stp>.SPXW250507P5480</stp>
        <tr r="BB124" s="1"/>
      </tp>
      <tp>
        <v>2</v>
        <stp/>
        <stp>VOLUME</stp>
        <stp>.SPXW250509P5460</stp>
        <tr r="BD126" s="1"/>
        <tr r="BD126" s="1"/>
      </tp>
      <tp t="s">
        <v>N/A</v>
        <stp/>
        <stp>VOLUME</stp>
        <stp>.SPXW250516P5590</stp>
        <tr r="BF113" s="1"/>
      </tp>
      <tp t="s">
        <v>N/A</v>
        <stp/>
        <stp>VOLUME</stp>
        <stp>.SPXW250606P5490</stp>
        <tr r="J124" s="2"/>
      </tp>
      <tp t="s">
        <v>N/A</v>
        <stp/>
        <stp>VOLUME</stp>
        <stp>.NDXP251231P19850</stp>
        <tr r="X162" s="2"/>
      </tp>
      <tp t="s">
        <v>N/A</v>
        <stp/>
        <stp>VOLUME</stp>
        <stp>.NDXP251128P20150</stp>
        <tr r="V150" s="2"/>
      </tp>
      <tp t="s">
        <v>N/A</v>
        <stp/>
        <stp>VOLUME</stp>
        <stp>.NDXP251031P19850</stp>
        <tr r="T162" s="2"/>
      </tp>
      <tp t="s">
        <v>N/A</v>
        <stp/>
        <stp>VOLUME</stp>
        <stp>.NDXP251128P19150</stp>
        <tr r="V190" s="2"/>
      </tp>
      <tp t="s">
        <v>N/A</v>
        <stp/>
        <stp>VOLUME</stp>
        <stp>.SPXW250930C5700</stp>
        <tr r="R103" s="2"/>
      </tp>
      <tp t="s">
        <v>N/A</v>
        <stp/>
        <stp>VOLUME</stp>
        <stp>.SPXW250829C5690</stp>
        <tr r="P104" s="2"/>
      </tp>
      <tp t="s">
        <v>N/A</v>
        <stp/>
        <stp>VOLUME</stp>
        <stp>.SPXW250507C5470</stp>
        <tr r="BA125" s="1"/>
      </tp>
      <tp t="s">
        <v>N/A</v>
        <stp/>
        <stp>VOLUME</stp>
        <stp>.SPXW250509C5490</stp>
        <tr r="BC123" s="1"/>
      </tp>
      <tp t="s">
        <v>N/A</v>
        <stp/>
        <stp>VOLUME</stp>
        <stp>.SPXW250516C5560</stp>
        <tr r="BE116" s="1"/>
      </tp>
      <tp t="s">
        <v>N/A</v>
        <stp/>
        <stp>VOLUME</stp>
        <stp>.SPXW250530C5700</stp>
        <tr r="I103" s="2"/>
      </tp>
      <tp t="s">
        <v>N/A</v>
        <stp/>
        <stp>VOLUME</stp>
        <stp>.SPXW250731C5710</stp>
        <tr r="N102" s="2"/>
      </tp>
      <tp t="s">
        <v>N/A</v>
        <stp/>
        <stp>VOLUME</stp>
        <stp>.SPXW250606C5460</stp>
        <tr r="J127" s="2"/>
      </tp>
      <tp t="s">
        <v>N/A</v>
        <stp/>
        <stp>VOLUME</stp>
        <stp>.SPXW250630C5700</stp>
        <tr r="L103" s="2"/>
      </tp>
      <tp t="s">
        <v>N/A</v>
        <stp/>
        <stp>VOLUME</stp>
        <stp>.SPXW251128C5680</stp>
        <tr r="V105" s="2"/>
      </tp>
      <tp t="s">
        <v>N/A</v>
        <stp/>
        <stp>VOLUME</stp>
        <stp>.SPXW251031C5710</stp>
        <tr r="T102" s="2"/>
      </tp>
      <tp t="s">
        <v>N/A</v>
        <stp/>
        <stp>VOLUME</stp>
        <stp>.SPXW251231C5710</stp>
        <tr r="X102" s="2"/>
      </tp>
      <tp t="s">
        <v>N/A</v>
        <stp/>
        <stp>VOLUME</stp>
        <stp>.SPXW251128P5680</stp>
        <tr r="V105" s="2"/>
      </tp>
      <tp t="s">
        <v>N/A</v>
        <stp/>
        <stp>VOLUME</stp>
        <stp>.SPXW251031P5710</stp>
        <tr r="T102" s="2"/>
      </tp>
      <tp t="s">
        <v>N/A</v>
        <stp/>
        <stp>VOLUME</stp>
        <stp>.SPXW251231P5710</stp>
        <tr r="X102" s="2"/>
      </tp>
      <tp t="s">
        <v>N/A</v>
        <stp/>
        <stp>VOLUME</stp>
        <stp>.SPXW250930P5700</stp>
        <tr r="R103" s="2"/>
      </tp>
      <tp t="s">
        <v>N/A</v>
        <stp/>
        <stp>VOLUME</stp>
        <stp>.SPXW250829P5690</stp>
        <tr r="P104" s="2"/>
      </tp>
      <tp t="s">
        <v>N/A</v>
        <stp/>
        <stp>VOLUME</stp>
        <stp>.SPXW250507P5470</stp>
        <tr r="BB125" s="1"/>
      </tp>
      <tp t="s">
        <v>N/A</v>
        <stp/>
        <stp>VOLUME</stp>
        <stp>.SPXW250509P5490</stp>
        <tr r="BD123" s="1"/>
      </tp>
      <tp t="s">
        <v>N/A</v>
        <stp/>
        <stp>VOLUME</stp>
        <stp>.SPXW250516P5560</stp>
        <tr r="BF116" s="1"/>
      </tp>
      <tp t="s">
        <v>N/A</v>
        <stp/>
        <stp>VOLUME</stp>
        <stp>.SPXW250530P5700</stp>
        <tr r="I103" s="2"/>
      </tp>
      <tp t="s">
        <v>N/A</v>
        <stp/>
        <stp>VOLUME</stp>
        <stp>.SPXW250731P5710</stp>
        <tr r="N102" s="2"/>
      </tp>
      <tp t="s">
        <v>N/A</v>
        <stp/>
        <stp>VOLUME</stp>
        <stp>.SPXW250606P5460</stp>
        <tr r="J127" s="2"/>
      </tp>
      <tp t="s">
        <v>N/A</v>
        <stp/>
        <stp>VOLUME</stp>
        <stp>.SPXW250630P5700</stp>
        <tr r="L103" s="2"/>
      </tp>
      <tp t="s">
        <v>N/A</v>
        <stp/>
        <stp>VOLUME</stp>
        <stp>.NDXP250829P20050</stp>
        <tr r="P154" s="2"/>
      </tp>
      <tp t="s">
        <v>N/A</v>
        <stp/>
        <stp>VOLUME</stp>
        <stp>.NDXP250930P19950</stp>
        <tr r="R158" s="2"/>
      </tp>
      <tp t="s">
        <v>N/A</v>
        <stp/>
        <stp>VOLUME</stp>
        <stp>.NDXP250630P19950</stp>
        <tr r="L158" s="2"/>
      </tp>
      <tp>
        <v>3</v>
        <stp/>
        <stp>VOLUME</stp>
        <stp>.NDXP250509P20050</stp>
        <tr r="BD153" s="1"/>
        <tr r="BD153" s="1"/>
      </tp>
      <tp t="s">
        <v>N/A</v>
        <stp/>
        <stp>VOLUME</stp>
        <stp>.NDXP250731P19850</stp>
        <tr r="N162" s="2"/>
      </tp>
      <tp t="s">
        <v>N/A</v>
        <stp/>
        <stp>VOLUME</stp>
        <stp>.NDXP250530P19950</stp>
        <tr r="I158" s="2"/>
      </tp>
      <tp t="s">
        <v>N/A</v>
        <stp/>
        <stp>VOLUME</stp>
        <stp>.SPXW250930C5710</stp>
        <tr r="R102" s="2"/>
      </tp>
      <tp t="s">
        <v>N/A</v>
        <stp/>
        <stp>VOLUME</stp>
        <stp>.SPXW250829C5680</stp>
        <tr r="P105" s="2"/>
      </tp>
      <tp t="s">
        <v>N/A</v>
        <stp/>
        <stp>VOLUME</stp>
        <stp>.SPXW250507C5460</stp>
        <tr r="BA126" s="1"/>
      </tp>
      <tp t="s">
        <v>N/A</v>
        <stp/>
        <stp>VOLUME</stp>
        <stp>.SPXW250509C5480</stp>
        <tr r="BC124" s="1"/>
      </tp>
      <tp t="s">
        <v>N/A</v>
        <stp/>
        <stp>VOLUME</stp>
        <stp>.SPXW250516C5570</stp>
        <tr r="BE115" s="1"/>
      </tp>
      <tp t="s">
        <v>N/A</v>
        <stp/>
        <stp>VOLUME</stp>
        <stp>.SPXW250530C5710</stp>
        <tr r="I102" s="2"/>
      </tp>
      <tp t="s">
        <v>N/A</v>
        <stp/>
        <stp>VOLUME</stp>
        <stp>.SPXW250731C5700</stp>
        <tr r="N103" s="2"/>
      </tp>
      <tp t="s">
        <v>N/A</v>
        <stp/>
        <stp>VOLUME</stp>
        <stp>.SPXW250606C5470</stp>
        <tr r="J126" s="2"/>
      </tp>
      <tp t="s">
        <v>N/A</v>
        <stp/>
        <stp>VOLUME</stp>
        <stp>.SPXW250630C5710</stp>
        <tr r="L102" s="2"/>
      </tp>
      <tp t="s">
        <v>N/A</v>
        <stp/>
        <stp>VOLUME</stp>
        <stp>.SPXW251128C5690</stp>
        <tr r="V104" s="2"/>
      </tp>
      <tp t="s">
        <v>N/A</v>
        <stp/>
        <stp>VOLUME</stp>
        <stp>.SPXW251031C5700</stp>
        <tr r="T103" s="2"/>
      </tp>
      <tp t="s">
        <v>N/A</v>
        <stp/>
        <stp>VOLUME</stp>
        <stp>.SPXW251231C5700</stp>
        <tr r="X103" s="2"/>
      </tp>
      <tp t="s">
        <v>N/A</v>
        <stp/>
        <stp>VOLUME</stp>
        <stp>.SPXW251128P5690</stp>
        <tr r="V104" s="2"/>
      </tp>
      <tp t="s">
        <v>N/A</v>
        <stp/>
        <stp>VOLUME</stp>
        <stp>.SPXW251031P5700</stp>
        <tr r="T103" s="2"/>
      </tp>
      <tp t="s">
        <v>N/A</v>
        <stp/>
        <stp>VOLUME</stp>
        <stp>.SPXW251231P5700</stp>
        <tr r="X103" s="2"/>
      </tp>
      <tp t="s">
        <v>N/A</v>
        <stp/>
        <stp>VOLUME</stp>
        <stp>.SPXW250930P5710</stp>
        <tr r="R102" s="2"/>
      </tp>
      <tp t="s">
        <v>N/A</v>
        <stp/>
        <stp>VOLUME</stp>
        <stp>.SPXW250829P5680</stp>
        <tr r="P105" s="2"/>
      </tp>
      <tp t="s">
        <v>N/A</v>
        <stp/>
        <stp>VOLUME</stp>
        <stp>.SPXW250507P5460</stp>
        <tr r="BB126" s="1"/>
      </tp>
      <tp>
        <v>27</v>
        <stp/>
        <stp>VOLUME</stp>
        <stp>.SPXW250509P5480</stp>
        <tr r="BD124" s="1"/>
        <tr r="BD124" s="1"/>
      </tp>
      <tp t="s">
        <v>N/A</v>
        <stp/>
        <stp>VOLUME</stp>
        <stp>.SPXW250516P5570</stp>
        <tr r="BF115" s="1"/>
      </tp>
      <tp t="s">
        <v>N/A</v>
        <stp/>
        <stp>VOLUME</stp>
        <stp>.SPXW250530P5710</stp>
        <tr r="I102" s="2"/>
      </tp>
      <tp t="s">
        <v>N/A</v>
        <stp/>
        <stp>VOLUME</stp>
        <stp>.SPXW250731P5700</stp>
        <tr r="N103" s="2"/>
      </tp>
      <tp t="s">
        <v>N/A</v>
        <stp/>
        <stp>VOLUME</stp>
        <stp>.SPXW250606P5470</stp>
        <tr r="J126" s="2"/>
      </tp>
      <tp t="s">
        <v>N/A</v>
        <stp/>
        <stp>VOLUME</stp>
        <stp>.SPXW250630P5710</stp>
        <tr r="L102" s="2"/>
      </tp>
      <tp t="s">
        <v>N/A</v>
        <stp/>
        <stp>VOLUME</stp>
        <stp>.QQQP468</stp>
        <tr r="D80" s="2"/>
        <tr r="G80" s="2"/>
        <tr r="B80" s="2"/>
        <tr r="E80" s="2"/>
        <tr r="F80" s="2"/>
        <tr r="C80" s="2"/>
      </tp>
      <tp t="s">
        <v>N/A</v>
        <stp/>
        <stp>VOLUME</stp>
        <stp>.QQQC468</stp>
        <tr r="D80" s="2"/>
        <tr r="G80" s="2"/>
        <tr r="B80" s="2"/>
        <tr r="E80" s="2"/>
        <tr r="F80" s="2"/>
        <tr r="C80" s="2"/>
      </tp>
      <tp t="s">
        <v>N/A</v>
        <stp/>
        <stp>VOLUME</stp>
        <stp>.QQQP469</stp>
        <tr r="B79" s="2"/>
        <tr r="D79" s="2"/>
        <tr r="C79" s="2"/>
        <tr r="G79" s="2"/>
        <tr r="E79" s="2"/>
        <tr r="F79" s="2"/>
      </tp>
      <tp t="s">
        <v>N/A</v>
        <stp/>
        <stp>VOLUME</stp>
        <stp>.QQQC469</stp>
        <tr r="B79" s="2"/>
        <tr r="D79" s="2"/>
        <tr r="C79" s="2"/>
        <tr r="G79" s="2"/>
        <tr r="E79" s="2"/>
        <tr r="F79" s="2"/>
      </tp>
      <tp t="s">
        <v>N/A</v>
        <stp/>
        <stp>VOLUME</stp>
        <stp>.NDXP251231P19875</stp>
        <tr r="X161" s="2"/>
      </tp>
      <tp t="s">
        <v>N/A</v>
        <stp/>
        <stp>VOLUME</stp>
        <stp>.NDXP251128P20175</stp>
        <tr r="V149" s="2"/>
      </tp>
      <tp t="s">
        <v>N/A</v>
        <stp/>
        <stp>VOLUME</stp>
        <stp>.NDXP251128P19175</stp>
        <tr r="V189" s="2"/>
      </tp>
      <tp t="s">
        <v>N/A</v>
        <stp/>
        <stp>VOLUME</stp>
        <stp>.NDXP251031P19875</stp>
        <tr r="T161" s="2"/>
      </tp>
      <tp t="s">
        <v>N/A</v>
        <stp/>
        <stp>VOLUME</stp>
        <stp>.SPXW250930C5720</stp>
        <tr r="R101" s="2"/>
      </tp>
      <tp t="s">
        <v>N/A</v>
        <stp/>
        <stp>VOLUME</stp>
        <stp>.SPXW250507C5450</stp>
        <tr r="BA127" s="1"/>
      </tp>
      <tp t="s">
        <v>N/A</v>
        <stp/>
        <stp>VOLUME</stp>
        <stp>.SPXW250516C5540</stp>
        <tr r="BE118" s="1"/>
      </tp>
      <tp t="s">
        <v>N/A</v>
        <stp/>
        <stp>VOLUME</stp>
        <stp>.SPXW250530C5720</stp>
        <tr r="I101" s="2"/>
      </tp>
      <tp t="s">
        <v>N/A</v>
        <stp/>
        <stp>VOLUME</stp>
        <stp>.SPXW250731C5730</stp>
        <tr r="N100" s="2"/>
      </tp>
      <tp t="s">
        <v>N/A</v>
        <stp/>
        <stp>VOLUME</stp>
        <stp>.SPXW250606C5440</stp>
        <tr r="J129" s="2"/>
      </tp>
      <tp t="s">
        <v>N/A</v>
        <stp/>
        <stp>VOLUME</stp>
        <stp>.SPXW250630C5720</stp>
        <tr r="L101" s="2"/>
      </tp>
      <tp t="s">
        <v>N/A</v>
        <stp/>
        <stp>VOLUME</stp>
        <stp>.SPXW251031C5730</stp>
        <tr r="T100" s="2"/>
      </tp>
      <tp t="s">
        <v>N/A</v>
        <stp/>
        <stp>VOLUME</stp>
        <stp>.SPXW251231C5730</stp>
        <tr r="X100" s="2"/>
      </tp>
      <tp t="s">
        <v>N/A</v>
        <stp/>
        <stp>VOLUME</stp>
        <stp>.SPXW251031P5730</stp>
        <tr r="T100" s="2"/>
      </tp>
      <tp t="s">
        <v>N/A</v>
        <stp/>
        <stp>VOLUME</stp>
        <stp>.SPXW251231P5730</stp>
        <tr r="X100" s="2"/>
      </tp>
      <tp t="s">
        <v>N/A</v>
        <stp/>
        <stp>VOLUME</stp>
        <stp>.SPXW250930P5720</stp>
        <tr r="R101" s="2"/>
      </tp>
      <tp t="s">
        <v>N/A</v>
        <stp/>
        <stp>VOLUME</stp>
        <stp>.SPXW250507P5450</stp>
        <tr r="BB127" s="1"/>
      </tp>
      <tp t="s">
        <v>N/A</v>
        <stp/>
        <stp>VOLUME</stp>
        <stp>.SPXW250516P5540</stp>
        <tr r="BF118" s="1"/>
      </tp>
      <tp t="s">
        <v>N/A</v>
        <stp/>
        <stp>VOLUME</stp>
        <stp>.SPXW250530P5720</stp>
        <tr r="I101" s="2"/>
      </tp>
      <tp t="s">
        <v>N/A</v>
        <stp/>
        <stp>VOLUME</stp>
        <stp>.SPXW250731P5730</stp>
        <tr r="N100" s="2"/>
      </tp>
      <tp t="s">
        <v>N/A</v>
        <stp/>
        <stp>VOLUME</stp>
        <stp>.SPXW250606P5440</stp>
        <tr r="J129" s="2"/>
      </tp>
      <tp t="s">
        <v>N/A</v>
        <stp/>
        <stp>VOLUME</stp>
        <stp>.SPXW250630P5720</stp>
        <tr r="L101" s="2"/>
      </tp>
      <tp t="s">
        <v>N/A</v>
        <stp/>
        <stp>VOLUME</stp>
        <stp>.QQQP478</stp>
        <tr r="E70" s="2"/>
        <tr r="C70" s="2"/>
        <tr r="F70" s="2"/>
        <tr r="B70" s="2"/>
        <tr r="G70" s="2"/>
        <tr r="D70" s="2"/>
      </tp>
      <tp t="s">
        <v>N/A</v>
        <stp/>
        <stp>VOLUME</stp>
        <stp>.QQQC478</stp>
        <tr r="E70" s="2"/>
        <tr r="C70" s="2"/>
        <tr r="F70" s="2"/>
        <tr r="B70" s="2"/>
        <tr r="G70" s="2"/>
        <tr r="D70" s="2"/>
      </tp>
      <tp t="s">
        <v>N/A</v>
        <stp/>
        <stp>VOLUME</stp>
        <stp>.QQQP479</stp>
        <tr r="E69" s="2"/>
        <tr r="F69" s="2"/>
        <tr r="B69" s="2"/>
        <tr r="C69" s="2"/>
        <tr r="D69" s="2"/>
        <tr r="G69" s="2"/>
      </tp>
      <tp t="s">
        <v>N/A</v>
        <stp/>
        <stp>VOLUME</stp>
        <stp>.QQQC479</stp>
        <tr r="E69" s="2"/>
        <tr r="F69" s="2"/>
        <tr r="B69" s="2"/>
        <tr r="C69" s="2"/>
        <tr r="D69" s="2"/>
        <tr r="G69" s="2"/>
      </tp>
      <tp t="s">
        <v>N/A</v>
        <stp/>
        <stp>VOLUME</stp>
        <stp>.QQQP474</stp>
        <tr r="E74" s="2"/>
        <tr r="C74" s="2"/>
        <tr r="G74" s="2"/>
        <tr r="B74" s="2"/>
        <tr r="F74" s="2"/>
        <tr r="D74" s="2"/>
      </tp>
      <tp t="s">
        <v>N/A</v>
        <stp/>
        <stp>VOLUME</stp>
        <stp>.QQQC474</stp>
        <tr r="E74" s="2"/>
        <tr r="C74" s="2"/>
        <tr r="G74" s="2"/>
        <tr r="B74" s="2"/>
        <tr r="F74" s="2"/>
        <tr r="D74" s="2"/>
      </tp>
      <tp t="s">
        <v>N/A</v>
        <stp/>
        <stp>VOLUME</stp>
        <stp>.QQQP475</stp>
        <tr r="F73" s="2"/>
        <tr r="G73" s="2"/>
        <tr r="C73" s="2"/>
        <tr r="D73" s="2"/>
        <tr r="B73" s="2"/>
        <tr r="E73" s="2"/>
      </tp>
      <tp t="s">
        <v>N/A</v>
        <stp/>
        <stp>VOLUME</stp>
        <stp>.QQQC475</stp>
        <tr r="F73" s="2"/>
        <tr r="G73" s="2"/>
        <tr r="C73" s="2"/>
        <tr r="D73" s="2"/>
        <tr r="B73" s="2"/>
        <tr r="E73" s="2"/>
      </tp>
      <tp t="s">
        <v>N/A</v>
        <stp/>
        <stp>VOLUME</stp>
        <stp>.QQQP476</stp>
        <tr r="C72" s="2"/>
        <tr r="D72" s="2"/>
        <tr r="B72" s="2"/>
        <tr r="F72" s="2"/>
        <tr r="E72" s="2"/>
        <tr r="G72" s="2"/>
      </tp>
      <tp t="s">
        <v>N/A</v>
        <stp/>
        <stp>VOLUME</stp>
        <stp>.QQQC476</stp>
        <tr r="C72" s="2"/>
        <tr r="D72" s="2"/>
        <tr r="B72" s="2"/>
        <tr r="F72" s="2"/>
        <tr r="E72" s="2"/>
        <tr r="G72" s="2"/>
      </tp>
      <tp t="s">
        <v>N/A</v>
        <stp/>
        <stp>VOLUME</stp>
        <stp>.QQQP477</stp>
        <tr r="E71" s="2"/>
        <tr r="G71" s="2"/>
        <tr r="C71" s="2"/>
        <tr r="B71" s="2"/>
        <tr r="F71" s="2"/>
        <tr r="D71" s="2"/>
      </tp>
      <tp t="s">
        <v>N/A</v>
        <stp/>
        <stp>VOLUME</stp>
        <stp>.QQQC477</stp>
        <tr r="E71" s="2"/>
        <tr r="G71" s="2"/>
        <tr r="C71" s="2"/>
        <tr r="B71" s="2"/>
        <tr r="F71" s="2"/>
        <tr r="D71" s="2"/>
      </tp>
      <tp t="s">
        <v>N/A</v>
        <stp/>
        <stp>VOLUME</stp>
        <stp>.QQQP470</stp>
        <tr r="C78" s="2"/>
        <tr r="G78" s="2"/>
        <tr r="D78" s="2"/>
        <tr r="E78" s="2"/>
        <tr r="B78" s="2"/>
        <tr r="F78" s="2"/>
      </tp>
      <tp t="s">
        <v>N/A</v>
        <stp/>
        <stp>VOLUME</stp>
        <stp>.QQQC470</stp>
        <tr r="C78" s="2"/>
        <tr r="G78" s="2"/>
        <tr r="D78" s="2"/>
        <tr r="E78" s="2"/>
        <tr r="B78" s="2"/>
        <tr r="F78" s="2"/>
      </tp>
      <tp t="s">
        <v>N/A</v>
        <stp/>
        <stp>VOLUME</stp>
        <stp>.QQQP471</stp>
        <tr r="B77" s="2"/>
        <tr r="C77" s="2"/>
        <tr r="E77" s="2"/>
        <tr r="F77" s="2"/>
        <tr r="D77" s="2"/>
        <tr r="G77" s="2"/>
      </tp>
      <tp t="s">
        <v>N/A</v>
        <stp/>
        <stp>VOLUME</stp>
        <stp>.QQQC471</stp>
        <tr r="B77" s="2"/>
        <tr r="C77" s="2"/>
        <tr r="E77" s="2"/>
        <tr r="F77" s="2"/>
        <tr r="D77" s="2"/>
        <tr r="G77" s="2"/>
      </tp>
      <tp t="s">
        <v>N/A</v>
        <stp/>
        <stp>VOLUME</stp>
        <stp>.QQQP472</stp>
        <tr r="E76" s="2"/>
        <tr r="G76" s="2"/>
        <tr r="C76" s="2"/>
        <tr r="F76" s="2"/>
        <tr r="D76" s="2"/>
        <tr r="B76" s="2"/>
      </tp>
      <tp t="s">
        <v>N/A</v>
        <stp/>
        <stp>VOLUME</stp>
        <stp>.QQQC472</stp>
        <tr r="E76" s="2"/>
        <tr r="G76" s="2"/>
        <tr r="C76" s="2"/>
        <tr r="F76" s="2"/>
        <tr r="D76" s="2"/>
        <tr r="B76" s="2"/>
      </tp>
      <tp t="s">
        <v>N/A</v>
        <stp/>
        <stp>VOLUME</stp>
        <stp>.QQQP473</stp>
        <tr r="E75" s="2"/>
        <tr r="G75" s="2"/>
        <tr r="F75" s="2"/>
        <tr r="B75" s="2"/>
        <tr r="D75" s="2"/>
        <tr r="C75" s="2"/>
      </tp>
      <tp t="s">
        <v>N/A</v>
        <stp/>
        <stp>VOLUME</stp>
        <stp>.QQQC473</stp>
        <tr r="E75" s="2"/>
        <tr r="G75" s="2"/>
        <tr r="F75" s="2"/>
        <tr r="B75" s="2"/>
        <tr r="D75" s="2"/>
        <tr r="C75" s="2"/>
      </tp>
      <tp t="s">
        <v>N/A</v>
        <stp/>
        <stp>VOLUME</stp>
        <stp>.NDXP250829P20075</stp>
        <tr r="P153" s="2"/>
      </tp>
      <tp t="s">
        <v>N/A</v>
        <stp/>
        <stp>VOLUME</stp>
        <stp>.NDXP250930P19975</stp>
        <tr r="R157" s="2"/>
      </tp>
      <tp t="s">
        <v>N/A</v>
        <stp/>
        <stp>VOLUME</stp>
        <stp>.NDXP250731P19875</stp>
        <tr r="N161" s="2"/>
      </tp>
      <tp t="s">
        <v>N/A</v>
        <stp/>
        <stp>VOLUME</stp>
        <stp>.NDXP250630P19975</stp>
        <tr r="L157" s="2"/>
      </tp>
      <tp t="s">
        <v>N/A</v>
        <stp/>
        <stp>VOLUME</stp>
        <stp>.NDXP250509P20075</stp>
        <tr r="BD152" s="1"/>
      </tp>
      <tp t="s">
        <v>N/A</v>
        <stp/>
        <stp>VOLUME</stp>
        <stp>.NDXP250530P19975</stp>
        <tr r="I157" s="2"/>
      </tp>
      <tp t="s">
        <v>N/A</v>
        <stp/>
        <stp>VOLUME</stp>
        <stp>.SPXW250930C5730</stp>
        <tr r="R100" s="2"/>
      </tp>
      <tp t="s">
        <v>N/A</v>
        <stp/>
        <stp>VOLUME</stp>
        <stp>.SPXW250507C5440</stp>
        <tr r="BA128" s="1"/>
      </tp>
      <tp>
        <v>1</v>
        <stp/>
        <stp>VOLUME</stp>
        <stp>.SPXW250516C5550</stp>
        <tr r="BE117" s="1"/>
        <tr r="BE117" s="1"/>
      </tp>
      <tp t="s">
        <v>N/A</v>
        <stp/>
        <stp>VOLUME</stp>
        <stp>.SPXW250530C5730</stp>
        <tr r="I100" s="2"/>
      </tp>
      <tp t="s">
        <v>N/A</v>
        <stp/>
        <stp>VOLUME</stp>
        <stp>.SPXW250731C5720</stp>
        <tr r="N101" s="2"/>
      </tp>
      <tp t="s">
        <v>N/A</v>
        <stp/>
        <stp>VOLUME</stp>
        <stp>.SPXW250606C5450</stp>
        <tr r="J128" s="2"/>
      </tp>
      <tp t="s">
        <v>N/A</v>
        <stp/>
        <stp>VOLUME</stp>
        <stp>.SPXW250630C5730</stp>
        <tr r="L100" s="2"/>
      </tp>
      <tp t="s">
        <v>N/A</v>
        <stp/>
        <stp>VOLUME</stp>
        <stp>.SPXW251031C5720</stp>
        <tr r="T101" s="2"/>
      </tp>
      <tp t="s">
        <v>N/A</v>
        <stp/>
        <stp>VOLUME</stp>
        <stp>.SPXW251231C5720</stp>
        <tr r="X101" s="2"/>
      </tp>
      <tp t="s">
        <v>N/A</v>
        <stp/>
        <stp>VOLUME</stp>
        <stp>.SPXW251031P5720</stp>
        <tr r="T101" s="2"/>
      </tp>
      <tp t="s">
        <v>N/A</v>
        <stp/>
        <stp>VOLUME</stp>
        <stp>.SPXW251231P5720</stp>
        <tr r="X101" s="2"/>
      </tp>
      <tp t="s">
        <v>N/A</v>
        <stp/>
        <stp>VOLUME</stp>
        <stp>.SPXW250930P5730</stp>
        <tr r="R100" s="2"/>
      </tp>
      <tp t="s">
        <v>N/A</v>
        <stp/>
        <stp>VOLUME</stp>
        <stp>.SPXW250507P5440</stp>
        <tr r="BB128" s="1"/>
      </tp>
      <tp t="s">
        <v>N/A</v>
        <stp/>
        <stp>VOLUME</stp>
        <stp>.SPXW250516P5550</stp>
        <tr r="BF117" s="1"/>
      </tp>
      <tp t="s">
        <v>N/A</v>
        <stp/>
        <stp>VOLUME</stp>
        <stp>.SPXW250530P5730</stp>
        <tr r="I100" s="2"/>
      </tp>
      <tp t="s">
        <v>N/A</v>
        <stp/>
        <stp>VOLUME</stp>
        <stp>.SPXW250731P5720</stp>
        <tr r="N101" s="2"/>
      </tp>
      <tp t="s">
        <v>N/A</v>
        <stp/>
        <stp>VOLUME</stp>
        <stp>.SPXW250606P5450</stp>
        <tr r="J128" s="2"/>
      </tp>
      <tp t="s">
        <v>N/A</v>
        <stp/>
        <stp>VOLUME</stp>
        <stp>.SPXW250630P5730</stp>
        <tr r="L100" s="2"/>
      </tp>
      <tp t="s">
        <v>N/A</v>
        <stp/>
        <stp>VOLUME</stp>
        <stp>.NDXP250829P20000</stp>
        <tr r="P156" s="2"/>
      </tp>
      <tp t="s">
        <v>N/A</v>
        <stp/>
        <stp>VOLUME</stp>
        <stp>.NDXP250930P19900</stp>
        <tr r="R160" s="2"/>
      </tp>
      <tp t="s">
        <v>N/A</v>
        <stp/>
        <stp>VOLUME</stp>
        <stp>.NDXP250630P19900</stp>
        <tr r="L160" s="2"/>
      </tp>
      <tp>
        <v>3</v>
        <stp/>
        <stp>VOLUME</stp>
        <stp>.NDXP250509P20000</stp>
        <tr r="BD155" s="1"/>
        <tr r="BD155" s="1"/>
      </tp>
      <tp t="s">
        <v>N/A</v>
        <stp/>
        <stp>VOLUME</stp>
        <stp>.NDXP250731P19800</stp>
        <tr r="N164" s="2"/>
      </tp>
      <tp>
        <v>1</v>
        <stp/>
        <stp>VOLUME</stp>
        <stp>.NDXP250530P19900</stp>
        <tr r="I160" s="2"/>
        <tr r="I160" s="2"/>
      </tp>
      <tp t="s">
        <v>N/A</v>
        <stp/>
        <stp>VOLUME</stp>
        <stp>.SPXW250930C5740</stp>
        <tr r="R99" s="2"/>
      </tp>
      <tp t="s">
        <v>N/A</v>
        <stp/>
        <stp>VOLUME</stp>
        <stp>.SPXW250507C5430</stp>
        <tr r="BA129" s="1"/>
      </tp>
      <tp t="s">
        <v>N/A</v>
        <stp/>
        <stp>VOLUME</stp>
        <stp>.SPXW250516C5520</stp>
        <tr r="BE120" s="1"/>
      </tp>
      <tp t="s">
        <v>N/A</v>
        <stp/>
        <stp>VOLUME</stp>
        <stp>.SPXW250530C5740</stp>
        <tr r="I99" s="2"/>
      </tp>
      <tp t="s">
        <v>N/A</v>
        <stp/>
        <stp>VOLUME</stp>
        <stp>.SPXW250731C5750</stp>
        <tr r="N98" s="2"/>
      </tp>
      <tp t="s">
        <v>N/A</v>
        <stp/>
        <stp>VOLUME</stp>
        <stp>.SPXW250606C5420</stp>
        <tr r="J131" s="2"/>
      </tp>
      <tp t="s">
        <v>N/A</v>
        <stp/>
        <stp>VOLUME</stp>
        <stp>.SPXW250630C5740</stp>
        <tr r="L99" s="2"/>
      </tp>
      <tp t="s">
        <v>N/A</v>
        <stp/>
        <stp>VOLUME</stp>
        <stp>.SPXW251031C5750</stp>
        <tr r="T98" s="2"/>
      </tp>
      <tp t="s">
        <v>N/A</v>
        <stp/>
        <stp>VOLUME</stp>
        <stp>.SPXW251231C5750</stp>
        <tr r="X98" s="2"/>
      </tp>
      <tp t="s">
        <v>N/A</v>
        <stp/>
        <stp>VOLUME</stp>
        <stp>.SPXW251031P5750</stp>
        <tr r="T98" s="2"/>
      </tp>
      <tp t="s">
        <v>N/A</v>
        <stp/>
        <stp>VOLUME</stp>
        <stp>.SPXW251231P5750</stp>
        <tr r="X98" s="2"/>
      </tp>
      <tp t="s">
        <v>N/A</v>
        <stp/>
        <stp>VOLUME</stp>
        <stp>.SPXW250930P5740</stp>
        <tr r="R99" s="2"/>
      </tp>
      <tp t="s">
        <v>N/A</v>
        <stp/>
        <stp>VOLUME</stp>
        <stp>.SPXW250507P5430</stp>
        <tr r="BB129" s="1"/>
      </tp>
      <tp t="s">
        <v>N/A</v>
        <stp/>
        <stp>VOLUME</stp>
        <stp>.SPXW250516P5520</stp>
        <tr r="BF120" s="1"/>
      </tp>
      <tp t="s">
        <v>N/A</v>
        <stp/>
        <stp>VOLUME</stp>
        <stp>.SPXW250530P5740</stp>
        <tr r="I99" s="2"/>
      </tp>
      <tp t="s">
        <v>N/A</v>
        <stp/>
        <stp>VOLUME</stp>
        <stp>.SPXW250731P5750</stp>
        <tr r="N98" s="2"/>
      </tp>
      <tp t="s">
        <v>N/A</v>
        <stp/>
        <stp>VOLUME</stp>
        <stp>.SPXW250606P5420</stp>
        <tr r="J131" s="2"/>
      </tp>
      <tp t="s">
        <v>N/A</v>
        <stp/>
        <stp>VOLUME</stp>
        <stp>.SPXW250630P5740</stp>
        <tr r="L99" s="2"/>
      </tp>
      <tp t="s">
        <v>N/A</v>
        <stp/>
        <stp>VOLUME</stp>
        <stp>.NDXP251231P19800</stp>
        <tr r="X164" s="2"/>
      </tp>
      <tp t="s">
        <v>N/A</v>
        <stp/>
        <stp>VOLUME</stp>
        <stp>.NDXP251128P20100</stp>
        <tr r="V152" s="2"/>
      </tp>
      <tp t="s">
        <v>N/A</v>
        <stp/>
        <stp>VOLUME</stp>
        <stp>.NDXP251031P19800</stp>
        <tr r="T164" s="2"/>
      </tp>
      <tp t="s">
        <v>N/A</v>
        <stp/>
        <stp>VOLUME</stp>
        <stp>.SPXW250930C5750</stp>
        <tr r="R98" s="2"/>
      </tp>
      <tp t="s">
        <v>N/A</v>
        <stp/>
        <stp>VOLUME</stp>
        <stp>.SPXW250507C5420</stp>
        <tr r="BA130" s="1"/>
      </tp>
      <tp t="s">
        <v>N/A</v>
        <stp/>
        <stp>VOLUME</stp>
        <stp>.SPXW250516C5530</stp>
        <tr r="BE119" s="1"/>
      </tp>
      <tp t="s">
        <v>N/A</v>
        <stp/>
        <stp>VOLUME</stp>
        <stp>.SPXW250530C5750</stp>
        <tr r="I98" s="2"/>
      </tp>
      <tp t="s">
        <v>N/A</v>
        <stp/>
        <stp>VOLUME</stp>
        <stp>.SPXW250731C5740</stp>
        <tr r="N99" s="2"/>
      </tp>
      <tp t="s">
        <v>N/A</v>
        <stp/>
        <stp>VOLUME</stp>
        <stp>.SPXW250606C5430</stp>
        <tr r="J130" s="2"/>
      </tp>
      <tp t="s">
        <v>N/A</v>
        <stp/>
        <stp>VOLUME</stp>
        <stp>.SPXW250630C5750</stp>
        <tr r="L98" s="2"/>
      </tp>
      <tp t="s">
        <v>N/A</v>
        <stp/>
        <stp>VOLUME</stp>
        <stp>.SPXW251031C5740</stp>
        <tr r="T99" s="2"/>
      </tp>
      <tp t="s">
        <v>N/A</v>
        <stp/>
        <stp>VOLUME</stp>
        <stp>.SPXW251231C5740</stp>
        <tr r="X99" s="2"/>
      </tp>
      <tp t="s">
        <v>N/A</v>
        <stp/>
        <stp>VOLUME</stp>
        <stp>.SPXW251031P5740</stp>
        <tr r="T99" s="2"/>
      </tp>
      <tp t="s">
        <v>N/A</v>
        <stp/>
        <stp>VOLUME</stp>
        <stp>.SPXW251231P5740</stp>
        <tr r="X99" s="2"/>
      </tp>
      <tp t="s">
        <v>N/A</v>
        <stp/>
        <stp>VOLUME</stp>
        <stp>.SPXW250930P5750</stp>
        <tr r="R98" s="2"/>
      </tp>
      <tp t="s">
        <v>N/A</v>
        <stp/>
        <stp>VOLUME</stp>
        <stp>.SPXW250507P5420</stp>
        <tr r="BB130" s="1"/>
      </tp>
      <tp t="s">
        <v>N/A</v>
        <stp/>
        <stp>VOLUME</stp>
        <stp>.SPXW250516P5530</stp>
        <tr r="BF119" s="1"/>
      </tp>
      <tp t="s">
        <v>N/A</v>
        <stp/>
        <stp>VOLUME</stp>
        <stp>.SPXW250530P5750</stp>
        <tr r="I98" s="2"/>
      </tp>
      <tp t="s">
        <v>N/A</v>
        <stp/>
        <stp>VOLUME</stp>
        <stp>.SPXW250731P5740</stp>
        <tr r="N99" s="2"/>
      </tp>
      <tp t="s">
        <v>N/A</v>
        <stp/>
        <stp>VOLUME</stp>
        <stp>.SPXW250606P5430</stp>
        <tr r="J130" s="2"/>
      </tp>
      <tp t="s">
        <v>N/A</v>
        <stp/>
        <stp>VOLUME</stp>
        <stp>.SPXW250630P5750</stp>
        <tr r="L98" s="2"/>
      </tp>
      <tp t="s">
        <v>N/A</v>
        <stp/>
        <stp>VOLUME</stp>
        <stp>.NDXP250829P20025</stp>
        <tr r="P155" s="2"/>
      </tp>
      <tp t="s">
        <v>N/A</v>
        <stp/>
        <stp>VOLUME</stp>
        <stp>.NDXP250930P19925</stp>
        <tr r="R159" s="2"/>
      </tp>
      <tp t="s">
        <v>N/A</v>
        <stp/>
        <stp>VOLUME</stp>
        <stp>.NDXP250731P19825</stp>
        <tr r="N163" s="2"/>
      </tp>
      <tp t="s">
        <v>N/A</v>
        <stp/>
        <stp>VOLUME</stp>
        <stp>.NDXP250630P19925</stp>
        <tr r="L159" s="2"/>
      </tp>
      <tp t="s">
        <v>N/A</v>
        <stp/>
        <stp>VOLUME</stp>
        <stp>.NDXP250509P20025</stp>
        <tr r="BD154" s="1"/>
      </tp>
      <tp t="s">
        <v>N/A</v>
        <stp/>
        <stp>VOLUME</stp>
        <stp>.NDXP250530P19925</stp>
        <tr r="I159" s="2"/>
      </tp>
      <tp t="s">
        <v>N/A</v>
        <stp/>
        <stp>VOLUME</stp>
        <stp>.SPXW250930C5760</stp>
        <tr r="R97" s="2"/>
      </tp>
      <tp>
        <v>1</v>
        <stp/>
        <stp>VOLUME</stp>
        <stp>.SPXW250516C5500</stp>
        <tr r="BE122" s="1"/>
        <tr r="BE122" s="1"/>
      </tp>
      <tp t="s">
        <v>N/A</v>
        <stp/>
        <stp>VOLUME</stp>
        <stp>.SPXW250530C5760</stp>
        <tr r="I97" s="2"/>
      </tp>
      <tp t="s">
        <v>N/A</v>
        <stp/>
        <stp>VOLUME</stp>
        <stp>.SPXW250731C5770</stp>
        <tr r="N96" s="2"/>
      </tp>
      <tp t="s">
        <v>N/A</v>
        <stp/>
        <stp>VOLUME</stp>
        <stp>.SPXW250630C5760</stp>
        <tr r="L97" s="2"/>
      </tp>
      <tp t="s">
        <v>N/A</v>
        <stp/>
        <stp>VOLUME</stp>
        <stp>.SPXW251031C5770</stp>
        <tr r="T96" s="2"/>
      </tp>
      <tp t="s">
        <v>N/A</v>
        <stp/>
        <stp>VOLUME</stp>
        <stp>.SPXW251231C5770</stp>
        <tr r="X96" s="2"/>
      </tp>
      <tp t="s">
        <v>N/A</v>
        <stp/>
        <stp>VOLUME</stp>
        <stp>.SPXW251031P5770</stp>
        <tr r="T96" s="2"/>
      </tp>
      <tp t="s">
        <v>N/A</v>
        <stp/>
        <stp>VOLUME</stp>
        <stp>.SPXW251231P5770</stp>
        <tr r="X96" s="2"/>
      </tp>
      <tp t="s">
        <v>N/A</v>
        <stp/>
        <stp>VOLUME</stp>
        <stp>.SPXW250930P5760</stp>
        <tr r="R97" s="2"/>
      </tp>
      <tp t="s">
        <v>N/A</v>
        <stp/>
        <stp>VOLUME</stp>
        <stp>.SPXW250516P5500</stp>
        <tr r="BF122" s="1"/>
      </tp>
      <tp t="s">
        <v>N/A</v>
        <stp/>
        <stp>VOLUME</stp>
        <stp>.SPXW250530P5760</stp>
        <tr r="I97" s="2"/>
      </tp>
      <tp t="s">
        <v>N/A</v>
        <stp/>
        <stp>VOLUME</stp>
        <stp>.SPXW250731P5770</stp>
        <tr r="N96" s="2"/>
      </tp>
      <tp t="s">
        <v>N/A</v>
        <stp/>
        <stp>VOLUME</stp>
        <stp>.SPXW250630P5760</stp>
        <tr r="L97" s="2"/>
      </tp>
      <tp t="s">
        <v>N/A</v>
        <stp/>
        <stp>VOLUME</stp>
        <stp>.NDXP251231P19825</stp>
        <tr r="X163" s="2"/>
      </tp>
      <tp t="s">
        <v>N/A</v>
        <stp/>
        <stp>VOLUME</stp>
        <stp>.NDXP251128P20125</stp>
        <tr r="V151" s="2"/>
      </tp>
      <tp t="s">
        <v>N/A</v>
        <stp/>
        <stp>VOLUME</stp>
        <stp>.NDXP251031P19825</stp>
        <tr r="T163" s="2"/>
      </tp>
      <tp t="s">
        <v>N/A</v>
        <stp/>
        <stp>VOLUME</stp>
        <stp>.SPXW250930C5770</stp>
        <tr r="R96" s="2"/>
      </tp>
      <tp t="s">
        <v>N/A</v>
        <stp/>
        <stp>VOLUME</stp>
        <stp>.SPXW250516C5510</stp>
        <tr r="BE121" s="1"/>
      </tp>
      <tp t="s">
        <v>N/A</v>
        <stp/>
        <stp>VOLUME</stp>
        <stp>.SPXW250530C5770</stp>
        <tr r="I96" s="2"/>
      </tp>
      <tp t="s">
        <v>N/A</v>
        <stp/>
        <stp>VOLUME</stp>
        <stp>.SPXW250731C5760</stp>
        <tr r="N97" s="2"/>
      </tp>
      <tp>
        <v>1</v>
        <stp/>
        <stp>VOLUME</stp>
        <stp>.SPXW250630C5770</stp>
        <tr r="L96" s="2"/>
        <tr r="L96" s="2"/>
      </tp>
      <tp t="s">
        <v>N/A</v>
        <stp/>
        <stp>VOLUME</stp>
        <stp>.SPXW251031C5760</stp>
        <tr r="T97" s="2"/>
      </tp>
      <tp t="s">
        <v>N/A</v>
        <stp/>
        <stp>VOLUME</stp>
        <stp>.SPXW251231C5760</stp>
        <tr r="X97" s="2"/>
      </tp>
      <tp t="s">
        <v>N/A</v>
        <stp/>
        <stp>VOLUME</stp>
        <stp>.SPXW251031P5760</stp>
        <tr r="T97" s="2"/>
      </tp>
      <tp t="s">
        <v>N/A</v>
        <stp/>
        <stp>VOLUME</stp>
        <stp>.SPXW251231P5760</stp>
        <tr r="X97" s="2"/>
      </tp>
      <tp t="s">
        <v>N/A</v>
        <stp/>
        <stp>VOLUME</stp>
        <stp>.SPXW250930P5770</stp>
        <tr r="R96" s="2"/>
      </tp>
      <tp t="s">
        <v>N/A</v>
        <stp/>
        <stp>VOLUME</stp>
        <stp>.SPXW250516P5510</stp>
        <tr r="BF121" s="1"/>
      </tp>
      <tp t="s">
        <v>N/A</v>
        <stp/>
        <stp>VOLUME</stp>
        <stp>.SPXW250530P5770</stp>
        <tr r="I96" s="2"/>
      </tp>
      <tp t="s">
        <v>N/A</v>
        <stp/>
        <stp>VOLUME</stp>
        <stp>.SPXW250731P5760</stp>
        <tr r="N97" s="2"/>
      </tp>
      <tp t="s">
        <v>N/A</v>
        <stp/>
        <stp>VOLUME</stp>
        <stp>.SPXW250630P5770</stp>
        <tr r="L96" s="2"/>
      </tp>
      <tp>
        <v>49</v>
        <stp/>
        <stp>OPEN_INT</stp>
        <stp>.NDXP250507C19400</stp>
        <tr r="AS179" s="1"/>
        <tr r="AS179" s="1"/>
      </tp>
      <tp>
        <v>29</v>
        <stp/>
        <stp>OPEN_INT</stp>
        <stp>.NDXP250507C20400</stp>
        <tr r="AS139" s="1"/>
        <tr r="AS139" s="1"/>
      </tp>
      <tp>
        <v>0</v>
        <stp/>
        <stp>OPEN_INT</stp>
        <stp>.NDXP250507C19425</stp>
        <tr r="AS178" s="1"/>
        <tr r="AS178" s="1"/>
      </tp>
      <tp>
        <v>11</v>
        <stp/>
        <stp>OPEN_INT</stp>
        <stp>.NDXP250507C20425</stp>
        <tr r="AS138" s="1"/>
        <tr r="AS138" s="1"/>
      </tp>
      <tp>
        <v>1</v>
        <stp/>
        <stp>OPEN_INT</stp>
        <stp>.NDXP250507C19450</stp>
        <tr r="AS177" s="1"/>
        <tr r="AS177" s="1"/>
      </tp>
      <tp>
        <v>3</v>
        <stp/>
        <stp>OPEN_INT</stp>
        <stp>.NDXP250507C20450</stp>
        <tr r="AS137" s="1"/>
        <tr r="AS137" s="1"/>
      </tp>
      <tp>
        <v>1</v>
        <stp/>
        <stp>OPEN_INT</stp>
        <stp>.NDXP250507C19475</stp>
        <tr r="AS176" s="1"/>
        <tr r="AS176" s="1"/>
      </tp>
      <tp>
        <v>10</v>
        <stp/>
        <stp>OPEN_INT</stp>
        <stp>.NDXP250507P19425</stp>
        <tr r="AT178" s="1"/>
        <tr r="AT178" s="1"/>
      </tp>
      <tp>
        <v>0</v>
        <stp/>
        <stp>OPEN_INT</stp>
        <stp>.NDXP250507P20425</stp>
        <tr r="AT138" s="1"/>
        <tr r="AT138" s="1"/>
      </tp>
      <tp>
        <v>74</v>
        <stp/>
        <stp>OPEN_INT</stp>
        <stp>.NDXP250507P19400</stp>
        <tr r="AT179" s="1"/>
        <tr r="AT179" s="1"/>
      </tp>
      <tp>
        <v>0</v>
        <stp/>
        <stp>OPEN_INT</stp>
        <stp>.NDXP250507P20400</stp>
        <tr r="AT139" s="1"/>
        <tr r="AT139" s="1"/>
      </tp>
      <tp>
        <v>12</v>
        <stp/>
        <stp>OPEN_INT</stp>
        <stp>.NDXP250507P19475</stp>
        <tr r="AT176" s="1"/>
        <tr r="AT176" s="1"/>
      </tp>
      <tp>
        <v>9</v>
        <stp/>
        <stp>OPEN_INT</stp>
        <stp>.NDXP250507P19450</stp>
        <tr r="AT177" s="1"/>
        <tr r="AT177" s="1"/>
      </tp>
      <tp>
        <v>0</v>
        <stp/>
        <stp>OPEN_INT</stp>
        <stp>.NDXP250507P20450</stp>
        <tr r="AT137" s="1"/>
        <tr r="AT137" s="1"/>
      </tp>
      <tp>
        <v>-0.68</v>
        <stp/>
        <stp>DELTA</stp>
        <stp>.NDXP250509P20025</stp>
        <tr r="CG154" s="1"/>
        <tr r="CG154" s="1"/>
      </tp>
      <tp>
        <v>-0.65</v>
        <stp/>
        <stp>DELTA</stp>
        <stp>.NDXP250509P20000</stp>
        <tr r="CG155" s="1"/>
        <tr r="CG155" s="1"/>
      </tp>
      <tp>
        <v>-0.74</v>
        <stp/>
        <stp>DELTA</stp>
        <stp>.NDXP250509P20075</stp>
        <tr r="CG152" s="1"/>
        <tr r="CG152" s="1"/>
      </tp>
      <tp>
        <v>-0.71</v>
        <stp/>
        <stp>DELTA</stp>
        <stp>.NDXP250509P20050</stp>
        <tr r="CG153" s="1"/>
        <tr r="CG153" s="1"/>
      </tp>
      <tp>
        <v>0.38</v>
        <stp/>
        <stp>DELTA</stp>
        <stp>.NDXP250509C20000</stp>
        <tr r="CF155" s="1"/>
        <tr r="CF155" s="1"/>
      </tp>
      <tp>
        <v>0.36</v>
        <stp/>
        <stp>DELTA</stp>
        <stp>.NDXP250509C20025</stp>
        <tr r="CF154" s="1"/>
        <tr r="CF154" s="1"/>
      </tp>
      <tp>
        <v>0.33</v>
        <stp/>
        <stp>DELTA</stp>
        <stp>.NDXP250509C20050</stp>
        <tr r="CF153" s="1"/>
        <tr r="CF153" s="1"/>
      </tp>
      <tp>
        <v>0.31</v>
        <stp/>
        <stp>DELTA</stp>
        <stp>.NDXP250509C20075</stp>
        <tr r="CF152" s="1"/>
        <tr r="CF152" s="1"/>
      </tp>
      <tp t="s">
        <v>N/A</v>
        <stp/>
        <stp>VOLUME</stp>
        <stp>.NDXP250829C20375</stp>
        <tr r="P141" s="2"/>
      </tp>
      <tp t="s">
        <v>N/A</v>
        <stp/>
        <stp>VOLUME</stp>
        <stp>.NDXP250829C19375</stp>
        <tr r="P181" s="2"/>
      </tp>
      <tp t="s">
        <v>N/A</v>
        <stp/>
        <stp>VOLUME</stp>
        <stp>.NDXP250509C20375</stp>
        <tr r="BC140" s="1"/>
      </tp>
      <tp t="s">
        <v>N/A</v>
        <stp/>
        <stp>VOLUME</stp>
        <stp>.NDXP250509C19375</stp>
        <tr r="BC180" s="1"/>
      </tp>
      <tp t="s">
        <v>N/A</v>
        <stp/>
        <stp>VOLUME</stp>
        <stp>.NDXP251128C20275</stp>
        <tr r="V145" s="2"/>
      </tp>
      <tp t="s">
        <v>N/A</v>
        <stp/>
        <stp>VOLUME</stp>
        <stp>.NDXP251128C19275</stp>
        <tr r="V185" s="2"/>
      </tp>
      <tp t="s">
        <v>N/A</v>
        <stp/>
        <stp>VOLUME</stp>
        <stp>.NDXP250829C20350</stp>
        <tr r="P142" s="2"/>
      </tp>
      <tp t="s">
        <v>N/A</v>
        <stp/>
        <stp>VOLUME</stp>
        <stp>.NDXP250829C19350</stp>
        <tr r="P182" s="2"/>
      </tp>
      <tp>
        <v>55</v>
        <stp/>
        <stp>VOLUME</stp>
        <stp>.NDXP250509C20350</stp>
        <tr r="BC141" s="1"/>
        <tr r="BC141" s="1"/>
      </tp>
      <tp t="s">
        <v>N/A</v>
        <stp/>
        <stp>VOLUME</stp>
        <stp>.NDXP250509C19350</stp>
        <tr r="BC181" s="1"/>
      </tp>
      <tp t="s">
        <v>N/A</v>
        <stp/>
        <stp>VOLUME</stp>
        <stp>.NDXP251128C20250</stp>
        <tr r="V146" s="2"/>
      </tp>
      <tp t="s">
        <v>N/A</v>
        <stp/>
        <stp>VOLUME</stp>
        <stp>.NDXP251128C19250</stp>
        <tr r="V186" s="2"/>
      </tp>
      <tp t="s">
        <v>N/A</v>
        <stp/>
        <stp>VOLUME</stp>
        <stp>.NDXP251128C20225</stp>
        <tr r="V147" s="2"/>
      </tp>
      <tp t="s">
        <v>N/A</v>
        <stp/>
        <stp>VOLUME</stp>
        <stp>.NDXP251128C19225</stp>
        <tr r="V187" s="2"/>
      </tp>
      <tp t="s">
        <v>N/A</v>
        <stp/>
        <stp>VOLUME</stp>
        <stp>.NDXP250829C20325</stp>
        <tr r="P143" s="2"/>
      </tp>
      <tp t="s">
        <v>N/A</v>
        <stp/>
        <stp>VOLUME</stp>
        <stp>.NDXP250829C19325</stp>
        <tr r="P183" s="2"/>
      </tp>
      <tp t="s">
        <v>N/A</v>
        <stp/>
        <stp>VOLUME</stp>
        <stp>.NDXP250509C20325</stp>
        <tr r="BC142" s="1"/>
      </tp>
      <tp t="s">
        <v>N/A</v>
        <stp/>
        <stp>VOLUME</stp>
        <stp>.NDXP250509C19325</stp>
        <tr r="BC182" s="1"/>
      </tp>
      <tp t="s">
        <v>N/A</v>
        <stp/>
        <stp>VOLUME</stp>
        <stp>.NDXP251128C20200</stp>
        <tr r="V148" s="2"/>
      </tp>
      <tp t="s">
        <v>N/A</v>
        <stp/>
        <stp>VOLUME</stp>
        <stp>.NDXP251128C19200</stp>
        <tr r="V188" s="2"/>
      </tp>
      <tp t="s">
        <v>N/A</v>
        <stp/>
        <stp>VOLUME</stp>
        <stp>.NDXP250829C20300</stp>
        <tr r="P144" s="2"/>
      </tp>
      <tp t="s">
        <v>N/A</v>
        <stp/>
        <stp>VOLUME</stp>
        <stp>.NDXP250829C19300</stp>
        <tr r="P184" s="2"/>
      </tp>
      <tp>
        <v>40</v>
        <stp/>
        <stp>VOLUME</stp>
        <stp>.NDXP250509C20300</stp>
        <tr r="BC143" s="1"/>
        <tr r="BC143" s="1"/>
      </tp>
      <tp>
        <v>2</v>
        <stp/>
        <stp>VOLUME</stp>
        <stp>.NDXP250509C19300</stp>
        <tr r="BC183" s="1"/>
        <tr r="BC183" s="1"/>
      </tp>
      <tp t="s">
        <v>N/A</v>
        <stp/>
        <stp>VOLUME</stp>
        <stp>.SPXW250930C5480</stp>
        <tr r="R125" s="2"/>
      </tp>
      <tp t="s">
        <v>N/A</v>
        <stp/>
        <stp>VOLUME</stp>
        <stp>.SPXW250829C5510</stp>
        <tr r="P122" s="2"/>
      </tp>
      <tp>
        <v>4</v>
        <stp/>
        <stp>VOLUME</stp>
        <stp>.SPXW250509C5710</stp>
        <tr r="BC101" s="1"/>
        <tr r="BC101" s="1"/>
      </tp>
      <tp t="s">
        <v>N/A</v>
        <stp/>
        <stp>VOLUME</stp>
        <stp>.SPXW250530C5480</stp>
        <tr r="I125" s="2"/>
      </tp>
      <tp t="s">
        <v>N/A</v>
        <stp/>
        <stp>VOLUME</stp>
        <stp>.SPXW250731C5490</stp>
        <tr r="N124" s="2"/>
      </tp>
      <tp t="s">
        <v>N/A</v>
        <stp/>
        <stp>VOLUME</stp>
        <stp>.SPXW250630C5480</stp>
        <tr r="L125" s="2"/>
      </tp>
      <tp t="s">
        <v>N/A</v>
        <stp/>
        <stp>VOLUME</stp>
        <stp>.SPXW251128C5500</stp>
        <tr r="V123" s="2"/>
      </tp>
      <tp t="s">
        <v>N/A</v>
        <stp/>
        <stp>VOLUME</stp>
        <stp>.SPXW251031C5490</stp>
        <tr r="T124" s="2"/>
      </tp>
      <tp t="s">
        <v>N/A</v>
        <stp/>
        <stp>VOLUME</stp>
        <stp>.SPXW251231C5490</stp>
        <tr r="X124" s="2"/>
      </tp>
      <tp t="s">
        <v>N/A</v>
        <stp/>
        <stp>VOLUME</stp>
        <stp>.SPXW251128P5500</stp>
        <tr r="V123" s="2"/>
      </tp>
      <tp t="s">
        <v>N/A</v>
        <stp/>
        <stp>VOLUME</stp>
        <stp>.SPXW251031P5490</stp>
        <tr r="T124" s="2"/>
      </tp>
      <tp t="s">
        <v>N/A</v>
        <stp/>
        <stp>VOLUME</stp>
        <stp>.SPXW251231P5490</stp>
        <tr r="X124" s="2"/>
      </tp>
      <tp t="s">
        <v>N/A</v>
        <stp/>
        <stp>VOLUME</stp>
        <stp>.SPXW250930P5480</stp>
        <tr r="R125" s="2"/>
      </tp>
      <tp t="s">
        <v>N/A</v>
        <stp/>
        <stp>VOLUME</stp>
        <stp>.SPXW250829P5510</stp>
        <tr r="P122" s="2"/>
      </tp>
      <tp t="s">
        <v>N/A</v>
        <stp/>
        <stp>VOLUME</stp>
        <stp>.SPXW250509P5710</stp>
        <tr r="BD101" s="1"/>
      </tp>
      <tp t="s">
        <v>N/A</v>
        <stp/>
        <stp>VOLUME</stp>
        <stp>.SPXW250530P5480</stp>
        <tr r="I125" s="2"/>
      </tp>
      <tp t="s">
        <v>N/A</v>
        <stp/>
        <stp>VOLUME</stp>
        <stp>.SPXW250731P5490</stp>
        <tr r="N124" s="2"/>
      </tp>
      <tp t="s">
        <v>N/A</v>
        <stp/>
        <stp>VOLUME</stp>
        <stp>.SPXW250630P5480</stp>
        <tr r="L125" s="2"/>
      </tp>
      <tp t="s">
        <v>N/A</v>
        <stp/>
        <stp>VOLUME</stp>
        <stp>.SPXW250930C5490</stp>
        <tr r="R124" s="2"/>
      </tp>
      <tp t="s">
        <v>N/A</v>
        <stp/>
        <stp>VOLUME</stp>
        <stp>.SPXW250829C5500</stp>
        <tr r="P123" s="2"/>
      </tp>
      <tp>
        <v>43</v>
        <stp/>
        <stp>VOLUME</stp>
        <stp>.SPXW250509C5700</stp>
        <tr r="BC102" s="1"/>
        <tr r="BC102" s="1"/>
      </tp>
      <tp t="s">
        <v>N/A</v>
        <stp/>
        <stp>VOLUME</stp>
        <stp>.SPXW250530C5490</stp>
        <tr r="I124" s="2"/>
      </tp>
      <tp t="s">
        <v>N/A</v>
        <stp/>
        <stp>VOLUME</stp>
        <stp>.SPXW250731C5480</stp>
        <tr r="N125" s="2"/>
      </tp>
      <tp t="s">
        <v>N/A</v>
        <stp/>
        <stp>VOLUME</stp>
        <stp>.SPXW250630C5490</stp>
        <tr r="L124" s="2"/>
      </tp>
      <tp t="s">
        <v>N/A</v>
        <stp/>
        <stp>VOLUME</stp>
        <stp>.SPXW251128C5510</stp>
        <tr r="V122" s="2"/>
      </tp>
      <tp t="s">
        <v>N/A</v>
        <stp/>
        <stp>VOLUME</stp>
        <stp>.SPXW251031C5480</stp>
        <tr r="T125" s="2"/>
      </tp>
      <tp t="s">
        <v>N/A</v>
        <stp/>
        <stp>VOLUME</stp>
        <stp>.SPXW251231C5480</stp>
        <tr r="X125" s="2"/>
      </tp>
      <tp t="s">
        <v>N/A</v>
        <stp/>
        <stp>VOLUME</stp>
        <stp>.SPXW251128P5510</stp>
        <tr r="V122" s="2"/>
      </tp>
      <tp t="s">
        <v>N/A</v>
        <stp/>
        <stp>VOLUME</stp>
        <stp>.SPXW251031P5480</stp>
        <tr r="T125" s="2"/>
      </tp>
      <tp t="s">
        <v>N/A</v>
        <stp/>
        <stp>VOLUME</stp>
        <stp>.SPXW251231P5480</stp>
        <tr r="X125" s="2"/>
      </tp>
      <tp t="s">
        <v>N/A</v>
        <stp/>
        <stp>VOLUME</stp>
        <stp>.SPXW250930P5490</stp>
        <tr r="R124" s="2"/>
      </tp>
      <tp t="s">
        <v>N/A</v>
        <stp/>
        <stp>VOLUME</stp>
        <stp>.SPXW250829P5500</stp>
        <tr r="P123" s="2"/>
      </tp>
      <tp t="s">
        <v>N/A</v>
        <stp/>
        <stp>VOLUME</stp>
        <stp>.SPXW250509P5700</stp>
        <tr r="BD102" s="1"/>
      </tp>
      <tp t="s">
        <v>N/A</v>
        <stp/>
        <stp>VOLUME</stp>
        <stp>.SPXW250530P5490</stp>
        <tr r="I124" s="2"/>
      </tp>
      <tp t="s">
        <v>N/A</v>
        <stp/>
        <stp>VOLUME</stp>
        <stp>.SPXW250731P5480</stp>
        <tr r="N125" s="2"/>
      </tp>
      <tp t="s">
        <v>N/A</v>
        <stp/>
        <stp>VOLUME</stp>
        <stp>.SPXW250630P5490</stp>
        <tr r="L124" s="2"/>
      </tp>
      <tp t="s">
        <v>N/A</v>
        <stp/>
        <stp>VOLUME</stp>
        <stp>.SPXW250829C5530</stp>
        <tr r="P120" s="2"/>
      </tp>
      <tp>
        <v>1</v>
        <stp/>
        <stp>VOLUME</stp>
        <stp>.SPXW250509C5730</stp>
        <tr r="BC99" s="1"/>
        <tr r="BC99" s="1"/>
      </tp>
      <tp t="s">
        <v>N/A</v>
        <stp/>
        <stp>VOLUME</stp>
        <stp>.SPXW251128C5520</stp>
        <tr r="V121" s="2"/>
      </tp>
      <tp t="s">
        <v>N/A</v>
        <stp/>
        <stp>VOLUME</stp>
        <stp>.SPXW251128P5520</stp>
        <tr r="V121" s="2"/>
      </tp>
      <tp t="s">
        <v>N/A</v>
        <stp/>
        <stp>VOLUME</stp>
        <stp>.SPXW250829P5530</stp>
        <tr r="P120" s="2"/>
      </tp>
      <tp t="s">
        <v>N/A</v>
        <stp/>
        <stp>VOLUME</stp>
        <stp>.SPXW250509P5730</stp>
        <tr r="BD99" s="1"/>
      </tp>
      <tp t="s">
        <v>N/A</v>
        <stp/>
        <stp>VOLUME</stp>
        <stp>.SPXW250829C5520</stp>
        <tr r="P121" s="2"/>
      </tp>
      <tp t="s">
        <v>N/A</v>
        <stp/>
        <stp>VOLUME</stp>
        <stp>.SPXW250509C5720</stp>
        <tr r="BC100" s="1"/>
      </tp>
      <tp t="s">
        <v>N/A</v>
        <stp/>
        <stp>VOLUME</stp>
        <stp>.SPXW251128C5530</stp>
        <tr r="V120" s="2"/>
      </tp>
      <tp t="s">
        <v>N/A</v>
        <stp/>
        <stp>VOLUME</stp>
        <stp>.SPXW251128P5530</stp>
        <tr r="V120" s="2"/>
      </tp>
      <tp t="s">
        <v>N/A</v>
        <stp/>
        <stp>VOLUME</stp>
        <stp>.SPXW250829P5520</stp>
        <tr r="P121" s="2"/>
      </tp>
      <tp t="s">
        <v>N/A</v>
        <stp/>
        <stp>VOLUME</stp>
        <stp>.SPXW250509P5720</stp>
        <tr r="BD100" s="1"/>
      </tp>
      <tp t="s">
        <v>N/A</v>
        <stp/>
        <stp>VOLUME</stp>
        <stp>.SPXW250829C5550</stp>
        <tr r="P118" s="2"/>
      </tp>
      <tp>
        <v>34</v>
        <stp/>
        <stp>VOLUME</stp>
        <stp>.SPXW250509C5750</stp>
        <tr r="BC97" s="1"/>
        <tr r="BC97" s="1"/>
      </tp>
      <tp t="s">
        <v>N/A</v>
        <stp/>
        <stp>VOLUME</stp>
        <stp>.SPXW251128C5540</stp>
        <tr r="V119" s="2"/>
      </tp>
      <tp t="s">
        <v>N/A</v>
        <stp/>
        <stp>VOLUME</stp>
        <stp>.SPXW251128P5540</stp>
        <tr r="V119" s="2"/>
      </tp>
      <tp t="s">
        <v>N/A</v>
        <stp/>
        <stp>VOLUME</stp>
        <stp>.SPXW250829P5550</stp>
        <tr r="P118" s="2"/>
      </tp>
      <tp t="s">
        <v>N/A</v>
        <stp/>
        <stp>VOLUME</stp>
        <stp>.SPXW250509P5750</stp>
        <tr r="BD97" s="1"/>
      </tp>
      <tp t="s">
        <v>N/A</v>
        <stp/>
        <stp>VOLUME</stp>
        <stp>.SPYP580</stp>
        <tr r="F7" s="2"/>
        <tr r="G7" s="2"/>
        <tr r="C7" s="2"/>
        <tr r="B7" s="2"/>
        <tr r="E7" s="2"/>
        <tr r="D7" s="2"/>
      </tp>
      <tp t="s">
        <v>N/A</v>
        <stp/>
        <stp>VOLUME</stp>
        <stp>.SPYC580</stp>
        <tr r="F7" s="2"/>
        <tr r="G7" s="2"/>
        <tr r="C7" s="2"/>
        <tr r="B7" s="2"/>
        <tr r="E7" s="2"/>
        <tr r="D7" s="2"/>
      </tp>
      <tp t="s">
        <v>N/A</v>
        <stp/>
        <stp>VOLUME</stp>
        <stp>.SPYP581</stp>
        <tr r="E6" s="2"/>
        <tr r="C6" s="2"/>
        <tr r="G6" s="2"/>
        <tr r="F6" s="2"/>
        <tr r="B6" s="2"/>
        <tr r="D6" s="2"/>
      </tp>
      <tp t="s">
        <v>N/A</v>
        <stp/>
        <stp>VOLUME</stp>
        <stp>.SPYC581</stp>
        <tr r="E6" s="2"/>
        <tr r="C6" s="2"/>
        <tr r="G6" s="2"/>
        <tr r="F6" s="2"/>
        <tr r="B6" s="2"/>
        <tr r="D6" s="2"/>
      </tp>
      <tp t="s">
        <v>N/A</v>
        <stp/>
        <stp>VOLUME</stp>
        <stp>.SPYP582</stp>
        <tr r="G5" s="2"/>
        <tr r="F5" s="2"/>
        <tr r="E5" s="2"/>
        <tr r="D5" s="2"/>
        <tr r="C5" s="2"/>
        <tr r="B5" s="2"/>
      </tp>
      <tp t="s">
        <v>N/A</v>
        <stp/>
        <stp>VOLUME</stp>
        <stp>.SPYC582</stp>
        <tr r="G5" s="2"/>
        <tr r="F5" s="2"/>
        <tr r="E5" s="2"/>
        <tr r="D5" s="2"/>
        <tr r="C5" s="2"/>
        <tr r="B5" s="2"/>
      </tp>
      <tp t="s">
        <v>N/A</v>
        <stp/>
        <stp>VOLUME</stp>
        <stp>.SPXW250829C5540</stp>
        <tr r="P119" s="2"/>
      </tp>
      <tp>
        <v>13</v>
        <stp/>
        <stp>VOLUME</stp>
        <stp>.SPXW250509C5740</stp>
        <tr r="BC98" s="1"/>
        <tr r="BC98" s="1"/>
      </tp>
      <tp t="s">
        <v>N/A</v>
        <stp/>
        <stp>VOLUME</stp>
        <stp>.SPXW251128C5550</stp>
        <tr r="V118" s="2"/>
      </tp>
      <tp t="s">
        <v>N/A</v>
        <stp/>
        <stp>VOLUME</stp>
        <stp>.SPXW251128P5550</stp>
        <tr r="V118" s="2"/>
      </tp>
      <tp t="s">
        <v>N/A</v>
        <stp/>
        <stp>VOLUME</stp>
        <stp>.SPXW250829P5540</stp>
        <tr r="P119" s="2"/>
      </tp>
      <tp t="s">
        <v>N/A</v>
        <stp/>
        <stp>VOLUME</stp>
        <stp>.SPXW250509P5740</stp>
        <tr r="BD98" s="1"/>
      </tp>
      <tp t="s">
        <v>N/A</v>
        <stp/>
        <stp>VOLUME</stp>
        <stp>.SPXW250829C5570</stp>
        <tr r="P116" s="2"/>
      </tp>
      <tp t="s">
        <v>N/A</v>
        <stp/>
        <stp>VOLUME</stp>
        <stp>.SPXW250507C5790</stp>
        <tr r="BA93" s="1"/>
      </tp>
      <tp>
        <v>1</v>
        <stp/>
        <stp>VOLUME</stp>
        <stp>.SPXW250509C5770</stp>
        <tr r="BC95" s="1"/>
        <tr r="BC95" s="1"/>
      </tp>
      <tp t="s">
        <v>N/A</v>
        <stp/>
        <stp>VOLUME</stp>
        <stp>.SPXW250516C5680</stp>
        <tr r="BE104" s="1"/>
      </tp>
      <tp t="s">
        <v>N/A</v>
        <stp/>
        <stp>VOLUME</stp>
        <stp>.SPXW250606C5780</stp>
        <tr r="J95" s="2"/>
      </tp>
      <tp t="s">
        <v>N/A</v>
        <stp/>
        <stp>VOLUME</stp>
        <stp>.SPXW251128C5560</stp>
        <tr r="V117" s="2"/>
      </tp>
      <tp t="s">
        <v>N/A</v>
        <stp/>
        <stp>VOLUME</stp>
        <stp>.SPXW251128P5560</stp>
        <tr r="V117" s="2"/>
      </tp>
      <tp t="s">
        <v>N/A</v>
        <stp/>
        <stp>VOLUME</stp>
        <stp>.SPXW250829P5570</stp>
        <tr r="P116" s="2"/>
      </tp>
      <tp t="s">
        <v>N/A</v>
        <stp/>
        <stp>VOLUME</stp>
        <stp>.SPXW250507P5790</stp>
        <tr r="BB93" s="1"/>
      </tp>
      <tp t="s">
        <v>N/A</v>
        <stp/>
        <stp>VOLUME</stp>
        <stp>.SPXW250509P5770</stp>
        <tr r="BD95" s="1"/>
      </tp>
      <tp t="s">
        <v>N/A</v>
        <stp/>
        <stp>VOLUME</stp>
        <stp>.SPXW250516P5680</stp>
        <tr r="BF104" s="1"/>
      </tp>
      <tp t="s">
        <v>N/A</v>
        <stp/>
        <stp>VOLUME</stp>
        <stp>.SPXW250606P5780</stp>
        <tr r="J95" s="2"/>
      </tp>
      <tp t="s">
        <v>N/A</v>
        <stp/>
        <stp>VOLUME</stp>
        <stp>.SPXW250829C5560</stp>
        <tr r="P117" s="2"/>
      </tp>
      <tp t="s">
        <v>N/A</v>
        <stp/>
        <stp>VOLUME</stp>
        <stp>.SPXW250507C5780</stp>
        <tr r="BA94" s="1"/>
      </tp>
      <tp>
        <v>7</v>
        <stp/>
        <stp>VOLUME</stp>
        <stp>.SPXW250509C5760</stp>
        <tr r="BC96" s="1"/>
        <tr r="BC96" s="1"/>
      </tp>
      <tp t="s">
        <v>N/A</v>
        <stp/>
        <stp>VOLUME</stp>
        <stp>.SPXW250516C5690</stp>
        <tr r="BE103" s="1"/>
      </tp>
      <tp t="s">
        <v>N/A</v>
        <stp/>
        <stp>VOLUME</stp>
        <stp>.SPXW250606C5790</stp>
        <tr r="J94" s="2"/>
      </tp>
      <tp t="s">
        <v>N/A</v>
        <stp/>
        <stp>VOLUME</stp>
        <stp>.SPXW251128C5570</stp>
        <tr r="V116" s="2"/>
      </tp>
      <tp t="s">
        <v>N/A</v>
        <stp/>
        <stp>VOLUME</stp>
        <stp>.SPXW251128P5570</stp>
        <tr r="V116" s="2"/>
      </tp>
      <tp t="s">
        <v>N/A</v>
        <stp/>
        <stp>VOLUME</stp>
        <stp>.SPXW250829P5560</stp>
        <tr r="P117" s="2"/>
      </tp>
      <tp t="s">
        <v>N/A</v>
        <stp/>
        <stp>VOLUME</stp>
        <stp>.SPXW250507P5780</stp>
        <tr r="BB94" s="1"/>
      </tp>
      <tp t="s">
        <v>N/A</v>
        <stp/>
        <stp>VOLUME</stp>
        <stp>.SPXW250509P5760</stp>
        <tr r="BD96" s="1"/>
      </tp>
      <tp t="s">
        <v>N/A</v>
        <stp/>
        <stp>VOLUME</stp>
        <stp>.SPXW250516P5690</stp>
        <tr r="BF103" s="1"/>
      </tp>
      <tp t="s">
        <v>N/A</v>
        <stp/>
        <stp>VOLUME</stp>
        <stp>.SPXW250606P5790</stp>
        <tr r="J94" s="2"/>
      </tp>
      <tp t="s">
        <v>N/A</v>
        <stp/>
        <stp>VOLUME</stp>
        <stp>.SPYP554</stp>
        <tr r="E33" s="2"/>
        <tr r="C33" s="2"/>
        <tr r="F33" s="2"/>
        <tr r="D33" s="2"/>
        <tr r="G33" s="2"/>
        <tr r="B33" s="2"/>
      </tp>
      <tp t="s">
        <v>N/A</v>
        <stp/>
        <stp>VOLUME</stp>
        <stp>.SPYC554</stp>
        <tr r="E33" s="2"/>
        <tr r="C33" s="2"/>
        <tr r="F33" s="2"/>
        <tr r="D33" s="2"/>
        <tr r="G33" s="2"/>
        <tr r="B33" s="2"/>
      </tp>
      <tp t="s">
        <v>N/A</v>
        <stp/>
        <stp>VOLUME</stp>
        <stp>.SPYP555</stp>
        <tr r="G32" s="2"/>
        <tr r="E32" s="2"/>
        <tr r="B32" s="2"/>
        <tr r="C32" s="2"/>
        <tr r="F32" s="2"/>
        <tr r="D32" s="2"/>
      </tp>
      <tp t="s">
        <v>N/A</v>
        <stp/>
        <stp>VOLUME</stp>
        <stp>.SPYC555</stp>
        <tr r="G32" s="2"/>
        <tr r="E32" s="2"/>
        <tr r="B32" s="2"/>
        <tr r="C32" s="2"/>
        <tr r="F32" s="2"/>
        <tr r="D32" s="2"/>
      </tp>
      <tp t="s">
        <v>N/A</v>
        <stp/>
        <stp>VOLUME</stp>
        <stp>.SPYP556</stp>
        <tr r="E31" s="2"/>
        <tr r="B31" s="2"/>
        <tr r="D31" s="2"/>
        <tr r="G31" s="2"/>
        <tr r="C31" s="2"/>
        <tr r="F31" s="2"/>
      </tp>
      <tp t="s">
        <v>N/A</v>
        <stp/>
        <stp>VOLUME</stp>
        <stp>.SPYC556</stp>
        <tr r="E31" s="2"/>
        <tr r="B31" s="2"/>
        <tr r="D31" s="2"/>
        <tr r="G31" s="2"/>
        <tr r="C31" s="2"/>
        <tr r="F31" s="2"/>
      </tp>
      <tp t="s">
        <v>N/A</v>
        <stp/>
        <stp>VOLUME</stp>
        <stp>.SPYP557</stp>
        <tr r="C30" s="2"/>
        <tr r="E30" s="2"/>
        <tr r="B30" s="2"/>
        <tr r="F30" s="2"/>
        <tr r="G30" s="2"/>
        <tr r="D30" s="2"/>
      </tp>
      <tp t="s">
        <v>N/A</v>
        <stp/>
        <stp>VOLUME</stp>
        <stp>.SPYC557</stp>
        <tr r="C30" s="2"/>
        <tr r="E30" s="2"/>
        <tr r="B30" s="2"/>
        <tr r="F30" s="2"/>
        <tr r="G30" s="2"/>
        <tr r="D30" s="2"/>
      </tp>
      <tp t="s">
        <v>N/A</v>
        <stp/>
        <stp>VOLUME</stp>
        <stp>.SPYP550</stp>
        <tr r="C37" s="2"/>
        <tr r="B37" s="2"/>
        <tr r="G37" s="2"/>
        <tr r="D37" s="2"/>
        <tr r="F37" s="2"/>
        <tr r="E37" s="2"/>
      </tp>
      <tp t="s">
        <v>N/A</v>
        <stp/>
        <stp>VOLUME</stp>
        <stp>.SPYC550</stp>
        <tr r="C37" s="2"/>
        <tr r="B37" s="2"/>
        <tr r="G37" s="2"/>
        <tr r="D37" s="2"/>
        <tr r="F37" s="2"/>
        <tr r="E37" s="2"/>
      </tp>
      <tp t="s">
        <v>N/A</v>
        <stp/>
        <stp>VOLUME</stp>
        <stp>.SPYP551</stp>
        <tr r="E36" s="2"/>
        <tr r="B36" s="2"/>
        <tr r="G36" s="2"/>
        <tr r="C36" s="2"/>
        <tr r="F36" s="2"/>
        <tr r="D36" s="2"/>
      </tp>
      <tp t="s">
        <v>N/A</v>
        <stp/>
        <stp>VOLUME</stp>
        <stp>.SPYC551</stp>
        <tr r="E36" s="2"/>
        <tr r="B36" s="2"/>
        <tr r="G36" s="2"/>
        <tr r="C36" s="2"/>
        <tr r="F36" s="2"/>
        <tr r="D36" s="2"/>
      </tp>
      <tp t="s">
        <v>N/A</v>
        <stp/>
        <stp>VOLUME</stp>
        <stp>.SPYP552</stp>
        <tr r="E35" s="2"/>
        <tr r="G35" s="2"/>
        <tr r="F35" s="2"/>
        <tr r="C35" s="2"/>
        <tr r="D35" s="2"/>
        <tr r="B35" s="2"/>
      </tp>
      <tp t="s">
        <v>N/A</v>
        <stp/>
        <stp>VOLUME</stp>
        <stp>.SPYC552</stp>
        <tr r="E35" s="2"/>
        <tr r="G35" s="2"/>
        <tr r="F35" s="2"/>
        <tr r="C35" s="2"/>
        <tr r="D35" s="2"/>
        <tr r="B35" s="2"/>
      </tp>
      <tp t="s">
        <v>N/A</v>
        <stp/>
        <stp>VOLUME</stp>
        <stp>.SPYP553</stp>
        <tr r="G34" s="2"/>
        <tr r="D34" s="2"/>
        <tr r="C34" s="2"/>
        <tr r="B34" s="2"/>
        <tr r="E34" s="2"/>
        <tr r="F34" s="2"/>
      </tp>
      <tp t="s">
        <v>N/A</v>
        <stp/>
        <stp>VOLUME</stp>
        <stp>.SPYC553</stp>
        <tr r="G34" s="2"/>
        <tr r="D34" s="2"/>
        <tr r="C34" s="2"/>
        <tr r="B34" s="2"/>
        <tr r="E34" s="2"/>
        <tr r="F34" s="2"/>
      </tp>
      <tp t="s">
        <v>N/A</v>
        <stp/>
        <stp>VOLUME</stp>
        <stp>.SPYP558</stp>
        <tr r="F29" s="2"/>
        <tr r="D29" s="2"/>
        <tr r="C29" s="2"/>
        <tr r="E29" s="2"/>
        <tr r="B29" s="2"/>
        <tr r="G29" s="2"/>
      </tp>
      <tp t="s">
        <v>N/A</v>
        <stp/>
        <stp>VOLUME</stp>
        <stp>.SPYC558</stp>
        <tr r="F29" s="2"/>
        <tr r="D29" s="2"/>
        <tr r="C29" s="2"/>
        <tr r="E29" s="2"/>
        <tr r="B29" s="2"/>
        <tr r="G29" s="2"/>
      </tp>
      <tp t="s">
        <v>N/A</v>
        <stp/>
        <stp>VOLUME</stp>
        <stp>.SPYP559</stp>
        <tr r="F28" s="2"/>
        <tr r="C28" s="2"/>
        <tr r="D28" s="2"/>
        <tr r="B28" s="2"/>
        <tr r="G28" s="2"/>
        <tr r="E28" s="2"/>
      </tp>
      <tp t="s">
        <v>N/A</v>
        <stp/>
        <stp>VOLUME</stp>
        <stp>.SPYC559</stp>
        <tr r="F28" s="2"/>
        <tr r="C28" s="2"/>
        <tr r="D28" s="2"/>
        <tr r="B28" s="2"/>
        <tr r="G28" s="2"/>
        <tr r="E28" s="2"/>
      </tp>
      <tp t="s">
        <v>N/A</v>
        <stp/>
        <stp>VOLUME</stp>
        <stp>.NDXP251128P20250</stp>
        <tr r="V146" s="2"/>
      </tp>
      <tp t="s">
        <v>N/A</v>
        <stp/>
        <stp>VOLUME</stp>
        <stp>.NDXP251128P19250</stp>
        <tr r="V186" s="2"/>
      </tp>
      <tp t="s">
        <v>N/A</v>
        <stp/>
        <stp>VOLUME</stp>
        <stp>.SPXW250829C5590</stp>
        <tr r="P114" s="2"/>
      </tp>
      <tp t="s">
        <v>N/A</v>
        <stp/>
        <stp>VOLUME</stp>
        <stp>.SPXW250507C5770</stp>
        <tr r="BA95" s="1"/>
      </tp>
      <tp>
        <v>6</v>
        <stp/>
        <stp>VOLUME</stp>
        <stp>.SPXW250509C5790</stp>
        <tr r="BC93" s="1"/>
        <tr r="BC93" s="1"/>
      </tp>
      <tp>
        <v>1</v>
        <stp/>
        <stp>VOLUME</stp>
        <stp>.SPXW250516C5660</stp>
        <tr r="BE106" s="1"/>
        <tr r="BE106" s="1"/>
      </tp>
      <tp t="s">
        <v>N/A</v>
        <stp/>
        <stp>VOLUME</stp>
        <stp>.SPXW250606C5760</stp>
        <tr r="J97" s="2"/>
      </tp>
      <tp t="s">
        <v>N/A</v>
        <stp/>
        <stp>VOLUME</stp>
        <stp>.SPXW251128C5580</stp>
        <tr r="V115" s="2"/>
      </tp>
      <tp t="s">
        <v>N/A</v>
        <stp/>
        <stp>VOLUME</stp>
        <stp>.SPXW251128P5580</stp>
        <tr r="V115" s="2"/>
      </tp>
      <tp t="s">
        <v>N/A</v>
        <stp/>
        <stp>VOLUME</stp>
        <stp>.SPXW250829P5590</stp>
        <tr r="P114" s="2"/>
      </tp>
      <tp t="s">
        <v>N/A</v>
        <stp/>
        <stp>VOLUME</stp>
        <stp>.SPXW250507P5770</stp>
        <tr r="BB95" s="1"/>
      </tp>
      <tp t="s">
        <v>N/A</v>
        <stp/>
        <stp>VOLUME</stp>
        <stp>.SPXW250509P5790</stp>
        <tr r="BD93" s="1"/>
      </tp>
      <tp t="s">
        <v>N/A</v>
        <stp/>
        <stp>VOLUME</stp>
        <stp>.SPXW250516P5660</stp>
        <tr r="BF106" s="1"/>
      </tp>
      <tp t="s">
        <v>N/A</v>
        <stp/>
        <stp>VOLUME</stp>
        <stp>.SPXW250606P5760</stp>
        <tr r="J97" s="2"/>
      </tp>
      <tp t="s">
        <v>N/A</v>
        <stp/>
        <stp>VOLUME</stp>
        <stp>.SPYP548</stp>
        <tr r="G39" s="2"/>
        <tr r="D39" s="2"/>
        <tr r="C39" s="2"/>
        <tr r="F39" s="2"/>
        <tr r="B39" s="2"/>
        <tr r="E39" s="2"/>
      </tp>
      <tp t="s">
        <v>N/A</v>
        <stp/>
        <stp>VOLUME</stp>
        <stp>.SPYC548</stp>
        <tr r="G39" s="2"/>
        <tr r="D39" s="2"/>
        <tr r="C39" s="2"/>
        <tr r="F39" s="2"/>
        <tr r="B39" s="2"/>
        <tr r="E39" s="2"/>
      </tp>
      <tp t="s">
        <v>N/A</v>
        <stp/>
        <stp>VOLUME</stp>
        <stp>.SPYP549</stp>
        <tr r="D38" s="2"/>
        <tr r="B38" s="2"/>
        <tr r="C38" s="2"/>
        <tr r="F38" s="2"/>
        <tr r="G38" s="2"/>
        <tr r="E38" s="2"/>
      </tp>
      <tp t="s">
        <v>N/A</v>
        <stp/>
        <stp>VOLUME</stp>
        <stp>.SPYC549</stp>
        <tr r="D38" s="2"/>
        <tr r="B38" s="2"/>
        <tr r="C38" s="2"/>
        <tr r="F38" s="2"/>
        <tr r="G38" s="2"/>
        <tr r="E38" s="2"/>
      </tp>
      <tp t="s">
        <v>N/A</v>
        <stp/>
        <stp>VOLUME</stp>
        <stp>.NDXP250829P20350</stp>
        <tr r="P142" s="2"/>
      </tp>
      <tp t="s">
        <v>N/A</v>
        <stp/>
        <stp>VOLUME</stp>
        <stp>.NDXP250829P19350</stp>
        <tr r="P182" s="2"/>
      </tp>
      <tp t="s">
        <v>N/A</v>
        <stp/>
        <stp>VOLUME</stp>
        <stp>.NDXP250509P20350</stp>
        <tr r="BD141" s="1"/>
      </tp>
      <tp t="s">
        <v>N/A</v>
        <stp/>
        <stp>VOLUME</stp>
        <stp>.NDXP250509P19350</stp>
        <tr r="BD181" s="1"/>
      </tp>
      <tp t="s">
        <v>N/A</v>
        <stp/>
        <stp>VOLUME</stp>
        <stp>.SPXW250829C5580</stp>
        <tr r="P115" s="2"/>
      </tp>
      <tp t="s">
        <v>N/A</v>
        <stp/>
        <stp>VOLUME</stp>
        <stp>.SPXW250507C5760</stp>
        <tr r="BA96" s="1"/>
      </tp>
      <tp>
        <v>2</v>
        <stp/>
        <stp>VOLUME</stp>
        <stp>.SPXW250509C5780</stp>
        <tr r="BC94" s="1"/>
        <tr r="BC94" s="1"/>
      </tp>
      <tp t="s">
        <v>N/A</v>
        <stp/>
        <stp>VOLUME</stp>
        <stp>.SPXW250516C5670</stp>
        <tr r="BE105" s="1"/>
      </tp>
      <tp t="s">
        <v>N/A</v>
        <stp/>
        <stp>VOLUME</stp>
        <stp>.SPXW250606C5770</stp>
        <tr r="J96" s="2"/>
      </tp>
      <tp t="s">
        <v>N/A</v>
        <stp/>
        <stp>VOLUME</stp>
        <stp>.SPXW251128C5590</stp>
        <tr r="V114" s="2"/>
      </tp>
      <tp t="s">
        <v>N/A</v>
        <stp/>
        <stp>VOLUME</stp>
        <stp>.SPXW251128P5590</stp>
        <tr r="V114" s="2"/>
      </tp>
      <tp t="s">
        <v>N/A</v>
        <stp/>
        <stp>VOLUME</stp>
        <stp>.SPXW250829P5580</stp>
        <tr r="P115" s="2"/>
      </tp>
      <tp t="s">
        <v>N/A</v>
        <stp/>
        <stp>VOLUME</stp>
        <stp>.SPXW250507P5760</stp>
        <tr r="BB96" s="1"/>
      </tp>
      <tp t="s">
        <v>N/A</v>
        <stp/>
        <stp>VOLUME</stp>
        <stp>.SPXW250509P5780</stp>
        <tr r="BD94" s="1"/>
      </tp>
      <tp t="s">
        <v>N/A</v>
        <stp/>
        <stp>VOLUME</stp>
        <stp>.SPXW250516P5670</stp>
        <tr r="BF105" s="1"/>
      </tp>
      <tp t="s">
        <v>N/A</v>
        <stp/>
        <stp>VOLUME</stp>
        <stp>.SPXW250606P5770</stp>
        <tr r="J96" s="2"/>
      </tp>
      <tp t="s">
        <v>N/A</v>
        <stp/>
        <stp>VOLUME</stp>
        <stp>.SPYP574</stp>
        <tr r="D13" s="2"/>
        <tr r="G13" s="2"/>
        <tr r="E13" s="2"/>
        <tr r="B13" s="2"/>
        <tr r="C13" s="2"/>
        <tr r="F13" s="2"/>
      </tp>
      <tp t="s">
        <v>N/A</v>
        <stp/>
        <stp>VOLUME</stp>
        <stp>.SPYC574</stp>
        <tr r="D13" s="2"/>
        <tr r="G13" s="2"/>
        <tr r="E13" s="2"/>
        <tr r="B13" s="2"/>
        <tr r="C13" s="2"/>
        <tr r="F13" s="2"/>
      </tp>
      <tp t="s">
        <v>N/A</v>
        <stp/>
        <stp>VOLUME</stp>
        <stp>.SPYP575</stp>
        <tr r="F12" s="2"/>
        <tr r="C12" s="2"/>
        <tr r="B12" s="2"/>
        <tr r="G12" s="2"/>
        <tr r="D12" s="2"/>
        <tr r="E12" s="2"/>
      </tp>
      <tp t="s">
        <v>N/A</v>
        <stp/>
        <stp>VOLUME</stp>
        <stp>.SPYC575</stp>
        <tr r="F12" s="2"/>
        <tr r="C12" s="2"/>
        <tr r="B12" s="2"/>
        <tr r="G12" s="2"/>
        <tr r="D12" s="2"/>
        <tr r="E12" s="2"/>
      </tp>
      <tp t="s">
        <v>N/A</v>
        <stp/>
        <stp>VOLUME</stp>
        <stp>.SPYP576</stp>
        <tr r="C11" s="2"/>
        <tr r="D11" s="2"/>
        <tr r="E11" s="2"/>
        <tr r="F11" s="2"/>
        <tr r="G11" s="2"/>
        <tr r="B11" s="2"/>
      </tp>
      <tp t="s">
        <v>N/A</v>
        <stp/>
        <stp>VOLUME</stp>
        <stp>.SPYC576</stp>
        <tr r="C11" s="2"/>
        <tr r="D11" s="2"/>
        <tr r="E11" s="2"/>
        <tr r="F11" s="2"/>
        <tr r="G11" s="2"/>
        <tr r="B11" s="2"/>
      </tp>
      <tp t="s">
        <v>N/A</v>
        <stp/>
        <stp>VOLUME</stp>
        <stp>.SPYP577</stp>
        <tr r="F10" s="2"/>
        <tr r="G10" s="2"/>
        <tr r="C10" s="2"/>
        <tr r="B10" s="2"/>
        <tr r="E10" s="2"/>
        <tr r="D10" s="2"/>
      </tp>
      <tp t="s">
        <v>N/A</v>
        <stp/>
        <stp>VOLUME</stp>
        <stp>.SPYC577</stp>
        <tr r="F10" s="2"/>
        <tr r="G10" s="2"/>
        <tr r="C10" s="2"/>
        <tr r="B10" s="2"/>
        <tr r="E10" s="2"/>
        <tr r="D10" s="2"/>
      </tp>
      <tp t="s">
        <v>N/A</v>
        <stp/>
        <stp>VOLUME</stp>
        <stp>.SPYP570</stp>
        <tr r="D17" s="2"/>
        <tr r="F17" s="2"/>
        <tr r="B17" s="2"/>
        <tr r="E17" s="2"/>
        <tr r="G17" s="2"/>
        <tr r="C17" s="2"/>
      </tp>
      <tp t="s">
        <v>N/A</v>
        <stp/>
        <stp>VOLUME</stp>
        <stp>.SPYC570</stp>
        <tr r="D17" s="2"/>
        <tr r="F17" s="2"/>
        <tr r="B17" s="2"/>
        <tr r="E17" s="2"/>
        <tr r="G17" s="2"/>
        <tr r="C17" s="2"/>
      </tp>
      <tp t="s">
        <v>N/A</v>
        <stp/>
        <stp>VOLUME</stp>
        <stp>.SPYP571</stp>
        <tr r="D16" s="2"/>
        <tr r="G16" s="2"/>
        <tr r="E16" s="2"/>
        <tr r="C16" s="2"/>
        <tr r="B16" s="2"/>
        <tr r="F16" s="2"/>
      </tp>
      <tp t="s">
        <v>N/A</v>
        <stp/>
        <stp>VOLUME</stp>
        <stp>.SPYC571</stp>
        <tr r="D16" s="2"/>
        <tr r="G16" s="2"/>
        <tr r="E16" s="2"/>
        <tr r="C16" s="2"/>
        <tr r="B16" s="2"/>
        <tr r="F16" s="2"/>
      </tp>
      <tp t="s">
        <v>N/A</v>
        <stp/>
        <stp>VOLUME</stp>
        <stp>.SPYP572</stp>
        <tr r="G15" s="2"/>
        <tr r="D15" s="2"/>
        <tr r="B15" s="2"/>
        <tr r="F15" s="2"/>
        <tr r="C15" s="2"/>
        <tr r="E15" s="2"/>
      </tp>
      <tp t="s">
        <v>N/A</v>
        <stp/>
        <stp>VOLUME</stp>
        <stp>.SPYC572</stp>
        <tr r="G15" s="2"/>
        <tr r="D15" s="2"/>
        <tr r="B15" s="2"/>
        <tr r="F15" s="2"/>
        <tr r="C15" s="2"/>
        <tr r="E15" s="2"/>
      </tp>
      <tp t="s">
        <v>N/A</v>
        <stp/>
        <stp>VOLUME</stp>
        <stp>.SPYP573</stp>
        <tr r="D14" s="2"/>
        <tr r="G14" s="2"/>
        <tr r="E14" s="2"/>
        <tr r="C14" s="2"/>
        <tr r="B14" s="2"/>
        <tr r="F14" s="2"/>
      </tp>
      <tp t="s">
        <v>N/A</v>
        <stp/>
        <stp>VOLUME</stp>
        <stp>.SPYC573</stp>
        <tr r="D14" s="2"/>
        <tr r="G14" s="2"/>
        <tr r="E14" s="2"/>
        <tr r="C14" s="2"/>
        <tr r="B14" s="2"/>
        <tr r="F14" s="2"/>
      </tp>
      <tp t="s">
        <v>N/A</v>
        <stp/>
        <stp>VOLUME</stp>
        <stp>.SPYP578</stp>
        <tr r="B9" s="2"/>
        <tr r="E9" s="2"/>
        <tr r="G9" s="2"/>
        <tr r="C9" s="2"/>
        <tr r="D9" s="2"/>
        <tr r="F9" s="2"/>
      </tp>
      <tp t="s">
        <v>N/A</v>
        <stp/>
        <stp>VOLUME</stp>
        <stp>.SPYC578</stp>
        <tr r="B9" s="2"/>
        <tr r="E9" s="2"/>
        <tr r="G9" s="2"/>
        <tr r="C9" s="2"/>
        <tr r="D9" s="2"/>
        <tr r="F9" s="2"/>
      </tp>
      <tp t="s">
        <v>N/A</v>
        <stp/>
        <stp>VOLUME</stp>
        <stp>.SPYP579</stp>
        <tr r="G8" s="2"/>
        <tr r="C8" s="2"/>
        <tr r="E8" s="2"/>
        <tr r="F8" s="2"/>
        <tr r="D8" s="2"/>
        <tr r="B8" s="2"/>
      </tp>
      <tp t="s">
        <v>N/A</v>
        <stp/>
        <stp>VOLUME</stp>
        <stp>.SPYC579</stp>
        <tr r="G8" s="2"/>
        <tr r="C8" s="2"/>
        <tr r="E8" s="2"/>
        <tr r="F8" s="2"/>
        <tr r="D8" s="2"/>
        <tr r="B8" s="2"/>
      </tp>
      <tp t="s">
        <v>N/A</v>
        <stp/>
        <stp>VOLUME</stp>
        <stp>.NDXP251128P20275</stp>
        <tr r="V145" s="2"/>
      </tp>
      <tp t="s">
        <v>N/A</v>
        <stp/>
        <stp>VOLUME</stp>
        <stp>.NDXP251128P19275</stp>
        <tr r="V185" s="2"/>
      </tp>
      <tp t="s">
        <v>N/A</v>
        <stp/>
        <stp>VOLUME</stp>
        <stp>.SPXW250930C5420</stp>
        <tr r="R131" s="2"/>
      </tp>
      <tp t="s">
        <v>N/A</v>
        <stp/>
        <stp>VOLUME</stp>
        <stp>.SPXW250507C5750</stp>
        <tr r="BA97" s="1"/>
      </tp>
      <tp t="s">
        <v>N/A</v>
        <stp/>
        <stp>VOLUME</stp>
        <stp>.SPXW250516C5640</stp>
        <tr r="BE108" s="1"/>
      </tp>
      <tp t="s">
        <v>N/A</v>
        <stp/>
        <stp>VOLUME</stp>
        <stp>.SPXW250530C5420</stp>
        <tr r="I131" s="2"/>
      </tp>
      <tp t="s">
        <v>N/A</v>
        <stp/>
        <stp>VOLUME</stp>
        <stp>.SPXW250731C5430</stp>
        <tr r="N130" s="2"/>
      </tp>
      <tp t="s">
        <v>N/A</v>
        <stp/>
        <stp>VOLUME</stp>
        <stp>.SPXW250606C5740</stp>
        <tr r="J99" s="2"/>
      </tp>
      <tp t="s">
        <v>N/A</v>
        <stp/>
        <stp>VOLUME</stp>
        <stp>.SPXW250630C5420</stp>
        <tr r="L131" s="2"/>
      </tp>
      <tp t="s">
        <v>N/A</v>
        <stp/>
        <stp>VOLUME</stp>
        <stp>.SPXW251031C5430</stp>
        <tr r="T130" s="2"/>
      </tp>
      <tp t="s">
        <v>N/A</v>
        <stp/>
        <stp>VOLUME</stp>
        <stp>.SPXW251231C5430</stp>
        <tr r="X130" s="2"/>
      </tp>
      <tp t="s">
        <v>N/A</v>
        <stp/>
        <stp>VOLUME</stp>
        <stp>.SPXW251031P5430</stp>
        <tr r="T130" s="2"/>
      </tp>
      <tp t="s">
        <v>N/A</v>
        <stp/>
        <stp>VOLUME</stp>
        <stp>.SPXW251231P5430</stp>
        <tr r="X130" s="2"/>
      </tp>
      <tp t="s">
        <v>N/A</v>
        <stp/>
        <stp>VOLUME</stp>
        <stp>.SPXW250930P5420</stp>
        <tr r="R131" s="2"/>
      </tp>
      <tp t="s">
        <v>N/A</v>
        <stp/>
        <stp>VOLUME</stp>
        <stp>.SPXW250507P5750</stp>
        <tr r="BB97" s="1"/>
      </tp>
      <tp t="s">
        <v>N/A</v>
        <stp/>
        <stp>VOLUME</stp>
        <stp>.SPXW250516P5640</stp>
        <tr r="BF108" s="1"/>
      </tp>
      <tp t="s">
        <v>N/A</v>
        <stp/>
        <stp>VOLUME</stp>
        <stp>.SPXW250530P5420</stp>
        <tr r="I131" s="2"/>
      </tp>
      <tp t="s">
        <v>N/A</v>
        <stp/>
        <stp>VOLUME</stp>
        <stp>.SPXW250731P5430</stp>
        <tr r="N130" s="2"/>
      </tp>
      <tp t="s">
        <v>N/A</v>
        <stp/>
        <stp>VOLUME</stp>
        <stp>.SPXW250606P5740</stp>
        <tr r="J99" s="2"/>
      </tp>
      <tp t="s">
        <v>N/A</v>
        <stp/>
        <stp>VOLUME</stp>
        <stp>.SPXW250630P5420</stp>
        <tr r="L131" s="2"/>
      </tp>
      <tp t="s">
        <v>N/A</v>
        <stp/>
        <stp>VOLUME</stp>
        <stp>.SPYP564</stp>
        <tr r="B23" s="2"/>
        <tr r="F23" s="2"/>
        <tr r="C23" s="2"/>
        <tr r="E23" s="2"/>
        <tr r="G23" s="2"/>
        <tr r="D23" s="2"/>
      </tp>
      <tp t="s">
        <v>N/A</v>
        <stp/>
        <stp>VOLUME</stp>
        <stp>.SPYC564</stp>
        <tr r="B23" s="2"/>
        <tr r="F23" s="2"/>
        <tr r="C23" s="2"/>
        <tr r="E23" s="2"/>
        <tr r="G23" s="2"/>
        <tr r="D23" s="2"/>
      </tp>
      <tp t="s">
        <v>N/A</v>
        <stp/>
        <stp>VOLUME</stp>
        <stp>.SPYP565</stp>
        <tr r="C22" s="2"/>
        <tr r="B22" s="2"/>
        <tr r="D22" s="2"/>
        <tr r="E22" s="2"/>
        <tr r="G22" s="2"/>
        <tr r="F22" s="2"/>
      </tp>
      <tp t="s">
        <v>N/A</v>
        <stp/>
        <stp>VOLUME</stp>
        <stp>.SPYC565</stp>
        <tr r="C22" s="2"/>
        <tr r="B22" s="2"/>
        <tr r="D22" s="2"/>
        <tr r="E22" s="2"/>
        <tr r="G22" s="2"/>
        <tr r="F22" s="2"/>
      </tp>
      <tp t="s">
        <v>N/A</v>
        <stp/>
        <stp>VOLUME</stp>
        <stp>.SPYP566</stp>
        <tr r="G21" s="2"/>
        <tr r="D21" s="2"/>
        <tr r="B21" s="2"/>
        <tr r="E21" s="2"/>
        <tr r="F21" s="2"/>
        <tr r="C21" s="2"/>
      </tp>
      <tp t="s">
        <v>N/A</v>
        <stp/>
        <stp>VOLUME</stp>
        <stp>.SPYC566</stp>
        <tr r="G21" s="2"/>
        <tr r="D21" s="2"/>
        <tr r="B21" s="2"/>
        <tr r="E21" s="2"/>
        <tr r="F21" s="2"/>
        <tr r="C21" s="2"/>
      </tp>
      <tp t="s">
        <v>N/A</v>
        <stp/>
        <stp>VOLUME</stp>
        <stp>.SPYP567</stp>
        <tr r="G20" s="2"/>
        <tr r="C20" s="2"/>
        <tr r="B20" s="2"/>
        <tr r="D20" s="2"/>
        <tr r="E20" s="2"/>
        <tr r="F20" s="2"/>
      </tp>
      <tp t="s">
        <v>N/A</v>
        <stp/>
        <stp>VOLUME</stp>
        <stp>.SPYC567</stp>
        <tr r="G20" s="2"/>
        <tr r="C20" s="2"/>
        <tr r="B20" s="2"/>
        <tr r="D20" s="2"/>
        <tr r="E20" s="2"/>
        <tr r="F20" s="2"/>
      </tp>
      <tp t="s">
        <v>N/A</v>
        <stp/>
        <stp>VOLUME</stp>
        <stp>.SPYP560</stp>
        <tr r="E27" s="2"/>
        <tr r="F27" s="2"/>
        <tr r="C27" s="2"/>
        <tr r="G27" s="2"/>
        <tr r="D27" s="2"/>
        <tr r="B27" s="2"/>
      </tp>
      <tp t="s">
        <v>N/A</v>
        <stp/>
        <stp>VOLUME</stp>
        <stp>.SPYC560</stp>
        <tr r="E27" s="2"/>
        <tr r="F27" s="2"/>
        <tr r="C27" s="2"/>
        <tr r="G27" s="2"/>
        <tr r="D27" s="2"/>
        <tr r="B27" s="2"/>
      </tp>
      <tp t="s">
        <v>N/A</v>
        <stp/>
        <stp>VOLUME</stp>
        <stp>.SPYP561</stp>
        <tr r="E26" s="2"/>
        <tr r="C26" s="2"/>
        <tr r="G26" s="2"/>
        <tr r="F26" s="2"/>
        <tr r="D26" s="2"/>
        <tr r="B26" s="2"/>
      </tp>
      <tp t="s">
        <v>N/A</v>
        <stp/>
        <stp>VOLUME</stp>
        <stp>.SPYC561</stp>
        <tr r="E26" s="2"/>
        <tr r="C26" s="2"/>
        <tr r="G26" s="2"/>
        <tr r="F26" s="2"/>
        <tr r="D26" s="2"/>
        <tr r="B26" s="2"/>
      </tp>
      <tp t="s">
        <v>N/A</v>
        <stp/>
        <stp>VOLUME</stp>
        <stp>.SPYP562</stp>
        <tr r="F25" s="2"/>
        <tr r="G25" s="2"/>
        <tr r="C25" s="2"/>
        <tr r="D25" s="2"/>
        <tr r="B25" s="2"/>
        <tr r="E25" s="2"/>
      </tp>
      <tp t="s">
        <v>N/A</v>
        <stp/>
        <stp>VOLUME</stp>
        <stp>.SPYC562</stp>
        <tr r="F25" s="2"/>
        <tr r="G25" s="2"/>
        <tr r="C25" s="2"/>
        <tr r="D25" s="2"/>
        <tr r="B25" s="2"/>
        <tr r="E25" s="2"/>
      </tp>
      <tp t="s">
        <v>N/A</v>
        <stp/>
        <stp>VOLUME</stp>
        <stp>.SPYP563</stp>
        <tr r="B24" s="2"/>
        <tr r="E24" s="2"/>
        <tr r="F24" s="2"/>
        <tr r="D24" s="2"/>
        <tr r="G24" s="2"/>
        <tr r="C24" s="2"/>
      </tp>
      <tp t="s">
        <v>N/A</v>
        <stp/>
        <stp>VOLUME</stp>
        <stp>.SPYC563</stp>
        <tr r="B24" s="2"/>
        <tr r="E24" s="2"/>
        <tr r="F24" s="2"/>
        <tr r="D24" s="2"/>
        <tr r="G24" s="2"/>
        <tr r="C24" s="2"/>
      </tp>
      <tp t="s">
        <v>N/A</v>
        <stp/>
        <stp>VOLUME</stp>
        <stp>.SPYP568</stp>
        <tr r="C19" s="2"/>
        <tr r="E19" s="2"/>
        <tr r="F19" s="2"/>
        <tr r="B19" s="2"/>
        <tr r="G19" s="2"/>
        <tr r="D19" s="2"/>
      </tp>
      <tp t="s">
        <v>N/A</v>
        <stp/>
        <stp>VOLUME</stp>
        <stp>.SPYC568</stp>
        <tr r="C19" s="2"/>
        <tr r="E19" s="2"/>
        <tr r="F19" s="2"/>
        <tr r="B19" s="2"/>
        <tr r="G19" s="2"/>
        <tr r="D19" s="2"/>
      </tp>
      <tp t="s">
        <v>N/A</v>
        <stp/>
        <stp>VOLUME</stp>
        <stp>.SPYP569</stp>
        <tr r="F18" s="2"/>
        <tr r="C18" s="2"/>
        <tr r="D18" s="2"/>
        <tr r="B18" s="2"/>
        <tr r="E18" s="2"/>
        <tr r="G18" s="2"/>
      </tp>
      <tp t="s">
        <v>N/A</v>
        <stp/>
        <stp>VOLUME</stp>
        <stp>.SPYC569</stp>
        <tr r="F18" s="2"/>
        <tr r="C18" s="2"/>
        <tr r="D18" s="2"/>
        <tr r="B18" s="2"/>
        <tr r="E18" s="2"/>
        <tr r="G18" s="2"/>
      </tp>
      <tp t="s">
        <v>N/A</v>
        <stp/>
        <stp>VOLUME</stp>
        <stp>.NDXP250829P20375</stp>
        <tr r="P141" s="2"/>
      </tp>
      <tp t="s">
        <v>N/A</v>
        <stp/>
        <stp>VOLUME</stp>
        <stp>.NDXP250829P19375</stp>
        <tr r="P181" s="2"/>
      </tp>
      <tp t="s">
        <v>N/A</v>
        <stp/>
        <stp>VOLUME</stp>
        <stp>.NDXP250509P20375</stp>
        <tr r="BD140" s="1"/>
      </tp>
      <tp t="s">
        <v>N/A</v>
        <stp/>
        <stp>VOLUME</stp>
        <stp>.NDXP250509P19375</stp>
        <tr r="BD180" s="1"/>
      </tp>
      <tp t="s">
        <v>N/A</v>
        <stp/>
        <stp>VOLUME</stp>
        <stp>.SPXW250930C5430</stp>
        <tr r="R130" s="2"/>
      </tp>
      <tp t="s">
        <v>N/A</v>
        <stp/>
        <stp>VOLUME</stp>
        <stp>.SPXW250507C5740</stp>
        <tr r="BA98" s="1"/>
      </tp>
      <tp>
        <v>4</v>
        <stp/>
        <stp>VOLUME</stp>
        <stp>.SPXW250516C5650</stp>
        <tr r="BE107" s="1"/>
        <tr r="BE107" s="1"/>
      </tp>
      <tp t="s">
        <v>N/A</v>
        <stp/>
        <stp>VOLUME</stp>
        <stp>.SPXW250530C5430</stp>
        <tr r="I130" s="2"/>
      </tp>
      <tp t="s">
        <v>N/A</v>
        <stp/>
        <stp>VOLUME</stp>
        <stp>.SPXW250731C5420</stp>
        <tr r="N131" s="2"/>
      </tp>
      <tp t="s">
        <v>N/A</v>
        <stp/>
        <stp>VOLUME</stp>
        <stp>.SPXW250606C5750</stp>
        <tr r="J98" s="2"/>
      </tp>
      <tp t="s">
        <v>N/A</v>
        <stp/>
        <stp>VOLUME</stp>
        <stp>.SPXW250630C5430</stp>
        <tr r="L130" s="2"/>
      </tp>
      <tp t="s">
        <v>N/A</v>
        <stp/>
        <stp>VOLUME</stp>
        <stp>.SPXW251031C5420</stp>
        <tr r="T131" s="2"/>
      </tp>
      <tp t="s">
        <v>N/A</v>
        <stp/>
        <stp>VOLUME</stp>
        <stp>.SPXW251231C5420</stp>
        <tr r="X131" s="2"/>
      </tp>
      <tp t="s">
        <v>N/A</v>
        <stp/>
        <stp>VOLUME</stp>
        <stp>.SPXW251031P5420</stp>
        <tr r="T131" s="2"/>
      </tp>
      <tp t="s">
        <v>N/A</v>
        <stp/>
        <stp>VOLUME</stp>
        <stp>.SPXW251231P5420</stp>
        <tr r="X131" s="2"/>
      </tp>
      <tp t="s">
        <v>N/A</v>
        <stp/>
        <stp>VOLUME</stp>
        <stp>.SPXW250930P5430</stp>
        <tr r="R130" s="2"/>
      </tp>
      <tp t="s">
        <v>N/A</v>
        <stp/>
        <stp>VOLUME</stp>
        <stp>.SPXW250507P5740</stp>
        <tr r="BB98" s="1"/>
      </tp>
      <tp>
        <v>1</v>
        <stp/>
        <stp>VOLUME</stp>
        <stp>.SPXW250516P5650</stp>
        <tr r="BF107" s="1"/>
        <tr r="BF107" s="1"/>
      </tp>
      <tp t="s">
        <v>N/A</v>
        <stp/>
        <stp>VOLUME</stp>
        <stp>.SPXW250530P5430</stp>
        <tr r="I130" s="2"/>
      </tp>
      <tp t="s">
        <v>N/A</v>
        <stp/>
        <stp>VOLUME</stp>
        <stp>.SPXW250731P5420</stp>
        <tr r="N131" s="2"/>
      </tp>
      <tp t="s">
        <v>N/A</v>
        <stp/>
        <stp>VOLUME</stp>
        <stp>.SPXW250606P5750</stp>
        <tr r="J98" s="2"/>
      </tp>
      <tp t="s">
        <v>N/A</v>
        <stp/>
        <stp>VOLUME</stp>
        <stp>.SPXW250630P5430</stp>
        <tr r="L130" s="2"/>
      </tp>
      <tp t="s">
        <v>N/A</v>
        <stp/>
        <stp>VOLUME</stp>
        <stp>.NDXP250829P20300</stp>
        <tr r="P144" s="2"/>
      </tp>
      <tp t="s">
        <v>N/A</v>
        <stp/>
        <stp>VOLUME</stp>
        <stp>.NDXP250829P19300</stp>
        <tr r="P184" s="2"/>
      </tp>
      <tp t="s">
        <v>N/A</v>
        <stp/>
        <stp>VOLUME</stp>
        <stp>.NDXP250509P20300</stp>
        <tr r="BD143" s="1"/>
      </tp>
      <tp>
        <v>4</v>
        <stp/>
        <stp>VOLUME</stp>
        <stp>.NDXP250509P19300</stp>
        <tr r="BD183" s="1"/>
        <tr r="BD183" s="1"/>
      </tp>
      <tp t="s">
        <v>N/A</v>
        <stp/>
        <stp>VOLUME</stp>
        <stp>.SPXW250930C5440</stp>
        <tr r="R129" s="2"/>
      </tp>
      <tp t="s">
        <v>N/A</v>
        <stp/>
        <stp>VOLUME</stp>
        <stp>.SPXW250507C5730</stp>
        <tr r="BA99" s="1"/>
      </tp>
      <tp t="s">
        <v>N/A</v>
        <stp/>
        <stp>VOLUME</stp>
        <stp>.SPXW250516C5620</stp>
        <tr r="BE110" s="1"/>
      </tp>
      <tp t="s">
        <v>N/A</v>
        <stp/>
        <stp>VOLUME</stp>
        <stp>.SPXW250530C5440</stp>
        <tr r="I129" s="2"/>
      </tp>
      <tp t="s">
        <v>N/A</v>
        <stp/>
        <stp>VOLUME</stp>
        <stp>.SPXW250731C5450</stp>
        <tr r="N128" s="2"/>
      </tp>
      <tp t="s">
        <v>N/A</v>
        <stp/>
        <stp>VOLUME</stp>
        <stp>.SPXW250606C5720</stp>
        <tr r="J101" s="2"/>
      </tp>
      <tp t="s">
        <v>N/A</v>
        <stp/>
        <stp>VOLUME</stp>
        <stp>.SPXW250630C5440</stp>
        <tr r="L129" s="2"/>
      </tp>
      <tp t="s">
        <v>N/A</v>
        <stp/>
        <stp>VOLUME</stp>
        <stp>.SPXW251031C5450</stp>
        <tr r="T128" s="2"/>
      </tp>
      <tp t="s">
        <v>N/A</v>
        <stp/>
        <stp>VOLUME</stp>
        <stp>.SPXW251231C5450</stp>
        <tr r="X128" s="2"/>
      </tp>
      <tp t="s">
        <v>N/A</v>
        <stp/>
        <stp>VOLUME</stp>
        <stp>.SPXW251031P5450</stp>
        <tr r="T128" s="2"/>
      </tp>
      <tp t="s">
        <v>N/A</v>
        <stp/>
        <stp>VOLUME</stp>
        <stp>.SPXW251231P5450</stp>
        <tr r="X128" s="2"/>
      </tp>
      <tp t="s">
        <v>N/A</v>
        <stp/>
        <stp>VOLUME</stp>
        <stp>.SPXW250930P5440</stp>
        <tr r="R129" s="2"/>
      </tp>
      <tp t="s">
        <v>N/A</v>
        <stp/>
        <stp>VOLUME</stp>
        <stp>.SPXW250507P5730</stp>
        <tr r="BB99" s="1"/>
      </tp>
      <tp t="s">
        <v>N/A</v>
        <stp/>
        <stp>VOLUME</stp>
        <stp>.SPXW250516P5620</stp>
        <tr r="BF110" s="1"/>
      </tp>
      <tp t="s">
        <v>N/A</v>
        <stp/>
        <stp>VOLUME</stp>
        <stp>.SPXW250530P5440</stp>
        <tr r="I129" s="2"/>
      </tp>
      <tp t="s">
        <v>N/A</v>
        <stp/>
        <stp>VOLUME</stp>
        <stp>.SPXW250731P5450</stp>
        <tr r="N128" s="2"/>
      </tp>
      <tp t="s">
        <v>N/A</v>
        <stp/>
        <stp>VOLUME</stp>
        <stp>.SPXW250606P5720</stp>
        <tr r="J101" s="2"/>
      </tp>
      <tp t="s">
        <v>N/A</v>
        <stp/>
        <stp>VOLUME</stp>
        <stp>.SPXW250630P5440</stp>
        <tr r="L129" s="2"/>
      </tp>
      <tp t="s">
        <v>N/A</v>
        <stp/>
        <stp>VOLUME</stp>
        <stp>.NDXP251128P20200</stp>
        <tr r="V148" s="2"/>
      </tp>
      <tp t="s">
        <v>N/A</v>
        <stp/>
        <stp>VOLUME</stp>
        <stp>.NDXP251128P19200</stp>
        <tr r="V188" s="2"/>
      </tp>
      <tp t="s">
        <v>N/A</v>
        <stp/>
        <stp>VOLUME</stp>
        <stp>.SPXW250930C5450</stp>
        <tr r="R128" s="2"/>
      </tp>
      <tp t="s">
        <v>N/A</v>
        <stp/>
        <stp>VOLUME</stp>
        <stp>.SPXW250507C5720</stp>
        <tr r="BA100" s="1"/>
      </tp>
      <tp t="s">
        <v>N/A</v>
        <stp/>
        <stp>VOLUME</stp>
        <stp>.SPXW250516C5630</stp>
        <tr r="BE109" s="1"/>
      </tp>
      <tp t="s">
        <v>N/A</v>
        <stp/>
        <stp>VOLUME</stp>
        <stp>.SPXW250530C5450</stp>
        <tr r="I128" s="2"/>
      </tp>
      <tp t="s">
        <v>N/A</v>
        <stp/>
        <stp>VOLUME</stp>
        <stp>.SPXW250731C5440</stp>
        <tr r="N129" s="2"/>
      </tp>
      <tp t="s">
        <v>N/A</v>
        <stp/>
        <stp>VOLUME</stp>
        <stp>.SPXW250606C5730</stp>
        <tr r="J100" s="2"/>
      </tp>
      <tp t="s">
        <v>N/A</v>
        <stp/>
        <stp>VOLUME</stp>
        <stp>.SPXW250630C5450</stp>
        <tr r="L128" s="2"/>
      </tp>
      <tp t="s">
        <v>N/A</v>
        <stp/>
        <stp>VOLUME</stp>
        <stp>.SPXW251031C5440</stp>
        <tr r="T129" s="2"/>
      </tp>
      <tp t="s">
        <v>N/A</v>
        <stp/>
        <stp>VOLUME</stp>
        <stp>.SPXW251231C5440</stp>
        <tr r="X129" s="2"/>
      </tp>
      <tp t="s">
        <v>N/A</v>
        <stp/>
        <stp>VOLUME</stp>
        <stp>.SPXW251031P5440</stp>
        <tr r="T129" s="2"/>
      </tp>
      <tp t="s">
        <v>N/A</v>
        <stp/>
        <stp>VOLUME</stp>
        <stp>.SPXW251231P5440</stp>
        <tr r="X129" s="2"/>
      </tp>
      <tp t="s">
        <v>N/A</v>
        <stp/>
        <stp>VOLUME</stp>
        <stp>.SPXW250930P5450</stp>
        <tr r="R128" s="2"/>
      </tp>
      <tp t="s">
        <v>N/A</v>
        <stp/>
        <stp>VOLUME</stp>
        <stp>.SPXW250507P5720</stp>
        <tr r="BB100" s="1"/>
      </tp>
      <tp>
        <v>1</v>
        <stp/>
        <stp>VOLUME</stp>
        <stp>.SPXW250516P5630</stp>
        <tr r="BF109" s="1"/>
        <tr r="BF109" s="1"/>
      </tp>
      <tp t="s">
        <v>N/A</v>
        <stp/>
        <stp>VOLUME</stp>
        <stp>.SPXW250530P5450</stp>
        <tr r="I128" s="2"/>
      </tp>
      <tp t="s">
        <v>N/A</v>
        <stp/>
        <stp>VOLUME</stp>
        <stp>.SPXW250731P5440</stp>
        <tr r="N129" s="2"/>
      </tp>
      <tp t="s">
        <v>N/A</v>
        <stp/>
        <stp>VOLUME</stp>
        <stp>.SPXW250606P5730</stp>
        <tr r="J100" s="2"/>
      </tp>
      <tp t="s">
        <v>N/A</v>
        <stp/>
        <stp>VOLUME</stp>
        <stp>.SPXW250630P5450</stp>
        <tr r="L128" s="2"/>
      </tp>
      <tp t="s">
        <v>N/A</v>
        <stp/>
        <stp>VOLUME</stp>
        <stp>.NDXP250829P20325</stp>
        <tr r="P143" s="2"/>
      </tp>
      <tp t="s">
        <v>N/A</v>
        <stp/>
        <stp>VOLUME</stp>
        <stp>.NDXP250829P19325</stp>
        <tr r="P183" s="2"/>
      </tp>
      <tp t="s">
        <v>N/A</v>
        <stp/>
        <stp>VOLUME</stp>
        <stp>.NDXP250509P20325</stp>
        <tr r="BD142" s="1"/>
      </tp>
      <tp>
        <v>2</v>
        <stp/>
        <stp>VOLUME</stp>
        <stp>.NDXP250509P19325</stp>
        <tr r="BD182" s="1"/>
        <tr r="BD182" s="1"/>
      </tp>
      <tp t="s">
        <v>N/A</v>
        <stp/>
        <stp>VOLUME</stp>
        <stp>.SPXW250930C5460</stp>
        <tr r="R127" s="2"/>
      </tp>
      <tp t="s">
        <v>N/A</v>
        <stp/>
        <stp>VOLUME</stp>
        <stp>.SPXW250507C5710</stp>
        <tr r="BA101" s="1"/>
      </tp>
      <tp t="s">
        <v>N/A</v>
        <stp/>
        <stp>VOLUME</stp>
        <stp>.SPXW250516C5600</stp>
        <tr r="BE112" s="1"/>
      </tp>
      <tp t="s">
        <v>N/A</v>
        <stp/>
        <stp>VOLUME</stp>
        <stp>.SPXW250530C5460</stp>
        <tr r="I127" s="2"/>
      </tp>
      <tp t="s">
        <v>N/A</v>
        <stp/>
        <stp>VOLUME</stp>
        <stp>.SPXW250731C5470</stp>
        <tr r="N126" s="2"/>
      </tp>
      <tp t="s">
        <v>N/A</v>
        <stp/>
        <stp>VOLUME</stp>
        <stp>.SPXW250606C5700</stp>
        <tr r="J103" s="2"/>
      </tp>
      <tp t="s">
        <v>N/A</v>
        <stp/>
        <stp>VOLUME</stp>
        <stp>.SPXW250630C5460</stp>
        <tr r="L127" s="2"/>
      </tp>
      <tp t="s">
        <v>N/A</v>
        <stp/>
        <stp>VOLUME</stp>
        <stp>.SPXW251031C5470</stp>
        <tr r="T126" s="2"/>
      </tp>
      <tp t="s">
        <v>N/A</v>
        <stp/>
        <stp>VOLUME</stp>
        <stp>.SPXW251231C5470</stp>
        <tr r="X126" s="2"/>
      </tp>
      <tp t="s">
        <v>N/A</v>
        <stp/>
        <stp>VOLUME</stp>
        <stp>.SPXW251031P5470</stp>
        <tr r="T126" s="2"/>
      </tp>
      <tp t="s">
        <v>N/A</v>
        <stp/>
        <stp>VOLUME</stp>
        <stp>.SPXW251231P5470</stp>
        <tr r="X126" s="2"/>
      </tp>
      <tp t="s">
        <v>N/A</v>
        <stp/>
        <stp>VOLUME</stp>
        <stp>.SPXW250930P5460</stp>
        <tr r="R127" s="2"/>
      </tp>
      <tp t="s">
        <v>N/A</v>
        <stp/>
        <stp>VOLUME</stp>
        <stp>.SPXW250507P5710</stp>
        <tr r="BB101" s="1"/>
      </tp>
      <tp>
        <v>4</v>
        <stp/>
        <stp>VOLUME</stp>
        <stp>.SPXW250516P5600</stp>
        <tr r="BF112" s="1"/>
        <tr r="BF112" s="1"/>
      </tp>
      <tp t="s">
        <v>N/A</v>
        <stp/>
        <stp>VOLUME</stp>
        <stp>.SPXW250530P5460</stp>
        <tr r="I127" s="2"/>
      </tp>
      <tp t="s">
        <v>N/A</v>
        <stp/>
        <stp>VOLUME</stp>
        <stp>.SPXW250731P5470</stp>
        <tr r="N126" s="2"/>
      </tp>
      <tp t="s">
        <v>N/A</v>
        <stp/>
        <stp>VOLUME</stp>
        <stp>.SPXW250606P5700</stp>
        <tr r="J103" s="2"/>
      </tp>
      <tp t="s">
        <v>N/A</v>
        <stp/>
        <stp>VOLUME</stp>
        <stp>.SPXW250630P5460</stp>
        <tr r="L127" s="2"/>
      </tp>
      <tp t="s">
        <v>N/A</v>
        <stp/>
        <stp>VOLUME</stp>
        <stp>.NDXP251128P20225</stp>
        <tr r="V147" s="2"/>
      </tp>
      <tp t="s">
        <v>N/A</v>
        <stp/>
        <stp>VOLUME</stp>
        <stp>.NDXP251128P19225</stp>
        <tr r="V187" s="2"/>
      </tp>
      <tp t="s">
        <v>N/A</v>
        <stp/>
        <stp>VOLUME</stp>
        <stp>.SPXW250930C5470</stp>
        <tr r="R126" s="2"/>
      </tp>
      <tp t="s">
        <v>N/A</v>
        <stp/>
        <stp>VOLUME</stp>
        <stp>.SPXW250507C5700</stp>
        <tr r="BA102" s="1"/>
      </tp>
      <tp t="s">
        <v>N/A</v>
        <stp/>
        <stp>VOLUME</stp>
        <stp>.SPXW250516C5610</stp>
        <tr r="BE111" s="1"/>
      </tp>
      <tp t="s">
        <v>N/A</v>
        <stp/>
        <stp>VOLUME</stp>
        <stp>.SPXW250530C5470</stp>
        <tr r="I126" s="2"/>
      </tp>
      <tp t="s">
        <v>N/A</v>
        <stp/>
        <stp>VOLUME</stp>
        <stp>.SPXW250731C5460</stp>
        <tr r="N127" s="2"/>
      </tp>
      <tp t="s">
        <v>N/A</v>
        <stp/>
        <stp>VOLUME</stp>
        <stp>.SPXW250606C5710</stp>
        <tr r="J102" s="2"/>
      </tp>
      <tp t="s">
        <v>N/A</v>
        <stp/>
        <stp>VOLUME</stp>
        <stp>.SPXW250630C5470</stp>
        <tr r="L126" s="2"/>
      </tp>
      <tp t="s">
        <v>N/A</v>
        <stp/>
        <stp>VOLUME</stp>
        <stp>.SPXW251031C5460</stp>
        <tr r="T127" s="2"/>
      </tp>
      <tp t="s">
        <v>N/A</v>
        <stp/>
        <stp>VOLUME</stp>
        <stp>.SPXW251231C5460</stp>
        <tr r="X127" s="2"/>
      </tp>
      <tp t="s">
        <v>N/A</v>
        <stp/>
        <stp>VOLUME</stp>
        <stp>.SPXW251031P5460</stp>
        <tr r="T127" s="2"/>
      </tp>
      <tp t="s">
        <v>N/A</v>
        <stp/>
        <stp>VOLUME</stp>
        <stp>.SPXW251231P5460</stp>
        <tr r="X127" s="2"/>
      </tp>
      <tp t="s">
        <v>N/A</v>
        <stp/>
        <stp>VOLUME</stp>
        <stp>.SPXW250930P5470</stp>
        <tr r="R126" s="2"/>
      </tp>
      <tp t="s">
        <v>N/A</v>
        <stp/>
        <stp>VOLUME</stp>
        <stp>.SPXW250507P5700</stp>
        <tr r="BB102" s="1"/>
      </tp>
      <tp t="s">
        <v>N/A</v>
        <stp/>
        <stp>VOLUME</stp>
        <stp>.SPXW250516P5610</stp>
        <tr r="BF111" s="1"/>
      </tp>
      <tp t="s">
        <v>N/A</v>
        <stp/>
        <stp>VOLUME</stp>
        <stp>.SPXW250530P5470</stp>
        <tr r="I126" s="2"/>
      </tp>
      <tp t="s">
        <v>N/A</v>
        <stp/>
        <stp>VOLUME</stp>
        <stp>.SPXW250731P5460</stp>
        <tr r="N127" s="2"/>
      </tp>
      <tp t="s">
        <v>N/A</v>
        <stp/>
        <stp>VOLUME</stp>
        <stp>.SPXW250606P5710</stp>
        <tr r="J102" s="2"/>
      </tp>
      <tp t="s">
        <v>N/A</v>
        <stp/>
        <stp>VOLUME</stp>
        <stp>.SPXW250630P5470</stp>
        <tr r="L126" s="2"/>
      </tp>
      <tp>
        <v>33</v>
        <stp/>
        <stp>OPEN_INT</stp>
        <stp>.NDXP250507C19500</stp>
        <tr r="AS175" s="1"/>
        <tr r="AS175" s="1"/>
      </tp>
      <tp>
        <v>0</v>
        <stp/>
        <stp>OPEN_INT</stp>
        <stp>.NDXP250507C19525</stp>
        <tr r="AS174" s="1"/>
        <tr r="AS174" s="1"/>
      </tp>
      <tp>
        <v>1</v>
        <stp/>
        <stp>OPEN_INT</stp>
        <stp>.NDXP250507C19550</stp>
        <tr r="AS173" s="1"/>
        <tr r="AS173" s="1"/>
      </tp>
      <tp>
        <v>0</v>
        <stp/>
        <stp>OPEN_INT</stp>
        <stp>.NDXP250507C19575</stp>
        <tr r="AS172" s="1"/>
        <tr r="AS172" s="1"/>
      </tp>
      <tp>
        <v>9</v>
        <stp/>
        <stp>OPEN_INT</stp>
        <stp>.NDXP250507P19525</stp>
        <tr r="AT174" s="1"/>
        <tr r="AT174" s="1"/>
      </tp>
      <tp>
        <v>28</v>
        <stp/>
        <stp>OPEN_INT</stp>
        <stp>.NDXP250507P19500</stp>
        <tr r="AT175" s="1"/>
        <tr r="AT175" s="1"/>
      </tp>
      <tp>
        <v>6</v>
        <stp/>
        <stp>OPEN_INT</stp>
        <stp>.NDXP250507P19575</stp>
        <tr r="AT172" s="1"/>
        <tr r="AT172" s="1"/>
      </tp>
      <tp>
        <v>44</v>
        <stp/>
        <stp>OPEN_INT</stp>
        <stp>.NDXP250507P19550</stp>
        <tr r="AT173" s="1"/>
        <tr r="AT173" s="1"/>
      </tp>
      <tp>
        <v>-0.8</v>
        <stp/>
        <stp>DELTA</stp>
        <stp>.NDXP250509P20125</stp>
        <tr r="CG150" s="1"/>
        <tr r="CG150" s="1"/>
      </tp>
      <tp>
        <v>-0.77</v>
        <stp/>
        <stp>DELTA</stp>
        <stp>.NDXP250509P20100</stp>
        <tr r="CG151" s="1"/>
        <tr r="CG151" s="1"/>
      </tp>
      <tp>
        <v>-0.86</v>
        <stp/>
        <stp>DELTA</stp>
        <stp>.NDXP250509P20175</stp>
        <tr r="CG148" s="1"/>
        <tr r="CG148" s="1"/>
      </tp>
      <tp>
        <v>-0.06</v>
        <stp/>
        <stp>DELTA</stp>
        <stp>.NDXP250509P19175</stp>
        <tr r="CG188" s="1"/>
        <tr r="CG188" s="1"/>
      </tp>
      <tp>
        <v>-0.83</v>
        <stp/>
        <stp>DELTA</stp>
        <stp>.NDXP250509P20150</stp>
        <tr r="CG149" s="1"/>
        <tr r="CG149" s="1"/>
      </tp>
      <tp>
        <v>-0.05</v>
        <stp/>
        <stp>DELTA</stp>
        <stp>.NDXP250509P19150</stp>
        <tr r="CG189" s="1"/>
        <tr r="CG189" s="1"/>
      </tp>
      <tp>
        <v>0.28999999999999998</v>
        <stp/>
        <stp>DELTA</stp>
        <stp>.NDXP250509C20100</stp>
        <tr r="CF151" s="1"/>
        <tr r="CF151" s="1"/>
      </tp>
      <tp>
        <v>0.26</v>
        <stp/>
        <stp>DELTA</stp>
        <stp>.NDXP250509C20125</stp>
        <tr r="CF150" s="1"/>
        <tr r="CF150" s="1"/>
      </tp>
      <tp>
        <v>0.24</v>
        <stp/>
        <stp>DELTA</stp>
        <stp>.NDXP250509C20150</stp>
        <tr r="CF149" s="1"/>
        <tr r="CF149" s="1"/>
      </tp>
      <tp>
        <v>0.88</v>
        <stp/>
        <stp>DELTA</stp>
        <stp>.NDXP250509C19150</stp>
        <tr r="CF189" s="1"/>
        <tr r="CF189" s="1"/>
      </tp>
      <tp>
        <v>0.22</v>
        <stp/>
        <stp>DELTA</stp>
        <stp>.NDXP250509C20175</stp>
        <tr r="CF148" s="1"/>
        <tr r="CF148" s="1"/>
      </tp>
      <tp>
        <v>0.88</v>
        <stp/>
        <stp>DELTA</stp>
        <stp>.NDXP250509C19175</stp>
        <tr r="CF188" s="1"/>
        <tr r="CF188" s="1"/>
      </tp>
      <tp t="s">
        <v>N/A</v>
        <stp/>
        <stp>VOLUME</stp>
        <stp>.NDXP250829C20275</stp>
        <tr r="P145" s="2"/>
      </tp>
      <tp t="s">
        <v>N/A</v>
        <stp/>
        <stp>VOLUME</stp>
        <stp>.NDXP250829C19275</stp>
        <tr r="P185" s="2"/>
      </tp>
      <tp>
        <v>41</v>
        <stp/>
        <stp>VOLUME</stp>
        <stp>.NDXP250509C20275</stp>
        <tr r="BC144" s="1"/>
        <tr r="BC144" s="1"/>
      </tp>
      <tp t="s">
        <v>N/A</v>
        <stp/>
        <stp>VOLUME</stp>
        <stp>.NDXP250509C19275</stp>
        <tr r="BC184" s="1"/>
      </tp>
      <tp t="s">
        <v>N/A</v>
        <stp/>
        <stp>VOLUME</stp>
        <stp>.NDXP251128C20375</stp>
        <tr r="V141" s="2"/>
      </tp>
      <tp t="s">
        <v>N/A</v>
        <stp/>
        <stp>VOLUME</stp>
        <stp>.NDXP251128C19375</stp>
        <tr r="V181" s="2"/>
      </tp>
      <tp t="s">
        <v>N/A</v>
        <stp/>
        <stp>VOLUME</stp>
        <stp>.NDXP250829C20250</stp>
        <tr r="P146" s="2"/>
      </tp>
      <tp t="s">
        <v>N/A</v>
        <stp/>
        <stp>VOLUME</stp>
        <stp>.NDXP250829C19250</stp>
        <tr r="P186" s="2"/>
      </tp>
      <tp>
        <v>76</v>
        <stp/>
        <stp>VOLUME</stp>
        <stp>.NDXP250509C20250</stp>
        <tr r="BC145" s="1"/>
        <tr r="BC145" s="1"/>
      </tp>
      <tp t="s">
        <v>N/A</v>
        <stp/>
        <stp>VOLUME</stp>
        <stp>.NDXP250509C19250</stp>
        <tr r="BC185" s="1"/>
      </tp>
      <tp t="s">
        <v>N/A</v>
        <stp/>
        <stp>VOLUME</stp>
        <stp>.NDXP251128C20350</stp>
        <tr r="V142" s="2"/>
      </tp>
      <tp t="s">
        <v>N/A</v>
        <stp/>
        <stp>VOLUME</stp>
        <stp>.NDXP251128C19350</stp>
        <tr r="V182" s="2"/>
      </tp>
      <tp t="s">
        <v>N/A</v>
        <stp/>
        <stp>VOLUME</stp>
        <stp>.NDXP251128C20325</stp>
        <tr r="V143" s="2"/>
      </tp>
      <tp t="s">
        <v>N/A</v>
        <stp/>
        <stp>VOLUME</stp>
        <stp>.NDXP251128C19325</stp>
        <tr r="V183" s="2"/>
      </tp>
      <tp t="s">
        <v>N/A</v>
        <stp/>
        <stp>VOLUME</stp>
        <stp>.NDXP250829C20225</stp>
        <tr r="P147" s="2"/>
      </tp>
      <tp t="s">
        <v>N/A</v>
        <stp/>
        <stp>VOLUME</stp>
        <stp>.NDXP250829C19225</stp>
        <tr r="P187" s="2"/>
      </tp>
      <tp>
        <v>1</v>
        <stp/>
        <stp>VOLUME</stp>
        <stp>.NDXP250509C20225</stp>
        <tr r="BC146" s="1"/>
        <tr r="BC146" s="1"/>
      </tp>
      <tp t="s">
        <v>N/A</v>
        <stp/>
        <stp>VOLUME</stp>
        <stp>.NDXP250509C19225</stp>
        <tr r="BC186" s="1"/>
      </tp>
      <tp t="s">
        <v>N/A</v>
        <stp/>
        <stp>VOLUME</stp>
        <stp>.NDXP251128C20300</stp>
        <tr r="V144" s="2"/>
      </tp>
      <tp t="s">
        <v>N/A</v>
        <stp/>
        <stp>VOLUME</stp>
        <stp>.NDXP251128C19300</stp>
        <tr r="V184" s="2"/>
      </tp>
      <tp t="s">
        <v>N/A</v>
        <stp/>
        <stp>VOLUME</stp>
        <stp>.NDXP250829C20200</stp>
        <tr r="P148" s="2"/>
      </tp>
      <tp t="s">
        <v>N/A</v>
        <stp/>
        <stp>VOLUME</stp>
        <stp>.NDXP250829C19200</stp>
        <tr r="P188" s="2"/>
      </tp>
      <tp>
        <v>37</v>
        <stp/>
        <stp>VOLUME</stp>
        <stp>.NDXP250509C20200</stp>
        <tr r="BC147" s="1"/>
        <tr r="BC147" s="1"/>
      </tp>
      <tp t="s">
        <v>N/A</v>
        <stp/>
        <stp>VOLUME</stp>
        <stp>.NDXP250509C19200</stp>
        <tr r="BC187" s="1"/>
      </tp>
      <tp t="s">
        <v>N/A</v>
        <stp/>
        <stp>VOLUME</stp>
        <stp>.SPXW250930C5580</stp>
        <tr r="R115" s="2"/>
      </tp>
      <tp>
        <v>3</v>
        <stp/>
        <stp>VOLUME</stp>
        <stp>.SPXW250509C5610</stp>
        <tr r="BC111" s="1"/>
        <tr r="BC111" s="1"/>
      </tp>
      <tp t="s">
        <v>N/A</v>
        <stp/>
        <stp>VOLUME</stp>
        <stp>.SPXW250530C5580</stp>
        <tr r="I115" s="2"/>
      </tp>
      <tp t="s">
        <v>N/A</v>
        <stp/>
        <stp>VOLUME</stp>
        <stp>.SPXW250731C5590</stp>
        <tr r="N114" s="2"/>
      </tp>
      <tp t="s">
        <v>N/A</v>
        <stp/>
        <stp>VOLUME</stp>
        <stp>.SPXW250630C5580</stp>
        <tr r="L115" s="2"/>
      </tp>
      <tp t="s">
        <v>N/A</v>
        <stp/>
        <stp>VOLUME</stp>
        <stp>.SPXW251031C5590</stp>
        <tr r="T114" s="2"/>
      </tp>
      <tp t="s">
        <v>N/A</v>
        <stp/>
        <stp>VOLUME</stp>
        <stp>.SPXW251231C5590</stp>
        <tr r="X114" s="2"/>
      </tp>
      <tp t="s">
        <v>N/A</v>
        <stp/>
        <stp>VOLUME</stp>
        <stp>.SPXW251031P5590</stp>
        <tr r="T114" s="2"/>
      </tp>
      <tp t="s">
        <v>N/A</v>
        <stp/>
        <stp>VOLUME</stp>
        <stp>.SPXW251231P5590</stp>
        <tr r="X114" s="2"/>
      </tp>
      <tp t="s">
        <v>N/A</v>
        <stp/>
        <stp>VOLUME</stp>
        <stp>.SPXW250930P5580</stp>
        <tr r="R115" s="2"/>
      </tp>
      <tp>
        <v>4</v>
        <stp/>
        <stp>VOLUME</stp>
        <stp>.SPXW250509P5610</stp>
        <tr r="BD111" s="1"/>
        <tr r="BD111" s="1"/>
      </tp>
      <tp t="s">
        <v>N/A</v>
        <stp/>
        <stp>VOLUME</stp>
        <stp>.SPXW250530P5580</stp>
        <tr r="I115" s="2"/>
      </tp>
      <tp t="s">
        <v>N/A</v>
        <stp/>
        <stp>VOLUME</stp>
        <stp>.SPXW250731P5590</stp>
        <tr r="N114" s="2"/>
      </tp>
      <tp t="s">
        <v>N/A</v>
        <stp/>
        <stp>VOLUME</stp>
        <stp>.SPXW250630P5580</stp>
        <tr r="L115" s="2"/>
      </tp>
      <tp t="s">
        <v>N/A</v>
        <stp/>
        <stp>VOLUME</stp>
        <stp>.SPXW250930C5590</stp>
        <tr r="R114" s="2"/>
      </tp>
      <tp>
        <v>2</v>
        <stp/>
        <stp>VOLUME</stp>
        <stp>.SPXW250509C5600</stp>
        <tr r="BC112" s="1"/>
        <tr r="BC112" s="1"/>
      </tp>
      <tp t="s">
        <v>N/A</v>
        <stp/>
        <stp>VOLUME</stp>
        <stp>.SPXW250530C5590</stp>
        <tr r="I114" s="2"/>
      </tp>
      <tp t="s">
        <v>N/A</v>
        <stp/>
        <stp>VOLUME</stp>
        <stp>.SPXW250731C5580</stp>
        <tr r="N115" s="2"/>
      </tp>
      <tp t="s">
        <v>N/A</v>
        <stp/>
        <stp>VOLUME</stp>
        <stp>.SPXW250630C5590</stp>
        <tr r="L114" s="2"/>
      </tp>
      <tp t="s">
        <v>N/A</v>
        <stp/>
        <stp>VOLUME</stp>
        <stp>.SPXW251031C5580</stp>
        <tr r="T115" s="2"/>
      </tp>
      <tp t="s">
        <v>N/A</v>
        <stp/>
        <stp>VOLUME</stp>
        <stp>.SPXW251231C5580</stp>
        <tr r="X115" s="2"/>
      </tp>
      <tp t="s">
        <v>N/A</v>
        <stp/>
        <stp>VOLUME</stp>
        <stp>.SPXW251031P5580</stp>
        <tr r="T115" s="2"/>
      </tp>
      <tp t="s">
        <v>N/A</v>
        <stp/>
        <stp>VOLUME</stp>
        <stp>.SPXW251231P5580</stp>
        <tr r="X115" s="2"/>
      </tp>
      <tp t="s">
        <v>N/A</v>
        <stp/>
        <stp>VOLUME</stp>
        <stp>.SPXW250930P5590</stp>
        <tr r="R114" s="2"/>
      </tp>
      <tp>
        <v>1</v>
        <stp/>
        <stp>VOLUME</stp>
        <stp>.SPXW250509P5600</stp>
        <tr r="BD112" s="1"/>
        <tr r="BD112" s="1"/>
      </tp>
      <tp t="s">
        <v>N/A</v>
        <stp/>
        <stp>VOLUME</stp>
        <stp>.SPXW250530P5590</stp>
        <tr r="I114" s="2"/>
      </tp>
      <tp t="s">
        <v>N/A</v>
        <stp/>
        <stp>VOLUME</stp>
        <stp>.SPXW250731P5580</stp>
        <tr r="N115" s="2"/>
      </tp>
      <tp t="s">
        <v>N/A</v>
        <stp/>
        <stp>VOLUME</stp>
        <stp>.SPXW250630P5590</stp>
        <tr r="L114" s="2"/>
      </tp>
      <tp t="s">
        <v>N/A</v>
        <stp/>
        <stp>VOLUME</stp>
        <stp>.SPXW250829C5430</stp>
        <tr r="P130" s="2"/>
      </tp>
      <tp>
        <v>2</v>
        <stp/>
        <stp>VOLUME</stp>
        <stp>.SPXW250509C5630</stp>
        <tr r="BC109" s="1"/>
        <tr r="BC109" s="1"/>
      </tp>
      <tp t="s">
        <v>N/A</v>
        <stp/>
        <stp>VOLUME</stp>
        <stp>.SPXW251128C5420</stp>
        <tr r="V131" s="2"/>
      </tp>
      <tp t="s">
        <v>N/A</v>
        <stp/>
        <stp>VOLUME</stp>
        <stp>.SPXW251128P5420</stp>
        <tr r="V131" s="2"/>
      </tp>
      <tp t="s">
        <v>N/A</v>
        <stp/>
        <stp>VOLUME</stp>
        <stp>.SPXW250829P5430</stp>
        <tr r="P130" s="2"/>
      </tp>
      <tp>
        <v>8</v>
        <stp/>
        <stp>VOLUME</stp>
        <stp>.SPXW250509P5630</stp>
        <tr r="BD109" s="1"/>
        <tr r="BD109" s="1"/>
      </tp>
      <tp t="s">
        <v>N/A</v>
        <stp/>
        <stp>VOLUME</stp>
        <stp>.SPXW250829C5420</stp>
        <tr r="P131" s="2"/>
      </tp>
      <tp t="s">
        <v>N/A</v>
        <stp/>
        <stp>VOLUME</stp>
        <stp>.SPXW250509C5620</stp>
        <tr r="BC110" s="1"/>
      </tp>
      <tp t="s">
        <v>N/A</v>
        <stp/>
        <stp>VOLUME</stp>
        <stp>.SPXW251128C5430</stp>
        <tr r="V130" s="2"/>
      </tp>
      <tp t="s">
        <v>N/A</v>
        <stp/>
        <stp>VOLUME</stp>
        <stp>.SPXW251128P5430</stp>
        <tr r="V130" s="2"/>
      </tp>
      <tp t="s">
        <v>N/A</v>
        <stp/>
        <stp>VOLUME</stp>
        <stp>.SPXW250829P5420</stp>
        <tr r="P131" s="2"/>
      </tp>
      <tp>
        <v>5</v>
        <stp/>
        <stp>VOLUME</stp>
        <stp>.SPXW250509P5620</stp>
        <tr r="BD110" s="1"/>
        <tr r="BD110" s="1"/>
      </tp>
      <tp t="s">
        <v>N/A</v>
        <stp/>
        <stp>VOLUME</stp>
        <stp>.SPXW250829C5450</stp>
        <tr r="P128" s="2"/>
      </tp>
      <tp>
        <v>3</v>
        <stp/>
        <stp>VOLUME</stp>
        <stp>.SPXW250509C5650</stp>
        <tr r="BC107" s="1"/>
        <tr r="BC107" s="1"/>
      </tp>
      <tp t="s">
        <v>N/A</v>
        <stp/>
        <stp>VOLUME</stp>
        <stp>.SPXW251128C5440</stp>
        <tr r="V129" s="2"/>
      </tp>
      <tp t="s">
        <v>N/A</v>
        <stp/>
        <stp>VOLUME</stp>
        <stp>.SPXW251128P5440</stp>
        <tr r="V129" s="2"/>
      </tp>
      <tp t="s">
        <v>N/A</v>
        <stp/>
        <stp>VOLUME</stp>
        <stp>.SPXW250829P5450</stp>
        <tr r="P128" s="2"/>
      </tp>
      <tp>
        <v>5</v>
        <stp/>
        <stp>VOLUME</stp>
        <stp>.SPXW250509P5650</stp>
        <tr r="BD107" s="1"/>
        <tr r="BD107" s="1"/>
      </tp>
      <tp t="s">
        <v>N/A</v>
        <stp/>
        <stp>VOLUME</stp>
        <stp>.SPXW250829C5440</stp>
        <tr r="P129" s="2"/>
      </tp>
      <tp>
        <v>3</v>
        <stp/>
        <stp>VOLUME</stp>
        <stp>.SPXW250509C5640</stp>
        <tr r="BC108" s="1"/>
        <tr r="BC108" s="1"/>
      </tp>
      <tp t="s">
        <v>N/A</v>
        <stp/>
        <stp>VOLUME</stp>
        <stp>.SPXW251128C5450</stp>
        <tr r="V128" s="2"/>
      </tp>
      <tp t="s">
        <v>N/A</v>
        <stp/>
        <stp>VOLUME</stp>
        <stp>.SPXW251128P5450</stp>
        <tr r="V128" s="2"/>
      </tp>
      <tp t="s">
        <v>N/A</v>
        <stp/>
        <stp>VOLUME</stp>
        <stp>.SPXW250829P5440</stp>
        <tr r="P129" s="2"/>
      </tp>
      <tp>
        <v>8</v>
        <stp/>
        <stp>VOLUME</stp>
        <stp>.SPXW250509P5640</stp>
        <tr r="BD108" s="1"/>
        <tr r="BD108" s="1"/>
      </tp>
      <tp t="s">
        <v>N/A</v>
        <stp/>
        <stp>VOLUME</stp>
        <stp>.SPXW250829C5470</stp>
        <tr r="P126" s="2"/>
      </tp>
      <tp t="s">
        <v>N/A</v>
        <stp/>
        <stp>VOLUME</stp>
        <stp>.SPXW250507C5690</stp>
        <tr r="BA103" s="1"/>
      </tp>
      <tp>
        <v>11</v>
        <stp/>
        <stp>VOLUME</stp>
        <stp>.SPXW250509C5670</stp>
        <tr r="BC105" s="1"/>
        <tr r="BC105" s="1"/>
      </tp>
      <tp t="s">
        <v>N/A</v>
        <stp/>
        <stp>VOLUME</stp>
        <stp>.SPXW250516C5780</stp>
        <tr r="BE94" s="1"/>
      </tp>
      <tp t="s">
        <v>N/A</v>
        <stp/>
        <stp>VOLUME</stp>
        <stp>.SPXW250606C5680</stp>
        <tr r="J105" s="2"/>
      </tp>
      <tp t="s">
        <v>N/A</v>
        <stp/>
        <stp>VOLUME</stp>
        <stp>.SPXW251128C5460</stp>
        <tr r="V127" s="2"/>
      </tp>
      <tp t="s">
        <v>N/A</v>
        <stp/>
        <stp>VOLUME</stp>
        <stp>.SPXW251128P5460</stp>
        <tr r="V127" s="2"/>
      </tp>
      <tp t="s">
        <v>N/A</v>
        <stp/>
        <stp>VOLUME</stp>
        <stp>.SPXW250829P5470</stp>
        <tr r="P126" s="2"/>
      </tp>
      <tp t="s">
        <v>N/A</v>
        <stp/>
        <stp>VOLUME</stp>
        <stp>.SPXW250507P5690</stp>
        <tr r="BB103" s="1"/>
      </tp>
      <tp t="s">
        <v>N/A</v>
        <stp/>
        <stp>VOLUME</stp>
        <stp>.SPXW250509P5670</stp>
        <tr r="BD105" s="1"/>
      </tp>
      <tp t="s">
        <v>N/A</v>
        <stp/>
        <stp>VOLUME</stp>
        <stp>.SPXW250516P5780</stp>
        <tr r="BF94" s="1"/>
      </tp>
      <tp t="s">
        <v>N/A</v>
        <stp/>
        <stp>VOLUME</stp>
        <stp>.SPXW250606P5680</stp>
        <tr r="J105" s="2"/>
      </tp>
      <tp t="s">
        <v>N/A</v>
        <stp/>
        <stp>VOLUME</stp>
        <stp>.SPXW250829C5460</stp>
        <tr r="P127" s="2"/>
      </tp>
      <tp t="s">
        <v>N/A</v>
        <stp/>
        <stp>VOLUME</stp>
        <stp>.SPXW250507C5680</stp>
        <tr r="BA104" s="1"/>
      </tp>
      <tp>
        <v>10</v>
        <stp/>
        <stp>VOLUME</stp>
        <stp>.SPXW250509C5660</stp>
        <tr r="BC106" s="1"/>
        <tr r="BC106" s="1"/>
      </tp>
      <tp t="s">
        <v>N/A</v>
        <stp/>
        <stp>VOLUME</stp>
        <stp>.SPXW250516C5790</stp>
        <tr r="BE93" s="1"/>
      </tp>
      <tp t="s">
        <v>N/A</v>
        <stp/>
        <stp>VOLUME</stp>
        <stp>.SPXW250606C5690</stp>
        <tr r="J104" s="2"/>
      </tp>
      <tp t="s">
        <v>N/A</v>
        <stp/>
        <stp>VOLUME</stp>
        <stp>.SPXW251128C5470</stp>
        <tr r="V126" s="2"/>
      </tp>
      <tp t="s">
        <v>N/A</v>
        <stp/>
        <stp>VOLUME</stp>
        <stp>.SPXW251128P5470</stp>
        <tr r="V126" s="2"/>
      </tp>
      <tp t="s">
        <v>N/A</v>
        <stp/>
        <stp>VOLUME</stp>
        <stp>.SPXW250829P5460</stp>
        <tr r="P127" s="2"/>
      </tp>
      <tp t="s">
        <v>N/A</v>
        <stp/>
        <stp>VOLUME</stp>
        <stp>.SPXW250507P5680</stp>
        <tr r="BB104" s="1"/>
      </tp>
      <tp>
        <v>2</v>
        <stp/>
        <stp>VOLUME</stp>
        <stp>.SPXW250509P5660</stp>
        <tr r="BD106" s="1"/>
        <tr r="BD106" s="1"/>
      </tp>
      <tp t="s">
        <v>N/A</v>
        <stp/>
        <stp>VOLUME</stp>
        <stp>.SPXW250516P5790</stp>
        <tr r="BF93" s="1"/>
      </tp>
      <tp t="s">
        <v>N/A</v>
        <stp/>
        <stp>VOLUME</stp>
        <stp>.SPXW250606P5690</stp>
        <tr r="J104" s="2"/>
      </tp>
      <tp t="s">
        <v>N/A</v>
        <stp/>
        <stp>VOLUME</stp>
        <stp>.NDXP251128P20350</stp>
        <tr r="V142" s="2"/>
      </tp>
      <tp t="s">
        <v>N/A</v>
        <stp/>
        <stp>VOLUME</stp>
        <stp>.NDXP251128P19350</stp>
        <tr r="V182" s="2"/>
      </tp>
      <tp t="s">
        <v>N/A</v>
        <stp/>
        <stp>VOLUME</stp>
        <stp>.SPXW250930C5500</stp>
        <tr r="R123" s="2"/>
      </tp>
      <tp t="s">
        <v>N/A</v>
        <stp/>
        <stp>VOLUME</stp>
        <stp>.SPXW250829C5490</stp>
        <tr r="P124" s="2"/>
      </tp>
      <tp t="s">
        <v>N/A</v>
        <stp/>
        <stp>VOLUME</stp>
        <stp>.SPXW250507C5670</stp>
        <tr r="BA105" s="1"/>
      </tp>
      <tp>
        <v>1</v>
        <stp/>
        <stp>VOLUME</stp>
        <stp>.SPXW250509C5690</stp>
        <tr r="BC103" s="1"/>
        <tr r="BC103" s="1"/>
      </tp>
      <tp t="s">
        <v>N/A</v>
        <stp/>
        <stp>VOLUME</stp>
        <stp>.SPXW250516C5760</stp>
        <tr r="BE96" s="1"/>
      </tp>
      <tp t="s">
        <v>N/A</v>
        <stp/>
        <stp>VOLUME</stp>
        <stp>.SPXW250530C5500</stp>
        <tr r="I123" s="2"/>
      </tp>
      <tp t="s">
        <v>N/A</v>
        <stp/>
        <stp>VOLUME</stp>
        <stp>.SPXW250731C5510</stp>
        <tr r="N122" s="2"/>
      </tp>
      <tp t="s">
        <v>N/A</v>
        <stp/>
        <stp>VOLUME</stp>
        <stp>.SPXW250606C5660</stp>
        <tr r="J107" s="2"/>
      </tp>
      <tp t="s">
        <v>N/A</v>
        <stp/>
        <stp>VOLUME</stp>
        <stp>.SPXW250630C5500</stp>
        <tr r="L123" s="2"/>
      </tp>
      <tp t="s">
        <v>N/A</v>
        <stp/>
        <stp>VOLUME</stp>
        <stp>.SPXW251128C5480</stp>
        <tr r="V125" s="2"/>
      </tp>
      <tp t="s">
        <v>N/A</v>
        <stp/>
        <stp>VOLUME</stp>
        <stp>.SPXW251031C5510</stp>
        <tr r="T122" s="2"/>
      </tp>
      <tp t="s">
        <v>N/A</v>
        <stp/>
        <stp>VOLUME</stp>
        <stp>.SPXW251231C5510</stp>
        <tr r="X122" s="2"/>
      </tp>
      <tp t="s">
        <v>N/A</v>
        <stp/>
        <stp>VOLUME</stp>
        <stp>.SPXW251128P5480</stp>
        <tr r="V125" s="2"/>
      </tp>
      <tp t="s">
        <v>N/A</v>
        <stp/>
        <stp>VOLUME</stp>
        <stp>.SPXW251031P5510</stp>
        <tr r="T122" s="2"/>
      </tp>
      <tp t="s">
        <v>N/A</v>
        <stp/>
        <stp>VOLUME</stp>
        <stp>.SPXW251231P5510</stp>
        <tr r="X122" s="2"/>
      </tp>
      <tp t="s">
        <v>N/A</v>
        <stp/>
        <stp>VOLUME</stp>
        <stp>.SPXW250930P5500</stp>
        <tr r="R123" s="2"/>
      </tp>
      <tp t="s">
        <v>N/A</v>
        <stp/>
        <stp>VOLUME</stp>
        <stp>.SPXW250829P5490</stp>
        <tr r="P124" s="2"/>
      </tp>
      <tp t="s">
        <v>N/A</v>
        <stp/>
        <stp>VOLUME</stp>
        <stp>.SPXW250507P5670</stp>
        <tr r="BB105" s="1"/>
      </tp>
      <tp t="s">
        <v>N/A</v>
        <stp/>
        <stp>VOLUME</stp>
        <stp>.SPXW250509P5690</stp>
        <tr r="BD103" s="1"/>
      </tp>
      <tp t="s">
        <v>N/A</v>
        <stp/>
        <stp>VOLUME</stp>
        <stp>.SPXW250516P5760</stp>
        <tr r="BF96" s="1"/>
      </tp>
      <tp t="s">
        <v>N/A</v>
        <stp/>
        <stp>VOLUME</stp>
        <stp>.SPXW250530P5500</stp>
        <tr r="I123" s="2"/>
      </tp>
      <tp t="s">
        <v>N/A</v>
        <stp/>
        <stp>VOLUME</stp>
        <stp>.SPXW250731P5510</stp>
        <tr r="N122" s="2"/>
      </tp>
      <tp t="s">
        <v>N/A</v>
        <stp/>
        <stp>VOLUME</stp>
        <stp>.SPXW250606P5660</stp>
        <tr r="J107" s="2"/>
      </tp>
      <tp t="s">
        <v>N/A</v>
        <stp/>
        <stp>VOLUME</stp>
        <stp>.SPXW250630P5500</stp>
        <tr r="L123" s="2"/>
      </tp>
      <tp t="s">
        <v>N/A</v>
        <stp/>
        <stp>VOLUME</stp>
        <stp>.NDXP250829P20250</stp>
        <tr r="P146" s="2"/>
      </tp>
      <tp t="s">
        <v>N/A</v>
        <stp/>
        <stp>VOLUME</stp>
        <stp>.NDXP250829P19250</stp>
        <tr r="P186" s="2"/>
      </tp>
      <tp t="s">
        <v>N/A</v>
        <stp/>
        <stp>VOLUME</stp>
        <stp>.NDXP250509P20250</stp>
        <tr r="BD145" s="1"/>
      </tp>
      <tp>
        <v>2</v>
        <stp/>
        <stp>VOLUME</stp>
        <stp>.NDXP250509P19250</stp>
        <tr r="BD185" s="1"/>
        <tr r="BD185" s="1"/>
      </tp>
      <tp t="s">
        <v>N/A</v>
        <stp/>
        <stp>VOLUME</stp>
        <stp>.SPXW250930C5510</stp>
        <tr r="R122" s="2"/>
      </tp>
      <tp t="s">
        <v>N/A</v>
        <stp/>
        <stp>VOLUME</stp>
        <stp>.SPXW250829C5480</stp>
        <tr r="P125" s="2"/>
      </tp>
      <tp t="s">
        <v>N/A</v>
        <stp/>
        <stp>VOLUME</stp>
        <stp>.SPXW250507C5660</stp>
        <tr r="BA106" s="1"/>
      </tp>
      <tp>
        <v>10</v>
        <stp/>
        <stp>VOLUME</stp>
        <stp>.SPXW250509C5680</stp>
        <tr r="BC104" s="1"/>
        <tr r="BC104" s="1"/>
      </tp>
      <tp t="s">
        <v>N/A</v>
        <stp/>
        <stp>VOLUME</stp>
        <stp>.SPXW250516C5770</stp>
        <tr r="BE95" s="1"/>
      </tp>
      <tp t="s">
        <v>N/A</v>
        <stp/>
        <stp>VOLUME</stp>
        <stp>.SPXW250530C5510</stp>
        <tr r="I122" s="2"/>
      </tp>
      <tp t="s">
        <v>N/A</v>
        <stp/>
        <stp>VOLUME</stp>
        <stp>.SPXW250731C5500</stp>
        <tr r="N123" s="2"/>
      </tp>
      <tp t="s">
        <v>N/A</v>
        <stp/>
        <stp>VOLUME</stp>
        <stp>.SPXW250606C5670</stp>
        <tr r="J106" s="2"/>
      </tp>
      <tp t="s">
        <v>N/A</v>
        <stp/>
        <stp>VOLUME</stp>
        <stp>.SPXW250630C5510</stp>
        <tr r="L122" s="2"/>
      </tp>
      <tp t="s">
        <v>N/A</v>
        <stp/>
        <stp>VOLUME</stp>
        <stp>.SPXW251128C5490</stp>
        <tr r="V124" s="2"/>
      </tp>
      <tp t="s">
        <v>N/A</v>
        <stp/>
        <stp>VOLUME</stp>
        <stp>.SPXW251031C5500</stp>
        <tr r="T123" s="2"/>
      </tp>
      <tp t="s">
        <v>N/A</v>
        <stp/>
        <stp>VOLUME</stp>
        <stp>.SPXW251231C5500</stp>
        <tr r="X123" s="2"/>
      </tp>
      <tp t="s">
        <v>N/A</v>
        <stp/>
        <stp>VOLUME</stp>
        <stp>.SPXW251128P5490</stp>
        <tr r="V124" s="2"/>
      </tp>
      <tp t="s">
        <v>N/A</v>
        <stp/>
        <stp>VOLUME</stp>
        <stp>.SPXW251031P5500</stp>
        <tr r="T123" s="2"/>
      </tp>
      <tp t="s">
        <v>N/A</v>
        <stp/>
        <stp>VOLUME</stp>
        <stp>.SPXW251231P5500</stp>
        <tr r="X123" s="2"/>
      </tp>
      <tp t="s">
        <v>N/A</v>
        <stp/>
        <stp>VOLUME</stp>
        <stp>.SPXW250930P5510</stp>
        <tr r="R122" s="2"/>
      </tp>
      <tp t="s">
        <v>N/A</v>
        <stp/>
        <stp>VOLUME</stp>
        <stp>.SPXW250829P5480</stp>
        <tr r="P125" s="2"/>
      </tp>
      <tp t="s">
        <v>N/A</v>
        <stp/>
        <stp>VOLUME</stp>
        <stp>.SPXW250507P5660</stp>
        <tr r="BB106" s="1"/>
      </tp>
      <tp>
        <v>1</v>
        <stp/>
        <stp>VOLUME</stp>
        <stp>.SPXW250509P5680</stp>
        <tr r="BD104" s="1"/>
        <tr r="BD104" s="1"/>
      </tp>
      <tp t="s">
        <v>N/A</v>
        <stp/>
        <stp>VOLUME</stp>
        <stp>.SPXW250516P5770</stp>
        <tr r="BF95" s="1"/>
      </tp>
      <tp t="s">
        <v>N/A</v>
        <stp/>
        <stp>VOLUME</stp>
        <stp>.SPXW250530P5510</stp>
        <tr r="I122" s="2"/>
      </tp>
      <tp t="s">
        <v>N/A</v>
        <stp/>
        <stp>VOLUME</stp>
        <stp>.SPXW250731P5500</stp>
        <tr r="N123" s="2"/>
      </tp>
      <tp t="s">
        <v>N/A</v>
        <stp/>
        <stp>VOLUME</stp>
        <stp>.SPXW250606P5670</stp>
        <tr r="J106" s="2"/>
      </tp>
      <tp t="s">
        <v>N/A</v>
        <stp/>
        <stp>VOLUME</stp>
        <stp>.SPXW250630P5510</stp>
        <tr r="L122" s="2"/>
      </tp>
      <tp t="s">
        <v>N/A</v>
        <stp/>
        <stp>VOLUME</stp>
        <stp>.NDXP251128P20375</stp>
        <tr r="V141" s="2"/>
      </tp>
      <tp t="s">
        <v>N/A</v>
        <stp/>
        <stp>VOLUME</stp>
        <stp>.NDXP251128P19375</stp>
        <tr r="V181" s="2"/>
      </tp>
      <tp t="s">
        <v>N/A</v>
        <stp/>
        <stp>VOLUME</stp>
        <stp>.SPXW250930C5520</stp>
        <tr r="R121" s="2"/>
      </tp>
      <tp t="s">
        <v>N/A</v>
        <stp/>
        <stp>VOLUME</stp>
        <stp>.SPXW250507C5650</stp>
        <tr r="BA107" s="1"/>
      </tp>
      <tp t="s">
        <v>N/A</v>
        <stp/>
        <stp>VOLUME</stp>
        <stp>.SPXW250516C5740</stp>
        <tr r="BE98" s="1"/>
      </tp>
      <tp t="s">
        <v>N/A</v>
        <stp/>
        <stp>VOLUME</stp>
        <stp>.SPXW250530C5520</stp>
        <tr r="I121" s="2"/>
      </tp>
      <tp t="s">
        <v>N/A</v>
        <stp/>
        <stp>VOLUME</stp>
        <stp>.SPXW250731C5530</stp>
        <tr r="N120" s="2"/>
      </tp>
      <tp t="s">
        <v>N/A</v>
        <stp/>
        <stp>VOLUME</stp>
        <stp>.SPXW250606C5640</stp>
        <tr r="J109" s="2"/>
      </tp>
      <tp t="s">
        <v>N/A</v>
        <stp/>
        <stp>VOLUME</stp>
        <stp>.SPXW250630C5520</stp>
        <tr r="L121" s="2"/>
      </tp>
      <tp t="s">
        <v>N/A</v>
        <stp/>
        <stp>VOLUME</stp>
        <stp>.SPXW251031C5530</stp>
        <tr r="T120" s="2"/>
      </tp>
      <tp t="s">
        <v>N/A</v>
        <stp/>
        <stp>VOLUME</stp>
        <stp>.SPXW251231C5530</stp>
        <tr r="X120" s="2"/>
      </tp>
      <tp t="s">
        <v>N/A</v>
        <stp/>
        <stp>VOLUME</stp>
        <stp>.SPXW251031P5530</stp>
        <tr r="T120" s="2"/>
      </tp>
      <tp t="s">
        <v>N/A</v>
        <stp/>
        <stp>VOLUME</stp>
        <stp>.SPXW251231P5530</stp>
        <tr r="X120" s="2"/>
      </tp>
      <tp t="s">
        <v>N/A</v>
        <stp/>
        <stp>VOLUME</stp>
        <stp>.SPXW250930P5520</stp>
        <tr r="R121" s="2"/>
      </tp>
      <tp t="s">
        <v>N/A</v>
        <stp/>
        <stp>VOLUME</stp>
        <stp>.SPXW250507P5650</stp>
        <tr r="BB107" s="1"/>
      </tp>
      <tp t="s">
        <v>N/A</v>
        <stp/>
        <stp>VOLUME</stp>
        <stp>.SPXW250516P5740</stp>
        <tr r="BF98" s="1"/>
      </tp>
      <tp t="s">
        <v>N/A</v>
        <stp/>
        <stp>VOLUME</stp>
        <stp>.SPXW250530P5520</stp>
        <tr r="I121" s="2"/>
      </tp>
      <tp t="s">
        <v>N/A</v>
        <stp/>
        <stp>VOLUME</stp>
        <stp>.SPXW250731P5530</stp>
        <tr r="N120" s="2"/>
      </tp>
      <tp t="s">
        <v>N/A</v>
        <stp/>
        <stp>VOLUME</stp>
        <stp>.SPXW250606P5640</stp>
        <tr r="J109" s="2"/>
      </tp>
      <tp t="s">
        <v>N/A</v>
        <stp/>
        <stp>VOLUME</stp>
        <stp>.SPXW250630P5520</stp>
        <tr r="L121" s="2"/>
      </tp>
      <tp t="s">
        <v>N/A</v>
        <stp/>
        <stp>VOLUME</stp>
        <stp>.NDXP250829P20275</stp>
        <tr r="P145" s="2"/>
      </tp>
      <tp t="s">
        <v>N/A</v>
        <stp/>
        <stp>VOLUME</stp>
        <stp>.NDXP250829P19275</stp>
        <tr r="P185" s="2"/>
      </tp>
      <tp t="s">
        <v>N/A</v>
        <stp/>
        <stp>VOLUME</stp>
        <stp>.NDXP250509P20275</stp>
        <tr r="BD144" s="1"/>
      </tp>
      <tp t="s">
        <v>N/A</v>
        <stp/>
        <stp>VOLUME</stp>
        <stp>.NDXP250509P19275</stp>
        <tr r="BD184" s="1"/>
      </tp>
      <tp t="s">
        <v>N/A</v>
        <stp/>
        <stp>VOLUME</stp>
        <stp>.SPXW250930C5530</stp>
        <tr r="R120" s="2"/>
      </tp>
      <tp t="s">
        <v>N/A</v>
        <stp/>
        <stp>VOLUME</stp>
        <stp>.SPXW250507C5640</stp>
        <tr r="BA108" s="1"/>
      </tp>
      <tp>
        <v>1</v>
        <stp/>
        <stp>VOLUME</stp>
        <stp>.SPXW250516C5750</stp>
        <tr r="BE97" s="1"/>
        <tr r="BE97" s="1"/>
      </tp>
      <tp t="s">
        <v>N/A</v>
        <stp/>
        <stp>VOLUME</stp>
        <stp>.SPXW250530C5530</stp>
        <tr r="I120" s="2"/>
      </tp>
      <tp t="s">
        <v>N/A</v>
        <stp/>
        <stp>VOLUME</stp>
        <stp>.SPXW250731C5520</stp>
        <tr r="N121" s="2"/>
      </tp>
      <tp t="s">
        <v>N/A</v>
        <stp/>
        <stp>VOLUME</stp>
        <stp>.SPXW250606C5650</stp>
        <tr r="J108" s="2"/>
      </tp>
      <tp t="s">
        <v>N/A</v>
        <stp/>
        <stp>VOLUME</stp>
        <stp>.SPXW250630C5530</stp>
        <tr r="L120" s="2"/>
      </tp>
      <tp t="s">
        <v>N/A</v>
        <stp/>
        <stp>VOLUME</stp>
        <stp>.SPXW251031C5520</stp>
        <tr r="T121" s="2"/>
      </tp>
      <tp t="s">
        <v>N/A</v>
        <stp/>
        <stp>VOLUME</stp>
        <stp>.SPXW251231C5520</stp>
        <tr r="X121" s="2"/>
      </tp>
      <tp t="s">
        <v>N/A</v>
        <stp/>
        <stp>VOLUME</stp>
        <stp>.SPXW251031P5520</stp>
        <tr r="T121" s="2"/>
      </tp>
      <tp t="s">
        <v>N/A</v>
        <stp/>
        <stp>VOLUME</stp>
        <stp>.SPXW251231P5520</stp>
        <tr r="X121" s="2"/>
      </tp>
      <tp t="s">
        <v>N/A</v>
        <stp/>
        <stp>VOLUME</stp>
        <stp>.SPXW250930P5530</stp>
        <tr r="R120" s="2"/>
      </tp>
      <tp t="s">
        <v>N/A</v>
        <stp/>
        <stp>VOLUME</stp>
        <stp>.SPXW250507P5640</stp>
        <tr r="BB108" s="1"/>
      </tp>
      <tp t="s">
        <v>N/A</v>
        <stp/>
        <stp>VOLUME</stp>
        <stp>.SPXW250516P5750</stp>
        <tr r="BF97" s="1"/>
      </tp>
      <tp t="s">
        <v>N/A</v>
        <stp/>
        <stp>VOLUME</stp>
        <stp>.SPXW250530P5530</stp>
        <tr r="I120" s="2"/>
      </tp>
      <tp t="s">
        <v>N/A</v>
        <stp/>
        <stp>VOLUME</stp>
        <stp>.SPXW250731P5520</stp>
        <tr r="N121" s="2"/>
      </tp>
      <tp t="s">
        <v>N/A</v>
        <stp/>
        <stp>VOLUME</stp>
        <stp>.SPXW250606P5650</stp>
        <tr r="J108" s="2"/>
      </tp>
      <tp t="s">
        <v>N/A</v>
        <stp/>
        <stp>VOLUME</stp>
        <stp>.SPXW250630P5530</stp>
        <tr r="L120" s="2"/>
      </tp>
      <tp t="s">
        <v>N/A</v>
        <stp/>
        <stp>VOLUME</stp>
        <stp>.NDXP250829P20200</stp>
        <tr r="P148" s="2"/>
      </tp>
      <tp t="s">
        <v>N/A</v>
        <stp/>
        <stp>VOLUME</stp>
        <stp>.NDXP250829P19200</stp>
        <tr r="P188" s="2"/>
      </tp>
      <tp t="s">
        <v>N/A</v>
        <stp/>
        <stp>VOLUME</stp>
        <stp>.NDXP250509P20200</stp>
        <tr r="BD147" s="1"/>
      </tp>
      <tp>
        <v>2</v>
        <stp/>
        <stp>VOLUME</stp>
        <stp>.NDXP250509P19200</stp>
        <tr r="BD187" s="1"/>
        <tr r="BD187" s="1"/>
      </tp>
      <tp t="s">
        <v>N/A</v>
        <stp/>
        <stp>VOLUME</stp>
        <stp>.SPXW250930C5540</stp>
        <tr r="R119" s="2"/>
      </tp>
      <tp t="s">
        <v>N/A</v>
        <stp/>
        <stp>VOLUME</stp>
        <stp>.SPXW250507C5630</stp>
        <tr r="BA109" s="1"/>
      </tp>
      <tp t="s">
        <v>N/A</v>
        <stp/>
        <stp>VOLUME</stp>
        <stp>.SPXW250516C5720</stp>
        <tr r="BE100" s="1"/>
      </tp>
      <tp>
        <v>1</v>
        <stp/>
        <stp>VOLUME</stp>
        <stp>.SPXW250530C5540</stp>
        <tr r="I119" s="2"/>
        <tr r="I119" s="2"/>
      </tp>
      <tp t="s">
        <v>N/A</v>
        <stp/>
        <stp>VOLUME</stp>
        <stp>.SPXW250731C5550</stp>
        <tr r="N118" s="2"/>
      </tp>
      <tp t="s">
        <v>N/A</v>
        <stp/>
        <stp>VOLUME</stp>
        <stp>.SPXW250606C5620</stp>
        <tr r="J111" s="2"/>
      </tp>
      <tp t="s">
        <v>N/A</v>
        <stp/>
        <stp>VOLUME</stp>
        <stp>.SPXW250630C5540</stp>
        <tr r="L119" s="2"/>
      </tp>
      <tp t="s">
        <v>N/A</v>
        <stp/>
        <stp>VOLUME</stp>
        <stp>.SPXW251031C5550</stp>
        <tr r="T118" s="2"/>
      </tp>
      <tp t="s">
        <v>N/A</v>
        <stp/>
        <stp>VOLUME</stp>
        <stp>.SPXW251231C5550</stp>
        <tr r="X118" s="2"/>
      </tp>
      <tp t="s">
        <v>N/A</v>
        <stp/>
        <stp>VOLUME</stp>
        <stp>.SPXW251031P5550</stp>
        <tr r="T118" s="2"/>
      </tp>
      <tp t="s">
        <v>N/A</v>
        <stp/>
        <stp>VOLUME</stp>
        <stp>.SPXW251231P5550</stp>
        <tr r="X118" s="2"/>
      </tp>
      <tp t="s">
        <v>N/A</v>
        <stp/>
        <stp>VOLUME</stp>
        <stp>.SPXW250930P5540</stp>
        <tr r="R119" s="2"/>
      </tp>
      <tp t="s">
        <v>N/A</v>
        <stp/>
        <stp>VOLUME</stp>
        <stp>.SPXW250507P5630</stp>
        <tr r="BB109" s="1"/>
      </tp>
      <tp t="s">
        <v>N/A</v>
        <stp/>
        <stp>VOLUME</stp>
        <stp>.SPXW250516P5720</stp>
        <tr r="BF100" s="1"/>
      </tp>
      <tp t="s">
        <v>N/A</v>
        <stp/>
        <stp>VOLUME</stp>
        <stp>.SPXW250530P5540</stp>
        <tr r="I119" s="2"/>
      </tp>
      <tp t="s">
        <v>N/A</v>
        <stp/>
        <stp>VOLUME</stp>
        <stp>.SPXW250731P5550</stp>
        <tr r="N118" s="2"/>
      </tp>
      <tp t="s">
        <v>N/A</v>
        <stp/>
        <stp>VOLUME</stp>
        <stp>.SPXW250606P5620</stp>
        <tr r="J111" s="2"/>
      </tp>
      <tp t="s">
        <v>N/A</v>
        <stp/>
        <stp>VOLUME</stp>
        <stp>.SPXW250630P5540</stp>
        <tr r="L119" s="2"/>
      </tp>
      <tp t="s">
        <v>N/A</v>
        <stp/>
        <stp>VOLUME</stp>
        <stp>.NDXP251128P20300</stp>
        <tr r="V144" s="2"/>
      </tp>
      <tp t="s">
        <v>N/A</v>
        <stp/>
        <stp>VOLUME</stp>
        <stp>.NDXP251128P19300</stp>
        <tr r="V184" s="2"/>
      </tp>
      <tp t="s">
        <v>N/A</v>
        <stp/>
        <stp>VOLUME</stp>
        <stp>.SPXW250930C5550</stp>
        <tr r="R118" s="2"/>
      </tp>
      <tp t="s">
        <v>N/A</v>
        <stp/>
        <stp>VOLUME</stp>
        <stp>.SPXW250507C5620</stp>
        <tr r="BA110" s="1"/>
      </tp>
      <tp t="s">
        <v>N/A</v>
        <stp/>
        <stp>VOLUME</stp>
        <stp>.SPXW250516C5730</stp>
        <tr r="BE99" s="1"/>
      </tp>
      <tp t="s">
        <v>N/A</v>
        <stp/>
        <stp>VOLUME</stp>
        <stp>.SPXW250530C5550</stp>
        <tr r="I118" s="2"/>
      </tp>
      <tp t="s">
        <v>N/A</v>
        <stp/>
        <stp>VOLUME</stp>
        <stp>.SPXW250731C5540</stp>
        <tr r="N119" s="2"/>
      </tp>
      <tp t="s">
        <v>N/A</v>
        <stp/>
        <stp>VOLUME</stp>
        <stp>.SPXW250606C5630</stp>
        <tr r="J110" s="2"/>
      </tp>
      <tp t="s">
        <v>N/A</v>
        <stp/>
        <stp>VOLUME</stp>
        <stp>.SPXW250630C5550</stp>
        <tr r="L118" s="2"/>
      </tp>
      <tp t="s">
        <v>N/A</v>
        <stp/>
        <stp>VOLUME</stp>
        <stp>.SPXW251031C5540</stp>
        <tr r="T119" s="2"/>
      </tp>
      <tp t="s">
        <v>N/A</v>
        <stp/>
        <stp>VOLUME</stp>
        <stp>.SPXW251231C5540</stp>
        <tr r="X119" s="2"/>
      </tp>
      <tp t="s">
        <v>N/A</v>
        <stp/>
        <stp>VOLUME</stp>
        <stp>.SPXW251031P5540</stp>
        <tr r="T119" s="2"/>
      </tp>
      <tp t="s">
        <v>N/A</v>
        <stp/>
        <stp>VOLUME</stp>
        <stp>.SPXW251231P5540</stp>
        <tr r="X119" s="2"/>
      </tp>
      <tp t="s">
        <v>N/A</v>
        <stp/>
        <stp>VOLUME</stp>
        <stp>.SPXW250930P5550</stp>
        <tr r="R118" s="2"/>
      </tp>
      <tp t="s">
        <v>N/A</v>
        <stp/>
        <stp>VOLUME</stp>
        <stp>.SPXW250507P5620</stp>
        <tr r="BB110" s="1"/>
      </tp>
      <tp t="s">
        <v>N/A</v>
        <stp/>
        <stp>VOLUME</stp>
        <stp>.SPXW250516P5730</stp>
        <tr r="BF99" s="1"/>
      </tp>
      <tp t="s">
        <v>N/A</v>
        <stp/>
        <stp>VOLUME</stp>
        <stp>.SPXW250530P5550</stp>
        <tr r="I118" s="2"/>
      </tp>
      <tp t="s">
        <v>N/A</v>
        <stp/>
        <stp>VOLUME</stp>
        <stp>.SPXW250731P5540</stp>
        <tr r="N119" s="2"/>
      </tp>
      <tp t="s">
        <v>N/A</v>
        <stp/>
        <stp>VOLUME</stp>
        <stp>.SPXW250606P5630</stp>
        <tr r="J110" s="2"/>
      </tp>
      <tp t="s">
        <v>N/A</v>
        <stp/>
        <stp>VOLUME</stp>
        <stp>.SPXW250630P5550</stp>
        <tr r="L118" s="2"/>
      </tp>
      <tp t="s">
        <v>N/A</v>
        <stp/>
        <stp>VOLUME</stp>
        <stp>.NDXP250829P20225</stp>
        <tr r="P147" s="2"/>
      </tp>
      <tp t="s">
        <v>N/A</v>
        <stp/>
        <stp>VOLUME</stp>
        <stp>.NDXP250829P19225</stp>
        <tr r="P187" s="2"/>
      </tp>
      <tp t="s">
        <v>N/A</v>
        <stp/>
        <stp>VOLUME</stp>
        <stp>.NDXP250509P20225</stp>
        <tr r="BD146" s="1"/>
      </tp>
      <tp>
        <v>1</v>
        <stp/>
        <stp>VOLUME</stp>
        <stp>.NDXP250509P19225</stp>
        <tr r="BD186" s="1"/>
        <tr r="BD186" s="1"/>
      </tp>
      <tp t="s">
        <v>N/A</v>
        <stp/>
        <stp>VOLUME</stp>
        <stp>.SPXW250930C5560</stp>
        <tr r="R117" s="2"/>
      </tp>
      <tp t="s">
        <v>N/A</v>
        <stp/>
        <stp>VOLUME</stp>
        <stp>.SPXW250507C5610</stp>
        <tr r="BA111" s="1"/>
      </tp>
      <tp>
        <v>3</v>
        <stp/>
        <stp>VOLUME</stp>
        <stp>.SPXW250516C5700</stp>
        <tr r="BE102" s="1"/>
        <tr r="BE102" s="1"/>
      </tp>
      <tp t="s">
        <v>N/A</v>
        <stp/>
        <stp>VOLUME</stp>
        <stp>.SPXW250530C5560</stp>
        <tr r="I117" s="2"/>
      </tp>
      <tp t="s">
        <v>N/A</v>
        <stp/>
        <stp>VOLUME</stp>
        <stp>.SPXW250731C5570</stp>
        <tr r="N116" s="2"/>
      </tp>
      <tp t="s">
        <v>N/A</v>
        <stp/>
        <stp>VOLUME</stp>
        <stp>.SPXW250606C5600</stp>
        <tr r="J113" s="2"/>
      </tp>
      <tp t="s">
        <v>N/A</v>
        <stp/>
        <stp>VOLUME</stp>
        <stp>.SPXW250630C5560</stp>
        <tr r="L117" s="2"/>
      </tp>
      <tp t="s">
        <v>N/A</v>
        <stp/>
        <stp>VOLUME</stp>
        <stp>.SPXW251031C5570</stp>
        <tr r="T116" s="2"/>
      </tp>
      <tp t="s">
        <v>N/A</v>
        <stp/>
        <stp>VOLUME</stp>
        <stp>.SPXW251231C5570</stp>
        <tr r="X116" s="2"/>
      </tp>
      <tp t="s">
        <v>N/A</v>
        <stp/>
        <stp>VOLUME</stp>
        <stp>.SPXW251031P5570</stp>
        <tr r="T116" s="2"/>
      </tp>
      <tp t="s">
        <v>N/A</v>
        <stp/>
        <stp>VOLUME</stp>
        <stp>.SPXW251231P5570</stp>
        <tr r="X116" s="2"/>
      </tp>
      <tp t="s">
        <v>N/A</v>
        <stp/>
        <stp>VOLUME</stp>
        <stp>.SPXW250930P5560</stp>
        <tr r="R117" s="2"/>
      </tp>
      <tp t="s">
        <v>N/A</v>
        <stp/>
        <stp>VOLUME</stp>
        <stp>.SPXW250507P5610</stp>
        <tr r="BB111" s="1"/>
      </tp>
      <tp t="s">
        <v>N/A</v>
        <stp/>
        <stp>VOLUME</stp>
        <stp>.SPXW250516P5700</stp>
        <tr r="BF102" s="1"/>
      </tp>
      <tp t="s">
        <v>N/A</v>
        <stp/>
        <stp>VOLUME</stp>
        <stp>.SPXW250530P5560</stp>
        <tr r="I117" s="2"/>
      </tp>
      <tp t="s">
        <v>N/A</v>
        <stp/>
        <stp>VOLUME</stp>
        <stp>.SPXW250731P5570</stp>
        <tr r="N116" s="2"/>
      </tp>
      <tp t="s">
        <v>N/A</v>
        <stp/>
        <stp>VOLUME</stp>
        <stp>.SPXW250606P5600</stp>
        <tr r="J113" s="2"/>
      </tp>
      <tp t="s">
        <v>N/A</v>
        <stp/>
        <stp>VOLUME</stp>
        <stp>.SPXW250630P5560</stp>
        <tr r="L117" s="2"/>
      </tp>
      <tp t="s">
        <v>N/A</v>
        <stp/>
        <stp>VOLUME</stp>
        <stp>.NDXP251128P20325</stp>
        <tr r="V143" s="2"/>
      </tp>
      <tp t="s">
        <v>N/A</v>
        <stp/>
        <stp>VOLUME</stp>
        <stp>.NDXP251128P19325</stp>
        <tr r="V183" s="2"/>
      </tp>
      <tp t="s">
        <v>N/A</v>
        <stp/>
        <stp>VOLUME</stp>
        <stp>.SPXW250930C5570</stp>
        <tr r="R116" s="2"/>
      </tp>
      <tp t="s">
        <v>N/A</v>
        <stp/>
        <stp>VOLUME</stp>
        <stp>.SPXW250507C5600</stp>
        <tr r="BA112" s="1"/>
      </tp>
      <tp t="s">
        <v>N/A</v>
        <stp/>
        <stp>VOLUME</stp>
        <stp>.SPXW250516C5710</stp>
        <tr r="BE101" s="1"/>
      </tp>
      <tp t="s">
        <v>N/A</v>
        <stp/>
        <stp>VOLUME</stp>
        <stp>.SPXW250530C5570</stp>
        <tr r="I116" s="2"/>
      </tp>
      <tp t="s">
        <v>N/A</v>
        <stp/>
        <stp>VOLUME</stp>
        <stp>.SPXW250731C5560</stp>
        <tr r="N117" s="2"/>
      </tp>
      <tp t="s">
        <v>N/A</v>
        <stp/>
        <stp>VOLUME</stp>
        <stp>.SPXW250606C5610</stp>
        <tr r="J112" s="2"/>
      </tp>
      <tp t="s">
        <v>N/A</v>
        <stp/>
        <stp>VOLUME</stp>
        <stp>.SPXW250630C5570</stp>
        <tr r="L116" s="2"/>
      </tp>
      <tp t="s">
        <v>N/A</v>
        <stp/>
        <stp>VOLUME</stp>
        <stp>.SPXW251031C5560</stp>
        <tr r="T117" s="2"/>
      </tp>
      <tp t="s">
        <v>N/A</v>
        <stp/>
        <stp>VOLUME</stp>
        <stp>.SPXW251231C5560</stp>
        <tr r="X117" s="2"/>
      </tp>
      <tp t="s">
        <v>N/A</v>
        <stp/>
        <stp>VOLUME</stp>
        <stp>.SPXW251031P5560</stp>
        <tr r="T117" s="2"/>
      </tp>
      <tp t="s">
        <v>N/A</v>
        <stp/>
        <stp>VOLUME</stp>
        <stp>.SPXW251231P5560</stp>
        <tr r="X117" s="2"/>
      </tp>
      <tp t="s">
        <v>N/A</v>
        <stp/>
        <stp>VOLUME</stp>
        <stp>.SPXW250930P5570</stp>
        <tr r="R116" s="2"/>
      </tp>
      <tp t="s">
        <v>N/A</v>
        <stp/>
        <stp>VOLUME</stp>
        <stp>.SPXW250507P5600</stp>
        <tr r="BB112" s="1"/>
      </tp>
      <tp t="s">
        <v>N/A</v>
        <stp/>
        <stp>VOLUME</stp>
        <stp>.SPXW250516P5710</stp>
        <tr r="BF101" s="1"/>
      </tp>
      <tp t="s">
        <v>N/A</v>
        <stp/>
        <stp>VOLUME</stp>
        <stp>.SPXW250530P5570</stp>
        <tr r="I116" s="2"/>
      </tp>
      <tp t="s">
        <v>N/A</v>
        <stp/>
        <stp>VOLUME</stp>
        <stp>.SPXW250731P5560</stp>
        <tr r="N117" s="2"/>
      </tp>
      <tp t="s">
        <v>N/A</v>
        <stp/>
        <stp>VOLUME</stp>
        <stp>.SPXW250606P5610</stp>
        <tr r="J112" s="2"/>
      </tp>
      <tp>
        <v>1</v>
        <stp/>
        <stp>VOLUME</stp>
        <stp>.SPXW250630P5570</stp>
        <tr r="L116" s="2"/>
        <tr r="L116" s="2"/>
      </tp>
      <tp>
        <v>11</v>
        <stp/>
        <stp>OPEN_INT</stp>
        <stp>.NDXP250509C19400</stp>
        <tr r="AU179" s="1"/>
        <tr r="AU179" s="1"/>
      </tp>
      <tp>
        <v>23</v>
        <stp/>
        <stp>OPEN_INT</stp>
        <stp>.NDXP250509C20400</stp>
        <tr r="AU139" s="1"/>
        <tr r="AU139" s="1"/>
      </tp>
      <tp>
        <v>1</v>
        <stp/>
        <stp>OPEN_INT</stp>
        <stp>.NDXP250509C19425</stp>
        <tr r="AU178" s="1"/>
        <tr r="AU178" s="1"/>
      </tp>
      <tp>
        <v>2</v>
        <stp/>
        <stp>OPEN_INT</stp>
        <stp>.NDXP250509C20425</stp>
        <tr r="AU138" s="1"/>
        <tr r="AU138" s="1"/>
      </tp>
      <tp>
        <v>8</v>
        <stp/>
        <stp>OPEN_INT</stp>
        <stp>.NDXP250509C19450</stp>
        <tr r="AU177" s="1"/>
        <tr r="AU177" s="1"/>
      </tp>
      <tp>
        <v>8</v>
        <stp/>
        <stp>OPEN_INT</stp>
        <stp>.NDXP250509C20450</stp>
        <tr r="AU137" s="1"/>
        <tr r="AU137" s="1"/>
      </tp>
      <tp>
        <v>1</v>
        <stp/>
        <stp>OPEN_INT</stp>
        <stp>.NDXP250509C19475</stp>
        <tr r="AU176" s="1"/>
        <tr r="AU176" s="1"/>
      </tp>
      <tp>
        <v>20</v>
        <stp/>
        <stp>OPEN_INT</stp>
        <stp>.NDXP250509P19425</stp>
        <tr r="AV178" s="1"/>
        <tr r="AV178" s="1"/>
      </tp>
      <tp>
        <v>3</v>
        <stp/>
        <stp>OPEN_INT</stp>
        <stp>.NDXP250509P20425</stp>
        <tr r="AV138" s="1"/>
        <tr r="AV138" s="1"/>
      </tp>
      <tp>
        <v>37</v>
        <stp/>
        <stp>OPEN_INT</stp>
        <stp>.NDXP250509P19400</stp>
        <tr r="AV179" s="1"/>
        <tr r="AV179" s="1"/>
      </tp>
      <tp>
        <v>1</v>
        <stp/>
        <stp>OPEN_INT</stp>
        <stp>.NDXP250509P20400</stp>
        <tr r="AV139" s="1"/>
        <tr r="AV139" s="1"/>
      </tp>
      <tp>
        <v>11</v>
        <stp/>
        <stp>OPEN_INT</stp>
        <stp>.NDXP250509P19475</stp>
        <tr r="AV176" s="1"/>
        <tr r="AV176" s="1"/>
      </tp>
      <tp>
        <v>14</v>
        <stp/>
        <stp>OPEN_INT</stp>
        <stp>.NDXP250509P19450</stp>
        <tr r="AV177" s="1"/>
        <tr r="AV177" s="1"/>
      </tp>
      <tp>
        <v>2</v>
        <stp/>
        <stp>OPEN_INT</stp>
        <stp>.NDXP250509P20450</stp>
        <tr r="AV137" s="1"/>
        <tr r="AV137" s="1"/>
      </tp>
      <tp>
        <v>-0.93</v>
        <stp/>
        <stp>DELTA</stp>
        <stp>.NDXP250507P20025</stp>
        <tr r="CE154" s="1"/>
        <tr r="CE154" s="1"/>
      </tp>
      <tp>
        <v>-0.93</v>
        <stp/>
        <stp>DELTA</stp>
        <stp>.NDXP250507P20000</stp>
        <tr r="CE155" s="1"/>
        <tr r="CE155" s="1"/>
      </tp>
      <tp>
        <v>-0.95</v>
        <stp/>
        <stp>DELTA</stp>
        <stp>.NDXP250507P20075</stp>
        <tr r="CE152" s="1"/>
        <tr r="CE152" s="1"/>
      </tp>
      <tp>
        <v>-0.95</v>
        <stp/>
        <stp>DELTA</stp>
        <stp>.NDXP250507P20050</stp>
        <tr r="CE153" s="1"/>
        <tr r="CE153" s="1"/>
      </tp>
      <tp>
        <v>0</v>
        <stp/>
        <stp>DELTA</stp>
        <stp>.NDXP250507C20000</stp>
        <tr r="CD155" s="1"/>
        <tr r="CD155" s="1"/>
      </tp>
      <tp>
        <v>0.14000000000000001</v>
        <stp/>
        <stp>DELTA</stp>
        <stp>.NDXP250507C20025</stp>
        <tr r="CD154" s="1"/>
        <tr r="CD154" s="1"/>
      </tp>
      <tp>
        <v>0.13</v>
        <stp/>
        <stp>DELTA</stp>
        <stp>.NDXP250507C20050</stp>
        <tr r="CD153" s="1"/>
        <tr r="CD153" s="1"/>
      </tp>
      <tp>
        <v>0.12</v>
        <stp/>
        <stp>DELTA</stp>
        <stp>.NDXP250507C20075</stp>
        <tr r="CD152" s="1"/>
        <tr r="CD152" s="1"/>
      </tp>
      <tp t="s">
        <v>N/A</v>
        <stp/>
        <stp>VOLUME</stp>
        <stp>.NDXP250930C19475</stp>
        <tr r="R177" s="2"/>
      </tp>
      <tp t="s">
        <v>N/A</v>
        <stp/>
        <stp>VOLUME</stp>
        <stp>.NDXP250731C19575</stp>
        <tr r="N173" s="2"/>
      </tp>
      <tp t="s">
        <v>N/A</v>
        <stp/>
        <stp>VOLUME</stp>
        <stp>.NDXP250606C19275</stp>
        <tr r="J185" s="2"/>
      </tp>
      <tp t="s">
        <v>N/A</v>
        <stp/>
        <stp>VOLUME</stp>
        <stp>.NDXP250630C19475</stp>
        <tr r="L177" s="2"/>
      </tp>
      <tp>
        <v>17</v>
        <stp/>
        <stp>VOLUME</stp>
        <stp>.NDXP250507C20375</stp>
        <tr r="BA140" s="1"/>
        <tr r="BA140" s="1"/>
      </tp>
      <tp t="s">
        <v>N/A</v>
        <stp/>
        <stp>VOLUME</stp>
        <stp>.NDXP250507C19375</stp>
        <tr r="BA180" s="1"/>
      </tp>
      <tp t="s">
        <v>N/A</v>
        <stp/>
        <stp>VOLUME</stp>
        <stp>.NDXP250530C19475</stp>
        <tr r="I177" s="2"/>
      </tp>
      <tp t="s">
        <v>N/A</v>
        <stp/>
        <stp>VOLUME</stp>
        <stp>.NDXP250606C20275</stp>
        <tr r="J145" s="2"/>
      </tp>
      <tp t="s">
        <v>N/A</v>
        <stp/>
        <stp>VOLUME</stp>
        <stp>.NDXP251231C19575</stp>
        <tr r="X173" s="2"/>
      </tp>
      <tp t="s">
        <v>N/A</v>
        <stp/>
        <stp>VOLUME</stp>
        <stp>.NDXP251031C19575</stp>
        <tr r="T173" s="2"/>
      </tp>
      <tp t="s">
        <v>N/A</v>
        <stp/>
        <stp>VOLUME</stp>
        <stp>.NDXP250930C20450</stp>
        <tr r="R138" s="2"/>
      </tp>
      <tp t="s">
        <v>N/A</v>
        <stp/>
        <stp>VOLUME</stp>
        <stp>.NDXP250930C19450</stp>
        <tr r="R178" s="2"/>
      </tp>
      <tp t="s">
        <v>N/A</v>
        <stp/>
        <stp>VOLUME</stp>
        <stp>.NDXP250606C19250</stp>
        <tr r="J186" s="2"/>
      </tp>
      <tp t="s">
        <v>N/A</v>
        <stp/>
        <stp>VOLUME</stp>
        <stp>.NDXP250630C19450</stp>
        <tr r="L178" s="2"/>
      </tp>
      <tp>
        <v>98</v>
        <stp/>
        <stp>VOLUME</stp>
        <stp>.NDXP250507C20350</stp>
        <tr r="BA141" s="1"/>
        <tr r="BA141" s="1"/>
      </tp>
      <tp t="s">
        <v>N/A</v>
        <stp/>
        <stp>VOLUME</stp>
        <stp>.NDXP250530C20450</stp>
        <tr r="I138" s="2"/>
      </tp>
      <tp t="s">
        <v>N/A</v>
        <stp/>
        <stp>VOLUME</stp>
        <stp>.NDXP250731C19550</stp>
        <tr r="N174" s="2"/>
      </tp>
      <tp t="s">
        <v>N/A</v>
        <stp/>
        <stp>VOLUME</stp>
        <stp>.NDXP250507C19350</stp>
        <tr r="BA181" s="1"/>
      </tp>
      <tp t="s">
        <v>N/A</v>
        <stp/>
        <stp>VOLUME</stp>
        <stp>.NDXP250530C19450</stp>
        <tr r="I178" s="2"/>
      </tp>
      <tp t="s">
        <v>N/A</v>
        <stp/>
        <stp>VOLUME</stp>
        <stp>.NDXP250606C20250</stp>
        <tr r="J146" s="2"/>
      </tp>
      <tp t="s">
        <v>N/A</v>
        <stp/>
        <stp>VOLUME</stp>
        <stp>.NDXP250630C20450</stp>
        <tr r="L138" s="2"/>
      </tp>
      <tp t="s">
        <v>N/A</v>
        <stp/>
        <stp>VOLUME</stp>
        <stp>.NDXP251231C19550</stp>
        <tr r="X174" s="2"/>
      </tp>
      <tp t="s">
        <v>N/A</v>
        <stp/>
        <stp>VOLUME</stp>
        <stp>.NDXP251031C19550</stp>
        <tr r="T174" s="2"/>
      </tp>
      <tp t="s">
        <v>N/A</v>
        <stp/>
        <stp>VOLUME</stp>
        <stp>.NDXP251231C19525</stp>
        <tr r="X175" s="2"/>
      </tp>
      <tp t="s">
        <v>N/A</v>
        <stp/>
        <stp>VOLUME</stp>
        <stp>.NDXP251031C19525</stp>
        <tr r="T175" s="2"/>
      </tp>
      <tp t="s">
        <v>N/A</v>
        <stp/>
        <stp>VOLUME</stp>
        <stp>.NDXP250930C20425</stp>
        <tr r="R139" s="2"/>
      </tp>
      <tp t="s">
        <v>N/A</v>
        <stp/>
        <stp>VOLUME</stp>
        <stp>.NDXP250930C19425</stp>
        <tr r="R179" s="2"/>
      </tp>
      <tp t="s">
        <v>N/A</v>
        <stp/>
        <stp>VOLUME</stp>
        <stp>.NDXP250731C19525</stp>
        <tr r="N175" s="2"/>
      </tp>
      <tp t="s">
        <v>N/A</v>
        <stp/>
        <stp>VOLUME</stp>
        <stp>.NDXP250606C19225</stp>
        <tr r="J187" s="2"/>
      </tp>
      <tp t="s">
        <v>N/A</v>
        <stp/>
        <stp>VOLUME</stp>
        <stp>.NDXP250630C19425</stp>
        <tr r="L179" s="2"/>
      </tp>
      <tp>
        <v>9</v>
        <stp/>
        <stp>VOLUME</stp>
        <stp>.NDXP250507C20325</stp>
        <tr r="BA142" s="1"/>
        <tr r="BA142" s="1"/>
      </tp>
      <tp t="s">
        <v>N/A</v>
        <stp/>
        <stp>VOLUME</stp>
        <stp>.NDXP250530C20425</stp>
        <tr r="I139" s="2"/>
      </tp>
      <tp>
        <v>1</v>
        <stp/>
        <stp>VOLUME</stp>
        <stp>.NDXP250507C19325</stp>
        <tr r="BA182" s="1"/>
        <tr r="BA182" s="1"/>
      </tp>
      <tp t="s">
        <v>N/A</v>
        <stp/>
        <stp>VOLUME</stp>
        <stp>.NDXP250530C19425</stp>
        <tr r="I179" s="2"/>
      </tp>
      <tp t="s">
        <v>N/A</v>
        <stp/>
        <stp>VOLUME</stp>
        <stp>.NDXP250606C20225</stp>
        <tr r="J147" s="2"/>
      </tp>
      <tp t="s">
        <v>N/A</v>
        <stp/>
        <stp>VOLUME</stp>
        <stp>.NDXP250630C20425</stp>
        <tr r="L139" s="2"/>
      </tp>
      <tp t="s">
        <v>N/A</v>
        <stp/>
        <stp>VOLUME</stp>
        <stp>.NDXP251231C19500</stp>
        <tr r="X176" s="2"/>
      </tp>
      <tp t="s">
        <v>N/A</v>
        <stp/>
        <stp>VOLUME</stp>
        <stp>.NDXP251031C19500</stp>
        <tr r="T176" s="2"/>
      </tp>
      <tp t="s">
        <v>N/A</v>
        <stp/>
        <stp>VOLUME</stp>
        <stp>.NDXP250930C20400</stp>
        <tr r="R140" s="2"/>
      </tp>
      <tp t="s">
        <v>N/A</v>
        <stp/>
        <stp>VOLUME</stp>
        <stp>.NDXP250930C19400</stp>
        <tr r="R180" s="2"/>
      </tp>
      <tp t="s">
        <v>N/A</v>
        <stp/>
        <stp>VOLUME</stp>
        <stp>.NDXP250606C19200</stp>
        <tr r="J188" s="2"/>
      </tp>
      <tp t="s">
        <v>N/A</v>
        <stp/>
        <stp>VOLUME</stp>
        <stp>.NDXP250630C19400</stp>
        <tr r="L180" s="2"/>
      </tp>
      <tp>
        <v>273</v>
        <stp/>
        <stp>VOLUME</stp>
        <stp>.NDXP250507C20300</stp>
        <tr r="BA143" s="1"/>
        <tr r="BA143" s="1"/>
      </tp>
      <tp t="s">
        <v>N/A</v>
        <stp/>
        <stp>VOLUME</stp>
        <stp>.NDXP250530C20400</stp>
        <tr r="I140" s="2"/>
      </tp>
      <tp t="s">
        <v>N/A</v>
        <stp/>
        <stp>VOLUME</stp>
        <stp>.NDXP250731C19500</stp>
        <tr r="N176" s="2"/>
      </tp>
      <tp t="s">
        <v>N/A</v>
        <stp/>
        <stp>VOLUME</stp>
        <stp>.NDXP250507C19300</stp>
        <tr r="BA183" s="1"/>
      </tp>
      <tp t="s">
        <v>N/A</v>
        <stp/>
        <stp>VOLUME</stp>
        <stp>.NDXP250530C19400</stp>
        <tr r="I180" s="2"/>
      </tp>
      <tp t="s">
        <v>N/A</v>
        <stp/>
        <stp>VOLUME</stp>
        <stp>.NDXP250606C20200</stp>
        <tr r="J148" s="2"/>
      </tp>
      <tp t="s">
        <v>N/A</v>
        <stp/>
        <stp>VOLUME</stp>
        <stp>.NDXP250630C20400</stp>
        <tr r="L140" s="2"/>
      </tp>
      <tp t="s">
        <v>N/A</v>
        <stp/>
        <stp>VOLUME</stp>
        <stp>.NDXP251231P19550</stp>
        <tr r="X174" s="2"/>
      </tp>
      <tp t="s">
        <v>N/A</v>
        <stp/>
        <stp>VOLUME</stp>
        <stp>.NDXP251031P19550</stp>
        <tr r="T174" s="2"/>
      </tp>
      <tp t="s">
        <v>N/A</v>
        <stp/>
        <stp>VOLUME</stp>
        <stp>.SPXW250516C5860</stp>
        <tr r="BE86" s="1"/>
      </tp>
      <tp t="s">
        <v>N/A</v>
        <stp/>
        <stp>VOLUME</stp>
        <stp>.SPXW250516P5860</stp>
        <tr r="BF86" s="1"/>
      </tp>
      <tp t="s">
        <v>N/A</v>
        <stp/>
        <stp>VOLUME</stp>
        <stp>.NDXP250930P20450</stp>
        <tr r="R138" s="2"/>
      </tp>
      <tp t="s">
        <v>N/A</v>
        <stp/>
        <stp>VOLUME</stp>
        <stp>.NDXP250930P19450</stp>
        <tr r="R178" s="2"/>
      </tp>
      <tp t="s">
        <v>N/A</v>
        <stp/>
        <stp>VOLUME</stp>
        <stp>.NDXP250606P19250</stp>
        <tr r="J186" s="2"/>
      </tp>
      <tp t="s">
        <v>N/A</v>
        <stp/>
        <stp>VOLUME</stp>
        <stp>.NDXP250630P19450</stp>
        <tr r="L178" s="2"/>
      </tp>
      <tp t="s">
        <v>N/A</v>
        <stp/>
        <stp>VOLUME</stp>
        <stp>.NDXP250507P20350</stp>
        <tr r="BB141" s="1"/>
      </tp>
      <tp t="s">
        <v>N/A</v>
        <stp/>
        <stp>VOLUME</stp>
        <stp>.NDXP250530P20450</stp>
        <tr r="I138" s="2"/>
      </tp>
      <tp t="s">
        <v>N/A</v>
        <stp/>
        <stp>VOLUME</stp>
        <stp>.NDXP250731P19550</stp>
        <tr r="N174" s="2"/>
      </tp>
      <tp>
        <v>2810</v>
        <stp/>
        <stp>VOLUME</stp>
        <stp>.NDXP250507P19350</stp>
        <tr r="BB181" s="1"/>
        <tr r="BB181" s="1"/>
      </tp>
      <tp t="s">
        <v>N/A</v>
        <stp/>
        <stp>VOLUME</stp>
        <stp>.NDXP250530P19450</stp>
        <tr r="I178" s="2"/>
      </tp>
      <tp t="s">
        <v>N/A</v>
        <stp/>
        <stp>VOLUME</stp>
        <stp>.NDXP250606P20250</stp>
        <tr r="J146" s="2"/>
      </tp>
      <tp t="s">
        <v>N/A</v>
        <stp/>
        <stp>VOLUME</stp>
        <stp>.NDXP250630P20450</stp>
        <tr r="L138" s="2"/>
      </tp>
      <tp t="s">
        <v>N/A</v>
        <stp/>
        <stp>VOLUME</stp>
        <stp>.SPXW250516C5870</stp>
        <tr r="BE85" s="1"/>
      </tp>
      <tp t="s">
        <v>N/A</v>
        <stp/>
        <stp>VOLUME</stp>
        <stp>.SPXW250516P5870</stp>
        <tr r="BF85" s="1"/>
      </tp>
      <tp t="s">
        <v>N/A</v>
        <stp/>
        <stp>VOLUME</stp>
        <stp>.NDXP251231P19575</stp>
        <tr r="X173" s="2"/>
      </tp>
      <tp t="s">
        <v>N/A</v>
        <stp/>
        <stp>VOLUME</stp>
        <stp>.NDXP251031P19575</stp>
        <tr r="T173" s="2"/>
      </tp>
      <tp t="s">
        <v>N/A</v>
        <stp/>
        <stp>VOLUME</stp>
        <stp>.SPXW250516C5840</stp>
        <tr r="BE88" s="1"/>
      </tp>
      <tp t="s">
        <v>N/A</v>
        <stp/>
        <stp>VOLUME</stp>
        <stp>.SPXW250516P5840</stp>
        <tr r="BF88" s="1"/>
      </tp>
      <tp t="s">
        <v>N/A</v>
        <stp/>
        <stp>VOLUME</stp>
        <stp>.NDXP250930P19475</stp>
        <tr r="R177" s="2"/>
      </tp>
      <tp t="s">
        <v>N/A</v>
        <stp/>
        <stp>VOLUME</stp>
        <stp>.NDXP250731P19575</stp>
        <tr r="N173" s="2"/>
      </tp>
      <tp t="s">
        <v>N/A</v>
        <stp/>
        <stp>VOLUME</stp>
        <stp>.NDXP250606P19275</stp>
        <tr r="J185" s="2"/>
      </tp>
      <tp t="s">
        <v>N/A</v>
        <stp/>
        <stp>VOLUME</stp>
        <stp>.NDXP250630P19475</stp>
        <tr r="L177" s="2"/>
      </tp>
      <tp t="s">
        <v>N/A</v>
        <stp/>
        <stp>VOLUME</stp>
        <stp>.NDXP250507P20375</stp>
        <tr r="BB140" s="1"/>
      </tp>
      <tp>
        <v>63</v>
        <stp/>
        <stp>VOLUME</stp>
        <stp>.NDXP250507P19375</stp>
        <tr r="BB180" s="1"/>
        <tr r="BB180" s="1"/>
      </tp>
      <tp t="s">
        <v>N/A</v>
        <stp/>
        <stp>VOLUME</stp>
        <stp>.NDXP250530P19475</stp>
        <tr r="I177" s="2"/>
      </tp>
      <tp t="s">
        <v>N/A</v>
        <stp/>
        <stp>VOLUME</stp>
        <stp>.NDXP250606P20275</stp>
        <tr r="J145" s="2"/>
      </tp>
      <tp>
        <v>1</v>
        <stp/>
        <stp>VOLUME</stp>
        <stp>.SPXW250516C5850</stp>
        <tr r="BE87" s="1"/>
        <tr r="BE87" s="1"/>
      </tp>
      <tp t="s">
        <v>N/A</v>
        <stp/>
        <stp>VOLUME</stp>
        <stp>.SPXW250516P5850</stp>
        <tr r="BF87" s="1"/>
      </tp>
      <tp t="s">
        <v>N/A</v>
        <stp/>
        <stp>VOLUME</stp>
        <stp>.NDXP250930P20400</stp>
        <tr r="R140" s="2"/>
      </tp>
      <tp t="s">
        <v>N/A</v>
        <stp/>
        <stp>VOLUME</stp>
        <stp>.NDXP250930P19400</stp>
        <tr r="R180" s="2"/>
      </tp>
      <tp t="s">
        <v>N/A</v>
        <stp/>
        <stp>VOLUME</stp>
        <stp>.NDXP250606P19200</stp>
        <tr r="J188" s="2"/>
      </tp>
      <tp>
        <v>24</v>
        <stp/>
        <stp>VOLUME</stp>
        <stp>.NDXP250630P19400</stp>
        <tr r="L180" s="2"/>
        <tr r="L180" s="2"/>
      </tp>
      <tp>
        <v>4</v>
        <stp/>
        <stp>VOLUME</stp>
        <stp>.NDXP250507P20300</stp>
        <tr r="BB143" s="1"/>
        <tr r="BB143" s="1"/>
      </tp>
      <tp t="s">
        <v>N/A</v>
        <stp/>
        <stp>VOLUME</stp>
        <stp>.NDXP250530P20400</stp>
        <tr r="I140" s="2"/>
      </tp>
      <tp t="s">
        <v>N/A</v>
        <stp/>
        <stp>VOLUME</stp>
        <stp>.NDXP250731P19500</stp>
        <tr r="N176" s="2"/>
      </tp>
      <tp>
        <v>897</v>
        <stp/>
        <stp>VOLUME</stp>
        <stp>.NDXP250507P19300</stp>
        <tr r="BB183" s="1"/>
        <tr r="BB183" s="1"/>
      </tp>
      <tp t="s">
        <v>N/A</v>
        <stp/>
        <stp>VOLUME</stp>
        <stp>.NDXP250530P19400</stp>
        <tr r="I180" s="2"/>
      </tp>
      <tp t="s">
        <v>N/A</v>
        <stp/>
        <stp>VOLUME</stp>
        <stp>.NDXP250606P20200</stp>
        <tr r="J148" s="2"/>
      </tp>
      <tp t="s">
        <v>N/A</v>
        <stp/>
        <stp>VOLUME</stp>
        <stp>.NDXP250630P20400</stp>
        <tr r="L140" s="2"/>
      </tp>
      <tp t="s">
        <v>N/A</v>
        <stp/>
        <stp>VOLUME</stp>
        <stp>.SPXW250516C5820</stp>
        <tr r="BE90" s="1"/>
      </tp>
      <tp t="s">
        <v>N/A</v>
        <stp/>
        <stp>VOLUME</stp>
        <stp>.SPXW250516P5820</stp>
        <tr r="BF90" s="1"/>
      </tp>
      <tp t="s">
        <v>N/A</v>
        <stp/>
        <stp>VOLUME</stp>
        <stp>.NDXP251231P19500</stp>
        <tr r="X176" s="2"/>
      </tp>
      <tp t="s">
        <v>N/A</v>
        <stp/>
        <stp>VOLUME</stp>
        <stp>.NDXP251031P19500</stp>
        <tr r="T176" s="2"/>
      </tp>
      <tp t="s">
        <v>N/A</v>
        <stp/>
        <stp>VOLUME</stp>
        <stp>.SPXW250516C5830</stp>
        <tr r="BE89" s="1"/>
      </tp>
      <tp t="s">
        <v>N/A</v>
        <stp/>
        <stp>VOLUME</stp>
        <stp>.SPXW250516P5830</stp>
        <tr r="BF89" s="1"/>
      </tp>
      <tp t="s">
        <v>N/A</v>
        <stp/>
        <stp>VOLUME</stp>
        <stp>.NDXP250930P20425</stp>
        <tr r="R139" s="2"/>
      </tp>
      <tp t="s">
        <v>N/A</v>
        <stp/>
        <stp>VOLUME</stp>
        <stp>.NDXP250930P19425</stp>
        <tr r="R179" s="2"/>
      </tp>
      <tp t="s">
        <v>N/A</v>
        <stp/>
        <stp>VOLUME</stp>
        <stp>.NDXP250731P19525</stp>
        <tr r="N175" s="2"/>
      </tp>
      <tp t="s">
        <v>N/A</v>
        <stp/>
        <stp>VOLUME</stp>
        <stp>.NDXP250606P19225</stp>
        <tr r="J187" s="2"/>
      </tp>
      <tp t="s">
        <v>N/A</v>
        <stp/>
        <stp>VOLUME</stp>
        <stp>.NDXP250630P19425</stp>
        <tr r="L179" s="2"/>
      </tp>
      <tp t="s">
        <v>N/A</v>
        <stp/>
        <stp>VOLUME</stp>
        <stp>.NDXP250507P20325</stp>
        <tr r="BB142" s="1"/>
      </tp>
      <tp t="s">
        <v>N/A</v>
        <stp/>
        <stp>VOLUME</stp>
        <stp>.NDXP250530P20425</stp>
        <tr r="I139" s="2"/>
      </tp>
      <tp>
        <v>75</v>
        <stp/>
        <stp>VOLUME</stp>
        <stp>.NDXP250507P19325</stp>
        <tr r="BB182" s="1"/>
        <tr r="BB182" s="1"/>
      </tp>
      <tp t="s">
        <v>N/A</v>
        <stp/>
        <stp>VOLUME</stp>
        <stp>.NDXP250530P19425</stp>
        <tr r="I179" s="2"/>
      </tp>
      <tp t="s">
        <v>N/A</v>
        <stp/>
        <stp>VOLUME</stp>
        <stp>.NDXP250606P20225</stp>
        <tr r="J147" s="2"/>
      </tp>
      <tp t="s">
        <v>N/A</v>
        <stp/>
        <stp>VOLUME</stp>
        <stp>.NDXP250630P20425</stp>
        <tr r="L139" s="2"/>
      </tp>
      <tp>
        <v>5</v>
        <stp/>
        <stp>VOLUME</stp>
        <stp>.SPXW250516C5800</stp>
        <tr r="BE92" s="1"/>
        <tr r="BE92" s="1"/>
      </tp>
      <tp t="s">
        <v>N/A</v>
        <stp/>
        <stp>VOLUME</stp>
        <stp>.SPXW250516P5800</stp>
        <tr r="BF92" s="1"/>
      </tp>
      <tp t="s">
        <v>N/A</v>
        <stp/>
        <stp>VOLUME</stp>
        <stp>.NDXP251231P19525</stp>
        <tr r="X175" s="2"/>
      </tp>
      <tp t="s">
        <v>N/A</v>
        <stp/>
        <stp>VOLUME</stp>
        <stp>.NDXP251031P19525</stp>
        <tr r="T175" s="2"/>
      </tp>
      <tp t="s">
        <v>N/A</v>
        <stp/>
        <stp>VOLUME</stp>
        <stp>.SPXW250516C5810</stp>
        <tr r="BE91" s="1"/>
      </tp>
      <tp t="s">
        <v>N/A</v>
        <stp/>
        <stp>VOLUME</stp>
        <stp>.SPXW250516P5810</stp>
        <tr r="BF91" s="1"/>
      </tp>
      <tp>
        <v>14</v>
        <stp/>
        <stp>OPEN_INT</stp>
        <stp>.NDXP250509C19500</stp>
        <tr r="AU175" s="1"/>
        <tr r="AU175" s="1"/>
      </tp>
      <tp>
        <v>4</v>
        <stp/>
        <stp>OPEN_INT</stp>
        <stp>.NDXP250509C19525</stp>
        <tr r="AU174" s="1"/>
        <tr r="AU174" s="1"/>
      </tp>
      <tp>
        <v>5</v>
        <stp/>
        <stp>OPEN_INT</stp>
        <stp>.NDXP250509C19550</stp>
        <tr r="AU173" s="1"/>
        <tr r="AU173" s="1"/>
      </tp>
      <tp>
        <v>16</v>
        <stp/>
        <stp>OPEN_INT</stp>
        <stp>.NDXP250509C19575</stp>
        <tr r="AU172" s="1"/>
        <tr r="AU172" s="1"/>
      </tp>
      <tp>
        <v>4</v>
        <stp/>
        <stp>OPEN_INT</stp>
        <stp>.NDXP250509P19525</stp>
        <tr r="AV174" s="1"/>
        <tr r="AV174" s="1"/>
      </tp>
      <tp>
        <v>34</v>
        <stp/>
        <stp>OPEN_INT</stp>
        <stp>.NDXP250509P19500</stp>
        <tr r="AV175" s="1"/>
        <tr r="AV175" s="1"/>
      </tp>
      <tp>
        <v>3</v>
        <stp/>
        <stp>OPEN_INT</stp>
        <stp>.NDXP250509P19575</stp>
        <tr r="AV172" s="1"/>
        <tr r="AV172" s="1"/>
      </tp>
      <tp>
        <v>5</v>
        <stp/>
        <stp>OPEN_INT</stp>
        <stp>.NDXP250509P19550</stp>
        <tr r="AV173" s="1"/>
        <tr r="AV173" s="1"/>
      </tp>
      <tp>
        <v>-0.97</v>
        <stp/>
        <stp>DELTA</stp>
        <stp>.NDXP250507P20125</stp>
        <tr r="CE150" s="1"/>
        <tr r="CE150" s="1"/>
      </tp>
      <tp>
        <v>-0.93</v>
        <stp/>
        <stp>DELTA</stp>
        <stp>.NDXP250507P20100</stp>
        <tr r="CE151" s="1"/>
        <tr r="CE151" s="1"/>
      </tp>
      <tp>
        <v>-0.97</v>
        <stp/>
        <stp>DELTA</stp>
        <stp>.NDXP250507P20175</stp>
        <tr r="CE148" s="1"/>
        <tr r="CE148" s="1"/>
      </tp>
      <tp>
        <v>-0.05</v>
        <stp/>
        <stp>DELTA</stp>
        <stp>.NDXP250507P19175</stp>
        <tr r="CE188" s="1"/>
        <tr r="CE188" s="1"/>
      </tp>
      <tp>
        <v>-0.96</v>
        <stp/>
        <stp>DELTA</stp>
        <stp>.NDXP250507P20150</stp>
        <tr r="CE149" s="1"/>
        <tr r="CE149" s="1"/>
      </tp>
      <tp>
        <v>-0.04</v>
        <stp/>
        <stp>DELTA</stp>
        <stp>.NDXP250507P19150</stp>
        <tr r="CE189" s="1"/>
        <tr r="CE189" s="1"/>
      </tp>
      <tp>
        <v>0.03</v>
        <stp/>
        <stp>DELTA</stp>
        <stp>.NDXP250507C20100</stp>
        <tr r="CD151" s="1"/>
        <tr r="CD151" s="1"/>
      </tp>
      <tp>
        <v>0.1</v>
        <stp/>
        <stp>DELTA</stp>
        <stp>.NDXP250507C20125</stp>
        <tr r="CD150" s="1"/>
        <tr r="CD150" s="1"/>
      </tp>
      <tp>
        <v>0.1</v>
        <stp/>
        <stp>DELTA</stp>
        <stp>.NDXP250507C20150</stp>
        <tr r="CD149" s="1"/>
        <tr r="CD149" s="1"/>
      </tp>
      <tp>
        <v>1</v>
        <stp/>
        <stp>DELTA</stp>
        <stp>.NDXP250507C19150</stp>
        <tr r="CD189" s="1"/>
        <tr r="CD189" s="1"/>
      </tp>
      <tp>
        <v>0.09</v>
        <stp/>
        <stp>DELTA</stp>
        <stp>.NDXP250507C20175</stp>
        <tr r="CD148" s="1"/>
        <tr r="CD148" s="1"/>
      </tp>
      <tp>
        <v>1</v>
        <stp/>
        <stp>DELTA</stp>
        <stp>.NDXP250507C19175</stp>
        <tr r="CD188" s="1"/>
        <tr r="CD188" s="1"/>
      </tp>
      <tp t="s">
        <v>N/A</v>
        <stp/>
        <stp>VOLUME</stp>
        <stp>.NDXP250930C19575</stp>
        <tr r="R173" s="2"/>
      </tp>
      <tp t="s">
        <v>N/A</v>
        <stp/>
        <stp>VOLUME</stp>
        <stp>.NDXP250731C19475</stp>
        <tr r="N177" s="2"/>
      </tp>
      <tp t="s">
        <v>N/A</v>
        <stp/>
        <stp>VOLUME</stp>
        <stp>.NDXP250606C19375</stp>
        <tr r="J181" s="2"/>
      </tp>
      <tp t="s">
        <v>N/A</v>
        <stp/>
        <stp>VOLUME</stp>
        <stp>.NDXP250630C19575</stp>
        <tr r="L173" s="2"/>
      </tp>
      <tp>
        <v>58</v>
        <stp/>
        <stp>VOLUME</stp>
        <stp>.NDXP250507C20275</stp>
        <tr r="BA144" s="1"/>
        <tr r="BA144" s="1"/>
      </tp>
      <tp t="s">
        <v>N/A</v>
        <stp/>
        <stp>VOLUME</stp>
        <stp>.NDXP250507C19275</stp>
        <tr r="BA184" s="1"/>
      </tp>
      <tp t="s">
        <v>N/A</v>
        <stp/>
        <stp>VOLUME</stp>
        <stp>.NDXP250530C19575</stp>
        <tr r="I173" s="2"/>
      </tp>
      <tp t="s">
        <v>N/A</v>
        <stp/>
        <stp>VOLUME</stp>
        <stp>.NDXP250606C20375</stp>
        <tr r="J141" s="2"/>
      </tp>
      <tp t="s">
        <v>N/A</v>
        <stp/>
        <stp>VOLUME</stp>
        <stp>.NDXP251231C19475</stp>
        <tr r="X177" s="2"/>
      </tp>
      <tp t="s">
        <v>N/A</v>
        <stp/>
        <stp>VOLUME</stp>
        <stp>.NDXP251031C19475</stp>
        <tr r="T177" s="2"/>
      </tp>
      <tp t="s">
        <v>N/A</v>
        <stp/>
        <stp>VOLUME</stp>
        <stp>.NDXP250930C19550</stp>
        <tr r="R174" s="2"/>
      </tp>
      <tp t="s">
        <v>N/A</v>
        <stp/>
        <stp>VOLUME</stp>
        <stp>.NDXP250606C19350</stp>
        <tr r="J182" s="2"/>
      </tp>
      <tp t="s">
        <v>N/A</v>
        <stp/>
        <stp>VOLUME</stp>
        <stp>.NDXP250630C19550</stp>
        <tr r="L174" s="2"/>
      </tp>
      <tp>
        <v>287</v>
        <stp/>
        <stp>VOLUME</stp>
        <stp>.NDXP250507C20250</stp>
        <tr r="BA145" s="1"/>
        <tr r="BA145" s="1"/>
      </tp>
      <tp t="s">
        <v>N/A</v>
        <stp/>
        <stp>VOLUME</stp>
        <stp>.NDXP250731C19450</stp>
        <tr r="N178" s="2"/>
      </tp>
      <tp t="s">
        <v>N/A</v>
        <stp/>
        <stp>VOLUME</stp>
        <stp>.NDXP250731C20450</stp>
        <tr r="N138" s="2"/>
      </tp>
      <tp t="s">
        <v>N/A</v>
        <stp/>
        <stp>VOLUME</stp>
        <stp>.NDXP250507C19250</stp>
        <tr r="BA185" s="1"/>
      </tp>
      <tp>
        <v>1</v>
        <stp/>
        <stp>VOLUME</stp>
        <stp>.NDXP250530C19550</stp>
        <tr r="I174" s="2"/>
        <tr r="I174" s="2"/>
      </tp>
      <tp t="s">
        <v>N/A</v>
        <stp/>
        <stp>VOLUME</stp>
        <stp>.NDXP250606C20350</stp>
        <tr r="J142" s="2"/>
      </tp>
      <tp t="s">
        <v>N/A</v>
        <stp/>
        <stp>VOLUME</stp>
        <stp>.NDXP251231C19450</stp>
        <tr r="X178" s="2"/>
      </tp>
      <tp t="s">
        <v>N/A</v>
        <stp/>
        <stp>VOLUME</stp>
        <stp>.NDXP251031C20450</stp>
        <tr r="T138" s="2"/>
      </tp>
      <tp t="s">
        <v>N/A</v>
        <stp/>
        <stp>VOLUME</stp>
        <stp>.NDXP251031C19450</stp>
        <tr r="T178" s="2"/>
      </tp>
      <tp t="s">
        <v>N/A</v>
        <stp/>
        <stp>VOLUME</stp>
        <stp>.NDXP251231C20450</stp>
        <tr r="X138" s="2"/>
      </tp>
      <tp t="s">
        <v>N/A</v>
        <stp/>
        <stp>VOLUME</stp>
        <stp>.NDXP251031C20425</stp>
        <tr r="T139" s="2"/>
      </tp>
      <tp t="s">
        <v>N/A</v>
        <stp/>
        <stp>VOLUME</stp>
        <stp>.NDXP251231C19425</stp>
        <tr r="X179" s="2"/>
      </tp>
      <tp t="s">
        <v>N/A</v>
        <stp/>
        <stp>VOLUME</stp>
        <stp>.NDXP251231C20425</stp>
        <tr r="X139" s="2"/>
      </tp>
      <tp t="s">
        <v>N/A</v>
        <stp/>
        <stp>VOLUME</stp>
        <stp>.NDXP251031C19425</stp>
        <tr r="T179" s="2"/>
      </tp>
      <tp t="s">
        <v>N/A</v>
        <stp/>
        <stp>VOLUME</stp>
        <stp>.NDXP250930C19525</stp>
        <tr r="R175" s="2"/>
      </tp>
      <tp t="s">
        <v>N/A</v>
        <stp/>
        <stp>VOLUME</stp>
        <stp>.NDXP250731C19425</stp>
        <tr r="N179" s="2"/>
      </tp>
      <tp t="s">
        <v>N/A</v>
        <stp/>
        <stp>VOLUME</stp>
        <stp>.NDXP250606C19325</stp>
        <tr r="J183" s="2"/>
      </tp>
      <tp t="s">
        <v>N/A</v>
        <stp/>
        <stp>VOLUME</stp>
        <stp>.NDXP250630C19525</stp>
        <tr r="L175" s="2"/>
      </tp>
      <tp>
        <v>103</v>
        <stp/>
        <stp>VOLUME</stp>
        <stp>.NDXP250507C20225</stp>
        <tr r="BA146" s="1"/>
        <tr r="BA146" s="1"/>
      </tp>
      <tp>
        <v>1</v>
        <stp/>
        <stp>VOLUME</stp>
        <stp>.NDXP250507C19225</stp>
        <tr r="BA186" s="1"/>
        <tr r="BA186" s="1"/>
      </tp>
      <tp t="s">
        <v>N/A</v>
        <stp/>
        <stp>VOLUME</stp>
        <stp>.NDXP250530C19525</stp>
        <tr r="I175" s="2"/>
      </tp>
      <tp t="s">
        <v>N/A</v>
        <stp/>
        <stp>VOLUME</stp>
        <stp>.NDXP250606C20325</stp>
        <tr r="J143" s="2"/>
      </tp>
      <tp t="s">
        <v>N/A</v>
        <stp/>
        <stp>VOLUME</stp>
        <stp>.NDXP250731C20425</stp>
        <tr r="N139" s="2"/>
      </tp>
      <tp t="s">
        <v>N/A</v>
        <stp/>
        <stp>VOLUME</stp>
        <stp>.NDXP251231C19400</stp>
        <tr r="X180" s="2"/>
      </tp>
      <tp t="s">
        <v>N/A</v>
        <stp/>
        <stp>VOLUME</stp>
        <stp>.NDXP251031C20400</stp>
        <tr r="T140" s="2"/>
      </tp>
      <tp t="s">
        <v>N/A</v>
        <stp/>
        <stp>VOLUME</stp>
        <stp>.NDXP251031C19400</stp>
        <tr r="T180" s="2"/>
      </tp>
      <tp t="s">
        <v>N/A</v>
        <stp/>
        <stp>VOLUME</stp>
        <stp>.NDXP251231C20400</stp>
        <tr r="X140" s="2"/>
      </tp>
      <tp t="s">
        <v>N/A</v>
        <stp/>
        <stp>VOLUME</stp>
        <stp>.NDXP250930C19500</stp>
        <tr r="R176" s="2"/>
      </tp>
      <tp t="s">
        <v>N/A</v>
        <stp/>
        <stp>VOLUME</stp>
        <stp>.NDXP250606C19300</stp>
        <tr r="J184" s="2"/>
      </tp>
      <tp t="s">
        <v>N/A</v>
        <stp/>
        <stp>VOLUME</stp>
        <stp>.NDXP250630C19500</stp>
        <tr r="L176" s="2"/>
      </tp>
      <tp>
        <v>355</v>
        <stp/>
        <stp>VOLUME</stp>
        <stp>.NDXP250507C20200</stp>
        <tr r="BA147" s="1"/>
        <tr r="BA147" s="1"/>
      </tp>
      <tp t="s">
        <v>N/A</v>
        <stp/>
        <stp>VOLUME</stp>
        <stp>.NDXP250731C19400</stp>
        <tr r="N180" s="2"/>
      </tp>
      <tp t="s">
        <v>N/A</v>
        <stp/>
        <stp>VOLUME</stp>
        <stp>.NDXP250731C20400</stp>
        <tr r="N140" s="2"/>
      </tp>
      <tp t="s">
        <v>N/A</v>
        <stp/>
        <stp>VOLUME</stp>
        <stp>.NDXP250507C19200</stp>
        <tr r="BA187" s="1"/>
      </tp>
      <tp t="s">
        <v>N/A</v>
        <stp/>
        <stp>VOLUME</stp>
        <stp>.NDXP250530C19500</stp>
        <tr r="I176" s="2"/>
      </tp>
      <tp t="s">
        <v>N/A</v>
        <stp/>
        <stp>VOLUME</stp>
        <stp>.NDXP250606C20300</stp>
        <tr r="J144" s="2"/>
      </tp>
      <tp>
        <v>2</v>
        <stp/>
        <stp>VOLUME</stp>
        <stp>.SPXW250509C5810</stp>
        <tr r="BC91" s="1"/>
        <tr r="BC91" s="1"/>
      </tp>
      <tp t="s">
        <v>N/A</v>
        <stp/>
        <stp>VOLUME</stp>
        <stp>.SPXW250509P5810</stp>
        <tr r="BD91" s="1"/>
      </tp>
      <tp>
        <v>32</v>
        <stp/>
        <stp>VOLUME</stp>
        <stp>.SPXW250509C5800</stp>
        <tr r="BC92" s="1"/>
        <tr r="BC92" s="1"/>
      </tp>
      <tp t="s">
        <v>N/A</v>
        <stp/>
        <stp>VOLUME</stp>
        <stp>.SPXW250509P5800</stp>
        <tr r="BD92" s="1"/>
      </tp>
      <tp>
        <v>1</v>
        <stp/>
        <stp>VOLUME</stp>
        <stp>.SPXW250509C5830</stp>
        <tr r="BC89" s="1"/>
        <tr r="BC89" s="1"/>
      </tp>
      <tp t="s">
        <v>N/A</v>
        <stp/>
        <stp>VOLUME</stp>
        <stp>.SPXW250509P5830</stp>
        <tr r="BD89" s="1"/>
      </tp>
      <tp>
        <v>3</v>
        <stp/>
        <stp>VOLUME</stp>
        <stp>.SPXW250509C5820</stp>
        <tr r="BC90" s="1"/>
        <tr r="BC90" s="1"/>
      </tp>
      <tp t="s">
        <v>N/A</v>
        <stp/>
        <stp>VOLUME</stp>
        <stp>.SPXW250509P5820</stp>
        <tr r="BD90" s="1"/>
      </tp>
      <tp>
        <v>9</v>
        <stp/>
        <stp>VOLUME</stp>
        <stp>.SPXW250509C5850</stp>
        <tr r="BC87" s="1"/>
        <tr r="BC87" s="1"/>
      </tp>
      <tp t="s">
        <v>N/A</v>
        <stp/>
        <stp>VOLUME</stp>
        <stp>.SPXW250509P5850</stp>
        <tr r="BD87" s="1"/>
      </tp>
      <tp t="s">
        <v>N/A</v>
        <stp/>
        <stp>VOLUME</stp>
        <stp>.SPXW250509C5840</stp>
        <tr r="BC88" s="1"/>
      </tp>
      <tp t="s">
        <v>N/A</v>
        <stp/>
        <stp>VOLUME</stp>
        <stp>.SPXW250509P5840</stp>
        <tr r="BD88" s="1"/>
      </tp>
      <tp t="s">
        <v>N/A</v>
        <stp/>
        <stp>VOLUME</stp>
        <stp>.SPXW250509C5870</stp>
        <tr r="BC85" s="1"/>
      </tp>
      <tp t="s">
        <v>N/A</v>
        <stp/>
        <stp>VOLUME</stp>
        <stp>.SPXW250509P5870</stp>
        <tr r="BD85" s="1"/>
      </tp>
      <tp t="s">
        <v>N/A</v>
        <stp/>
        <stp>VOLUME</stp>
        <stp>.SPXW250509C5860</stp>
        <tr r="BC86" s="1"/>
      </tp>
      <tp t="s">
        <v>N/A</v>
        <stp/>
        <stp>VOLUME</stp>
        <stp>.SPXW250509P5860</stp>
        <tr r="BD86" s="1"/>
      </tp>
      <tp t="s">
        <v>N/A</v>
        <stp/>
        <stp>VOLUME</stp>
        <stp>.NDXP251231P19450</stp>
        <tr r="X178" s="2"/>
      </tp>
      <tp t="s">
        <v>N/A</v>
        <stp/>
        <stp>VOLUME</stp>
        <stp>.NDXP251031P20450</stp>
        <tr r="T138" s="2"/>
      </tp>
      <tp t="s">
        <v>N/A</v>
        <stp/>
        <stp>VOLUME</stp>
        <stp>.NDXP251031P19450</stp>
        <tr r="T178" s="2"/>
      </tp>
      <tp t="s">
        <v>N/A</v>
        <stp/>
        <stp>VOLUME</stp>
        <stp>.NDXP251231P20450</stp>
        <tr r="X138" s="2"/>
      </tp>
      <tp t="s">
        <v>N/A</v>
        <stp/>
        <stp>VOLUME</stp>
        <stp>.SPXW250507C5870</stp>
        <tr r="BA85" s="1"/>
      </tp>
      <tp t="s">
        <v>N/A</v>
        <stp/>
        <stp>VOLUME</stp>
        <stp>.SPXW250606C5860</stp>
        <tr r="J87" s="2"/>
      </tp>
      <tp t="s">
        <v>N/A</v>
        <stp/>
        <stp>VOLUME</stp>
        <stp>.SPXW250507P5870</stp>
        <tr r="BB85" s="1"/>
      </tp>
      <tp t="s">
        <v>N/A</v>
        <stp/>
        <stp>VOLUME</stp>
        <stp>.SPXW250606P5860</stp>
        <tr r="J87" s="2"/>
      </tp>
      <tp t="s">
        <v>N/A</v>
        <stp/>
        <stp>VOLUME</stp>
        <stp>.NDXP250930P19550</stp>
        <tr r="R174" s="2"/>
      </tp>
      <tp t="s">
        <v>N/A</v>
        <stp/>
        <stp>VOLUME</stp>
        <stp>.NDXP250606P19350</stp>
        <tr r="J182" s="2"/>
      </tp>
      <tp t="s">
        <v>N/A</v>
        <stp/>
        <stp>VOLUME</stp>
        <stp>.NDXP250630P19550</stp>
        <tr r="L174" s="2"/>
      </tp>
      <tp t="s">
        <v>N/A</v>
        <stp/>
        <stp>VOLUME</stp>
        <stp>.NDXP250507P20250</stp>
        <tr r="BB145" s="1"/>
      </tp>
      <tp t="s">
        <v>N/A</v>
        <stp/>
        <stp>VOLUME</stp>
        <stp>.NDXP250731P19450</stp>
        <tr r="N178" s="2"/>
      </tp>
      <tp t="s">
        <v>N/A</v>
        <stp/>
        <stp>VOLUME</stp>
        <stp>.NDXP250731P20450</stp>
        <tr r="N138" s="2"/>
      </tp>
      <tp>
        <v>142</v>
        <stp/>
        <stp>VOLUME</stp>
        <stp>.NDXP250507P19250</stp>
        <tr r="BB185" s="1"/>
        <tr r="BB185" s="1"/>
      </tp>
      <tp t="s">
        <v>N/A</v>
        <stp/>
        <stp>VOLUME</stp>
        <stp>.NDXP250530P19550</stp>
        <tr r="I174" s="2"/>
      </tp>
      <tp t="s">
        <v>N/A</v>
        <stp/>
        <stp>VOLUME</stp>
        <stp>.NDXP250606P20350</stp>
        <tr r="J142" s="2"/>
      </tp>
      <tp t="s">
        <v>N/A</v>
        <stp/>
        <stp>VOLUME</stp>
        <stp>.SPXW250507C5860</stp>
        <tr r="BA86" s="1"/>
      </tp>
      <tp t="s">
        <v>N/A</v>
        <stp/>
        <stp>VOLUME</stp>
        <stp>.SPXW250606C5870</stp>
        <tr r="J86" s="2"/>
      </tp>
      <tp t="s">
        <v>N/A</v>
        <stp/>
        <stp>VOLUME</stp>
        <stp>.SPXW250507P5860</stp>
        <tr r="BB86" s="1"/>
      </tp>
      <tp t="s">
        <v>N/A</v>
        <stp/>
        <stp>VOLUME</stp>
        <stp>.SPXW250606P5870</stp>
        <tr r="J86" s="2"/>
      </tp>
      <tp t="s">
        <v>N/A</v>
        <stp/>
        <stp>VOLUME</stp>
        <stp>.NDXP251231P19475</stp>
        <tr r="X177" s="2"/>
      </tp>
      <tp t="s">
        <v>N/A</v>
        <stp/>
        <stp>VOLUME</stp>
        <stp>.NDXP251031P19475</stp>
        <tr r="T177" s="2"/>
      </tp>
      <tp t="s">
        <v>N/A</v>
        <stp/>
        <stp>VOLUME</stp>
        <stp>.SPXW250507C5850</stp>
        <tr r="BA87" s="1"/>
      </tp>
      <tp t="s">
        <v>N/A</v>
        <stp/>
        <stp>VOLUME</stp>
        <stp>.SPXW250606C5840</stp>
        <tr r="J89" s="2"/>
      </tp>
      <tp t="s">
        <v>N/A</v>
        <stp/>
        <stp>VOLUME</stp>
        <stp>.SPXW250507P5850</stp>
        <tr r="BB87" s="1"/>
      </tp>
      <tp t="s">
        <v>N/A</v>
        <stp/>
        <stp>VOLUME</stp>
        <stp>.SPXW250606P5840</stp>
        <tr r="J89" s="2"/>
      </tp>
      <tp t="s">
        <v>N/A</v>
        <stp/>
        <stp>VOLUME</stp>
        <stp>.NDXP250930P19575</stp>
        <tr r="R173" s="2"/>
      </tp>
      <tp t="s">
        <v>N/A</v>
        <stp/>
        <stp>VOLUME</stp>
        <stp>.NDXP250731P19475</stp>
        <tr r="N177" s="2"/>
      </tp>
      <tp t="s">
        <v>N/A</v>
        <stp/>
        <stp>VOLUME</stp>
        <stp>.NDXP250606P19375</stp>
        <tr r="J181" s="2"/>
      </tp>
      <tp t="s">
        <v>N/A</v>
        <stp/>
        <stp>VOLUME</stp>
        <stp>.NDXP250630P19575</stp>
        <tr r="L173" s="2"/>
      </tp>
      <tp t="s">
        <v>N/A</v>
        <stp/>
        <stp>VOLUME</stp>
        <stp>.NDXP250507P20275</stp>
        <tr r="BB144" s="1"/>
      </tp>
      <tp>
        <v>114</v>
        <stp/>
        <stp>VOLUME</stp>
        <stp>.NDXP250507P19275</stp>
        <tr r="BB184" s="1"/>
        <tr r="BB184" s="1"/>
      </tp>
      <tp t="s">
        <v>N/A</v>
        <stp/>
        <stp>VOLUME</stp>
        <stp>.NDXP250530P19575</stp>
        <tr r="I173" s="2"/>
      </tp>
      <tp t="s">
        <v>N/A</v>
        <stp/>
        <stp>VOLUME</stp>
        <stp>.NDXP250606P20375</stp>
        <tr r="J141" s="2"/>
      </tp>
      <tp t="s">
        <v>N/A</v>
        <stp/>
        <stp>VOLUME</stp>
        <stp>.SPXW250507C5840</stp>
        <tr r="BA88" s="1"/>
      </tp>
      <tp t="s">
        <v>N/A</v>
        <stp/>
        <stp>VOLUME</stp>
        <stp>.SPXW250606C5850</stp>
        <tr r="J88" s="2"/>
      </tp>
      <tp t="s">
        <v>N/A</v>
        <stp/>
        <stp>VOLUME</stp>
        <stp>.SPXW250507P5840</stp>
        <tr r="BB88" s="1"/>
      </tp>
      <tp t="s">
        <v>N/A</v>
        <stp/>
        <stp>VOLUME</stp>
        <stp>.SPXW250606P5850</stp>
        <tr r="J88" s="2"/>
      </tp>
      <tp t="s">
        <v>N/A</v>
        <stp/>
        <stp>VOLUME</stp>
        <stp>.NDXP250930P19500</stp>
        <tr r="R176" s="2"/>
      </tp>
      <tp t="s">
        <v>N/A</v>
        <stp/>
        <stp>VOLUME</stp>
        <stp>.NDXP250606P19300</stp>
        <tr r="J184" s="2"/>
      </tp>
      <tp>
        <v>6</v>
        <stp/>
        <stp>VOLUME</stp>
        <stp>.NDXP250630P19500</stp>
        <tr r="L176" s="2"/>
        <tr r="L176" s="2"/>
      </tp>
      <tp>
        <v>1</v>
        <stp/>
        <stp>VOLUME</stp>
        <stp>.NDXP250507P20200</stp>
        <tr r="BB147" s="1"/>
        <tr r="BB147" s="1"/>
      </tp>
      <tp t="s">
        <v>N/A</v>
        <stp/>
        <stp>VOLUME</stp>
        <stp>.NDXP250731P19400</stp>
        <tr r="N180" s="2"/>
      </tp>
      <tp t="s">
        <v>N/A</v>
        <stp/>
        <stp>VOLUME</stp>
        <stp>.NDXP250731P20400</stp>
        <tr r="N140" s="2"/>
      </tp>
      <tp>
        <v>359</v>
        <stp/>
        <stp>VOLUME</stp>
        <stp>.NDXP250507P19200</stp>
        <tr r="BB187" s="1"/>
        <tr r="BB187" s="1"/>
      </tp>
      <tp>
        <v>2</v>
        <stp/>
        <stp>VOLUME</stp>
        <stp>.NDXP250530P19500</stp>
        <tr r="I176" s="2"/>
        <tr r="I176" s="2"/>
      </tp>
      <tp t="s">
        <v>N/A</v>
        <stp/>
        <stp>VOLUME</stp>
        <stp>.NDXP250606P20300</stp>
        <tr r="J144" s="2"/>
      </tp>
      <tp t="s">
        <v>N/A</v>
        <stp/>
        <stp>VOLUME</stp>
        <stp>.SPXW250507C5830</stp>
        <tr r="BA89" s="1"/>
      </tp>
      <tp t="s">
        <v>N/A</v>
        <stp/>
        <stp>VOLUME</stp>
        <stp>.SPXW250606C5820</stp>
        <tr r="J91" s="2"/>
      </tp>
      <tp t="s">
        <v>N/A</v>
        <stp/>
        <stp>VOLUME</stp>
        <stp>.SPXW250507P5830</stp>
        <tr r="BB89" s="1"/>
      </tp>
      <tp t="s">
        <v>N/A</v>
        <stp/>
        <stp>VOLUME</stp>
        <stp>.SPXW250606P5820</stp>
        <tr r="J91" s="2"/>
      </tp>
      <tp t="s">
        <v>N/A</v>
        <stp/>
        <stp>VOLUME</stp>
        <stp>.NDXP251231P19400</stp>
        <tr r="X180" s="2"/>
      </tp>
      <tp t="s">
        <v>N/A</v>
        <stp/>
        <stp>VOLUME</stp>
        <stp>.NDXP251031P20400</stp>
        <tr r="T140" s="2"/>
      </tp>
      <tp t="s">
        <v>N/A</v>
        <stp/>
        <stp>VOLUME</stp>
        <stp>.NDXP251031P19400</stp>
        <tr r="T180" s="2"/>
      </tp>
      <tp t="s">
        <v>N/A</v>
        <stp/>
        <stp>VOLUME</stp>
        <stp>.NDXP251231P20400</stp>
        <tr r="X140" s="2"/>
      </tp>
      <tp t="s">
        <v>N/A</v>
        <stp/>
        <stp>VOLUME</stp>
        <stp>.SPXW250507C5820</stp>
        <tr r="BA90" s="1"/>
      </tp>
      <tp t="s">
        <v>N/A</v>
        <stp/>
        <stp>VOLUME</stp>
        <stp>.SPXW250606C5830</stp>
        <tr r="J90" s="2"/>
      </tp>
      <tp t="s">
        <v>N/A</v>
        <stp/>
        <stp>VOLUME</stp>
        <stp>.SPXW250507P5820</stp>
        <tr r="BB90" s="1"/>
      </tp>
      <tp t="s">
        <v>N/A</v>
        <stp/>
        <stp>VOLUME</stp>
        <stp>.SPXW250606P5830</stp>
        <tr r="J90" s="2"/>
      </tp>
      <tp t="s">
        <v>N/A</v>
        <stp/>
        <stp>VOLUME</stp>
        <stp>.NDXP250930P19525</stp>
        <tr r="R175" s="2"/>
      </tp>
      <tp t="s">
        <v>N/A</v>
        <stp/>
        <stp>VOLUME</stp>
        <stp>.NDXP250731P19425</stp>
        <tr r="N179" s="2"/>
      </tp>
      <tp t="s">
        <v>N/A</v>
        <stp/>
        <stp>VOLUME</stp>
        <stp>.NDXP250606P19325</stp>
        <tr r="J183" s="2"/>
      </tp>
      <tp t="s">
        <v>N/A</v>
        <stp/>
        <stp>VOLUME</stp>
        <stp>.NDXP250630P19525</stp>
        <tr r="L175" s="2"/>
      </tp>
      <tp t="s">
        <v>N/A</v>
        <stp/>
        <stp>VOLUME</stp>
        <stp>.NDXP250507P20225</stp>
        <tr r="BB146" s="1"/>
      </tp>
      <tp>
        <v>26</v>
        <stp/>
        <stp>VOLUME</stp>
        <stp>.NDXP250507P19225</stp>
        <tr r="BB186" s="1"/>
        <tr r="BB186" s="1"/>
      </tp>
      <tp t="s">
        <v>N/A</v>
        <stp/>
        <stp>VOLUME</stp>
        <stp>.NDXP250530P19525</stp>
        <tr r="I175" s="2"/>
      </tp>
      <tp t="s">
        <v>N/A</v>
        <stp/>
        <stp>VOLUME</stp>
        <stp>.NDXP250606P20325</stp>
        <tr r="J143" s="2"/>
      </tp>
      <tp t="s">
        <v>N/A</v>
        <stp/>
        <stp>VOLUME</stp>
        <stp>.NDXP250731P20425</stp>
        <tr r="N139" s="2"/>
      </tp>
      <tp t="s">
        <v>N/A</v>
        <stp/>
        <stp>VOLUME</stp>
        <stp>.SPXW250507C5810</stp>
        <tr r="BA91" s="1"/>
      </tp>
      <tp t="s">
        <v>N/A</v>
        <stp/>
        <stp>VOLUME</stp>
        <stp>.SPXW250606C5800</stp>
        <tr r="J93" s="2"/>
      </tp>
      <tp t="s">
        <v>N/A</v>
        <stp/>
        <stp>VOLUME</stp>
        <stp>.SPXW250507P5810</stp>
        <tr r="BB91" s="1"/>
      </tp>
      <tp t="s">
        <v>N/A</v>
        <stp/>
        <stp>VOLUME</stp>
        <stp>.SPXW250606P5800</stp>
        <tr r="J93" s="2"/>
      </tp>
      <tp t="s">
        <v>N/A</v>
        <stp/>
        <stp>VOLUME</stp>
        <stp>.NDXP251031P20425</stp>
        <tr r="T139" s="2"/>
      </tp>
      <tp t="s">
        <v>N/A</v>
        <stp/>
        <stp>VOLUME</stp>
        <stp>.NDXP251231P19425</stp>
        <tr r="X179" s="2"/>
      </tp>
      <tp t="s">
        <v>N/A</v>
        <stp/>
        <stp>VOLUME</stp>
        <stp>.NDXP251231P20425</stp>
        <tr r="X139" s="2"/>
      </tp>
      <tp t="s">
        <v>N/A</v>
        <stp/>
        <stp>VOLUME</stp>
        <stp>.NDXP251031P19425</stp>
        <tr r="T179" s="2"/>
      </tp>
      <tp t="s">
        <v>N/A</v>
        <stp/>
        <stp>VOLUME</stp>
        <stp>.SPXW250507C5800</stp>
        <tr r="BA92" s="1"/>
      </tp>
      <tp t="s">
        <v>N/A</v>
        <stp/>
        <stp>VOLUME</stp>
        <stp>.SPXW250606C5810</stp>
        <tr r="J92" s="2"/>
      </tp>
      <tp t="s">
        <v>N/A</v>
        <stp/>
        <stp>VOLUME</stp>
        <stp>.SPXW250507P5800</stp>
        <tr r="BB92" s="1"/>
      </tp>
      <tp t="s">
        <v>N/A</v>
        <stp/>
        <stp>VOLUME</stp>
        <stp>.SPXW250606P5810</stp>
        <tr r="J92" s="2"/>
      </tp>
      <tp>
        <v>23</v>
        <stp/>
        <stp>OPEN_INT</stp>
        <stp>.NDXP250507C19800</stp>
        <tr r="AS163" s="1"/>
        <tr r="AS163" s="1"/>
      </tp>
      <tp>
        <v>13</v>
        <stp/>
        <stp>OPEN_INT</stp>
        <stp>.NDXP250509C19600</stp>
        <tr r="AU171" s="1"/>
        <tr r="AU171" s="1"/>
      </tp>
      <tp>
        <v>4</v>
        <stp/>
        <stp>OPEN_INT</stp>
        <stp>.NDXP250507C19825</stp>
        <tr r="AS162" s="1"/>
        <tr r="AS162" s="1"/>
      </tp>
      <tp>
        <v>4</v>
        <stp/>
        <stp>OPEN_INT</stp>
        <stp>.NDXP250509C19625</stp>
        <tr r="AU170" s="1"/>
        <tr r="AU170" s="1"/>
      </tp>
      <tp>
        <v>5</v>
        <stp/>
        <stp>OPEN_INT</stp>
        <stp>.NDXP250507C19850</stp>
        <tr r="AS161" s="1"/>
        <tr r="AS161" s="1"/>
      </tp>
      <tp>
        <v>90</v>
        <stp/>
        <stp>OPEN_INT</stp>
        <stp>.NDXP250509C19650</stp>
        <tr r="AU169" s="1"/>
        <tr r="AU169" s="1"/>
      </tp>
      <tp>
        <v>9</v>
        <stp/>
        <stp>OPEN_INT</stp>
        <stp>.NDXP250507C19875</stp>
        <tr r="AS160" s="1"/>
        <tr r="AS160" s="1"/>
      </tp>
      <tp>
        <v>4</v>
        <stp/>
        <stp>OPEN_INT</stp>
        <stp>.NDXP250509C19675</stp>
        <tr r="AU168" s="1"/>
        <tr r="AU168" s="1"/>
      </tp>
      <tp>
        <v>9</v>
        <stp/>
        <stp>OPEN_INT</stp>
        <stp>.NDXP250507P19825</stp>
        <tr r="AT162" s="1"/>
        <tr r="AT162" s="1"/>
      </tp>
      <tp>
        <v>4</v>
        <stp/>
        <stp>OPEN_INT</stp>
        <stp>.NDXP250509P19625</stp>
        <tr r="AV170" s="1"/>
        <tr r="AV170" s="1"/>
      </tp>
      <tp>
        <v>36</v>
        <stp/>
        <stp>OPEN_INT</stp>
        <stp>.NDXP250507P19800</stp>
        <tr r="AT163" s="1"/>
        <tr r="AT163" s="1"/>
      </tp>
      <tp>
        <v>3</v>
        <stp/>
        <stp>OPEN_INT</stp>
        <stp>.NDXP250509P19600</stp>
        <tr r="AV171" s="1"/>
        <tr r="AV171" s="1"/>
      </tp>
      <tp>
        <v>5</v>
        <stp/>
        <stp>OPEN_INT</stp>
        <stp>.NDXP250507P19875</stp>
        <tr r="AT160" s="1"/>
        <tr r="AT160" s="1"/>
      </tp>
      <tp>
        <v>4</v>
        <stp/>
        <stp>OPEN_INT</stp>
        <stp>.NDXP250509P19675</stp>
        <tr r="AV168" s="1"/>
        <tr r="AV168" s="1"/>
      </tp>
      <tp>
        <v>19</v>
        <stp/>
        <stp>OPEN_INT</stp>
        <stp>.NDXP250507P19850</stp>
        <tr r="AT161" s="1"/>
        <tr r="AT161" s="1"/>
      </tp>
      <tp>
        <v>10</v>
        <stp/>
        <stp>OPEN_INT</stp>
        <stp>.NDXP250509P19650</stp>
        <tr r="AV169" s="1"/>
        <tr r="AV169" s="1"/>
      </tp>
      <tp>
        <v>-0.97</v>
        <stp/>
        <stp>DELTA</stp>
        <stp>.NDXP250507P20225</stp>
        <tr r="CE146" s="1"/>
        <tr r="CE146" s="1"/>
      </tp>
      <tp>
        <v>0</v>
        <stp/>
        <stp>DELTA</stp>
        <stp>.NDXP250507P19225</stp>
        <tr r="CE186" s="1"/>
        <tr r="CE186" s="1"/>
      </tp>
      <tp>
        <v>-0.97</v>
        <stp/>
        <stp>DELTA</stp>
        <stp>.NDXP250507P20200</stp>
        <tr r="CE147" s="1"/>
        <tr r="CE147" s="1"/>
      </tp>
      <tp>
        <v>0</v>
        <stp/>
        <stp>DELTA</stp>
        <stp>.NDXP250507P19200</stp>
        <tr r="CE187" s="1"/>
        <tr r="CE187" s="1"/>
      </tp>
      <tp>
        <v>-1</v>
        <stp/>
        <stp>DELTA</stp>
        <stp>.NDXP250507P20275</stp>
        <tr r="CE144" s="1"/>
        <tr r="CE144" s="1"/>
      </tp>
      <tp>
        <v>-0.04</v>
        <stp/>
        <stp>DELTA</stp>
        <stp>.NDXP250507P19275</stp>
        <tr r="CE184" s="1"/>
        <tr r="CE184" s="1"/>
      </tp>
      <tp>
        <v>-0.97</v>
        <stp/>
        <stp>DELTA</stp>
        <stp>.NDXP250507P20250</stp>
        <tr r="CE145" s="1"/>
        <tr r="CE145" s="1"/>
      </tp>
      <tp>
        <v>-0.06</v>
        <stp/>
        <stp>DELTA</stp>
        <stp>.NDXP250507P19250</stp>
        <tr r="CE185" s="1"/>
        <tr r="CE185" s="1"/>
      </tp>
      <tp>
        <v>0.01</v>
        <stp/>
        <stp>DELTA</stp>
        <stp>.NDXP250507C20200</stp>
        <tr r="CD147" s="1"/>
        <tr r="CD147" s="1"/>
      </tp>
      <tp>
        <v>1</v>
        <stp/>
        <stp>DELTA</stp>
        <stp>.NDXP250507C19200</stp>
        <tr r="CD187" s="1"/>
        <tr r="CD187" s="1"/>
      </tp>
      <tp>
        <v>0.08</v>
        <stp/>
        <stp>DELTA</stp>
        <stp>.NDXP250507C20225</stp>
        <tr r="CD146" s="1"/>
        <tr r="CD146" s="1"/>
      </tp>
      <tp>
        <v>1</v>
        <stp/>
        <stp>DELTA</stp>
        <stp>.NDXP250507C19225</stp>
        <tr r="CD186" s="1"/>
        <tr r="CD186" s="1"/>
      </tp>
      <tp>
        <v>0.01</v>
        <stp/>
        <stp>DELTA</stp>
        <stp>.NDXP250507C20250</stp>
        <tr r="CD145" s="1"/>
        <tr r="CD145" s="1"/>
      </tp>
      <tp>
        <v>1</v>
        <stp/>
        <stp>DELTA</stp>
        <stp>.NDXP250507C19250</stp>
        <tr r="CD185" s="1"/>
        <tr r="CD185" s="1"/>
      </tp>
      <tp>
        <v>0.03</v>
        <stp/>
        <stp>DELTA</stp>
        <stp>.NDXP250507C20275</stp>
        <tr r="CD144" s="1"/>
        <tr r="CD144" s="1"/>
      </tp>
      <tp>
        <v>1</v>
        <stp/>
        <stp>DELTA</stp>
        <stp>.NDXP250507C19275</stp>
        <tr r="CD184" s="1"/>
        <tr r="CD184" s="1"/>
      </tp>
      <tp t="s">
        <v>N/A</v>
        <stp/>
        <stp>VOLUME</stp>
        <stp>.NDXP250930C19675</stp>
        <tr r="R169" s="2"/>
      </tp>
      <tp t="s">
        <v>N/A</v>
        <stp/>
        <stp>VOLUME</stp>
        <stp>.NDXP250731C19775</stp>
        <tr r="N165" s="2"/>
      </tp>
      <tp t="s">
        <v>N/A</v>
        <stp/>
        <stp>VOLUME</stp>
        <stp>.NDXP250630C19675</stp>
        <tr r="L169" s="2"/>
      </tp>
      <tp>
        <v>58</v>
        <stp/>
        <stp>VOLUME</stp>
        <stp>.NDXP250507C20175</stp>
        <tr r="BA148" s="1"/>
        <tr r="BA148" s="1"/>
      </tp>
      <tp t="s">
        <v>N/A</v>
        <stp/>
        <stp>VOLUME</stp>
        <stp>.NDXP250507C19175</stp>
        <tr r="BA188" s="1"/>
      </tp>
      <tp t="s">
        <v>N/A</v>
        <stp/>
        <stp>VOLUME</stp>
        <stp>.NDXP250530C19675</stp>
        <tr r="I169" s="2"/>
      </tp>
      <tp t="s">
        <v>N/A</v>
        <stp/>
        <stp>VOLUME</stp>
        <stp>.NDXP250606C20075</stp>
        <tr r="J153" s="2"/>
      </tp>
      <tp t="s">
        <v>N/A</v>
        <stp/>
        <stp>VOLUME</stp>
        <stp>.NDXP251231C19775</stp>
        <tr r="X165" s="2"/>
      </tp>
      <tp t="s">
        <v>N/A</v>
        <stp/>
        <stp>VOLUME</stp>
        <stp>.NDXP251031C19775</stp>
        <tr r="T165" s="2"/>
      </tp>
      <tp t="s">
        <v>N/A</v>
        <stp/>
        <stp>VOLUME</stp>
        <stp>.NDXP250930C19650</stp>
        <tr r="R170" s="2"/>
      </tp>
      <tp t="s">
        <v>N/A</v>
        <stp/>
        <stp>VOLUME</stp>
        <stp>.NDXP250630C19650</stp>
        <tr r="L170" s="2"/>
      </tp>
      <tp>
        <v>479</v>
        <stp/>
        <stp>VOLUME</stp>
        <stp>.NDXP250507C20150</stp>
        <tr r="BA149" s="1"/>
        <tr r="BA149" s="1"/>
      </tp>
      <tp t="s">
        <v>N/A</v>
        <stp/>
        <stp>VOLUME</stp>
        <stp>.NDXP250731C19750</stp>
        <tr r="N166" s="2"/>
      </tp>
      <tp>
        <v>1</v>
        <stp/>
        <stp>VOLUME</stp>
        <stp>.NDXP250507C19150</stp>
        <tr r="BA189" s="1"/>
        <tr r="BA189" s="1"/>
      </tp>
      <tp t="s">
        <v>N/A</v>
        <stp/>
        <stp>VOLUME</stp>
        <stp>.NDXP250530C19650</stp>
        <tr r="I170" s="2"/>
      </tp>
      <tp t="s">
        <v>N/A</v>
        <stp/>
        <stp>VOLUME</stp>
        <stp>.NDXP250606C20050</stp>
        <tr r="J154" s="2"/>
      </tp>
      <tp t="s">
        <v>N/A</v>
        <stp/>
        <stp>VOLUME</stp>
        <stp>.NDXP251231C19750</stp>
        <tr r="X166" s="2"/>
      </tp>
      <tp t="s">
        <v>N/A</v>
        <stp/>
        <stp>VOLUME</stp>
        <stp>.NDXP251031C19750</stp>
        <tr r="T166" s="2"/>
      </tp>
      <tp t="s">
        <v>N/A</v>
        <stp/>
        <stp>VOLUME</stp>
        <stp>.NDXP251231C19725</stp>
        <tr r="X167" s="2"/>
      </tp>
      <tp t="s">
        <v>N/A</v>
        <stp/>
        <stp>VOLUME</stp>
        <stp>.NDXP251031C19725</stp>
        <tr r="T167" s="2"/>
      </tp>
      <tp t="s">
        <v>N/A</v>
        <stp/>
        <stp>VOLUME</stp>
        <stp>.NDXP250930C19625</stp>
        <tr r="R171" s="2"/>
      </tp>
      <tp t="s">
        <v>N/A</v>
        <stp/>
        <stp>VOLUME</stp>
        <stp>.NDXP250731C19725</stp>
        <tr r="N167" s="2"/>
      </tp>
      <tp t="s">
        <v>N/A</v>
        <stp/>
        <stp>VOLUME</stp>
        <stp>.NDXP250630C19625</stp>
        <tr r="L171" s="2"/>
      </tp>
      <tp>
        <v>70</v>
        <stp/>
        <stp>VOLUME</stp>
        <stp>.NDXP250507C20125</stp>
        <tr r="BA150" s="1"/>
        <tr r="BA150" s="1"/>
      </tp>
      <tp>
        <v>1</v>
        <stp/>
        <stp>VOLUME</stp>
        <stp>.NDXP250530C19625</stp>
        <tr r="I171" s="2"/>
        <tr r="I171" s="2"/>
      </tp>
      <tp t="s">
        <v>N/A</v>
        <stp/>
        <stp>VOLUME</stp>
        <stp>.NDXP250606C20025</stp>
        <tr r="J155" s="2"/>
      </tp>
      <tp t="s">
        <v>N/A</v>
        <stp/>
        <stp>VOLUME</stp>
        <stp>.NDXP251231C19700</stp>
        <tr r="X168" s="2"/>
      </tp>
      <tp t="s">
        <v>N/A</v>
        <stp/>
        <stp>VOLUME</stp>
        <stp>.NDXP251031C19700</stp>
        <tr r="T168" s="2"/>
      </tp>
      <tp t="s">
        <v>N/A</v>
        <stp/>
        <stp>VOLUME</stp>
        <stp>.NDXP250930C19600</stp>
        <tr r="R172" s="2"/>
      </tp>
      <tp t="s">
        <v>N/A</v>
        <stp/>
        <stp>VOLUME</stp>
        <stp>.NDXP250630C19600</stp>
        <tr r="L172" s="2"/>
      </tp>
      <tp>
        <v>750</v>
        <stp/>
        <stp>VOLUME</stp>
        <stp>.NDXP250507C20100</stp>
        <tr r="BA151" s="1"/>
        <tr r="BA151" s="1"/>
      </tp>
      <tp t="s">
        <v>N/A</v>
        <stp/>
        <stp>VOLUME</stp>
        <stp>.NDXP250731C19700</stp>
        <tr r="N168" s="2"/>
      </tp>
      <tp t="s">
        <v>N/A</v>
        <stp/>
        <stp>VOLUME</stp>
        <stp>.NDXP250530C19600</stp>
        <tr r="I172" s="2"/>
      </tp>
      <tp t="s">
        <v>N/A</v>
        <stp/>
        <stp>VOLUME</stp>
        <stp>.NDXP250606C20000</stp>
        <tr r="J156" s="2"/>
      </tp>
      <tp t="s">
        <v>N/A</v>
        <stp/>
        <stp>VOLUME</stp>
        <stp>.NDXP251231P19750</stp>
        <tr r="X166" s="2"/>
      </tp>
      <tp t="s">
        <v>N/A</v>
        <stp/>
        <stp>VOLUME</stp>
        <stp>.NDXP251031P19750</stp>
        <tr r="T166" s="2"/>
      </tp>
      <tp t="s">
        <v>N/A</v>
        <stp/>
        <stp>VOLUME</stp>
        <stp>.SPXW250930C5800</stp>
        <tr r="R93" s="2"/>
      </tp>
      <tp t="s">
        <v>N/A</v>
        <stp/>
        <stp>VOLUME</stp>
        <stp>.SPXW250530C5800</stp>
        <tr r="I93" s="2"/>
      </tp>
      <tp t="s">
        <v>N/A</v>
        <stp/>
        <stp>VOLUME</stp>
        <stp>.SPXW250731C5810</stp>
        <tr r="N92" s="2"/>
      </tp>
      <tp t="s">
        <v>N/A</v>
        <stp/>
        <stp>VOLUME</stp>
        <stp>.SPXW250630C5800</stp>
        <tr r="L93" s="2"/>
      </tp>
      <tp t="s">
        <v>N/A</v>
        <stp/>
        <stp>VOLUME</stp>
        <stp>.SPXW251031C5810</stp>
        <tr r="T92" s="2"/>
      </tp>
      <tp t="s">
        <v>N/A</v>
        <stp/>
        <stp>VOLUME</stp>
        <stp>.SPXW251231C5810</stp>
        <tr r="X92" s="2"/>
      </tp>
      <tp t="s">
        <v>N/A</v>
        <stp/>
        <stp>VOLUME</stp>
        <stp>.SPXW251031P5810</stp>
        <tr r="T92" s="2"/>
      </tp>
      <tp t="s">
        <v>N/A</v>
        <stp/>
        <stp>VOLUME</stp>
        <stp>.SPXW251231P5810</stp>
        <tr r="X92" s="2"/>
      </tp>
      <tp t="s">
        <v>N/A</v>
        <stp/>
        <stp>VOLUME</stp>
        <stp>.SPXW250930P5800</stp>
        <tr r="R93" s="2"/>
      </tp>
      <tp t="s">
        <v>N/A</v>
        <stp/>
        <stp>VOLUME</stp>
        <stp>.SPXW250530P5800</stp>
        <tr r="I93" s="2"/>
      </tp>
      <tp t="s">
        <v>N/A</v>
        <stp/>
        <stp>VOLUME</stp>
        <stp>.SPXW250731P5810</stp>
        <tr r="N92" s="2"/>
      </tp>
      <tp t="s">
        <v>N/A</v>
        <stp/>
        <stp>VOLUME</stp>
        <stp>.SPXW250630P5800</stp>
        <tr r="L93" s="2"/>
      </tp>
      <tp t="s">
        <v>N/A</v>
        <stp/>
        <stp>VOLUME</stp>
        <stp>.NDXP250930P19650</stp>
        <tr r="R170" s="2"/>
      </tp>
      <tp t="s">
        <v>N/A</v>
        <stp/>
        <stp>VOLUME</stp>
        <stp>.NDXP250630P19650</stp>
        <tr r="L170" s="2"/>
      </tp>
      <tp t="s">
        <v>N/A</v>
        <stp/>
        <stp>VOLUME</stp>
        <stp>.NDXP250507P20150</stp>
        <tr r="BB149" s="1"/>
      </tp>
      <tp t="s">
        <v>N/A</v>
        <stp/>
        <stp>VOLUME</stp>
        <stp>.NDXP250731P19750</stp>
        <tr r="N166" s="2"/>
      </tp>
      <tp>
        <v>217</v>
        <stp/>
        <stp>VOLUME</stp>
        <stp>.NDXP250507P19150</stp>
        <tr r="BB189" s="1"/>
        <tr r="BB189" s="1"/>
      </tp>
      <tp t="s">
        <v>N/A</v>
        <stp/>
        <stp>VOLUME</stp>
        <stp>.NDXP250530P19650</stp>
        <tr r="I170" s="2"/>
      </tp>
      <tp t="s">
        <v>N/A</v>
        <stp/>
        <stp>VOLUME</stp>
        <stp>.NDXP250606P20050</stp>
        <tr r="J154" s="2"/>
      </tp>
      <tp t="s">
        <v>N/A</v>
        <stp/>
        <stp>VOLUME</stp>
        <stp>.SPXW250930C5810</stp>
        <tr r="R92" s="2"/>
      </tp>
      <tp t="s">
        <v>N/A</v>
        <stp/>
        <stp>VOLUME</stp>
        <stp>.SPXW250530C5810</stp>
        <tr r="I92" s="2"/>
      </tp>
      <tp t="s">
        <v>N/A</v>
        <stp/>
        <stp>VOLUME</stp>
        <stp>.SPXW250731C5800</stp>
        <tr r="N93" s="2"/>
      </tp>
      <tp t="s">
        <v>N/A</v>
        <stp/>
        <stp>VOLUME</stp>
        <stp>.SPXW250630C5810</stp>
        <tr r="L92" s="2"/>
      </tp>
      <tp t="s">
        <v>N/A</v>
        <stp/>
        <stp>VOLUME</stp>
        <stp>.SPXW251031C5800</stp>
        <tr r="T93" s="2"/>
      </tp>
      <tp t="s">
        <v>N/A</v>
        <stp/>
        <stp>VOLUME</stp>
        <stp>.SPXW251231C5800</stp>
        <tr r="X93" s="2"/>
      </tp>
      <tp t="s">
        <v>N/A</v>
        <stp/>
        <stp>VOLUME</stp>
        <stp>.SPXW251031P5800</stp>
        <tr r="T93" s="2"/>
      </tp>
      <tp t="s">
        <v>N/A</v>
        <stp/>
        <stp>VOLUME</stp>
        <stp>.SPXW251231P5800</stp>
        <tr r="X93" s="2"/>
      </tp>
      <tp t="s">
        <v>N/A</v>
        <stp/>
        <stp>VOLUME</stp>
        <stp>.SPXW250930P5810</stp>
        <tr r="R92" s="2"/>
      </tp>
      <tp t="s">
        <v>N/A</v>
        <stp/>
        <stp>VOLUME</stp>
        <stp>.SPXW250530P5810</stp>
        <tr r="I92" s="2"/>
      </tp>
      <tp t="s">
        <v>N/A</v>
        <stp/>
        <stp>VOLUME</stp>
        <stp>.SPXW250731P5800</stp>
        <tr r="N93" s="2"/>
      </tp>
      <tp t="s">
        <v>N/A</v>
        <stp/>
        <stp>VOLUME</stp>
        <stp>.SPXW250630P5810</stp>
        <tr r="L92" s="2"/>
      </tp>
      <tp t="s">
        <v>N/A</v>
        <stp/>
        <stp>VOLUME</stp>
        <stp>.NDXP251231P19775</stp>
        <tr r="X165" s="2"/>
      </tp>
      <tp t="s">
        <v>N/A</v>
        <stp/>
        <stp>VOLUME</stp>
        <stp>.NDXP251031P19775</stp>
        <tr r="T165" s="2"/>
      </tp>
      <tp t="s">
        <v>N/A</v>
        <stp/>
        <stp>VOLUME</stp>
        <stp>.SPXW250930C5820</stp>
        <tr r="R91" s="2"/>
      </tp>
      <tp t="s">
        <v>N/A</v>
        <stp/>
        <stp>VOLUME</stp>
        <stp>.SPXW250530C5820</stp>
        <tr r="I91" s="2"/>
      </tp>
      <tp t="s">
        <v>N/A</v>
        <stp/>
        <stp>VOLUME</stp>
        <stp>.SPXW250731C5830</stp>
        <tr r="N90" s="2"/>
      </tp>
      <tp t="s">
        <v>N/A</v>
        <stp/>
        <stp>VOLUME</stp>
        <stp>.SPXW250630C5820</stp>
        <tr r="L91" s="2"/>
      </tp>
      <tp t="s">
        <v>N/A</v>
        <stp/>
        <stp>VOLUME</stp>
        <stp>.SPXW251031C5830</stp>
        <tr r="T90" s="2"/>
      </tp>
      <tp t="s">
        <v>N/A</v>
        <stp/>
        <stp>VOLUME</stp>
        <stp>.SPXW251231C5830</stp>
        <tr r="X90" s="2"/>
      </tp>
      <tp t="s">
        <v>N/A</v>
        <stp/>
        <stp>VOLUME</stp>
        <stp>.SPXW251031P5830</stp>
        <tr r="T90" s="2"/>
      </tp>
      <tp t="s">
        <v>N/A</v>
        <stp/>
        <stp>VOLUME</stp>
        <stp>.SPXW251231P5830</stp>
        <tr r="X90" s="2"/>
      </tp>
      <tp t="s">
        <v>N/A</v>
        <stp/>
        <stp>VOLUME</stp>
        <stp>.SPXW250930P5820</stp>
        <tr r="R91" s="2"/>
      </tp>
      <tp t="s">
        <v>N/A</v>
        <stp/>
        <stp>VOLUME</stp>
        <stp>.SPXW250530P5820</stp>
        <tr r="I91" s="2"/>
      </tp>
      <tp t="s">
        <v>N/A</v>
        <stp/>
        <stp>VOLUME</stp>
        <stp>.SPXW250731P5830</stp>
        <tr r="N90" s="2"/>
      </tp>
      <tp t="s">
        <v>N/A</v>
        <stp/>
        <stp>VOLUME</stp>
        <stp>.SPXW250630P5820</stp>
        <tr r="L91" s="2"/>
      </tp>
      <tp t="s">
        <v>N/A</v>
        <stp/>
        <stp>VOLUME</stp>
        <stp>.NDXP250930P19675</stp>
        <tr r="R169" s="2"/>
      </tp>
      <tp t="s">
        <v>N/A</v>
        <stp/>
        <stp>VOLUME</stp>
        <stp>.NDXP250731P19775</stp>
        <tr r="N165" s="2"/>
      </tp>
      <tp t="s">
        <v>N/A</v>
        <stp/>
        <stp>VOLUME</stp>
        <stp>.NDXP250630P19675</stp>
        <tr r="L169" s="2"/>
      </tp>
      <tp t="s">
        <v>N/A</v>
        <stp/>
        <stp>VOLUME</stp>
        <stp>.NDXP250507P20175</stp>
        <tr r="BB148" s="1"/>
      </tp>
      <tp>
        <v>44</v>
        <stp/>
        <stp>VOLUME</stp>
        <stp>.NDXP250507P19175</stp>
        <tr r="BB188" s="1"/>
        <tr r="BB188" s="1"/>
      </tp>
      <tp t="s">
        <v>N/A</v>
        <stp/>
        <stp>VOLUME</stp>
        <stp>.NDXP250530P19675</stp>
        <tr r="I169" s="2"/>
      </tp>
      <tp t="s">
        <v>N/A</v>
        <stp/>
        <stp>VOLUME</stp>
        <stp>.NDXP250606P20075</stp>
        <tr r="J153" s="2"/>
      </tp>
      <tp t="s">
        <v>N/A</v>
        <stp/>
        <stp>VOLUME</stp>
        <stp>.SPXW250930C5830</stp>
        <tr r="R90" s="2"/>
      </tp>
      <tp t="s">
        <v>N/A</v>
        <stp/>
        <stp>VOLUME</stp>
        <stp>.SPXW250530C5830</stp>
        <tr r="I90" s="2"/>
      </tp>
      <tp t="s">
        <v>N/A</v>
        <stp/>
        <stp>VOLUME</stp>
        <stp>.SPXW250731C5820</stp>
        <tr r="N91" s="2"/>
      </tp>
      <tp t="s">
        <v>N/A</v>
        <stp/>
        <stp>VOLUME</stp>
        <stp>.SPXW250630C5830</stp>
        <tr r="L90" s="2"/>
      </tp>
      <tp t="s">
        <v>N/A</v>
        <stp/>
        <stp>VOLUME</stp>
        <stp>.SPXW251031C5820</stp>
        <tr r="T91" s="2"/>
      </tp>
      <tp t="s">
        <v>N/A</v>
        <stp/>
        <stp>VOLUME</stp>
        <stp>.SPXW251231C5820</stp>
        <tr r="X91" s="2"/>
      </tp>
      <tp t="s">
        <v>N/A</v>
        <stp/>
        <stp>VOLUME</stp>
        <stp>.SPXW251031P5820</stp>
        <tr r="T91" s="2"/>
      </tp>
      <tp t="s">
        <v>N/A</v>
        <stp/>
        <stp>VOLUME</stp>
        <stp>.SPXW251231P5820</stp>
        <tr r="X91" s="2"/>
      </tp>
      <tp t="s">
        <v>N/A</v>
        <stp/>
        <stp>VOLUME</stp>
        <stp>.SPXW250930P5830</stp>
        <tr r="R90" s="2"/>
      </tp>
      <tp t="s">
        <v>N/A</v>
        <stp/>
        <stp>VOLUME</stp>
        <stp>.SPXW250530P5830</stp>
        <tr r="I90" s="2"/>
      </tp>
      <tp t="s">
        <v>N/A</v>
        <stp/>
        <stp>VOLUME</stp>
        <stp>.SPXW250731P5820</stp>
        <tr r="N91" s="2"/>
      </tp>
      <tp t="s">
        <v>N/A</v>
        <stp/>
        <stp>VOLUME</stp>
        <stp>.SPXW250630P5830</stp>
        <tr r="L90" s="2"/>
      </tp>
      <tp t="s">
        <v>N/A</v>
        <stp/>
        <stp>VOLUME</stp>
        <stp>.NDXP250930P19600</stp>
        <tr r="R172" s="2"/>
      </tp>
      <tp>
        <v>6</v>
        <stp/>
        <stp>VOLUME</stp>
        <stp>.NDXP250630P19600</stp>
        <tr r="L172" s="2"/>
        <tr r="L172" s="2"/>
      </tp>
      <tp>
        <v>4</v>
        <stp/>
        <stp>VOLUME</stp>
        <stp>.NDXP250507P20100</stp>
        <tr r="BB151" s="1"/>
        <tr r="BB151" s="1"/>
      </tp>
      <tp t="s">
        <v>N/A</v>
        <stp/>
        <stp>VOLUME</stp>
        <stp>.NDXP250731P19700</stp>
        <tr r="N168" s="2"/>
      </tp>
      <tp t="s">
        <v>N/A</v>
        <stp/>
        <stp>VOLUME</stp>
        <stp>.NDXP250530P19600</stp>
        <tr r="I172" s="2"/>
      </tp>
      <tp t="s">
        <v>N/A</v>
        <stp/>
        <stp>VOLUME</stp>
        <stp>.NDXP250606P20000</stp>
        <tr r="J156" s="2"/>
      </tp>
      <tp t="s">
        <v>N/A</v>
        <stp/>
        <stp>VOLUME</stp>
        <stp>.SPXW250930C5840</stp>
        <tr r="R89" s="2"/>
      </tp>
      <tp t="s">
        <v>N/A</v>
        <stp/>
        <stp>VOLUME</stp>
        <stp>.SPXW250530C5840</stp>
        <tr r="I89" s="2"/>
      </tp>
      <tp t="s">
        <v>N/A</v>
        <stp/>
        <stp>VOLUME</stp>
        <stp>.SPXW250731C5850</stp>
        <tr r="N88" s="2"/>
      </tp>
      <tp t="s">
        <v>N/A</v>
        <stp/>
        <stp>VOLUME</stp>
        <stp>.SPXW250630C5840</stp>
        <tr r="L89" s="2"/>
      </tp>
      <tp t="s">
        <v>N/A</v>
        <stp/>
        <stp>VOLUME</stp>
        <stp>.SPXW251031C5850</stp>
        <tr r="T88" s="2"/>
      </tp>
      <tp t="s">
        <v>N/A</v>
        <stp/>
        <stp>VOLUME</stp>
        <stp>.SPXW251231C5850</stp>
        <tr r="X88" s="2"/>
      </tp>
      <tp t="s">
        <v>N/A</v>
        <stp/>
        <stp>VOLUME</stp>
        <stp>.SPXW251031P5850</stp>
        <tr r="T88" s="2"/>
      </tp>
      <tp t="s">
        <v>N/A</v>
        <stp/>
        <stp>VOLUME</stp>
        <stp>.SPXW251231P5850</stp>
        <tr r="X88" s="2"/>
      </tp>
      <tp t="s">
        <v>N/A</v>
        <stp/>
        <stp>VOLUME</stp>
        <stp>.SPXW250930P5840</stp>
        <tr r="R89" s="2"/>
      </tp>
      <tp t="s">
        <v>N/A</v>
        <stp/>
        <stp>VOLUME</stp>
        <stp>.SPXW250530P5840</stp>
        <tr r="I89" s="2"/>
      </tp>
      <tp t="s">
        <v>N/A</v>
        <stp/>
        <stp>VOLUME</stp>
        <stp>.SPXW250731P5850</stp>
        <tr r="N88" s="2"/>
      </tp>
      <tp t="s">
        <v>N/A</v>
        <stp/>
        <stp>VOLUME</stp>
        <stp>.SPXW250630P5840</stp>
        <tr r="L89" s="2"/>
      </tp>
      <tp t="s">
        <v>N/A</v>
        <stp/>
        <stp>VOLUME</stp>
        <stp>.NDXP251231P19700</stp>
        <tr r="X168" s="2"/>
      </tp>
      <tp t="s">
        <v>N/A</v>
        <stp/>
        <stp>VOLUME</stp>
        <stp>.NDXP251031P19700</stp>
        <tr r="T168" s="2"/>
      </tp>
      <tp t="s">
        <v>N/A</v>
        <stp/>
        <stp>VOLUME</stp>
        <stp>.SPXW250930C5850</stp>
        <tr r="R88" s="2"/>
      </tp>
      <tp t="s">
        <v>N/A</v>
        <stp/>
        <stp>VOLUME</stp>
        <stp>.SPXW250530C5850</stp>
        <tr r="I88" s="2"/>
      </tp>
      <tp t="s">
        <v>N/A</v>
        <stp/>
        <stp>VOLUME</stp>
        <stp>.SPXW250731C5840</stp>
        <tr r="N89" s="2"/>
      </tp>
      <tp t="s">
        <v>N/A</v>
        <stp/>
        <stp>VOLUME</stp>
        <stp>.SPXW250630C5850</stp>
        <tr r="L88" s="2"/>
      </tp>
      <tp t="s">
        <v>N/A</v>
        <stp/>
        <stp>VOLUME</stp>
        <stp>.SPXW251031C5840</stp>
        <tr r="T89" s="2"/>
      </tp>
      <tp t="s">
        <v>N/A</v>
        <stp/>
        <stp>VOLUME</stp>
        <stp>.SPXW251231C5840</stp>
        <tr r="X89" s="2"/>
      </tp>
      <tp t="s">
        <v>N/A</v>
        <stp/>
        <stp>VOLUME</stp>
        <stp>.SPXW251031P5840</stp>
        <tr r="T89" s="2"/>
      </tp>
      <tp t="s">
        <v>N/A</v>
        <stp/>
        <stp>VOLUME</stp>
        <stp>.SPXW251231P5840</stp>
        <tr r="X89" s="2"/>
      </tp>
      <tp t="s">
        <v>N/A</v>
        <stp/>
        <stp>VOLUME</stp>
        <stp>.SPXW250930P5850</stp>
        <tr r="R88" s="2"/>
      </tp>
      <tp t="s">
        <v>N/A</v>
        <stp/>
        <stp>VOLUME</stp>
        <stp>.SPXW250530P5850</stp>
        <tr r="I88" s="2"/>
      </tp>
      <tp t="s">
        <v>N/A</v>
        <stp/>
        <stp>VOLUME</stp>
        <stp>.SPXW250731P5840</stp>
        <tr r="N89" s="2"/>
      </tp>
      <tp t="s">
        <v>N/A</v>
        <stp/>
        <stp>VOLUME</stp>
        <stp>.SPXW250630P5850</stp>
        <tr r="L88" s="2"/>
      </tp>
      <tp t="s">
        <v>N/A</v>
        <stp/>
        <stp>VOLUME</stp>
        <stp>.NDXP250930P19625</stp>
        <tr r="R171" s="2"/>
      </tp>
      <tp t="s">
        <v>N/A</v>
        <stp/>
        <stp>VOLUME</stp>
        <stp>.NDXP250731P19725</stp>
        <tr r="N167" s="2"/>
      </tp>
      <tp t="s">
        <v>N/A</v>
        <stp/>
        <stp>VOLUME</stp>
        <stp>.NDXP250630P19625</stp>
        <tr r="L171" s="2"/>
      </tp>
      <tp t="s">
        <v>N/A</v>
        <stp/>
        <stp>VOLUME</stp>
        <stp>.NDXP250507P20125</stp>
        <tr r="BB150" s="1"/>
      </tp>
      <tp t="s">
        <v>N/A</v>
        <stp/>
        <stp>VOLUME</stp>
        <stp>.NDXP250530P19625</stp>
        <tr r="I171" s="2"/>
      </tp>
      <tp t="s">
        <v>N/A</v>
        <stp/>
        <stp>VOLUME</stp>
        <stp>.NDXP250606P20025</stp>
        <tr r="J155" s="2"/>
      </tp>
      <tp t="s">
        <v>N/A</v>
        <stp/>
        <stp>VOLUME</stp>
        <stp>.SPXW250930C5860</stp>
        <tr r="R87" s="2"/>
      </tp>
      <tp t="s">
        <v>N/A</v>
        <stp/>
        <stp>VOLUME</stp>
        <stp>.SPXW250530C5860</stp>
        <tr r="I87" s="2"/>
      </tp>
      <tp t="s">
        <v>N/A</v>
        <stp/>
        <stp>VOLUME</stp>
        <stp>.SPXW250731C5870</stp>
        <tr r="N86" s="2"/>
      </tp>
      <tp t="s">
        <v>N/A</v>
        <stp/>
        <stp>VOLUME</stp>
        <stp>.SPXW250630C5860</stp>
        <tr r="L87" s="2"/>
      </tp>
      <tp t="s">
        <v>N/A</v>
        <stp/>
        <stp>VOLUME</stp>
        <stp>.SPXW251031C5870</stp>
        <tr r="T86" s="2"/>
      </tp>
      <tp t="s">
        <v>N/A</v>
        <stp/>
        <stp>VOLUME</stp>
        <stp>.SPXW251231C5870</stp>
        <tr r="X86" s="2"/>
      </tp>
      <tp t="s">
        <v>N/A</v>
        <stp/>
        <stp>VOLUME</stp>
        <stp>.SPXW251031P5870</stp>
        <tr r="T86" s="2"/>
      </tp>
      <tp t="s">
        <v>N/A</v>
        <stp/>
        <stp>VOLUME</stp>
        <stp>.SPXW251231P5870</stp>
        <tr r="X86" s="2"/>
      </tp>
      <tp t="s">
        <v>N/A</v>
        <stp/>
        <stp>VOLUME</stp>
        <stp>.SPXW250930P5860</stp>
        <tr r="R87" s="2"/>
      </tp>
      <tp t="s">
        <v>N/A</v>
        <stp/>
        <stp>VOLUME</stp>
        <stp>.SPXW250530P5860</stp>
        <tr r="I87" s="2"/>
      </tp>
      <tp t="s">
        <v>N/A</v>
        <stp/>
        <stp>VOLUME</stp>
        <stp>.SPXW250731P5870</stp>
        <tr r="N86" s="2"/>
      </tp>
      <tp t="s">
        <v>N/A</v>
        <stp/>
        <stp>VOLUME</stp>
        <stp>.SPXW250630P5860</stp>
        <tr r="L87" s="2"/>
      </tp>
      <tp t="s">
        <v>N/A</v>
        <stp/>
        <stp>VOLUME</stp>
        <stp>.NDXP251231P19725</stp>
        <tr r="X167" s="2"/>
      </tp>
      <tp t="s">
        <v>N/A</v>
        <stp/>
        <stp>VOLUME</stp>
        <stp>.NDXP251031P19725</stp>
        <tr r="T167" s="2"/>
      </tp>
      <tp t="s">
        <v>N/A</v>
        <stp/>
        <stp>VOLUME</stp>
        <stp>.SPXW250930C5870</stp>
        <tr r="R86" s="2"/>
      </tp>
      <tp t="s">
        <v>N/A</v>
        <stp/>
        <stp>VOLUME</stp>
        <stp>.SPXW250530C5870</stp>
        <tr r="I86" s="2"/>
      </tp>
      <tp t="s">
        <v>N/A</v>
        <stp/>
        <stp>VOLUME</stp>
        <stp>.SPXW250731C5860</stp>
        <tr r="N87" s="2"/>
      </tp>
      <tp t="s">
        <v>N/A</v>
        <stp/>
        <stp>VOLUME</stp>
        <stp>.SPXW250630C5870</stp>
        <tr r="L86" s="2"/>
      </tp>
      <tp t="s">
        <v>N/A</v>
        <stp/>
        <stp>VOLUME</stp>
        <stp>.SPXW251031C5860</stp>
        <tr r="T87" s="2"/>
      </tp>
      <tp t="s">
        <v>N/A</v>
        <stp/>
        <stp>VOLUME</stp>
        <stp>.SPXW251231C5860</stp>
        <tr r="X87" s="2"/>
      </tp>
      <tp t="s">
        <v>N/A</v>
        <stp/>
        <stp>VOLUME</stp>
        <stp>.SPXW251031P5860</stp>
        <tr r="T87" s="2"/>
      </tp>
      <tp t="s">
        <v>N/A</v>
        <stp/>
        <stp>VOLUME</stp>
        <stp>.SPXW251231P5860</stp>
        <tr r="X87" s="2"/>
      </tp>
      <tp t="s">
        <v>N/A</v>
        <stp/>
        <stp>VOLUME</stp>
        <stp>.SPXW250930P5870</stp>
        <tr r="R86" s="2"/>
      </tp>
      <tp t="s">
        <v>N/A</v>
        <stp/>
        <stp>VOLUME</stp>
        <stp>.SPXW250530P5870</stp>
        <tr r="I86" s="2"/>
      </tp>
      <tp t="s">
        <v>N/A</v>
        <stp/>
        <stp>VOLUME</stp>
        <stp>.SPXW250731P5860</stp>
        <tr r="N87" s="2"/>
      </tp>
      <tp t="s">
        <v>N/A</v>
        <stp/>
        <stp>VOLUME</stp>
        <stp>.SPXW250630P5870</stp>
        <tr r="L86" s="2"/>
      </tp>
      <tp>
        <v>18</v>
        <stp/>
        <stp>OPEN_INT</stp>
        <stp>.NDXP250507C19900</stp>
        <tr r="AS159" s="1"/>
        <tr r="AS159" s="1"/>
      </tp>
      <tp>
        <v>5</v>
        <stp/>
        <stp>OPEN_INT</stp>
        <stp>.NDXP250509C19700</stp>
        <tr r="AU167" s="1"/>
        <tr r="AU167" s="1"/>
      </tp>
      <tp>
        <v>9</v>
        <stp/>
        <stp>OPEN_INT</stp>
        <stp>.NDXP250507C19925</stp>
        <tr r="AS158" s="1"/>
        <tr r="AS158" s="1"/>
      </tp>
      <tp>
        <v>9</v>
        <stp/>
        <stp>OPEN_INT</stp>
        <stp>.NDXP250509C19725</stp>
        <tr r="AU166" s="1"/>
        <tr r="AU166" s="1"/>
      </tp>
      <tp>
        <v>7</v>
        <stp/>
        <stp>OPEN_INT</stp>
        <stp>.NDXP250507C19950</stp>
        <tr r="AS157" s="1"/>
        <tr r="AS157" s="1"/>
      </tp>
      <tp>
        <v>9</v>
        <stp/>
        <stp>OPEN_INT</stp>
        <stp>.NDXP250509C19750</stp>
        <tr r="AU165" s="1"/>
        <tr r="AU165" s="1"/>
      </tp>
      <tp>
        <v>100</v>
        <stp/>
        <stp>OPEN_INT</stp>
        <stp>.NDXP250507C19975</stp>
        <tr r="AS156" s="1"/>
        <tr r="AS156" s="1"/>
      </tp>
      <tp>
        <v>12</v>
        <stp/>
        <stp>OPEN_INT</stp>
        <stp>.NDXP250509C19775</stp>
        <tr r="AU164" s="1"/>
        <tr r="AU164" s="1"/>
      </tp>
      <tp>
        <v>75</v>
        <stp/>
        <stp>OPEN_INT</stp>
        <stp>.NDXP250507P19925</stp>
        <tr r="AT158" s="1"/>
        <tr r="AT158" s="1"/>
      </tp>
      <tp>
        <v>1</v>
        <stp/>
        <stp>OPEN_INT</stp>
        <stp>.NDXP250509P19725</stp>
        <tr r="AV166" s="1"/>
        <tr r="AV166" s="1"/>
      </tp>
      <tp>
        <v>12</v>
        <stp/>
        <stp>OPEN_INT</stp>
        <stp>.NDXP250507P19900</stp>
        <tr r="AT159" s="1"/>
        <tr r="AT159" s="1"/>
      </tp>
      <tp>
        <v>8</v>
        <stp/>
        <stp>OPEN_INT</stp>
        <stp>.NDXP250509P19700</stp>
        <tr r="AV167" s="1"/>
        <tr r="AV167" s="1"/>
      </tp>
      <tp>
        <v>5</v>
        <stp/>
        <stp>OPEN_INT</stp>
        <stp>.NDXP250507P19975</stp>
        <tr r="AT156" s="1"/>
        <tr r="AT156" s="1"/>
      </tp>
      <tp>
        <v>1</v>
        <stp/>
        <stp>OPEN_INT</stp>
        <stp>.NDXP250509P19775</stp>
        <tr r="AV164" s="1"/>
        <tr r="AV164" s="1"/>
      </tp>
      <tp>
        <v>8</v>
        <stp/>
        <stp>OPEN_INT</stp>
        <stp>.NDXP250507P19950</stp>
        <tr r="AT157" s="1"/>
        <tr r="AT157" s="1"/>
      </tp>
      <tp>
        <v>2</v>
        <stp/>
        <stp>OPEN_INT</stp>
        <stp>.NDXP250509P19750</stp>
        <tr r="AV165" s="1"/>
        <tr r="AV165" s="1"/>
      </tp>
      <tp>
        <v>-0.97</v>
        <stp/>
        <stp>DELTA</stp>
        <stp>.NDXP250507P20325</stp>
        <tr r="CE142" s="1"/>
        <tr r="CE142" s="1"/>
      </tp>
      <tp>
        <v>-0.06</v>
        <stp/>
        <stp>DELTA</stp>
        <stp>.NDXP250507P19325</stp>
        <tr r="CE182" s="1"/>
        <tr r="CE182" s="1"/>
      </tp>
      <tp>
        <v>-1</v>
        <stp/>
        <stp>DELTA</stp>
        <stp>.NDXP250507P20300</stp>
        <tr r="CE143" s="1"/>
        <tr r="CE143" s="1"/>
      </tp>
      <tp>
        <v>-0.02</v>
        <stp/>
        <stp>DELTA</stp>
        <stp>.NDXP250507P19300</stp>
        <tr r="CE183" s="1"/>
        <tr r="CE183" s="1"/>
      </tp>
      <tp>
        <v>-0.97</v>
        <stp/>
        <stp>DELTA</stp>
        <stp>.NDXP250507P20375</stp>
        <tr r="CE140" s="1"/>
        <tr r="CE140" s="1"/>
      </tp>
      <tp>
        <v>-7.0000000000000007E-2</v>
        <stp/>
        <stp>DELTA</stp>
        <stp>.NDXP250507P19375</stp>
        <tr r="CE180" s="1"/>
        <tr r="CE180" s="1"/>
      </tp>
      <tp>
        <v>-0.97</v>
        <stp/>
        <stp>DELTA</stp>
        <stp>.NDXP250507P20350</stp>
        <tr r="CE141" s="1"/>
        <tr r="CE141" s="1"/>
      </tp>
      <tp>
        <v>-0.06</v>
        <stp/>
        <stp>DELTA</stp>
        <stp>.NDXP250507P19350</stp>
        <tr r="CE181" s="1"/>
        <tr r="CE181" s="1"/>
      </tp>
      <tp>
        <v>0</v>
        <stp/>
        <stp>DELTA</stp>
        <stp>.NDXP250507C20300</stp>
        <tr r="CD143" s="1"/>
        <tr r="CD143" s="1"/>
      </tp>
      <tp>
        <v>1</v>
        <stp/>
        <stp>DELTA</stp>
        <stp>.NDXP250507C19300</stp>
        <tr r="CD183" s="1"/>
        <tr r="CD183" s="1"/>
      </tp>
      <tp>
        <v>7.0000000000000007E-2</v>
        <stp/>
        <stp>DELTA</stp>
        <stp>.NDXP250507C20325</stp>
        <tr r="CD142" s="1"/>
        <tr r="CD142" s="1"/>
      </tp>
      <tp>
        <v>0.95</v>
        <stp/>
        <stp>DELTA</stp>
        <stp>.NDXP250507C19325</stp>
        <tr r="CD182" s="1"/>
        <tr r="CD182" s="1"/>
      </tp>
      <tp>
        <v>0</v>
        <stp/>
        <stp>DELTA</stp>
        <stp>.NDXP250507C20350</stp>
        <tr r="CD141" s="1"/>
        <tr r="CD141" s="1"/>
      </tp>
      <tp>
        <v>0.96</v>
        <stp/>
        <stp>DELTA</stp>
        <stp>.NDXP250507C19350</stp>
        <tr r="CD181" s="1"/>
        <tr r="CD181" s="1"/>
      </tp>
      <tp>
        <v>0</v>
        <stp/>
        <stp>DELTA</stp>
        <stp>.NDXP250507C20375</stp>
        <tr r="CD140" s="1"/>
        <tr r="CD140" s="1"/>
      </tp>
      <tp>
        <v>1</v>
        <stp/>
        <stp>DELTA</stp>
        <stp>.NDXP250507C19375</stp>
        <tr r="CD180" s="1"/>
        <tr r="CD180" s="1"/>
      </tp>
      <tp t="s">
        <v>N/A</v>
        <stp/>
        <stp>VOLUME</stp>
        <stp>.NDXP250930C19775</stp>
        <tr r="R165" s="2"/>
      </tp>
      <tp t="s">
        <v>N/A</v>
        <stp/>
        <stp>VOLUME</stp>
        <stp>.NDXP250731C19675</stp>
        <tr r="N169" s="2"/>
      </tp>
      <tp t="s">
        <v>N/A</v>
        <stp/>
        <stp>VOLUME</stp>
        <stp>.NDXP250606C19175</stp>
        <tr r="J189" s="2"/>
      </tp>
      <tp t="s">
        <v>N/A</v>
        <stp/>
        <stp>VOLUME</stp>
        <stp>.NDXP250630C19775</stp>
        <tr r="L165" s="2"/>
      </tp>
      <tp>
        <v>69</v>
        <stp/>
        <stp>VOLUME</stp>
        <stp>.NDXP250507C20075</stp>
        <tr r="BA152" s="1"/>
        <tr r="BA152" s="1"/>
      </tp>
      <tp>
        <v>4</v>
        <stp/>
        <stp>VOLUME</stp>
        <stp>.NDXP250530C19775</stp>
        <tr r="I165" s="2"/>
        <tr r="I165" s="2"/>
      </tp>
      <tp t="s">
        <v>N/A</v>
        <stp/>
        <stp>VOLUME</stp>
        <stp>.NDXP250606C20175</stp>
        <tr r="J149" s="2"/>
      </tp>
      <tp t="s">
        <v>N/A</v>
        <stp/>
        <stp>VOLUME</stp>
        <stp>.NDXP251231C19675</stp>
        <tr r="X169" s="2"/>
      </tp>
      <tp t="s">
        <v>N/A</v>
        <stp/>
        <stp>VOLUME</stp>
        <stp>.NDXP251031C19675</stp>
        <tr r="T169" s="2"/>
      </tp>
      <tp t="s">
        <v>N/A</v>
        <stp/>
        <stp>VOLUME</stp>
        <stp>.NDXP250930C19750</stp>
        <tr r="R166" s="2"/>
      </tp>
      <tp t="s">
        <v>N/A</v>
        <stp/>
        <stp>VOLUME</stp>
        <stp>.NDXP250606C19150</stp>
        <tr r="J190" s="2"/>
      </tp>
      <tp t="s">
        <v>N/A</v>
        <stp/>
        <stp>VOLUME</stp>
        <stp>.NDXP250630C19750</stp>
        <tr r="L166" s="2"/>
      </tp>
      <tp>
        <v>337</v>
        <stp/>
        <stp>VOLUME</stp>
        <stp>.NDXP250507C20050</stp>
        <tr r="BA153" s="1"/>
        <tr r="BA153" s="1"/>
      </tp>
      <tp t="s">
        <v>N/A</v>
        <stp/>
        <stp>VOLUME</stp>
        <stp>.NDXP250731C19650</stp>
        <tr r="N170" s="2"/>
      </tp>
      <tp>
        <v>2</v>
        <stp/>
        <stp>VOLUME</stp>
        <stp>.NDXP250530C19750</stp>
        <tr r="I166" s="2"/>
        <tr r="I166" s="2"/>
      </tp>
      <tp t="s">
        <v>N/A</v>
        <stp/>
        <stp>VOLUME</stp>
        <stp>.NDXP250606C20150</stp>
        <tr r="J150" s="2"/>
      </tp>
      <tp t="s">
        <v>N/A</v>
        <stp/>
        <stp>VOLUME</stp>
        <stp>.NDXP251231C19650</stp>
        <tr r="X170" s="2"/>
      </tp>
      <tp t="s">
        <v>N/A</v>
        <stp/>
        <stp>VOLUME</stp>
        <stp>.NDXP251031C19650</stp>
        <tr r="T170" s="2"/>
      </tp>
      <tp t="s">
        <v>N/A</v>
        <stp/>
        <stp>VOLUME</stp>
        <stp>.NDXP251231C19625</stp>
        <tr r="X171" s="2"/>
      </tp>
      <tp t="s">
        <v>N/A</v>
        <stp/>
        <stp>VOLUME</stp>
        <stp>.NDXP251031C19625</stp>
        <tr r="T171" s="2"/>
      </tp>
      <tp t="s">
        <v>N/A</v>
        <stp/>
        <stp>VOLUME</stp>
        <stp>.NDXP250930C19725</stp>
        <tr r="R167" s="2"/>
      </tp>
      <tp t="s">
        <v>N/A</v>
        <stp/>
        <stp>VOLUME</stp>
        <stp>.NDXP250731C19625</stp>
        <tr r="N171" s="2"/>
      </tp>
      <tp t="s">
        <v>N/A</v>
        <stp/>
        <stp>VOLUME</stp>
        <stp>.NDXP250630C19725</stp>
        <tr r="L167" s="2"/>
      </tp>
      <tp>
        <v>171</v>
        <stp/>
        <stp>VOLUME</stp>
        <stp>.NDXP250507C20025</stp>
        <tr r="BA154" s="1"/>
        <tr r="BA154" s="1"/>
      </tp>
      <tp t="s">
        <v>N/A</v>
        <stp/>
        <stp>VOLUME</stp>
        <stp>.NDXP250530C19725</stp>
        <tr r="I167" s="2"/>
      </tp>
      <tp t="s">
        <v>N/A</v>
        <stp/>
        <stp>VOLUME</stp>
        <stp>.NDXP250606C20125</stp>
        <tr r="J151" s="2"/>
      </tp>
      <tp t="s">
        <v>N/A</v>
        <stp/>
        <stp>VOLUME</stp>
        <stp>.NDXP251231C19600</stp>
        <tr r="X172" s="2"/>
      </tp>
      <tp t="s">
        <v>N/A</v>
        <stp/>
        <stp>VOLUME</stp>
        <stp>.NDXP251031C19600</stp>
        <tr r="T172" s="2"/>
      </tp>
      <tp t="s">
        <v>N/A</v>
        <stp/>
        <stp>VOLUME</stp>
        <stp>.NDXP250930C19700</stp>
        <tr r="R168" s="2"/>
      </tp>
      <tp t="s">
        <v>N/A</v>
        <stp/>
        <stp>VOLUME</stp>
        <stp>.NDXP250630C19700</stp>
        <tr r="L168" s="2"/>
      </tp>
      <tp>
        <v>1878</v>
        <stp/>
        <stp>VOLUME</stp>
        <stp>.NDXP250507C20000</stp>
        <tr r="BA155" s="1"/>
        <tr r="BA155" s="1"/>
      </tp>
      <tp t="s">
        <v>N/A</v>
        <stp/>
        <stp>VOLUME</stp>
        <stp>.NDXP250731C19600</stp>
        <tr r="N172" s="2"/>
      </tp>
      <tp>
        <v>3</v>
        <stp/>
        <stp>VOLUME</stp>
        <stp>.NDXP250530C19700</stp>
        <tr r="I168" s="2"/>
        <tr r="I168" s="2"/>
      </tp>
      <tp>
        <v>1</v>
        <stp/>
        <stp>VOLUME</stp>
        <stp>.NDXP250606C20100</stp>
        <tr r="J152" s="2"/>
        <tr r="J152" s="2"/>
      </tp>
      <tp t="s">
        <v>N/A</v>
        <stp/>
        <stp>VOLUME</stp>
        <stp>.SPXW250829C5810</stp>
        <tr r="P92" s="2"/>
      </tp>
      <tp t="s">
        <v>N/A</v>
        <stp/>
        <stp>VOLUME</stp>
        <stp>.SPXW251128C5800</stp>
        <tr r="V93" s="2"/>
      </tp>
      <tp t="s">
        <v>N/A</v>
        <stp/>
        <stp>VOLUME</stp>
        <stp>.SPXW251128P5800</stp>
        <tr r="V93" s="2"/>
      </tp>
      <tp t="s">
        <v>N/A</v>
        <stp/>
        <stp>VOLUME</stp>
        <stp>.SPXW250829P5810</stp>
        <tr r="P92" s="2"/>
      </tp>
      <tp t="s">
        <v>N/A</v>
        <stp/>
        <stp>VOLUME</stp>
        <stp>.SPXW250829C5800</stp>
        <tr r="P93" s="2"/>
      </tp>
      <tp t="s">
        <v>N/A</v>
        <stp/>
        <stp>VOLUME</stp>
        <stp>.SPXW251128C5810</stp>
        <tr r="V92" s="2"/>
      </tp>
      <tp t="s">
        <v>N/A</v>
        <stp/>
        <stp>VOLUME</stp>
        <stp>.SPXW251128P5810</stp>
        <tr r="V92" s="2"/>
      </tp>
      <tp t="s">
        <v>N/A</v>
        <stp/>
        <stp>VOLUME</stp>
        <stp>.SPXW250829P5800</stp>
        <tr r="P93" s="2"/>
      </tp>
      <tp t="s">
        <v>N/A</v>
        <stp/>
        <stp>VOLUME</stp>
        <stp>.SPXW250829C5830</stp>
        <tr r="P90" s="2"/>
      </tp>
      <tp t="s">
        <v>N/A</v>
        <stp/>
        <stp>VOLUME</stp>
        <stp>.SPXW251128C5820</stp>
        <tr r="V91" s="2"/>
      </tp>
      <tp t="s">
        <v>N/A</v>
        <stp/>
        <stp>VOLUME</stp>
        <stp>.SPXW251128P5820</stp>
        <tr r="V91" s="2"/>
      </tp>
      <tp t="s">
        <v>N/A</v>
        <stp/>
        <stp>VOLUME</stp>
        <stp>.SPXW250829P5830</stp>
        <tr r="P90" s="2"/>
      </tp>
      <tp t="s">
        <v>N/A</v>
        <stp/>
        <stp>VOLUME</stp>
        <stp>.SPXW250829C5820</stp>
        <tr r="P91" s="2"/>
      </tp>
      <tp t="s">
        <v>N/A</v>
        <stp/>
        <stp>VOLUME</stp>
        <stp>.SPXW251128C5830</stp>
        <tr r="V90" s="2"/>
      </tp>
      <tp t="s">
        <v>N/A</v>
        <stp/>
        <stp>VOLUME</stp>
        <stp>.SPXW251128P5830</stp>
        <tr r="V90" s="2"/>
      </tp>
      <tp t="s">
        <v>N/A</v>
        <stp/>
        <stp>VOLUME</stp>
        <stp>.SPXW250829P5820</stp>
        <tr r="P91" s="2"/>
      </tp>
      <tp t="s">
        <v>N/A</v>
        <stp/>
        <stp>VOLUME</stp>
        <stp>.SPXW250829C5850</stp>
        <tr r="P88" s="2"/>
      </tp>
      <tp t="s">
        <v>N/A</v>
        <stp/>
        <stp>VOLUME</stp>
        <stp>.SPXW251128C5840</stp>
        <tr r="V89" s="2"/>
      </tp>
      <tp t="s">
        <v>N/A</v>
        <stp/>
        <stp>VOLUME</stp>
        <stp>.SPXW251128P5840</stp>
        <tr r="V89" s="2"/>
      </tp>
      <tp t="s">
        <v>N/A</v>
        <stp/>
        <stp>VOLUME</stp>
        <stp>.SPXW250829P5850</stp>
        <tr r="P88" s="2"/>
      </tp>
      <tp t="s">
        <v>N/A</v>
        <stp/>
        <stp>VOLUME</stp>
        <stp>.SPXW250829C5840</stp>
        <tr r="P89" s="2"/>
      </tp>
      <tp t="s">
        <v>N/A</v>
        <stp/>
        <stp>VOLUME</stp>
        <stp>.SPXW251128C5850</stp>
        <tr r="V88" s="2"/>
      </tp>
      <tp t="s">
        <v>N/A</v>
        <stp/>
        <stp>VOLUME</stp>
        <stp>.SPXW251128P5850</stp>
        <tr r="V88" s="2"/>
      </tp>
      <tp t="s">
        <v>N/A</v>
        <stp/>
        <stp>VOLUME</stp>
        <stp>.SPXW250829P5840</stp>
        <tr r="P89" s="2"/>
      </tp>
      <tp t="s">
        <v>N/A</v>
        <stp/>
        <stp>VOLUME</stp>
        <stp>.SPXW250829C5870</stp>
        <tr r="P86" s="2"/>
      </tp>
      <tp t="s">
        <v>N/A</v>
        <stp/>
        <stp>VOLUME</stp>
        <stp>.SPXW251128C5860</stp>
        <tr r="V87" s="2"/>
      </tp>
      <tp t="s">
        <v>N/A</v>
        <stp/>
        <stp>VOLUME</stp>
        <stp>.SPXW251128P5860</stp>
        <tr r="V87" s="2"/>
      </tp>
      <tp t="s">
        <v>N/A</v>
        <stp/>
        <stp>VOLUME</stp>
        <stp>.SPXW250829P5870</stp>
        <tr r="P86" s="2"/>
      </tp>
      <tp t="s">
        <v>N/A</v>
        <stp/>
        <stp>VOLUME</stp>
        <stp>.SPXW250829C5860</stp>
        <tr r="P87" s="2"/>
      </tp>
      <tp t="s">
        <v>N/A</v>
        <stp/>
        <stp>VOLUME</stp>
        <stp>.SPXW251128C5870</stp>
        <tr r="V86" s="2"/>
      </tp>
      <tp t="s">
        <v>N/A</v>
        <stp/>
        <stp>VOLUME</stp>
        <stp>.SPXW251128P5870</stp>
        <tr r="V86" s="2"/>
      </tp>
      <tp t="s">
        <v>N/A</v>
        <stp/>
        <stp>VOLUME</stp>
        <stp>.SPXW250829P5860</stp>
        <tr r="P87" s="2"/>
      </tp>
      <tp t="s">
        <v>N/A</v>
        <stp/>
        <stp>VOLUME</stp>
        <stp>.NDXP251231P19650</stp>
        <tr r="X170" s="2"/>
      </tp>
      <tp t="s">
        <v>N/A</v>
        <stp/>
        <stp>VOLUME</stp>
        <stp>.NDXP251031P19650</stp>
        <tr r="T170" s="2"/>
      </tp>
      <tp t="s">
        <v>N/A</v>
        <stp/>
        <stp>VOLUME</stp>
        <stp>.NDXP250930P19750</stp>
        <tr r="R166" s="2"/>
      </tp>
      <tp t="s">
        <v>N/A</v>
        <stp/>
        <stp>VOLUME</stp>
        <stp>.NDXP250606P19150</stp>
        <tr r="J190" s="2"/>
      </tp>
      <tp t="s">
        <v>N/A</v>
        <stp/>
        <stp>VOLUME</stp>
        <stp>.NDXP250630P19750</stp>
        <tr r="L166" s="2"/>
      </tp>
      <tp>
        <v>24</v>
        <stp/>
        <stp>VOLUME</stp>
        <stp>.NDXP250507P20050</stp>
        <tr r="BB153" s="1"/>
        <tr r="BB153" s="1"/>
      </tp>
      <tp t="s">
        <v>N/A</v>
        <stp/>
        <stp>VOLUME</stp>
        <stp>.NDXP250731P19650</stp>
        <tr r="N170" s="2"/>
      </tp>
      <tp>
        <v>1</v>
        <stp/>
        <stp>VOLUME</stp>
        <stp>.NDXP250530P19750</stp>
        <tr r="I166" s="2"/>
        <tr r="I166" s="2"/>
      </tp>
      <tp t="s">
        <v>N/A</v>
        <stp/>
        <stp>VOLUME</stp>
        <stp>.NDXP250606P20150</stp>
        <tr r="J150" s="2"/>
      </tp>
      <tp t="s">
        <v>N/A</v>
        <stp/>
        <stp>VOLUME</stp>
        <stp>.NDXP251231P19675</stp>
        <tr r="X169" s="2"/>
      </tp>
      <tp t="s">
        <v>N/A</v>
        <stp/>
        <stp>VOLUME</stp>
        <stp>.NDXP251031P19675</stp>
        <tr r="T169" s="2"/>
      </tp>
      <tp t="s">
        <v>N/A</v>
        <stp/>
        <stp>VOLUME</stp>
        <stp>.NDXP250930P19775</stp>
        <tr r="R165" s="2"/>
      </tp>
      <tp t="s">
        <v>N/A</v>
        <stp/>
        <stp>VOLUME</stp>
        <stp>.NDXP250731P19675</stp>
        <tr r="N169" s="2"/>
      </tp>
      <tp t="s">
        <v>N/A</v>
        <stp/>
        <stp>VOLUME</stp>
        <stp>.NDXP250606P19175</stp>
        <tr r="J189" s="2"/>
      </tp>
      <tp t="s">
        <v>N/A</v>
        <stp/>
        <stp>VOLUME</stp>
        <stp>.NDXP250630P19775</stp>
        <tr r="L165" s="2"/>
      </tp>
      <tp>
        <v>1</v>
        <stp/>
        <stp>VOLUME</stp>
        <stp>.NDXP250507P20075</stp>
        <tr r="BB152" s="1"/>
        <tr r="BB152" s="1"/>
      </tp>
      <tp t="s">
        <v>N/A</v>
        <stp/>
        <stp>VOLUME</stp>
        <stp>.NDXP250530P19775</stp>
        <tr r="I165" s="2"/>
      </tp>
      <tp t="s">
        <v>N/A</v>
        <stp/>
        <stp>VOLUME</stp>
        <stp>.NDXP250606P20175</stp>
        <tr r="J149" s="2"/>
      </tp>
      <tp t="s">
        <v>N/A</v>
        <stp/>
        <stp>VOLUME</stp>
        <stp>.NDXP250930P19700</stp>
        <tr r="R168" s="2"/>
      </tp>
      <tp t="s">
        <v>N/A</v>
        <stp/>
        <stp>VOLUME</stp>
        <stp>.NDXP250630P19700</stp>
        <tr r="L168" s="2"/>
      </tp>
      <tp>
        <v>25</v>
        <stp/>
        <stp>VOLUME</stp>
        <stp>.NDXP250507P20000</stp>
        <tr r="BB155" s="1"/>
        <tr r="BB155" s="1"/>
      </tp>
      <tp t="s">
        <v>N/A</v>
        <stp/>
        <stp>VOLUME</stp>
        <stp>.NDXP250731P19600</stp>
        <tr r="N172" s="2"/>
      </tp>
      <tp t="s">
        <v>N/A</v>
        <stp/>
        <stp>VOLUME</stp>
        <stp>.NDXP250530P19700</stp>
        <tr r="I168" s="2"/>
      </tp>
      <tp t="s">
        <v>N/A</v>
        <stp/>
        <stp>VOLUME</stp>
        <stp>.NDXP250606P20100</stp>
        <tr r="J152" s="2"/>
      </tp>
      <tp t="s">
        <v>N/A</v>
        <stp/>
        <stp>VOLUME</stp>
        <stp>.NDXP251231P19600</stp>
        <tr r="X172" s="2"/>
      </tp>
      <tp t="s">
        <v>N/A</v>
        <stp/>
        <stp>VOLUME</stp>
        <stp>.NDXP251031P19600</stp>
        <tr r="T172" s="2"/>
      </tp>
      <tp t="s">
        <v>N/A</v>
        <stp/>
        <stp>VOLUME</stp>
        <stp>.NDXP250930P19725</stp>
        <tr r="R167" s="2"/>
      </tp>
      <tp t="s">
        <v>N/A</v>
        <stp/>
        <stp>VOLUME</stp>
        <stp>.NDXP250731P19625</stp>
        <tr r="N171" s="2"/>
      </tp>
      <tp t="s">
        <v>N/A</v>
        <stp/>
        <stp>VOLUME</stp>
        <stp>.NDXP250630P19725</stp>
        <tr r="L167" s="2"/>
      </tp>
      <tp>
        <v>2</v>
        <stp/>
        <stp>VOLUME</stp>
        <stp>.NDXP250507P20025</stp>
        <tr r="BB154" s="1"/>
        <tr r="BB154" s="1"/>
      </tp>
      <tp t="s">
        <v>N/A</v>
        <stp/>
        <stp>VOLUME</stp>
        <stp>.NDXP250530P19725</stp>
        <tr r="I167" s="2"/>
      </tp>
      <tp t="s">
        <v>N/A</v>
        <stp/>
        <stp>VOLUME</stp>
        <stp>.NDXP250606P20125</stp>
        <tr r="J151" s="2"/>
      </tp>
      <tp t="s">
        <v>N/A</v>
        <stp/>
        <stp>VOLUME</stp>
        <stp>.NDXP251231P19625</stp>
        <tr r="X171" s="2"/>
      </tp>
      <tp t="s">
        <v>N/A</v>
        <stp/>
        <stp>VOLUME</stp>
        <stp>.NDXP251031P19625</stp>
        <tr r="T171" s="2"/>
      </tp>
      <tp>
        <v>38</v>
        <stp/>
        <stp>OPEN_INT</stp>
        <stp>.NDXP250509C20000</stp>
        <tr r="AU155" s="1"/>
        <tr r="AU155" s="1"/>
      </tp>
      <tp>
        <v>11</v>
        <stp/>
        <stp>OPEN_INT</stp>
        <stp>.NDXP250509C20025</stp>
        <tr r="AU154" s="1"/>
        <tr r="AU154" s="1"/>
      </tp>
      <tp>
        <v>26</v>
        <stp/>
        <stp>OPEN_INT</stp>
        <stp>.NDXP250509C20050</stp>
        <tr r="AU153" s="1"/>
        <tr r="AU153" s="1"/>
      </tp>
      <tp>
        <v>13</v>
        <stp/>
        <stp>OPEN_INT</stp>
        <stp>.NDXP250509C20075</stp>
        <tr r="AU152" s="1"/>
        <tr r="AU152" s="1"/>
      </tp>
      <tp>
        <v>1</v>
        <stp/>
        <stp>OPEN_INT</stp>
        <stp>.NDXP250509P20025</stp>
        <tr r="AV154" s="1"/>
        <tr r="AV154" s="1"/>
      </tp>
      <tp>
        <v>10</v>
        <stp/>
        <stp>OPEN_INT</stp>
        <stp>.NDXP250509P20000</stp>
        <tr r="AV155" s="1"/>
        <tr r="AV155" s="1"/>
      </tp>
      <tp>
        <v>0</v>
        <stp/>
        <stp>OPEN_INT</stp>
        <stp>.NDXP250509P20075</stp>
        <tr r="AV152" s="1"/>
        <tr r="AV152" s="1"/>
      </tp>
      <tp>
        <v>7</v>
        <stp/>
        <stp>OPEN_INT</stp>
        <stp>.NDXP250509P20050</stp>
        <tr r="AV153" s="1"/>
        <tr r="AV153" s="1"/>
      </tp>
      <tp>
        <v>-0.96</v>
        <stp/>
        <stp>DELTA</stp>
        <stp>.NDXP250507P20425</stp>
        <tr r="CE138" s="1"/>
        <tr r="CE138" s="1"/>
      </tp>
      <tp>
        <v>-7.0000000000000007E-2</v>
        <stp/>
        <stp>DELTA</stp>
        <stp>.NDXP250507P19425</stp>
        <tr r="CE178" s="1"/>
        <tr r="CE178" s="1"/>
      </tp>
      <tp>
        <v>-0.97</v>
        <stp/>
        <stp>DELTA</stp>
        <stp>.NDXP250507P20400</stp>
        <tr r="CE139" s="1"/>
        <tr r="CE139" s="1"/>
      </tp>
      <tp>
        <v>0</v>
        <stp/>
        <stp>DELTA</stp>
        <stp>.NDXP250507P19400</stp>
        <tr r="CE179" s="1"/>
        <tr r="CE179" s="1"/>
      </tp>
      <tp>
        <v>-0.08</v>
        <stp/>
        <stp>DELTA</stp>
        <stp>.NDXP250507P19475</stp>
        <tr r="CE176" s="1"/>
        <tr r="CE176" s="1"/>
      </tp>
      <tp>
        <v>-0.97</v>
        <stp/>
        <stp>DELTA</stp>
        <stp>.NDXP250507P20450</stp>
        <tr r="CE137" s="1"/>
        <tr r="CE137" s="1"/>
      </tp>
      <tp>
        <v>-7.0000000000000007E-2</v>
        <stp/>
        <stp>DELTA</stp>
        <stp>.NDXP250507P19450</stp>
        <tr r="CE177" s="1"/>
        <tr r="CE177" s="1"/>
      </tp>
      <tp>
        <v>0</v>
        <stp/>
        <stp>DELTA</stp>
        <stp>.NDXP250507C20400</stp>
        <tr r="CD139" s="1"/>
        <tr r="CD139" s="1"/>
      </tp>
      <tp>
        <v>1</v>
        <stp/>
        <stp>DELTA</stp>
        <stp>.NDXP250507C19400</stp>
        <tr r="CD179" s="1"/>
        <tr r="CD179" s="1"/>
      </tp>
      <tp>
        <v>0.06</v>
        <stp/>
        <stp>DELTA</stp>
        <stp>.NDXP250507C20425</stp>
        <tr r="CD138" s="1"/>
        <tr r="CD138" s="1"/>
      </tp>
      <tp>
        <v>0.97</v>
        <stp/>
        <stp>DELTA</stp>
        <stp>.NDXP250507C19425</stp>
        <tr r="CD178" s="1"/>
        <tr r="CD178" s="1"/>
      </tp>
      <tp>
        <v>0.06</v>
        <stp/>
        <stp>DELTA</stp>
        <stp>.NDXP250507C20450</stp>
        <tr r="CD137" s="1"/>
        <tr r="CD137" s="1"/>
      </tp>
      <tp>
        <v>0.98</v>
        <stp/>
        <stp>DELTA</stp>
        <stp>.NDXP250507C19450</stp>
        <tr r="CD177" s="1"/>
        <tr r="CD177" s="1"/>
      </tp>
      <tp>
        <v>1</v>
        <stp/>
        <stp>DELTA</stp>
        <stp>.NDXP250507C19475</stp>
        <tr r="CD176" s="1"/>
        <tr r="CD176" s="1"/>
      </tp>
      <tp t="s">
        <v>N/A</v>
        <stp/>
        <stp>VOLUME</stp>
        <stp>.NDXP250930C20075</stp>
        <tr r="R153" s="2"/>
      </tp>
      <tp t="s">
        <v>N/A</v>
        <stp/>
        <stp>VOLUME</stp>
        <stp>.NDXP250829C19975</stp>
        <tr r="P157" s="2"/>
      </tp>
      <tp t="s">
        <v>N/A</v>
        <stp/>
        <stp>VOLUME</stp>
        <stp>.NDXP250731C19175</stp>
        <tr r="N189" s="2"/>
      </tp>
      <tp>
        <v>1</v>
        <stp/>
        <stp>VOLUME</stp>
        <stp>.NDXP250606C19675</stp>
        <tr r="J169" s="2"/>
        <tr r="J169" s="2"/>
      </tp>
      <tp t="s">
        <v>N/A</v>
        <stp/>
        <stp>VOLUME</stp>
        <stp>.NDXP250530C20075</stp>
        <tr r="I153" s="2"/>
      </tp>
      <tp>
        <v>99</v>
        <stp/>
        <stp>VOLUME</stp>
        <stp>.NDXP250507C19775</stp>
        <tr r="BA164" s="1"/>
        <tr r="BA164" s="1"/>
      </tp>
      <tp t="s">
        <v>N/A</v>
        <stp/>
        <stp>VOLUME</stp>
        <stp>.NDXP250509C19975</stp>
        <tr r="BC156" s="1"/>
      </tp>
      <tp t="s">
        <v>N/A</v>
        <stp/>
        <stp>VOLUME</stp>
        <stp>.NDXP250630C20075</stp>
        <tr r="L153" s="2"/>
      </tp>
      <tp t="s">
        <v>N/A</v>
        <stp/>
        <stp>VOLUME</stp>
        <stp>.NDXP250731C20175</stp>
        <tr r="N149" s="2"/>
      </tp>
      <tp t="s">
        <v>N/A</v>
        <stp/>
        <stp>VOLUME</stp>
        <stp>.NDXP251031C20175</stp>
        <tr r="T149" s="2"/>
      </tp>
      <tp t="s">
        <v>N/A</v>
        <stp/>
        <stp>VOLUME</stp>
        <stp>.NDXP251231C19175</stp>
        <tr r="X189" s="2"/>
      </tp>
      <tp t="s">
        <v>N/A</v>
        <stp/>
        <stp>VOLUME</stp>
        <stp>.NDXP251128C19875</stp>
        <tr r="V161" s="2"/>
      </tp>
      <tp t="s">
        <v>N/A</v>
        <stp/>
        <stp>VOLUME</stp>
        <stp>.NDXP251231C20175</stp>
        <tr r="X149" s="2"/>
      </tp>
      <tp t="s">
        <v>N/A</v>
        <stp/>
        <stp>VOLUME</stp>
        <stp>.NDXP251031C19175</stp>
        <tr r="T189" s="2"/>
      </tp>
      <tp t="s">
        <v>N/A</v>
        <stp/>
        <stp>VOLUME</stp>
        <stp>.NDXP250930C20050</stp>
        <tr r="R154" s="2"/>
      </tp>
      <tp t="s">
        <v>N/A</v>
        <stp/>
        <stp>VOLUME</stp>
        <stp>.NDXP250829C19950</stp>
        <tr r="P158" s="2"/>
      </tp>
      <tp t="s">
        <v>N/A</v>
        <stp/>
        <stp>VOLUME</stp>
        <stp>.NDXP250606C19650</stp>
        <tr r="J170" s="2"/>
      </tp>
      <tp>
        <v>2</v>
        <stp/>
        <stp>VOLUME</stp>
        <stp>.NDXP250530C20050</stp>
        <tr r="I154" s="2"/>
        <tr r="I154" s="2"/>
      </tp>
      <tp t="s">
        <v>N/A</v>
        <stp/>
        <stp>VOLUME</stp>
        <stp>.NDXP250731C19150</stp>
        <tr r="N190" s="2"/>
      </tp>
      <tp t="s">
        <v>N/A</v>
        <stp/>
        <stp>VOLUME</stp>
        <stp>.NDXP250731C20150</stp>
        <tr r="N150" s="2"/>
      </tp>
      <tp>
        <v>167</v>
        <stp/>
        <stp>VOLUME</stp>
        <stp>.NDXP250507C19750</stp>
        <tr r="BA165" s="1"/>
        <tr r="BA165" s="1"/>
      </tp>
      <tp>
        <v>5</v>
        <stp/>
        <stp>VOLUME</stp>
        <stp>.NDXP250509C19950</stp>
        <tr r="BC157" s="1"/>
        <tr r="BC157" s="1"/>
      </tp>
      <tp t="s">
        <v>N/A</v>
        <stp/>
        <stp>VOLUME</stp>
        <stp>.NDXP250630C20050</stp>
        <tr r="L154" s="2"/>
      </tp>
      <tp t="s">
        <v>N/A</v>
        <stp/>
        <stp>VOLUME</stp>
        <stp>.NDXP251231C19150</stp>
        <tr r="X190" s="2"/>
      </tp>
      <tp t="s">
        <v>N/A</v>
        <stp/>
        <stp>VOLUME</stp>
        <stp>.NDXP251031C20150</stp>
        <tr r="T150" s="2"/>
      </tp>
      <tp t="s">
        <v>N/A</v>
        <stp/>
        <stp>VOLUME</stp>
        <stp>.NDXP251031C19150</stp>
        <tr r="T190" s="2"/>
      </tp>
      <tp t="s">
        <v>N/A</v>
        <stp/>
        <stp>VOLUME</stp>
        <stp>.NDXP251128C19850</stp>
        <tr r="V162" s="2"/>
      </tp>
      <tp t="s">
        <v>N/A</v>
        <stp/>
        <stp>VOLUME</stp>
        <stp>.NDXP251231C20150</stp>
        <tr r="X150" s="2"/>
      </tp>
      <tp t="s">
        <v>N/A</v>
        <stp/>
        <stp>VOLUME</stp>
        <stp>.NDXP251031C20125</stp>
        <tr r="T151" s="2"/>
      </tp>
      <tp t="s">
        <v>N/A</v>
        <stp/>
        <stp>VOLUME</stp>
        <stp>.NDXP251128C19825</stp>
        <tr r="V163" s="2"/>
      </tp>
      <tp t="s">
        <v>N/A</v>
        <stp/>
        <stp>VOLUME</stp>
        <stp>.NDXP251231C20125</stp>
        <tr r="X151" s="2"/>
      </tp>
      <tp t="s">
        <v>N/A</v>
        <stp/>
        <stp>VOLUME</stp>
        <stp>.NDXP250930C20025</stp>
        <tr r="R155" s="2"/>
      </tp>
      <tp t="s">
        <v>N/A</v>
        <stp/>
        <stp>VOLUME</stp>
        <stp>.NDXP250829C19925</stp>
        <tr r="P159" s="2"/>
      </tp>
      <tp t="s">
        <v>N/A</v>
        <stp/>
        <stp>VOLUME</stp>
        <stp>.NDXP250606C19625</stp>
        <tr r="J171" s="2"/>
      </tp>
      <tp t="s">
        <v>N/A</v>
        <stp/>
        <stp>VOLUME</stp>
        <stp>.NDXP250530C20025</stp>
        <tr r="I155" s="2"/>
      </tp>
      <tp>
        <v>133</v>
        <stp/>
        <stp>VOLUME</stp>
        <stp>.NDXP250507C19725</stp>
        <tr r="BA166" s="1"/>
        <tr r="BA166" s="1"/>
      </tp>
      <tp t="s">
        <v>N/A</v>
        <stp/>
        <stp>VOLUME</stp>
        <stp>.NDXP250509C19925</stp>
        <tr r="BC158" s="1"/>
      </tp>
      <tp>
        <v>4</v>
        <stp/>
        <stp>VOLUME</stp>
        <stp>.NDXP250630C20025</stp>
        <tr r="L155" s="2"/>
        <tr r="L155" s="2"/>
      </tp>
      <tp t="s">
        <v>N/A</v>
        <stp/>
        <stp>VOLUME</stp>
        <stp>.NDXP250731C20125</stp>
        <tr r="N151" s="2"/>
      </tp>
      <tp t="s">
        <v>N/A</v>
        <stp/>
        <stp>VOLUME</stp>
        <stp>.NDXP251031C20100</stp>
        <tr r="T152" s="2"/>
      </tp>
      <tp t="s">
        <v>N/A</v>
        <stp/>
        <stp>VOLUME</stp>
        <stp>.NDXP251128C19800</stp>
        <tr r="V164" s="2"/>
      </tp>
      <tp t="s">
        <v>N/A</v>
        <stp/>
        <stp>VOLUME</stp>
        <stp>.NDXP251231C20100</stp>
        <tr r="X152" s="2"/>
      </tp>
      <tp t="s">
        <v>N/A</v>
        <stp/>
        <stp>VOLUME</stp>
        <stp>.NDXP250930C20000</stp>
        <tr r="R156" s="2"/>
      </tp>
      <tp t="s">
        <v>N/A</v>
        <stp/>
        <stp>VOLUME</stp>
        <stp>.NDXP250829C19900</stp>
        <tr r="P160" s="2"/>
      </tp>
      <tp t="s">
        <v>N/A</v>
        <stp/>
        <stp>VOLUME</stp>
        <stp>.NDXP250606C19600</stp>
        <tr r="J172" s="2"/>
      </tp>
      <tp>
        <v>24</v>
        <stp/>
        <stp>VOLUME</stp>
        <stp>.NDXP250530C20000</stp>
        <tr r="I156" s="2"/>
        <tr r="I156" s="2"/>
      </tp>
      <tp t="s">
        <v>N/A</v>
        <stp/>
        <stp>VOLUME</stp>
        <stp>.NDXP250731C20100</stp>
        <tr r="N152" s="2"/>
      </tp>
      <tp>
        <v>140</v>
        <stp/>
        <stp>VOLUME</stp>
        <stp>.NDXP250507C19700</stp>
        <tr r="BA167" s="1"/>
        <tr r="BA167" s="1"/>
      </tp>
      <tp>
        <v>10</v>
        <stp/>
        <stp>VOLUME</stp>
        <stp>.NDXP250509C19900</stp>
        <tr r="BC159" s="1"/>
        <tr r="BC159" s="1"/>
      </tp>
      <tp t="s">
        <v>N/A</v>
        <stp/>
        <stp>VOLUME</stp>
        <stp>.NDXP250630C20000</stp>
        <tr r="L156" s="2"/>
      </tp>
      <tp t="s">
        <v>N/A</v>
        <stp/>
        <stp>VOLUME</stp>
        <stp>.NDXP251231P19150</stp>
        <tr r="X190" s="2"/>
      </tp>
      <tp t="s">
        <v>N/A</v>
        <stp/>
        <stp>VOLUME</stp>
        <stp>.NDXP251031P20150</stp>
        <tr r="T150" s="2"/>
      </tp>
      <tp t="s">
        <v>N/A</v>
        <stp/>
        <stp>VOLUME</stp>
        <stp>.NDXP251031P19150</stp>
        <tr r="T190" s="2"/>
      </tp>
      <tp t="s">
        <v>N/A</v>
        <stp/>
        <stp>VOLUME</stp>
        <stp>.NDXP251128P19850</stp>
        <tr r="V162" s="2"/>
      </tp>
      <tp t="s">
        <v>N/A</v>
        <stp/>
        <stp>VOLUME</stp>
        <stp>.NDXP251231P20150</stp>
        <tr r="X150" s="2"/>
      </tp>
      <tp t="s">
        <v>N/A</v>
        <stp/>
        <stp>VOLUME</stp>
        <stp>.NDXP250930P20050</stp>
        <tr r="R154" s="2"/>
      </tp>
      <tp t="s">
        <v>N/A</v>
        <stp/>
        <stp>VOLUME</stp>
        <stp>.NDXP250829P19950</stp>
        <tr r="P158" s="2"/>
      </tp>
      <tp t="s">
        <v>N/A</v>
        <stp/>
        <stp>VOLUME</stp>
        <stp>.NDXP250606P19650</stp>
        <tr r="J170" s="2"/>
      </tp>
      <tp t="s">
        <v>N/A</v>
        <stp/>
        <stp>VOLUME</stp>
        <stp>.NDXP250530P20050</stp>
        <tr r="I154" s="2"/>
      </tp>
      <tp t="s">
        <v>N/A</v>
        <stp/>
        <stp>VOLUME</stp>
        <stp>.NDXP250731P19150</stp>
        <tr r="N190" s="2"/>
      </tp>
      <tp t="s">
        <v>N/A</v>
        <stp/>
        <stp>VOLUME</stp>
        <stp>.NDXP250731P20150</stp>
        <tr r="N150" s="2"/>
      </tp>
      <tp>
        <v>185</v>
        <stp/>
        <stp>VOLUME</stp>
        <stp>.NDXP250507P19750</stp>
        <tr r="BB165" s="1"/>
        <tr r="BB165" s="1"/>
      </tp>
      <tp t="s">
        <v>N/A</v>
        <stp/>
        <stp>VOLUME</stp>
        <stp>.NDXP250509P19950</stp>
        <tr r="BD157" s="1"/>
      </tp>
      <tp t="s">
        <v>N/A</v>
        <stp/>
        <stp>VOLUME</stp>
        <stp>.NDXP250630P20050</stp>
        <tr r="L154" s="2"/>
      </tp>
      <tp t="s">
        <v>N/A</v>
        <stp/>
        <stp>VOLUME</stp>
        <stp>.NDXP251031P20175</stp>
        <tr r="T149" s="2"/>
      </tp>
      <tp t="s">
        <v>N/A</v>
        <stp/>
        <stp>VOLUME</stp>
        <stp>.NDXP251231P19175</stp>
        <tr r="X189" s="2"/>
      </tp>
      <tp t="s">
        <v>N/A</v>
        <stp/>
        <stp>VOLUME</stp>
        <stp>.NDXP251128P19875</stp>
        <tr r="V161" s="2"/>
      </tp>
      <tp t="s">
        <v>N/A</v>
        <stp/>
        <stp>VOLUME</stp>
        <stp>.NDXP251231P20175</stp>
        <tr r="X149" s="2"/>
      </tp>
      <tp t="s">
        <v>N/A</v>
        <stp/>
        <stp>VOLUME</stp>
        <stp>.NDXP251031P19175</stp>
        <tr r="T189" s="2"/>
      </tp>
      <tp t="s">
        <v>N/A</v>
        <stp/>
        <stp>VOLUME</stp>
        <stp>.NDXP250930P20075</stp>
        <tr r="R153" s="2"/>
      </tp>
      <tp t="s">
        <v>N/A</v>
        <stp/>
        <stp>VOLUME</stp>
        <stp>.NDXP250829P19975</stp>
        <tr r="P157" s="2"/>
      </tp>
      <tp t="s">
        <v>N/A</v>
        <stp/>
        <stp>VOLUME</stp>
        <stp>.NDXP250731P19175</stp>
        <tr r="N189" s="2"/>
      </tp>
      <tp t="s">
        <v>N/A</v>
        <stp/>
        <stp>VOLUME</stp>
        <stp>.NDXP250606P19675</stp>
        <tr r="J169" s="2"/>
      </tp>
      <tp t="s">
        <v>N/A</v>
        <stp/>
        <stp>VOLUME</stp>
        <stp>.NDXP250530P20075</stp>
        <tr r="I153" s="2"/>
      </tp>
      <tp>
        <v>167</v>
        <stp/>
        <stp>VOLUME</stp>
        <stp>.NDXP250507P19775</stp>
        <tr r="BB164" s="1"/>
        <tr r="BB164" s="1"/>
      </tp>
      <tp t="s">
        <v>N/A</v>
        <stp/>
        <stp>VOLUME</stp>
        <stp>.NDXP250509P19975</stp>
        <tr r="BD156" s="1"/>
      </tp>
      <tp t="s">
        <v>N/A</v>
        <stp/>
        <stp>VOLUME</stp>
        <stp>.NDXP250630P20075</stp>
        <tr r="L153" s="2"/>
      </tp>
      <tp t="s">
        <v>N/A</v>
        <stp/>
        <stp>VOLUME</stp>
        <stp>.NDXP250731P20175</stp>
        <tr r="N149" s="2"/>
      </tp>
      <tp t="s">
        <v>N/A</v>
        <stp/>
        <stp>VOLUME</stp>
        <stp>.NDXP250930P20000</stp>
        <tr r="R156" s="2"/>
      </tp>
      <tp t="s">
        <v>N/A</v>
        <stp/>
        <stp>VOLUME</stp>
        <stp>.NDXP250829P19900</stp>
        <tr r="P160" s="2"/>
      </tp>
      <tp t="s">
        <v>N/A</v>
        <stp/>
        <stp>VOLUME</stp>
        <stp>.NDXP250606P19600</stp>
        <tr r="J172" s="2"/>
      </tp>
      <tp>
        <v>1</v>
        <stp/>
        <stp>VOLUME</stp>
        <stp>.NDXP250530P20000</stp>
        <tr r="I156" s="2"/>
        <tr r="I156" s="2"/>
      </tp>
      <tp t="s">
        <v>N/A</v>
        <stp/>
        <stp>VOLUME</stp>
        <stp>.NDXP250731P20100</stp>
        <tr r="N152" s="2"/>
      </tp>
      <tp>
        <v>526</v>
        <stp/>
        <stp>VOLUME</stp>
        <stp>.NDXP250507P19700</stp>
        <tr r="BB167" s="1"/>
        <tr r="BB167" s="1"/>
      </tp>
      <tp t="s">
        <v>N/A</v>
        <stp/>
        <stp>VOLUME</stp>
        <stp>.NDXP250509P19900</stp>
        <tr r="BD159" s="1"/>
      </tp>
      <tp t="s">
        <v>N/A</v>
        <stp/>
        <stp>VOLUME</stp>
        <stp>.NDXP250630P20000</stp>
        <tr r="L156" s="2"/>
      </tp>
      <tp t="s">
        <v>N/A</v>
        <stp/>
        <stp>VOLUME</stp>
        <stp>.NDXP251031P20100</stp>
        <tr r="T152" s="2"/>
      </tp>
      <tp t="s">
        <v>N/A</v>
        <stp/>
        <stp>VOLUME</stp>
        <stp>.NDXP251128P19800</stp>
        <tr r="V164" s="2"/>
      </tp>
      <tp t="s">
        <v>N/A</v>
        <stp/>
        <stp>VOLUME</stp>
        <stp>.NDXP251231P20100</stp>
        <tr r="X152" s="2"/>
      </tp>
      <tp t="s">
        <v>N/A</v>
        <stp/>
        <stp>VOLUME</stp>
        <stp>.NDXP250930P20025</stp>
        <tr r="R155" s="2"/>
      </tp>
      <tp t="s">
        <v>N/A</v>
        <stp/>
        <stp>VOLUME</stp>
        <stp>.NDXP250829P19925</stp>
        <tr r="P159" s="2"/>
      </tp>
      <tp t="s">
        <v>N/A</v>
        <stp/>
        <stp>VOLUME</stp>
        <stp>.NDXP250606P19625</stp>
        <tr r="J171" s="2"/>
      </tp>
      <tp t="s">
        <v>N/A</v>
        <stp/>
        <stp>VOLUME</stp>
        <stp>.NDXP250530P20025</stp>
        <tr r="I155" s="2"/>
      </tp>
      <tp>
        <v>161</v>
        <stp/>
        <stp>VOLUME</stp>
        <stp>.NDXP250507P19725</stp>
        <tr r="BB166" s="1"/>
        <tr r="BB166" s="1"/>
      </tp>
      <tp t="s">
        <v>N/A</v>
        <stp/>
        <stp>VOLUME</stp>
        <stp>.NDXP250509P19925</stp>
        <tr r="BD158" s="1"/>
      </tp>
      <tp t="s">
        <v>N/A</v>
        <stp/>
        <stp>VOLUME</stp>
        <stp>.NDXP250630P20025</stp>
        <tr r="L155" s="2"/>
      </tp>
      <tp t="s">
        <v>N/A</v>
        <stp/>
        <stp>VOLUME</stp>
        <stp>.NDXP250731P20125</stp>
        <tr r="N151" s="2"/>
      </tp>
      <tp t="s">
        <v>N/A</v>
        <stp/>
        <stp>VOLUME</stp>
        <stp>.NDXP251031P20125</stp>
        <tr r="T151" s="2"/>
      </tp>
      <tp t="s">
        <v>N/A</v>
        <stp/>
        <stp>VOLUME</stp>
        <stp>.NDXP251128P19825</stp>
        <tr r="V163" s="2"/>
      </tp>
      <tp t="s">
        <v>N/A</v>
        <stp/>
        <stp>VOLUME</stp>
        <stp>.NDXP251231P20125</stp>
        <tr r="X151" s="2"/>
      </tp>
      <tp>
        <v>13</v>
        <stp/>
        <stp>OPEN_INT</stp>
        <stp>.NDXP250509C20100</stp>
        <tr r="AU151" s="1"/>
        <tr r="AU151" s="1"/>
      </tp>
      <tp>
        <v>8</v>
        <stp/>
        <stp>OPEN_INT</stp>
        <stp>.NDXP250509C20125</stp>
        <tr r="AU150" s="1"/>
        <tr r="AU150" s="1"/>
      </tp>
      <tp>
        <v>4</v>
        <stp/>
        <stp>OPEN_INT</stp>
        <stp>.NDXP250509C19150</stp>
        <tr r="AU189" s="1"/>
        <tr r="AU189" s="1"/>
      </tp>
      <tp>
        <v>3</v>
        <stp/>
        <stp>OPEN_INT</stp>
        <stp>.NDXP250509C20150</stp>
        <tr r="AU149" s="1"/>
        <tr r="AU149" s="1"/>
      </tp>
      <tp>
        <v>4</v>
        <stp/>
        <stp>OPEN_INT</stp>
        <stp>.NDXP250509C19175</stp>
        <tr r="AU188" s="1"/>
        <tr r="AU188" s="1"/>
      </tp>
      <tp>
        <v>28</v>
        <stp/>
        <stp>OPEN_INT</stp>
        <stp>.NDXP250509C20175</stp>
        <tr r="AU148" s="1"/>
        <tr r="AU148" s="1"/>
      </tp>
      <tp>
        <v>1</v>
        <stp/>
        <stp>OPEN_INT</stp>
        <stp>.NDXP250509P20125</stp>
        <tr r="AV150" s="1"/>
        <tr r="AV150" s="1"/>
      </tp>
      <tp>
        <v>2</v>
        <stp/>
        <stp>OPEN_INT</stp>
        <stp>.NDXP250509P20100</stp>
        <tr r="AV151" s="1"/>
        <tr r="AV151" s="1"/>
      </tp>
      <tp>
        <v>3</v>
        <stp/>
        <stp>OPEN_INT</stp>
        <stp>.NDXP250509P19175</stp>
        <tr r="AV188" s="1"/>
        <tr r="AV188" s="1"/>
      </tp>
      <tp>
        <v>1</v>
        <stp/>
        <stp>OPEN_INT</stp>
        <stp>.NDXP250509P20175</stp>
        <tr r="AV148" s="1"/>
        <tr r="AV148" s="1"/>
      </tp>
      <tp>
        <v>8</v>
        <stp/>
        <stp>OPEN_INT</stp>
        <stp>.NDXP250509P19150</stp>
        <tr r="AV189" s="1"/>
        <tr r="AV189" s="1"/>
      </tp>
      <tp>
        <v>17</v>
        <stp/>
        <stp>OPEN_INT</stp>
        <stp>.NDXP250509P20150</stp>
        <tr r="AV149" s="1"/>
        <tr r="AV149" s="1"/>
      </tp>
      <tp>
        <v>-0.08</v>
        <stp/>
        <stp>DELTA</stp>
        <stp>.NDXP250507P19525</stp>
        <tr r="CE174" s="1"/>
        <tr r="CE174" s="1"/>
      </tp>
      <tp>
        <v>0</v>
        <stp/>
        <stp>DELTA</stp>
        <stp>.NDXP250507P19500</stp>
        <tr r="CE175" s="1"/>
        <tr r="CE175" s="1"/>
      </tp>
      <tp>
        <v>0</v>
        <stp/>
        <stp>DELTA</stp>
        <stp>.NDXP250507P19575</stp>
        <tr r="CE172" s="1"/>
        <tr r="CE172" s="1"/>
      </tp>
      <tp>
        <v>-0.09</v>
        <stp/>
        <stp>DELTA</stp>
        <stp>.NDXP250507P19550</stp>
        <tr r="CE173" s="1"/>
        <tr r="CE173" s="1"/>
      </tp>
      <tp>
        <v>1</v>
        <stp/>
        <stp>DELTA</stp>
        <stp>.NDXP250507C19500</stp>
        <tr r="CD175" s="1"/>
        <tr r="CD175" s="1"/>
      </tp>
      <tp>
        <v>1</v>
        <stp/>
        <stp>DELTA</stp>
        <stp>.NDXP250507C19525</stp>
        <tr r="CD174" s="1"/>
        <tr r="CD174" s="1"/>
      </tp>
      <tp>
        <v>1</v>
        <stp/>
        <stp>DELTA</stp>
        <stp>.NDXP250507C19550</stp>
        <tr r="CD173" s="1"/>
        <tr r="CD173" s="1"/>
      </tp>
      <tp>
        <v>1</v>
        <stp/>
        <stp>DELTA</stp>
        <stp>.NDXP250507C19575</stp>
        <tr r="CD172" s="1"/>
        <tr r="CD172" s="1"/>
      </tp>
      <tp t="s">
        <v>N/A</v>
        <stp/>
        <stp>VOLUME</stp>
        <stp>.NDXP250930C20175</stp>
        <tr r="R149" s="2"/>
      </tp>
      <tp t="s">
        <v>N/A</v>
        <stp/>
        <stp>VOLUME</stp>
        <stp>.NDXP250930C19175</stp>
        <tr r="R189" s="2"/>
      </tp>
      <tp t="s">
        <v>N/A</v>
        <stp/>
        <stp>VOLUME</stp>
        <stp>.NDXP250829C19875</stp>
        <tr r="P161" s="2"/>
      </tp>
      <tp t="s">
        <v>N/A</v>
        <stp/>
        <stp>VOLUME</stp>
        <stp>.NDXP250606C19775</stp>
        <tr r="J165" s="2"/>
      </tp>
      <tp t="s">
        <v>N/A</v>
        <stp/>
        <stp>VOLUME</stp>
        <stp>.NDXP250630C19175</stp>
        <tr r="L189" s="2"/>
      </tp>
      <tp t="s">
        <v>N/A</v>
        <stp/>
        <stp>VOLUME</stp>
        <stp>.NDXP250530C20175</stp>
        <tr r="I149" s="2"/>
      </tp>
      <tp>
        <v>15</v>
        <stp/>
        <stp>VOLUME</stp>
        <stp>.NDXP250507C19675</stp>
        <tr r="BA168" s="1"/>
        <tr r="BA168" s="1"/>
      </tp>
      <tp t="s">
        <v>N/A</v>
        <stp/>
        <stp>VOLUME</stp>
        <stp>.NDXP250509C19875</stp>
        <tr r="BC160" s="1"/>
      </tp>
      <tp t="s">
        <v>N/A</v>
        <stp/>
        <stp>VOLUME</stp>
        <stp>.NDXP250530C19175</stp>
        <tr r="I189" s="2"/>
      </tp>
      <tp t="s">
        <v>N/A</v>
        <stp/>
        <stp>VOLUME</stp>
        <stp>.NDXP250630C20175</stp>
        <tr r="L149" s="2"/>
      </tp>
      <tp t="s">
        <v>N/A</v>
        <stp/>
        <stp>VOLUME</stp>
        <stp>.NDXP250731C20075</stp>
        <tr r="N153" s="2"/>
      </tp>
      <tp t="s">
        <v>N/A</v>
        <stp/>
        <stp>VOLUME</stp>
        <stp>.NDXP251031C20075</stp>
        <tr r="T153" s="2"/>
      </tp>
      <tp t="s">
        <v>N/A</v>
        <stp/>
        <stp>VOLUME</stp>
        <stp>.NDXP251128C19975</stp>
        <tr r="V157" s="2"/>
      </tp>
      <tp t="s">
        <v>N/A</v>
        <stp/>
        <stp>VOLUME</stp>
        <stp>.NDXP251231C20075</stp>
        <tr r="X153" s="2"/>
      </tp>
      <tp t="s">
        <v>N/A</v>
        <stp/>
        <stp>VOLUME</stp>
        <stp>.NDXP250930C20150</stp>
        <tr r="R150" s="2"/>
      </tp>
      <tp t="s">
        <v>N/A</v>
        <stp/>
        <stp>VOLUME</stp>
        <stp>.NDXP250829C19850</stp>
        <tr r="P162" s="2"/>
      </tp>
      <tp t="s">
        <v>N/A</v>
        <stp/>
        <stp>VOLUME</stp>
        <stp>.NDXP250930C19150</stp>
        <tr r="R190" s="2"/>
      </tp>
      <tp t="s">
        <v>N/A</v>
        <stp/>
        <stp>VOLUME</stp>
        <stp>.NDXP250606C19750</stp>
        <tr r="J166" s="2"/>
      </tp>
      <tp t="s">
        <v>N/A</v>
        <stp/>
        <stp>VOLUME</stp>
        <stp>.NDXP250630C19150</stp>
        <tr r="L190" s="2"/>
      </tp>
      <tp t="s">
        <v>N/A</v>
        <stp/>
        <stp>VOLUME</stp>
        <stp>.NDXP250530C20150</stp>
        <tr r="I150" s="2"/>
      </tp>
      <tp t="s">
        <v>N/A</v>
        <stp/>
        <stp>VOLUME</stp>
        <stp>.NDXP250731C20050</stp>
        <tr r="N154" s="2"/>
      </tp>
      <tp>
        <v>8</v>
        <stp/>
        <stp>VOLUME</stp>
        <stp>.NDXP250507C19650</stp>
        <tr r="BA169" s="1"/>
        <tr r="BA169" s="1"/>
      </tp>
      <tp>
        <v>5</v>
        <stp/>
        <stp>VOLUME</stp>
        <stp>.NDXP250509C19850</stp>
        <tr r="BC161" s="1"/>
        <tr r="BC161" s="1"/>
      </tp>
      <tp t="s">
        <v>N/A</v>
        <stp/>
        <stp>VOLUME</stp>
        <stp>.NDXP250530C19150</stp>
        <tr r="I190" s="2"/>
      </tp>
      <tp t="s">
        <v>N/A</v>
        <stp/>
        <stp>VOLUME</stp>
        <stp>.NDXP250630C20150</stp>
        <tr r="L150" s="2"/>
      </tp>
      <tp t="s">
        <v>N/A</v>
        <stp/>
        <stp>VOLUME</stp>
        <stp>.NDXP251031C20050</stp>
        <tr r="T154" s="2"/>
      </tp>
      <tp t="s">
        <v>N/A</v>
        <stp/>
        <stp>VOLUME</stp>
        <stp>.NDXP251128C19950</stp>
        <tr r="V158" s="2"/>
      </tp>
      <tp t="s">
        <v>N/A</v>
        <stp/>
        <stp>VOLUME</stp>
        <stp>.NDXP251231C20050</stp>
        <tr r="X154" s="2"/>
      </tp>
      <tp t="s">
        <v>N/A</v>
        <stp/>
        <stp>VOLUME</stp>
        <stp>.NDXP251031C20025</stp>
        <tr r="T155" s="2"/>
      </tp>
      <tp t="s">
        <v>N/A</v>
        <stp/>
        <stp>VOLUME</stp>
        <stp>.NDXP251128C19925</stp>
        <tr r="V159" s="2"/>
      </tp>
      <tp t="s">
        <v>N/A</v>
        <stp/>
        <stp>VOLUME</stp>
        <stp>.NDXP251231C20025</stp>
        <tr r="X155" s="2"/>
      </tp>
      <tp t="s">
        <v>N/A</v>
        <stp/>
        <stp>VOLUME</stp>
        <stp>.NDXP250930C20125</stp>
        <tr r="R151" s="2"/>
      </tp>
      <tp t="s">
        <v>N/A</v>
        <stp/>
        <stp>VOLUME</stp>
        <stp>.NDXP250829C19825</stp>
        <tr r="P163" s="2"/>
      </tp>
      <tp t="s">
        <v>N/A</v>
        <stp/>
        <stp>VOLUME</stp>
        <stp>.NDXP250606C19725</stp>
        <tr r="J167" s="2"/>
      </tp>
      <tp t="s">
        <v>N/A</v>
        <stp/>
        <stp>VOLUME</stp>
        <stp>.NDXP250530C20125</stp>
        <tr r="I151" s="2"/>
      </tp>
      <tp>
        <v>10</v>
        <stp/>
        <stp>VOLUME</stp>
        <stp>.NDXP250507C19625</stp>
        <tr r="BA170" s="1"/>
        <tr r="BA170" s="1"/>
      </tp>
      <tp t="s">
        <v>N/A</v>
        <stp/>
        <stp>VOLUME</stp>
        <stp>.NDXP250509C19825</stp>
        <tr r="BC162" s="1"/>
      </tp>
      <tp t="s">
        <v>N/A</v>
        <stp/>
        <stp>VOLUME</stp>
        <stp>.NDXP250630C20125</stp>
        <tr r="L151" s="2"/>
      </tp>
      <tp t="s">
        <v>N/A</v>
        <stp/>
        <stp>VOLUME</stp>
        <stp>.NDXP250731C20025</stp>
        <tr r="N155" s="2"/>
      </tp>
      <tp t="s">
        <v>N/A</v>
        <stp/>
        <stp>VOLUME</stp>
        <stp>.NDXP251031C20000</stp>
        <tr r="T156" s="2"/>
      </tp>
      <tp t="s">
        <v>N/A</v>
        <stp/>
        <stp>VOLUME</stp>
        <stp>.NDXP251128C19900</stp>
        <tr r="V160" s="2"/>
      </tp>
      <tp t="s">
        <v>N/A</v>
        <stp/>
        <stp>VOLUME</stp>
        <stp>.NDXP251231C20000</stp>
        <tr r="X156" s="2"/>
      </tp>
      <tp>
        <v>2</v>
        <stp/>
        <stp>VOLUME</stp>
        <stp>.NDXP250930C20100</stp>
        <tr r="R152" s="2"/>
        <tr r="R152" s="2"/>
      </tp>
      <tp t="s">
        <v>N/A</v>
        <stp/>
        <stp>VOLUME</stp>
        <stp>.NDXP250829C19800</stp>
        <tr r="P164" s="2"/>
      </tp>
      <tp t="s">
        <v>N/A</v>
        <stp/>
        <stp>VOLUME</stp>
        <stp>.NDXP250606C19700</stp>
        <tr r="J168" s="2"/>
      </tp>
      <tp>
        <v>1</v>
        <stp/>
        <stp>VOLUME</stp>
        <stp>.NDXP250530C20100</stp>
        <tr r="I152" s="2"/>
        <tr r="I152" s="2"/>
      </tp>
      <tp t="s">
        <v>N/A</v>
        <stp/>
        <stp>VOLUME</stp>
        <stp>.NDXP250731C20000</stp>
        <tr r="N156" s="2"/>
      </tp>
      <tp>
        <v>45</v>
        <stp/>
        <stp>VOLUME</stp>
        <stp>.NDXP250507C19600</stp>
        <tr r="BA171" s="1"/>
        <tr r="BA171" s="1"/>
      </tp>
      <tp>
        <v>16</v>
        <stp/>
        <stp>VOLUME</stp>
        <stp>.NDXP250509C19800</stp>
        <tr r="BC163" s="1"/>
        <tr r="BC163" s="1"/>
      </tp>
      <tp t="s">
        <v>N/A</v>
        <stp/>
        <stp>VOLUME</stp>
        <stp>.NDXP250630C20100</stp>
        <tr r="L152" s="2"/>
      </tp>
      <tp t="s">
        <v>N/A</v>
        <stp/>
        <stp>VOLUME</stp>
        <stp>.NDXP251031P20050</stp>
        <tr r="T154" s="2"/>
      </tp>
      <tp t="s">
        <v>N/A</v>
        <stp/>
        <stp>VOLUME</stp>
        <stp>.NDXP251128P19950</stp>
        <tr r="V158" s="2"/>
      </tp>
      <tp t="s">
        <v>N/A</v>
        <stp/>
        <stp>VOLUME</stp>
        <stp>.NDXP251231P20050</stp>
        <tr r="X154" s="2"/>
      </tp>
      <tp t="s">
        <v>N/A</v>
        <stp/>
        <stp>VOLUME</stp>
        <stp>.NDXP250930P20150</stp>
        <tr r="R150" s="2"/>
      </tp>
      <tp t="s">
        <v>N/A</v>
        <stp/>
        <stp>VOLUME</stp>
        <stp>.NDXP250829P19850</stp>
        <tr r="P162" s="2"/>
      </tp>
      <tp t="s">
        <v>N/A</v>
        <stp/>
        <stp>VOLUME</stp>
        <stp>.NDXP250930P19150</stp>
        <tr r="R190" s="2"/>
      </tp>
      <tp t="s">
        <v>N/A</v>
        <stp/>
        <stp>VOLUME</stp>
        <stp>.NDXP250606P19750</stp>
        <tr r="J166" s="2"/>
      </tp>
      <tp t="s">
        <v>N/A</v>
        <stp/>
        <stp>VOLUME</stp>
        <stp>.NDXP250630P19150</stp>
        <tr r="L190" s="2"/>
      </tp>
      <tp t="s">
        <v>N/A</v>
        <stp/>
        <stp>VOLUME</stp>
        <stp>.NDXP250530P20150</stp>
        <tr r="I150" s="2"/>
      </tp>
      <tp t="s">
        <v>N/A</v>
        <stp/>
        <stp>VOLUME</stp>
        <stp>.NDXP250731P20050</stp>
        <tr r="N154" s="2"/>
      </tp>
      <tp>
        <v>374</v>
        <stp/>
        <stp>VOLUME</stp>
        <stp>.NDXP250507P19650</stp>
        <tr r="BB169" s="1"/>
        <tr r="BB169" s="1"/>
      </tp>
      <tp>
        <v>1</v>
        <stp/>
        <stp>VOLUME</stp>
        <stp>.NDXP250509P19850</stp>
        <tr r="BD161" s="1"/>
        <tr r="BD161" s="1"/>
      </tp>
      <tp>
        <v>1</v>
        <stp/>
        <stp>VOLUME</stp>
        <stp>.NDXP250530P19150</stp>
        <tr r="I190" s="2"/>
        <tr r="I190" s="2"/>
      </tp>
      <tp t="s">
        <v>N/A</v>
        <stp/>
        <stp>VOLUME</stp>
        <stp>.NDXP250630P20150</stp>
        <tr r="L150" s="2"/>
      </tp>
      <tp t="s">
        <v>N/A</v>
        <stp/>
        <stp>VOLUME</stp>
        <stp>.NDXP251031P20075</stp>
        <tr r="T153" s="2"/>
      </tp>
      <tp t="s">
        <v>N/A</v>
        <stp/>
        <stp>VOLUME</stp>
        <stp>.NDXP251128P19975</stp>
        <tr r="V157" s="2"/>
      </tp>
      <tp t="s">
        <v>N/A</v>
        <stp/>
        <stp>VOLUME</stp>
        <stp>.NDXP251231P20075</stp>
        <tr r="X153" s="2"/>
      </tp>
      <tp t="s">
        <v>N/A</v>
        <stp/>
        <stp>VOLUME</stp>
        <stp>.NDXP250930P20175</stp>
        <tr r="R149" s="2"/>
      </tp>
      <tp t="s">
        <v>N/A</v>
        <stp/>
        <stp>VOLUME</stp>
        <stp>.NDXP250930P19175</stp>
        <tr r="R189" s="2"/>
      </tp>
      <tp t="s">
        <v>N/A</v>
        <stp/>
        <stp>VOLUME</stp>
        <stp>.NDXP250829P19875</stp>
        <tr r="P161" s="2"/>
      </tp>
      <tp t="s">
        <v>N/A</v>
        <stp/>
        <stp>VOLUME</stp>
        <stp>.NDXP250606P19775</stp>
        <tr r="J165" s="2"/>
      </tp>
      <tp t="s">
        <v>N/A</v>
        <stp/>
        <stp>VOLUME</stp>
        <stp>.NDXP250630P19175</stp>
        <tr r="L189" s="2"/>
      </tp>
      <tp t="s">
        <v>N/A</v>
        <stp/>
        <stp>VOLUME</stp>
        <stp>.NDXP250530P20175</stp>
        <tr r="I149" s="2"/>
      </tp>
      <tp>
        <v>83</v>
        <stp/>
        <stp>VOLUME</stp>
        <stp>.NDXP250507P19675</stp>
        <tr r="BB168" s="1"/>
        <tr r="BB168" s="1"/>
      </tp>
      <tp>
        <v>1</v>
        <stp/>
        <stp>VOLUME</stp>
        <stp>.NDXP250509P19875</stp>
        <tr r="BD160" s="1"/>
        <tr r="BD160" s="1"/>
      </tp>
      <tp t="s">
        <v>N/A</v>
        <stp/>
        <stp>VOLUME</stp>
        <stp>.NDXP250530P19175</stp>
        <tr r="I189" s="2"/>
      </tp>
      <tp t="s">
        <v>N/A</v>
        <stp/>
        <stp>VOLUME</stp>
        <stp>.NDXP250630P20175</stp>
        <tr r="L149" s="2"/>
      </tp>
      <tp t="s">
        <v>N/A</v>
        <stp/>
        <stp>VOLUME</stp>
        <stp>.NDXP250731P20075</stp>
        <tr r="N153" s="2"/>
      </tp>
      <tp t="s">
        <v>N/A</v>
        <stp/>
        <stp>VOLUME</stp>
        <stp>.NDXP250930P20100</stp>
        <tr r="R152" s="2"/>
      </tp>
      <tp t="s">
        <v>N/A</v>
        <stp/>
        <stp>VOLUME</stp>
        <stp>.NDXP250829P19800</stp>
        <tr r="P164" s="2"/>
      </tp>
      <tp t="s">
        <v>N/A</v>
        <stp/>
        <stp>VOLUME</stp>
        <stp>.NDXP250606P19700</stp>
        <tr r="J168" s="2"/>
      </tp>
      <tp t="s">
        <v>N/A</v>
        <stp/>
        <stp>VOLUME</stp>
        <stp>.NDXP250530P20100</stp>
        <tr r="I152" s="2"/>
      </tp>
      <tp t="s">
        <v>N/A</v>
        <stp/>
        <stp>VOLUME</stp>
        <stp>.NDXP250731P20000</stp>
        <tr r="N156" s="2"/>
      </tp>
      <tp>
        <v>575</v>
        <stp/>
        <stp>VOLUME</stp>
        <stp>.NDXP250507P19600</stp>
        <tr r="BB171" s="1"/>
        <tr r="BB171" s="1"/>
      </tp>
      <tp>
        <v>5</v>
        <stp/>
        <stp>VOLUME</stp>
        <stp>.NDXP250509P19800</stp>
        <tr r="BD163" s="1"/>
        <tr r="BD163" s="1"/>
      </tp>
      <tp t="s">
        <v>N/A</v>
        <stp/>
        <stp>VOLUME</stp>
        <stp>.NDXP250630P20100</stp>
        <tr r="L152" s="2"/>
      </tp>
      <tp t="s">
        <v>N/A</v>
        <stp/>
        <stp>VOLUME</stp>
        <stp>.NDXP251031P20000</stp>
        <tr r="T156" s="2"/>
      </tp>
      <tp t="s">
        <v>N/A</v>
        <stp/>
        <stp>VOLUME</stp>
        <stp>.NDXP251128P19900</stp>
        <tr r="V160" s="2"/>
      </tp>
      <tp t="s">
        <v>N/A</v>
        <stp/>
        <stp>VOLUME</stp>
        <stp>.NDXP251231P20000</stp>
        <tr r="X156" s="2"/>
      </tp>
      <tp t="s">
        <v>N/A</v>
        <stp/>
        <stp>VOLUME</stp>
        <stp>.NDXP250930P20125</stp>
        <tr r="R151" s="2"/>
      </tp>
      <tp t="s">
        <v>N/A</v>
        <stp/>
        <stp>VOLUME</stp>
        <stp>.NDXP250829P19825</stp>
        <tr r="P163" s="2"/>
      </tp>
      <tp t="s">
        <v>N/A</v>
        <stp/>
        <stp>VOLUME</stp>
        <stp>.NDXP250606P19725</stp>
        <tr r="J167" s="2"/>
      </tp>
      <tp t="s">
        <v>N/A</v>
        <stp/>
        <stp>VOLUME</stp>
        <stp>.NDXP250530P20125</stp>
        <tr r="I151" s="2"/>
      </tp>
      <tp>
        <v>153</v>
        <stp/>
        <stp>VOLUME</stp>
        <stp>.NDXP250507P19625</stp>
        <tr r="BB170" s="1"/>
        <tr r="BB170" s="1"/>
      </tp>
      <tp t="s">
        <v>N/A</v>
        <stp/>
        <stp>VOLUME</stp>
        <stp>.NDXP250509P19825</stp>
        <tr r="BD162" s="1"/>
      </tp>
      <tp t="s">
        <v>N/A</v>
        <stp/>
        <stp>VOLUME</stp>
        <stp>.NDXP250630P20125</stp>
        <tr r="L151" s="2"/>
      </tp>
      <tp t="s">
        <v>N/A</v>
        <stp/>
        <stp>VOLUME</stp>
        <stp>.NDXP250731P20025</stp>
        <tr r="N155" s="2"/>
      </tp>
      <tp t="s">
        <v>N/A</v>
        <stp/>
        <stp>VOLUME</stp>
        <stp>.NDXP251031P20025</stp>
        <tr r="T155" s="2"/>
      </tp>
      <tp t="s">
        <v>N/A</v>
        <stp/>
        <stp>VOLUME</stp>
        <stp>.NDXP251128P19925</stp>
        <tr r="V159" s="2"/>
      </tp>
      <tp t="s">
        <v>N/A</v>
        <stp/>
        <stp>VOLUME</stp>
        <stp>.NDXP251231P20025</stp>
        <tr r="X155" s="2"/>
      </tp>
      <tp>
        <v>38</v>
        <stp/>
        <stp>OPEN_INT</stp>
        <stp>.NDXP250509C19200</stp>
        <tr r="AU187" s="1"/>
        <tr r="AU187" s="1"/>
      </tp>
      <tp>
        <v>17</v>
        <stp/>
        <stp>OPEN_INT</stp>
        <stp>.NDXP250509C20200</stp>
        <tr r="AU147" s="1"/>
        <tr r="AU147" s="1"/>
      </tp>
      <tp>
        <v>4</v>
        <stp/>
        <stp>OPEN_INT</stp>
        <stp>.NDXP250509C19225</stp>
        <tr r="AU186" s="1"/>
        <tr r="AU186" s="1"/>
      </tp>
      <tp>
        <v>5</v>
        <stp/>
        <stp>OPEN_INT</stp>
        <stp>.NDXP250509C20225</stp>
        <tr r="AU146" s="1"/>
        <tr r="AU146" s="1"/>
      </tp>
      <tp>
        <v>2</v>
        <stp/>
        <stp>OPEN_INT</stp>
        <stp>.NDXP250509C19250</stp>
        <tr r="AU185" s="1"/>
        <tr r="AU185" s="1"/>
      </tp>
      <tp>
        <v>20</v>
        <stp/>
        <stp>OPEN_INT</stp>
        <stp>.NDXP250509C20250</stp>
        <tr r="AU145" s="1"/>
        <tr r="AU145" s="1"/>
      </tp>
      <tp>
        <v>7</v>
        <stp/>
        <stp>OPEN_INT</stp>
        <stp>.NDXP250509C19275</stp>
        <tr r="AU184" s="1"/>
        <tr r="AU184" s="1"/>
      </tp>
      <tp>
        <v>31</v>
        <stp/>
        <stp>OPEN_INT</stp>
        <stp>.NDXP250509C20275</stp>
        <tr r="AU144" s="1"/>
        <tr r="AU144" s="1"/>
      </tp>
      <tp>
        <v>3</v>
        <stp/>
        <stp>OPEN_INT</stp>
        <stp>.NDXP250509P19225</stp>
        <tr r="AV186" s="1"/>
        <tr r="AV186" s="1"/>
      </tp>
      <tp>
        <v>1</v>
        <stp/>
        <stp>OPEN_INT</stp>
        <stp>.NDXP250509P20225</stp>
        <tr r="AV146" s="1"/>
        <tr r="AV146" s="1"/>
      </tp>
      <tp>
        <v>18</v>
        <stp/>
        <stp>OPEN_INT</stp>
        <stp>.NDXP250509P19200</stp>
        <tr r="AV187" s="1"/>
        <tr r="AV187" s="1"/>
      </tp>
      <tp>
        <v>4</v>
        <stp/>
        <stp>OPEN_INT</stp>
        <stp>.NDXP250509P20200</stp>
        <tr r="AV147" s="1"/>
        <tr r="AV147" s="1"/>
      </tp>
      <tp>
        <v>9</v>
        <stp/>
        <stp>OPEN_INT</stp>
        <stp>.NDXP250509P19275</stp>
        <tr r="AV184" s="1"/>
        <tr r="AV184" s="1"/>
      </tp>
      <tp>
        <v>0</v>
        <stp/>
        <stp>OPEN_INT</stp>
        <stp>.NDXP250509P20275</stp>
        <tr r="AV144" s="1"/>
        <tr r="AV144" s="1"/>
      </tp>
      <tp>
        <v>6</v>
        <stp/>
        <stp>OPEN_INT</stp>
        <stp>.NDXP250509P19250</stp>
        <tr r="AV185" s="1"/>
        <tr r="AV185" s="1"/>
      </tp>
      <tp>
        <v>4</v>
        <stp/>
        <stp>OPEN_INT</stp>
        <stp>.NDXP250509P20250</stp>
        <tr r="AV145" s="1"/>
        <tr r="AV145" s="1"/>
      </tp>
      <tp>
        <v>-0.11</v>
        <stp/>
        <stp>DELTA</stp>
        <stp>.NDXP250507P19625</stp>
        <tr r="CE170" s="1"/>
        <tr r="CE170" s="1"/>
      </tp>
      <tp>
        <v>-0.45</v>
        <stp/>
        <stp>DELTA</stp>
        <stp>.NDXP250509P19825</stp>
        <tr r="CG162" s="1"/>
        <tr r="CG162" s="1"/>
      </tp>
      <tp>
        <v>0</v>
        <stp/>
        <stp>DELTA</stp>
        <stp>.NDXP250507P19600</stp>
        <tr r="CE171" s="1"/>
        <tr r="CE171" s="1"/>
      </tp>
      <tp>
        <v>-0.42</v>
        <stp/>
        <stp>DELTA</stp>
        <stp>.NDXP250509P19800</stp>
        <tr r="CG163" s="1"/>
        <tr r="CG163" s="1"/>
      </tp>
      <tp>
        <v>-0.12</v>
        <stp/>
        <stp>DELTA</stp>
        <stp>.NDXP250507P19675</stp>
        <tr r="CE168" s="1"/>
        <tr r="CE168" s="1"/>
      </tp>
      <tp>
        <v>-0.5</v>
        <stp/>
        <stp>DELTA</stp>
        <stp>.NDXP250509P19875</stp>
        <tr r="CG160" s="1"/>
        <tr r="CG160" s="1"/>
      </tp>
      <tp>
        <v>0</v>
        <stp/>
        <stp>DELTA</stp>
        <stp>.NDXP250507P19650</stp>
        <tr r="CE169" s="1"/>
        <tr r="CE169" s="1"/>
      </tp>
      <tp>
        <v>-0.47</v>
        <stp/>
        <stp>DELTA</stp>
        <stp>.NDXP250509P19850</stp>
        <tr r="CG161" s="1"/>
        <tr r="CG161" s="1"/>
      </tp>
      <tp>
        <v>1</v>
        <stp/>
        <stp>DELTA</stp>
        <stp>.NDXP250507C19600</stp>
        <tr r="CD171" s="1"/>
        <tr r="CD171" s="1"/>
      </tp>
      <tp>
        <v>0.56999999999999995</v>
        <stp/>
        <stp>DELTA</stp>
        <stp>.NDXP250509C19800</stp>
        <tr r="CF163" s="1"/>
        <tr r="CF163" s="1"/>
      </tp>
      <tp>
        <v>1</v>
        <stp/>
        <stp>DELTA</stp>
        <stp>.NDXP250507C19625</stp>
        <tr r="CD170" s="1"/>
        <tr r="CD170" s="1"/>
      </tp>
      <tp>
        <v>0.55000000000000004</v>
        <stp/>
        <stp>DELTA</stp>
        <stp>.NDXP250509C19825</stp>
        <tr r="CF162" s="1"/>
        <tr r="CF162" s="1"/>
      </tp>
      <tp>
        <v>1</v>
        <stp/>
        <stp>DELTA</stp>
        <stp>.NDXP250507C19650</stp>
        <tr r="CD169" s="1"/>
        <tr r="CD169" s="1"/>
      </tp>
      <tp>
        <v>0.52</v>
        <stp/>
        <stp>DELTA</stp>
        <stp>.NDXP250509C19850</stp>
        <tr r="CF161" s="1"/>
        <tr r="CF161" s="1"/>
      </tp>
      <tp>
        <v>1</v>
        <stp/>
        <stp>DELTA</stp>
        <stp>.NDXP250507C19675</stp>
        <tr r="CD168" s="1"/>
        <tr r="CD168" s="1"/>
      </tp>
      <tp>
        <v>0.5</v>
        <stp/>
        <stp>DELTA</stp>
        <stp>.NDXP250509C19875</stp>
        <tr r="CF160" s="1"/>
        <tr r="CF160" s="1"/>
      </tp>
      <tp t="s">
        <v>N/A</v>
        <stp/>
        <stp>VOLUME</stp>
        <stp>.NDXP250930C20275</stp>
        <tr r="R145" s="2"/>
      </tp>
      <tp t="s">
        <v>N/A</v>
        <stp/>
        <stp>VOLUME</stp>
        <stp>.NDXP250930C19275</stp>
        <tr r="R185" s="2"/>
      </tp>
      <tp t="s">
        <v>N/A</v>
        <stp/>
        <stp>VOLUME</stp>
        <stp>.NDXP250731C19375</stp>
        <tr r="N181" s="2"/>
      </tp>
      <tp t="s">
        <v>N/A</v>
        <stp/>
        <stp>VOLUME</stp>
        <stp>.NDXP250606C19475</stp>
        <tr r="J177" s="2"/>
      </tp>
      <tp t="s">
        <v>N/A</v>
        <stp/>
        <stp>VOLUME</stp>
        <stp>.NDXP250630C19275</stp>
        <tr r="L185" s="2"/>
      </tp>
      <tp t="s">
        <v>N/A</v>
        <stp/>
        <stp>VOLUME</stp>
        <stp>.NDXP250530C20275</stp>
        <tr r="I145" s="2"/>
      </tp>
      <tp>
        <v>4</v>
        <stp/>
        <stp>VOLUME</stp>
        <stp>.NDXP250507C19575</stp>
        <tr r="BA172" s="1"/>
        <tr r="BA172" s="1"/>
      </tp>
      <tp>
        <v>1</v>
        <stp/>
        <stp>VOLUME</stp>
        <stp>.NDXP250530C19275</stp>
        <tr r="I185" s="2"/>
        <tr r="I185" s="2"/>
      </tp>
      <tp t="s">
        <v>N/A</v>
        <stp/>
        <stp>VOLUME</stp>
        <stp>.NDXP250630C20275</stp>
        <tr r="L145" s="2"/>
      </tp>
      <tp t="s">
        <v>N/A</v>
        <stp/>
        <stp>VOLUME</stp>
        <stp>.NDXP250731C20375</stp>
        <tr r="N141" s="2"/>
      </tp>
      <tp t="s">
        <v>N/A</v>
        <stp/>
        <stp>VOLUME</stp>
        <stp>.NDXP251031C20375</stp>
        <tr r="T141" s="2"/>
      </tp>
      <tp t="s">
        <v>N/A</v>
        <stp/>
        <stp>VOLUME</stp>
        <stp>.NDXP251231C19375</stp>
        <tr r="X181" s="2"/>
      </tp>
      <tp t="s">
        <v>N/A</v>
        <stp/>
        <stp>VOLUME</stp>
        <stp>.NDXP251231C20375</stp>
        <tr r="X141" s="2"/>
      </tp>
      <tp t="s">
        <v>N/A</v>
        <stp/>
        <stp>VOLUME</stp>
        <stp>.NDXP251031C19375</stp>
        <tr r="T181" s="2"/>
      </tp>
      <tp t="s">
        <v>N/A</v>
        <stp/>
        <stp>VOLUME</stp>
        <stp>.NDXP250930C20250</stp>
        <tr r="R146" s="2"/>
      </tp>
      <tp t="s">
        <v>N/A</v>
        <stp/>
        <stp>VOLUME</stp>
        <stp>.NDXP250930C19250</stp>
        <tr r="R186" s="2"/>
      </tp>
      <tp t="s">
        <v>N/A</v>
        <stp/>
        <stp>VOLUME</stp>
        <stp>.NDXP250606C19450</stp>
        <tr r="J178" s="2"/>
      </tp>
      <tp t="s">
        <v>N/A</v>
        <stp/>
        <stp>VOLUME</stp>
        <stp>.NDXP250630C19250</stp>
        <tr r="L186" s="2"/>
      </tp>
      <tp t="s">
        <v>N/A</v>
        <stp/>
        <stp>VOLUME</stp>
        <stp>.NDXP250530C20250</stp>
        <tr r="I146" s="2"/>
      </tp>
      <tp t="s">
        <v>N/A</v>
        <stp/>
        <stp>VOLUME</stp>
        <stp>.NDXP250731C19350</stp>
        <tr r="N182" s="2"/>
      </tp>
      <tp t="s">
        <v>N/A</v>
        <stp/>
        <stp>VOLUME</stp>
        <stp>.NDXP250731C20350</stp>
        <tr r="N142" s="2"/>
      </tp>
      <tp>
        <v>24</v>
        <stp/>
        <stp>VOLUME</stp>
        <stp>.NDXP250507C19550</stp>
        <tr r="BA173" s="1"/>
        <tr r="BA173" s="1"/>
      </tp>
      <tp>
        <v>1</v>
        <stp/>
        <stp>VOLUME</stp>
        <stp>.NDXP250530C19250</stp>
        <tr r="I186" s="2"/>
        <tr r="I186" s="2"/>
      </tp>
      <tp t="s">
        <v>N/A</v>
        <stp/>
        <stp>VOLUME</stp>
        <stp>.NDXP250606C20450</stp>
        <tr r="J138" s="2"/>
      </tp>
      <tp t="s">
        <v>N/A</v>
        <stp/>
        <stp>VOLUME</stp>
        <stp>.NDXP250630C20250</stp>
        <tr r="L146" s="2"/>
      </tp>
      <tp t="s">
        <v>N/A</v>
        <stp/>
        <stp>VOLUME</stp>
        <stp>.NDXP251231C19350</stp>
        <tr r="X182" s="2"/>
      </tp>
      <tp t="s">
        <v>N/A</v>
        <stp/>
        <stp>VOLUME</stp>
        <stp>.NDXP251031C20350</stp>
        <tr r="T142" s="2"/>
      </tp>
      <tp t="s">
        <v>N/A</v>
        <stp/>
        <stp>VOLUME</stp>
        <stp>.NDXP251031C19350</stp>
        <tr r="T182" s="2"/>
      </tp>
      <tp t="s">
        <v>N/A</v>
        <stp/>
        <stp>VOLUME</stp>
        <stp>.NDXP251231C20350</stp>
        <tr r="X142" s="2"/>
      </tp>
      <tp t="s">
        <v>N/A</v>
        <stp/>
        <stp>VOLUME</stp>
        <stp>.NDXP251031C20325</stp>
        <tr r="T143" s="2"/>
      </tp>
      <tp t="s">
        <v>N/A</v>
        <stp/>
        <stp>VOLUME</stp>
        <stp>.NDXP251231C19325</stp>
        <tr r="X183" s="2"/>
      </tp>
      <tp t="s">
        <v>N/A</v>
        <stp/>
        <stp>VOLUME</stp>
        <stp>.NDXP251231C20325</stp>
        <tr r="X143" s="2"/>
      </tp>
      <tp t="s">
        <v>N/A</v>
        <stp/>
        <stp>VOLUME</stp>
        <stp>.NDXP251031C19325</stp>
        <tr r="T183" s="2"/>
      </tp>
      <tp t="s">
        <v>N/A</v>
        <stp/>
        <stp>VOLUME</stp>
        <stp>.NDXP250930C20225</stp>
        <tr r="R147" s="2"/>
      </tp>
      <tp t="s">
        <v>N/A</v>
        <stp/>
        <stp>VOLUME</stp>
        <stp>.NDXP250930C19225</stp>
        <tr r="R187" s="2"/>
      </tp>
      <tp t="s">
        <v>N/A</v>
        <stp/>
        <stp>VOLUME</stp>
        <stp>.NDXP250731C19325</stp>
        <tr r="N183" s="2"/>
      </tp>
      <tp t="s">
        <v>N/A</v>
        <stp/>
        <stp>VOLUME</stp>
        <stp>.NDXP250606C19425</stp>
        <tr r="J179" s="2"/>
      </tp>
      <tp t="s">
        <v>N/A</v>
        <stp/>
        <stp>VOLUME</stp>
        <stp>.NDXP250630C19225</stp>
        <tr r="L187" s="2"/>
      </tp>
      <tp t="s">
        <v>N/A</v>
        <stp/>
        <stp>VOLUME</stp>
        <stp>.NDXP250530C20225</stp>
        <tr r="I147" s="2"/>
      </tp>
      <tp>
        <v>2</v>
        <stp/>
        <stp>VOLUME</stp>
        <stp>.NDXP250507C19525</stp>
        <tr r="BA174" s="1"/>
        <tr r="BA174" s="1"/>
      </tp>
      <tp t="s">
        <v>N/A</v>
        <stp/>
        <stp>VOLUME</stp>
        <stp>.NDXP250530C19225</stp>
        <tr r="I187" s="2"/>
      </tp>
      <tp t="s">
        <v>N/A</v>
        <stp/>
        <stp>VOLUME</stp>
        <stp>.NDXP250606C20425</stp>
        <tr r="J139" s="2"/>
      </tp>
      <tp t="s">
        <v>N/A</v>
        <stp/>
        <stp>VOLUME</stp>
        <stp>.NDXP250630C20225</stp>
        <tr r="L147" s="2"/>
      </tp>
      <tp t="s">
        <v>N/A</v>
        <stp/>
        <stp>VOLUME</stp>
        <stp>.NDXP250731C20325</stp>
        <tr r="N143" s="2"/>
      </tp>
      <tp t="s">
        <v>N/A</v>
        <stp/>
        <stp>VOLUME</stp>
        <stp>.NDXP251231C19300</stp>
        <tr r="X184" s="2"/>
      </tp>
      <tp t="s">
        <v>N/A</v>
        <stp/>
        <stp>VOLUME</stp>
        <stp>.NDXP251031C20300</stp>
        <tr r="T144" s="2"/>
      </tp>
      <tp t="s">
        <v>N/A</v>
        <stp/>
        <stp>VOLUME</stp>
        <stp>.NDXP251031C19300</stp>
        <tr r="T184" s="2"/>
      </tp>
      <tp t="s">
        <v>N/A</v>
        <stp/>
        <stp>VOLUME</stp>
        <stp>.NDXP251231C20300</stp>
        <tr r="X144" s="2"/>
      </tp>
      <tp t="s">
        <v>N/A</v>
        <stp/>
        <stp>VOLUME</stp>
        <stp>.NDXP250930C20200</stp>
        <tr r="R148" s="2"/>
      </tp>
      <tp t="s">
        <v>N/A</v>
        <stp/>
        <stp>VOLUME</stp>
        <stp>.NDXP250930C19200</stp>
        <tr r="R188" s="2"/>
      </tp>
      <tp t="s">
        <v>N/A</v>
        <stp/>
        <stp>VOLUME</stp>
        <stp>.NDXP250606C19400</stp>
        <tr r="J180" s="2"/>
      </tp>
      <tp t="s">
        <v>N/A</v>
        <stp/>
        <stp>VOLUME</stp>
        <stp>.NDXP250630C19200</stp>
        <tr r="L188" s="2"/>
      </tp>
      <tp t="s">
        <v>N/A</v>
        <stp/>
        <stp>VOLUME</stp>
        <stp>.NDXP250530C20200</stp>
        <tr r="I148" s="2"/>
      </tp>
      <tp t="s">
        <v>N/A</v>
        <stp/>
        <stp>VOLUME</stp>
        <stp>.NDXP250731C19300</stp>
        <tr r="N184" s="2"/>
      </tp>
      <tp t="s">
        <v>N/A</v>
        <stp/>
        <stp>VOLUME</stp>
        <stp>.NDXP250731C20300</stp>
        <tr r="N144" s="2"/>
      </tp>
      <tp>
        <v>32</v>
        <stp/>
        <stp>VOLUME</stp>
        <stp>.NDXP250507C19500</stp>
        <tr r="BA175" s="1"/>
        <tr r="BA175" s="1"/>
      </tp>
      <tp t="s">
        <v>N/A</v>
        <stp/>
        <stp>VOLUME</stp>
        <stp>.NDXP250530C19200</stp>
        <tr r="I188" s="2"/>
      </tp>
      <tp t="s">
        <v>N/A</v>
        <stp/>
        <stp>VOLUME</stp>
        <stp>.NDXP250606C20400</stp>
        <tr r="J140" s="2"/>
      </tp>
      <tp t="s">
        <v>N/A</v>
        <stp/>
        <stp>VOLUME</stp>
        <stp>.NDXP250630C20200</stp>
        <tr r="L148" s="2"/>
      </tp>
      <tp t="s">
        <v>N/A</v>
        <stp/>
        <stp>VOLUME</stp>
        <stp>.NDXP251231P19350</stp>
        <tr r="X182" s="2"/>
      </tp>
      <tp t="s">
        <v>N/A</v>
        <stp/>
        <stp>VOLUME</stp>
        <stp>.NDXP251031P20350</stp>
        <tr r="T142" s="2"/>
      </tp>
      <tp t="s">
        <v>N/A</v>
        <stp/>
        <stp>VOLUME</stp>
        <stp>.NDXP251031P19350</stp>
        <tr r="T182" s="2"/>
      </tp>
      <tp t="s">
        <v>N/A</v>
        <stp/>
        <stp>VOLUME</stp>
        <stp>.NDXP251231P20350</stp>
        <tr r="X142" s="2"/>
      </tp>
      <tp t="s">
        <v>N/A</v>
        <stp/>
        <stp>VOLUME</stp>
        <stp>.NDXP250930P20250</stp>
        <tr r="R146" s="2"/>
      </tp>
      <tp t="s">
        <v>N/A</v>
        <stp/>
        <stp>VOLUME</stp>
        <stp>.NDXP250930P19250</stp>
        <tr r="R186" s="2"/>
      </tp>
      <tp t="s">
        <v>N/A</v>
        <stp/>
        <stp>VOLUME</stp>
        <stp>.NDXP250606P19450</stp>
        <tr r="J178" s="2"/>
      </tp>
      <tp t="s">
        <v>N/A</v>
        <stp/>
        <stp>VOLUME</stp>
        <stp>.NDXP250630P19250</stp>
        <tr r="L186" s="2"/>
      </tp>
      <tp t="s">
        <v>N/A</v>
        <stp/>
        <stp>VOLUME</stp>
        <stp>.NDXP250530P20250</stp>
        <tr r="I146" s="2"/>
      </tp>
      <tp t="s">
        <v>N/A</v>
        <stp/>
        <stp>VOLUME</stp>
        <stp>.NDXP250731P19350</stp>
        <tr r="N182" s="2"/>
      </tp>
      <tp t="s">
        <v>N/A</v>
        <stp/>
        <stp>VOLUME</stp>
        <stp>.NDXP250731P20350</stp>
        <tr r="N142" s="2"/>
      </tp>
      <tp>
        <v>200</v>
        <stp/>
        <stp>VOLUME</stp>
        <stp>.NDXP250507P19550</stp>
        <tr r="BB173" s="1"/>
        <tr r="BB173" s="1"/>
      </tp>
      <tp t="s">
        <v>N/A</v>
        <stp/>
        <stp>VOLUME</stp>
        <stp>.NDXP250530P19250</stp>
        <tr r="I186" s="2"/>
      </tp>
      <tp t="s">
        <v>N/A</v>
        <stp/>
        <stp>VOLUME</stp>
        <stp>.NDXP250606P20450</stp>
        <tr r="J138" s="2"/>
      </tp>
      <tp t="s">
        <v>N/A</v>
        <stp/>
        <stp>VOLUME</stp>
        <stp>.NDXP250630P20250</stp>
        <tr r="L146" s="2"/>
      </tp>
      <tp t="s">
        <v>N/A</v>
        <stp/>
        <stp>VOLUME</stp>
        <stp>.NDXP251031P20375</stp>
        <tr r="T141" s="2"/>
      </tp>
      <tp t="s">
        <v>N/A</v>
        <stp/>
        <stp>VOLUME</stp>
        <stp>.NDXP251231P19375</stp>
        <tr r="X181" s="2"/>
      </tp>
      <tp t="s">
        <v>N/A</v>
        <stp/>
        <stp>VOLUME</stp>
        <stp>.NDXP251231P20375</stp>
        <tr r="X141" s="2"/>
      </tp>
      <tp t="s">
        <v>N/A</v>
        <stp/>
        <stp>VOLUME</stp>
        <stp>.NDXP251031P19375</stp>
        <tr r="T181" s="2"/>
      </tp>
      <tp t="s">
        <v>N/A</v>
        <stp/>
        <stp>VOLUME</stp>
        <stp>.NDXP250930P20275</stp>
        <tr r="R145" s="2"/>
      </tp>
      <tp t="s">
        <v>N/A</v>
        <stp/>
        <stp>VOLUME</stp>
        <stp>.NDXP250930P19275</stp>
        <tr r="R185" s="2"/>
      </tp>
      <tp t="s">
        <v>N/A</v>
        <stp/>
        <stp>VOLUME</stp>
        <stp>.NDXP250731P19375</stp>
        <tr r="N181" s="2"/>
      </tp>
      <tp t="s">
        <v>N/A</v>
        <stp/>
        <stp>VOLUME</stp>
        <stp>.NDXP250606P19475</stp>
        <tr r="J177" s="2"/>
      </tp>
      <tp t="s">
        <v>N/A</v>
        <stp/>
        <stp>VOLUME</stp>
        <stp>.NDXP250630P19275</stp>
        <tr r="L185" s="2"/>
      </tp>
      <tp t="s">
        <v>N/A</v>
        <stp/>
        <stp>VOLUME</stp>
        <stp>.NDXP250530P20275</stp>
        <tr r="I145" s="2"/>
      </tp>
      <tp>
        <v>185</v>
        <stp/>
        <stp>VOLUME</stp>
        <stp>.NDXP250507P19575</stp>
        <tr r="BB172" s="1"/>
        <tr r="BB172" s="1"/>
      </tp>
      <tp t="s">
        <v>N/A</v>
        <stp/>
        <stp>VOLUME</stp>
        <stp>.NDXP250530P19275</stp>
        <tr r="I185" s="2"/>
      </tp>
      <tp t="s">
        <v>N/A</v>
        <stp/>
        <stp>VOLUME</stp>
        <stp>.NDXP250630P20275</stp>
        <tr r="L145" s="2"/>
      </tp>
      <tp t="s">
        <v>N/A</v>
        <stp/>
        <stp>VOLUME</stp>
        <stp>.NDXP250731P20375</stp>
        <tr r="N141" s="2"/>
      </tp>
      <tp t="s">
        <v>N/A</v>
        <stp/>
        <stp>VOLUME</stp>
        <stp>.NDXP250930P20200</stp>
        <tr r="R148" s="2"/>
      </tp>
      <tp t="s">
        <v>N/A</v>
        <stp/>
        <stp>VOLUME</stp>
        <stp>.NDXP250930P19200</stp>
        <tr r="R188" s="2"/>
      </tp>
      <tp t="s">
        <v>N/A</v>
        <stp/>
        <stp>VOLUME</stp>
        <stp>.NDXP250606P19400</stp>
        <tr r="J180" s="2"/>
      </tp>
      <tp t="s">
        <v>N/A</v>
        <stp/>
        <stp>VOLUME</stp>
        <stp>.NDXP250630P19200</stp>
        <tr r="L188" s="2"/>
      </tp>
      <tp t="s">
        <v>N/A</v>
        <stp/>
        <stp>VOLUME</stp>
        <stp>.NDXP250530P20200</stp>
        <tr r="I148" s="2"/>
      </tp>
      <tp t="s">
        <v>N/A</v>
        <stp/>
        <stp>VOLUME</stp>
        <stp>.NDXP250731P19300</stp>
        <tr r="N184" s="2"/>
      </tp>
      <tp t="s">
        <v>N/A</v>
        <stp/>
        <stp>VOLUME</stp>
        <stp>.NDXP250731P20300</stp>
        <tr r="N144" s="2"/>
      </tp>
      <tp>
        <v>526</v>
        <stp/>
        <stp>VOLUME</stp>
        <stp>.NDXP250507P19500</stp>
        <tr r="BB175" s="1"/>
        <tr r="BB175" s="1"/>
      </tp>
      <tp t="s">
        <v>N/A</v>
        <stp/>
        <stp>VOLUME</stp>
        <stp>.NDXP250530P19200</stp>
        <tr r="I188" s="2"/>
      </tp>
      <tp t="s">
        <v>N/A</v>
        <stp/>
        <stp>VOLUME</stp>
        <stp>.NDXP250606P20400</stp>
        <tr r="J140" s="2"/>
      </tp>
      <tp t="s">
        <v>N/A</v>
        <stp/>
        <stp>VOLUME</stp>
        <stp>.NDXP250630P20200</stp>
        <tr r="L148" s="2"/>
      </tp>
      <tp t="s">
        <v>N/A</v>
        <stp/>
        <stp>VOLUME</stp>
        <stp>.NDXP251231P19300</stp>
        <tr r="X184" s="2"/>
      </tp>
      <tp t="s">
        <v>N/A</v>
        <stp/>
        <stp>VOLUME</stp>
        <stp>.NDXP251031P20300</stp>
        <tr r="T144" s="2"/>
      </tp>
      <tp t="s">
        <v>N/A</v>
        <stp/>
        <stp>VOLUME</stp>
        <stp>.NDXP251031P19300</stp>
        <tr r="T184" s="2"/>
      </tp>
      <tp t="s">
        <v>N/A</v>
        <stp/>
        <stp>VOLUME</stp>
        <stp>.NDXP251231P20300</stp>
        <tr r="X144" s="2"/>
      </tp>
      <tp t="s">
        <v>N/A</v>
        <stp/>
        <stp>VOLUME</stp>
        <stp>.NDXP250930P20225</stp>
        <tr r="R147" s="2"/>
      </tp>
      <tp t="s">
        <v>N/A</v>
        <stp/>
        <stp>VOLUME</stp>
        <stp>.NDXP250930P19225</stp>
        <tr r="R187" s="2"/>
      </tp>
      <tp t="s">
        <v>N/A</v>
        <stp/>
        <stp>VOLUME</stp>
        <stp>.NDXP250731P19325</stp>
        <tr r="N183" s="2"/>
      </tp>
      <tp t="s">
        <v>N/A</v>
        <stp/>
        <stp>VOLUME</stp>
        <stp>.NDXP250606P19425</stp>
        <tr r="J179" s="2"/>
      </tp>
      <tp t="s">
        <v>N/A</v>
        <stp/>
        <stp>VOLUME</stp>
        <stp>.NDXP250630P19225</stp>
        <tr r="L187" s="2"/>
      </tp>
      <tp t="s">
        <v>N/A</v>
        <stp/>
        <stp>VOLUME</stp>
        <stp>.NDXP250530P20225</stp>
        <tr r="I147" s="2"/>
      </tp>
      <tp>
        <v>72</v>
        <stp/>
        <stp>VOLUME</stp>
        <stp>.NDXP250507P19525</stp>
        <tr r="BB174" s="1"/>
        <tr r="BB174" s="1"/>
      </tp>
      <tp t="s">
        <v>N/A</v>
        <stp/>
        <stp>VOLUME</stp>
        <stp>.NDXP250530P19225</stp>
        <tr r="I187" s="2"/>
      </tp>
      <tp t="s">
        <v>N/A</v>
        <stp/>
        <stp>VOLUME</stp>
        <stp>.NDXP250606P20425</stp>
        <tr r="J139" s="2"/>
      </tp>
      <tp t="s">
        <v>N/A</v>
        <stp/>
        <stp>VOLUME</stp>
        <stp>.NDXP250630P20225</stp>
        <tr r="L147" s="2"/>
      </tp>
      <tp t="s">
        <v>N/A</v>
        <stp/>
        <stp>VOLUME</stp>
        <stp>.NDXP250731P20325</stp>
        <tr r="N143" s="2"/>
      </tp>
      <tp t="s">
        <v>N/A</v>
        <stp/>
        <stp>VOLUME</stp>
        <stp>.NDXP251031P20325</stp>
        <tr r="T143" s="2"/>
      </tp>
      <tp t="s">
        <v>N/A</v>
        <stp/>
        <stp>VOLUME</stp>
        <stp>.NDXP251231P19325</stp>
        <tr r="X183" s="2"/>
      </tp>
      <tp t="s">
        <v>N/A</v>
        <stp/>
        <stp>VOLUME</stp>
        <stp>.NDXP251231P20325</stp>
        <tr r="X143" s="2"/>
      </tp>
      <tp t="s">
        <v>N/A</v>
        <stp/>
        <stp>VOLUME</stp>
        <stp>.NDXP251031P19325</stp>
        <tr r="T183" s="2"/>
      </tp>
      <tp>
        <v>6</v>
        <stp/>
        <stp>OPEN_INT</stp>
        <stp>.NDXP250509C19300</stp>
        <tr r="AU183" s="1"/>
        <tr r="AU183" s="1"/>
      </tp>
      <tp>
        <v>6</v>
        <stp/>
        <stp>OPEN_INT</stp>
        <stp>.NDXP250509C20300</stp>
        <tr r="AU143" s="1"/>
        <tr r="AU143" s="1"/>
      </tp>
      <tp>
        <v>1</v>
        <stp/>
        <stp>OPEN_INT</stp>
        <stp>.NDXP250509C19325</stp>
        <tr r="AU182" s="1"/>
        <tr r="AU182" s="1"/>
      </tp>
      <tp>
        <v>2</v>
        <stp/>
        <stp>OPEN_INT</stp>
        <stp>.NDXP250509C20325</stp>
        <tr r="AU142" s="1"/>
        <tr r="AU142" s="1"/>
      </tp>
      <tp>
        <v>4</v>
        <stp/>
        <stp>OPEN_INT</stp>
        <stp>.NDXP250509C19350</stp>
        <tr r="AU181" s="1"/>
        <tr r="AU181" s="1"/>
      </tp>
      <tp>
        <v>38</v>
        <stp/>
        <stp>OPEN_INT</stp>
        <stp>.NDXP250509C20350</stp>
        <tr r="AU141" s="1"/>
        <tr r="AU141" s="1"/>
      </tp>
      <tp>
        <v>0</v>
        <stp/>
        <stp>OPEN_INT</stp>
        <stp>.NDXP250509C19375</stp>
        <tr r="AU180" s="1"/>
        <tr r="AU180" s="1"/>
      </tp>
      <tp>
        <v>6</v>
        <stp/>
        <stp>OPEN_INT</stp>
        <stp>.NDXP250509C20375</stp>
        <tr r="AU140" s="1"/>
        <tr r="AU140" s="1"/>
      </tp>
      <tp>
        <v>21</v>
        <stp/>
        <stp>OPEN_INT</stp>
        <stp>.NDXP250509P19325</stp>
        <tr r="AV182" s="1"/>
        <tr r="AV182" s="1"/>
      </tp>
      <tp>
        <v>0</v>
        <stp/>
        <stp>OPEN_INT</stp>
        <stp>.NDXP250509P20325</stp>
        <tr r="AV142" s="1"/>
        <tr r="AV142" s="1"/>
      </tp>
      <tp>
        <v>36</v>
        <stp/>
        <stp>OPEN_INT</stp>
        <stp>.NDXP250509P19300</stp>
        <tr r="AV183" s="1"/>
        <tr r="AV183" s="1"/>
      </tp>
      <tp>
        <v>2</v>
        <stp/>
        <stp>OPEN_INT</stp>
        <stp>.NDXP250509P20300</stp>
        <tr r="AV143" s="1"/>
        <tr r="AV143" s="1"/>
      </tp>
      <tp>
        <v>26</v>
        <stp/>
        <stp>OPEN_INT</stp>
        <stp>.NDXP250509P19375</stp>
        <tr r="AV180" s="1"/>
        <tr r="AV180" s="1"/>
      </tp>
      <tp>
        <v>1</v>
        <stp/>
        <stp>OPEN_INT</stp>
        <stp>.NDXP250509P20375</stp>
        <tr r="AV140" s="1"/>
        <tr r="AV140" s="1"/>
      </tp>
      <tp>
        <v>35</v>
        <stp/>
        <stp>OPEN_INT</stp>
        <stp>.NDXP250509P19350</stp>
        <tr r="AV181" s="1"/>
        <tr r="AV181" s="1"/>
      </tp>
      <tp>
        <v>0</v>
        <stp/>
        <stp>OPEN_INT</stp>
        <stp>.NDXP250509P20350</stp>
        <tr r="AV141" s="1"/>
        <tr r="AV141" s="1"/>
      </tp>
      <tp>
        <v>-0.08</v>
        <stp/>
        <stp>DELTA</stp>
        <stp>.NDXP250507P19725</stp>
        <tr r="CE166" s="1"/>
        <tr r="CE166" s="1"/>
      </tp>
      <tp>
        <v>-0.56000000000000005</v>
        <stp/>
        <stp>DELTA</stp>
        <stp>.NDXP250509P19925</stp>
        <tr r="CG158" s="1"/>
        <tr r="CG158" s="1"/>
      </tp>
      <tp>
        <v>0</v>
        <stp/>
        <stp>DELTA</stp>
        <stp>.NDXP250507P19700</stp>
        <tr r="CE167" s="1"/>
        <tr r="CE167" s="1"/>
      </tp>
      <tp>
        <v>-0.53</v>
        <stp/>
        <stp>DELTA</stp>
        <stp>.NDXP250509P19900</stp>
        <tr r="CG159" s="1"/>
        <tr r="CG159" s="1"/>
      </tp>
      <tp>
        <v>0</v>
        <stp/>
        <stp>DELTA</stp>
        <stp>.NDXP250507P19775</stp>
        <tr r="CE164" s="1"/>
        <tr r="CE164" s="1"/>
      </tp>
      <tp>
        <v>-0.62</v>
        <stp/>
        <stp>DELTA</stp>
        <stp>.NDXP250509P19975</stp>
        <tr r="CG156" s="1"/>
        <tr r="CG156" s="1"/>
      </tp>
      <tp>
        <v>-0.02</v>
        <stp/>
        <stp>DELTA</stp>
        <stp>.NDXP250507P19750</stp>
        <tr r="CE165" s="1"/>
        <tr r="CE165" s="1"/>
      </tp>
      <tp>
        <v>-0.59</v>
        <stp/>
        <stp>DELTA</stp>
        <stp>.NDXP250509P19950</stp>
        <tr r="CG157" s="1"/>
        <tr r="CG157" s="1"/>
      </tp>
      <tp>
        <v>1</v>
        <stp/>
        <stp>DELTA</stp>
        <stp>.NDXP250507C19700</stp>
        <tr r="CD167" s="1"/>
        <tr r="CD167" s="1"/>
      </tp>
      <tp>
        <v>0.48</v>
        <stp/>
        <stp>DELTA</stp>
        <stp>.NDXP250509C19900</stp>
        <tr r="CF159" s="1"/>
        <tr r="CF159" s="1"/>
      </tp>
      <tp>
        <v>1</v>
        <stp/>
        <stp>DELTA</stp>
        <stp>.NDXP250507C19725</stp>
        <tr r="CD166" s="1"/>
        <tr r="CD166" s="1"/>
      </tp>
      <tp>
        <v>0.46</v>
        <stp/>
        <stp>DELTA</stp>
        <stp>.NDXP250509C19925</stp>
        <tr r="CF158" s="1"/>
        <tr r="CF158" s="1"/>
      </tp>
      <tp>
        <v>1</v>
        <stp/>
        <stp>DELTA</stp>
        <stp>.NDXP250507C19750</stp>
        <tr r="CD165" s="1"/>
        <tr r="CD165" s="1"/>
      </tp>
      <tp>
        <v>0.43</v>
        <stp/>
        <stp>DELTA</stp>
        <stp>.NDXP250509C19950</stp>
        <tr r="CF157" s="1"/>
        <tr r="CF157" s="1"/>
      </tp>
      <tp>
        <v>1</v>
        <stp/>
        <stp>DELTA</stp>
        <stp>.NDXP250507C19775</stp>
        <tr r="CD164" s="1"/>
        <tr r="CD164" s="1"/>
      </tp>
      <tp>
        <v>0.41</v>
        <stp/>
        <stp>DELTA</stp>
        <stp>.NDXP250509C19975</stp>
        <tr r="CF156" s="1"/>
        <tr r="CF156" s="1"/>
      </tp>
      <tp t="s">
        <v>N/A</v>
        <stp/>
        <stp>VOLUME</stp>
        <stp>.NDXP250930C20375</stp>
        <tr r="R141" s="2"/>
      </tp>
      <tp t="s">
        <v>N/A</v>
        <stp/>
        <stp>VOLUME</stp>
        <stp>.NDXP250930C19375</stp>
        <tr r="R181" s="2"/>
      </tp>
      <tp t="s">
        <v>N/A</v>
        <stp/>
        <stp>VOLUME</stp>
        <stp>.NDXP250731C19275</stp>
        <tr r="N185" s="2"/>
      </tp>
      <tp>
        <v>1</v>
        <stp/>
        <stp>VOLUME</stp>
        <stp>.NDXP250606C19575</stp>
        <tr r="J173" s="2"/>
        <tr r="J173" s="2"/>
      </tp>
      <tp t="s">
        <v>N/A</v>
        <stp/>
        <stp>VOLUME</stp>
        <stp>.NDXP250630C19375</stp>
        <tr r="L181" s="2"/>
      </tp>
      <tp t="s">
        <v>N/A</v>
        <stp/>
        <stp>VOLUME</stp>
        <stp>.NDXP250530C20375</stp>
        <tr r="I141" s="2"/>
      </tp>
      <tp>
        <v>2</v>
        <stp/>
        <stp>VOLUME</stp>
        <stp>.NDXP250507C19475</stp>
        <tr r="BA176" s="1"/>
        <tr r="BA176" s="1"/>
      </tp>
      <tp t="s">
        <v>N/A</v>
        <stp/>
        <stp>VOLUME</stp>
        <stp>.NDXP250530C19375</stp>
        <tr r="I181" s="2"/>
      </tp>
      <tp t="s">
        <v>N/A</v>
        <stp/>
        <stp>VOLUME</stp>
        <stp>.NDXP250630C20375</stp>
        <tr r="L141" s="2"/>
      </tp>
      <tp t="s">
        <v>N/A</v>
        <stp/>
        <stp>VOLUME</stp>
        <stp>.NDXP250731C20275</stp>
        <tr r="N145" s="2"/>
      </tp>
      <tp t="s">
        <v>N/A</v>
        <stp/>
        <stp>VOLUME</stp>
        <stp>.NDXP251031C20275</stp>
        <tr r="T145" s="2"/>
      </tp>
      <tp t="s">
        <v>N/A</v>
        <stp/>
        <stp>VOLUME</stp>
        <stp>.NDXP251231C19275</stp>
        <tr r="X185" s="2"/>
      </tp>
      <tp t="s">
        <v>N/A</v>
        <stp/>
        <stp>VOLUME</stp>
        <stp>.NDXP251231C20275</stp>
        <tr r="X145" s="2"/>
      </tp>
      <tp t="s">
        <v>N/A</v>
        <stp/>
        <stp>VOLUME</stp>
        <stp>.NDXP251031C19275</stp>
        <tr r="T185" s="2"/>
      </tp>
      <tp t="s">
        <v>N/A</v>
        <stp/>
        <stp>VOLUME</stp>
        <stp>.NDXP250930C20350</stp>
        <tr r="R142" s="2"/>
      </tp>
      <tp t="s">
        <v>N/A</v>
        <stp/>
        <stp>VOLUME</stp>
        <stp>.NDXP250930C19350</stp>
        <tr r="R182" s="2"/>
      </tp>
      <tp t="s">
        <v>N/A</v>
        <stp/>
        <stp>VOLUME</stp>
        <stp>.NDXP250606C19550</stp>
        <tr r="J174" s="2"/>
      </tp>
      <tp t="s">
        <v>N/A</v>
        <stp/>
        <stp>VOLUME</stp>
        <stp>.NDXP250630C19350</stp>
        <tr r="L182" s="2"/>
      </tp>
      <tp>
        <v>130</v>
        <stp/>
        <stp>VOLUME</stp>
        <stp>.NDXP250507C20450</stp>
        <tr r="BA137" s="1"/>
        <tr r="BA137" s="1"/>
      </tp>
      <tp t="s">
        <v>N/A</v>
        <stp/>
        <stp>VOLUME</stp>
        <stp>.NDXP250530C20350</stp>
        <tr r="I142" s="2"/>
      </tp>
      <tp t="s">
        <v>N/A</v>
        <stp/>
        <stp>VOLUME</stp>
        <stp>.NDXP250731C19250</stp>
        <tr r="N186" s="2"/>
      </tp>
      <tp t="s">
        <v>N/A</v>
        <stp/>
        <stp>VOLUME</stp>
        <stp>.NDXP250731C20250</stp>
        <tr r="N146" s="2"/>
      </tp>
      <tp>
        <v>4</v>
        <stp/>
        <stp>VOLUME</stp>
        <stp>.NDXP250507C19450</stp>
        <tr r="BA177" s="1"/>
        <tr r="BA177" s="1"/>
      </tp>
      <tp t="s">
        <v>N/A</v>
        <stp/>
        <stp>VOLUME</stp>
        <stp>.NDXP250530C19350</stp>
        <tr r="I182" s="2"/>
      </tp>
      <tp t="s">
        <v>N/A</v>
        <stp/>
        <stp>VOLUME</stp>
        <stp>.NDXP250630C20350</stp>
        <tr r="L142" s="2"/>
      </tp>
      <tp t="s">
        <v>N/A</v>
        <stp/>
        <stp>VOLUME</stp>
        <stp>.NDXP251231C19250</stp>
        <tr r="X186" s="2"/>
      </tp>
      <tp t="s">
        <v>N/A</v>
        <stp/>
        <stp>VOLUME</stp>
        <stp>.NDXP251031C20250</stp>
        <tr r="T146" s="2"/>
      </tp>
      <tp t="s">
        <v>N/A</v>
        <stp/>
        <stp>VOLUME</stp>
        <stp>.NDXP251031C19250</stp>
        <tr r="T186" s="2"/>
      </tp>
      <tp t="s">
        <v>N/A</v>
        <stp/>
        <stp>VOLUME</stp>
        <stp>.NDXP251231C20250</stp>
        <tr r="X146" s="2"/>
      </tp>
      <tp t="s">
        <v>N/A</v>
        <stp/>
        <stp>VOLUME</stp>
        <stp>.NDXP251031C20225</stp>
        <tr r="T147" s="2"/>
      </tp>
      <tp t="s">
        <v>N/A</v>
        <stp/>
        <stp>VOLUME</stp>
        <stp>.NDXP251231C19225</stp>
        <tr r="X187" s="2"/>
      </tp>
      <tp t="s">
        <v>N/A</v>
        <stp/>
        <stp>VOLUME</stp>
        <stp>.NDXP251231C20225</stp>
        <tr r="X147" s="2"/>
      </tp>
      <tp t="s">
        <v>N/A</v>
        <stp/>
        <stp>VOLUME</stp>
        <stp>.NDXP251031C19225</stp>
        <tr r="T187" s="2"/>
      </tp>
      <tp t="s">
        <v>N/A</v>
        <stp/>
        <stp>VOLUME</stp>
        <stp>.NDXP250930C20325</stp>
        <tr r="R143" s="2"/>
      </tp>
      <tp t="s">
        <v>N/A</v>
        <stp/>
        <stp>VOLUME</stp>
        <stp>.NDXP250930C19325</stp>
        <tr r="R183" s="2"/>
      </tp>
      <tp t="s">
        <v>N/A</v>
        <stp/>
        <stp>VOLUME</stp>
        <stp>.NDXP250731C19225</stp>
        <tr r="N187" s="2"/>
      </tp>
      <tp t="s">
        <v>N/A</v>
        <stp/>
        <stp>VOLUME</stp>
        <stp>.NDXP250606C19525</stp>
        <tr r="J175" s="2"/>
      </tp>
      <tp t="s">
        <v>N/A</v>
        <stp/>
        <stp>VOLUME</stp>
        <stp>.NDXP250630C19325</stp>
        <tr r="L183" s="2"/>
      </tp>
      <tp>
        <v>60</v>
        <stp/>
        <stp>VOLUME</stp>
        <stp>.NDXP250507C20425</stp>
        <tr r="BA138" s="1"/>
        <tr r="BA138" s="1"/>
      </tp>
      <tp t="s">
        <v>N/A</v>
        <stp/>
        <stp>VOLUME</stp>
        <stp>.NDXP250530C20325</stp>
        <tr r="I143" s="2"/>
      </tp>
      <tp>
        <v>1</v>
        <stp/>
        <stp>VOLUME</stp>
        <stp>.NDXP250507C19425</stp>
        <tr r="BA178" s="1"/>
        <tr r="BA178" s="1"/>
      </tp>
      <tp t="s">
        <v>N/A</v>
        <stp/>
        <stp>VOLUME</stp>
        <stp>.NDXP250530C19325</stp>
        <tr r="I183" s="2"/>
      </tp>
      <tp t="s">
        <v>N/A</v>
        <stp/>
        <stp>VOLUME</stp>
        <stp>.NDXP250630C20325</stp>
        <tr r="L143" s="2"/>
      </tp>
      <tp t="s">
        <v>N/A</v>
        <stp/>
        <stp>VOLUME</stp>
        <stp>.NDXP250731C20225</stp>
        <tr r="N147" s="2"/>
      </tp>
      <tp t="s">
        <v>N/A</v>
        <stp/>
        <stp>VOLUME</stp>
        <stp>.NDXP251231C19200</stp>
        <tr r="X188" s="2"/>
      </tp>
      <tp t="s">
        <v>N/A</v>
        <stp/>
        <stp>VOLUME</stp>
        <stp>.NDXP251031C20200</stp>
        <tr r="T148" s="2"/>
      </tp>
      <tp t="s">
        <v>N/A</v>
        <stp/>
        <stp>VOLUME</stp>
        <stp>.NDXP251031C19200</stp>
        <tr r="T188" s="2"/>
      </tp>
      <tp t="s">
        <v>N/A</v>
        <stp/>
        <stp>VOLUME</stp>
        <stp>.NDXP251231C20200</stp>
        <tr r="X148" s="2"/>
      </tp>
      <tp t="s">
        <v>N/A</v>
        <stp/>
        <stp>VOLUME</stp>
        <stp>.NDXP250930C20300</stp>
        <tr r="R144" s="2"/>
      </tp>
      <tp t="s">
        <v>N/A</v>
        <stp/>
        <stp>VOLUME</stp>
        <stp>.NDXP250930C19300</stp>
        <tr r="R184" s="2"/>
      </tp>
      <tp t="s">
        <v>N/A</v>
        <stp/>
        <stp>VOLUME</stp>
        <stp>.NDXP250606C19500</stp>
        <tr r="J176" s="2"/>
      </tp>
      <tp t="s">
        <v>N/A</v>
        <stp/>
        <stp>VOLUME</stp>
        <stp>.NDXP250630C19300</stp>
        <tr r="L184" s="2"/>
      </tp>
      <tp>
        <v>188</v>
        <stp/>
        <stp>VOLUME</stp>
        <stp>.NDXP250507C20400</stp>
        <tr r="BA139" s="1"/>
        <tr r="BA139" s="1"/>
      </tp>
      <tp t="s">
        <v>N/A</v>
        <stp/>
        <stp>VOLUME</stp>
        <stp>.NDXP250530C20300</stp>
        <tr r="I144" s="2"/>
      </tp>
      <tp t="s">
        <v>N/A</v>
        <stp/>
        <stp>VOLUME</stp>
        <stp>.NDXP250731C19200</stp>
        <tr r="N188" s="2"/>
      </tp>
      <tp t="s">
        <v>N/A</v>
        <stp/>
        <stp>VOLUME</stp>
        <stp>.NDXP250731C20200</stp>
        <tr r="N148" s="2"/>
      </tp>
      <tp>
        <v>6</v>
        <stp/>
        <stp>VOLUME</stp>
        <stp>.NDXP250507C19400</stp>
        <tr r="BA179" s="1"/>
        <tr r="BA179" s="1"/>
      </tp>
      <tp t="s">
        <v>N/A</v>
        <stp/>
        <stp>VOLUME</stp>
        <stp>.NDXP250530C19300</stp>
        <tr r="I184" s="2"/>
      </tp>
      <tp t="s">
        <v>N/A</v>
        <stp/>
        <stp>VOLUME</stp>
        <stp>.NDXP250630C20300</stp>
        <tr r="L144" s="2"/>
      </tp>
      <tp t="s">
        <v>N/A</v>
        <stp/>
        <stp>VOLUME</stp>
        <stp>.NDXP251231P19250</stp>
        <tr r="X186" s="2"/>
      </tp>
      <tp t="s">
        <v>N/A</v>
        <stp/>
        <stp>VOLUME</stp>
        <stp>.NDXP251031P20250</stp>
        <tr r="T146" s="2"/>
      </tp>
      <tp t="s">
        <v>N/A</v>
        <stp/>
        <stp>VOLUME</stp>
        <stp>.NDXP251031P19250</stp>
        <tr r="T186" s="2"/>
      </tp>
      <tp t="s">
        <v>N/A</v>
        <stp/>
        <stp>VOLUME</stp>
        <stp>.NDXP251231P20250</stp>
        <tr r="X146" s="2"/>
      </tp>
      <tp t="s">
        <v>N/A</v>
        <stp/>
        <stp>VOLUME</stp>
        <stp>.NDXP250930P20350</stp>
        <tr r="R142" s="2"/>
      </tp>
      <tp t="s">
        <v>N/A</v>
        <stp/>
        <stp>VOLUME</stp>
        <stp>.NDXP250930P19350</stp>
        <tr r="R182" s="2"/>
      </tp>
      <tp t="s">
        <v>N/A</v>
        <stp/>
        <stp>VOLUME</stp>
        <stp>.NDXP250606P19550</stp>
        <tr r="J174" s="2"/>
      </tp>
      <tp t="s">
        <v>N/A</v>
        <stp/>
        <stp>VOLUME</stp>
        <stp>.NDXP250630P19350</stp>
        <tr r="L182" s="2"/>
      </tp>
      <tp t="s">
        <v>N/A</v>
        <stp/>
        <stp>VOLUME</stp>
        <stp>.NDXP250507P20450</stp>
        <tr r="BB137" s="1"/>
      </tp>
      <tp t="s">
        <v>N/A</v>
        <stp/>
        <stp>VOLUME</stp>
        <stp>.NDXP250530P20350</stp>
        <tr r="I142" s="2"/>
      </tp>
      <tp t="s">
        <v>N/A</v>
        <stp/>
        <stp>VOLUME</stp>
        <stp>.NDXP250731P19250</stp>
        <tr r="N186" s="2"/>
      </tp>
      <tp t="s">
        <v>N/A</v>
        <stp/>
        <stp>VOLUME</stp>
        <stp>.NDXP250731P20250</stp>
        <tr r="N146" s="2"/>
      </tp>
      <tp>
        <v>184</v>
        <stp/>
        <stp>VOLUME</stp>
        <stp>.NDXP250507P19450</stp>
        <tr r="BB177" s="1"/>
        <tr r="BB177" s="1"/>
      </tp>
      <tp t="s">
        <v>N/A</v>
        <stp/>
        <stp>VOLUME</stp>
        <stp>.NDXP250530P19350</stp>
        <tr r="I182" s="2"/>
      </tp>
      <tp t="s">
        <v>N/A</v>
        <stp/>
        <stp>VOLUME</stp>
        <stp>.NDXP250630P20350</stp>
        <tr r="L142" s="2"/>
      </tp>
      <tp t="s">
        <v>N/A</v>
        <stp/>
        <stp>VOLUME</stp>
        <stp>.NDXP251031P20275</stp>
        <tr r="T145" s="2"/>
      </tp>
      <tp t="s">
        <v>N/A</v>
        <stp/>
        <stp>VOLUME</stp>
        <stp>.NDXP251231P19275</stp>
        <tr r="X185" s="2"/>
      </tp>
      <tp t="s">
        <v>N/A</v>
        <stp/>
        <stp>VOLUME</stp>
        <stp>.NDXP251231P20275</stp>
        <tr r="X145" s="2"/>
      </tp>
      <tp t="s">
        <v>N/A</v>
        <stp/>
        <stp>VOLUME</stp>
        <stp>.NDXP251031P19275</stp>
        <tr r="T185" s="2"/>
      </tp>
      <tp t="s">
        <v>N/A</v>
        <stp/>
        <stp>VOLUME</stp>
        <stp>.NDXP250930P20375</stp>
        <tr r="R141" s="2"/>
      </tp>
      <tp t="s">
        <v>N/A</v>
        <stp/>
        <stp>VOLUME</stp>
        <stp>.NDXP250930P19375</stp>
        <tr r="R181" s="2"/>
      </tp>
      <tp t="s">
        <v>N/A</v>
        <stp/>
        <stp>VOLUME</stp>
        <stp>.NDXP250731P19275</stp>
        <tr r="N185" s="2"/>
      </tp>
      <tp t="s">
        <v>N/A</v>
        <stp/>
        <stp>VOLUME</stp>
        <stp>.NDXP250606P19575</stp>
        <tr r="J173" s="2"/>
      </tp>
      <tp t="s">
        <v>N/A</v>
        <stp/>
        <stp>VOLUME</stp>
        <stp>.NDXP250630P19375</stp>
        <tr r="L181" s="2"/>
      </tp>
      <tp t="s">
        <v>N/A</v>
        <stp/>
        <stp>VOLUME</stp>
        <stp>.NDXP250530P20375</stp>
        <tr r="I141" s="2"/>
      </tp>
      <tp>
        <v>65</v>
        <stp/>
        <stp>VOLUME</stp>
        <stp>.NDXP250507P19475</stp>
        <tr r="BB176" s="1"/>
        <tr r="BB176" s="1"/>
      </tp>
      <tp>
        <v>1</v>
        <stp/>
        <stp>VOLUME</stp>
        <stp>.NDXP250530P19375</stp>
        <tr r="I181" s="2"/>
        <tr r="I181" s="2"/>
      </tp>
      <tp t="s">
        <v>N/A</v>
        <stp/>
        <stp>VOLUME</stp>
        <stp>.NDXP250630P20375</stp>
        <tr r="L141" s="2"/>
      </tp>
      <tp t="s">
        <v>N/A</v>
        <stp/>
        <stp>VOLUME</stp>
        <stp>.NDXP250731P20275</stp>
        <tr r="N145" s="2"/>
      </tp>
      <tp t="s">
        <v>N/A</v>
        <stp/>
        <stp>VOLUME</stp>
        <stp>.NDXP250930P20300</stp>
        <tr r="R144" s="2"/>
      </tp>
      <tp t="s">
        <v>N/A</v>
        <stp/>
        <stp>VOLUME</stp>
        <stp>.NDXP250930P19300</stp>
        <tr r="R184" s="2"/>
      </tp>
      <tp t="s">
        <v>N/A</v>
        <stp/>
        <stp>VOLUME</stp>
        <stp>.NDXP250606P19500</stp>
        <tr r="J176" s="2"/>
      </tp>
      <tp t="s">
        <v>N/A</v>
        <stp/>
        <stp>VOLUME</stp>
        <stp>.NDXP250630P19300</stp>
        <tr r="L184" s="2"/>
      </tp>
      <tp t="s">
        <v>N/A</v>
        <stp/>
        <stp>VOLUME</stp>
        <stp>.NDXP250507P20400</stp>
        <tr r="BB139" s="1"/>
      </tp>
      <tp t="s">
        <v>N/A</v>
        <stp/>
        <stp>VOLUME</stp>
        <stp>.NDXP250530P20300</stp>
        <tr r="I144" s="2"/>
      </tp>
      <tp t="s">
        <v>N/A</v>
        <stp/>
        <stp>VOLUME</stp>
        <stp>.NDXP250731P19200</stp>
        <tr r="N188" s="2"/>
      </tp>
      <tp t="s">
        <v>N/A</v>
        <stp/>
        <stp>VOLUME</stp>
        <stp>.NDXP250731P20200</stp>
        <tr r="N148" s="2"/>
      </tp>
      <tp>
        <v>1497</v>
        <stp/>
        <stp>VOLUME</stp>
        <stp>.NDXP250507P19400</stp>
        <tr r="BB179" s="1"/>
        <tr r="BB179" s="1"/>
      </tp>
      <tp t="s">
        <v>N/A</v>
        <stp/>
        <stp>VOLUME</stp>
        <stp>.NDXP250530P19300</stp>
        <tr r="I184" s="2"/>
      </tp>
      <tp t="s">
        <v>N/A</v>
        <stp/>
        <stp>VOLUME</stp>
        <stp>.NDXP250630P20300</stp>
        <tr r="L144" s="2"/>
      </tp>
      <tp t="s">
        <v>N/A</v>
        <stp/>
        <stp>VOLUME</stp>
        <stp>.NDXP251231P19200</stp>
        <tr r="X188" s="2"/>
      </tp>
      <tp t="s">
        <v>N/A</v>
        <stp/>
        <stp>VOLUME</stp>
        <stp>.NDXP251031P20200</stp>
        <tr r="T148" s="2"/>
      </tp>
      <tp t="s">
        <v>N/A</v>
        <stp/>
        <stp>VOLUME</stp>
        <stp>.NDXP251031P19200</stp>
        <tr r="T188" s="2"/>
      </tp>
      <tp t="s">
        <v>N/A</v>
        <stp/>
        <stp>VOLUME</stp>
        <stp>.NDXP251231P20200</stp>
        <tr r="X148" s="2"/>
      </tp>
      <tp t="s">
        <v>N/A</v>
        <stp/>
        <stp>VOLUME</stp>
        <stp>.NDXP250930P20325</stp>
        <tr r="R143" s="2"/>
      </tp>
      <tp t="s">
        <v>N/A</v>
        <stp/>
        <stp>VOLUME</stp>
        <stp>.NDXP250930P19325</stp>
        <tr r="R183" s="2"/>
      </tp>
      <tp t="s">
        <v>N/A</v>
        <stp/>
        <stp>VOLUME</stp>
        <stp>.NDXP250731P19225</stp>
        <tr r="N187" s="2"/>
      </tp>
      <tp t="s">
        <v>N/A</v>
        <stp/>
        <stp>VOLUME</stp>
        <stp>.NDXP250606P19525</stp>
        <tr r="J175" s="2"/>
      </tp>
      <tp t="s">
        <v>N/A</v>
        <stp/>
        <stp>VOLUME</stp>
        <stp>.NDXP250630P19325</stp>
        <tr r="L183" s="2"/>
      </tp>
      <tp t="s">
        <v>N/A</v>
        <stp/>
        <stp>VOLUME</stp>
        <stp>.NDXP250507P20425</stp>
        <tr r="BB138" s="1"/>
      </tp>
      <tp t="s">
        <v>N/A</v>
        <stp/>
        <stp>VOLUME</stp>
        <stp>.NDXP250530P20325</stp>
        <tr r="I143" s="2"/>
      </tp>
      <tp>
        <v>96</v>
        <stp/>
        <stp>VOLUME</stp>
        <stp>.NDXP250507P19425</stp>
        <tr r="BB178" s="1"/>
        <tr r="BB178" s="1"/>
      </tp>
      <tp t="s">
        <v>N/A</v>
        <stp/>
        <stp>VOLUME</stp>
        <stp>.NDXP250530P19325</stp>
        <tr r="I183" s="2"/>
      </tp>
      <tp t="s">
        <v>N/A</v>
        <stp/>
        <stp>VOLUME</stp>
        <stp>.NDXP250630P20325</stp>
        <tr r="L143" s="2"/>
      </tp>
      <tp t="s">
        <v>N/A</v>
        <stp/>
        <stp>VOLUME</stp>
        <stp>.NDXP250731P20225</stp>
        <tr r="N147" s="2"/>
      </tp>
      <tp t="s">
        <v>N/A</v>
        <stp/>
        <stp>VOLUME</stp>
        <stp>.NDXP251031P20225</stp>
        <tr r="T147" s="2"/>
      </tp>
      <tp t="s">
        <v>N/A</v>
        <stp/>
        <stp>VOLUME</stp>
        <stp>.NDXP251231P19225</stp>
        <tr r="X187" s="2"/>
      </tp>
      <tp t="s">
        <v>N/A</v>
        <stp/>
        <stp>VOLUME</stp>
        <stp>.NDXP251231P20225</stp>
        <tr r="X147" s="2"/>
      </tp>
      <tp t="s">
        <v>N/A</v>
        <stp/>
        <stp>VOLUME</stp>
        <stp>.NDXP251031P19225</stp>
        <tr r="T187" s="2"/>
      </tp>
      <tp t="s">
        <v>23.57%</v>
        <stp/>
        <stp>IMPL_VOL</stp>
        <stp>.NDXP250507C19875</stp>
        <tr r="EL160" s="1"/>
      </tp>
      <tp t="s">
        <v>33.60%</v>
        <stp/>
        <stp>IMPL_VOL</stp>
        <stp>.NDXP250509C19675</stp>
        <tr r="EN168" s="1"/>
      </tp>
      <tp t="s">
        <v>19.44%</v>
        <stp/>
        <stp>IMPL_VOL</stp>
        <stp>.NDXP250507C19850</stp>
        <tr r="EL161" s="1"/>
      </tp>
      <tp t="s">
        <v>34.48%</v>
        <stp/>
        <stp>IMPL_VOL</stp>
        <stp>.NDXP250509C19650</stp>
        <tr r="EN169" s="1"/>
      </tp>
      <tp t="s">
        <v>--</v>
        <stp/>
        <stp>IMPL_VOL</stp>
        <stp>.NDXP250507C19825</stp>
        <tr r="EL162" s="1"/>
      </tp>
      <tp t="s">
        <v>34.82%</v>
        <stp/>
        <stp>IMPL_VOL</stp>
        <stp>.NDXP250509C19625</stp>
        <tr r="EN170" s="1"/>
      </tp>
      <tp t="s">
        <v>--</v>
        <stp/>
        <stp>IMPL_VOL</stp>
        <stp>.NDXP250507C19800</stp>
        <tr r="EL163" s="1"/>
      </tp>
      <tp t="s">
        <v>35.82%</v>
        <stp/>
        <stp>IMPL_VOL</stp>
        <stp>.NDXP250509C19600</stp>
        <tr r="EN171" s="1"/>
      </tp>
      <tp t="s">
        <v>N/A</v>
        <stp/>
        <stp>VOLUME</stp>
        <stp>.NDX251219P20200</stp>
        <tr r="W148" s="2"/>
      </tp>
      <tp t="s">
        <v>N/A</v>
        <stp/>
        <stp>VOLUME</stp>
        <stp>.NDX251219P19200</stp>
        <tr r="W188" s="2"/>
      </tp>
      <tp t="s">
        <v>N/A</v>
        <stp/>
        <stp>VOLUME</stp>
        <stp>.NDX250919P19200</stp>
        <tr r="Q188" s="2"/>
      </tp>
      <tp t="s">
        <v>N/A</v>
        <stp/>
        <stp>VOLUME</stp>
        <stp>.NDX250919P20200</stp>
        <tr r="Q148" s="2"/>
      </tp>
      <tp t="s">
        <v>N/A</v>
        <stp/>
        <stp>VOLUME</stp>
        <stp>.NDX250718P20300</stp>
        <tr r="M144" s="2"/>
      </tp>
      <tp t="s">
        <v>N/A</v>
        <stp/>
        <stp>VOLUME</stp>
        <stp>.NDX250523P19800</stp>
        <tr r="H164" s="2"/>
      </tp>
      <tp t="s">
        <v>N/A</v>
        <stp/>
        <stp>VOLUME</stp>
        <stp>.NDX250718P19300</stp>
        <tr r="M184" s="2"/>
      </tp>
      <tp t="s">
        <v>N/A</v>
        <stp/>
        <stp>VOLUME</stp>
        <stp>.NDX251219P20225</stp>
        <tr r="W147" s="2"/>
      </tp>
      <tp t="s">
        <v>N/A</v>
        <stp/>
        <stp>VOLUME</stp>
        <stp>.NDX251219P19225</stp>
        <tr r="W187" s="2"/>
      </tp>
      <tp t="s">
        <v>N/A</v>
        <stp/>
        <stp>VOLUME</stp>
        <stp>.NDX250919P19225</stp>
        <tr r="Q187" s="2"/>
      </tp>
      <tp t="s">
        <v>N/A</v>
        <stp/>
        <stp>VOLUME</stp>
        <stp>.NDX250919P20225</stp>
        <tr r="Q147" s="2"/>
      </tp>
      <tp t="s">
        <v>N/A</v>
        <stp/>
        <stp>VOLUME</stp>
        <stp>.NDX250523P19825</stp>
        <tr r="H163" s="2"/>
      </tp>
      <tp t="s">
        <v>N/A</v>
        <stp/>
        <stp>VOLUME</stp>
        <stp>.NDX250718P20325</stp>
        <tr r="M143" s="2"/>
      </tp>
      <tp t="s">
        <v>N/A</v>
        <stp/>
        <stp>VOLUME</stp>
        <stp>.NDX250718P19325</stp>
        <tr r="M183" s="2"/>
      </tp>
      <tp t="s">
        <v>N/A</v>
        <stp/>
        <stp>VOLUME</stp>
        <stp>.NDX250919P19250</stp>
        <tr r="Q186" s="2"/>
      </tp>
      <tp t="s">
        <v>N/A</v>
        <stp/>
        <stp>VOLUME</stp>
        <stp>.NDX250919P20250</stp>
        <tr r="Q146" s="2"/>
      </tp>
      <tp t="s">
        <v>N/A</v>
        <stp/>
        <stp>VOLUME</stp>
        <stp>.NDX250718P20350</stp>
        <tr r="M142" s="2"/>
      </tp>
      <tp t="s">
        <v>N/A</v>
        <stp/>
        <stp>VOLUME</stp>
        <stp>.NDX250523P19850</stp>
        <tr r="H162" s="2"/>
      </tp>
      <tp t="s">
        <v>N/A</v>
        <stp/>
        <stp>VOLUME</stp>
        <stp>.NDX250718P19350</stp>
        <tr r="M182" s="2"/>
      </tp>
      <tp t="s">
        <v>N/A</v>
        <stp/>
        <stp>VOLUME</stp>
        <stp>.NDX251219P20250</stp>
        <tr r="W146" s="2"/>
      </tp>
      <tp t="s">
        <v>N/A</v>
        <stp/>
        <stp>VOLUME</stp>
        <stp>.NDX251219P19250</stp>
        <tr r="W186" s="2"/>
      </tp>
      <tp t="s">
        <v>N/A</v>
        <stp/>
        <stp>VOLUME</stp>
        <stp>.NDX250919P19275</stp>
        <tr r="Q185" s="2"/>
      </tp>
      <tp t="s">
        <v>N/A</v>
        <stp/>
        <stp>VOLUME</stp>
        <stp>.NDX250919P20275</stp>
        <tr r="Q145" s="2"/>
      </tp>
      <tp t="s">
        <v>N/A</v>
        <stp/>
        <stp>VOLUME</stp>
        <stp>.NDX250523P19875</stp>
        <tr r="H161" s="2"/>
      </tp>
      <tp t="s">
        <v>N/A</v>
        <stp/>
        <stp>VOLUME</stp>
        <stp>.NDX250718P20375</stp>
        <tr r="M141" s="2"/>
      </tp>
      <tp t="s">
        <v>N/A</v>
        <stp/>
        <stp>VOLUME</stp>
        <stp>.NDX250718P19375</stp>
        <tr r="M181" s="2"/>
      </tp>
      <tp t="s">
        <v>N/A</v>
        <stp/>
        <stp>VOLUME</stp>
        <stp>.NDX251219P20275</stp>
        <tr r="W145" s="2"/>
      </tp>
      <tp t="s">
        <v>N/A</v>
        <stp/>
        <stp>VOLUME</stp>
        <stp>.NDX251219P19275</stp>
        <tr r="W185" s="2"/>
      </tp>
      <tp t="s">
        <v>29.21%</v>
        <stp/>
        <stp>IMPL_VOL</stp>
        <stp>.NDXP250507P19850</stp>
        <tr r="EM161" s="1"/>
      </tp>
      <tp t="s">
        <v>28.60%</v>
        <stp/>
        <stp>IMPL_VOL</stp>
        <stp>.NDXP250509P19650</stp>
        <tr r="EO169" s="1"/>
      </tp>
      <tp t="s">
        <v>19.08%</v>
        <stp/>
        <stp>IMPL_VOL</stp>
        <stp>.NDXP250507P19875</stp>
        <tr r="EM160" s="1"/>
      </tp>
      <tp t="s">
        <v>28.37%</v>
        <stp/>
        <stp>IMPL_VOL</stp>
        <stp>.NDXP250509P19675</stp>
        <tr r="EO168" s="1"/>
      </tp>
      <tp t="s">
        <v>25.52%</v>
        <stp/>
        <stp>IMPL_VOL</stp>
        <stp>.NDXP250507P19800</stp>
        <tr r="EM163" s="1"/>
      </tp>
      <tp t="s">
        <v>29.07%</v>
        <stp/>
        <stp>IMPL_VOL</stp>
        <stp>.NDXP250509P19600</stp>
        <tr r="EO171" s="1"/>
      </tp>
      <tp t="s">
        <v>35.61%</v>
        <stp/>
        <stp>IMPL_VOL</stp>
        <stp>.NDXP250507P19825</stp>
        <tr r="EM162" s="1"/>
      </tp>
      <tp t="s">
        <v>28.86%</v>
        <stp/>
        <stp>IMPL_VOL</stp>
        <stp>.NDXP250509P19625</stp>
        <tr r="EO170" s="1"/>
      </tp>
      <tp t="s">
        <v>N/A</v>
        <stp/>
        <stp>VOLUME</stp>
        <stp>.NDX250919C19225</stp>
        <tr r="Q187" s="2"/>
      </tp>
      <tp t="s">
        <v>N/A</v>
        <stp/>
        <stp>VOLUME</stp>
        <stp>.NDX250919C20225</stp>
        <tr r="Q147" s="2"/>
      </tp>
      <tp t="s">
        <v>N/A</v>
        <stp/>
        <stp>VOLUME</stp>
        <stp>.NDX250523C19825</stp>
        <tr r="H163" s="2"/>
      </tp>
      <tp t="s">
        <v>N/A</v>
        <stp/>
        <stp>VOLUME</stp>
        <stp>.NDX250718C20325</stp>
        <tr r="M143" s="2"/>
      </tp>
      <tp t="s">
        <v>N/A</v>
        <stp/>
        <stp>VOLUME</stp>
        <stp>.NDX250718C19325</stp>
        <tr r="M183" s="2"/>
      </tp>
      <tp t="s">
        <v>N/A</v>
        <stp/>
        <stp>VOLUME</stp>
        <stp>.NDX251219C20225</stp>
        <tr r="W147" s="2"/>
      </tp>
      <tp t="s">
        <v>N/A</v>
        <stp/>
        <stp>VOLUME</stp>
        <stp>.NDX251219C19225</stp>
        <tr r="W187" s="2"/>
      </tp>
      <tp t="s">
        <v>N/A</v>
        <stp/>
        <stp>VOLUME</stp>
        <stp>.NDX250919C19200</stp>
        <tr r="Q188" s="2"/>
      </tp>
      <tp t="s">
        <v>N/A</v>
        <stp/>
        <stp>VOLUME</stp>
        <stp>.NDX250919C20200</stp>
        <tr r="Q148" s="2"/>
      </tp>
      <tp t="s">
        <v>N/A</v>
        <stp/>
        <stp>VOLUME</stp>
        <stp>.NDX250718C20300</stp>
        <tr r="M144" s="2"/>
      </tp>
      <tp t="s">
        <v>N/A</v>
        <stp/>
        <stp>VOLUME</stp>
        <stp>.NDX250523C19800</stp>
        <tr r="H164" s="2"/>
      </tp>
      <tp t="s">
        <v>N/A</v>
        <stp/>
        <stp>VOLUME</stp>
        <stp>.NDX250718C19300</stp>
        <tr r="M184" s="2"/>
      </tp>
      <tp t="s">
        <v>N/A</v>
        <stp/>
        <stp>VOLUME</stp>
        <stp>.NDX251219C20200</stp>
        <tr r="W148" s="2"/>
      </tp>
      <tp t="s">
        <v>N/A</v>
        <stp/>
        <stp>VOLUME</stp>
        <stp>.NDX251219C19200</stp>
        <tr r="W188" s="2"/>
      </tp>
      <tp t="s">
        <v>N/A</v>
        <stp/>
        <stp>VOLUME</stp>
        <stp>.NDX251219C20275</stp>
        <tr r="W145" s="2"/>
      </tp>
      <tp t="s">
        <v>N/A</v>
        <stp/>
        <stp>VOLUME</stp>
        <stp>.NDX251219C19275</stp>
        <tr r="W185" s="2"/>
      </tp>
      <tp t="s">
        <v>N/A</v>
        <stp/>
        <stp>VOLUME</stp>
        <stp>.NDX250919C19275</stp>
        <tr r="Q185" s="2"/>
      </tp>
      <tp t="s">
        <v>N/A</v>
        <stp/>
        <stp>VOLUME</stp>
        <stp>.NDX250919C20275</stp>
        <tr r="Q145" s="2"/>
      </tp>
      <tp t="s">
        <v>N/A</v>
        <stp/>
        <stp>VOLUME</stp>
        <stp>.NDX250523C19875</stp>
        <tr r="H161" s="2"/>
      </tp>
      <tp t="s">
        <v>N/A</v>
        <stp/>
        <stp>VOLUME</stp>
        <stp>.NDX250718C20375</stp>
        <tr r="M141" s="2"/>
      </tp>
      <tp t="s">
        <v>N/A</v>
        <stp/>
        <stp>VOLUME</stp>
        <stp>.NDX250718C19375</stp>
        <tr r="M181" s="2"/>
      </tp>
      <tp t="s">
        <v>N/A</v>
        <stp/>
        <stp>VOLUME</stp>
        <stp>.NDX251219C20250</stp>
        <tr r="W146" s="2"/>
      </tp>
      <tp t="s">
        <v>N/A</v>
        <stp/>
        <stp>VOLUME</stp>
        <stp>.NDX251219C19250</stp>
        <tr r="W186" s="2"/>
      </tp>
      <tp t="s">
        <v>N/A</v>
        <stp/>
        <stp>VOLUME</stp>
        <stp>.NDX250919C19250</stp>
        <tr r="Q186" s="2"/>
      </tp>
      <tp t="s">
        <v>N/A</v>
        <stp/>
        <stp>VOLUME</stp>
        <stp>.NDX250919C20250</stp>
        <tr r="Q146" s="2"/>
      </tp>
      <tp t="s">
        <v>N/A</v>
        <stp/>
        <stp>VOLUME</stp>
        <stp>.NDX250718C20350</stp>
        <tr r="M142" s="2"/>
      </tp>
      <tp t="s">
        <v>N/A</v>
        <stp/>
        <stp>VOLUME</stp>
        <stp>.NDX250523C19850</stp>
        <tr r="H162" s="2"/>
      </tp>
      <tp t="s">
        <v>N/A</v>
        <stp/>
        <stp>VOLUME</stp>
        <stp>.NDX250718C19350</stp>
        <tr r="M182" s="2"/>
      </tp>
      <tp t="s">
        <v>73.76%</v>
        <stp/>
        <stp>IMPL_VOL</stp>
        <stp>.NDXP250507C19975</stp>
        <tr r="EL156" s="1"/>
      </tp>
      <tp t="s">
        <v>33.17%</v>
        <stp/>
        <stp>IMPL_VOL</stp>
        <stp>.NDXP250509C19775</stp>
        <tr r="EN164" s="1"/>
      </tp>
      <tp t="s">
        <v>28.93%</v>
        <stp/>
        <stp>IMPL_VOL</stp>
        <stp>.NDXP250507C19950</stp>
        <tr r="EL157" s="1"/>
      </tp>
      <tp t="s">
        <v>33.53%</v>
        <stp/>
        <stp>IMPL_VOL</stp>
        <stp>.NDXP250509C19750</stp>
        <tr r="EN165" s="1"/>
      </tp>
      <tp t="s">
        <v>29.18%</v>
        <stp/>
        <stp>IMPL_VOL</stp>
        <stp>.NDXP250507C19925</stp>
        <tr r="EL158" s="1"/>
      </tp>
      <tp t="s">
        <v>33.83%</v>
        <stp/>
        <stp>IMPL_VOL</stp>
        <stp>.NDXP250509C19725</stp>
        <tr r="EN166" s="1"/>
      </tp>
      <tp t="s">
        <v>17.41%</v>
        <stp/>
        <stp>IMPL_VOL</stp>
        <stp>.NDXP250507C19900</stp>
        <tr r="EL159" s="1"/>
      </tp>
      <tp t="s">
        <v>34.16%</v>
        <stp/>
        <stp>IMPL_VOL</stp>
        <stp>.NDXP250509C19700</stp>
        <tr r="EN167" s="1"/>
      </tp>
      <tp t="s">
        <v>N/A</v>
        <stp/>
        <stp>VOLUME</stp>
        <stp>.NDX251219P20300</stp>
        <tr r="W144" s="2"/>
      </tp>
      <tp t="s">
        <v>N/A</v>
        <stp/>
        <stp>VOLUME</stp>
        <stp>.NDX251219P19300</stp>
        <tr r="W184" s="2"/>
      </tp>
      <tp t="s">
        <v>N/A</v>
        <stp/>
        <stp>VOLUME</stp>
        <stp>.NDX250919P19300</stp>
        <tr r="Q184" s="2"/>
      </tp>
      <tp t="s">
        <v>N/A</v>
        <stp/>
        <stp>VOLUME</stp>
        <stp>.NDX250919P20300</stp>
        <tr r="Q144" s="2"/>
      </tp>
      <tp t="s">
        <v>N/A</v>
        <stp/>
        <stp>VOLUME</stp>
        <stp>.NDX250718P20200</stp>
        <tr r="M148" s="2"/>
      </tp>
      <tp t="s">
        <v>N/A</v>
        <stp/>
        <stp>VOLUME</stp>
        <stp>.NDX250523P19900</stp>
        <tr r="H160" s="2"/>
      </tp>
      <tp>
        <v>8</v>
        <stp/>
        <stp>VOLUME</stp>
        <stp>.NDX250718P19200</stp>
        <tr r="M188" s="2"/>
        <tr r="M188" s="2"/>
      </tp>
      <tp t="s">
        <v>N/A</v>
        <stp/>
        <stp>VOLUME</stp>
        <stp>.NDX251219P20325</stp>
        <tr r="W143" s="2"/>
      </tp>
      <tp t="s">
        <v>N/A</v>
        <stp/>
        <stp>VOLUME</stp>
        <stp>.NDX251219P19325</stp>
        <tr r="W183" s="2"/>
      </tp>
      <tp t="s">
        <v>N/A</v>
        <stp/>
        <stp>VOLUME</stp>
        <stp>.NDX250919P19325</stp>
        <tr r="Q183" s="2"/>
      </tp>
      <tp t="s">
        <v>N/A</v>
        <stp/>
        <stp>VOLUME</stp>
        <stp>.NDX250919P20325</stp>
        <tr r="Q143" s="2"/>
      </tp>
      <tp t="s">
        <v>N/A</v>
        <stp/>
        <stp>VOLUME</stp>
        <stp>.NDX250523P19925</stp>
        <tr r="H159" s="2"/>
      </tp>
      <tp t="s">
        <v>N/A</v>
        <stp/>
        <stp>VOLUME</stp>
        <stp>.NDX250718P20225</stp>
        <tr r="M147" s="2"/>
      </tp>
      <tp t="s">
        <v>N/A</v>
        <stp/>
        <stp>VOLUME</stp>
        <stp>.NDX250718P19225</stp>
        <tr r="M187" s="2"/>
      </tp>
      <tp t="s">
        <v>N/A</v>
        <stp/>
        <stp>VOLUME</stp>
        <stp>.NDX250919P19350</stp>
        <tr r="Q182" s="2"/>
      </tp>
      <tp t="s">
        <v>N/A</v>
        <stp/>
        <stp>VOLUME</stp>
        <stp>.NDX250919P20350</stp>
        <tr r="Q142" s="2"/>
      </tp>
      <tp t="s">
        <v>N/A</v>
        <stp/>
        <stp>VOLUME</stp>
        <stp>.NDX250718P20250</stp>
        <tr r="M146" s="2"/>
      </tp>
      <tp t="s">
        <v>N/A</v>
        <stp/>
        <stp>VOLUME</stp>
        <stp>.NDX250523P19950</stp>
        <tr r="H158" s="2"/>
      </tp>
      <tp t="s">
        <v>N/A</v>
        <stp/>
        <stp>VOLUME</stp>
        <stp>.NDX250718P19250</stp>
        <tr r="M186" s="2"/>
      </tp>
      <tp t="s">
        <v>N/A</v>
        <stp/>
        <stp>VOLUME</stp>
        <stp>.NDX251219P20350</stp>
        <tr r="W142" s="2"/>
      </tp>
      <tp t="s">
        <v>N/A</v>
        <stp/>
        <stp>VOLUME</stp>
        <stp>.NDX251219P19350</stp>
        <tr r="W182" s="2"/>
      </tp>
      <tp t="s">
        <v>N/A</v>
        <stp/>
        <stp>VOLUME</stp>
        <stp>.NDX250919P19375</stp>
        <tr r="Q181" s="2"/>
      </tp>
      <tp t="s">
        <v>N/A</v>
        <stp/>
        <stp>VOLUME</stp>
        <stp>.NDX250919P20375</stp>
        <tr r="Q141" s="2"/>
      </tp>
      <tp t="s">
        <v>N/A</v>
        <stp/>
        <stp>VOLUME</stp>
        <stp>.NDX250523P19975</stp>
        <tr r="H157" s="2"/>
      </tp>
      <tp t="s">
        <v>N/A</v>
        <stp/>
        <stp>VOLUME</stp>
        <stp>.NDX250718P20275</stp>
        <tr r="M145" s="2"/>
      </tp>
      <tp t="s">
        <v>N/A</v>
        <stp/>
        <stp>VOLUME</stp>
        <stp>.NDX250718P19275</stp>
        <tr r="M185" s="2"/>
      </tp>
      <tp t="s">
        <v>N/A</v>
        <stp/>
        <stp>VOLUME</stp>
        <stp>.NDX251219P20375</stp>
        <tr r="W141" s="2"/>
      </tp>
      <tp t="s">
        <v>N/A</v>
        <stp/>
        <stp>VOLUME</stp>
        <stp>.NDX251219P19375</stp>
        <tr r="W181" s="2"/>
      </tp>
      <tp t="s">
        <v>42.33%</v>
        <stp/>
        <stp>IMPL_VOL</stp>
        <stp>.NDXP250507P19950</stp>
        <tr r="EM157" s="1"/>
      </tp>
      <tp t="s">
        <v>27.66%</v>
        <stp/>
        <stp>IMPL_VOL</stp>
        <stp>.NDXP250509P19750</stp>
        <tr r="EO165" s="1"/>
      </tp>
      <tp t="s">
        <v>53.42%</v>
        <stp/>
        <stp>IMPL_VOL</stp>
        <stp>.NDXP250507P19975</stp>
        <tr r="EM156" s="1"/>
      </tp>
      <tp t="s">
        <v>27.47%</v>
        <stp/>
        <stp>IMPL_VOL</stp>
        <stp>.NDXP250509P19775</stp>
        <tr r="EO164" s="1"/>
      </tp>
      <tp t="s">
        <v>23.17%</v>
        <stp/>
        <stp>IMPL_VOL</stp>
        <stp>.NDXP250507P19900</stp>
        <tr r="EM159" s="1"/>
      </tp>
      <tp t="s">
        <v>28.17%</v>
        <stp/>
        <stp>IMPL_VOL</stp>
        <stp>.NDXP250509P19700</stp>
        <tr r="EO167" s="1"/>
      </tp>
      <tp t="s">
        <v>34.07%</v>
        <stp/>
        <stp>IMPL_VOL</stp>
        <stp>.NDXP250507P19925</stp>
        <tr r="EM158" s="1"/>
      </tp>
      <tp t="s">
        <v>27.91%</v>
        <stp/>
        <stp>IMPL_VOL</stp>
        <stp>.NDXP250509P19725</stp>
        <tr r="EO166" s="1"/>
      </tp>
      <tp t="s">
        <v>N/A</v>
        <stp/>
        <stp>VOLUME</stp>
        <stp>.NDX250919C19325</stp>
        <tr r="Q183" s="2"/>
      </tp>
      <tp t="s">
        <v>N/A</v>
        <stp/>
        <stp>VOLUME</stp>
        <stp>.NDX250919C20325</stp>
        <tr r="Q143" s="2"/>
      </tp>
      <tp t="s">
        <v>N/A</v>
        <stp/>
        <stp>VOLUME</stp>
        <stp>.NDX250523C19925</stp>
        <tr r="H159" s="2"/>
      </tp>
      <tp t="s">
        <v>N/A</v>
        <stp/>
        <stp>VOLUME</stp>
        <stp>.NDX250718C20225</stp>
        <tr r="M147" s="2"/>
      </tp>
      <tp t="s">
        <v>N/A</v>
        <stp/>
        <stp>VOLUME</stp>
        <stp>.NDX250718C19225</stp>
        <tr r="M187" s="2"/>
      </tp>
      <tp t="s">
        <v>N/A</v>
        <stp/>
        <stp>VOLUME</stp>
        <stp>.NDX251219C20325</stp>
        <tr r="W143" s="2"/>
      </tp>
      <tp t="s">
        <v>N/A</v>
        <stp/>
        <stp>VOLUME</stp>
        <stp>.NDX251219C19325</stp>
        <tr r="W183" s="2"/>
      </tp>
      <tp t="s">
        <v>N/A</v>
        <stp/>
        <stp>VOLUME</stp>
        <stp>.NDX250919C19300</stp>
        <tr r="Q184" s="2"/>
      </tp>
      <tp t="s">
        <v>N/A</v>
        <stp/>
        <stp>VOLUME</stp>
        <stp>.NDX250919C20300</stp>
        <tr r="Q144" s="2"/>
      </tp>
      <tp t="s">
        <v>N/A</v>
        <stp/>
        <stp>VOLUME</stp>
        <stp>.NDX250718C20200</stp>
        <tr r="M148" s="2"/>
      </tp>
      <tp t="s">
        <v>N/A</v>
        <stp/>
        <stp>VOLUME</stp>
        <stp>.NDX250523C19900</stp>
        <tr r="H160" s="2"/>
      </tp>
      <tp t="s">
        <v>N/A</v>
        <stp/>
        <stp>VOLUME</stp>
        <stp>.NDX250718C19200</stp>
        <tr r="M188" s="2"/>
      </tp>
      <tp t="s">
        <v>N/A</v>
        <stp/>
        <stp>VOLUME</stp>
        <stp>.NDX251219C20300</stp>
        <tr r="W144" s="2"/>
      </tp>
      <tp t="s">
        <v>N/A</v>
        <stp/>
        <stp>VOLUME</stp>
        <stp>.NDX251219C19300</stp>
        <tr r="W184" s="2"/>
      </tp>
      <tp t="s">
        <v>N/A</v>
        <stp/>
        <stp>VOLUME</stp>
        <stp>.NDX251219C20375</stp>
        <tr r="W141" s="2"/>
      </tp>
      <tp t="s">
        <v>N/A</v>
        <stp/>
        <stp>VOLUME</stp>
        <stp>.NDX251219C19375</stp>
        <tr r="W181" s="2"/>
      </tp>
      <tp t="s">
        <v>N/A</v>
        <stp/>
        <stp>VOLUME</stp>
        <stp>.NDX250919C19375</stp>
        <tr r="Q181" s="2"/>
      </tp>
      <tp t="s">
        <v>N/A</v>
        <stp/>
        <stp>VOLUME</stp>
        <stp>.NDX250919C20375</stp>
        <tr r="Q141" s="2"/>
      </tp>
      <tp t="s">
        <v>N/A</v>
        <stp/>
        <stp>VOLUME</stp>
        <stp>.NDX250523C19975</stp>
        <tr r="H157" s="2"/>
      </tp>
      <tp t="s">
        <v>N/A</v>
        <stp/>
        <stp>VOLUME</stp>
        <stp>.NDX250718C20275</stp>
        <tr r="M145" s="2"/>
      </tp>
      <tp t="s">
        <v>N/A</v>
        <stp/>
        <stp>VOLUME</stp>
        <stp>.NDX250718C19275</stp>
        <tr r="M185" s="2"/>
      </tp>
      <tp t="s">
        <v>N/A</v>
        <stp/>
        <stp>VOLUME</stp>
        <stp>.NDX251219C20350</stp>
        <tr r="W142" s="2"/>
      </tp>
      <tp t="s">
        <v>N/A</v>
        <stp/>
        <stp>VOLUME</stp>
        <stp>.NDX251219C19350</stp>
        <tr r="W182" s="2"/>
      </tp>
      <tp t="s">
        <v>N/A</v>
        <stp/>
        <stp>VOLUME</stp>
        <stp>.NDX250919C19350</stp>
        <tr r="Q182" s="2"/>
      </tp>
      <tp t="s">
        <v>N/A</v>
        <stp/>
        <stp>VOLUME</stp>
        <stp>.NDX250919C20350</stp>
        <tr r="Q142" s="2"/>
      </tp>
      <tp t="s">
        <v>N/A</v>
        <stp/>
        <stp>VOLUME</stp>
        <stp>.NDX250718C20250</stp>
        <tr r="M146" s="2"/>
      </tp>
      <tp t="s">
        <v>N/A</v>
        <stp/>
        <stp>VOLUME</stp>
        <stp>.NDX250523C19950</stp>
        <tr r="H158" s="2"/>
      </tp>
      <tp t="s">
        <v>N/A</v>
        <stp/>
        <stp>VOLUME</stp>
        <stp>.NDX250718C19250</stp>
        <tr r="M186" s="2"/>
      </tp>
      <tp t="s">
        <v>37.20%</v>
        <stp/>
        <stp>IMPL_VOL</stp>
        <stp>.NDXP250509C19475</stp>
        <tr r="EN176" s="1"/>
      </tp>
      <tp t="s">
        <v>27.68%</v>
        <stp/>
        <stp>IMPL_VOL</stp>
        <stp>.NDXP250509C20450</stp>
        <tr r="EN137" s="1"/>
      </tp>
      <tp t="s">
        <v>38.49%</v>
        <stp/>
        <stp>IMPL_VOL</stp>
        <stp>.NDXP250509C19450</stp>
        <tr r="EN177" s="1"/>
      </tp>
      <tp t="s">
        <v>27.59%</v>
        <stp/>
        <stp>IMPL_VOL</stp>
        <stp>.NDXP250509C20425</stp>
        <tr r="EN138" s="1"/>
      </tp>
      <tp t="s">
        <v>38.30%</v>
        <stp/>
        <stp>IMPL_VOL</stp>
        <stp>.NDXP250509C19425</stp>
        <tr r="EN178" s="1"/>
      </tp>
      <tp t="s">
        <v>27.53%</v>
        <stp/>
        <stp>IMPL_VOL</stp>
        <stp>.NDXP250509C20400</stp>
        <tr r="EN139" s="1"/>
      </tp>
      <tp t="s">
        <v>39.79%</v>
        <stp/>
        <stp>IMPL_VOL</stp>
        <stp>.NDXP250509C19400</stp>
        <tr r="EN179" s="1"/>
      </tp>
      <tp t="s">
        <v>N/A</v>
        <stp/>
        <stp>VOLUME</stp>
        <stp>.NDX251121P19800</stp>
        <tr r="U164" s="2"/>
      </tp>
      <tp t="s">
        <v>N/A</v>
        <stp/>
        <stp>VOLUME</stp>
        <stp>.NDX251219P20000</stp>
        <tr r="W156" s="2"/>
      </tp>
      <tp>
        <v>2</v>
        <stp/>
        <stp>VOLUME</stp>
        <stp>.NDX250919P20000</stp>
        <tr r="Q156" s="2"/>
        <tr r="Q156" s="2"/>
      </tp>
      <tp>
        <v>1</v>
        <stp/>
        <stp>VOLUME</stp>
        <stp>.NDX250718P20100</stp>
        <tr r="M152" s="2"/>
        <tr r="M152" s="2"/>
      </tp>
      <tp>
        <v>4</v>
        <stp/>
        <stp>VOLUME</stp>
        <stp>.NDX250620P19900</stp>
        <tr r="K160" s="2"/>
        <tr r="K160" s="2"/>
      </tp>
      <tp t="s">
        <v>N/A</v>
        <stp/>
        <stp>VOLUME</stp>
        <stp>.NDX251121P19825</stp>
        <tr r="U163" s="2"/>
      </tp>
      <tp t="s">
        <v>N/A</v>
        <stp/>
        <stp>VOLUME</stp>
        <stp>.NDX251219P20025</stp>
        <tr r="W155" s="2"/>
      </tp>
      <tp t="s">
        <v>N/A</v>
        <stp/>
        <stp>VOLUME</stp>
        <stp>.NDX250919P20025</stp>
        <tr r="Q155" s="2"/>
      </tp>
      <tp t="s">
        <v>N/A</v>
        <stp/>
        <stp>VOLUME</stp>
        <stp>.NDX250718P20125</stp>
        <tr r="M151" s="2"/>
      </tp>
      <tp>
        <v>2</v>
        <stp/>
        <stp>VOLUME</stp>
        <stp>.NDX250620P19925</stp>
        <tr r="K159" s="2"/>
        <tr r="K159" s="2"/>
      </tp>
      <tp t="s">
        <v>N/A</v>
        <stp/>
        <stp>VOLUME</stp>
        <stp>.NDX250919P20050</stp>
        <tr r="Q154" s="2"/>
      </tp>
      <tp t="s">
        <v>N/A</v>
        <stp/>
        <stp>VOLUME</stp>
        <stp>.NDX250718P20150</stp>
        <tr r="M150" s="2"/>
      </tp>
      <tp t="s">
        <v>N/A</v>
        <stp/>
        <stp>VOLUME</stp>
        <stp>.NDX250620P19950</stp>
        <tr r="K158" s="2"/>
      </tp>
      <tp t="s">
        <v>N/A</v>
        <stp/>
        <stp>VOLUME</stp>
        <stp>.NDX250718P19150</stp>
        <tr r="M190" s="2"/>
      </tp>
      <tp t="s">
        <v>N/A</v>
        <stp/>
        <stp>VOLUME</stp>
        <stp>.NDX251121P19850</stp>
        <tr r="U162" s="2"/>
      </tp>
      <tp t="s">
        <v>N/A</v>
        <stp/>
        <stp>VOLUME</stp>
        <stp>.NDX251219P20050</stp>
        <tr r="W154" s="2"/>
      </tp>
      <tp t="s">
        <v>N/A</v>
        <stp/>
        <stp>VOLUME</stp>
        <stp>.NDX250919P20075</stp>
        <tr r="Q153" s="2"/>
      </tp>
      <tp t="s">
        <v>N/A</v>
        <stp/>
        <stp>VOLUME</stp>
        <stp>.NDX250718P20175</stp>
        <tr r="M149" s="2"/>
      </tp>
      <tp t="s">
        <v>N/A</v>
        <stp/>
        <stp>VOLUME</stp>
        <stp>.NDX250718P19175</stp>
        <tr r="M189" s="2"/>
      </tp>
      <tp>
        <v>1</v>
        <stp/>
        <stp>VOLUME</stp>
        <stp>.NDX250620P19975</stp>
        <tr r="K157" s="2"/>
        <tr r="K157" s="2"/>
      </tp>
      <tp t="s">
        <v>N/A</v>
        <stp/>
        <stp>VOLUME</stp>
        <stp>.NDX251121P19875</stp>
        <tr r="U161" s="2"/>
      </tp>
      <tp t="s">
        <v>N/A</v>
        <stp/>
        <stp>VOLUME</stp>
        <stp>.NDX251219P20075</stp>
        <tr r="W153" s="2"/>
      </tp>
      <tp t="s">
        <v>--</v>
        <stp/>
        <stp>IMPL_VOL</stp>
        <stp>.NDXP250509P20450</stp>
        <tr r="EO137" s="1"/>
      </tp>
      <tp t="s">
        <v>30.74%</v>
        <stp/>
        <stp>IMPL_VOL</stp>
        <stp>.NDXP250509P19450</stp>
        <tr r="EO177" s="1"/>
      </tp>
      <tp t="s">
        <v>30.41%</v>
        <stp/>
        <stp>IMPL_VOL</stp>
        <stp>.NDXP250509P19475</stp>
        <tr r="EO176" s="1"/>
      </tp>
      <tp t="s">
        <v>--</v>
        <stp/>
        <stp>IMPL_VOL</stp>
        <stp>.NDXP250509P20400</stp>
        <tr r="EO139" s="1"/>
      </tp>
      <tp t="s">
        <v>31.28%</v>
        <stp/>
        <stp>IMPL_VOL</stp>
        <stp>.NDXP250509P19400</stp>
        <tr r="EO179" s="1"/>
      </tp>
      <tp t="s">
        <v>--</v>
        <stp/>
        <stp>IMPL_VOL</stp>
        <stp>.NDXP250509P20425</stp>
        <tr r="EO138" s="1"/>
      </tp>
      <tp t="s">
        <v>31.02%</v>
        <stp/>
        <stp>IMPL_VOL</stp>
        <stp>.NDXP250509P19425</stp>
        <tr r="EO178" s="1"/>
      </tp>
      <tp t="s">
        <v>N/A</v>
        <stp/>
        <stp>VOLUME</stp>
        <stp>.NDX250919C20025</stp>
        <tr r="Q155" s="2"/>
      </tp>
      <tp t="s">
        <v>N/A</v>
        <stp/>
        <stp>VOLUME</stp>
        <stp>.NDX250718C20125</stp>
        <tr r="M151" s="2"/>
      </tp>
      <tp>
        <v>4</v>
        <stp/>
        <stp>VOLUME</stp>
        <stp>.NDX250620C19925</stp>
        <tr r="K159" s="2"/>
        <tr r="K159" s="2"/>
      </tp>
      <tp t="s">
        <v>N/A</v>
        <stp/>
        <stp>VOLUME</stp>
        <stp>.NDX251121C19825</stp>
        <tr r="U163" s="2"/>
      </tp>
      <tp t="s">
        <v>N/A</v>
        <stp/>
        <stp>VOLUME</stp>
        <stp>.NDX251219C20025</stp>
        <tr r="W155" s="2"/>
      </tp>
      <tp t="s">
        <v>N/A</v>
        <stp/>
        <stp>VOLUME</stp>
        <stp>.NDX250919C20000</stp>
        <tr r="Q156" s="2"/>
      </tp>
      <tp t="s">
        <v>N/A</v>
        <stp/>
        <stp>VOLUME</stp>
        <stp>.NDX250718C20100</stp>
        <tr r="M152" s="2"/>
      </tp>
      <tp>
        <v>1</v>
        <stp/>
        <stp>VOLUME</stp>
        <stp>.NDX250620C19900</stp>
        <tr r="K160" s="2"/>
        <tr r="K160" s="2"/>
      </tp>
      <tp t="s">
        <v>N/A</v>
        <stp/>
        <stp>VOLUME</stp>
        <stp>.NDX251121C19800</stp>
        <tr r="U164" s="2"/>
      </tp>
      <tp t="s">
        <v>N/A</v>
        <stp/>
        <stp>VOLUME</stp>
        <stp>.NDX251219C20000</stp>
        <tr r="W156" s="2"/>
      </tp>
      <tp t="s">
        <v>N/A</v>
        <stp/>
        <stp>VOLUME</stp>
        <stp>.NDX251121C19875</stp>
        <tr r="U161" s="2"/>
      </tp>
      <tp t="s">
        <v>N/A</v>
        <stp/>
        <stp>VOLUME</stp>
        <stp>.NDX251219C20075</stp>
        <tr r="W153" s="2"/>
      </tp>
      <tp t="s">
        <v>N/A</v>
        <stp/>
        <stp>VOLUME</stp>
        <stp>.NDX250919C20075</stp>
        <tr r="Q153" s="2"/>
      </tp>
      <tp t="s">
        <v>N/A</v>
        <stp/>
        <stp>VOLUME</stp>
        <stp>.NDX250718C20175</stp>
        <tr r="M149" s="2"/>
      </tp>
      <tp t="s">
        <v>N/A</v>
        <stp/>
        <stp>VOLUME</stp>
        <stp>.NDX250718C19175</stp>
        <tr r="M189" s="2"/>
      </tp>
      <tp>
        <v>3</v>
        <stp/>
        <stp>VOLUME</stp>
        <stp>.NDX250620C19975</stp>
        <tr r="K157" s="2"/>
        <tr r="K157" s="2"/>
      </tp>
      <tp t="s">
        <v>N/A</v>
        <stp/>
        <stp>VOLUME</stp>
        <stp>.NDX251121C19850</stp>
        <tr r="U162" s="2"/>
      </tp>
      <tp t="s">
        <v>N/A</v>
        <stp/>
        <stp>VOLUME</stp>
        <stp>.NDX251219C20050</stp>
        <tr r="W154" s="2"/>
      </tp>
      <tp t="s">
        <v>N/A</v>
        <stp/>
        <stp>VOLUME</stp>
        <stp>.NDX250919C20050</stp>
        <tr r="Q154" s="2"/>
      </tp>
      <tp t="s">
        <v>N/A</v>
        <stp/>
        <stp>VOLUME</stp>
        <stp>.NDX250718C20150</stp>
        <tr r="M150" s="2"/>
      </tp>
      <tp>
        <v>4</v>
        <stp/>
        <stp>VOLUME</stp>
        <stp>.NDX250620C19950</stp>
        <tr r="K158" s="2"/>
        <tr r="K158" s="2"/>
      </tp>
      <tp t="s">
        <v>N/A</v>
        <stp/>
        <stp>VOLUME</stp>
        <stp>.NDX250718C19150</stp>
        <tr r="M190" s="2"/>
      </tp>
      <tp t="s">
        <v>36.22%</v>
        <stp/>
        <stp>IMPL_VOL</stp>
        <stp>.NDXP250509C19575</stp>
        <tr r="EN172" s="1"/>
      </tp>
      <tp t="s">
        <v>36.64%</v>
        <stp/>
        <stp>IMPL_VOL</stp>
        <stp>.NDXP250509C19550</stp>
        <tr r="EN173" s="1"/>
      </tp>
      <tp t="s">
        <v>37.06%</v>
        <stp/>
        <stp>IMPL_VOL</stp>
        <stp>.NDXP250509C19525</stp>
        <tr r="EN174" s="1"/>
      </tp>
      <tp t="s">
        <v>36.59%</v>
        <stp/>
        <stp>IMPL_VOL</stp>
        <stp>.NDXP250509C19500</stp>
        <tr r="EN175" s="1"/>
      </tp>
      <tp t="s">
        <v>N/A</v>
        <stp/>
        <stp>VOLUME</stp>
        <stp>.NDX251121P19900</stp>
        <tr r="U160" s="2"/>
      </tp>
      <tp t="s">
        <v>N/A</v>
        <stp/>
        <stp>VOLUME</stp>
        <stp>.NDX251219P20100</stp>
        <tr r="W152" s="2"/>
      </tp>
      <tp>
        <v>1</v>
        <stp/>
        <stp>VOLUME</stp>
        <stp>.NDX250919P20100</stp>
        <tr r="Q152" s="2"/>
        <tr r="Q152" s="2"/>
      </tp>
      <tp t="s">
        <v>N/A</v>
        <stp/>
        <stp>VOLUME</stp>
        <stp>.NDX250718P20000</stp>
        <tr r="M156" s="2"/>
      </tp>
      <tp>
        <v>41</v>
        <stp/>
        <stp>VOLUME</stp>
        <stp>.NDX250620P19800</stp>
        <tr r="K164" s="2"/>
        <tr r="K164" s="2"/>
      </tp>
      <tp t="s">
        <v>N/A</v>
        <stp/>
        <stp>VOLUME</stp>
        <stp>.NDX251121P19925</stp>
        <tr r="U159" s="2"/>
      </tp>
      <tp t="s">
        <v>N/A</v>
        <stp/>
        <stp>VOLUME</stp>
        <stp>.NDX251219P20125</stp>
        <tr r="W151" s="2"/>
      </tp>
      <tp t="s">
        <v>N/A</v>
        <stp/>
        <stp>VOLUME</stp>
        <stp>.NDX250919P20125</stp>
        <tr r="Q151" s="2"/>
      </tp>
      <tp t="s">
        <v>N/A</v>
        <stp/>
        <stp>VOLUME</stp>
        <stp>.NDX250718P20025</stp>
        <tr r="M155" s="2"/>
      </tp>
      <tp>
        <v>6</v>
        <stp/>
        <stp>VOLUME</stp>
        <stp>.NDX250620P19825</stp>
        <tr r="K163" s="2"/>
        <tr r="K163" s="2"/>
      </tp>
      <tp t="s">
        <v>N/A</v>
        <stp/>
        <stp>VOLUME</stp>
        <stp>.NDX250919P19150</stp>
        <tr r="Q190" s="2"/>
      </tp>
      <tp t="s">
        <v>N/A</v>
        <stp/>
        <stp>VOLUME</stp>
        <stp>.NDX250919P20150</stp>
        <tr r="Q150" s="2"/>
      </tp>
      <tp t="s">
        <v>N/A</v>
        <stp/>
        <stp>VOLUME</stp>
        <stp>.NDX250718P20050</stp>
        <tr r="M154" s="2"/>
      </tp>
      <tp>
        <v>16</v>
        <stp/>
        <stp>VOLUME</stp>
        <stp>.NDX250620P19850</stp>
        <tr r="K162" s="2"/>
        <tr r="K162" s="2"/>
      </tp>
      <tp t="s">
        <v>N/A</v>
        <stp/>
        <stp>VOLUME</stp>
        <stp>.NDX251121P19950</stp>
        <tr r="U158" s="2"/>
      </tp>
      <tp t="s">
        <v>N/A</v>
        <stp/>
        <stp>VOLUME</stp>
        <stp>.NDX251219P20150</stp>
        <tr r="W150" s="2"/>
      </tp>
      <tp t="s">
        <v>N/A</v>
        <stp/>
        <stp>VOLUME</stp>
        <stp>.NDX251219P19150</stp>
        <tr r="W190" s="2"/>
      </tp>
      <tp t="s">
        <v>N/A</v>
        <stp/>
        <stp>VOLUME</stp>
        <stp>.NDX250919P19175</stp>
        <tr r="Q189" s="2"/>
      </tp>
      <tp t="s">
        <v>N/A</v>
        <stp/>
        <stp>VOLUME</stp>
        <stp>.NDX250919P20175</stp>
        <tr r="Q149" s="2"/>
      </tp>
      <tp t="s">
        <v>N/A</v>
        <stp/>
        <stp>VOLUME</stp>
        <stp>.NDX250718P20075</stp>
        <tr r="M153" s="2"/>
      </tp>
      <tp>
        <v>9</v>
        <stp/>
        <stp>VOLUME</stp>
        <stp>.NDX250620P19875</stp>
        <tr r="K161" s="2"/>
        <tr r="K161" s="2"/>
      </tp>
      <tp t="s">
        <v>N/A</v>
        <stp/>
        <stp>VOLUME</stp>
        <stp>.NDX251121P19975</stp>
        <tr r="U157" s="2"/>
      </tp>
      <tp t="s">
        <v>N/A</v>
        <stp/>
        <stp>VOLUME</stp>
        <stp>.NDX251219P20175</stp>
        <tr r="W149" s="2"/>
      </tp>
      <tp t="s">
        <v>N/A</v>
        <stp/>
        <stp>VOLUME</stp>
        <stp>.NDX251219P19175</stp>
        <tr r="W189" s="2"/>
      </tp>
      <tp t="s">
        <v>29.66%</v>
        <stp/>
        <stp>IMPL_VOL</stp>
        <stp>.NDXP250509P19550</stp>
        <tr r="EO173" s="1"/>
      </tp>
      <tp t="s">
        <v>29.43%</v>
        <stp/>
        <stp>IMPL_VOL</stp>
        <stp>.NDXP250509P19575</stp>
        <tr r="EO172" s="1"/>
      </tp>
      <tp t="s">
        <v>30.15%</v>
        <stp/>
        <stp>IMPL_VOL</stp>
        <stp>.NDXP250509P19500</stp>
        <tr r="EO175" s="1"/>
      </tp>
      <tp t="s">
        <v>29.92%</v>
        <stp/>
        <stp>IMPL_VOL</stp>
        <stp>.NDXP250509P19525</stp>
        <tr r="EO174" s="1"/>
      </tp>
      <tp t="s">
        <v>N/A</v>
        <stp/>
        <stp>VOLUME</stp>
        <stp>.NDX250919C20125</stp>
        <tr r="Q151" s="2"/>
      </tp>
      <tp t="s">
        <v>N/A</v>
        <stp/>
        <stp>VOLUME</stp>
        <stp>.NDX250718C20025</stp>
        <tr r="M155" s="2"/>
      </tp>
      <tp>
        <v>6</v>
        <stp/>
        <stp>VOLUME</stp>
        <stp>.NDX250620C19825</stp>
        <tr r="K163" s="2"/>
        <tr r="K163" s="2"/>
      </tp>
      <tp t="s">
        <v>N/A</v>
        <stp/>
        <stp>VOLUME</stp>
        <stp>.NDX251121C19925</stp>
        <tr r="U159" s="2"/>
      </tp>
      <tp t="s">
        <v>N/A</v>
        <stp/>
        <stp>VOLUME</stp>
        <stp>.NDX251219C20125</stp>
        <tr r="W151" s="2"/>
      </tp>
      <tp t="s">
        <v>N/A</v>
        <stp/>
        <stp>VOLUME</stp>
        <stp>.NDX250919C20100</stp>
        <tr r="Q152" s="2"/>
      </tp>
      <tp t="s">
        <v>N/A</v>
        <stp/>
        <stp>VOLUME</stp>
        <stp>.NDX250718C20000</stp>
        <tr r="M156" s="2"/>
      </tp>
      <tp>
        <v>40</v>
        <stp/>
        <stp>VOLUME</stp>
        <stp>.NDX250620C19800</stp>
        <tr r="K164" s="2"/>
        <tr r="K164" s="2"/>
      </tp>
      <tp t="s">
        <v>N/A</v>
        <stp/>
        <stp>VOLUME</stp>
        <stp>.NDX251121C19900</stp>
        <tr r="U160" s="2"/>
      </tp>
      <tp t="s">
        <v>N/A</v>
        <stp/>
        <stp>VOLUME</stp>
        <stp>.NDX251219C20100</stp>
        <tr r="W152" s="2"/>
      </tp>
      <tp t="s">
        <v>N/A</v>
        <stp/>
        <stp>VOLUME</stp>
        <stp>.NDX251121C19975</stp>
        <tr r="U157" s="2"/>
      </tp>
      <tp t="s">
        <v>N/A</v>
        <stp/>
        <stp>VOLUME</stp>
        <stp>.NDX251219C20175</stp>
        <tr r="W149" s="2"/>
      </tp>
      <tp t="s">
        <v>N/A</v>
        <stp/>
        <stp>VOLUME</stp>
        <stp>.NDX251219C19175</stp>
        <tr r="W189" s="2"/>
      </tp>
      <tp t="s">
        <v>N/A</v>
        <stp/>
        <stp>VOLUME</stp>
        <stp>.NDX250919C19175</stp>
        <tr r="Q189" s="2"/>
      </tp>
      <tp t="s">
        <v>N/A</v>
        <stp/>
        <stp>VOLUME</stp>
        <stp>.NDX250919C20175</stp>
        <tr r="Q149" s="2"/>
      </tp>
      <tp t="s">
        <v>N/A</v>
        <stp/>
        <stp>VOLUME</stp>
        <stp>.NDX250718C20075</stp>
        <tr r="M153" s="2"/>
      </tp>
      <tp>
        <v>10</v>
        <stp/>
        <stp>VOLUME</stp>
        <stp>.NDX250620C19875</stp>
        <tr r="K161" s="2"/>
        <tr r="K161" s="2"/>
      </tp>
      <tp t="s">
        <v>N/A</v>
        <stp/>
        <stp>VOLUME</stp>
        <stp>.NDX251121C19950</stp>
        <tr r="U158" s="2"/>
      </tp>
      <tp t="s">
        <v>N/A</v>
        <stp/>
        <stp>VOLUME</stp>
        <stp>.NDX251219C20150</stp>
        <tr r="W150" s="2"/>
      </tp>
      <tp t="s">
        <v>N/A</v>
        <stp/>
        <stp>VOLUME</stp>
        <stp>.NDX251219C19150</stp>
        <tr r="W190" s="2"/>
      </tp>
      <tp t="s">
        <v>N/A</v>
        <stp/>
        <stp>VOLUME</stp>
        <stp>.NDX250919C19150</stp>
        <tr r="Q190" s="2"/>
      </tp>
      <tp t="s">
        <v>N/A</v>
        <stp/>
        <stp>VOLUME</stp>
        <stp>.NDX250919C20150</stp>
        <tr r="Q150" s="2"/>
      </tp>
      <tp t="s">
        <v>N/A</v>
        <stp/>
        <stp>VOLUME</stp>
        <stp>.NDX250718C20050</stp>
        <tr r="M154" s="2"/>
      </tp>
      <tp>
        <v>17</v>
        <stp/>
        <stp>VOLUME</stp>
        <stp>.NDX250620C19850</stp>
        <tr r="K162" s="2"/>
        <tr r="K162" s="2"/>
      </tp>
      <tp t="s">
        <v>27.52%</v>
        <stp/>
        <stp>IMPL_VOL</stp>
        <stp>.NDXP250509C20275</stp>
        <tr r="EN144" s="1"/>
      </tp>
      <tp t="s">
        <v>43.31%</v>
        <stp/>
        <stp>IMPL_VOL</stp>
        <stp>.NDXP250509C19275</stp>
        <tr r="EN184" s="1"/>
      </tp>
      <tp t="s">
        <v>27.61%</v>
        <stp/>
        <stp>IMPL_VOL</stp>
        <stp>.NDXP250509C20250</stp>
        <tr r="EN145" s="1"/>
      </tp>
      <tp t="s">
        <v>43.59%</v>
        <stp/>
        <stp>IMPL_VOL</stp>
        <stp>.NDXP250509C19250</stp>
        <tr r="EN185" s="1"/>
      </tp>
      <tp t="s">
        <v>27.75%</v>
        <stp/>
        <stp>IMPL_VOL</stp>
        <stp>.NDXP250509C20225</stp>
        <tr r="EN146" s="1"/>
      </tp>
      <tp t="s">
        <v>44.48%</v>
        <stp/>
        <stp>IMPL_VOL</stp>
        <stp>.NDXP250509C19225</stp>
        <tr r="EN186" s="1"/>
      </tp>
      <tp t="s">
        <v>27.91%</v>
        <stp/>
        <stp>IMPL_VOL</stp>
        <stp>.NDXP250509C20200</stp>
        <tr r="EN147" s="1"/>
      </tp>
      <tp t="s">
        <v>44.93%</v>
        <stp/>
        <stp>IMPL_VOL</stp>
        <stp>.NDXP250509C19200</stp>
        <tr r="EN187" s="1"/>
      </tp>
      <tp t="s">
        <v>N/A</v>
        <stp/>
        <stp>VOLUME</stp>
        <stp>.NDX251017P19800</stp>
        <tr r="S164" s="2"/>
      </tp>
      <tp t="s">
        <v>N/A</v>
        <stp/>
        <stp>VOLUME</stp>
        <stp>.NDX251219P19600</stp>
        <tr r="W172" s="2"/>
      </tp>
      <tp t="s">
        <v>N/A</v>
        <stp/>
        <stp>VOLUME</stp>
        <stp>.NDX250919P19600</stp>
        <tr r="Q172" s="2"/>
      </tp>
      <tp>
        <v>16</v>
        <stp/>
        <stp>VOLUME</stp>
        <stp>.NDX250516P19900</stp>
        <tr r="BF159" s="1"/>
        <tr r="BF159" s="1"/>
      </tp>
      <tp t="s">
        <v>N/A</v>
        <stp/>
        <stp>VOLUME</stp>
        <stp>.NDX250718P19700</stp>
        <tr r="M168" s="2"/>
      </tp>
      <tp t="s">
        <v>N/A</v>
        <stp/>
        <stp>VOLUME</stp>
        <stp>.NDX251017P19825</stp>
        <tr r="S163" s="2"/>
      </tp>
      <tp t="s">
        <v>N/A</v>
        <stp/>
        <stp>VOLUME</stp>
        <stp>.NDX251219P19625</stp>
        <tr r="W171" s="2"/>
      </tp>
      <tp t="s">
        <v>N/A</v>
        <stp/>
        <stp>VOLUME</stp>
        <stp>.NDX250919P19625</stp>
        <tr r="Q171" s="2"/>
      </tp>
      <tp>
        <v>1</v>
        <stp/>
        <stp>VOLUME</stp>
        <stp>.NDX250516P19925</stp>
        <tr r="BF158" s="1"/>
        <tr r="BF158" s="1"/>
      </tp>
      <tp t="s">
        <v>N/A</v>
        <stp/>
        <stp>VOLUME</stp>
        <stp>.NDX250718P19725</stp>
        <tr r="M167" s="2"/>
      </tp>
      <tp t="s">
        <v>N/A</v>
        <stp/>
        <stp>VOLUME</stp>
        <stp>.NDX250919P19650</stp>
        <tr r="Q170" s="2"/>
      </tp>
      <tp>
        <v>4</v>
        <stp/>
        <stp>VOLUME</stp>
        <stp>.NDX250516P19950</stp>
        <tr r="BF157" s="1"/>
        <tr r="BF157" s="1"/>
      </tp>
      <tp t="s">
        <v>N/A</v>
        <stp/>
        <stp>VOLUME</stp>
        <stp>.NDX250718P19750</stp>
        <tr r="M166" s="2"/>
      </tp>
      <tp t="s">
        <v>N/A</v>
        <stp/>
        <stp>VOLUME</stp>
        <stp>.NDX251017P19850</stp>
        <tr r="S162" s="2"/>
      </tp>
      <tp t="s">
        <v>N/A</v>
        <stp/>
        <stp>VOLUME</stp>
        <stp>.NDX251219P19650</stp>
        <tr r="W170" s="2"/>
      </tp>
      <tp t="s">
        <v>N/A</v>
        <stp/>
        <stp>VOLUME</stp>
        <stp>.NDX250919P19675</stp>
        <tr r="Q169" s="2"/>
      </tp>
      <tp t="s">
        <v>N/A</v>
        <stp/>
        <stp>VOLUME</stp>
        <stp>.NDX250516P19975</stp>
        <tr r="BF156" s="1"/>
      </tp>
      <tp t="s">
        <v>N/A</v>
        <stp/>
        <stp>VOLUME</stp>
        <stp>.NDX250718P19775</stp>
        <tr r="M165" s="2"/>
      </tp>
      <tp t="s">
        <v>N/A</v>
        <stp/>
        <stp>VOLUME</stp>
        <stp>.NDX251017P19875</stp>
        <tr r="S161" s="2"/>
      </tp>
      <tp t="s">
        <v>N/A</v>
        <stp/>
        <stp>VOLUME</stp>
        <stp>.NDX251219P19675</stp>
        <tr r="W169" s="2"/>
      </tp>
      <tp t="s">
        <v>16.61%</v>
        <stp/>
        <stp>IMPL_VOL</stp>
        <stp>.NDXP250509P20250</stp>
        <tr r="EO145" s="1"/>
      </tp>
      <tp t="s">
        <v>32.90%</v>
        <stp/>
        <stp>IMPL_VOL</stp>
        <stp>.NDXP250509P19250</stp>
        <tr r="EO185" s="1"/>
      </tp>
      <tp t="s">
        <v>--</v>
        <stp/>
        <stp>IMPL_VOL</stp>
        <stp>.NDXP250509P20275</stp>
        <tr r="EO144" s="1"/>
      </tp>
      <tp t="s">
        <v>32.62%</v>
        <stp/>
        <stp>IMPL_VOL</stp>
        <stp>.NDXP250509P19275</stp>
        <tr r="EO184" s="1"/>
      </tp>
      <tp t="s">
        <v>18.62%</v>
        <stp/>
        <stp>IMPL_VOL</stp>
        <stp>.NDXP250509P20200</stp>
        <tr r="EO147" s="1"/>
      </tp>
      <tp t="s">
        <v>33.37%</v>
        <stp/>
        <stp>IMPL_VOL</stp>
        <stp>.NDXP250509P19200</stp>
        <tr r="EO187" s="1"/>
      </tp>
      <tp t="s">
        <v>17.06%</v>
        <stp/>
        <stp>IMPL_VOL</stp>
        <stp>.NDXP250509P20225</stp>
        <tr r="EO146" s="1"/>
      </tp>
      <tp t="s">
        <v>33.13%</v>
        <stp/>
        <stp>IMPL_VOL</stp>
        <stp>.NDXP250509P19225</stp>
        <tr r="EO186" s="1"/>
      </tp>
      <tp t="s">
        <v>N/A</v>
        <stp/>
        <stp>VOLUME</stp>
        <stp>.NDX250919C19625</stp>
        <tr r="Q171" s="2"/>
      </tp>
      <tp>
        <v>3</v>
        <stp/>
        <stp>VOLUME</stp>
        <stp>.NDX250516C19925</stp>
        <tr r="BE158" s="1"/>
        <tr r="BE158" s="1"/>
      </tp>
      <tp t="s">
        <v>N/A</v>
        <stp/>
        <stp>VOLUME</stp>
        <stp>.NDX250718C19725</stp>
        <tr r="M167" s="2"/>
      </tp>
      <tp t="s">
        <v>N/A</v>
        <stp/>
        <stp>VOLUME</stp>
        <stp>.NDX251017C19825</stp>
        <tr r="S163" s="2"/>
      </tp>
      <tp t="s">
        <v>N/A</v>
        <stp/>
        <stp>VOLUME</stp>
        <stp>.NDX251219C19625</stp>
        <tr r="W171" s="2"/>
      </tp>
      <tp t="s">
        <v>N/A</v>
        <stp/>
        <stp>VOLUME</stp>
        <stp>.NDX250919C19600</stp>
        <tr r="Q172" s="2"/>
      </tp>
      <tp>
        <v>18</v>
        <stp/>
        <stp>VOLUME</stp>
        <stp>.NDX250516C19900</stp>
        <tr r="BE159" s="1"/>
        <tr r="BE159" s="1"/>
      </tp>
      <tp t="s">
        <v>N/A</v>
        <stp/>
        <stp>VOLUME</stp>
        <stp>.NDX250718C19700</stp>
        <tr r="M168" s="2"/>
      </tp>
      <tp t="s">
        <v>N/A</v>
        <stp/>
        <stp>VOLUME</stp>
        <stp>.NDX251017C19800</stp>
        <tr r="S164" s="2"/>
      </tp>
      <tp t="s">
        <v>N/A</v>
        <stp/>
        <stp>VOLUME</stp>
        <stp>.NDX251219C19600</stp>
        <tr r="W172" s="2"/>
      </tp>
      <tp t="s">
        <v>N/A</v>
        <stp/>
        <stp>VOLUME</stp>
        <stp>.NDX251017C19875</stp>
        <tr r="S161" s="2"/>
      </tp>
      <tp t="s">
        <v>N/A</v>
        <stp/>
        <stp>VOLUME</stp>
        <stp>.NDX251219C19675</stp>
        <tr r="W169" s="2"/>
      </tp>
      <tp t="s">
        <v>N/A</v>
        <stp/>
        <stp>VOLUME</stp>
        <stp>.NDX250919C19675</stp>
        <tr r="Q169" s="2"/>
      </tp>
      <tp>
        <v>3</v>
        <stp/>
        <stp>VOLUME</stp>
        <stp>.NDX250516C19975</stp>
        <tr r="BE156" s="1"/>
        <tr r="BE156" s="1"/>
      </tp>
      <tp t="s">
        <v>N/A</v>
        <stp/>
        <stp>VOLUME</stp>
        <stp>.NDX250718C19775</stp>
        <tr r="M165" s="2"/>
      </tp>
      <tp t="s">
        <v>N/A</v>
        <stp/>
        <stp>VOLUME</stp>
        <stp>.NDX251017C19850</stp>
        <tr r="S162" s="2"/>
      </tp>
      <tp t="s">
        <v>N/A</v>
        <stp/>
        <stp>VOLUME</stp>
        <stp>.NDX251219C19650</stp>
        <tr r="W170" s="2"/>
      </tp>
      <tp t="s">
        <v>N/A</v>
        <stp/>
        <stp>VOLUME</stp>
        <stp>.NDX250919C19650</stp>
        <tr r="Q170" s="2"/>
      </tp>
      <tp>
        <v>2</v>
        <stp/>
        <stp>VOLUME</stp>
        <stp>.NDX250516C19950</stp>
        <tr r="BE157" s="1"/>
        <tr r="BE157" s="1"/>
      </tp>
      <tp t="s">
        <v>N/A</v>
        <stp/>
        <stp>VOLUME</stp>
        <stp>.NDX250718C19750</stp>
        <tr r="M166" s="2"/>
      </tp>
      <tp t="s">
        <v>27.46%</v>
        <stp/>
        <stp>IMPL_VOL</stp>
        <stp>.NDXP250509C20375</stp>
        <tr r="EN140" s="1"/>
      </tp>
      <tp t="s">
        <v>40.84%</v>
        <stp/>
        <stp>IMPL_VOL</stp>
        <stp>.NDXP250509C19375</stp>
        <tr r="EN180" s="1"/>
      </tp>
      <tp t="s">
        <v>27.47%</v>
        <stp/>
        <stp>IMPL_VOL</stp>
        <stp>.NDXP250509C20350</stp>
        <tr r="EN141" s="1"/>
      </tp>
      <tp t="s">
        <v>41.49%</v>
        <stp/>
        <stp>IMPL_VOL</stp>
        <stp>.NDXP250509C19350</stp>
        <tr r="EN181" s="1"/>
      </tp>
      <tp t="s">
        <v>27.41%</v>
        <stp/>
        <stp>IMPL_VOL</stp>
        <stp>.NDXP250509C20325</stp>
        <tr r="EN142" s="1"/>
      </tp>
      <tp t="s">
        <v>42.01%</v>
        <stp/>
        <stp>IMPL_VOL</stp>
        <stp>.NDXP250509C19325</stp>
        <tr r="EN182" s="1"/>
      </tp>
      <tp t="s">
        <v>27.46%</v>
        <stp/>
        <stp>IMPL_VOL</stp>
        <stp>.NDXP250509C20300</stp>
        <tr r="EN143" s="1"/>
      </tp>
      <tp t="s">
        <v>42.71%</v>
        <stp/>
        <stp>IMPL_VOL</stp>
        <stp>.NDXP250509C19300</stp>
        <tr r="EN183" s="1"/>
      </tp>
      <tp t="s">
        <v>N/A</v>
        <stp/>
        <stp>VOLUME</stp>
        <stp>.NDX251017P19900</stp>
        <tr r="S160" s="2"/>
      </tp>
      <tp t="s">
        <v>N/A</v>
        <stp/>
        <stp>VOLUME</stp>
        <stp>.NDX251219P19700</stp>
        <tr r="W168" s="2"/>
      </tp>
      <tp>
        <v>4</v>
        <stp/>
        <stp>VOLUME</stp>
        <stp>.NDX250919P19700</stp>
        <tr r="Q168" s="2"/>
        <tr r="Q168" s="2"/>
      </tp>
      <tp>
        <v>9</v>
        <stp/>
        <stp>VOLUME</stp>
        <stp>.NDX250516P19800</stp>
        <tr r="BF163" s="1"/>
        <tr r="BF163" s="1"/>
      </tp>
      <tp t="s">
        <v>N/A</v>
        <stp/>
        <stp>VOLUME</stp>
        <stp>.NDX250718P19600</stp>
        <tr r="M172" s="2"/>
      </tp>
      <tp t="s">
        <v>N/A</v>
        <stp/>
        <stp>VOLUME</stp>
        <stp>.NDX251017P19925</stp>
        <tr r="S159" s="2"/>
      </tp>
      <tp t="s">
        <v>N/A</v>
        <stp/>
        <stp>VOLUME</stp>
        <stp>.NDX251219P19725</stp>
        <tr r="W167" s="2"/>
      </tp>
      <tp t="s">
        <v>N/A</v>
        <stp/>
        <stp>VOLUME</stp>
        <stp>.NDX250919P19725</stp>
        <tr r="Q167" s="2"/>
      </tp>
      <tp>
        <v>4</v>
        <stp/>
        <stp>VOLUME</stp>
        <stp>.NDX250516P19825</stp>
        <tr r="BF162" s="1"/>
        <tr r="BF162" s="1"/>
      </tp>
      <tp t="s">
        <v>N/A</v>
        <stp/>
        <stp>VOLUME</stp>
        <stp>.NDX250718P19625</stp>
        <tr r="M171" s="2"/>
      </tp>
      <tp t="s">
        <v>N/A</v>
        <stp/>
        <stp>VOLUME</stp>
        <stp>.NDX250919P19750</stp>
        <tr r="Q166" s="2"/>
      </tp>
      <tp t="s">
        <v>N/A</v>
        <stp/>
        <stp>VOLUME</stp>
        <stp>.NDX250516P19850</stp>
        <tr r="BF161" s="1"/>
      </tp>
      <tp>
        <v>2</v>
        <stp/>
        <stp>VOLUME</stp>
        <stp>.NDX250718P19650</stp>
        <tr r="M170" s="2"/>
        <tr r="M170" s="2"/>
      </tp>
      <tp t="s">
        <v>N/A</v>
        <stp/>
        <stp>VOLUME</stp>
        <stp>.NDX251017P19950</stp>
        <tr r="S158" s="2"/>
      </tp>
      <tp t="s">
        <v>N/A</v>
        <stp/>
        <stp>VOLUME</stp>
        <stp>.NDX251219P19750</stp>
        <tr r="W166" s="2"/>
      </tp>
      <tp t="s">
        <v>N/A</v>
        <stp/>
        <stp>VOLUME</stp>
        <stp>.NDX250919P19775</stp>
        <tr r="Q165" s="2"/>
      </tp>
      <tp>
        <v>3</v>
        <stp/>
        <stp>VOLUME</stp>
        <stp>.NDX250516P19875</stp>
        <tr r="BF160" s="1"/>
        <tr r="BF160" s="1"/>
      </tp>
      <tp t="s">
        <v>N/A</v>
        <stp/>
        <stp>VOLUME</stp>
        <stp>.NDX250718P19675</stp>
        <tr r="M169" s="2"/>
      </tp>
      <tp t="s">
        <v>N/A</v>
        <stp/>
        <stp>VOLUME</stp>
        <stp>.NDX251017P19975</stp>
        <tr r="S157" s="2"/>
      </tp>
      <tp t="s">
        <v>N/A</v>
        <stp/>
        <stp>VOLUME</stp>
        <stp>.NDX251219P19775</stp>
        <tr r="W165" s="2"/>
      </tp>
      <tp t="s">
        <v>--</v>
        <stp/>
        <stp>IMPL_VOL</stp>
        <stp>.NDXP250509P20350</stp>
        <tr r="EO141" s="1"/>
      </tp>
      <tp t="s">
        <v>31.83%</v>
        <stp/>
        <stp>IMPL_VOL</stp>
        <stp>.NDXP250509P19350</stp>
        <tr r="EO181" s="1"/>
      </tp>
      <tp t="s">
        <v>--</v>
        <stp/>
        <stp>IMPL_VOL</stp>
        <stp>.NDXP250509P20375</stp>
        <tr r="EO140" s="1"/>
      </tp>
      <tp t="s">
        <v>31.56%</v>
        <stp/>
        <stp>IMPL_VOL</stp>
        <stp>.NDXP250509P19375</stp>
        <tr r="EO180" s="1"/>
      </tp>
      <tp t="s">
        <v>--</v>
        <stp/>
        <stp>IMPL_VOL</stp>
        <stp>.NDXP250509P20300</stp>
        <tr r="EO143" s="1"/>
      </tp>
      <tp t="s">
        <v>32.41%</v>
        <stp/>
        <stp>IMPL_VOL</stp>
        <stp>.NDXP250509P19300</stp>
        <tr r="EO183" s="1"/>
      </tp>
      <tp t="s">
        <v>--</v>
        <stp/>
        <stp>IMPL_VOL</stp>
        <stp>.NDXP250509P20325</stp>
        <tr r="EO142" s="1"/>
      </tp>
      <tp t="s">
        <v>32.10%</v>
        <stp/>
        <stp>IMPL_VOL</stp>
        <stp>.NDXP250509P19325</stp>
        <tr r="EO182" s="1"/>
      </tp>
      <tp t="s">
        <v>N/A</v>
        <stp/>
        <stp>VOLUME</stp>
        <stp>.NDX250919C19725</stp>
        <tr r="Q167" s="2"/>
      </tp>
      <tp>
        <v>1</v>
        <stp/>
        <stp>VOLUME</stp>
        <stp>.NDX250516C19825</stp>
        <tr r="BE162" s="1"/>
        <tr r="BE162" s="1"/>
      </tp>
      <tp t="s">
        <v>N/A</v>
        <stp/>
        <stp>VOLUME</stp>
        <stp>.NDX250718C19625</stp>
        <tr r="M171" s="2"/>
      </tp>
      <tp t="s">
        <v>N/A</v>
        <stp/>
        <stp>VOLUME</stp>
        <stp>.NDX251017C19925</stp>
        <tr r="S159" s="2"/>
      </tp>
      <tp t="s">
        <v>N/A</v>
        <stp/>
        <stp>VOLUME</stp>
        <stp>.NDX251219C19725</stp>
        <tr r="W167" s="2"/>
      </tp>
      <tp>
        <v>4</v>
        <stp/>
        <stp>VOLUME</stp>
        <stp>.NDX250919C19700</stp>
        <tr r="Q168" s="2"/>
        <tr r="Q168" s="2"/>
      </tp>
      <tp>
        <v>25</v>
        <stp/>
        <stp>VOLUME</stp>
        <stp>.NDX250516C19800</stp>
        <tr r="BE163" s="1"/>
        <tr r="BE163" s="1"/>
      </tp>
      <tp t="s">
        <v>N/A</v>
        <stp/>
        <stp>VOLUME</stp>
        <stp>.NDX250718C19600</stp>
        <tr r="M172" s="2"/>
      </tp>
      <tp t="s">
        <v>N/A</v>
        <stp/>
        <stp>VOLUME</stp>
        <stp>.NDX251017C19900</stp>
        <tr r="S160" s="2"/>
      </tp>
      <tp t="s">
        <v>N/A</v>
        <stp/>
        <stp>VOLUME</stp>
        <stp>.NDX251219C19700</stp>
        <tr r="W168" s="2"/>
      </tp>
      <tp t="s">
        <v>N/A</v>
        <stp/>
        <stp>VOLUME</stp>
        <stp>.NDX251017C19975</stp>
        <tr r="S157" s="2"/>
      </tp>
      <tp t="s">
        <v>N/A</v>
        <stp/>
        <stp>VOLUME</stp>
        <stp>.NDX251219C19775</stp>
        <tr r="W165" s="2"/>
      </tp>
      <tp t="s">
        <v>N/A</v>
        <stp/>
        <stp>VOLUME</stp>
        <stp>.NDX250919C19775</stp>
        <tr r="Q165" s="2"/>
      </tp>
      <tp>
        <v>5</v>
        <stp/>
        <stp>VOLUME</stp>
        <stp>.NDX250516C19875</stp>
        <tr r="BE160" s="1"/>
        <tr r="BE160" s="1"/>
      </tp>
      <tp t="s">
        <v>N/A</v>
        <stp/>
        <stp>VOLUME</stp>
        <stp>.NDX250718C19675</stp>
        <tr r="M169" s="2"/>
      </tp>
      <tp t="s">
        <v>N/A</v>
        <stp/>
        <stp>VOLUME</stp>
        <stp>.NDX251017C19950</stp>
        <tr r="S158" s="2"/>
      </tp>
      <tp t="s">
        <v>N/A</v>
        <stp/>
        <stp>VOLUME</stp>
        <stp>.NDX251219C19750</stp>
        <tr r="W166" s="2"/>
      </tp>
      <tp t="s">
        <v>N/A</v>
        <stp/>
        <stp>VOLUME</stp>
        <stp>.NDX250919C19750</stp>
        <tr r="Q166" s="2"/>
      </tp>
      <tp>
        <v>6</v>
        <stp/>
        <stp>VOLUME</stp>
        <stp>.NDX250516C19850</stp>
        <tr r="BE161" s="1"/>
        <tr r="BE161" s="1"/>
      </tp>
      <tp t="s">
        <v>N/A</v>
        <stp/>
        <stp>VOLUME</stp>
        <stp>.NDX250718C19650</stp>
        <tr r="M170" s="2"/>
      </tp>
      <tp t="s">
        <v>29.28%</v>
        <stp/>
        <stp>IMPL_VOL</stp>
        <stp>.NDXP250509C20075</stp>
        <tr r="EN152" s="1"/>
      </tp>
      <tp t="s">
        <v>29.57%</v>
        <stp/>
        <stp>IMPL_VOL</stp>
        <stp>.NDXP250509C20050</stp>
        <tr r="EN153" s="1"/>
      </tp>
      <tp t="s">
        <v>29.93%</v>
        <stp/>
        <stp>IMPL_VOL</stp>
        <stp>.NDXP250509C20025</stp>
        <tr r="EN154" s="1"/>
      </tp>
      <tp t="s">
        <v>30.25%</v>
        <stp/>
        <stp>IMPL_VOL</stp>
        <stp>.NDXP250509C20000</stp>
        <tr r="EN155" s="1"/>
      </tp>
      <tp t="s">
        <v>N/A</v>
        <stp/>
        <stp>VOLUME</stp>
        <stp>.NDX251219P20400</stp>
        <tr r="W140" s="2"/>
      </tp>
      <tp t="s">
        <v>N/A</v>
        <stp/>
        <stp>VOLUME</stp>
        <stp>.NDX251219P19400</stp>
        <tr r="W180" s="2"/>
      </tp>
      <tp t="s">
        <v>N/A</v>
        <stp/>
        <stp>VOLUME</stp>
        <stp>.NDX250815P19800</stp>
        <tr r="O164" s="2"/>
      </tp>
      <tp t="s">
        <v>N/A</v>
        <stp/>
        <stp>VOLUME</stp>
        <stp>.NDX250919P19400</stp>
        <tr r="Q180" s="2"/>
      </tp>
      <tp t="s">
        <v>N/A</v>
        <stp/>
        <stp>VOLUME</stp>
        <stp>.NDX250919P20400</stp>
        <tr r="Q140" s="2"/>
      </tp>
      <tp>
        <v>1</v>
        <stp/>
        <stp>VOLUME</stp>
        <stp>.NDX250718P19500</stp>
        <tr r="M176" s="2"/>
        <tr r="M176" s="2"/>
      </tp>
      <tp t="s">
        <v>N/A</v>
        <stp/>
        <stp>VOLUME</stp>
        <stp>.NDX251219P20425</stp>
        <tr r="W139" s="2"/>
      </tp>
      <tp t="s">
        <v>N/A</v>
        <stp/>
        <stp>VOLUME</stp>
        <stp>.NDX251219P19425</stp>
        <tr r="W179" s="2"/>
      </tp>
      <tp t="s">
        <v>N/A</v>
        <stp/>
        <stp>VOLUME</stp>
        <stp>.NDX250919P19425</stp>
        <tr r="Q179" s="2"/>
      </tp>
      <tp t="s">
        <v>N/A</v>
        <stp/>
        <stp>VOLUME</stp>
        <stp>.NDX250815P19825</stp>
        <tr r="O163" s="2"/>
      </tp>
      <tp t="s">
        <v>N/A</v>
        <stp/>
        <stp>VOLUME</stp>
        <stp>.NDX250919P20425</stp>
        <tr r="Q139" s="2"/>
      </tp>
      <tp>
        <v>4</v>
        <stp/>
        <stp>VOLUME</stp>
        <stp>.NDX250718P19525</stp>
        <tr r="M175" s="2"/>
        <tr r="M175" s="2"/>
      </tp>
      <tp t="s">
        <v>N/A</v>
        <stp/>
        <stp>VOLUME</stp>
        <stp>.NDX250815P19850</stp>
        <tr r="O162" s="2"/>
      </tp>
      <tp t="s">
        <v>N/A</v>
        <stp/>
        <stp>VOLUME</stp>
        <stp>.NDX250919P19450</stp>
        <tr r="Q178" s="2"/>
      </tp>
      <tp t="s">
        <v>N/A</v>
        <stp/>
        <stp>VOLUME</stp>
        <stp>.NDX250919P20450</stp>
        <tr r="Q138" s="2"/>
      </tp>
      <tp t="s">
        <v>N/A</v>
        <stp/>
        <stp>VOLUME</stp>
        <stp>.NDX250718P19550</stp>
        <tr r="M174" s="2"/>
      </tp>
      <tp t="s">
        <v>N/A</v>
        <stp/>
        <stp>VOLUME</stp>
        <stp>.NDX251219P20450</stp>
        <tr r="W138" s="2"/>
      </tp>
      <tp t="s">
        <v>N/A</v>
        <stp/>
        <stp>VOLUME</stp>
        <stp>.NDX251219P19450</stp>
        <tr r="W178" s="2"/>
      </tp>
      <tp t="s">
        <v>N/A</v>
        <stp/>
        <stp>VOLUME</stp>
        <stp>.NDX250919P19475</stp>
        <tr r="Q177" s="2"/>
      </tp>
      <tp t="s">
        <v>N/A</v>
        <stp/>
        <stp>VOLUME</stp>
        <stp>.NDX250815P19875</stp>
        <tr r="O161" s="2"/>
      </tp>
      <tp t="s">
        <v>N/A</v>
        <stp/>
        <stp>VOLUME</stp>
        <stp>.NDX250718P19575</stp>
        <tr r="M173" s="2"/>
      </tp>
      <tp t="s">
        <v>N/A</v>
        <stp/>
        <stp>VOLUME</stp>
        <stp>.NDX251219P19475</stp>
        <tr r="W177" s="2"/>
      </tp>
      <tp t="s">
        <v>23.22%</v>
        <stp/>
        <stp>IMPL_VOL</stp>
        <stp>.NDXP250509P20050</stp>
        <tr r="EO153" s="1"/>
      </tp>
      <tp t="s">
        <v>22.68%</v>
        <stp/>
        <stp>IMPL_VOL</stp>
        <stp>.NDXP250509P20075</stp>
        <tr r="EO152" s="1"/>
      </tp>
      <tp t="s">
        <v>24.30%</v>
        <stp/>
        <stp>IMPL_VOL</stp>
        <stp>.NDXP250509P20000</stp>
        <tr r="EO155" s="1"/>
      </tp>
      <tp t="s">
        <v>23.87%</v>
        <stp/>
        <stp>IMPL_VOL</stp>
        <stp>.NDXP250509P20025</stp>
        <tr r="EO154" s="1"/>
      </tp>
      <tp t="s">
        <v>N/A</v>
        <stp/>
        <stp>VOLUME</stp>
        <stp>.NDX250919C19425</stp>
        <tr r="Q179" s="2"/>
      </tp>
      <tp t="s">
        <v>N/A</v>
        <stp/>
        <stp>VOLUME</stp>
        <stp>.NDX250815C19825</stp>
        <tr r="O163" s="2"/>
      </tp>
      <tp t="s">
        <v>N/A</v>
        <stp/>
        <stp>VOLUME</stp>
        <stp>.NDX250919C20425</stp>
        <tr r="Q139" s="2"/>
      </tp>
      <tp t="s">
        <v>N/A</v>
        <stp/>
        <stp>VOLUME</stp>
        <stp>.NDX250718C19525</stp>
        <tr r="M175" s="2"/>
      </tp>
      <tp t="s">
        <v>N/A</v>
        <stp/>
        <stp>VOLUME</stp>
        <stp>.NDX251219C20425</stp>
        <tr r="W139" s="2"/>
      </tp>
      <tp t="s">
        <v>N/A</v>
        <stp/>
        <stp>VOLUME</stp>
        <stp>.NDX251219C19425</stp>
        <tr r="W179" s="2"/>
      </tp>
      <tp t="s">
        <v>N/A</v>
        <stp/>
        <stp>VOLUME</stp>
        <stp>.NDX250815C19800</stp>
        <tr r="O164" s="2"/>
      </tp>
      <tp t="s">
        <v>N/A</v>
        <stp/>
        <stp>VOLUME</stp>
        <stp>.NDX250919C19400</stp>
        <tr r="Q180" s="2"/>
      </tp>
      <tp t="s">
        <v>N/A</v>
        <stp/>
        <stp>VOLUME</stp>
        <stp>.NDX250919C20400</stp>
        <tr r="Q140" s="2"/>
      </tp>
      <tp>
        <v>2</v>
        <stp/>
        <stp>VOLUME</stp>
        <stp>.NDX250718C19500</stp>
        <tr r="M176" s="2"/>
        <tr r="M176" s="2"/>
      </tp>
      <tp t="s">
        <v>N/A</v>
        <stp/>
        <stp>VOLUME</stp>
        <stp>.NDX251219C20400</stp>
        <tr r="W140" s="2"/>
      </tp>
      <tp t="s">
        <v>N/A</v>
        <stp/>
        <stp>VOLUME</stp>
        <stp>.NDX251219C19400</stp>
        <tr r="W180" s="2"/>
      </tp>
      <tp t="s">
        <v>N/A</v>
        <stp/>
        <stp>VOLUME</stp>
        <stp>.NDX251219C19475</stp>
        <tr r="W177" s="2"/>
      </tp>
      <tp t="s">
        <v>N/A</v>
        <stp/>
        <stp>VOLUME</stp>
        <stp>.NDX250919C19475</stp>
        <tr r="Q177" s="2"/>
      </tp>
      <tp t="s">
        <v>N/A</v>
        <stp/>
        <stp>VOLUME</stp>
        <stp>.NDX250815C19875</stp>
        <tr r="O161" s="2"/>
      </tp>
      <tp t="s">
        <v>N/A</v>
        <stp/>
        <stp>VOLUME</stp>
        <stp>.NDX250718C19575</stp>
        <tr r="M173" s="2"/>
      </tp>
      <tp t="s">
        <v>N/A</v>
        <stp/>
        <stp>VOLUME</stp>
        <stp>.NDX251219C20450</stp>
        <tr r="W138" s="2"/>
      </tp>
      <tp t="s">
        <v>N/A</v>
        <stp/>
        <stp>VOLUME</stp>
        <stp>.NDX251219C19450</stp>
        <tr r="W178" s="2"/>
      </tp>
      <tp t="s">
        <v>N/A</v>
        <stp/>
        <stp>VOLUME</stp>
        <stp>.NDX250815C19850</stp>
        <tr r="O162" s="2"/>
      </tp>
      <tp t="s">
        <v>N/A</v>
        <stp/>
        <stp>VOLUME</stp>
        <stp>.NDX250919C19450</stp>
        <tr r="Q178" s="2"/>
      </tp>
      <tp t="s">
        <v>N/A</v>
        <stp/>
        <stp>VOLUME</stp>
        <stp>.NDX250919C20450</stp>
        <tr r="Q138" s="2"/>
      </tp>
      <tp t="s">
        <v>N/A</v>
        <stp/>
        <stp>VOLUME</stp>
        <stp>.NDX250718C19550</stp>
        <tr r="M174" s="2"/>
      </tp>
      <tp>
        <v>20096</v>
        <stp/>
        <stp>MARK</stp>
        <stp>/NQ:XCME</stp>
        <tr r="F44" s="1"/>
        <tr r="F136" s="1"/>
      </tp>
      <tp t="s">
        <v>28.13%</v>
        <stp/>
        <stp>IMPL_VOL</stp>
        <stp>.NDXP250509C20175</stp>
        <tr r="EN148" s="1"/>
      </tp>
      <tp t="s">
        <v>45.67%</v>
        <stp/>
        <stp>IMPL_VOL</stp>
        <stp>.NDXP250509C19175</stp>
        <tr r="EN188" s="1"/>
      </tp>
      <tp t="s">
        <v>28.41%</v>
        <stp/>
        <stp>IMPL_VOL</stp>
        <stp>.NDXP250509C20150</stp>
        <tr r="EN149" s="1"/>
      </tp>
      <tp t="s">
        <v>46.42%</v>
        <stp/>
        <stp>IMPL_VOL</stp>
        <stp>.NDXP250509C19150</stp>
        <tr r="EN189" s="1"/>
      </tp>
      <tp t="s">
        <v>28.66%</v>
        <stp/>
        <stp>IMPL_VOL</stp>
        <stp>.NDXP250509C20125</stp>
        <tr r="EN150" s="1"/>
      </tp>
      <tp t="s">
        <v>28.92%</v>
        <stp/>
        <stp>IMPL_VOL</stp>
        <stp>.NDXP250509C20100</stp>
        <tr r="EN151" s="1"/>
      </tp>
      <tp t="s">
        <v>N/A</v>
        <stp/>
        <stp>VOLUME</stp>
        <stp>.NDX251219P19500</stp>
        <tr r="W176" s="2"/>
      </tp>
      <tp t="s">
        <v>N/A</v>
        <stp/>
        <stp>VOLUME</stp>
        <stp>.NDX250815P19900</stp>
        <tr r="O160" s="2"/>
      </tp>
      <tp t="s">
        <v>N/A</v>
        <stp/>
        <stp>VOLUME</stp>
        <stp>.NDX250919P19500</stp>
        <tr r="Q176" s="2"/>
      </tp>
      <tp t="s">
        <v>N/A</v>
        <stp/>
        <stp>VOLUME</stp>
        <stp>.NDX250718P20400</stp>
        <tr r="M140" s="2"/>
      </tp>
      <tp t="s">
        <v>N/A</v>
        <stp/>
        <stp>VOLUME</stp>
        <stp>.NDX250718P19400</stp>
        <tr r="M180" s="2"/>
      </tp>
      <tp t="s">
        <v>N/A</v>
        <stp/>
        <stp>VOLUME</stp>
        <stp>.NDX251219P19525</stp>
        <tr r="W175" s="2"/>
      </tp>
      <tp t="s">
        <v>N/A</v>
        <stp/>
        <stp>VOLUME</stp>
        <stp>.NDX250919P19525</stp>
        <tr r="Q175" s="2"/>
      </tp>
      <tp t="s">
        <v>N/A</v>
        <stp/>
        <stp>VOLUME</stp>
        <stp>.NDX250815P19925</stp>
        <tr r="O159" s="2"/>
      </tp>
      <tp t="s">
        <v>N/A</v>
        <stp/>
        <stp>VOLUME</stp>
        <stp>.NDX250718P20425</stp>
        <tr r="M139" s="2"/>
      </tp>
      <tp>
        <v>2</v>
        <stp/>
        <stp>VOLUME</stp>
        <stp>.NDX250718P19425</stp>
        <tr r="M179" s="2"/>
        <tr r="M179" s="2"/>
      </tp>
      <tp t="s">
        <v>N/A</v>
        <stp/>
        <stp>VOLUME</stp>
        <stp>.NDX250815P19950</stp>
        <tr r="O158" s="2"/>
      </tp>
      <tp t="s">
        <v>N/A</v>
        <stp/>
        <stp>VOLUME</stp>
        <stp>.NDX250919P19550</stp>
        <tr r="Q174" s="2"/>
      </tp>
      <tp t="s">
        <v>N/A</v>
        <stp/>
        <stp>VOLUME</stp>
        <stp>.NDX250718P20450</stp>
        <tr r="M138" s="2"/>
      </tp>
      <tp t="s">
        <v>N/A</v>
        <stp/>
        <stp>VOLUME</stp>
        <stp>.NDX250718P19450</stp>
        <tr r="M178" s="2"/>
      </tp>
      <tp t="s">
        <v>N/A</v>
        <stp/>
        <stp>VOLUME</stp>
        <stp>.NDX251219P19550</stp>
        <tr r="W174" s="2"/>
      </tp>
      <tp t="s">
        <v>N/A</v>
        <stp/>
        <stp>VOLUME</stp>
        <stp>.NDX250919P19575</stp>
        <tr r="Q173" s="2"/>
      </tp>
      <tp t="s">
        <v>N/A</v>
        <stp/>
        <stp>VOLUME</stp>
        <stp>.NDX250815P19975</stp>
        <tr r="O157" s="2"/>
      </tp>
      <tp t="s">
        <v>N/A</v>
        <stp/>
        <stp>VOLUME</stp>
        <stp>.NDX250718P19475</stp>
        <tr r="M177" s="2"/>
      </tp>
      <tp t="s">
        <v>N/A</v>
        <stp/>
        <stp>VOLUME</stp>
        <stp>.NDX251219P19575</stp>
        <tr r="W173" s="2"/>
      </tp>
      <tp t="s">
        <v>20.79%</v>
        <stp/>
        <stp>IMPL_VOL</stp>
        <stp>.NDXP250509P20150</stp>
        <tr r="EO149" s="1"/>
      </tp>
      <tp t="s">
        <v>33.75%</v>
        <stp/>
        <stp>IMPL_VOL</stp>
        <stp>.NDXP250509P19150</stp>
        <tr r="EO189" s="1"/>
      </tp>
      <tp t="s">
        <v>19.91%</v>
        <stp/>
        <stp>IMPL_VOL</stp>
        <stp>.NDXP250509P20175</stp>
        <tr r="EO148" s="1"/>
      </tp>
      <tp t="s">
        <v>33.57%</v>
        <stp/>
        <stp>IMPL_VOL</stp>
        <stp>.NDXP250509P19175</stp>
        <tr r="EO188" s="1"/>
      </tp>
      <tp t="s">
        <v>22.19%</v>
        <stp/>
        <stp>IMPL_VOL</stp>
        <stp>.NDXP250509P20100</stp>
        <tr r="EO151" s="1"/>
      </tp>
      <tp t="s">
        <v>21.72%</v>
        <stp/>
        <stp>IMPL_VOL</stp>
        <stp>.NDXP250509P20125</stp>
        <tr r="EO150" s="1"/>
      </tp>
      <tp t="s">
        <v>N/A</v>
        <stp/>
        <stp>VOLUME</stp>
        <stp>.NDX250919C19525</stp>
        <tr r="Q175" s="2"/>
      </tp>
      <tp t="s">
        <v>N/A</v>
        <stp/>
        <stp>VOLUME</stp>
        <stp>.NDX250815C19925</stp>
        <tr r="O159" s="2"/>
      </tp>
      <tp t="s">
        <v>N/A</v>
        <stp/>
        <stp>VOLUME</stp>
        <stp>.NDX250718C20425</stp>
        <tr r="M139" s="2"/>
      </tp>
      <tp t="s">
        <v>N/A</v>
        <stp/>
        <stp>VOLUME</stp>
        <stp>.NDX250718C19425</stp>
        <tr r="M179" s="2"/>
      </tp>
      <tp t="s">
        <v>N/A</v>
        <stp/>
        <stp>VOLUME</stp>
        <stp>.NDX251219C19525</stp>
        <tr r="W175" s="2"/>
      </tp>
      <tp t="s">
        <v>N/A</v>
        <stp/>
        <stp>VOLUME</stp>
        <stp>.NDX250815C19900</stp>
        <tr r="O160" s="2"/>
      </tp>
      <tp t="s">
        <v>N/A</v>
        <stp/>
        <stp>VOLUME</stp>
        <stp>.NDX250919C19500</stp>
        <tr r="Q176" s="2"/>
      </tp>
      <tp t="s">
        <v>N/A</v>
        <stp/>
        <stp>VOLUME</stp>
        <stp>.NDX250718C20400</stp>
        <tr r="M140" s="2"/>
      </tp>
      <tp t="s">
        <v>N/A</v>
        <stp/>
        <stp>VOLUME</stp>
        <stp>.NDX250718C19400</stp>
        <tr r="M180" s="2"/>
      </tp>
      <tp t="s">
        <v>N/A</v>
        <stp/>
        <stp>VOLUME</stp>
        <stp>.NDX251219C19500</stp>
        <tr r="W176" s="2"/>
      </tp>
      <tp t="s">
        <v>N/A</v>
        <stp/>
        <stp>VOLUME</stp>
        <stp>.NDX251219C19575</stp>
        <tr r="W173" s="2"/>
      </tp>
      <tp t="s">
        <v>N/A</v>
        <stp/>
        <stp>VOLUME</stp>
        <stp>.NDX250919C19575</stp>
        <tr r="Q173" s="2"/>
      </tp>
      <tp t="s">
        <v>N/A</v>
        <stp/>
        <stp>VOLUME</stp>
        <stp>.NDX250815C19975</stp>
        <tr r="O157" s="2"/>
      </tp>
      <tp t="s">
        <v>N/A</v>
        <stp/>
        <stp>VOLUME</stp>
        <stp>.NDX250718C19475</stp>
        <tr r="M177" s="2"/>
      </tp>
      <tp t="s">
        <v>N/A</v>
        <stp/>
        <stp>VOLUME</stp>
        <stp>.NDX251219C19550</stp>
        <tr r="W174" s="2"/>
      </tp>
      <tp t="s">
        <v>N/A</v>
        <stp/>
        <stp>VOLUME</stp>
        <stp>.NDX250815C19950</stp>
        <tr r="O158" s="2"/>
      </tp>
      <tp t="s">
        <v>N/A</v>
        <stp/>
        <stp>VOLUME</stp>
        <stp>.NDX250919C19550</stp>
        <tr r="Q174" s="2"/>
      </tp>
      <tp t="s">
        <v>N/A</v>
        <stp/>
        <stp>VOLUME</stp>
        <stp>.NDX250718C20450</stp>
        <tr r="M138" s="2"/>
      </tp>
      <tp t="s">
        <v>N/A</v>
        <stp/>
        <stp>VOLUME</stp>
        <stp>.NDX250718C19450</stp>
        <tr r="M178" s="2"/>
      </tp>
      <tp t="s">
        <v>115.11%</v>
        <stp/>
        <stp>IMPL_VOL</stp>
        <stp>.NDXP250507C20075</stp>
        <tr r="EL152" s="1"/>
      </tp>
      <tp t="s">
        <v>105.21%</v>
        <stp/>
        <stp>IMPL_VOL</stp>
        <stp>.NDXP250507C20050</stp>
        <tr r="EL153" s="1"/>
      </tp>
      <tp t="s">
        <v>95.06%</v>
        <stp/>
        <stp>IMPL_VOL</stp>
        <stp>.NDXP250507C20025</stp>
        <tr r="EL154" s="1"/>
      </tp>
      <tp t="s">
        <v>30.27%</v>
        <stp/>
        <stp>IMPL_VOL</stp>
        <stp>.NDXP250507C20000</stp>
        <tr r="EL155" s="1"/>
      </tp>
      <tp t="s">
        <v>N/A</v>
        <stp/>
        <stp>VOLUME</stp>
        <stp>.NDX251017P19400</stp>
        <tr r="S180" s="2"/>
      </tp>
      <tp t="s">
        <v>N/A</v>
        <stp/>
        <stp>VOLUME</stp>
        <stp>.NDX251121P19200</stp>
        <tr r="U188" s="2"/>
      </tp>
      <tp t="s">
        <v>N/A</v>
        <stp/>
        <stp>VOLUME</stp>
        <stp>.NDX251121P20200</stp>
        <tr r="U148" s="2"/>
      </tp>
      <tp t="s">
        <v>N/A</v>
        <stp/>
        <stp>VOLUME</stp>
        <stp>.NDX251017P20400</stp>
        <tr r="S140" s="2"/>
      </tp>
      <tp t="s">
        <v>N/A</v>
        <stp/>
        <stp>VOLUME</stp>
        <stp>.NDX250815P19600</stp>
        <tr r="O172" s="2"/>
      </tp>
      <tp>
        <v>8</v>
        <stp/>
        <stp>VOLUME</stp>
        <stp>.NDX250516P19500</stp>
        <tr r="BF175" s="1"/>
        <tr r="BF175" s="1"/>
      </tp>
      <tp>
        <v>1</v>
        <stp/>
        <stp>VOLUME</stp>
        <stp>.NDX250620P20300</stp>
        <tr r="K144" s="2"/>
        <tr r="K144" s="2"/>
      </tp>
      <tp>
        <v>2</v>
        <stp/>
        <stp>VOLUME</stp>
        <stp>.NDX250620P19300</stp>
        <tr r="K184" s="2"/>
        <tr r="K184" s="2"/>
      </tp>
      <tp t="s">
        <v>N/A</v>
        <stp/>
        <stp>VOLUME</stp>
        <stp>.NDX250523P20000</stp>
        <tr r="H156" s="2"/>
      </tp>
      <tp t="s">
        <v>N/A</v>
        <stp/>
        <stp>VOLUME</stp>
        <stp>.NDX251121P19225</stp>
        <tr r="U187" s="2"/>
      </tp>
      <tp t="s">
        <v>N/A</v>
        <stp/>
        <stp>VOLUME</stp>
        <stp>.NDX251017P19425</stp>
        <tr r="S179" s="2"/>
      </tp>
      <tp t="s">
        <v>N/A</v>
        <stp/>
        <stp>VOLUME</stp>
        <stp>.NDX251017P20425</stp>
        <tr r="S139" s="2"/>
      </tp>
      <tp t="s">
        <v>N/A</v>
        <stp/>
        <stp>VOLUME</stp>
        <stp>.NDX251121P20225</stp>
        <tr r="U147" s="2"/>
      </tp>
      <tp t="s">
        <v>N/A</v>
        <stp/>
        <stp>VOLUME</stp>
        <stp>.NDX250815P19625</stp>
        <tr r="O171" s="2"/>
      </tp>
      <tp>
        <v>5</v>
        <stp/>
        <stp>VOLUME</stp>
        <stp>.NDX250516P19525</stp>
        <tr r="BF174" s="1"/>
        <tr r="BF174" s="1"/>
      </tp>
      <tp t="s">
        <v>N/A</v>
        <stp/>
        <stp>VOLUME</stp>
        <stp>.NDX250620P20325</stp>
        <tr r="K143" s="2"/>
      </tp>
      <tp t="s">
        <v>N/A</v>
        <stp/>
        <stp>VOLUME</stp>
        <stp>.NDX250620P19325</stp>
        <tr r="K183" s="2"/>
      </tp>
      <tp t="s">
        <v>N/A</v>
        <stp/>
        <stp>VOLUME</stp>
        <stp>.NDX250523P20025</stp>
        <tr r="H155" s="2"/>
      </tp>
      <tp t="s">
        <v>N/A</v>
        <stp/>
        <stp>VOLUME</stp>
        <stp>.NDX250815P19650</stp>
        <tr r="O170" s="2"/>
      </tp>
      <tp>
        <v>7</v>
        <stp/>
        <stp>VOLUME</stp>
        <stp>.NDX250516P19550</stp>
        <tr r="BF173" s="1"/>
        <tr r="BF173" s="1"/>
      </tp>
      <tp t="s">
        <v>N/A</v>
        <stp/>
        <stp>VOLUME</stp>
        <stp>.NDX250620P20350</stp>
        <tr r="K142" s="2"/>
      </tp>
      <tp t="s">
        <v>N/A</v>
        <stp/>
        <stp>VOLUME</stp>
        <stp>.NDX250620P19350</stp>
        <tr r="K182" s="2"/>
      </tp>
      <tp t="s">
        <v>N/A</v>
        <stp/>
        <stp>VOLUME</stp>
        <stp>.NDX250523P20050</stp>
        <tr r="H154" s="2"/>
      </tp>
      <tp t="s">
        <v>N/A</v>
        <stp/>
        <stp>VOLUME</stp>
        <stp>.NDX251017P19450</stp>
        <tr r="S178" s="2"/>
      </tp>
      <tp t="s">
        <v>N/A</v>
        <stp/>
        <stp>VOLUME</stp>
        <stp>.NDX251121P19250</stp>
        <tr r="U186" s="2"/>
      </tp>
      <tp t="s">
        <v>N/A</v>
        <stp/>
        <stp>VOLUME</stp>
        <stp>.NDX251121P20250</stp>
        <tr r="U146" s="2"/>
      </tp>
      <tp t="s">
        <v>N/A</v>
        <stp/>
        <stp>VOLUME</stp>
        <stp>.NDX251017P20450</stp>
        <tr r="S138" s="2"/>
      </tp>
      <tp t="s">
        <v>N/A</v>
        <stp/>
        <stp>VOLUME</stp>
        <stp>.NDX250815P19675</stp>
        <tr r="O169" s="2"/>
      </tp>
      <tp>
        <v>9</v>
        <stp/>
        <stp>VOLUME</stp>
        <stp>.NDX250516P19575</stp>
        <tr r="BF172" s="1"/>
        <tr r="BF172" s="1"/>
      </tp>
      <tp t="s">
        <v>N/A</v>
        <stp/>
        <stp>VOLUME</stp>
        <stp>.NDX250620P20375</stp>
        <tr r="K141" s="2"/>
      </tp>
      <tp>
        <v>1</v>
        <stp/>
        <stp>VOLUME</stp>
        <stp>.NDX250620P19375</stp>
        <tr r="K181" s="2"/>
        <tr r="K181" s="2"/>
      </tp>
      <tp t="s">
        <v>N/A</v>
        <stp/>
        <stp>VOLUME</stp>
        <stp>.NDX250523P20075</stp>
        <tr r="H153" s="2"/>
      </tp>
      <tp t="s">
        <v>N/A</v>
        <stp/>
        <stp>VOLUME</stp>
        <stp>.NDX251121P19275</stp>
        <tr r="U185" s="2"/>
      </tp>
      <tp t="s">
        <v>N/A</v>
        <stp/>
        <stp>VOLUME</stp>
        <stp>.NDX251017P19475</stp>
        <tr r="S177" s="2"/>
      </tp>
      <tp t="s">
        <v>N/A</v>
        <stp/>
        <stp>VOLUME</stp>
        <stp>.NDX251121P20275</stp>
        <tr r="U145" s="2"/>
      </tp>
      <tp t="s">
        <v>75.03%</v>
        <stp/>
        <stp>IMPL_VOL</stp>
        <stp>.NDXP250507P20050</stp>
        <tr r="EM153" s="1"/>
      </tp>
      <tp t="s">
        <v>84.96%</v>
        <stp/>
        <stp>IMPL_VOL</stp>
        <stp>.NDXP250507P20075</stp>
        <tr r="EM152" s="1"/>
      </tp>
      <tp t="s">
        <v>59.18%</v>
        <stp/>
        <stp>IMPL_VOL</stp>
        <stp>.NDXP250507P20000</stp>
        <tr r="EM155" s="1"/>
      </tp>
      <tp t="s">
        <v>70.26%</v>
        <stp/>
        <stp>IMPL_VOL</stp>
        <stp>.NDXP250507P20025</stp>
        <tr r="EM154" s="1"/>
      </tp>
      <tp t="s">
        <v>N/A</v>
        <stp/>
        <stp>VOLUME</stp>
        <stp>.NDX250815C19625</stp>
        <tr r="O171" s="2"/>
      </tp>
      <tp t="s">
        <v>N/A</v>
        <stp/>
        <stp>VOLUME</stp>
        <stp>.NDX250516C19525</stp>
        <tr r="BE174" s="1"/>
      </tp>
      <tp>
        <v>1</v>
        <stp/>
        <stp>VOLUME</stp>
        <stp>.NDX250620C20325</stp>
        <tr r="K143" s="2"/>
        <tr r="K143" s="2"/>
      </tp>
      <tp t="s">
        <v>N/A</v>
        <stp/>
        <stp>VOLUME</stp>
        <stp>.NDX250620C19325</stp>
        <tr r="K183" s="2"/>
      </tp>
      <tp t="s">
        <v>N/A</v>
        <stp/>
        <stp>VOLUME</stp>
        <stp>.NDX250523C20025</stp>
        <tr r="H155" s="2"/>
      </tp>
      <tp t="s">
        <v>N/A</v>
        <stp/>
        <stp>VOLUME</stp>
        <stp>.NDX251121C19225</stp>
        <tr r="U187" s="2"/>
      </tp>
      <tp t="s">
        <v>N/A</v>
        <stp/>
        <stp>VOLUME</stp>
        <stp>.NDX251017C19425</stp>
        <tr r="S179" s="2"/>
      </tp>
      <tp t="s">
        <v>N/A</v>
        <stp/>
        <stp>VOLUME</stp>
        <stp>.NDX251017C20425</stp>
        <tr r="S139" s="2"/>
      </tp>
      <tp t="s">
        <v>N/A</v>
        <stp/>
        <stp>VOLUME</stp>
        <stp>.NDX251121C20225</stp>
        <tr r="U147" s="2"/>
      </tp>
      <tp t="s">
        <v>N/A</v>
        <stp/>
        <stp>VOLUME</stp>
        <stp>.NDX250815C19600</stp>
        <tr r="O172" s="2"/>
      </tp>
      <tp>
        <v>3</v>
        <stp/>
        <stp>VOLUME</stp>
        <stp>.NDX250516C19500</stp>
        <tr r="BE175" s="1"/>
        <tr r="BE175" s="1"/>
      </tp>
      <tp t="s">
        <v>N/A</v>
        <stp/>
        <stp>VOLUME</stp>
        <stp>.NDX250620C20300</stp>
        <tr r="K144" s="2"/>
      </tp>
      <tp t="s">
        <v>N/A</v>
        <stp/>
        <stp>VOLUME</stp>
        <stp>.NDX250620C19300</stp>
        <tr r="K184" s="2"/>
      </tp>
      <tp t="s">
        <v>N/A</v>
        <stp/>
        <stp>VOLUME</stp>
        <stp>.NDX250523C20000</stp>
        <tr r="H156" s="2"/>
      </tp>
      <tp t="s">
        <v>N/A</v>
        <stp/>
        <stp>VOLUME</stp>
        <stp>.NDX251017C19400</stp>
        <tr r="S180" s="2"/>
      </tp>
      <tp t="s">
        <v>N/A</v>
        <stp/>
        <stp>VOLUME</stp>
        <stp>.NDX251121C19200</stp>
        <tr r="U188" s="2"/>
      </tp>
      <tp t="s">
        <v>N/A</v>
        <stp/>
        <stp>VOLUME</stp>
        <stp>.NDX251121C20200</stp>
        <tr r="U148" s="2"/>
      </tp>
      <tp t="s">
        <v>N/A</v>
        <stp/>
        <stp>VOLUME</stp>
        <stp>.NDX251017C20400</stp>
        <tr r="S140" s="2"/>
      </tp>
      <tp t="s">
        <v>N/A</v>
        <stp/>
        <stp>VOLUME</stp>
        <stp>.NDX251121C19275</stp>
        <tr r="U185" s="2"/>
      </tp>
      <tp t="s">
        <v>N/A</v>
        <stp/>
        <stp>VOLUME</stp>
        <stp>.NDX251017C19475</stp>
        <tr r="S177" s="2"/>
      </tp>
      <tp t="s">
        <v>N/A</v>
        <stp/>
        <stp>VOLUME</stp>
        <stp>.NDX251121C20275</stp>
        <tr r="U145" s="2"/>
      </tp>
      <tp t="s">
        <v>N/A</v>
        <stp/>
        <stp>VOLUME</stp>
        <stp>.NDX250815C19675</stp>
        <tr r="O169" s="2"/>
      </tp>
      <tp>
        <v>3</v>
        <stp/>
        <stp>VOLUME</stp>
        <stp>.NDX250516C19575</stp>
        <tr r="BE172" s="1"/>
        <tr r="BE172" s="1"/>
      </tp>
      <tp t="s">
        <v>N/A</v>
        <stp/>
        <stp>VOLUME</stp>
        <stp>.NDX250620C20375</stp>
        <tr r="K141" s="2"/>
      </tp>
      <tp t="s">
        <v>N/A</v>
        <stp/>
        <stp>VOLUME</stp>
        <stp>.NDX250620C19375</stp>
        <tr r="K181" s="2"/>
      </tp>
      <tp t="s">
        <v>N/A</v>
        <stp/>
        <stp>VOLUME</stp>
        <stp>.NDX250523C20075</stp>
        <tr r="H153" s="2"/>
      </tp>
      <tp t="s">
        <v>N/A</v>
        <stp/>
        <stp>VOLUME</stp>
        <stp>.NDX251017C19450</stp>
        <tr r="S178" s="2"/>
      </tp>
      <tp t="s">
        <v>N/A</v>
        <stp/>
        <stp>VOLUME</stp>
        <stp>.NDX251121C19250</stp>
        <tr r="U186" s="2"/>
      </tp>
      <tp t="s">
        <v>N/A</v>
        <stp/>
        <stp>VOLUME</stp>
        <stp>.NDX251121C20250</stp>
        <tr r="U146" s="2"/>
      </tp>
      <tp t="s">
        <v>N/A</v>
        <stp/>
        <stp>VOLUME</stp>
        <stp>.NDX251017C20450</stp>
        <tr r="S138" s="2"/>
      </tp>
      <tp t="s">
        <v>N/A</v>
        <stp/>
        <stp>VOLUME</stp>
        <stp>.NDX250815C19650</stp>
        <tr r="O170" s="2"/>
      </tp>
      <tp>
        <v>1</v>
        <stp/>
        <stp>VOLUME</stp>
        <stp>.NDX250516C19550</stp>
        <tr r="BE173" s="1"/>
        <tr r="BE173" s="1"/>
      </tp>
      <tp>
        <v>1</v>
        <stp/>
        <stp>VOLUME</stp>
        <stp>.NDX250620C20350</stp>
        <tr r="K142" s="2"/>
        <tr r="K142" s="2"/>
      </tp>
      <tp t="s">
        <v>N/A</v>
        <stp/>
        <stp>VOLUME</stp>
        <stp>.NDX250620C19350</stp>
        <tr r="K182" s="2"/>
      </tp>
      <tp t="s">
        <v>N/A</v>
        <stp/>
        <stp>VOLUME</stp>
        <stp>.NDX250523C20050</stp>
        <tr r="H154" s="2"/>
      </tp>
      <tp t="s">
        <v>152.82%</v>
        <stp/>
        <stp>IMPL_VOL</stp>
        <stp>.NDXP250507C20175</stp>
        <tr r="EL148" s="1"/>
      </tp>
      <tp t="s">
        <v>--</v>
        <stp/>
        <stp>IMPL_VOL</stp>
        <stp>.NDXP250507C19175</stp>
        <tr r="EL188" s="1"/>
      </tp>
      <tp t="s">
        <v>143.63%</v>
        <stp/>
        <stp>IMPL_VOL</stp>
        <stp>.NDXP250507C20150</stp>
        <tr r="EL149" s="1"/>
      </tp>
      <tp t="s">
        <v>--</v>
        <stp/>
        <stp>IMPL_VOL</stp>
        <stp>.NDXP250507C19150</stp>
        <tr r="EL189" s="1"/>
      </tp>
      <tp t="s">
        <v>134.30%</v>
        <stp/>
        <stp>IMPL_VOL</stp>
        <stp>.NDXP250507C20125</stp>
        <tr r="EL150" s="1"/>
      </tp>
      <tp t="s">
        <v>82.37%</v>
        <stp/>
        <stp>IMPL_VOL</stp>
        <stp>.NDXP250507C20100</stp>
        <tr r="EL151" s="1"/>
      </tp>
      <tp t="s">
        <v>N/A</v>
        <stp/>
        <stp>VOLUME</stp>
        <stp>.NDX251017P19500</stp>
        <tr r="S176" s="2"/>
      </tp>
      <tp t="s">
        <v>N/A</v>
        <stp/>
        <stp>VOLUME</stp>
        <stp>.NDX251121P19300</stp>
        <tr r="U184" s="2"/>
      </tp>
      <tp t="s">
        <v>N/A</v>
        <stp/>
        <stp>VOLUME</stp>
        <stp>.NDX251121P20300</stp>
        <tr r="U144" s="2"/>
      </tp>
      <tp t="s">
        <v>N/A</v>
        <stp/>
        <stp>VOLUME</stp>
        <stp>.NDX250815P19700</stp>
        <tr r="O168" s="2"/>
      </tp>
      <tp>
        <v>13</v>
        <stp/>
        <stp>VOLUME</stp>
        <stp>.NDX250516P19400</stp>
        <tr r="BF179" s="1"/>
        <tr r="BF179" s="1"/>
      </tp>
      <tp t="s">
        <v>N/A</v>
        <stp/>
        <stp>VOLUME</stp>
        <stp>.NDX250620P20200</stp>
        <tr r="K148" s="2"/>
      </tp>
      <tp>
        <v>1</v>
        <stp/>
        <stp>VOLUME</stp>
        <stp>.NDX250620P19200</stp>
        <tr r="K188" s="2"/>
        <tr r="K188" s="2"/>
      </tp>
      <tp t="s">
        <v>N/A</v>
        <stp/>
        <stp>VOLUME</stp>
        <stp>.NDX250516P20400</stp>
        <tr r="BF139" s="1"/>
      </tp>
      <tp t="s">
        <v>N/A</v>
        <stp/>
        <stp>VOLUME</stp>
        <stp>.NDX250523P20100</stp>
        <tr r="H152" s="2"/>
      </tp>
      <tp t="s">
        <v>N/A</v>
        <stp/>
        <stp>VOLUME</stp>
        <stp>.NDX251121P19325</stp>
        <tr r="U183" s="2"/>
      </tp>
      <tp t="s">
        <v>N/A</v>
        <stp/>
        <stp>VOLUME</stp>
        <stp>.NDX251017P19525</stp>
        <tr r="S175" s="2"/>
      </tp>
      <tp t="s">
        <v>N/A</v>
        <stp/>
        <stp>VOLUME</stp>
        <stp>.NDX251121P20325</stp>
        <tr r="U143" s="2"/>
      </tp>
      <tp t="s">
        <v>N/A</v>
        <stp/>
        <stp>VOLUME</stp>
        <stp>.NDX250815P19725</stp>
        <tr r="O167" s="2"/>
      </tp>
      <tp>
        <v>1</v>
        <stp/>
        <stp>VOLUME</stp>
        <stp>.NDX250516P19425</stp>
        <tr r="BF178" s="1"/>
        <tr r="BF178" s="1"/>
      </tp>
      <tp t="s">
        <v>N/A</v>
        <stp/>
        <stp>VOLUME</stp>
        <stp>.NDX250620P20225</stp>
        <tr r="K147" s="2"/>
      </tp>
      <tp>
        <v>2</v>
        <stp/>
        <stp>VOLUME</stp>
        <stp>.NDX250620P19225</stp>
        <tr r="K187" s="2"/>
        <tr r="K187" s="2"/>
      </tp>
      <tp t="s">
        <v>N/A</v>
        <stp/>
        <stp>VOLUME</stp>
        <stp>.NDX250516P20425</stp>
        <tr r="BF138" s="1"/>
      </tp>
      <tp t="s">
        <v>N/A</v>
        <stp/>
        <stp>VOLUME</stp>
        <stp>.NDX250523P20125</stp>
        <tr r="H151" s="2"/>
      </tp>
      <tp t="s">
        <v>N/A</v>
        <stp/>
        <stp>VOLUME</stp>
        <stp>.NDX250815P19750</stp>
        <tr r="O166" s="2"/>
      </tp>
      <tp>
        <v>3</v>
        <stp/>
        <stp>VOLUME</stp>
        <stp>.NDX250516P19450</stp>
        <tr r="BF177" s="1"/>
        <tr r="BF177" s="1"/>
      </tp>
      <tp t="s">
        <v>N/A</v>
        <stp/>
        <stp>VOLUME</stp>
        <stp>.NDX250523P19150</stp>
        <tr r="H190" s="2"/>
      </tp>
      <tp t="s">
        <v>N/A</v>
        <stp/>
        <stp>VOLUME</stp>
        <stp>.NDX250620P20250</stp>
        <tr r="K146" s="2"/>
      </tp>
      <tp>
        <v>7</v>
        <stp/>
        <stp>VOLUME</stp>
        <stp>.NDX250620P19250</stp>
        <tr r="K186" s="2"/>
        <tr r="K186" s="2"/>
      </tp>
      <tp t="s">
        <v>N/A</v>
        <stp/>
        <stp>VOLUME</stp>
        <stp>.NDX250516P20450</stp>
        <tr r="BF137" s="1"/>
      </tp>
      <tp t="s">
        <v>N/A</v>
        <stp/>
        <stp>VOLUME</stp>
        <stp>.NDX250523P20150</stp>
        <tr r="H150" s="2"/>
      </tp>
      <tp t="s">
        <v>N/A</v>
        <stp/>
        <stp>VOLUME</stp>
        <stp>.NDX251017P19550</stp>
        <tr r="S174" s="2"/>
      </tp>
      <tp t="s">
        <v>N/A</v>
        <stp/>
        <stp>VOLUME</stp>
        <stp>.NDX251121P19350</stp>
        <tr r="U182" s="2"/>
      </tp>
      <tp t="s">
        <v>N/A</v>
        <stp/>
        <stp>VOLUME</stp>
        <stp>.NDX251121P20350</stp>
        <tr r="U142" s="2"/>
      </tp>
      <tp t="s">
        <v>N/A</v>
        <stp/>
        <stp>VOLUME</stp>
        <stp>.NDX250815P19775</stp>
        <tr r="O165" s="2"/>
      </tp>
      <tp>
        <v>5</v>
        <stp/>
        <stp>VOLUME</stp>
        <stp>.NDX250516P19475</stp>
        <tr r="BF176" s="1"/>
        <tr r="BF176" s="1"/>
      </tp>
      <tp t="s">
        <v>N/A</v>
        <stp/>
        <stp>VOLUME</stp>
        <stp>.NDX250523P19175</stp>
        <tr r="H189" s="2"/>
      </tp>
      <tp t="s">
        <v>N/A</v>
        <stp/>
        <stp>VOLUME</stp>
        <stp>.NDX250620P20275</stp>
        <tr r="K145" s="2"/>
      </tp>
      <tp>
        <v>1</v>
        <stp/>
        <stp>VOLUME</stp>
        <stp>.NDX250620P19275</stp>
        <tr r="K185" s="2"/>
        <tr r="K185" s="2"/>
      </tp>
      <tp t="s">
        <v>N/A</v>
        <stp/>
        <stp>VOLUME</stp>
        <stp>.NDX250523P20175</stp>
        <tr r="H149" s="2"/>
      </tp>
      <tp t="s">
        <v>N/A</v>
        <stp/>
        <stp>VOLUME</stp>
        <stp>.NDX251121P19375</stp>
        <tr r="U181" s="2"/>
      </tp>
      <tp t="s">
        <v>N/A</v>
        <stp/>
        <stp>VOLUME</stp>
        <stp>.NDX251017P19575</stp>
        <tr r="S173" s="2"/>
      </tp>
      <tp t="s">
        <v>N/A</v>
        <stp/>
        <stp>VOLUME</stp>
        <stp>.NDX251121P20375</stp>
        <tr r="U141" s="2"/>
      </tp>
      <tp t="s">
        <v>104.80%</v>
        <stp/>
        <stp>IMPL_VOL</stp>
        <stp>.NDXP250507P20150</stp>
        <tr r="EM149" s="1"/>
      </tp>
      <tp t="s">
        <v>285.07%</v>
        <stp/>
        <stp>IMPL_VOL</stp>
        <stp>.NDXP250507P19150</stp>
        <tr r="EM189" s="1"/>
      </tp>
      <tp t="s">
        <v>107.73%</v>
        <stp/>
        <stp>IMPL_VOL</stp>
        <stp>.NDXP250507P20175</stp>
        <tr r="EM148" s="1"/>
      </tp>
      <tp t="s">
        <v>292.79%</v>
        <stp/>
        <stp>IMPL_VOL</stp>
        <stp>.NDXP250507P19175</stp>
        <tr r="EM188" s="1"/>
      </tp>
      <tp t="s">
        <v>101.39%</v>
        <stp/>
        <stp>IMPL_VOL</stp>
        <stp>.NDXP250507P20100</stp>
        <tr r="EM151" s="1"/>
      </tp>
      <tp t="s">
        <v>92.23%</v>
        <stp/>
        <stp>IMPL_VOL</stp>
        <stp>.NDXP250507P20125</stp>
        <tr r="EM150" s="1"/>
      </tp>
      <tp t="s">
        <v>N/A</v>
        <stp/>
        <stp>VOLUME</stp>
        <stp>.NDX250815C19725</stp>
        <tr r="O167" s="2"/>
      </tp>
      <tp>
        <v>1</v>
        <stp/>
        <stp>VOLUME</stp>
        <stp>.NDX250516C19425</stp>
        <tr r="BE178" s="1"/>
        <tr r="BE178" s="1"/>
      </tp>
      <tp>
        <v>5</v>
        <stp/>
        <stp>VOLUME</stp>
        <stp>.NDX250620C20225</stp>
        <tr r="K147" s="2"/>
        <tr r="K147" s="2"/>
      </tp>
      <tp t="s">
        <v>N/A</v>
        <stp/>
        <stp>VOLUME</stp>
        <stp>.NDX250620C19225</stp>
        <tr r="K187" s="2"/>
      </tp>
      <tp>
        <v>1</v>
        <stp/>
        <stp>VOLUME</stp>
        <stp>.NDX250516C20425</stp>
        <tr r="BE138" s="1"/>
        <tr r="BE138" s="1"/>
      </tp>
      <tp t="s">
        <v>N/A</v>
        <stp/>
        <stp>VOLUME</stp>
        <stp>.NDX250523C20125</stp>
        <tr r="H151" s="2"/>
      </tp>
      <tp t="s">
        <v>N/A</v>
        <stp/>
        <stp>VOLUME</stp>
        <stp>.NDX251121C19325</stp>
        <tr r="U183" s="2"/>
      </tp>
      <tp t="s">
        <v>N/A</v>
        <stp/>
        <stp>VOLUME</stp>
        <stp>.NDX251017C19525</stp>
        <tr r="S175" s="2"/>
      </tp>
      <tp t="s">
        <v>N/A</v>
        <stp/>
        <stp>VOLUME</stp>
        <stp>.NDX251121C20325</stp>
        <tr r="U143" s="2"/>
      </tp>
      <tp>
        <v>1</v>
        <stp/>
        <stp>VOLUME</stp>
        <stp>.NDX250815C19700</stp>
        <tr r="O168" s="2"/>
        <tr r="O168" s="2"/>
      </tp>
      <tp>
        <v>4</v>
        <stp/>
        <stp>VOLUME</stp>
        <stp>.NDX250516C19400</stp>
        <tr r="BE179" s="1"/>
        <tr r="BE179" s="1"/>
      </tp>
      <tp>
        <v>127</v>
        <stp/>
        <stp>VOLUME</stp>
        <stp>.NDX250620C20200</stp>
        <tr r="K148" s="2"/>
        <tr r="K148" s="2"/>
      </tp>
      <tp t="s">
        <v>N/A</v>
        <stp/>
        <stp>VOLUME</stp>
        <stp>.NDX250620C19200</stp>
        <tr r="K188" s="2"/>
      </tp>
      <tp>
        <v>2</v>
        <stp/>
        <stp>VOLUME</stp>
        <stp>.NDX250516C20400</stp>
        <tr r="BE139" s="1"/>
        <tr r="BE139" s="1"/>
      </tp>
      <tp t="s">
        <v>N/A</v>
        <stp/>
        <stp>VOLUME</stp>
        <stp>.NDX250523C20100</stp>
        <tr r="H152" s="2"/>
      </tp>
      <tp t="s">
        <v>N/A</v>
        <stp/>
        <stp>VOLUME</stp>
        <stp>.NDX251017C19500</stp>
        <tr r="S176" s="2"/>
      </tp>
      <tp t="s">
        <v>N/A</v>
        <stp/>
        <stp>VOLUME</stp>
        <stp>.NDX251121C19300</stp>
        <tr r="U184" s="2"/>
      </tp>
      <tp t="s">
        <v>N/A</v>
        <stp/>
        <stp>VOLUME</stp>
        <stp>.NDX251121C20300</stp>
        <tr r="U144" s="2"/>
      </tp>
      <tp t="s">
        <v>N/A</v>
        <stp/>
        <stp>VOLUME</stp>
        <stp>.NDX251121C19375</stp>
        <tr r="U181" s="2"/>
      </tp>
      <tp t="s">
        <v>N/A</v>
        <stp/>
        <stp>VOLUME</stp>
        <stp>.NDX251017C19575</stp>
        <tr r="S173" s="2"/>
      </tp>
      <tp t="s">
        <v>N/A</v>
        <stp/>
        <stp>VOLUME</stp>
        <stp>.NDX251121C20375</stp>
        <tr r="U141" s="2"/>
      </tp>
      <tp t="s">
        <v>N/A</v>
        <stp/>
        <stp>VOLUME</stp>
        <stp>.NDX250815C19775</stp>
        <tr r="O165" s="2"/>
      </tp>
      <tp t="s">
        <v>N/A</v>
        <stp/>
        <stp>VOLUME</stp>
        <stp>.NDX250516C19475</stp>
        <tr r="BE176" s="1"/>
      </tp>
      <tp t="s">
        <v>N/A</v>
        <stp/>
        <stp>VOLUME</stp>
        <stp>.NDX250523C19175</stp>
        <tr r="H189" s="2"/>
      </tp>
      <tp t="s">
        <v>N/A</v>
        <stp/>
        <stp>VOLUME</stp>
        <stp>.NDX250620C20275</stp>
        <tr r="K145" s="2"/>
      </tp>
      <tp t="s">
        <v>N/A</v>
        <stp/>
        <stp>VOLUME</stp>
        <stp>.NDX250620C19275</stp>
        <tr r="K185" s="2"/>
      </tp>
      <tp t="s">
        <v>N/A</v>
        <stp/>
        <stp>VOLUME</stp>
        <stp>.NDX250523C20175</stp>
        <tr r="H149" s="2"/>
      </tp>
      <tp t="s">
        <v>N/A</v>
        <stp/>
        <stp>VOLUME</stp>
        <stp>.NDX251017C19550</stp>
        <tr r="S174" s="2"/>
      </tp>
      <tp t="s">
        <v>N/A</v>
        <stp/>
        <stp>VOLUME</stp>
        <stp>.NDX251121C19350</stp>
        <tr r="U182" s="2"/>
      </tp>
      <tp t="s">
        <v>N/A</v>
        <stp/>
        <stp>VOLUME</stp>
        <stp>.NDX251121C20350</stp>
        <tr r="U142" s="2"/>
      </tp>
      <tp t="s">
        <v>N/A</v>
        <stp/>
        <stp>VOLUME</stp>
        <stp>.NDX250815C19750</stp>
        <tr r="O166" s="2"/>
      </tp>
      <tp t="s">
        <v>N/A</v>
        <stp/>
        <stp>VOLUME</stp>
        <stp>.NDX250516C19450</stp>
        <tr r="BE177" s="1"/>
      </tp>
      <tp t="s">
        <v>N/A</v>
        <stp/>
        <stp>VOLUME</stp>
        <stp>.NDX250523C19150</stp>
        <tr r="H190" s="2"/>
      </tp>
      <tp t="s">
        <v>N/A</v>
        <stp/>
        <stp>VOLUME</stp>
        <stp>.NDX250620C20250</stp>
        <tr r="K146" s="2"/>
      </tp>
      <tp t="s">
        <v>N/A</v>
        <stp/>
        <stp>VOLUME</stp>
        <stp>.NDX250620C19250</stp>
        <tr r="K186" s="2"/>
      </tp>
      <tp t="s">
        <v>N/A</v>
        <stp/>
        <stp>VOLUME</stp>
        <stp>.NDX250516C20450</stp>
        <tr r="BE137" s="1"/>
      </tp>
      <tp t="s">
        <v>N/A</v>
        <stp/>
        <stp>VOLUME</stp>
        <stp>.NDX250523C20150</stp>
        <tr r="H150" s="2"/>
      </tp>
      <tp t="s">
        <v>143.10%</v>
        <stp/>
        <stp>IMPL_VOL</stp>
        <stp>.NDXP250507C20275</stp>
        <tr r="EL144" s="1"/>
      </tp>
      <tp t="s">
        <v>--</v>
        <stp/>
        <stp>IMPL_VOL</stp>
        <stp>.NDXP250507C19275</stp>
        <tr r="EL184" s="1"/>
      </tp>
      <tp t="s">
        <v>98.58%</v>
        <stp/>
        <stp>IMPL_VOL</stp>
        <stp>.NDXP250507C20250</stp>
        <tr r="EL145" s="1"/>
      </tp>
      <tp t="s">
        <v>--</v>
        <stp/>
        <stp>IMPL_VOL</stp>
        <stp>.NDXP250507C19250</stp>
        <tr r="EL185" s="1"/>
      </tp>
      <tp t="s">
        <v>170.82%</v>
        <stp/>
        <stp>IMPL_VOL</stp>
        <stp>.NDXP250507C20225</stp>
        <tr r="EL146" s="1"/>
      </tp>
      <tp t="s">
        <v>--</v>
        <stp/>
        <stp>IMPL_VOL</stp>
        <stp>.NDXP250507C19225</stp>
        <tr r="EL186" s="1"/>
      </tp>
      <tp t="s">
        <v>87.14%</v>
        <stp/>
        <stp>IMPL_VOL</stp>
        <stp>.NDXP250507C20200</stp>
        <tr r="EL147" s="1"/>
      </tp>
      <tp t="s">
        <v>--</v>
        <stp/>
        <stp>IMPL_VOL</stp>
        <stp>.NDXP250507C19200</stp>
        <tr r="EL187" s="1"/>
      </tp>
      <tp t="s">
        <v>N/A</v>
        <stp/>
        <stp>VOLUME</stp>
        <stp>.NDX251017P19600</stp>
        <tr r="S172" s="2"/>
      </tp>
      <tp t="s">
        <v>N/A</v>
        <stp/>
        <stp>VOLUME</stp>
        <stp>.NDX251219P19800</stp>
        <tr r="W164" s="2"/>
      </tp>
      <tp t="s">
        <v>N/A</v>
        <stp/>
        <stp>VOLUME</stp>
        <stp>.NDX251121P20000</stp>
        <tr r="U156" s="2"/>
      </tp>
      <tp t="s">
        <v>N/A</v>
        <stp/>
        <stp>VOLUME</stp>
        <stp>.NDX250815P19400</stp>
        <tr r="O180" s="2"/>
      </tp>
      <tp t="s">
        <v>N/A</v>
        <stp/>
        <stp>VOLUME</stp>
        <stp>.NDX250919P19800</stp>
        <tr r="Q164" s="2"/>
      </tp>
      <tp t="s">
        <v>N/A</v>
        <stp/>
        <stp>VOLUME</stp>
        <stp>.NDX250815P20400</stp>
        <tr r="O140" s="2"/>
      </tp>
      <tp>
        <v>10</v>
        <stp/>
        <stp>VOLUME</stp>
        <stp>.NDX250516P19700</stp>
        <tr r="BF167" s="1"/>
        <tr r="BF167" s="1"/>
      </tp>
      <tp t="s">
        <v>N/A</v>
        <stp/>
        <stp>VOLUME</stp>
        <stp>.NDX250523P19200</stp>
        <tr r="H188" s="2"/>
      </tp>
      <tp>
        <v>1</v>
        <stp/>
        <stp>VOLUME</stp>
        <stp>.NDX250620P20100</stp>
        <tr r="K152" s="2"/>
        <tr r="K152" s="2"/>
      </tp>
      <tp t="s">
        <v>N/A</v>
        <stp/>
        <stp>VOLUME</stp>
        <stp>.NDX250523P20200</stp>
        <tr r="H148" s="2"/>
      </tp>
      <tp t="s">
        <v>N/A</v>
        <stp/>
        <stp>VOLUME</stp>
        <stp>.NDX250718P19900</stp>
        <tr r="M160" s="2"/>
      </tp>
      <tp t="s">
        <v>N/A</v>
        <stp/>
        <stp>VOLUME</stp>
        <stp>.NDX251017P19625</stp>
        <tr r="S171" s="2"/>
      </tp>
      <tp t="s">
        <v>N/A</v>
        <stp/>
        <stp>VOLUME</stp>
        <stp>.NDX251219P19825</stp>
        <tr r="W163" s="2"/>
      </tp>
      <tp t="s">
        <v>N/A</v>
        <stp/>
        <stp>VOLUME</stp>
        <stp>.NDX251121P20025</stp>
        <tr r="U155" s="2"/>
      </tp>
      <tp t="s">
        <v>N/A</v>
        <stp/>
        <stp>VOLUME</stp>
        <stp>.NDX250919P19825</stp>
        <tr r="Q163" s="2"/>
      </tp>
      <tp t="s">
        <v>N/A</v>
        <stp/>
        <stp>VOLUME</stp>
        <stp>.NDX250815P19425</stp>
        <tr r="O179" s="2"/>
      </tp>
      <tp t="s">
        <v>N/A</v>
        <stp/>
        <stp>VOLUME</stp>
        <stp>.NDX250815P20425</stp>
        <tr r="O139" s="2"/>
      </tp>
      <tp>
        <v>43</v>
        <stp/>
        <stp>VOLUME</stp>
        <stp>.NDX250516P19725</stp>
        <tr r="BF166" s="1"/>
        <tr r="BF166" s="1"/>
      </tp>
      <tp t="s">
        <v>N/A</v>
        <stp/>
        <stp>VOLUME</stp>
        <stp>.NDX250523P19225</stp>
        <tr r="H187" s="2"/>
      </tp>
      <tp>
        <v>41</v>
        <stp/>
        <stp>VOLUME</stp>
        <stp>.NDX250620P20125</stp>
        <tr r="K151" s="2"/>
        <tr r="K151" s="2"/>
      </tp>
      <tp t="s">
        <v>N/A</v>
        <stp/>
        <stp>VOLUME</stp>
        <stp>.NDX250718P19925</stp>
        <tr r="M159" s="2"/>
      </tp>
      <tp t="s">
        <v>N/A</v>
        <stp/>
        <stp>VOLUME</stp>
        <stp>.NDX250523P20225</stp>
        <tr r="H147" s="2"/>
      </tp>
      <tp t="s">
        <v>N/A</v>
        <stp/>
        <stp>VOLUME</stp>
        <stp>.NDX250815P19450</stp>
        <tr r="O178" s="2"/>
      </tp>
      <tp t="s">
        <v>N/A</v>
        <stp/>
        <stp>VOLUME</stp>
        <stp>.NDX250919P19850</stp>
        <tr r="Q162" s="2"/>
      </tp>
      <tp t="s">
        <v>N/A</v>
        <stp/>
        <stp>VOLUME</stp>
        <stp>.NDX250815P20450</stp>
        <tr r="O138" s="2"/>
      </tp>
      <tp>
        <v>4</v>
        <stp/>
        <stp>VOLUME</stp>
        <stp>.NDX250516P19750</stp>
        <tr r="BF165" s="1"/>
        <tr r="BF165" s="1"/>
      </tp>
      <tp t="s">
        <v>N/A</v>
        <stp/>
        <stp>VOLUME</stp>
        <stp>.NDX250523P19250</stp>
        <tr r="H186" s="2"/>
      </tp>
      <tp t="s">
        <v>N/A</v>
        <stp/>
        <stp>VOLUME</stp>
        <stp>.NDX250620P20150</stp>
        <tr r="K150" s="2"/>
      </tp>
      <tp t="s">
        <v>N/A</v>
        <stp/>
        <stp>VOLUME</stp>
        <stp>.NDX250620P19150</stp>
        <tr r="K190" s="2"/>
      </tp>
      <tp t="s">
        <v>N/A</v>
        <stp/>
        <stp>VOLUME</stp>
        <stp>.NDX250523P20250</stp>
        <tr r="H146" s="2"/>
      </tp>
      <tp t="s">
        <v>N/A</v>
        <stp/>
        <stp>VOLUME</stp>
        <stp>.NDX250718P19950</stp>
        <tr r="M158" s="2"/>
      </tp>
      <tp t="s">
        <v>N/A</v>
        <stp/>
        <stp>VOLUME</stp>
        <stp>.NDX251017P19650</stp>
        <tr r="S170" s="2"/>
      </tp>
      <tp t="s">
        <v>N/A</v>
        <stp/>
        <stp>VOLUME</stp>
        <stp>.NDX251219P19850</stp>
        <tr r="W162" s="2"/>
      </tp>
      <tp t="s">
        <v>N/A</v>
        <stp/>
        <stp>VOLUME</stp>
        <stp>.NDX251121P20050</stp>
        <tr r="U154" s="2"/>
      </tp>
      <tp t="s">
        <v>N/A</v>
        <stp/>
        <stp>VOLUME</stp>
        <stp>.NDX250919P19875</stp>
        <tr r="Q161" s="2"/>
      </tp>
      <tp t="s">
        <v>N/A</v>
        <stp/>
        <stp>VOLUME</stp>
        <stp>.NDX250815P19475</stp>
        <tr r="O177" s="2"/>
      </tp>
      <tp>
        <v>6</v>
        <stp/>
        <stp>VOLUME</stp>
        <stp>.NDX250516P19775</stp>
        <tr r="BF164" s="1"/>
        <tr r="BF164" s="1"/>
      </tp>
      <tp t="s">
        <v>N/A</v>
        <stp/>
        <stp>VOLUME</stp>
        <stp>.NDX250523P19275</stp>
        <tr r="H185" s="2"/>
      </tp>
      <tp t="s">
        <v>N/A</v>
        <stp/>
        <stp>VOLUME</stp>
        <stp>.NDX250620P20175</stp>
        <tr r="K149" s="2"/>
      </tp>
      <tp t="s">
        <v>N/A</v>
        <stp/>
        <stp>VOLUME</stp>
        <stp>.NDX250718P19975</stp>
        <tr r="M157" s="2"/>
      </tp>
      <tp t="s">
        <v>N/A</v>
        <stp/>
        <stp>VOLUME</stp>
        <stp>.NDX250620P19175</stp>
        <tr r="K189" s="2"/>
      </tp>
      <tp t="s">
        <v>N/A</v>
        <stp/>
        <stp>VOLUME</stp>
        <stp>.NDX250523P20275</stp>
        <tr r="H145" s="2"/>
      </tp>
      <tp t="s">
        <v>N/A</v>
        <stp/>
        <stp>VOLUME</stp>
        <stp>.NDX251017P19675</stp>
        <tr r="S169" s="2"/>
      </tp>
      <tp t="s">
        <v>N/A</v>
        <stp/>
        <stp>VOLUME</stp>
        <stp>.NDX251219P19875</stp>
        <tr r="W161" s="2"/>
      </tp>
      <tp t="s">
        <v>N/A</v>
        <stp/>
        <stp>VOLUME</stp>
        <stp>.NDX251121P20075</stp>
        <tr r="U153" s="2"/>
      </tp>
      <tp t="s">
        <v>137.46%</v>
        <stp/>
        <stp>IMPL_VOL</stp>
        <stp>.NDXP250507P20250</stp>
        <tr r="EM145" s="1"/>
      </tp>
      <tp t="s">
        <v>267.00%</v>
        <stp/>
        <stp>IMPL_VOL</stp>
        <stp>.NDXP250507P19250</stp>
        <tr r="EM185" s="1"/>
      </tp>
      <tp t="s">
        <v>--</v>
        <stp/>
        <stp>IMPL_VOL</stp>
        <stp>.NDXP250507P20275</stp>
        <tr r="EM144" s="1"/>
      </tp>
      <tp t="s">
        <v>223.73%</v>
        <stp/>
        <stp>IMPL_VOL</stp>
        <stp>.NDXP250507P19275</stp>
        <tr r="EM184" s="1"/>
      </tp>
      <tp t="s">
        <v>119.67%</v>
        <stp/>
        <stp>IMPL_VOL</stp>
        <stp>.NDXP250507P20200</stp>
        <tr r="EM147" s="1"/>
      </tp>
      <tp t="s">
        <v>136.97%</v>
        <stp/>
        <stp>IMPL_VOL</stp>
        <stp>.NDXP250507P19200</stp>
        <tr r="EM187" s="1"/>
      </tp>
      <tp t="s">
        <v>122.00%</v>
        <stp/>
        <stp>IMPL_VOL</stp>
        <stp>.NDXP250507P20225</stp>
        <tr r="EM146" s="1"/>
      </tp>
      <tp t="s">
        <v>132.13%</v>
        <stp/>
        <stp>IMPL_VOL</stp>
        <stp>.NDXP250507P19225</stp>
        <tr r="EM186" s="1"/>
      </tp>
      <tp t="s">
        <v>N/A</v>
        <stp/>
        <stp>VOLUME</stp>
        <stp>.NDX250919C19825</stp>
        <tr r="Q163" s="2"/>
      </tp>
      <tp t="s">
        <v>N/A</v>
        <stp/>
        <stp>VOLUME</stp>
        <stp>.NDX250815C19425</stp>
        <tr r="O179" s="2"/>
      </tp>
      <tp t="s">
        <v>N/A</v>
        <stp/>
        <stp>VOLUME</stp>
        <stp>.NDX250815C20425</stp>
        <tr r="O139" s="2"/>
      </tp>
      <tp>
        <v>30</v>
        <stp/>
        <stp>VOLUME</stp>
        <stp>.NDX250516C19725</stp>
        <tr r="BE166" s="1"/>
        <tr r="BE166" s="1"/>
      </tp>
      <tp t="s">
        <v>N/A</v>
        <stp/>
        <stp>VOLUME</stp>
        <stp>.NDX250523C19225</stp>
        <tr r="H187" s="2"/>
      </tp>
      <tp>
        <v>41</v>
        <stp/>
        <stp>VOLUME</stp>
        <stp>.NDX250620C20125</stp>
        <tr r="K151" s="2"/>
        <tr r="K151" s="2"/>
      </tp>
      <tp t="s">
        <v>N/A</v>
        <stp/>
        <stp>VOLUME</stp>
        <stp>.NDX250718C19925</stp>
        <tr r="M159" s="2"/>
      </tp>
      <tp t="s">
        <v>N/A</v>
        <stp/>
        <stp>VOLUME</stp>
        <stp>.NDX250523C20225</stp>
        <tr r="H147" s="2"/>
      </tp>
      <tp t="s">
        <v>N/A</v>
        <stp/>
        <stp>VOLUME</stp>
        <stp>.NDX251017C19625</stp>
        <tr r="S171" s="2"/>
      </tp>
      <tp t="s">
        <v>N/A</v>
        <stp/>
        <stp>VOLUME</stp>
        <stp>.NDX251219C19825</stp>
        <tr r="W163" s="2"/>
      </tp>
      <tp t="s">
        <v>N/A</v>
        <stp/>
        <stp>VOLUME</stp>
        <stp>.NDX251121C20025</stp>
        <tr r="U155" s="2"/>
      </tp>
      <tp t="s">
        <v>N/A</v>
        <stp/>
        <stp>VOLUME</stp>
        <stp>.NDX250815C19400</stp>
        <tr r="O180" s="2"/>
      </tp>
      <tp t="s">
        <v>N/A</v>
        <stp/>
        <stp>VOLUME</stp>
        <stp>.NDX250919C19800</stp>
        <tr r="Q164" s="2"/>
      </tp>
      <tp t="s">
        <v>N/A</v>
        <stp/>
        <stp>VOLUME</stp>
        <stp>.NDX250815C20400</stp>
        <tr r="O140" s="2"/>
      </tp>
      <tp>
        <v>16</v>
        <stp/>
        <stp>VOLUME</stp>
        <stp>.NDX250516C19700</stp>
        <tr r="BE167" s="1"/>
        <tr r="BE167" s="1"/>
      </tp>
      <tp t="s">
        <v>N/A</v>
        <stp/>
        <stp>VOLUME</stp>
        <stp>.NDX250523C19200</stp>
        <tr r="H188" s="2"/>
      </tp>
      <tp t="s">
        <v>N/A</v>
        <stp/>
        <stp>VOLUME</stp>
        <stp>.NDX250620C20100</stp>
        <tr r="K152" s="2"/>
      </tp>
      <tp t="s">
        <v>N/A</v>
        <stp/>
        <stp>VOLUME</stp>
        <stp>.NDX250523C20200</stp>
        <tr r="H148" s="2"/>
      </tp>
      <tp t="s">
        <v>N/A</v>
        <stp/>
        <stp>VOLUME</stp>
        <stp>.NDX250718C19900</stp>
        <tr r="M160" s="2"/>
      </tp>
      <tp t="s">
        <v>N/A</v>
        <stp/>
        <stp>VOLUME</stp>
        <stp>.NDX251017C19600</stp>
        <tr r="S172" s="2"/>
      </tp>
      <tp t="s">
        <v>N/A</v>
        <stp/>
        <stp>VOLUME</stp>
        <stp>.NDX251219C19800</stp>
        <tr r="W164" s="2"/>
      </tp>
      <tp t="s">
        <v>N/A</v>
        <stp/>
        <stp>VOLUME</stp>
        <stp>.NDX251121C20000</stp>
        <tr r="U156" s="2"/>
      </tp>
      <tp t="s">
        <v>N/A</v>
        <stp/>
        <stp>VOLUME</stp>
        <stp>.NDX251017C19675</stp>
        <tr r="S169" s="2"/>
      </tp>
      <tp t="s">
        <v>N/A</v>
        <stp/>
        <stp>VOLUME</stp>
        <stp>.NDX251219C19875</stp>
        <tr r="W161" s="2"/>
      </tp>
      <tp t="s">
        <v>N/A</v>
        <stp/>
        <stp>VOLUME</stp>
        <stp>.NDX251121C20075</stp>
        <tr r="U153" s="2"/>
      </tp>
      <tp t="s">
        <v>N/A</v>
        <stp/>
        <stp>VOLUME</stp>
        <stp>.NDX250919C19875</stp>
        <tr r="Q161" s="2"/>
      </tp>
      <tp t="s">
        <v>N/A</v>
        <stp/>
        <stp>VOLUME</stp>
        <stp>.NDX250815C19475</stp>
        <tr r="O177" s="2"/>
      </tp>
      <tp>
        <v>3</v>
        <stp/>
        <stp>VOLUME</stp>
        <stp>.NDX250516C19775</stp>
        <tr r="BE164" s="1"/>
        <tr r="BE164" s="1"/>
      </tp>
      <tp t="s">
        <v>N/A</v>
        <stp/>
        <stp>VOLUME</stp>
        <stp>.NDX250523C19275</stp>
        <tr r="H185" s="2"/>
      </tp>
      <tp>
        <v>1</v>
        <stp/>
        <stp>VOLUME</stp>
        <stp>.NDX250620C20175</stp>
        <tr r="K149" s="2"/>
        <tr r="K149" s="2"/>
      </tp>
      <tp t="s">
        <v>N/A</v>
        <stp/>
        <stp>VOLUME</stp>
        <stp>.NDX250718C19975</stp>
        <tr r="M157" s="2"/>
      </tp>
      <tp t="s">
        <v>N/A</v>
        <stp/>
        <stp>VOLUME</stp>
        <stp>.NDX250620C19175</stp>
        <tr r="K189" s="2"/>
      </tp>
      <tp t="s">
        <v>N/A</v>
        <stp/>
        <stp>VOLUME</stp>
        <stp>.NDX250523C20275</stp>
        <tr r="H145" s="2"/>
      </tp>
      <tp t="s">
        <v>N/A</v>
        <stp/>
        <stp>VOLUME</stp>
        <stp>.NDX251017C19650</stp>
        <tr r="S170" s="2"/>
      </tp>
      <tp t="s">
        <v>N/A</v>
        <stp/>
        <stp>VOLUME</stp>
        <stp>.NDX251219C19850</stp>
        <tr r="W162" s="2"/>
      </tp>
      <tp t="s">
        <v>N/A</v>
        <stp/>
        <stp>VOLUME</stp>
        <stp>.NDX251121C20050</stp>
        <tr r="U154" s="2"/>
      </tp>
      <tp t="s">
        <v>N/A</v>
        <stp/>
        <stp>VOLUME</stp>
        <stp>.NDX250815C19450</stp>
        <tr r="O178" s="2"/>
      </tp>
      <tp t="s">
        <v>N/A</v>
        <stp/>
        <stp>VOLUME</stp>
        <stp>.NDX250919C19850</stp>
        <tr r="Q162" s="2"/>
      </tp>
      <tp t="s">
        <v>N/A</v>
        <stp/>
        <stp>VOLUME</stp>
        <stp>.NDX250815C20450</stp>
        <tr r="O138" s="2"/>
      </tp>
      <tp>
        <v>13</v>
        <stp/>
        <stp>VOLUME</stp>
        <stp>.NDX250516C19750</stp>
        <tr r="BE165" s="1"/>
        <tr r="BE165" s="1"/>
      </tp>
      <tp t="s">
        <v>N/A</v>
        <stp/>
        <stp>VOLUME</stp>
        <stp>.NDX250523C19250</stp>
        <tr r="H186" s="2"/>
      </tp>
      <tp>
        <v>3</v>
        <stp/>
        <stp>VOLUME</stp>
        <stp>.NDX250620C20150</stp>
        <tr r="K150" s="2"/>
        <tr r="K150" s="2"/>
      </tp>
      <tp t="s">
        <v>N/A</v>
        <stp/>
        <stp>VOLUME</stp>
        <stp>.NDX250620C19150</stp>
        <tr r="K190" s="2"/>
      </tp>
      <tp t="s">
        <v>N/A</v>
        <stp/>
        <stp>VOLUME</stp>
        <stp>.NDX250523C20250</stp>
        <tr r="H146" s="2"/>
      </tp>
      <tp t="s">
        <v>N/A</v>
        <stp/>
        <stp>VOLUME</stp>
        <stp>.NDX250718C19950</stp>
        <tr r="M158" s="2"/>
      </tp>
      <tp t="s">
        <v>120.13%</v>
        <stp/>
        <stp>IMPL_VOL</stp>
        <stp>.NDXP250507C20375</stp>
        <tr r="EL140" s="1"/>
      </tp>
      <tp t="s">
        <v>--</v>
        <stp/>
        <stp>IMPL_VOL</stp>
        <stp>.NDXP250507C19375</stp>
        <tr r="EL180" s="1"/>
      </tp>
      <tp t="s">
        <v>121.00%</v>
        <stp/>
        <stp>IMPL_VOL</stp>
        <stp>.NDXP250507C20350</stp>
        <tr r="EL141" s="1"/>
      </tp>
      <tp t="s">
        <v>200.21%</v>
        <stp/>
        <stp>IMPL_VOL</stp>
        <stp>.NDXP250507C19350</stp>
        <tr r="EL181" s="1"/>
      </tp>
      <tp t="s">
        <v>205.55%</v>
        <stp/>
        <stp>IMPL_VOL</stp>
        <stp>.NDXP250507C20325</stp>
        <tr r="EL142" s="1"/>
      </tp>
      <tp t="s">
        <v>219.60%</v>
        <stp/>
        <stp>IMPL_VOL</stp>
        <stp>.NDXP250507C19325</stp>
        <tr r="EL182" s="1"/>
      </tp>
      <tp t="s">
        <v>94.19%</v>
        <stp/>
        <stp>IMPL_VOL</stp>
        <stp>.NDXP250507C20300</stp>
        <tr r="EL143" s="1"/>
      </tp>
      <tp t="s">
        <v>--</v>
        <stp/>
        <stp>IMPL_VOL</stp>
        <stp>.NDXP250507C19300</stp>
        <tr r="EL183" s="1"/>
      </tp>
      <tp t="s">
        <v>N/A</v>
        <stp/>
        <stp>VOLUME</stp>
        <stp>.NDX251017P19700</stp>
        <tr r="S168" s="2"/>
      </tp>
      <tp t="s">
        <v>N/A</v>
        <stp/>
        <stp>VOLUME</stp>
        <stp>.NDX251219P19900</stp>
        <tr r="W160" s="2"/>
      </tp>
      <tp t="s">
        <v>N/A</v>
        <stp/>
        <stp>VOLUME</stp>
        <stp>.NDX251121P20100</stp>
        <tr r="U152" s="2"/>
      </tp>
      <tp t="s">
        <v>N/A</v>
        <stp/>
        <stp>VOLUME</stp>
        <stp>.NDX250815P19500</stp>
        <tr r="O176" s="2"/>
      </tp>
      <tp>
        <v>4</v>
        <stp/>
        <stp>VOLUME</stp>
        <stp>.NDX250919P19900</stp>
        <tr r="Q160" s="2"/>
        <tr r="Q160" s="2"/>
      </tp>
      <tp>
        <v>6</v>
        <stp/>
        <stp>VOLUME</stp>
        <stp>.NDX250516P19600</stp>
        <tr r="BF171" s="1"/>
        <tr r="BF171" s="1"/>
      </tp>
      <tp t="s">
        <v>N/A</v>
        <stp/>
        <stp>VOLUME</stp>
        <stp>.NDX250523P19300</stp>
        <tr r="H184" s="2"/>
      </tp>
      <tp>
        <v>22</v>
        <stp/>
        <stp>VOLUME</stp>
        <stp>.NDX250620P20000</stp>
        <tr r="K156" s="2"/>
        <tr r="K156" s="2"/>
      </tp>
      <tp t="s">
        <v>N/A</v>
        <stp/>
        <stp>VOLUME</stp>
        <stp>.NDX250523P20300</stp>
        <tr r="H144" s="2"/>
      </tp>
      <tp t="s">
        <v>N/A</v>
        <stp/>
        <stp>VOLUME</stp>
        <stp>.NDX250718P19800</stp>
        <tr r="M164" s="2"/>
      </tp>
      <tp t="s">
        <v>N/A</v>
        <stp/>
        <stp>VOLUME</stp>
        <stp>.NDX251017P19725</stp>
        <tr r="S167" s="2"/>
      </tp>
      <tp t="s">
        <v>N/A</v>
        <stp/>
        <stp>VOLUME</stp>
        <stp>.NDX251219P19925</stp>
        <tr r="W159" s="2"/>
      </tp>
      <tp t="s">
        <v>N/A</v>
        <stp/>
        <stp>VOLUME</stp>
        <stp>.NDX251121P20125</stp>
        <tr r="U151" s="2"/>
      </tp>
      <tp t="s">
        <v>N/A</v>
        <stp/>
        <stp>VOLUME</stp>
        <stp>.NDX250919P19925</stp>
        <tr r="Q159" s="2"/>
      </tp>
      <tp t="s">
        <v>N/A</v>
        <stp/>
        <stp>VOLUME</stp>
        <stp>.NDX250815P19525</stp>
        <tr r="O175" s="2"/>
      </tp>
      <tp>
        <v>6</v>
        <stp/>
        <stp>VOLUME</stp>
        <stp>.NDX250516P19625</stp>
        <tr r="BF170" s="1"/>
        <tr r="BF170" s="1"/>
      </tp>
      <tp t="s">
        <v>N/A</v>
        <stp/>
        <stp>VOLUME</stp>
        <stp>.NDX250523P19325</stp>
        <tr r="H183" s="2"/>
      </tp>
      <tp>
        <v>2</v>
        <stp/>
        <stp>VOLUME</stp>
        <stp>.NDX250620P20025</stp>
        <tr r="K155" s="2"/>
        <tr r="K155" s="2"/>
      </tp>
      <tp t="s">
        <v>N/A</v>
        <stp/>
        <stp>VOLUME</stp>
        <stp>.NDX250718P19825</stp>
        <tr r="M163" s="2"/>
      </tp>
      <tp t="s">
        <v>N/A</v>
        <stp/>
        <stp>VOLUME</stp>
        <stp>.NDX250523P20325</stp>
        <tr r="H143" s="2"/>
      </tp>
      <tp t="s">
        <v>N/A</v>
        <stp/>
        <stp>VOLUME</stp>
        <stp>.NDX250815P19550</stp>
        <tr r="O174" s="2"/>
      </tp>
      <tp t="s">
        <v>N/A</v>
        <stp/>
        <stp>VOLUME</stp>
        <stp>.NDX250919P19950</stp>
        <tr r="Q158" s="2"/>
      </tp>
      <tp>
        <v>5</v>
        <stp/>
        <stp>VOLUME</stp>
        <stp>.NDX250516P19650</stp>
        <tr r="BF169" s="1"/>
        <tr r="BF169" s="1"/>
      </tp>
      <tp t="s">
        <v>N/A</v>
        <stp/>
        <stp>VOLUME</stp>
        <stp>.NDX250523P19350</stp>
        <tr r="H182" s="2"/>
      </tp>
      <tp t="s">
        <v>N/A</v>
        <stp/>
        <stp>VOLUME</stp>
        <stp>.NDX250620P20050</stp>
        <tr r="K154" s="2"/>
      </tp>
      <tp t="s">
        <v>N/A</v>
        <stp/>
        <stp>VOLUME</stp>
        <stp>.NDX250523P20350</stp>
        <tr r="H142" s="2"/>
      </tp>
      <tp t="s">
        <v>N/A</v>
        <stp/>
        <stp>VOLUME</stp>
        <stp>.NDX250718P19850</stp>
        <tr r="M162" s="2"/>
      </tp>
      <tp t="s">
        <v>N/A</v>
        <stp/>
        <stp>VOLUME</stp>
        <stp>.NDX251017P19750</stp>
        <tr r="S166" s="2"/>
      </tp>
      <tp t="s">
        <v>N/A</v>
        <stp/>
        <stp>VOLUME</stp>
        <stp>.NDX251121P19150</stp>
        <tr r="U190" s="2"/>
      </tp>
      <tp t="s">
        <v>N/A</v>
        <stp/>
        <stp>VOLUME</stp>
        <stp>.NDX251219P19950</stp>
        <tr r="W158" s="2"/>
      </tp>
      <tp t="s">
        <v>N/A</v>
        <stp/>
        <stp>VOLUME</stp>
        <stp>.NDX251121P20150</stp>
        <tr r="U150" s="2"/>
      </tp>
      <tp t="s">
        <v>N/A</v>
        <stp/>
        <stp>VOLUME</stp>
        <stp>.NDX250919P19975</stp>
        <tr r="Q157" s="2"/>
      </tp>
      <tp t="s">
        <v>N/A</v>
        <stp/>
        <stp>VOLUME</stp>
        <stp>.NDX250815P19575</stp>
        <tr r="O173" s="2"/>
      </tp>
      <tp>
        <v>2</v>
        <stp/>
        <stp>VOLUME</stp>
        <stp>.NDX250516P19675</stp>
        <tr r="BF168" s="1"/>
        <tr r="BF168" s="1"/>
      </tp>
      <tp t="s">
        <v>N/A</v>
        <stp/>
        <stp>VOLUME</stp>
        <stp>.NDX250523P19375</stp>
        <tr r="H181" s="2"/>
      </tp>
      <tp t="s">
        <v>N/A</v>
        <stp/>
        <stp>VOLUME</stp>
        <stp>.NDX250620P20075</stp>
        <tr r="K153" s="2"/>
      </tp>
      <tp t="s">
        <v>N/A</v>
        <stp/>
        <stp>VOLUME</stp>
        <stp>.NDX250718P19875</stp>
        <tr r="M161" s="2"/>
      </tp>
      <tp t="s">
        <v>N/A</v>
        <stp/>
        <stp>VOLUME</stp>
        <stp>.NDX250523P20375</stp>
        <tr r="H141" s="2"/>
      </tp>
      <tp t="s">
        <v>N/A</v>
        <stp/>
        <stp>VOLUME</stp>
        <stp>.NDX251121P19175</stp>
        <tr r="U189" s="2"/>
      </tp>
      <tp t="s">
        <v>N/A</v>
        <stp/>
        <stp>VOLUME</stp>
        <stp>.NDX251017P19775</stp>
        <tr r="S165" s="2"/>
      </tp>
      <tp t="s">
        <v>N/A</v>
        <stp/>
        <stp>VOLUME</stp>
        <stp>.NDX251219P19975</stp>
        <tr r="W157" s="2"/>
      </tp>
      <tp t="s">
        <v>N/A</v>
        <stp/>
        <stp>VOLUME</stp>
        <stp>.NDX251121P20175</stp>
        <tr r="U149" s="2"/>
      </tp>
      <tp t="s">
        <v>164.68%</v>
        <stp/>
        <stp>IMPL_VOL</stp>
        <stp>.NDXP250507P20350</stp>
        <tr r="EM141" s="1"/>
      </tp>
      <tp t="s">
        <v>232.05%</v>
        <stp/>
        <stp>IMPL_VOL</stp>
        <stp>.NDXP250507P19350</stp>
        <tr r="EM181" s="1"/>
      </tp>
      <tp t="s">
        <v>176.84%</v>
        <stp/>
        <stp>IMPL_VOL</stp>
        <stp>.NDXP250507P20375</stp>
        <tr r="EM140" s="1"/>
      </tp>
      <tp t="s">
        <v>223.20%</v>
        <stp/>
        <stp>IMPL_VOL</stp>
        <stp>.NDXP250507P19375</stp>
        <tr r="EM180" s="1"/>
      </tp>
      <tp t="s">
        <v>--</v>
        <stp/>
        <stp>IMPL_VOL</stp>
        <stp>.NDXP250507P20300</stp>
        <tr r="EM143" s="1"/>
      </tp>
      <tp t="s">
        <v>183.66%</v>
        <stp/>
        <stp>IMPL_VOL</stp>
        <stp>.NDXP250507P19300</stp>
        <tr r="EM183" s="1"/>
      </tp>
      <tp t="s">
        <v>162.47%</v>
        <stp/>
        <stp>IMPL_VOL</stp>
        <stp>.NDXP250507P20325</stp>
        <tr r="EM142" s="1"/>
      </tp>
      <tp t="s">
        <v>240.86%</v>
        <stp/>
        <stp>IMPL_VOL</stp>
        <stp>.NDXP250507P19325</stp>
        <tr r="EM182" s="1"/>
      </tp>
      <tp t="s">
        <v>N/A</v>
        <stp/>
        <stp>VOLUME</stp>
        <stp>.NDX250919C19925</stp>
        <tr r="Q159" s="2"/>
      </tp>
      <tp t="s">
        <v>N/A</v>
        <stp/>
        <stp>VOLUME</stp>
        <stp>.NDX250815C19525</stp>
        <tr r="O175" s="2"/>
      </tp>
      <tp t="s">
        <v>N/A</v>
        <stp/>
        <stp>VOLUME</stp>
        <stp>.NDX250516C19625</stp>
        <tr r="BE170" s="1"/>
      </tp>
      <tp t="s">
        <v>N/A</v>
        <stp/>
        <stp>VOLUME</stp>
        <stp>.NDX250523C19325</stp>
        <tr r="H183" s="2"/>
      </tp>
      <tp>
        <v>27</v>
        <stp/>
        <stp>VOLUME</stp>
        <stp>.NDX250620C20025</stp>
        <tr r="K155" s="2"/>
        <tr r="K155" s="2"/>
      </tp>
      <tp t="s">
        <v>N/A</v>
        <stp/>
        <stp>VOLUME</stp>
        <stp>.NDX250718C19825</stp>
        <tr r="M163" s="2"/>
      </tp>
      <tp t="s">
        <v>N/A</v>
        <stp/>
        <stp>VOLUME</stp>
        <stp>.NDX250523C20325</stp>
        <tr r="H143" s="2"/>
      </tp>
      <tp t="s">
        <v>N/A</v>
        <stp/>
        <stp>VOLUME</stp>
        <stp>.NDX251017C19725</stp>
        <tr r="S167" s="2"/>
      </tp>
      <tp t="s">
        <v>N/A</v>
        <stp/>
        <stp>VOLUME</stp>
        <stp>.NDX251219C19925</stp>
        <tr r="W159" s="2"/>
      </tp>
      <tp t="s">
        <v>N/A</v>
        <stp/>
        <stp>VOLUME</stp>
        <stp>.NDX251121C20125</stp>
        <tr r="U151" s="2"/>
      </tp>
      <tp t="s">
        <v>N/A</v>
        <stp/>
        <stp>VOLUME</stp>
        <stp>.NDX250815C19500</stp>
        <tr r="O176" s="2"/>
      </tp>
      <tp>
        <v>4</v>
        <stp/>
        <stp>VOLUME</stp>
        <stp>.NDX250919C19900</stp>
        <tr r="Q160" s="2"/>
        <tr r="Q160" s="2"/>
      </tp>
      <tp t="s">
        <v>N/A</v>
        <stp/>
        <stp>VOLUME</stp>
        <stp>.NDX250516C19600</stp>
        <tr r="BE171" s="1"/>
      </tp>
      <tp t="s">
        <v>N/A</v>
        <stp/>
        <stp>VOLUME</stp>
        <stp>.NDX250523C19300</stp>
        <tr r="H184" s="2"/>
      </tp>
      <tp>
        <v>4</v>
        <stp/>
        <stp>VOLUME</stp>
        <stp>.NDX250620C20000</stp>
        <tr r="K156" s="2"/>
        <tr r="K156" s="2"/>
      </tp>
      <tp t="s">
        <v>N/A</v>
        <stp/>
        <stp>VOLUME</stp>
        <stp>.NDX250523C20300</stp>
        <tr r="H144" s="2"/>
      </tp>
      <tp t="s">
        <v>N/A</v>
        <stp/>
        <stp>VOLUME</stp>
        <stp>.NDX250718C19800</stp>
        <tr r="M164" s="2"/>
      </tp>
      <tp t="s">
        <v>N/A</v>
        <stp/>
        <stp>VOLUME</stp>
        <stp>.NDX251017C19700</stp>
        <tr r="S168" s="2"/>
      </tp>
      <tp t="s">
        <v>N/A</v>
        <stp/>
        <stp>VOLUME</stp>
        <stp>.NDX251219C19900</stp>
        <tr r="W160" s="2"/>
      </tp>
      <tp t="s">
        <v>N/A</v>
        <stp/>
        <stp>VOLUME</stp>
        <stp>.NDX251121C20100</stp>
        <tr r="U152" s="2"/>
      </tp>
      <tp t="s">
        <v>N/A</v>
        <stp/>
        <stp>VOLUME</stp>
        <stp>.NDX251121C19175</stp>
        <tr r="U189" s="2"/>
      </tp>
      <tp t="s">
        <v>N/A</v>
        <stp/>
        <stp>VOLUME</stp>
        <stp>.NDX251017C19775</stp>
        <tr r="S165" s="2"/>
      </tp>
      <tp t="s">
        <v>N/A</v>
        <stp/>
        <stp>VOLUME</stp>
        <stp>.NDX251219C19975</stp>
        <tr r="W157" s="2"/>
      </tp>
      <tp t="s">
        <v>N/A</v>
        <stp/>
        <stp>VOLUME</stp>
        <stp>.NDX251121C20175</stp>
        <tr r="U149" s="2"/>
      </tp>
      <tp t="s">
        <v>N/A</v>
        <stp/>
        <stp>VOLUME</stp>
        <stp>.NDX250919C19975</stp>
        <tr r="Q157" s="2"/>
      </tp>
      <tp t="s">
        <v>N/A</v>
        <stp/>
        <stp>VOLUME</stp>
        <stp>.NDX250815C19575</stp>
        <tr r="O173" s="2"/>
      </tp>
      <tp>
        <v>10</v>
        <stp/>
        <stp>VOLUME</stp>
        <stp>.NDX250516C19675</stp>
        <tr r="BE168" s="1"/>
        <tr r="BE168" s="1"/>
      </tp>
      <tp t="s">
        <v>N/A</v>
        <stp/>
        <stp>VOLUME</stp>
        <stp>.NDX250523C19375</stp>
        <tr r="H181" s="2"/>
      </tp>
      <tp>
        <v>1</v>
        <stp/>
        <stp>VOLUME</stp>
        <stp>.NDX250620C20075</stp>
        <tr r="K153" s="2"/>
        <tr r="K153" s="2"/>
      </tp>
      <tp t="s">
        <v>N/A</v>
        <stp/>
        <stp>VOLUME</stp>
        <stp>.NDX250718C19875</stp>
        <tr r="M161" s="2"/>
      </tp>
      <tp t="s">
        <v>N/A</v>
        <stp/>
        <stp>VOLUME</stp>
        <stp>.NDX250523C20375</stp>
        <tr r="H141" s="2"/>
      </tp>
      <tp t="s">
        <v>N/A</v>
        <stp/>
        <stp>VOLUME</stp>
        <stp>.NDX251017C19750</stp>
        <tr r="S166" s="2"/>
      </tp>
      <tp t="s">
        <v>N/A</v>
        <stp/>
        <stp>VOLUME</stp>
        <stp>.NDX251121C19150</stp>
        <tr r="U190" s="2"/>
      </tp>
      <tp t="s">
        <v>N/A</v>
        <stp/>
        <stp>VOLUME</stp>
        <stp>.NDX251219C19950</stp>
        <tr r="W158" s="2"/>
      </tp>
      <tp t="s">
        <v>N/A</v>
        <stp/>
        <stp>VOLUME</stp>
        <stp>.NDX251121C20150</stp>
        <tr r="U150" s="2"/>
      </tp>
      <tp t="s">
        <v>N/A</v>
        <stp/>
        <stp>VOLUME</stp>
        <stp>.NDX250815C19550</stp>
        <tr r="O174" s="2"/>
      </tp>
      <tp t="s">
        <v>N/A</v>
        <stp/>
        <stp>VOLUME</stp>
        <stp>.NDX250919C19950</stp>
        <tr r="Q158" s="2"/>
      </tp>
      <tp>
        <v>3</v>
        <stp/>
        <stp>VOLUME</stp>
        <stp>.NDX250516C19650</stp>
        <tr r="BE169" s="1"/>
        <tr r="BE169" s="1"/>
      </tp>
      <tp t="s">
        <v>N/A</v>
        <stp/>
        <stp>VOLUME</stp>
        <stp>.NDX250523C19350</stp>
        <tr r="H182" s="2"/>
      </tp>
      <tp>
        <v>30</v>
        <stp/>
        <stp>VOLUME</stp>
        <stp>.NDX250620C20050</stp>
        <tr r="K154" s="2"/>
        <tr r="K154" s="2"/>
      </tp>
      <tp t="s">
        <v>N/A</v>
        <stp/>
        <stp>VOLUME</stp>
        <stp>.NDX250523C20350</stp>
        <tr r="H142" s="2"/>
      </tp>
      <tp t="s">
        <v>N/A</v>
        <stp/>
        <stp>VOLUME</stp>
        <stp>.NDX250718C19850</stp>
        <tr r="M162" s="2"/>
      </tp>
      <tp t="e">
        <v>#N/A</v>
        <stp/>
        <stp>MARK</stp>
        <stp/>
        <tr r="G44" s="1"/>
      </tp>
      <tp t="s">
        <v>--</v>
        <stp/>
        <stp>IMPL_VOL</stp>
        <stp>.NDXP250507C19475</stp>
        <tr r="EL176" s="1"/>
      </tp>
      <tp t="s">
        <v>247.13%</v>
        <stp/>
        <stp>IMPL_VOL</stp>
        <stp>.NDXP250507C20450</stp>
        <tr r="EL137" s="1"/>
      </tp>
      <tp t="s">
        <v>140.19%</v>
        <stp/>
        <stp>IMPL_VOL</stp>
        <stp>.NDXP250507C19450</stp>
        <tr r="EL177" s="1"/>
      </tp>
      <tp t="s">
        <v>238.95%</v>
        <stp/>
        <stp>IMPL_VOL</stp>
        <stp>.NDXP250507C20425</stp>
        <tr r="EL138" s="1"/>
      </tp>
      <tp t="s">
        <v>152.83%</v>
        <stp/>
        <stp>IMPL_VOL</stp>
        <stp>.NDXP250507C19425</stp>
        <tr r="EL178" s="1"/>
      </tp>
      <tp t="s">
        <v>107.63%</v>
        <stp/>
        <stp>IMPL_VOL</stp>
        <stp>.NDXP250507C20400</stp>
        <tr r="EL139" s="1"/>
      </tp>
      <tp t="s">
        <v>--</v>
        <stp/>
        <stp>IMPL_VOL</stp>
        <stp>.NDXP250507C19400</stp>
        <tr r="EL179" s="1"/>
      </tp>
      <tp t="s">
        <v>N/A</v>
        <stp/>
        <stp>VOLUME</stp>
        <stp>.NDX251121P19600</stp>
        <tr r="U172" s="2"/>
      </tp>
      <tp t="s">
        <v>N/A</v>
        <stp/>
        <stp>VOLUME</stp>
        <stp>.NDX251017P20000</stp>
        <tr r="S156" s="2"/>
      </tp>
      <tp t="s">
        <v>N/A</v>
        <stp/>
        <stp>VOLUME</stp>
        <stp>.NDX250815P19200</stp>
        <tr r="O188" s="2"/>
      </tp>
      <tp>
        <v>1</v>
        <stp/>
        <stp>VOLUME</stp>
        <stp>.NDX250815P20200</stp>
        <tr r="O148" s="2"/>
        <tr r="O148" s="2"/>
      </tp>
      <tp t="s">
        <v>N/A</v>
        <stp/>
        <stp>VOLUME</stp>
        <stp>.NDX250523P19400</stp>
        <tr r="H180" s="2"/>
      </tp>
      <tp>
        <v>4</v>
        <stp/>
        <stp>VOLUME</stp>
        <stp>.NDX250620P19700</stp>
        <tr r="K168" s="2"/>
        <tr r="K168" s="2"/>
      </tp>
      <tp>
        <v>25</v>
        <stp/>
        <stp>VOLUME</stp>
        <stp>.NDX250516P20100</stp>
        <tr r="BF151" s="1"/>
        <tr r="BF151" s="1"/>
      </tp>
      <tp t="s">
        <v>N/A</v>
        <stp/>
        <stp>VOLUME</stp>
        <stp>.NDX250523P20400</stp>
        <tr r="H140" s="2"/>
      </tp>
      <tp t="s">
        <v>N/A</v>
        <stp/>
        <stp>VOLUME</stp>
        <stp>.NDX251121P19625</stp>
        <tr r="U171" s="2"/>
      </tp>
      <tp t="s">
        <v>N/A</v>
        <stp/>
        <stp>VOLUME</stp>
        <stp>.NDX251017P20025</stp>
        <tr r="S155" s="2"/>
      </tp>
      <tp t="s">
        <v>N/A</v>
        <stp/>
        <stp>VOLUME</stp>
        <stp>.NDX250815P19225</stp>
        <tr r="O187" s="2"/>
      </tp>
      <tp t="s">
        <v>N/A</v>
        <stp/>
        <stp>VOLUME</stp>
        <stp>.NDX250815P20225</stp>
        <tr r="O147" s="2"/>
      </tp>
      <tp t="s">
        <v>N/A</v>
        <stp/>
        <stp>VOLUME</stp>
        <stp>.NDX250523P19425</stp>
        <tr r="H179" s="2"/>
      </tp>
      <tp>
        <v>1</v>
        <stp/>
        <stp>VOLUME</stp>
        <stp>.NDX250620P19725</stp>
        <tr r="K167" s="2"/>
        <tr r="K167" s="2"/>
      </tp>
      <tp>
        <v>21</v>
        <stp/>
        <stp>VOLUME</stp>
        <stp>.NDX250516P20125</stp>
        <tr r="BF150" s="1"/>
        <tr r="BF150" s="1"/>
      </tp>
      <tp t="s">
        <v>N/A</v>
        <stp/>
        <stp>VOLUME</stp>
        <stp>.NDX250523P20425</stp>
        <tr r="H139" s="2"/>
      </tp>
      <tp t="s">
        <v>N/A</v>
        <stp/>
        <stp>VOLUME</stp>
        <stp>.NDX250815P19250</stp>
        <tr r="O186" s="2"/>
      </tp>
      <tp t="s">
        <v>N/A</v>
        <stp/>
        <stp>VOLUME</stp>
        <stp>.NDX250815P20250</stp>
        <tr r="O146" s="2"/>
      </tp>
      <tp>
        <v>1</v>
        <stp/>
        <stp>VOLUME</stp>
        <stp>.NDX250516P19150</stp>
        <tr r="BF189" s="1"/>
        <tr r="BF189" s="1"/>
      </tp>
      <tp t="s">
        <v>N/A</v>
        <stp/>
        <stp>VOLUME</stp>
        <stp>.NDX250523P19450</stp>
        <tr r="H178" s="2"/>
      </tp>
      <tp>
        <v>4</v>
        <stp/>
        <stp>VOLUME</stp>
        <stp>.NDX250620P19750</stp>
        <tr r="K166" s="2"/>
        <tr r="K166" s="2"/>
      </tp>
      <tp t="s">
        <v>N/A</v>
        <stp/>
        <stp>VOLUME</stp>
        <stp>.NDX250516P20150</stp>
        <tr r="BF149" s="1"/>
      </tp>
      <tp t="s">
        <v>N/A</v>
        <stp/>
        <stp>VOLUME</stp>
        <stp>.NDX250523P20450</stp>
        <tr r="H138" s="2"/>
      </tp>
      <tp t="s">
        <v>N/A</v>
        <stp/>
        <stp>VOLUME</stp>
        <stp>.NDX251121P19650</stp>
        <tr r="U170" s="2"/>
      </tp>
      <tp t="s">
        <v>N/A</v>
        <stp/>
        <stp>VOLUME</stp>
        <stp>.NDX251017P20050</stp>
        <tr r="S154" s="2"/>
      </tp>
      <tp t="s">
        <v>N/A</v>
        <stp/>
        <stp>VOLUME</stp>
        <stp>.NDX250815P19275</stp>
        <tr r="O185" s="2"/>
      </tp>
      <tp t="s">
        <v>N/A</v>
        <stp/>
        <stp>VOLUME</stp>
        <stp>.NDX250815P20275</stp>
        <tr r="O145" s="2"/>
      </tp>
      <tp t="s">
        <v>N/A</v>
        <stp/>
        <stp>VOLUME</stp>
        <stp>.NDX250516P19175</stp>
        <tr r="BF188" s="1"/>
      </tp>
      <tp t="s">
        <v>N/A</v>
        <stp/>
        <stp>VOLUME</stp>
        <stp>.NDX250523P19475</stp>
        <tr r="H177" s="2"/>
      </tp>
      <tp>
        <v>2</v>
        <stp/>
        <stp>VOLUME</stp>
        <stp>.NDX250620P19775</stp>
        <tr r="K165" s="2"/>
        <tr r="K165" s="2"/>
      </tp>
      <tp t="s">
        <v>N/A</v>
        <stp/>
        <stp>VOLUME</stp>
        <stp>.NDX250516P20175</stp>
        <tr r="BF148" s="1"/>
      </tp>
      <tp t="s">
        <v>N/A</v>
        <stp/>
        <stp>VOLUME</stp>
        <stp>.NDX251121P19675</stp>
        <tr r="U169" s="2"/>
      </tp>
      <tp t="s">
        <v>N/A</v>
        <stp/>
        <stp>VOLUME</stp>
        <stp>.NDX251017P20075</stp>
        <tr r="S153" s="2"/>
      </tp>
      <tp t="s">
        <v>205.44%</v>
        <stp/>
        <stp>IMPL_VOL</stp>
        <stp>.NDXP250507P20450</stp>
        <tr r="EM137" s="1"/>
      </tp>
      <tp t="s">
        <v>196.28%</v>
        <stp/>
        <stp>IMPL_VOL</stp>
        <stp>.NDXP250507P19450</stp>
        <tr r="EM177" s="1"/>
      </tp>
      <tp t="s">
        <v>187.18%</v>
        <stp/>
        <stp>IMPL_VOL</stp>
        <stp>.NDXP250507P19475</stp>
        <tr r="EM176" s="1"/>
      </tp>
      <tp t="s">
        <v>178.63%</v>
        <stp/>
        <stp>IMPL_VOL</stp>
        <stp>.NDXP250507P20400</stp>
        <tr r="EM139" s="1"/>
      </tp>
      <tp t="s">
        <v>98.05%</v>
        <stp/>
        <stp>IMPL_VOL</stp>
        <stp>.NDXP250507P19400</stp>
        <tr r="EM179" s="1"/>
      </tp>
      <tp t="s">
        <v>212.37%</v>
        <stp/>
        <stp>IMPL_VOL</stp>
        <stp>.NDXP250507P20425</stp>
        <tr r="EM138" s="1"/>
      </tp>
      <tp t="s">
        <v>205.32%</v>
        <stp/>
        <stp>IMPL_VOL</stp>
        <stp>.NDXP250507P19425</stp>
        <tr r="EM178" s="1"/>
      </tp>
      <tp t="s">
        <v>N/A</v>
        <stp/>
        <stp>VOLUME</stp>
        <stp>.NDX250815C19225</stp>
        <tr r="O187" s="2"/>
      </tp>
      <tp t="s">
        <v>N/A</v>
        <stp/>
        <stp>VOLUME</stp>
        <stp>.NDX250815C20225</stp>
        <tr r="O147" s="2"/>
      </tp>
      <tp t="s">
        <v>N/A</v>
        <stp/>
        <stp>VOLUME</stp>
        <stp>.NDX250523C19425</stp>
        <tr r="H179" s="2"/>
      </tp>
      <tp>
        <v>5</v>
        <stp/>
        <stp>VOLUME</stp>
        <stp>.NDX250620C19725</stp>
        <tr r="K167" s="2"/>
        <tr r="K167" s="2"/>
      </tp>
      <tp>
        <v>26</v>
        <stp/>
        <stp>VOLUME</stp>
        <stp>.NDX250516C20125</stp>
        <tr r="BE150" s="1"/>
        <tr r="BE150" s="1"/>
      </tp>
      <tp t="s">
        <v>N/A</v>
        <stp/>
        <stp>VOLUME</stp>
        <stp>.NDX250523C20425</stp>
        <tr r="H139" s="2"/>
      </tp>
      <tp t="s">
        <v>N/A</v>
        <stp/>
        <stp>VOLUME</stp>
        <stp>.NDX251121C19625</stp>
        <tr r="U171" s="2"/>
      </tp>
      <tp t="s">
        <v>N/A</v>
        <stp/>
        <stp>VOLUME</stp>
        <stp>.NDX251017C20025</stp>
        <tr r="S155" s="2"/>
      </tp>
      <tp t="s">
        <v>N/A</v>
        <stp/>
        <stp>VOLUME</stp>
        <stp>.NDX250815C19200</stp>
        <tr r="O188" s="2"/>
      </tp>
      <tp>
        <v>1</v>
        <stp/>
        <stp>VOLUME</stp>
        <stp>.NDX250815C20200</stp>
        <tr r="O148" s="2"/>
        <tr r="O148" s="2"/>
      </tp>
      <tp t="s">
        <v>N/A</v>
        <stp/>
        <stp>VOLUME</stp>
        <stp>.NDX250523C19400</stp>
        <tr r="H180" s="2"/>
      </tp>
      <tp t="s">
        <v>N/A</v>
        <stp/>
        <stp>VOLUME</stp>
        <stp>.NDX250620C19700</stp>
        <tr r="K168" s="2"/>
      </tp>
      <tp>
        <v>25</v>
        <stp/>
        <stp>VOLUME</stp>
        <stp>.NDX250516C20100</stp>
        <tr r="BE151" s="1"/>
        <tr r="BE151" s="1"/>
      </tp>
      <tp t="s">
        <v>N/A</v>
        <stp/>
        <stp>VOLUME</stp>
        <stp>.NDX250523C20400</stp>
        <tr r="H140" s="2"/>
      </tp>
      <tp t="s">
        <v>N/A</v>
        <stp/>
        <stp>VOLUME</stp>
        <stp>.NDX251121C19600</stp>
        <tr r="U172" s="2"/>
      </tp>
      <tp t="s">
        <v>N/A</v>
        <stp/>
        <stp>VOLUME</stp>
        <stp>.NDX251017C20000</stp>
        <tr r="S156" s="2"/>
      </tp>
      <tp t="s">
        <v>N/A</v>
        <stp/>
        <stp>VOLUME</stp>
        <stp>.NDX251121C19675</stp>
        <tr r="U169" s="2"/>
      </tp>
      <tp t="s">
        <v>N/A</v>
        <stp/>
        <stp>VOLUME</stp>
        <stp>.NDX251017C20075</stp>
        <tr r="S153" s="2"/>
      </tp>
      <tp t="s">
        <v>N/A</v>
        <stp/>
        <stp>VOLUME</stp>
        <stp>.NDX250815C19275</stp>
        <tr r="O185" s="2"/>
      </tp>
      <tp t="s">
        <v>N/A</v>
        <stp/>
        <stp>VOLUME</stp>
        <stp>.NDX250815C20275</stp>
        <tr r="O145" s="2"/>
      </tp>
      <tp t="s">
        <v>N/A</v>
        <stp/>
        <stp>VOLUME</stp>
        <stp>.NDX250516C19175</stp>
        <tr r="BE188" s="1"/>
      </tp>
      <tp t="s">
        <v>N/A</v>
        <stp/>
        <stp>VOLUME</stp>
        <stp>.NDX250523C19475</stp>
        <tr r="H177" s="2"/>
      </tp>
      <tp t="s">
        <v>N/A</v>
        <stp/>
        <stp>VOLUME</stp>
        <stp>.NDX250620C19775</stp>
        <tr r="K165" s="2"/>
      </tp>
      <tp>
        <v>3</v>
        <stp/>
        <stp>VOLUME</stp>
        <stp>.NDX250516C20175</stp>
        <tr r="BE148" s="1"/>
        <tr r="BE148" s="1"/>
      </tp>
      <tp t="s">
        <v>N/A</v>
        <stp/>
        <stp>VOLUME</stp>
        <stp>.NDX251121C19650</stp>
        <tr r="U170" s="2"/>
      </tp>
      <tp t="s">
        <v>N/A</v>
        <stp/>
        <stp>VOLUME</stp>
        <stp>.NDX251017C20050</stp>
        <tr r="S154" s="2"/>
      </tp>
      <tp t="s">
        <v>N/A</v>
        <stp/>
        <stp>VOLUME</stp>
        <stp>.NDX250815C19250</stp>
        <tr r="O186" s="2"/>
      </tp>
      <tp t="s">
        <v>N/A</v>
        <stp/>
        <stp>VOLUME</stp>
        <stp>.NDX250815C20250</stp>
        <tr r="O146" s="2"/>
      </tp>
      <tp t="s">
        <v>N/A</v>
        <stp/>
        <stp>VOLUME</stp>
        <stp>.NDX250516C19150</stp>
        <tr r="BE189" s="1"/>
      </tp>
      <tp t="s">
        <v>N/A</v>
        <stp/>
        <stp>VOLUME</stp>
        <stp>.NDX250523C19450</stp>
        <tr r="H178" s="2"/>
      </tp>
      <tp>
        <v>1</v>
        <stp/>
        <stp>VOLUME</stp>
        <stp>.NDX250620C19750</stp>
        <tr r="K166" s="2"/>
        <tr r="K166" s="2"/>
      </tp>
      <tp>
        <v>3</v>
        <stp/>
        <stp>VOLUME</stp>
        <stp>.NDX250516C20150</stp>
        <tr r="BE149" s="1"/>
        <tr r="BE149" s="1"/>
      </tp>
      <tp t="s">
        <v>N/A</v>
        <stp/>
        <stp>VOLUME</stp>
        <stp>.NDX250523C20450</stp>
        <tr r="H138" s="2"/>
      </tp>
      <tp t="s">
        <v>--</v>
        <stp/>
        <stp>IMPL_VOL</stp>
        <stp>.NDXP250507C19575</stp>
        <tr r="EL172" s="1"/>
      </tp>
      <tp t="s">
        <v>--</v>
        <stp/>
        <stp>IMPL_VOL</stp>
        <stp>.NDXP250507C19550</stp>
        <tr r="EL173" s="1"/>
      </tp>
      <tp t="s">
        <v>--</v>
        <stp/>
        <stp>IMPL_VOL</stp>
        <stp>.NDXP250507C19525</stp>
        <tr r="EL174" s="1"/>
      </tp>
      <tp t="s">
        <v>--</v>
        <stp/>
        <stp>IMPL_VOL</stp>
        <stp>.NDXP250507C19500</stp>
        <tr r="EL175" s="1"/>
      </tp>
      <tp>
        <v>2</v>
        <stp/>
        <stp>VOLUME</stp>
        <stp>.NDX251121P19700</stp>
        <tr r="U168" s="2"/>
        <tr r="U168" s="2"/>
      </tp>
      <tp t="s">
        <v>N/A</v>
        <stp/>
        <stp>VOLUME</stp>
        <stp>.NDX251017P20100</stp>
        <tr r="S152" s="2"/>
      </tp>
      <tp t="s">
        <v>N/A</v>
        <stp/>
        <stp>VOLUME</stp>
        <stp>.NDX250815P19300</stp>
        <tr r="O184" s="2"/>
      </tp>
      <tp t="s">
        <v>N/A</v>
        <stp/>
        <stp>VOLUME</stp>
        <stp>.NDX250815P20300</stp>
        <tr r="O144" s="2"/>
      </tp>
      <tp t="s">
        <v>N/A</v>
        <stp/>
        <stp>VOLUME</stp>
        <stp>.NDX250523P19500</stp>
        <tr r="H176" s="2"/>
      </tp>
      <tp>
        <v>1</v>
        <stp/>
        <stp>VOLUME</stp>
        <stp>.NDX250620P19600</stp>
        <tr r="K172" s="2"/>
        <tr r="K172" s="2"/>
      </tp>
      <tp>
        <v>12</v>
        <stp/>
        <stp>VOLUME</stp>
        <stp>.NDX250516P20000</stp>
        <tr r="BF155" s="1"/>
        <tr r="BF155" s="1"/>
      </tp>
      <tp t="s">
        <v>N/A</v>
        <stp/>
        <stp>VOLUME</stp>
        <stp>.NDX251121P19725</stp>
        <tr r="U167" s="2"/>
      </tp>
      <tp t="s">
        <v>N/A</v>
        <stp/>
        <stp>VOLUME</stp>
        <stp>.NDX251017P20125</stp>
        <tr r="S151" s="2"/>
      </tp>
      <tp t="s">
        <v>N/A</v>
        <stp/>
        <stp>VOLUME</stp>
        <stp>.NDX250815P19325</stp>
        <tr r="O183" s="2"/>
      </tp>
      <tp t="s">
        <v>N/A</v>
        <stp/>
        <stp>VOLUME</stp>
        <stp>.NDX250815P20325</stp>
        <tr r="O143" s="2"/>
      </tp>
      <tp t="s">
        <v>N/A</v>
        <stp/>
        <stp>VOLUME</stp>
        <stp>.NDX250523P19525</stp>
        <tr r="H175" s="2"/>
      </tp>
      <tp>
        <v>1</v>
        <stp/>
        <stp>VOLUME</stp>
        <stp>.NDX250620P19625</stp>
        <tr r="K171" s="2"/>
        <tr r="K171" s="2"/>
      </tp>
      <tp>
        <v>1</v>
        <stp/>
        <stp>VOLUME</stp>
        <stp>.NDX250516P20025</stp>
        <tr r="BF154" s="1"/>
        <tr r="BF154" s="1"/>
      </tp>
      <tp t="s">
        <v>N/A</v>
        <stp/>
        <stp>VOLUME</stp>
        <stp>.NDX250815P19350</stp>
        <tr r="O182" s="2"/>
      </tp>
      <tp t="s">
        <v>N/A</v>
        <stp/>
        <stp>VOLUME</stp>
        <stp>.NDX250815P20350</stp>
        <tr r="O142" s="2"/>
      </tp>
      <tp t="s">
        <v>N/A</v>
        <stp/>
        <stp>VOLUME</stp>
        <stp>.NDX250523P19550</stp>
        <tr r="H174" s="2"/>
      </tp>
      <tp t="s">
        <v>N/A</v>
        <stp/>
        <stp>VOLUME</stp>
        <stp>.NDX250620P19650</stp>
        <tr r="K170" s="2"/>
      </tp>
      <tp>
        <v>2</v>
        <stp/>
        <stp>VOLUME</stp>
        <stp>.NDX250516P20050</stp>
        <tr r="BF153" s="1"/>
        <tr r="BF153" s="1"/>
      </tp>
      <tp t="s">
        <v>N/A</v>
        <stp/>
        <stp>VOLUME</stp>
        <stp>.NDX251017P19150</stp>
        <tr r="S190" s="2"/>
      </tp>
      <tp t="s">
        <v>N/A</v>
        <stp/>
        <stp>VOLUME</stp>
        <stp>.NDX251121P19750</stp>
        <tr r="U166" s="2"/>
      </tp>
      <tp t="s">
        <v>N/A</v>
        <stp/>
        <stp>VOLUME</stp>
        <stp>.NDX251017P20150</stp>
        <tr r="S150" s="2"/>
      </tp>
      <tp t="s">
        <v>N/A</v>
        <stp/>
        <stp>VOLUME</stp>
        <stp>.NDX250815P19375</stp>
        <tr r="O181" s="2"/>
      </tp>
      <tp t="s">
        <v>N/A</v>
        <stp/>
        <stp>VOLUME</stp>
        <stp>.NDX250815P20375</stp>
        <tr r="O141" s="2"/>
      </tp>
      <tp t="s">
        <v>N/A</v>
        <stp/>
        <stp>VOLUME</stp>
        <stp>.NDX250523P19575</stp>
        <tr r="H173" s="2"/>
      </tp>
      <tp t="s">
        <v>N/A</v>
        <stp/>
        <stp>VOLUME</stp>
        <stp>.NDX250620P19675</stp>
        <tr r="K169" s="2"/>
      </tp>
      <tp t="s">
        <v>N/A</v>
        <stp/>
        <stp>VOLUME</stp>
        <stp>.NDX250516P20075</stp>
        <tr r="BF152" s="1"/>
      </tp>
      <tp t="s">
        <v>N/A</v>
        <stp/>
        <stp>VOLUME</stp>
        <stp>.NDX251121P19775</stp>
        <tr r="U165" s="2"/>
      </tp>
      <tp t="s">
        <v>N/A</v>
        <stp/>
        <stp>VOLUME</stp>
        <stp>.NDX251017P19175</stp>
        <tr r="S189" s="2"/>
      </tp>
      <tp t="s">
        <v>N/A</v>
        <stp/>
        <stp>VOLUME</stp>
        <stp>.NDX251017P20175</stp>
        <tr r="S149" s="2"/>
      </tp>
      <tp t="s">
        <v>159.37%</v>
        <stp/>
        <stp>IMPL_VOL</stp>
        <stp>.NDXP250507P19550</stp>
        <tr r="EM173" s="1"/>
      </tp>
      <tp t="s">
        <v>71.84%</v>
        <stp/>
        <stp>IMPL_VOL</stp>
        <stp>.NDXP250507P19575</stp>
        <tr r="EM172" s="1"/>
      </tp>
      <tp t="s">
        <v>90.36%</v>
        <stp/>
        <stp>IMPL_VOL</stp>
        <stp>.NDXP250507P19500</stp>
        <tr r="EM175" s="1"/>
      </tp>
      <tp t="s">
        <v>168.73%</v>
        <stp/>
        <stp>IMPL_VOL</stp>
        <stp>.NDXP250507P19525</stp>
        <tr r="EM174" s="1"/>
      </tp>
      <tp t="s">
        <v>N/A</v>
        <stp/>
        <stp>VOLUME</stp>
        <stp>.NDX250815C19325</stp>
        <tr r="O183" s="2"/>
      </tp>
      <tp t="s">
        <v>N/A</v>
        <stp/>
        <stp>VOLUME</stp>
        <stp>.NDX250815C20325</stp>
        <tr r="O143" s="2"/>
      </tp>
      <tp t="s">
        <v>N/A</v>
        <stp/>
        <stp>VOLUME</stp>
        <stp>.NDX250523C19525</stp>
        <tr r="H175" s="2"/>
      </tp>
      <tp t="s">
        <v>N/A</v>
        <stp/>
        <stp>VOLUME</stp>
        <stp>.NDX250620C19625</stp>
        <tr r="K171" s="2"/>
      </tp>
      <tp>
        <v>1</v>
        <stp/>
        <stp>VOLUME</stp>
        <stp>.NDX250516C20025</stp>
        <tr r="BE154" s="1"/>
        <tr r="BE154" s="1"/>
      </tp>
      <tp t="s">
        <v>N/A</v>
        <stp/>
        <stp>VOLUME</stp>
        <stp>.NDX251121C19725</stp>
        <tr r="U167" s="2"/>
      </tp>
      <tp t="s">
        <v>N/A</v>
        <stp/>
        <stp>VOLUME</stp>
        <stp>.NDX251017C20125</stp>
        <tr r="S151" s="2"/>
      </tp>
      <tp t="s">
        <v>N/A</v>
        <stp/>
        <stp>VOLUME</stp>
        <stp>.NDX250815C19300</stp>
        <tr r="O184" s="2"/>
      </tp>
      <tp t="s">
        <v>N/A</v>
        <stp/>
        <stp>VOLUME</stp>
        <stp>.NDX250815C20300</stp>
        <tr r="O144" s="2"/>
      </tp>
      <tp t="s">
        <v>N/A</v>
        <stp/>
        <stp>VOLUME</stp>
        <stp>.NDX250523C19500</stp>
        <tr r="H176" s="2"/>
      </tp>
      <tp t="s">
        <v>N/A</v>
        <stp/>
        <stp>VOLUME</stp>
        <stp>.NDX250620C19600</stp>
        <tr r="K172" s="2"/>
      </tp>
      <tp>
        <v>27</v>
        <stp/>
        <stp>VOLUME</stp>
        <stp>.NDX250516C20000</stp>
        <tr r="BE155" s="1"/>
        <tr r="BE155" s="1"/>
      </tp>
      <tp>
        <v>2</v>
        <stp/>
        <stp>VOLUME</stp>
        <stp>.NDX251121C19700</stp>
        <tr r="U168" s="2"/>
        <tr r="U168" s="2"/>
      </tp>
      <tp t="s">
        <v>N/A</v>
        <stp/>
        <stp>VOLUME</stp>
        <stp>.NDX251017C20100</stp>
        <tr r="S152" s="2"/>
      </tp>
      <tp t="s">
        <v>N/A</v>
        <stp/>
        <stp>VOLUME</stp>
        <stp>.NDX251121C19775</stp>
        <tr r="U165" s="2"/>
      </tp>
      <tp t="s">
        <v>N/A</v>
        <stp/>
        <stp>VOLUME</stp>
        <stp>.NDX251017C19175</stp>
        <tr r="S189" s="2"/>
      </tp>
      <tp t="s">
        <v>N/A</v>
        <stp/>
        <stp>VOLUME</stp>
        <stp>.NDX251017C20175</stp>
        <tr r="S149" s="2"/>
      </tp>
      <tp t="s">
        <v>N/A</v>
        <stp/>
        <stp>VOLUME</stp>
        <stp>.NDX250815C19375</stp>
        <tr r="O181" s="2"/>
      </tp>
      <tp t="s">
        <v>N/A</v>
        <stp/>
        <stp>VOLUME</stp>
        <stp>.NDX250815C20375</stp>
        <tr r="O141" s="2"/>
      </tp>
      <tp t="s">
        <v>N/A</v>
        <stp/>
        <stp>VOLUME</stp>
        <stp>.NDX250523C19575</stp>
        <tr r="H173" s="2"/>
      </tp>
      <tp>
        <v>2</v>
        <stp/>
        <stp>VOLUME</stp>
        <stp>.NDX250620C19675</stp>
        <tr r="K169" s="2"/>
        <tr r="K169" s="2"/>
      </tp>
      <tp>
        <v>4</v>
        <stp/>
        <stp>VOLUME</stp>
        <stp>.NDX250516C20075</stp>
        <tr r="BE152" s="1"/>
        <tr r="BE152" s="1"/>
      </tp>
      <tp t="s">
        <v>N/A</v>
        <stp/>
        <stp>VOLUME</stp>
        <stp>.NDX251017C19150</stp>
        <tr r="S190" s="2"/>
      </tp>
      <tp t="s">
        <v>N/A</v>
        <stp/>
        <stp>VOLUME</stp>
        <stp>.NDX251121C19750</stp>
        <tr r="U166" s="2"/>
      </tp>
      <tp t="s">
        <v>N/A</v>
        <stp/>
        <stp>VOLUME</stp>
        <stp>.NDX251017C20150</stp>
        <tr r="S150" s="2"/>
      </tp>
      <tp t="s">
        <v>N/A</v>
        <stp/>
        <stp>VOLUME</stp>
        <stp>.NDX250815C19350</stp>
        <tr r="O182" s="2"/>
      </tp>
      <tp t="s">
        <v>N/A</v>
        <stp/>
        <stp>VOLUME</stp>
        <stp>.NDX250815C20350</stp>
        <tr r="O142" s="2"/>
      </tp>
      <tp t="s">
        <v>N/A</v>
        <stp/>
        <stp>VOLUME</stp>
        <stp>.NDX250523C19550</stp>
        <tr r="H174" s="2"/>
      </tp>
      <tp>
        <v>1</v>
        <stp/>
        <stp>VOLUME</stp>
        <stp>.NDX250620C19650</stp>
        <tr r="K170" s="2"/>
        <tr r="K170" s="2"/>
      </tp>
      <tp>
        <v>5</v>
        <stp/>
        <stp>VOLUME</stp>
        <stp>.NDX250516C20050</stp>
        <tr r="BE153" s="1"/>
        <tr r="BE153" s="1"/>
      </tp>
      <tp>
        <v>5680</v>
        <stp/>
        <stp>MARK</stp>
        <stp>/ES:XCME</stp>
        <tr r="F3" s="1"/>
        <tr r="F84" s="1"/>
      </tp>
      <tp t="s">
        <v>--</v>
        <stp/>
        <stp>IMPL_VOL</stp>
        <stp>.NDXP250507C19675</stp>
        <tr r="EL168" s="1"/>
      </tp>
      <tp t="s">
        <v>31.97%</v>
        <stp/>
        <stp>IMPL_VOL</stp>
        <stp>.NDXP250509C19875</stp>
        <tr r="EN160" s="1"/>
      </tp>
      <tp t="s">
        <v>--</v>
        <stp/>
        <stp>IMPL_VOL</stp>
        <stp>.NDXP250507C19650</stp>
        <tr r="EL169" s="1"/>
      </tp>
      <tp t="s">
        <v>32.29%</v>
        <stp/>
        <stp>IMPL_VOL</stp>
        <stp>.NDXP250509C19850</stp>
        <tr r="EN161" s="1"/>
      </tp>
      <tp t="s">
        <v>--</v>
        <stp/>
        <stp>IMPL_VOL</stp>
        <stp>.NDXP250507C19625</stp>
        <tr r="EL170" s="1"/>
      </tp>
      <tp t="s">
        <v>32.62%</v>
        <stp/>
        <stp>IMPL_VOL</stp>
        <stp>.NDXP250509C19825</stp>
        <tr r="EN162" s="1"/>
      </tp>
      <tp t="s">
        <v>--</v>
        <stp/>
        <stp>IMPL_VOL</stp>
        <stp>.NDXP250507C19600</stp>
        <tr r="EL171" s="1"/>
      </tp>
      <tp t="s">
        <v>32.85%</v>
        <stp/>
        <stp>IMPL_VOL</stp>
        <stp>.NDXP250509C19800</stp>
        <tr r="EN163" s="1"/>
      </tp>
      <tp t="s">
        <v>N/A</v>
        <stp/>
        <stp>VOLUME</stp>
        <stp>.NDX251017P19200</stp>
        <tr r="S188" s="2"/>
      </tp>
      <tp t="s">
        <v>N/A</v>
        <stp/>
        <stp>VOLUME</stp>
        <stp>.NDX251121P19400</stp>
        <tr r="U180" s="2"/>
      </tp>
      <tp t="s">
        <v>N/A</v>
        <stp/>
        <stp>VOLUME</stp>
        <stp>.NDX251121P20400</stp>
        <tr r="U140" s="2"/>
      </tp>
      <tp t="s">
        <v>N/A</v>
        <stp/>
        <stp>VOLUME</stp>
        <stp>.NDX251017P20200</stp>
        <tr r="S148" s="2"/>
      </tp>
      <tp t="s">
        <v>N/A</v>
        <stp/>
        <stp>VOLUME</stp>
        <stp>.NDX250815P20000</stp>
        <tr r="O156" s="2"/>
      </tp>
      <tp>
        <v>13</v>
        <stp/>
        <stp>VOLUME</stp>
        <stp>.NDX250516P19300</stp>
        <tr r="BF183" s="1"/>
        <tr r="BF183" s="1"/>
      </tp>
      <tp t="s">
        <v>N/A</v>
        <stp/>
        <stp>VOLUME</stp>
        <stp>.NDX250523P19600</stp>
        <tr r="H172" s="2"/>
      </tp>
      <tp>
        <v>1</v>
        <stp/>
        <stp>VOLUME</stp>
        <stp>.NDX250620P19500</stp>
        <tr r="K176" s="2"/>
        <tr r="K176" s="2"/>
      </tp>
      <tp t="s">
        <v>N/A</v>
        <stp/>
        <stp>VOLUME</stp>
        <stp>.NDX250516P20300</stp>
        <tr r="BF143" s="1"/>
      </tp>
      <tp t="s">
        <v>N/A</v>
        <stp/>
        <stp>VOLUME</stp>
        <stp>.NDX251121P19425</stp>
        <tr r="U179" s="2"/>
      </tp>
      <tp t="s">
        <v>N/A</v>
        <stp/>
        <stp>VOLUME</stp>
        <stp>.NDX251017P19225</stp>
        <tr r="S187" s="2"/>
      </tp>
      <tp t="s">
        <v>N/A</v>
        <stp/>
        <stp>VOLUME</stp>
        <stp>.NDX251017P20225</stp>
        <tr r="S147" s="2"/>
      </tp>
      <tp t="s">
        <v>N/A</v>
        <stp/>
        <stp>VOLUME</stp>
        <stp>.NDX251121P20425</stp>
        <tr r="U139" s="2"/>
      </tp>
      <tp t="s">
        <v>N/A</v>
        <stp/>
        <stp>VOLUME</stp>
        <stp>.NDX250815P20025</stp>
        <tr r="O155" s="2"/>
      </tp>
      <tp>
        <v>2</v>
        <stp/>
        <stp>VOLUME</stp>
        <stp>.NDX250516P19325</stp>
        <tr r="BF182" s="1"/>
        <tr r="BF182" s="1"/>
      </tp>
      <tp t="s">
        <v>N/A</v>
        <stp/>
        <stp>VOLUME</stp>
        <stp>.NDX250523P19625</stp>
        <tr r="H171" s="2"/>
      </tp>
      <tp>
        <v>1</v>
        <stp/>
        <stp>VOLUME</stp>
        <stp>.NDX250620P19525</stp>
        <tr r="K175" s="2"/>
        <tr r="K175" s="2"/>
      </tp>
      <tp t="s">
        <v>N/A</v>
        <stp/>
        <stp>VOLUME</stp>
        <stp>.NDX250516P20325</stp>
        <tr r="BF142" s="1"/>
      </tp>
      <tp t="s">
        <v>N/A</v>
        <stp/>
        <stp>VOLUME</stp>
        <stp>.NDX250815P20050</stp>
        <tr r="O154" s="2"/>
      </tp>
      <tp>
        <v>1</v>
        <stp/>
        <stp>VOLUME</stp>
        <stp>.NDX250516P19350</stp>
        <tr r="BF181" s="1"/>
        <tr r="BF181" s="1"/>
      </tp>
      <tp t="s">
        <v>N/A</v>
        <stp/>
        <stp>VOLUME</stp>
        <stp>.NDX250523P19650</stp>
        <tr r="H170" s="2"/>
      </tp>
      <tp t="s">
        <v>N/A</v>
        <stp/>
        <stp>VOLUME</stp>
        <stp>.NDX250620P19550</stp>
        <tr r="K174" s="2"/>
      </tp>
      <tp t="s">
        <v>N/A</v>
        <stp/>
        <stp>VOLUME</stp>
        <stp>.NDX250516P20350</stp>
        <tr r="BF141" s="1"/>
      </tp>
      <tp t="s">
        <v>N/A</v>
        <stp/>
        <stp>VOLUME</stp>
        <stp>.NDX251017P19250</stp>
        <tr r="S186" s="2"/>
      </tp>
      <tp t="s">
        <v>N/A</v>
        <stp/>
        <stp>VOLUME</stp>
        <stp>.NDX251121P19450</stp>
        <tr r="U178" s="2"/>
      </tp>
      <tp t="s">
        <v>N/A</v>
        <stp/>
        <stp>VOLUME</stp>
        <stp>.NDX251121P20450</stp>
        <tr r="U138" s="2"/>
      </tp>
      <tp t="s">
        <v>N/A</v>
        <stp/>
        <stp>VOLUME</stp>
        <stp>.NDX251017P20250</stp>
        <tr r="S146" s="2"/>
      </tp>
      <tp t="s">
        <v>N/A</v>
        <stp/>
        <stp>VOLUME</stp>
        <stp>.NDX250815P20075</stp>
        <tr r="O153" s="2"/>
      </tp>
      <tp>
        <v>5</v>
        <stp/>
        <stp>VOLUME</stp>
        <stp>.NDX250516P19375</stp>
        <tr r="BF180" s="1"/>
        <tr r="BF180" s="1"/>
      </tp>
      <tp t="s">
        <v>N/A</v>
        <stp/>
        <stp>VOLUME</stp>
        <stp>.NDX250523P19675</stp>
        <tr r="H169" s="2"/>
      </tp>
      <tp t="s">
        <v>N/A</v>
        <stp/>
        <stp>VOLUME</stp>
        <stp>.NDX250620P19575</stp>
        <tr r="K173" s="2"/>
      </tp>
      <tp t="s">
        <v>N/A</v>
        <stp/>
        <stp>VOLUME</stp>
        <stp>.NDX250516P20375</stp>
        <tr r="BF140" s="1"/>
      </tp>
      <tp t="s">
        <v>N/A</v>
        <stp/>
        <stp>VOLUME</stp>
        <stp>.NDX251121P19475</stp>
        <tr r="U177" s="2"/>
      </tp>
      <tp t="s">
        <v>N/A</v>
        <stp/>
        <stp>VOLUME</stp>
        <stp>.NDX251017P19275</stp>
        <tr r="S185" s="2"/>
      </tp>
      <tp t="s">
        <v>N/A</v>
        <stp/>
        <stp>VOLUME</stp>
        <stp>.NDX251017P20275</stp>
        <tr r="S145" s="2"/>
      </tp>
      <tp t="s">
        <v>56.30%</v>
        <stp/>
        <stp>IMPL_VOL</stp>
        <stp>.NDXP250507P19650</stp>
        <tr r="EM169" s="1"/>
      </tp>
      <tp t="s">
        <v>26.62%</v>
        <stp/>
        <stp>IMPL_VOL</stp>
        <stp>.NDXP250509P19850</stp>
        <tr r="EO161" s="1"/>
      </tp>
      <tp t="s">
        <v>110.68%</v>
        <stp/>
        <stp>IMPL_VOL</stp>
        <stp>.NDXP250507P19675</stp>
        <tr r="EM168" s="1"/>
      </tp>
      <tp t="s">
        <v>26.36%</v>
        <stp/>
        <stp>IMPL_VOL</stp>
        <stp>.NDXP250509P19875</stp>
        <tr r="EO160" s="1"/>
      </tp>
      <tp t="s">
        <v>58.40%</v>
        <stp/>
        <stp>IMPL_VOL</stp>
        <stp>.NDXP250507P19600</stp>
        <tr r="EM171" s="1"/>
      </tp>
      <tp t="s">
        <v>27.21%</v>
        <stp/>
        <stp>IMPL_VOL</stp>
        <stp>.NDXP250509P19800</stp>
        <tr r="EO163" s="1"/>
      </tp>
      <tp t="s">
        <v>130.60%</v>
        <stp/>
        <stp>IMPL_VOL</stp>
        <stp>.NDXP250507P19625</stp>
        <tr r="EM170" s="1"/>
      </tp>
      <tp t="s">
        <v>26.95%</v>
        <stp/>
        <stp>IMPL_VOL</stp>
        <stp>.NDXP250509P19825</stp>
        <tr r="EO162" s="1"/>
      </tp>
      <tp t="s">
        <v>N/A</v>
        <stp/>
        <stp>VOLUME</stp>
        <stp>.NDX250815C20025</stp>
        <tr r="O155" s="2"/>
      </tp>
      <tp t="s">
        <v>N/A</v>
        <stp/>
        <stp>VOLUME</stp>
        <stp>.NDX250516C19325</stp>
        <tr r="BE182" s="1"/>
      </tp>
      <tp t="s">
        <v>N/A</v>
        <stp/>
        <stp>VOLUME</stp>
        <stp>.NDX250523C19625</stp>
        <tr r="H171" s="2"/>
      </tp>
      <tp t="s">
        <v>N/A</v>
        <stp/>
        <stp>VOLUME</stp>
        <stp>.NDX250620C19525</stp>
        <tr r="K175" s="2"/>
      </tp>
      <tp t="s">
        <v>N/A</v>
        <stp/>
        <stp>VOLUME</stp>
        <stp>.NDX250516C20325</stp>
        <tr r="BE142" s="1"/>
      </tp>
      <tp t="s">
        <v>N/A</v>
        <stp/>
        <stp>VOLUME</stp>
        <stp>.NDX251121C19425</stp>
        <tr r="U179" s="2"/>
      </tp>
      <tp t="s">
        <v>N/A</v>
        <stp/>
        <stp>VOLUME</stp>
        <stp>.NDX251017C19225</stp>
        <tr r="S187" s="2"/>
      </tp>
      <tp t="s">
        <v>N/A</v>
        <stp/>
        <stp>VOLUME</stp>
        <stp>.NDX251017C20225</stp>
        <tr r="S147" s="2"/>
      </tp>
      <tp t="s">
        <v>N/A</v>
        <stp/>
        <stp>VOLUME</stp>
        <stp>.NDX251121C20425</stp>
        <tr r="U139" s="2"/>
      </tp>
      <tp t="s">
        <v>N/A</v>
        <stp/>
        <stp>VOLUME</stp>
        <stp>.NDX250815C20000</stp>
        <tr r="O156" s="2"/>
      </tp>
      <tp>
        <v>3</v>
        <stp/>
        <stp>VOLUME</stp>
        <stp>.NDX250516C19300</stp>
        <tr r="BE183" s="1"/>
        <tr r="BE183" s="1"/>
      </tp>
      <tp t="s">
        <v>N/A</v>
        <stp/>
        <stp>VOLUME</stp>
        <stp>.NDX250523C19600</stp>
        <tr r="H172" s="2"/>
      </tp>
      <tp t="s">
        <v>N/A</v>
        <stp/>
        <stp>VOLUME</stp>
        <stp>.NDX250620C19500</stp>
        <tr r="K176" s="2"/>
      </tp>
      <tp t="s">
        <v>N/A</v>
        <stp/>
        <stp>VOLUME</stp>
        <stp>.NDX250516C20300</stp>
        <tr r="BE143" s="1"/>
      </tp>
      <tp t="s">
        <v>N/A</v>
        <stp/>
        <stp>VOLUME</stp>
        <stp>.NDX251017C19200</stp>
        <tr r="S188" s="2"/>
      </tp>
      <tp t="s">
        <v>N/A</v>
        <stp/>
        <stp>VOLUME</stp>
        <stp>.NDX251121C19400</stp>
        <tr r="U180" s="2"/>
      </tp>
      <tp t="s">
        <v>N/A</v>
        <stp/>
        <stp>VOLUME</stp>
        <stp>.NDX251121C20400</stp>
        <tr r="U140" s="2"/>
      </tp>
      <tp t="s">
        <v>N/A</v>
        <stp/>
        <stp>VOLUME</stp>
        <stp>.NDX251017C20200</stp>
        <tr r="S148" s="2"/>
      </tp>
      <tp t="s">
        <v>N/A</v>
        <stp/>
        <stp>VOLUME</stp>
        <stp>.NDX251121C19475</stp>
        <tr r="U177" s="2"/>
      </tp>
      <tp t="s">
        <v>N/A</v>
        <stp/>
        <stp>VOLUME</stp>
        <stp>.NDX251017C19275</stp>
        <tr r="S185" s="2"/>
      </tp>
      <tp t="s">
        <v>N/A</v>
        <stp/>
        <stp>VOLUME</stp>
        <stp>.NDX251017C20275</stp>
        <tr r="S145" s="2"/>
      </tp>
      <tp t="s">
        <v>N/A</v>
        <stp/>
        <stp>VOLUME</stp>
        <stp>.NDX250815C20075</stp>
        <tr r="O153" s="2"/>
      </tp>
      <tp t="s">
        <v>N/A</v>
        <stp/>
        <stp>VOLUME</stp>
        <stp>.NDX250516C19375</stp>
        <tr r="BE180" s="1"/>
      </tp>
      <tp t="s">
        <v>N/A</v>
        <stp/>
        <stp>VOLUME</stp>
        <stp>.NDX250523C19675</stp>
        <tr r="H169" s="2"/>
      </tp>
      <tp t="s">
        <v>N/A</v>
        <stp/>
        <stp>VOLUME</stp>
        <stp>.NDX250620C19575</stp>
        <tr r="K173" s="2"/>
      </tp>
      <tp t="s">
        <v>N/A</v>
        <stp/>
        <stp>VOLUME</stp>
        <stp>.NDX250516C20375</stp>
        <tr r="BE140" s="1"/>
      </tp>
      <tp t="s">
        <v>N/A</v>
        <stp/>
        <stp>VOLUME</stp>
        <stp>.NDX251017C19250</stp>
        <tr r="S186" s="2"/>
      </tp>
      <tp t="s">
        <v>N/A</v>
        <stp/>
        <stp>VOLUME</stp>
        <stp>.NDX251121C19450</stp>
        <tr r="U178" s="2"/>
      </tp>
      <tp t="s">
        <v>N/A</v>
        <stp/>
        <stp>VOLUME</stp>
        <stp>.NDX251121C20450</stp>
        <tr r="U138" s="2"/>
      </tp>
      <tp t="s">
        <v>N/A</v>
        <stp/>
        <stp>VOLUME</stp>
        <stp>.NDX251017C20250</stp>
        <tr r="S146" s="2"/>
      </tp>
      <tp t="s">
        <v>N/A</v>
        <stp/>
        <stp>VOLUME</stp>
        <stp>.NDX250815C20050</stp>
        <tr r="O154" s="2"/>
      </tp>
      <tp>
        <v>4</v>
        <stp/>
        <stp>VOLUME</stp>
        <stp>.NDX250516C19350</stp>
        <tr r="BE181" s="1"/>
        <tr r="BE181" s="1"/>
      </tp>
      <tp t="s">
        <v>N/A</v>
        <stp/>
        <stp>VOLUME</stp>
        <stp>.NDX250523C19650</stp>
        <tr r="H170" s="2"/>
      </tp>
      <tp t="s">
        <v>N/A</v>
        <stp/>
        <stp>VOLUME</stp>
        <stp>.NDX250620C19550</stp>
        <tr r="K174" s="2"/>
      </tp>
      <tp t="s">
        <v>N/A</v>
        <stp/>
        <stp>VOLUME</stp>
        <stp>.NDX250516C20350</stp>
        <tr r="BE141" s="1"/>
      </tp>
      <tp t="s">
        <v>--</v>
        <stp/>
        <stp>IMPL_VOL</stp>
        <stp>.NDXP250507C19775</stp>
        <tr r="EL164" s="1"/>
      </tp>
      <tp t="s">
        <v>30.60%</v>
        <stp/>
        <stp>IMPL_VOL</stp>
        <stp>.NDXP250509C19975</stp>
        <tr r="EN156" s="1"/>
      </tp>
      <tp t="s">
        <v>--</v>
        <stp/>
        <stp>IMPL_VOL</stp>
        <stp>.NDXP250507C19750</stp>
        <tr r="EL165" s="1"/>
      </tp>
      <tp t="s">
        <v>30.97%</v>
        <stp/>
        <stp>IMPL_VOL</stp>
        <stp>.NDXP250509C19950</stp>
        <tr r="EN157" s="1"/>
      </tp>
      <tp t="s">
        <v>--</v>
        <stp/>
        <stp>IMPL_VOL</stp>
        <stp>.NDXP250507C19725</stp>
        <tr r="EL166" s="1"/>
      </tp>
      <tp t="s">
        <v>31.28%</v>
        <stp/>
        <stp>IMPL_VOL</stp>
        <stp>.NDXP250509C19925</stp>
        <tr r="EN158" s="1"/>
      </tp>
      <tp t="s">
        <v>--</v>
        <stp/>
        <stp>IMPL_VOL</stp>
        <stp>.NDXP250507C19700</stp>
        <tr r="EL167" s="1"/>
      </tp>
      <tp t="s">
        <v>31.60%</v>
        <stp/>
        <stp>IMPL_VOL</stp>
        <stp>.NDXP250509C19900</stp>
        <tr r="EN159" s="1"/>
      </tp>
      <tp t="s">
        <v>N/A</v>
        <stp/>
        <stp>VOLUME</stp>
        <stp>.NDX251017P19300</stp>
        <tr r="S184" s="2"/>
      </tp>
      <tp t="s">
        <v>N/A</v>
        <stp/>
        <stp>VOLUME</stp>
        <stp>.NDX251121P19500</stp>
        <tr r="U176" s="2"/>
      </tp>
      <tp t="s">
        <v>N/A</v>
        <stp/>
        <stp>VOLUME</stp>
        <stp>.NDX251017P20300</stp>
        <tr r="S144" s="2"/>
      </tp>
      <tp t="s">
        <v>N/A</v>
        <stp/>
        <stp>VOLUME</stp>
        <stp>.NDX250815P20100</stp>
        <tr r="O152" s="2"/>
      </tp>
      <tp>
        <v>16</v>
        <stp/>
        <stp>VOLUME</stp>
        <stp>.NDX250516P19200</stp>
        <tr r="BF187" s="1"/>
        <tr r="BF187" s="1"/>
      </tp>
      <tp t="s">
        <v>N/A</v>
        <stp/>
        <stp>VOLUME</stp>
        <stp>.NDX250523P19700</stp>
        <tr r="H168" s="2"/>
      </tp>
      <tp t="s">
        <v>N/A</v>
        <stp/>
        <stp>VOLUME</stp>
        <stp>.NDX250620P20400</stp>
        <tr r="K140" s="2"/>
      </tp>
      <tp>
        <v>91</v>
        <stp/>
        <stp>VOLUME</stp>
        <stp>.NDX250620P19400</stp>
        <tr r="K180" s="2"/>
        <tr r="K180" s="2"/>
      </tp>
      <tp>
        <v>3</v>
        <stp/>
        <stp>VOLUME</stp>
        <stp>.NDX250516P20200</stp>
        <tr r="BF147" s="1"/>
        <tr r="BF147" s="1"/>
      </tp>
      <tp t="s">
        <v>N/A</v>
        <stp/>
        <stp>VOLUME</stp>
        <stp>.NDX251121P19525</stp>
        <tr r="U175" s="2"/>
      </tp>
      <tp t="s">
        <v>N/A</v>
        <stp/>
        <stp>VOLUME</stp>
        <stp>.NDX251017P19325</stp>
        <tr r="S183" s="2"/>
      </tp>
      <tp t="s">
        <v>N/A</v>
        <stp/>
        <stp>VOLUME</stp>
        <stp>.NDX251017P20325</stp>
        <tr r="S143" s="2"/>
      </tp>
      <tp t="s">
        <v>N/A</v>
        <stp/>
        <stp>VOLUME</stp>
        <stp>.NDX250815P20125</stp>
        <tr r="O151" s="2"/>
      </tp>
      <tp>
        <v>3</v>
        <stp/>
        <stp>VOLUME</stp>
        <stp>.NDX250516P19225</stp>
        <tr r="BF186" s="1"/>
        <tr r="BF186" s="1"/>
      </tp>
      <tp t="s">
        <v>N/A</v>
        <stp/>
        <stp>VOLUME</stp>
        <stp>.NDX250523P19725</stp>
        <tr r="H167" s="2"/>
      </tp>
      <tp t="s">
        <v>N/A</v>
        <stp/>
        <stp>VOLUME</stp>
        <stp>.NDX250620P20425</stp>
        <tr r="K139" s="2"/>
      </tp>
      <tp t="s">
        <v>N/A</v>
        <stp/>
        <stp>VOLUME</stp>
        <stp>.NDX250620P19425</stp>
        <tr r="K179" s="2"/>
      </tp>
      <tp t="s">
        <v>N/A</v>
        <stp/>
        <stp>VOLUME</stp>
        <stp>.NDX250516P20225</stp>
        <tr r="BF146" s="1"/>
      </tp>
      <tp t="s">
        <v>N/A</v>
        <stp/>
        <stp>VOLUME</stp>
        <stp>.NDX250815P19150</stp>
        <tr r="O190" s="2"/>
      </tp>
      <tp t="s">
        <v>N/A</v>
        <stp/>
        <stp>VOLUME</stp>
        <stp>.NDX250815P20150</stp>
        <tr r="O150" s="2"/>
      </tp>
      <tp>
        <v>2</v>
        <stp/>
        <stp>VOLUME</stp>
        <stp>.NDX250516P19250</stp>
        <tr r="BF185" s="1"/>
        <tr r="BF185" s="1"/>
      </tp>
      <tp t="s">
        <v>N/A</v>
        <stp/>
        <stp>VOLUME</stp>
        <stp>.NDX250523P19750</stp>
        <tr r="H166" s="2"/>
      </tp>
      <tp t="s">
        <v>N/A</v>
        <stp/>
        <stp>VOLUME</stp>
        <stp>.NDX250620P20450</stp>
        <tr r="K138" s="2"/>
      </tp>
      <tp t="s">
        <v>N/A</v>
        <stp/>
        <stp>VOLUME</stp>
        <stp>.NDX250620P19450</stp>
        <tr r="K178" s="2"/>
      </tp>
      <tp t="s">
        <v>N/A</v>
        <stp/>
        <stp>VOLUME</stp>
        <stp>.NDX250516P20250</stp>
        <tr r="BF145" s="1"/>
      </tp>
      <tp t="s">
        <v>N/A</v>
        <stp/>
        <stp>VOLUME</stp>
        <stp>.NDX251017P19350</stp>
        <tr r="S182" s="2"/>
      </tp>
      <tp t="s">
        <v>N/A</v>
        <stp/>
        <stp>VOLUME</stp>
        <stp>.NDX251121P19550</stp>
        <tr r="U174" s="2"/>
      </tp>
      <tp t="s">
        <v>N/A</v>
        <stp/>
        <stp>VOLUME</stp>
        <stp>.NDX251017P20350</stp>
        <tr r="S142" s="2"/>
      </tp>
      <tp t="s">
        <v>N/A</v>
        <stp/>
        <stp>VOLUME</stp>
        <stp>.NDX250815P19175</stp>
        <tr r="O189" s="2"/>
      </tp>
      <tp t="s">
        <v>N/A</v>
        <stp/>
        <stp>VOLUME</stp>
        <stp>.NDX250815P20175</stp>
        <tr r="O149" s="2"/>
      </tp>
      <tp>
        <v>10</v>
        <stp/>
        <stp>VOLUME</stp>
        <stp>.NDX250516P19275</stp>
        <tr r="BF184" s="1"/>
        <tr r="BF184" s="1"/>
      </tp>
      <tp t="s">
        <v>N/A</v>
        <stp/>
        <stp>VOLUME</stp>
        <stp>.NDX250523P19775</stp>
        <tr r="H165" s="2"/>
      </tp>
      <tp t="s">
        <v>N/A</v>
        <stp/>
        <stp>VOLUME</stp>
        <stp>.NDX250620P19475</stp>
        <tr r="K177" s="2"/>
      </tp>
      <tp t="s">
        <v>N/A</v>
        <stp/>
        <stp>VOLUME</stp>
        <stp>.NDX250516P20275</stp>
        <tr r="BF144" s="1"/>
      </tp>
      <tp t="s">
        <v>N/A</v>
        <stp/>
        <stp>VOLUME</stp>
        <stp>.NDX251121P19575</stp>
        <tr r="U173" s="2"/>
      </tp>
      <tp t="s">
        <v>N/A</v>
        <stp/>
        <stp>VOLUME</stp>
        <stp>.NDX251017P19375</stp>
        <tr r="S181" s="2"/>
      </tp>
      <tp t="s">
        <v>N/A</v>
        <stp/>
        <stp>VOLUME</stp>
        <stp>.NDX251017P20375</stp>
        <tr r="S141" s="2"/>
      </tp>
      <tp t="s">
        <v>39.43%</v>
        <stp/>
        <stp>IMPL_VOL</stp>
        <stp>.NDXP250507P19750</stp>
        <tr r="EM165" s="1"/>
      </tp>
      <tp t="s">
        <v>25.28%</v>
        <stp/>
        <stp>IMPL_VOL</stp>
        <stp>.NDXP250509P19950</stp>
        <tr r="EO157" s="1"/>
      </tp>
      <tp t="s">
        <v>22.13%</v>
        <stp/>
        <stp>IMPL_VOL</stp>
        <stp>.NDXP250507P19775</stp>
        <tr r="EM164" s="1"/>
      </tp>
      <tp t="s">
        <v>24.87%</v>
        <stp/>
        <stp>IMPL_VOL</stp>
        <stp>.NDXP250509P19975</stp>
        <tr r="EO156" s="1"/>
      </tp>
      <tp t="s">
        <v>38.01%</v>
        <stp/>
        <stp>IMPL_VOL</stp>
        <stp>.NDXP250507P19700</stp>
        <tr r="EM167" s="1"/>
      </tp>
      <tp t="s">
        <v>26.00%</v>
        <stp/>
        <stp>IMPL_VOL</stp>
        <stp>.NDXP250509P19900</stp>
        <tr r="EO159" s="1"/>
      </tp>
      <tp t="s">
        <v>66.75%</v>
        <stp/>
        <stp>IMPL_VOL</stp>
        <stp>.NDXP250507P19725</stp>
        <tr r="EM166" s="1"/>
      </tp>
      <tp t="s">
        <v>25.65%</v>
        <stp/>
        <stp>IMPL_VOL</stp>
        <stp>.NDXP250509P19925</stp>
        <tr r="EO158" s="1"/>
      </tp>
      <tp t="s">
        <v>N/A</v>
        <stp/>
        <stp>VOLUME</stp>
        <stp>.NDX250815C20125</stp>
        <tr r="O151" s="2"/>
      </tp>
      <tp t="s">
        <v>N/A</v>
        <stp/>
        <stp>VOLUME</stp>
        <stp>.NDX250516C19225</stp>
        <tr r="BE186" s="1"/>
      </tp>
      <tp t="s">
        <v>N/A</v>
        <stp/>
        <stp>VOLUME</stp>
        <stp>.NDX250523C19725</stp>
        <tr r="H167" s="2"/>
      </tp>
      <tp t="s">
        <v>N/A</v>
        <stp/>
        <stp>VOLUME</stp>
        <stp>.NDX250620C20425</stp>
        <tr r="K139" s="2"/>
      </tp>
      <tp t="s">
        <v>N/A</v>
        <stp/>
        <stp>VOLUME</stp>
        <stp>.NDX250620C19425</stp>
        <tr r="K179" s="2"/>
      </tp>
      <tp>
        <v>1</v>
        <stp/>
        <stp>VOLUME</stp>
        <stp>.NDX250516C20225</stp>
        <tr r="BE146" s="1"/>
        <tr r="BE146" s="1"/>
      </tp>
      <tp t="s">
        <v>N/A</v>
        <stp/>
        <stp>VOLUME</stp>
        <stp>.NDX251121C19525</stp>
        <tr r="U175" s="2"/>
      </tp>
      <tp t="s">
        <v>N/A</v>
        <stp/>
        <stp>VOLUME</stp>
        <stp>.NDX251017C19325</stp>
        <tr r="S183" s="2"/>
      </tp>
      <tp t="s">
        <v>N/A</v>
        <stp/>
        <stp>VOLUME</stp>
        <stp>.NDX251017C20325</stp>
        <tr r="S143" s="2"/>
      </tp>
      <tp t="s">
        <v>N/A</v>
        <stp/>
        <stp>VOLUME</stp>
        <stp>.NDX250815C20100</stp>
        <tr r="O152" s="2"/>
      </tp>
      <tp t="s">
        <v>N/A</v>
        <stp/>
        <stp>VOLUME</stp>
        <stp>.NDX250516C19200</stp>
        <tr r="BE187" s="1"/>
      </tp>
      <tp t="s">
        <v>N/A</v>
        <stp/>
        <stp>VOLUME</stp>
        <stp>.NDX250523C19700</stp>
        <tr r="H168" s="2"/>
      </tp>
      <tp>
        <v>2</v>
        <stp/>
        <stp>VOLUME</stp>
        <stp>.NDX250620C20400</stp>
        <tr r="K140" s="2"/>
        <tr r="K140" s="2"/>
      </tp>
      <tp t="s">
        <v>N/A</v>
        <stp/>
        <stp>VOLUME</stp>
        <stp>.NDX250620C19400</stp>
        <tr r="K180" s="2"/>
      </tp>
      <tp>
        <v>5</v>
        <stp/>
        <stp>VOLUME</stp>
        <stp>.NDX250516C20200</stp>
        <tr r="BE147" s="1"/>
        <tr r="BE147" s="1"/>
      </tp>
      <tp t="s">
        <v>N/A</v>
        <stp/>
        <stp>VOLUME</stp>
        <stp>.NDX251017C19300</stp>
        <tr r="S184" s="2"/>
      </tp>
      <tp t="s">
        <v>N/A</v>
        <stp/>
        <stp>VOLUME</stp>
        <stp>.NDX251121C19500</stp>
        <tr r="U176" s="2"/>
      </tp>
      <tp t="s">
        <v>N/A</v>
        <stp/>
        <stp>VOLUME</stp>
        <stp>.NDX251017C20300</stp>
        <tr r="S144" s="2"/>
      </tp>
      <tp t="s">
        <v>N/A</v>
        <stp/>
        <stp>VOLUME</stp>
        <stp>.NDX251121C19575</stp>
        <tr r="U173" s="2"/>
      </tp>
      <tp t="s">
        <v>N/A</v>
        <stp/>
        <stp>VOLUME</stp>
        <stp>.NDX251017C19375</stp>
        <tr r="S181" s="2"/>
      </tp>
      <tp t="s">
        <v>N/A</v>
        <stp/>
        <stp>VOLUME</stp>
        <stp>.NDX251017C20375</stp>
        <tr r="S141" s="2"/>
      </tp>
      <tp t="s">
        <v>N/A</v>
        <stp/>
        <stp>VOLUME</stp>
        <stp>.NDX250815C19175</stp>
        <tr r="O189" s="2"/>
      </tp>
      <tp t="s">
        <v>N/A</v>
        <stp/>
        <stp>VOLUME</stp>
        <stp>.NDX250815C20175</stp>
        <tr r="O149" s="2"/>
      </tp>
      <tp t="s">
        <v>N/A</v>
        <stp/>
        <stp>VOLUME</stp>
        <stp>.NDX250516C19275</stp>
        <tr r="BE184" s="1"/>
      </tp>
      <tp t="s">
        <v>N/A</v>
        <stp/>
        <stp>VOLUME</stp>
        <stp>.NDX250523C19775</stp>
        <tr r="H165" s="2"/>
      </tp>
      <tp t="s">
        <v>N/A</v>
        <stp/>
        <stp>VOLUME</stp>
        <stp>.NDX250620C19475</stp>
        <tr r="K177" s="2"/>
      </tp>
      <tp>
        <v>30</v>
        <stp/>
        <stp>VOLUME</stp>
        <stp>.NDX250516C20275</stp>
        <tr r="BE144" s="1"/>
        <tr r="BE144" s="1"/>
      </tp>
      <tp t="s">
        <v>N/A</v>
        <stp/>
        <stp>VOLUME</stp>
        <stp>.NDX251017C19350</stp>
        <tr r="S182" s="2"/>
      </tp>
      <tp t="s">
        <v>N/A</v>
        <stp/>
        <stp>VOLUME</stp>
        <stp>.NDX251121C19550</stp>
        <tr r="U174" s="2"/>
      </tp>
      <tp t="s">
        <v>N/A</v>
        <stp/>
        <stp>VOLUME</stp>
        <stp>.NDX251017C20350</stp>
        <tr r="S142" s="2"/>
      </tp>
      <tp t="s">
        <v>N/A</v>
        <stp/>
        <stp>VOLUME</stp>
        <stp>.NDX250815C19150</stp>
        <tr r="O190" s="2"/>
      </tp>
      <tp t="s">
        <v>N/A</v>
        <stp/>
        <stp>VOLUME</stp>
        <stp>.NDX250815C20150</stp>
        <tr r="O150" s="2"/>
      </tp>
      <tp t="s">
        <v>N/A</v>
        <stp/>
        <stp>VOLUME</stp>
        <stp>.NDX250516C19250</stp>
        <tr r="BE185" s="1"/>
      </tp>
      <tp t="s">
        <v>N/A</v>
        <stp/>
        <stp>VOLUME</stp>
        <stp>.NDX250523C19750</stp>
        <tr r="H166" s="2"/>
      </tp>
      <tp>
        <v>3</v>
        <stp/>
        <stp>VOLUME</stp>
        <stp>.NDX250620C20450</stp>
        <tr r="K138" s="2"/>
        <tr r="K138" s="2"/>
      </tp>
      <tp t="s">
        <v>N/A</v>
        <stp/>
        <stp>VOLUME</stp>
        <stp>.NDX250620C19450</stp>
        <tr r="K178" s="2"/>
      </tp>
      <tp t="s">
        <v>N/A</v>
        <stp/>
        <stp>VOLUME</stp>
        <stp>.NDX250516C20250</stp>
        <tr r="BE145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volatileDependencies" Target="volatileDependencies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GEX (Millones)</a:t>
            </a:r>
          </a:p>
        </c:rich>
      </c:tx>
      <c:layout>
        <c:manualLayout>
          <c:xMode val="edge"/>
          <c:yMode val="edge"/>
          <c:x val="0.71319634280599442"/>
          <c:y val="2.139325691280142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812345723710553"/>
          <c:y val="5.0076844939373685E-2"/>
          <c:w val="0.74971503472204115"/>
          <c:h val="0.8783528502350357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250507</c:v>
                </c:pt>
              </c:strCache>
            </c:strRef>
          </c:tx>
          <c:invertIfNegative val="0"/>
          <c:cat>
            <c:numRef>
              <c:f>Hoja1!$A$4:$A$38</c:f>
              <c:numCache>
                <c:formatCode>0</c:formatCode>
                <c:ptCount val="35"/>
                <c:pt idx="0">
                  <c:v>582</c:v>
                </c:pt>
                <c:pt idx="1">
                  <c:v>581</c:v>
                </c:pt>
                <c:pt idx="2">
                  <c:v>580</c:v>
                </c:pt>
                <c:pt idx="3">
                  <c:v>579</c:v>
                </c:pt>
                <c:pt idx="4">
                  <c:v>578</c:v>
                </c:pt>
                <c:pt idx="5">
                  <c:v>577</c:v>
                </c:pt>
                <c:pt idx="6">
                  <c:v>576</c:v>
                </c:pt>
                <c:pt idx="7">
                  <c:v>575</c:v>
                </c:pt>
                <c:pt idx="8">
                  <c:v>574</c:v>
                </c:pt>
                <c:pt idx="9">
                  <c:v>573</c:v>
                </c:pt>
                <c:pt idx="10">
                  <c:v>572</c:v>
                </c:pt>
                <c:pt idx="11">
                  <c:v>571</c:v>
                </c:pt>
                <c:pt idx="12">
                  <c:v>570</c:v>
                </c:pt>
                <c:pt idx="13">
                  <c:v>569</c:v>
                </c:pt>
                <c:pt idx="14">
                  <c:v>568</c:v>
                </c:pt>
                <c:pt idx="15">
                  <c:v>567</c:v>
                </c:pt>
                <c:pt idx="16">
                  <c:v>566</c:v>
                </c:pt>
                <c:pt idx="17">
                  <c:v>565</c:v>
                </c:pt>
                <c:pt idx="18">
                  <c:v>564</c:v>
                </c:pt>
                <c:pt idx="19">
                  <c:v>563</c:v>
                </c:pt>
                <c:pt idx="20">
                  <c:v>562</c:v>
                </c:pt>
                <c:pt idx="21">
                  <c:v>561</c:v>
                </c:pt>
                <c:pt idx="22">
                  <c:v>560</c:v>
                </c:pt>
                <c:pt idx="23">
                  <c:v>559</c:v>
                </c:pt>
                <c:pt idx="24">
                  <c:v>558</c:v>
                </c:pt>
                <c:pt idx="25">
                  <c:v>557</c:v>
                </c:pt>
                <c:pt idx="26">
                  <c:v>556</c:v>
                </c:pt>
                <c:pt idx="27">
                  <c:v>555</c:v>
                </c:pt>
                <c:pt idx="28">
                  <c:v>554</c:v>
                </c:pt>
                <c:pt idx="29">
                  <c:v>553</c:v>
                </c:pt>
                <c:pt idx="30">
                  <c:v>552</c:v>
                </c:pt>
                <c:pt idx="31">
                  <c:v>551</c:v>
                </c:pt>
                <c:pt idx="32">
                  <c:v>550</c:v>
                </c:pt>
                <c:pt idx="33">
                  <c:v>549</c:v>
                </c:pt>
                <c:pt idx="34">
                  <c:v>548</c:v>
                </c:pt>
              </c:numCache>
            </c:numRef>
          </c:cat>
          <c:val>
            <c:numRef>
              <c:f>Hoja1!$BQ$4:$BQ$38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val>
            <c:numRef>
              <c:f>Hoja1!$BS$4:$BS$38</c:f>
              <c:numCache>
                <c:formatCode>General</c:formatCode>
                <c:ptCount val="35"/>
                <c:pt idx="0">
                  <c:v>5355791.9671529001</c:v>
                </c:pt>
                <c:pt idx="1">
                  <c:v>7217341.5533247022</c:v>
                </c:pt>
                <c:pt idx="2">
                  <c:v>33888966.317668207</c:v>
                </c:pt>
                <c:pt idx="3">
                  <c:v>19216374.678637393</c:v>
                </c:pt>
                <c:pt idx="4">
                  <c:v>15812057.391275078</c:v>
                </c:pt>
                <c:pt idx="5">
                  <c:v>9526249.3864012174</c:v>
                </c:pt>
                <c:pt idx="6">
                  <c:v>13198665.227354722</c:v>
                </c:pt>
                <c:pt idx="7">
                  <c:v>65479836.37587551</c:v>
                </c:pt>
                <c:pt idx="8">
                  <c:v>14108181.789618628</c:v>
                </c:pt>
                <c:pt idx="9">
                  <c:v>18083986.154301699</c:v>
                </c:pt>
                <c:pt idx="10">
                  <c:v>34569154.879908621</c:v>
                </c:pt>
                <c:pt idx="11">
                  <c:v>24407609.309890117</c:v>
                </c:pt>
                <c:pt idx="12">
                  <c:v>137010115.73142383</c:v>
                </c:pt>
                <c:pt idx="13">
                  <c:v>34363166.036776237</c:v>
                </c:pt>
                <c:pt idx="14">
                  <c:v>51842215.419285253</c:v>
                </c:pt>
                <c:pt idx="15">
                  <c:v>39443177.305880755</c:v>
                </c:pt>
                <c:pt idx="16">
                  <c:v>45588149.220522642</c:v>
                </c:pt>
                <c:pt idx="17">
                  <c:v>120946985.33453389</c:v>
                </c:pt>
                <c:pt idx="18">
                  <c:v>20100015.055953622</c:v>
                </c:pt>
                <c:pt idx="19">
                  <c:v>18266466.370263603</c:v>
                </c:pt>
                <c:pt idx="20">
                  <c:v>39397178.605285674</c:v>
                </c:pt>
                <c:pt idx="21">
                  <c:v>13698500.978488527</c:v>
                </c:pt>
                <c:pt idx="22">
                  <c:v>95600000.405602694</c:v>
                </c:pt>
                <c:pt idx="23">
                  <c:v>-16427129.355115542</c:v>
                </c:pt>
                <c:pt idx="24">
                  <c:v>-11248170.085026983</c:v>
                </c:pt>
                <c:pt idx="25">
                  <c:v>-22984478.445065588</c:v>
                </c:pt>
                <c:pt idx="26">
                  <c:v>-1171014.7995036338</c:v>
                </c:pt>
                <c:pt idx="27">
                  <c:v>-32034344.964007184</c:v>
                </c:pt>
                <c:pt idx="28">
                  <c:v>-8001565.5855932739</c:v>
                </c:pt>
                <c:pt idx="29">
                  <c:v>-5231051.5524713863</c:v>
                </c:pt>
                <c:pt idx="30">
                  <c:v>-37772964.410382472</c:v>
                </c:pt>
                <c:pt idx="31">
                  <c:v>-10362195.191569071</c:v>
                </c:pt>
                <c:pt idx="32">
                  <c:v>-90804223.843801558</c:v>
                </c:pt>
                <c:pt idx="33">
                  <c:v>-11067131.18396976</c:v>
                </c:pt>
                <c:pt idx="34">
                  <c:v>-5172065.0142934155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val>
            <c:numRef>
              <c:f>Hoja1!$BU$4:$BU$38</c:f>
              <c:numCache>
                <c:formatCode>General</c:formatCode>
                <c:ptCount val="35"/>
                <c:pt idx="0">
                  <c:v>4224165.1407807292</c:v>
                </c:pt>
                <c:pt idx="1">
                  <c:v>6823303.1256304914</c:v>
                </c:pt>
                <c:pt idx="2">
                  <c:v>48079097.652533144</c:v>
                </c:pt>
                <c:pt idx="3">
                  <c:v>10606183.504261112</c:v>
                </c:pt>
                <c:pt idx="4">
                  <c:v>35112389.068941034</c:v>
                </c:pt>
                <c:pt idx="5">
                  <c:v>17527172.667267248</c:v>
                </c:pt>
                <c:pt idx="6">
                  <c:v>21208505.518667262</c:v>
                </c:pt>
                <c:pt idx="7">
                  <c:v>304476376.07080156</c:v>
                </c:pt>
                <c:pt idx="8">
                  <c:v>21606596.202535093</c:v>
                </c:pt>
                <c:pt idx="9">
                  <c:v>25311717.360335447</c:v>
                </c:pt>
                <c:pt idx="10">
                  <c:v>22211348.764201146</c:v>
                </c:pt>
                <c:pt idx="11">
                  <c:v>22602067.151705716</c:v>
                </c:pt>
                <c:pt idx="12">
                  <c:v>149010599.37767097</c:v>
                </c:pt>
                <c:pt idx="13">
                  <c:v>23564923.122155931</c:v>
                </c:pt>
                <c:pt idx="14">
                  <c:v>71271964.315189153</c:v>
                </c:pt>
                <c:pt idx="15">
                  <c:v>27586758.520880062</c:v>
                </c:pt>
                <c:pt idx="16">
                  <c:v>55671759.556290343</c:v>
                </c:pt>
                <c:pt idx="17">
                  <c:v>161204623.48562816</c:v>
                </c:pt>
                <c:pt idx="18">
                  <c:v>36813670.833423533</c:v>
                </c:pt>
                <c:pt idx="19">
                  <c:v>47243807.488494441</c:v>
                </c:pt>
                <c:pt idx="20">
                  <c:v>45318904.496043541</c:v>
                </c:pt>
                <c:pt idx="21">
                  <c:v>42350136.454053074</c:v>
                </c:pt>
                <c:pt idx="22">
                  <c:v>-117171791.72157413</c:v>
                </c:pt>
                <c:pt idx="23">
                  <c:v>23916658.166205019</c:v>
                </c:pt>
                <c:pt idx="24">
                  <c:v>101601970.16098225</c:v>
                </c:pt>
                <c:pt idx="25">
                  <c:v>-62620735.11486809</c:v>
                </c:pt>
                <c:pt idx="26">
                  <c:v>-3305911.9649580661</c:v>
                </c:pt>
                <c:pt idx="27">
                  <c:v>-340168283.17373812</c:v>
                </c:pt>
                <c:pt idx="28">
                  <c:v>-3512223.3528688718</c:v>
                </c:pt>
                <c:pt idx="29">
                  <c:v>2366841.2593179662</c:v>
                </c:pt>
                <c:pt idx="30">
                  <c:v>-19631959.726512156</c:v>
                </c:pt>
                <c:pt idx="31">
                  <c:v>5297430.7656863257</c:v>
                </c:pt>
                <c:pt idx="32">
                  <c:v>-243635343.90661851</c:v>
                </c:pt>
                <c:pt idx="33">
                  <c:v>-10998124.855596583</c:v>
                </c:pt>
                <c:pt idx="34">
                  <c:v>-14536536.479746858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322009344"/>
        <c:axId val="322011136"/>
      </c:barChart>
      <c:catAx>
        <c:axId val="322009344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322011136"/>
        <c:crosses val="autoZero"/>
        <c:auto val="1"/>
        <c:lblAlgn val="ctr"/>
        <c:lblOffset val="100"/>
        <c:noMultiLvlLbl val="0"/>
      </c:catAx>
      <c:valAx>
        <c:axId val="322011136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322009344"/>
        <c:crosses val="autoZero"/>
        <c:crossBetween val="between"/>
        <c:dispUnits>
          <c:builtInUnit val="million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43898420486385E-2"/>
          <c:y val="7.9900036391391024E-2"/>
          <c:w val="0.83805372633198372"/>
          <c:h val="0.88154421070937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250507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Hoja1!$BQ$45:$BQ$79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Hoja1!$BS$45:$BS$79</c:f>
              <c:numCache>
                <c:formatCode>General</c:formatCode>
                <c:ptCount val="35"/>
                <c:pt idx="0">
                  <c:v>2742179.2170134904</c:v>
                </c:pt>
                <c:pt idx="1">
                  <c:v>4353126.4286503773</c:v>
                </c:pt>
                <c:pt idx="2">
                  <c:v>37445529.474870883</c:v>
                </c:pt>
                <c:pt idx="3">
                  <c:v>4052436.4468602794</c:v>
                </c:pt>
                <c:pt idx="4">
                  <c:v>4547198.3935933998</c:v>
                </c:pt>
                <c:pt idx="5">
                  <c:v>6090329.5887549883</c:v>
                </c:pt>
                <c:pt idx="6">
                  <c:v>5058287.5930704465</c:v>
                </c:pt>
                <c:pt idx="7">
                  <c:v>37523707.817113876</c:v>
                </c:pt>
                <c:pt idx="8">
                  <c:v>10979304.556887466</c:v>
                </c:pt>
                <c:pt idx="9">
                  <c:v>11394171.457383927</c:v>
                </c:pt>
                <c:pt idx="10">
                  <c:v>9141952.6071412563</c:v>
                </c:pt>
                <c:pt idx="11">
                  <c:v>8378221.2487297514</c:v>
                </c:pt>
                <c:pt idx="12">
                  <c:v>86040428.994571984</c:v>
                </c:pt>
                <c:pt idx="13">
                  <c:v>-5522451.6116492786</c:v>
                </c:pt>
                <c:pt idx="14">
                  <c:v>13038202.28492301</c:v>
                </c:pt>
                <c:pt idx="15">
                  <c:v>9285601.0345756412</c:v>
                </c:pt>
                <c:pt idx="16">
                  <c:v>13957645.898938298</c:v>
                </c:pt>
                <c:pt idx="17">
                  <c:v>120078069.73477794</c:v>
                </c:pt>
                <c:pt idx="18">
                  <c:v>2586545.9132975955</c:v>
                </c:pt>
                <c:pt idx="19">
                  <c:v>8268140.2777769901</c:v>
                </c:pt>
                <c:pt idx="20">
                  <c:v>-4883849.7140438873</c:v>
                </c:pt>
                <c:pt idx="21">
                  <c:v>8042620.5709175654</c:v>
                </c:pt>
                <c:pt idx="22">
                  <c:v>-7296031.5872317329</c:v>
                </c:pt>
                <c:pt idx="23">
                  <c:v>-6591696.4190023718</c:v>
                </c:pt>
                <c:pt idx="24">
                  <c:v>-5375771.4162883228</c:v>
                </c:pt>
                <c:pt idx="25">
                  <c:v>-1274149.9144380353</c:v>
                </c:pt>
                <c:pt idx="26">
                  <c:v>-3614164.675365862</c:v>
                </c:pt>
                <c:pt idx="27">
                  <c:v>-5324505.2736165076</c:v>
                </c:pt>
                <c:pt idx="28">
                  <c:v>-3163605.1975977784</c:v>
                </c:pt>
                <c:pt idx="29">
                  <c:v>-2647179.5466796886</c:v>
                </c:pt>
                <c:pt idx="30">
                  <c:v>-3516152.3477566284</c:v>
                </c:pt>
                <c:pt idx="31">
                  <c:v>-2636036.2416432239</c:v>
                </c:pt>
                <c:pt idx="32">
                  <c:v>-27336120.598981846</c:v>
                </c:pt>
                <c:pt idx="33">
                  <c:v>-4717470.3332468411</c:v>
                </c:pt>
                <c:pt idx="34">
                  <c:v>-2602490.2668743022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Hoja1!$BU$45:$BU$79</c:f>
              <c:numCache>
                <c:formatCode>General</c:formatCode>
                <c:ptCount val="35"/>
                <c:pt idx="0">
                  <c:v>6161212.1429686528</c:v>
                </c:pt>
                <c:pt idx="1">
                  <c:v>5963000.6433982942</c:v>
                </c:pt>
                <c:pt idx="2">
                  <c:v>170248203.27689582</c:v>
                </c:pt>
                <c:pt idx="3">
                  <c:v>1399256.8318258692</c:v>
                </c:pt>
                <c:pt idx="4">
                  <c:v>3955068.0811777725</c:v>
                </c:pt>
                <c:pt idx="5">
                  <c:v>1814105.3488403559</c:v>
                </c:pt>
                <c:pt idx="6">
                  <c:v>3811740.232984141</c:v>
                </c:pt>
                <c:pt idx="7">
                  <c:v>250531384.73253965</c:v>
                </c:pt>
                <c:pt idx="8">
                  <c:v>1148214.6755919424</c:v>
                </c:pt>
                <c:pt idx="9">
                  <c:v>2191991.7755204611</c:v>
                </c:pt>
                <c:pt idx="10">
                  <c:v>3250613.1537262346</c:v>
                </c:pt>
                <c:pt idx="11">
                  <c:v>4895381.8892564531</c:v>
                </c:pt>
                <c:pt idx="12">
                  <c:v>591486644.03121018</c:v>
                </c:pt>
                <c:pt idx="13">
                  <c:v>3281466.9826362086</c:v>
                </c:pt>
                <c:pt idx="14">
                  <c:v>7928637.0588743668</c:v>
                </c:pt>
                <c:pt idx="15">
                  <c:v>5229733.3589370213</c:v>
                </c:pt>
                <c:pt idx="16">
                  <c:v>3047006.5822831038</c:v>
                </c:pt>
                <c:pt idx="17">
                  <c:v>202202950.77798495</c:v>
                </c:pt>
                <c:pt idx="18">
                  <c:v>9567995.1676573828</c:v>
                </c:pt>
                <c:pt idx="19">
                  <c:v>-300561.36290850258</c:v>
                </c:pt>
                <c:pt idx="20">
                  <c:v>-1037156.3952252273</c:v>
                </c:pt>
                <c:pt idx="21">
                  <c:v>-1308984.3056354891</c:v>
                </c:pt>
                <c:pt idx="22">
                  <c:v>76472442.177654415</c:v>
                </c:pt>
                <c:pt idx="23">
                  <c:v>-1590736.8438638537</c:v>
                </c:pt>
                <c:pt idx="24">
                  <c:v>-513679.92139566178</c:v>
                </c:pt>
                <c:pt idx="25">
                  <c:v>-3257481.0548758884</c:v>
                </c:pt>
                <c:pt idx="26">
                  <c:v>-730914.59633653983</c:v>
                </c:pt>
                <c:pt idx="27">
                  <c:v>1920697.0010323226</c:v>
                </c:pt>
                <c:pt idx="28">
                  <c:v>-885842.49942517187</c:v>
                </c:pt>
                <c:pt idx="29">
                  <c:v>-5122991.5696519408</c:v>
                </c:pt>
                <c:pt idx="30">
                  <c:v>-1258902.6643060984</c:v>
                </c:pt>
                <c:pt idx="31">
                  <c:v>-887308.47926799499</c:v>
                </c:pt>
                <c:pt idx="32">
                  <c:v>-68003231.600880161</c:v>
                </c:pt>
                <c:pt idx="33">
                  <c:v>-3183111.1357851871</c:v>
                </c:pt>
                <c:pt idx="34">
                  <c:v>-3376779.4572450812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322041728"/>
        <c:axId val="322043264"/>
      </c:barChart>
      <c:catAx>
        <c:axId val="322041728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322043264"/>
        <c:crosses val="autoZero"/>
        <c:auto val="1"/>
        <c:lblAlgn val="ctr"/>
        <c:lblOffset val="100"/>
        <c:noMultiLvlLbl val="0"/>
      </c:catAx>
      <c:valAx>
        <c:axId val="322043264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322041728"/>
        <c:crosses val="autoZero"/>
        <c:crossBetween val="between"/>
        <c:dispUnits>
          <c:builtInUnit val="million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480939657863116E-2"/>
          <c:y val="7.2241743410779921E-2"/>
          <c:w val="0.83221581465143679"/>
          <c:h val="0.8834999802033873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250507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Hoja1!$BQ$85:$BQ$130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Hoja1!$BS$85:$BS$130</c:f>
              <c:numCache>
                <c:formatCode>General</c:formatCode>
                <c:ptCount val="46"/>
                <c:pt idx="0">
                  <c:v>45438.640292412936</c:v>
                </c:pt>
                <c:pt idx="1">
                  <c:v>35030.32801505649</c:v>
                </c:pt>
                <c:pt idx="2">
                  <c:v>1186047.9265935961</c:v>
                </c:pt>
                <c:pt idx="3">
                  <c:v>120586.41741583386</c:v>
                </c:pt>
                <c:pt idx="4">
                  <c:v>222801.52773118974</c:v>
                </c:pt>
                <c:pt idx="5">
                  <c:v>163945.09126222957</c:v>
                </c:pt>
                <c:pt idx="6">
                  <c:v>118335.73272037326</c:v>
                </c:pt>
                <c:pt idx="7">
                  <c:v>1684449.6280153336</c:v>
                </c:pt>
                <c:pt idx="8">
                  <c:v>335831.13840126822</c:v>
                </c:pt>
                <c:pt idx="9">
                  <c:v>370737.98914411914</c:v>
                </c:pt>
                <c:pt idx="10">
                  <c:v>371017.0023836313</c:v>
                </c:pt>
                <c:pt idx="11">
                  <c:v>716739.28582885501</c:v>
                </c:pt>
                <c:pt idx="12">
                  <c:v>1708466.2585570554</c:v>
                </c:pt>
                <c:pt idx="13">
                  <c:v>460629.02229413309</c:v>
                </c:pt>
                <c:pt idx="14">
                  <c:v>434756.88384602609</c:v>
                </c:pt>
                <c:pt idx="15">
                  <c:v>0</c:v>
                </c:pt>
                <c:pt idx="16">
                  <c:v>854024.21268412506</c:v>
                </c:pt>
                <c:pt idx="17">
                  <c:v>1044272.1476540063</c:v>
                </c:pt>
                <c:pt idx="18">
                  <c:v>572117.22796989896</c:v>
                </c:pt>
                <c:pt idx="19">
                  <c:v>1396491.2517623433</c:v>
                </c:pt>
                <c:pt idx="20">
                  <c:v>-140230.36219622061</c:v>
                </c:pt>
                <c:pt idx="21">
                  <c:v>-525850.31840947352</c:v>
                </c:pt>
                <c:pt idx="22">
                  <c:v>-847536.0073458117</c:v>
                </c:pt>
                <c:pt idx="23">
                  <c:v>134049.58555404283</c:v>
                </c:pt>
                <c:pt idx="24">
                  <c:v>-71571.964352793701</c:v>
                </c:pt>
                <c:pt idx="25">
                  <c:v>-484618.0422325253</c:v>
                </c:pt>
                <c:pt idx="26">
                  <c:v>-430147.84785528679</c:v>
                </c:pt>
                <c:pt idx="27">
                  <c:v>-1710826.8598397947</c:v>
                </c:pt>
                <c:pt idx="28">
                  <c:v>-249373.90299950191</c:v>
                </c:pt>
                <c:pt idx="29">
                  <c:v>-565719.97618575604</c:v>
                </c:pt>
                <c:pt idx="30">
                  <c:v>-218950.02739201451</c:v>
                </c:pt>
                <c:pt idx="31">
                  <c:v>-75652.581466920747</c:v>
                </c:pt>
                <c:pt idx="32">
                  <c:v>-876126.47403684468</c:v>
                </c:pt>
                <c:pt idx="33">
                  <c:v>-1046188.6612949141</c:v>
                </c:pt>
                <c:pt idx="34">
                  <c:v>-53765.919026510404</c:v>
                </c:pt>
                <c:pt idx="35">
                  <c:v>-94456.811207407358</c:v>
                </c:pt>
                <c:pt idx="36">
                  <c:v>-23280.574543260576</c:v>
                </c:pt>
                <c:pt idx="37">
                  <c:v>-1457319.94063371</c:v>
                </c:pt>
                <c:pt idx="38">
                  <c:v>-94791.21603629952</c:v>
                </c:pt>
                <c:pt idx="39">
                  <c:v>9002.6204033806571</c:v>
                </c:pt>
                <c:pt idx="40">
                  <c:v>-89152.047834941623</c:v>
                </c:pt>
                <c:pt idx="41">
                  <c:v>-200369.86359746859</c:v>
                </c:pt>
                <c:pt idx="42">
                  <c:v>-592256.46767441765</c:v>
                </c:pt>
                <c:pt idx="43">
                  <c:v>-19908.003710596997</c:v>
                </c:pt>
                <c:pt idx="44">
                  <c:v>192117.54941658818</c:v>
                </c:pt>
                <c:pt idx="45">
                  <c:v>-68928.160466084519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Hoja1!$BU$85:$BU$130</c:f>
              <c:numCache>
                <c:formatCode>General</c:formatCode>
                <c:ptCount val="46"/>
                <c:pt idx="0">
                  <c:v>-10322.51932611506</c:v>
                </c:pt>
                <c:pt idx="1">
                  <c:v>3093.120313606436</c:v>
                </c:pt>
                <c:pt idx="2">
                  <c:v>-31289.11345831411</c:v>
                </c:pt>
                <c:pt idx="3">
                  <c:v>4322.6990115668341</c:v>
                </c:pt>
                <c:pt idx="4">
                  <c:v>7650.6678127900996</c:v>
                </c:pt>
                <c:pt idx="5">
                  <c:v>36186.519966881293</c:v>
                </c:pt>
                <c:pt idx="6">
                  <c:v>-117031.51222982562</c:v>
                </c:pt>
                <c:pt idx="7">
                  <c:v>2545987.5435202071</c:v>
                </c:pt>
                <c:pt idx="8">
                  <c:v>104870.35130538375</c:v>
                </c:pt>
                <c:pt idx="9">
                  <c:v>-63407.799870293704</c:v>
                </c:pt>
                <c:pt idx="10">
                  <c:v>148107.83797902669</c:v>
                </c:pt>
                <c:pt idx="11">
                  <c:v>145012.85407316228</c:v>
                </c:pt>
                <c:pt idx="12">
                  <c:v>1100147.0906363749</c:v>
                </c:pt>
                <c:pt idx="13">
                  <c:v>125097.5379691448</c:v>
                </c:pt>
                <c:pt idx="14">
                  <c:v>197884.50847757951</c:v>
                </c:pt>
                <c:pt idx="15">
                  <c:v>200466.25970390573</c:v>
                </c:pt>
                <c:pt idx="16">
                  <c:v>162923.02467880549</c:v>
                </c:pt>
                <c:pt idx="17">
                  <c:v>-2800919.7687764154</c:v>
                </c:pt>
                <c:pt idx="18">
                  <c:v>190741.64801650474</c:v>
                </c:pt>
                <c:pt idx="19">
                  <c:v>-443682.70381794422</c:v>
                </c:pt>
                <c:pt idx="20">
                  <c:v>-63102.853649207376</c:v>
                </c:pt>
                <c:pt idx="21">
                  <c:v>11534.998692024965</c:v>
                </c:pt>
                <c:pt idx="22">
                  <c:v>-217315.20999145589</c:v>
                </c:pt>
                <c:pt idx="23">
                  <c:v>-461656.77742323972</c:v>
                </c:pt>
                <c:pt idx="24">
                  <c:v>-925256.96804512199</c:v>
                </c:pt>
                <c:pt idx="25">
                  <c:v>-116215.87932290969</c:v>
                </c:pt>
                <c:pt idx="26">
                  <c:v>596215.18456635578</c:v>
                </c:pt>
                <c:pt idx="27">
                  <c:v>-230876.03630721895</c:v>
                </c:pt>
                <c:pt idx="28">
                  <c:v>-324293.70935802709</c:v>
                </c:pt>
                <c:pt idx="29">
                  <c:v>-154348.25449716902</c:v>
                </c:pt>
                <c:pt idx="30">
                  <c:v>-907294.12333179091</c:v>
                </c:pt>
                <c:pt idx="31">
                  <c:v>-161830.21551908302</c:v>
                </c:pt>
                <c:pt idx="32">
                  <c:v>128931.87304152997</c:v>
                </c:pt>
                <c:pt idx="33">
                  <c:v>117385.39253380845</c:v>
                </c:pt>
                <c:pt idx="34">
                  <c:v>-483678.92106106295</c:v>
                </c:pt>
                <c:pt idx="35">
                  <c:v>-105216.51704769832</c:v>
                </c:pt>
                <c:pt idx="36">
                  <c:v>126266.08754496642</c:v>
                </c:pt>
                <c:pt idx="37">
                  <c:v>-581949.3742757712</c:v>
                </c:pt>
                <c:pt idx="38">
                  <c:v>38225.465022405988</c:v>
                </c:pt>
                <c:pt idx="39">
                  <c:v>-585127.28536697221</c:v>
                </c:pt>
                <c:pt idx="40">
                  <c:v>-50208.598419845061</c:v>
                </c:pt>
                <c:pt idx="41">
                  <c:v>74716.925425398149</c:v>
                </c:pt>
                <c:pt idx="42">
                  <c:v>-136229.03502124362</c:v>
                </c:pt>
                <c:pt idx="43">
                  <c:v>-52396.549134200177</c:v>
                </c:pt>
                <c:pt idx="44">
                  <c:v>-10004.885526873699</c:v>
                </c:pt>
                <c:pt idx="45">
                  <c:v>28072.942818881253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322092416"/>
        <c:axId val="322098304"/>
      </c:barChart>
      <c:catAx>
        <c:axId val="322092416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322098304"/>
        <c:crosses val="autoZero"/>
        <c:auto val="1"/>
        <c:lblAlgn val="ctr"/>
        <c:lblOffset val="100"/>
        <c:noMultiLvlLbl val="0"/>
      </c:catAx>
      <c:valAx>
        <c:axId val="322098304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322092416"/>
        <c:crosses val="autoZero"/>
        <c:crossBetween val="between"/>
        <c:dispUnits>
          <c:builtInUnit val="million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39966648324671"/>
          <c:y val="4.9371664561910507E-2"/>
          <c:w val="0.73530441899733812"/>
          <c:h val="0.9076205966862017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250507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20450</c:v>
                </c:pt>
                <c:pt idx="1">
                  <c:v>20425</c:v>
                </c:pt>
                <c:pt idx="2">
                  <c:v>20400</c:v>
                </c:pt>
                <c:pt idx="3">
                  <c:v>20375</c:v>
                </c:pt>
                <c:pt idx="4">
                  <c:v>20350</c:v>
                </c:pt>
                <c:pt idx="5">
                  <c:v>20325</c:v>
                </c:pt>
                <c:pt idx="6">
                  <c:v>20300</c:v>
                </c:pt>
                <c:pt idx="7">
                  <c:v>20275</c:v>
                </c:pt>
                <c:pt idx="8">
                  <c:v>20250</c:v>
                </c:pt>
                <c:pt idx="9">
                  <c:v>20225</c:v>
                </c:pt>
                <c:pt idx="10">
                  <c:v>20200</c:v>
                </c:pt>
                <c:pt idx="11">
                  <c:v>20175</c:v>
                </c:pt>
                <c:pt idx="12">
                  <c:v>20150</c:v>
                </c:pt>
                <c:pt idx="13">
                  <c:v>20125</c:v>
                </c:pt>
                <c:pt idx="14">
                  <c:v>20100</c:v>
                </c:pt>
                <c:pt idx="15">
                  <c:v>20075</c:v>
                </c:pt>
                <c:pt idx="16">
                  <c:v>20050</c:v>
                </c:pt>
                <c:pt idx="17">
                  <c:v>20025</c:v>
                </c:pt>
                <c:pt idx="18">
                  <c:v>20000</c:v>
                </c:pt>
                <c:pt idx="19">
                  <c:v>19975</c:v>
                </c:pt>
                <c:pt idx="20">
                  <c:v>19950</c:v>
                </c:pt>
                <c:pt idx="21">
                  <c:v>19925</c:v>
                </c:pt>
                <c:pt idx="22">
                  <c:v>19900</c:v>
                </c:pt>
                <c:pt idx="23">
                  <c:v>19875</c:v>
                </c:pt>
                <c:pt idx="24">
                  <c:v>19850</c:v>
                </c:pt>
                <c:pt idx="25">
                  <c:v>19825</c:v>
                </c:pt>
                <c:pt idx="26">
                  <c:v>19800</c:v>
                </c:pt>
                <c:pt idx="27">
                  <c:v>19775</c:v>
                </c:pt>
                <c:pt idx="28">
                  <c:v>19750</c:v>
                </c:pt>
                <c:pt idx="29">
                  <c:v>19725</c:v>
                </c:pt>
                <c:pt idx="30">
                  <c:v>19700</c:v>
                </c:pt>
                <c:pt idx="31">
                  <c:v>19675</c:v>
                </c:pt>
                <c:pt idx="32">
                  <c:v>19650</c:v>
                </c:pt>
                <c:pt idx="33">
                  <c:v>19625</c:v>
                </c:pt>
                <c:pt idx="34">
                  <c:v>19600</c:v>
                </c:pt>
                <c:pt idx="35">
                  <c:v>19575</c:v>
                </c:pt>
                <c:pt idx="36">
                  <c:v>19550</c:v>
                </c:pt>
                <c:pt idx="37">
                  <c:v>19525</c:v>
                </c:pt>
                <c:pt idx="38">
                  <c:v>19500</c:v>
                </c:pt>
                <c:pt idx="39">
                  <c:v>19475</c:v>
                </c:pt>
                <c:pt idx="40">
                  <c:v>19450</c:v>
                </c:pt>
                <c:pt idx="41">
                  <c:v>19425</c:v>
                </c:pt>
                <c:pt idx="42">
                  <c:v>19400</c:v>
                </c:pt>
                <c:pt idx="43">
                  <c:v>19375</c:v>
                </c:pt>
                <c:pt idx="44">
                  <c:v>19350</c:v>
                </c:pt>
                <c:pt idx="45">
                  <c:v>19325</c:v>
                </c:pt>
                <c:pt idx="46">
                  <c:v>19300</c:v>
                </c:pt>
                <c:pt idx="47">
                  <c:v>19275</c:v>
                </c:pt>
                <c:pt idx="48">
                  <c:v>19250</c:v>
                </c:pt>
                <c:pt idx="49">
                  <c:v>19225</c:v>
                </c:pt>
                <c:pt idx="50">
                  <c:v>19200</c:v>
                </c:pt>
                <c:pt idx="51">
                  <c:v>19175</c:v>
                </c:pt>
                <c:pt idx="52">
                  <c:v>19150</c:v>
                </c:pt>
              </c:numCache>
            </c:numRef>
          </c:cat>
          <c:val>
            <c:numRef>
              <c:f>Hoja1!$BQ$137:$BQ$189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20450</c:v>
                </c:pt>
                <c:pt idx="1">
                  <c:v>20425</c:v>
                </c:pt>
                <c:pt idx="2">
                  <c:v>20400</c:v>
                </c:pt>
                <c:pt idx="3">
                  <c:v>20375</c:v>
                </c:pt>
                <c:pt idx="4">
                  <c:v>20350</c:v>
                </c:pt>
                <c:pt idx="5">
                  <c:v>20325</c:v>
                </c:pt>
                <c:pt idx="6">
                  <c:v>20300</c:v>
                </c:pt>
                <c:pt idx="7">
                  <c:v>20275</c:v>
                </c:pt>
                <c:pt idx="8">
                  <c:v>20250</c:v>
                </c:pt>
                <c:pt idx="9">
                  <c:v>20225</c:v>
                </c:pt>
                <c:pt idx="10">
                  <c:v>20200</c:v>
                </c:pt>
                <c:pt idx="11">
                  <c:v>20175</c:v>
                </c:pt>
                <c:pt idx="12">
                  <c:v>20150</c:v>
                </c:pt>
                <c:pt idx="13">
                  <c:v>20125</c:v>
                </c:pt>
                <c:pt idx="14">
                  <c:v>20100</c:v>
                </c:pt>
                <c:pt idx="15">
                  <c:v>20075</c:v>
                </c:pt>
                <c:pt idx="16">
                  <c:v>20050</c:v>
                </c:pt>
                <c:pt idx="17">
                  <c:v>20025</c:v>
                </c:pt>
                <c:pt idx="18">
                  <c:v>20000</c:v>
                </c:pt>
                <c:pt idx="19">
                  <c:v>19975</c:v>
                </c:pt>
                <c:pt idx="20">
                  <c:v>19950</c:v>
                </c:pt>
                <c:pt idx="21">
                  <c:v>19925</c:v>
                </c:pt>
                <c:pt idx="22">
                  <c:v>19900</c:v>
                </c:pt>
                <c:pt idx="23">
                  <c:v>19875</c:v>
                </c:pt>
                <c:pt idx="24">
                  <c:v>19850</c:v>
                </c:pt>
                <c:pt idx="25">
                  <c:v>19825</c:v>
                </c:pt>
                <c:pt idx="26">
                  <c:v>19800</c:v>
                </c:pt>
                <c:pt idx="27">
                  <c:v>19775</c:v>
                </c:pt>
                <c:pt idx="28">
                  <c:v>19750</c:v>
                </c:pt>
                <c:pt idx="29">
                  <c:v>19725</c:v>
                </c:pt>
                <c:pt idx="30">
                  <c:v>19700</c:v>
                </c:pt>
                <c:pt idx="31">
                  <c:v>19675</c:v>
                </c:pt>
                <c:pt idx="32">
                  <c:v>19650</c:v>
                </c:pt>
                <c:pt idx="33">
                  <c:v>19625</c:v>
                </c:pt>
                <c:pt idx="34">
                  <c:v>19600</c:v>
                </c:pt>
                <c:pt idx="35">
                  <c:v>19575</c:v>
                </c:pt>
                <c:pt idx="36">
                  <c:v>19550</c:v>
                </c:pt>
                <c:pt idx="37">
                  <c:v>19525</c:v>
                </c:pt>
                <c:pt idx="38">
                  <c:v>19500</c:v>
                </c:pt>
                <c:pt idx="39">
                  <c:v>19475</c:v>
                </c:pt>
                <c:pt idx="40">
                  <c:v>19450</c:v>
                </c:pt>
                <c:pt idx="41">
                  <c:v>19425</c:v>
                </c:pt>
                <c:pt idx="42">
                  <c:v>19400</c:v>
                </c:pt>
                <c:pt idx="43">
                  <c:v>19375</c:v>
                </c:pt>
                <c:pt idx="44">
                  <c:v>19350</c:v>
                </c:pt>
                <c:pt idx="45">
                  <c:v>19325</c:v>
                </c:pt>
                <c:pt idx="46">
                  <c:v>19300</c:v>
                </c:pt>
                <c:pt idx="47">
                  <c:v>19275</c:v>
                </c:pt>
                <c:pt idx="48">
                  <c:v>19250</c:v>
                </c:pt>
                <c:pt idx="49">
                  <c:v>19225</c:v>
                </c:pt>
                <c:pt idx="50">
                  <c:v>19200</c:v>
                </c:pt>
                <c:pt idx="51">
                  <c:v>19175</c:v>
                </c:pt>
                <c:pt idx="52">
                  <c:v>19150</c:v>
                </c:pt>
              </c:numCache>
            </c:numRef>
          </c:cat>
          <c:val>
            <c:numRef>
              <c:f>Hoja1!$BS$137:$BS$189</c:f>
              <c:numCache>
                <c:formatCode>General</c:formatCode>
                <c:ptCount val="53"/>
                <c:pt idx="0">
                  <c:v>78962.767780793161</c:v>
                </c:pt>
                <c:pt idx="1">
                  <c:v>-11213.675181083472</c:v>
                </c:pt>
                <c:pt idx="2">
                  <c:v>321650.38339432457</c:v>
                </c:pt>
                <c:pt idx="3">
                  <c:v>78033.587424973375</c:v>
                </c:pt>
                <c:pt idx="4">
                  <c:v>624834.84799900511</c:v>
                </c:pt>
                <c:pt idx="5">
                  <c:v>34772.501118140535</c:v>
                </c:pt>
                <c:pt idx="6">
                  <c:v>73276.616165769694</c:v>
                </c:pt>
                <c:pt idx="7">
                  <c:v>597078.49146225548</c:v>
                </c:pt>
                <c:pt idx="8">
                  <c:v>330479.60276946367</c:v>
                </c:pt>
                <c:pt idx="9">
                  <c:v>84197.278404121418</c:v>
                </c:pt>
                <c:pt idx="10">
                  <c:v>275775.83508249308</c:v>
                </c:pt>
                <c:pt idx="11">
                  <c:v>605222.98549694673</c:v>
                </c:pt>
                <c:pt idx="12">
                  <c:v>-391638.87696471752</c:v>
                </c:pt>
                <c:pt idx="13">
                  <c:v>161514.69676369496</c:v>
                </c:pt>
                <c:pt idx="14">
                  <c:v>256085.91699494305</c:v>
                </c:pt>
                <c:pt idx="15">
                  <c:v>318378.07479386596</c:v>
                </c:pt>
                <c:pt idx="16">
                  <c:v>432286.88333074877</c:v>
                </c:pt>
                <c:pt idx="17">
                  <c:v>243762.5179433884</c:v>
                </c:pt>
                <c:pt idx="18">
                  <c:v>645002.0012846333</c:v>
                </c:pt>
                <c:pt idx="19">
                  <c:v>-138184.8579281031</c:v>
                </c:pt>
                <c:pt idx="20">
                  <c:v>33567.089717694005</c:v>
                </c:pt>
                <c:pt idx="21">
                  <c:v>8706.7870761610393</c:v>
                </c:pt>
                <c:pt idx="22">
                  <c:v>343488.12054505653</c:v>
                </c:pt>
                <c:pt idx="23">
                  <c:v>57608.289383616706</c:v>
                </c:pt>
                <c:pt idx="24">
                  <c:v>81087.076750637862</c:v>
                </c:pt>
                <c:pt idx="25">
                  <c:v>275450.64237400028</c:v>
                </c:pt>
                <c:pt idx="26">
                  <c:v>548614.24543218897</c:v>
                </c:pt>
                <c:pt idx="27">
                  <c:v>249107.6209710681</c:v>
                </c:pt>
                <c:pt idx="28">
                  <c:v>149224.39684324758</c:v>
                </c:pt>
                <c:pt idx="29">
                  <c:v>172844.26048183136</c:v>
                </c:pt>
                <c:pt idx="30">
                  <c:v>-96882.516687156603</c:v>
                </c:pt>
                <c:pt idx="31">
                  <c:v>-13206.243228312203</c:v>
                </c:pt>
                <c:pt idx="32">
                  <c:v>1626038.9553840254</c:v>
                </c:pt>
                <c:pt idx="33">
                  <c:v>-12419.257804284454</c:v>
                </c:pt>
                <c:pt idx="34">
                  <c:v>183824.40314252459</c:v>
                </c:pt>
                <c:pt idx="35">
                  <c:v>235226.66132741095</c:v>
                </c:pt>
                <c:pt idx="36">
                  <c:v>-12831.890762134062</c:v>
                </c:pt>
                <c:pt idx="37">
                  <c:v>-9180.0497350524092</c:v>
                </c:pt>
                <c:pt idx="38">
                  <c:v>-405671.9178903047</c:v>
                </c:pt>
                <c:pt idx="39">
                  <c:v>-183576.27161993345</c:v>
                </c:pt>
                <c:pt idx="40">
                  <c:v>-116326.56184567465</c:v>
                </c:pt>
                <c:pt idx="41">
                  <c:v>-315727.15912147373</c:v>
                </c:pt>
                <c:pt idx="42">
                  <c:v>-421848.38602859434</c:v>
                </c:pt>
                <c:pt idx="43">
                  <c:v>-390151.3640615191</c:v>
                </c:pt>
                <c:pt idx="44">
                  <c:v>-444826.92314973217</c:v>
                </c:pt>
                <c:pt idx="45">
                  <c:v>-271303.84541919839</c:v>
                </c:pt>
                <c:pt idx="46">
                  <c:v>-386839.35367529071</c:v>
                </c:pt>
                <c:pt idx="47">
                  <c:v>-24205.014790104644</c:v>
                </c:pt>
                <c:pt idx="48">
                  <c:v>-45636.92041318852</c:v>
                </c:pt>
                <c:pt idx="49">
                  <c:v>12705.563771169222</c:v>
                </c:pt>
                <c:pt idx="50">
                  <c:v>231142.77306571527</c:v>
                </c:pt>
                <c:pt idx="51">
                  <c:v>13138.09695972221</c:v>
                </c:pt>
                <c:pt idx="52">
                  <c:v>-32484.782745090248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20450</c:v>
                </c:pt>
                <c:pt idx="1">
                  <c:v>20425</c:v>
                </c:pt>
                <c:pt idx="2">
                  <c:v>20400</c:v>
                </c:pt>
                <c:pt idx="3">
                  <c:v>20375</c:v>
                </c:pt>
                <c:pt idx="4">
                  <c:v>20350</c:v>
                </c:pt>
                <c:pt idx="5">
                  <c:v>20325</c:v>
                </c:pt>
                <c:pt idx="6">
                  <c:v>20300</c:v>
                </c:pt>
                <c:pt idx="7">
                  <c:v>20275</c:v>
                </c:pt>
                <c:pt idx="8">
                  <c:v>20250</c:v>
                </c:pt>
                <c:pt idx="9">
                  <c:v>20225</c:v>
                </c:pt>
                <c:pt idx="10">
                  <c:v>20200</c:v>
                </c:pt>
                <c:pt idx="11">
                  <c:v>20175</c:v>
                </c:pt>
                <c:pt idx="12">
                  <c:v>20150</c:v>
                </c:pt>
                <c:pt idx="13">
                  <c:v>20125</c:v>
                </c:pt>
                <c:pt idx="14">
                  <c:v>20100</c:v>
                </c:pt>
                <c:pt idx="15">
                  <c:v>20075</c:v>
                </c:pt>
                <c:pt idx="16">
                  <c:v>20050</c:v>
                </c:pt>
                <c:pt idx="17">
                  <c:v>20025</c:v>
                </c:pt>
                <c:pt idx="18">
                  <c:v>20000</c:v>
                </c:pt>
                <c:pt idx="19">
                  <c:v>19975</c:v>
                </c:pt>
                <c:pt idx="20">
                  <c:v>19950</c:v>
                </c:pt>
                <c:pt idx="21">
                  <c:v>19925</c:v>
                </c:pt>
                <c:pt idx="22">
                  <c:v>19900</c:v>
                </c:pt>
                <c:pt idx="23">
                  <c:v>19875</c:v>
                </c:pt>
                <c:pt idx="24">
                  <c:v>19850</c:v>
                </c:pt>
                <c:pt idx="25">
                  <c:v>19825</c:v>
                </c:pt>
                <c:pt idx="26">
                  <c:v>19800</c:v>
                </c:pt>
                <c:pt idx="27">
                  <c:v>19775</c:v>
                </c:pt>
                <c:pt idx="28">
                  <c:v>19750</c:v>
                </c:pt>
                <c:pt idx="29">
                  <c:v>19725</c:v>
                </c:pt>
                <c:pt idx="30">
                  <c:v>19700</c:v>
                </c:pt>
                <c:pt idx="31">
                  <c:v>19675</c:v>
                </c:pt>
                <c:pt idx="32">
                  <c:v>19650</c:v>
                </c:pt>
                <c:pt idx="33">
                  <c:v>19625</c:v>
                </c:pt>
                <c:pt idx="34">
                  <c:v>19600</c:v>
                </c:pt>
                <c:pt idx="35">
                  <c:v>19575</c:v>
                </c:pt>
                <c:pt idx="36">
                  <c:v>19550</c:v>
                </c:pt>
                <c:pt idx="37">
                  <c:v>19525</c:v>
                </c:pt>
                <c:pt idx="38">
                  <c:v>19500</c:v>
                </c:pt>
                <c:pt idx="39">
                  <c:v>19475</c:v>
                </c:pt>
                <c:pt idx="40">
                  <c:v>19450</c:v>
                </c:pt>
                <c:pt idx="41">
                  <c:v>19425</c:v>
                </c:pt>
                <c:pt idx="42">
                  <c:v>19400</c:v>
                </c:pt>
                <c:pt idx="43">
                  <c:v>19375</c:v>
                </c:pt>
                <c:pt idx="44">
                  <c:v>19350</c:v>
                </c:pt>
                <c:pt idx="45">
                  <c:v>19325</c:v>
                </c:pt>
                <c:pt idx="46">
                  <c:v>19300</c:v>
                </c:pt>
                <c:pt idx="47">
                  <c:v>19275</c:v>
                </c:pt>
                <c:pt idx="48">
                  <c:v>19250</c:v>
                </c:pt>
                <c:pt idx="49">
                  <c:v>19225</c:v>
                </c:pt>
                <c:pt idx="50">
                  <c:v>19200</c:v>
                </c:pt>
                <c:pt idx="51">
                  <c:v>19175</c:v>
                </c:pt>
                <c:pt idx="52">
                  <c:v>19150</c:v>
                </c:pt>
              </c:numCache>
            </c:numRef>
          </c:cat>
          <c:val>
            <c:numRef>
              <c:f>Hoja1!$BU$137:$BU$189</c:f>
              <c:numCache>
                <c:formatCode>General</c:formatCode>
                <c:ptCount val="53"/>
                <c:pt idx="0">
                  <c:v>122251.97357482294</c:v>
                </c:pt>
                <c:pt idx="1">
                  <c:v>-211676.40872948198</c:v>
                </c:pt>
                <c:pt idx="2">
                  <c:v>-204064.59329385718</c:v>
                </c:pt>
                <c:pt idx="3">
                  <c:v>75027.636815845821</c:v>
                </c:pt>
                <c:pt idx="4">
                  <c:v>84276.891094695311</c:v>
                </c:pt>
                <c:pt idx="5">
                  <c:v>169613.37673375447</c:v>
                </c:pt>
                <c:pt idx="6">
                  <c:v>678551.28668726003</c:v>
                </c:pt>
                <c:pt idx="7">
                  <c:v>447119.97458555247</c:v>
                </c:pt>
                <c:pt idx="8">
                  <c:v>914423.72241619241</c:v>
                </c:pt>
                <c:pt idx="9">
                  <c:v>331256.02240918047</c:v>
                </c:pt>
                <c:pt idx="10">
                  <c:v>1370492.3754914757</c:v>
                </c:pt>
                <c:pt idx="11">
                  <c:v>241681.65598267899</c:v>
                </c:pt>
                <c:pt idx="12">
                  <c:v>98659.363269028807</c:v>
                </c:pt>
                <c:pt idx="13">
                  <c:v>7000.6225365989376</c:v>
                </c:pt>
                <c:pt idx="14">
                  <c:v>741719.19830061076</c:v>
                </c:pt>
                <c:pt idx="15">
                  <c:v>883569.85921070375</c:v>
                </c:pt>
                <c:pt idx="16">
                  <c:v>479996.77718477737</c:v>
                </c:pt>
                <c:pt idx="17">
                  <c:v>258700.58590256399</c:v>
                </c:pt>
                <c:pt idx="18">
                  <c:v>582947.22123381635</c:v>
                </c:pt>
                <c:pt idx="19">
                  <c:v>358098.14557297481</c:v>
                </c:pt>
                <c:pt idx="20">
                  <c:v>765194.76408033562</c:v>
                </c:pt>
                <c:pt idx="21">
                  <c:v>301465.65940444992</c:v>
                </c:pt>
                <c:pt idx="22">
                  <c:v>-224787.42857386405</c:v>
                </c:pt>
                <c:pt idx="23">
                  <c:v>173145.77085446101</c:v>
                </c:pt>
                <c:pt idx="24">
                  <c:v>602127.21997410827</c:v>
                </c:pt>
                <c:pt idx="25">
                  <c:v>135285.88222493138</c:v>
                </c:pt>
                <c:pt idx="26">
                  <c:v>75592.530168300727</c:v>
                </c:pt>
                <c:pt idx="27">
                  <c:v>366082.43696746533</c:v>
                </c:pt>
                <c:pt idx="28">
                  <c:v>1657605.7179183713</c:v>
                </c:pt>
                <c:pt idx="29">
                  <c:v>752207.07905912597</c:v>
                </c:pt>
                <c:pt idx="30">
                  <c:v>-444387.5860472644</c:v>
                </c:pt>
                <c:pt idx="31">
                  <c:v>20889.112005293835</c:v>
                </c:pt>
                <c:pt idx="32">
                  <c:v>-141465.24770011439</c:v>
                </c:pt>
                <c:pt idx="33">
                  <c:v>538468.65618820989</c:v>
                </c:pt>
                <c:pt idx="34">
                  <c:v>248863.43802856049</c:v>
                </c:pt>
                <c:pt idx="35">
                  <c:v>177644.73243942388</c:v>
                </c:pt>
                <c:pt idx="36">
                  <c:v>-260331.66945978766</c:v>
                </c:pt>
                <c:pt idx="37">
                  <c:v>413664.88789507007</c:v>
                </c:pt>
                <c:pt idx="38">
                  <c:v>-301828.43222603505</c:v>
                </c:pt>
                <c:pt idx="39">
                  <c:v>4240493.4929594733</c:v>
                </c:pt>
                <c:pt idx="40">
                  <c:v>265037.93026094709</c:v>
                </c:pt>
                <c:pt idx="41">
                  <c:v>135482.39328384836</c:v>
                </c:pt>
                <c:pt idx="42">
                  <c:v>-303135.85110912262</c:v>
                </c:pt>
                <c:pt idx="43">
                  <c:v>92437.640503086965</c:v>
                </c:pt>
                <c:pt idx="44">
                  <c:v>159419.64504854422</c:v>
                </c:pt>
                <c:pt idx="45">
                  <c:v>89672.136624039325</c:v>
                </c:pt>
                <c:pt idx="46">
                  <c:v>491239.74260001199</c:v>
                </c:pt>
                <c:pt idx="47">
                  <c:v>92367.447817633045</c:v>
                </c:pt>
                <c:pt idx="48">
                  <c:v>132577.44902561931</c:v>
                </c:pt>
                <c:pt idx="49">
                  <c:v>-43205.71485486161</c:v>
                </c:pt>
                <c:pt idx="50">
                  <c:v>-384081.8242880716</c:v>
                </c:pt>
                <c:pt idx="51">
                  <c:v>-50705.003095774497</c:v>
                </c:pt>
                <c:pt idx="52">
                  <c:v>7106.5131366298301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322194048"/>
        <c:axId val="322204032"/>
      </c:barChart>
      <c:catAx>
        <c:axId val="322194048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322204032"/>
        <c:crosses val="autoZero"/>
        <c:auto val="1"/>
        <c:lblAlgn val="ctr"/>
        <c:lblOffset val="100"/>
        <c:noMultiLvlLbl val="0"/>
      </c:catAx>
      <c:valAx>
        <c:axId val="322204032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322194048"/>
        <c:crosses val="autoZero"/>
        <c:crossBetween val="between"/>
        <c:dispUnits>
          <c:builtInUnit val="million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Volumen (cientos)</a:t>
            </a:r>
          </a:p>
        </c:rich>
      </c:tx>
      <c:layout>
        <c:manualLayout>
          <c:xMode val="edge"/>
          <c:yMode val="edge"/>
          <c:x val="0.19795610436685485"/>
          <c:y val="2.3770285458668246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139003113336217"/>
          <c:y val="5.0076844939373685E-2"/>
          <c:w val="0.80180919853319055"/>
          <c:h val="0.8758230929259068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250507</c:v>
                </c:pt>
              </c:strCache>
            </c:strRef>
          </c:tx>
          <c:invertIfNegative val="0"/>
          <c:cat>
            <c:numRef>
              <c:f>Hoja1!$A$4:$A$38</c:f>
              <c:numCache>
                <c:formatCode>0</c:formatCode>
                <c:ptCount val="35"/>
                <c:pt idx="0">
                  <c:v>582</c:v>
                </c:pt>
                <c:pt idx="1">
                  <c:v>581</c:v>
                </c:pt>
                <c:pt idx="2">
                  <c:v>580</c:v>
                </c:pt>
                <c:pt idx="3">
                  <c:v>579</c:v>
                </c:pt>
                <c:pt idx="4">
                  <c:v>578</c:v>
                </c:pt>
                <c:pt idx="5">
                  <c:v>577</c:v>
                </c:pt>
                <c:pt idx="6">
                  <c:v>576</c:v>
                </c:pt>
                <c:pt idx="7">
                  <c:v>575</c:v>
                </c:pt>
                <c:pt idx="8">
                  <c:v>574</c:v>
                </c:pt>
                <c:pt idx="9">
                  <c:v>573</c:v>
                </c:pt>
                <c:pt idx="10">
                  <c:v>572</c:v>
                </c:pt>
                <c:pt idx="11">
                  <c:v>571</c:v>
                </c:pt>
                <c:pt idx="12">
                  <c:v>570</c:v>
                </c:pt>
                <c:pt idx="13">
                  <c:v>569</c:v>
                </c:pt>
                <c:pt idx="14">
                  <c:v>568</c:v>
                </c:pt>
                <c:pt idx="15">
                  <c:v>567</c:v>
                </c:pt>
                <c:pt idx="16">
                  <c:v>566</c:v>
                </c:pt>
                <c:pt idx="17">
                  <c:v>565</c:v>
                </c:pt>
                <c:pt idx="18">
                  <c:v>564</c:v>
                </c:pt>
                <c:pt idx="19">
                  <c:v>563</c:v>
                </c:pt>
                <c:pt idx="20">
                  <c:v>562</c:v>
                </c:pt>
                <c:pt idx="21">
                  <c:v>561</c:v>
                </c:pt>
                <c:pt idx="22">
                  <c:v>560</c:v>
                </c:pt>
                <c:pt idx="23">
                  <c:v>559</c:v>
                </c:pt>
                <c:pt idx="24">
                  <c:v>558</c:v>
                </c:pt>
                <c:pt idx="25">
                  <c:v>557</c:v>
                </c:pt>
                <c:pt idx="26">
                  <c:v>556</c:v>
                </c:pt>
                <c:pt idx="27">
                  <c:v>555</c:v>
                </c:pt>
                <c:pt idx="28">
                  <c:v>554</c:v>
                </c:pt>
                <c:pt idx="29">
                  <c:v>553</c:v>
                </c:pt>
                <c:pt idx="30">
                  <c:v>552</c:v>
                </c:pt>
                <c:pt idx="31">
                  <c:v>551</c:v>
                </c:pt>
                <c:pt idx="32">
                  <c:v>550</c:v>
                </c:pt>
                <c:pt idx="33">
                  <c:v>549</c:v>
                </c:pt>
                <c:pt idx="34">
                  <c:v>548</c:v>
                </c:pt>
              </c:numCache>
            </c:numRef>
          </c:cat>
          <c:val>
            <c:numRef>
              <c:f>Hoja1!$CQ$4:$CQ$38</c:f>
              <c:numCache>
                <c:formatCode>General</c:formatCode>
                <c:ptCount val="35"/>
                <c:pt idx="0">
                  <c:v>1435</c:v>
                </c:pt>
                <c:pt idx="1">
                  <c:v>1693</c:v>
                </c:pt>
                <c:pt idx="2">
                  <c:v>7989</c:v>
                </c:pt>
                <c:pt idx="3">
                  <c:v>4055</c:v>
                </c:pt>
                <c:pt idx="4">
                  <c:v>6079</c:v>
                </c:pt>
                <c:pt idx="5">
                  <c:v>2404</c:v>
                </c:pt>
                <c:pt idx="6">
                  <c:v>6312</c:v>
                </c:pt>
                <c:pt idx="7">
                  <c:v>23024</c:v>
                </c:pt>
                <c:pt idx="8">
                  <c:v>8373</c:v>
                </c:pt>
                <c:pt idx="9">
                  <c:v>24502</c:v>
                </c:pt>
                <c:pt idx="10">
                  <c:v>16836</c:v>
                </c:pt>
                <c:pt idx="11">
                  <c:v>35543</c:v>
                </c:pt>
                <c:pt idx="12">
                  <c:v>104128</c:v>
                </c:pt>
                <c:pt idx="13">
                  <c:v>84786</c:v>
                </c:pt>
                <c:pt idx="14">
                  <c:v>78426</c:v>
                </c:pt>
                <c:pt idx="15">
                  <c:v>83004</c:v>
                </c:pt>
                <c:pt idx="16">
                  <c:v>94739</c:v>
                </c:pt>
                <c:pt idx="17">
                  <c:v>194490</c:v>
                </c:pt>
                <c:pt idx="18">
                  <c:v>132858</c:v>
                </c:pt>
                <c:pt idx="19">
                  <c:v>183525</c:v>
                </c:pt>
                <c:pt idx="20">
                  <c:v>231700</c:v>
                </c:pt>
                <c:pt idx="21">
                  <c:v>173963</c:v>
                </c:pt>
                <c:pt idx="22">
                  <c:v>123227</c:v>
                </c:pt>
                <c:pt idx="23">
                  <c:v>-96976</c:v>
                </c:pt>
                <c:pt idx="24">
                  <c:v>-170908</c:v>
                </c:pt>
                <c:pt idx="25">
                  <c:v>-156373</c:v>
                </c:pt>
                <c:pt idx="26">
                  <c:v>-159110</c:v>
                </c:pt>
                <c:pt idx="27">
                  <c:v>-228609</c:v>
                </c:pt>
                <c:pt idx="28">
                  <c:v>-102845</c:v>
                </c:pt>
                <c:pt idx="29">
                  <c:v>-86298</c:v>
                </c:pt>
                <c:pt idx="30">
                  <c:v>-65808</c:v>
                </c:pt>
                <c:pt idx="31">
                  <c:v>-56701</c:v>
                </c:pt>
                <c:pt idx="32">
                  <c:v>-126216</c:v>
                </c:pt>
                <c:pt idx="33">
                  <c:v>-84082</c:v>
                </c:pt>
                <c:pt idx="34">
                  <c:v>-87200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val>
            <c:numRef>
              <c:f>Hoja1!$CS$4:$CS$38</c:f>
              <c:numCache>
                <c:formatCode>General</c:formatCode>
                <c:ptCount val="35"/>
                <c:pt idx="0">
                  <c:v>2387</c:v>
                </c:pt>
                <c:pt idx="1">
                  <c:v>1205</c:v>
                </c:pt>
                <c:pt idx="2">
                  <c:v>12482</c:v>
                </c:pt>
                <c:pt idx="3">
                  <c:v>3779</c:v>
                </c:pt>
                <c:pt idx="4">
                  <c:v>1222</c:v>
                </c:pt>
                <c:pt idx="5">
                  <c:v>1505</c:v>
                </c:pt>
                <c:pt idx="6">
                  <c:v>1817</c:v>
                </c:pt>
                <c:pt idx="7">
                  <c:v>12761</c:v>
                </c:pt>
                <c:pt idx="8">
                  <c:v>4574</c:v>
                </c:pt>
                <c:pt idx="9">
                  <c:v>3282</c:v>
                </c:pt>
                <c:pt idx="10">
                  <c:v>7196</c:v>
                </c:pt>
                <c:pt idx="11">
                  <c:v>6682</c:v>
                </c:pt>
                <c:pt idx="12">
                  <c:v>45850</c:v>
                </c:pt>
                <c:pt idx="13">
                  <c:v>3996</c:v>
                </c:pt>
                <c:pt idx="14">
                  <c:v>8048</c:v>
                </c:pt>
                <c:pt idx="15">
                  <c:v>6413</c:v>
                </c:pt>
                <c:pt idx="16">
                  <c:v>6236</c:v>
                </c:pt>
                <c:pt idx="17">
                  <c:v>39821</c:v>
                </c:pt>
                <c:pt idx="18">
                  <c:v>5485</c:v>
                </c:pt>
                <c:pt idx="19">
                  <c:v>7872</c:v>
                </c:pt>
                <c:pt idx="20">
                  <c:v>14948</c:v>
                </c:pt>
                <c:pt idx="21">
                  <c:v>7992</c:v>
                </c:pt>
                <c:pt idx="22">
                  <c:v>3790</c:v>
                </c:pt>
                <c:pt idx="23">
                  <c:v>4655</c:v>
                </c:pt>
                <c:pt idx="24">
                  <c:v>-9287</c:v>
                </c:pt>
                <c:pt idx="25">
                  <c:v>-12393</c:v>
                </c:pt>
                <c:pt idx="26">
                  <c:v>-4804</c:v>
                </c:pt>
                <c:pt idx="27">
                  <c:v>-29755</c:v>
                </c:pt>
                <c:pt idx="28">
                  <c:v>-15086</c:v>
                </c:pt>
                <c:pt idx="29">
                  <c:v>-4246</c:v>
                </c:pt>
                <c:pt idx="30">
                  <c:v>-6290</c:v>
                </c:pt>
                <c:pt idx="31">
                  <c:v>-6957</c:v>
                </c:pt>
                <c:pt idx="32">
                  <c:v>-46743</c:v>
                </c:pt>
                <c:pt idx="33">
                  <c:v>-4245</c:v>
                </c:pt>
                <c:pt idx="34">
                  <c:v>-9473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val>
            <c:numRef>
              <c:f>Hoja1!$CU$4:$CU$38</c:f>
              <c:numCache>
                <c:formatCode>General</c:formatCode>
                <c:ptCount val="35"/>
                <c:pt idx="0">
                  <c:v>1224</c:v>
                </c:pt>
                <c:pt idx="1">
                  <c:v>736</c:v>
                </c:pt>
                <c:pt idx="2">
                  <c:v>12384</c:v>
                </c:pt>
                <c:pt idx="3">
                  <c:v>1896</c:v>
                </c:pt>
                <c:pt idx="4">
                  <c:v>1254</c:v>
                </c:pt>
                <c:pt idx="5">
                  <c:v>999</c:v>
                </c:pt>
                <c:pt idx="6">
                  <c:v>514</c:v>
                </c:pt>
                <c:pt idx="7">
                  <c:v>15407</c:v>
                </c:pt>
                <c:pt idx="8">
                  <c:v>748</c:v>
                </c:pt>
                <c:pt idx="9">
                  <c:v>1474</c:v>
                </c:pt>
                <c:pt idx="10">
                  <c:v>663</c:v>
                </c:pt>
                <c:pt idx="11">
                  <c:v>2418</c:v>
                </c:pt>
                <c:pt idx="12">
                  <c:v>15116</c:v>
                </c:pt>
                <c:pt idx="13">
                  <c:v>961</c:v>
                </c:pt>
                <c:pt idx="14">
                  <c:v>1878</c:v>
                </c:pt>
                <c:pt idx="15">
                  <c:v>1554</c:v>
                </c:pt>
                <c:pt idx="16">
                  <c:v>1450</c:v>
                </c:pt>
                <c:pt idx="17">
                  <c:v>5907</c:v>
                </c:pt>
                <c:pt idx="18">
                  <c:v>2452</c:v>
                </c:pt>
                <c:pt idx="19">
                  <c:v>923</c:v>
                </c:pt>
                <c:pt idx="20">
                  <c:v>7998</c:v>
                </c:pt>
                <c:pt idx="21">
                  <c:v>3115</c:v>
                </c:pt>
                <c:pt idx="22">
                  <c:v>-15113</c:v>
                </c:pt>
                <c:pt idx="23">
                  <c:v>1145</c:v>
                </c:pt>
                <c:pt idx="24">
                  <c:v>261</c:v>
                </c:pt>
                <c:pt idx="25">
                  <c:v>477</c:v>
                </c:pt>
                <c:pt idx="26">
                  <c:v>-208</c:v>
                </c:pt>
                <c:pt idx="27">
                  <c:v>-11256</c:v>
                </c:pt>
                <c:pt idx="28">
                  <c:v>-722</c:v>
                </c:pt>
                <c:pt idx="29">
                  <c:v>-761</c:v>
                </c:pt>
                <c:pt idx="30">
                  <c:v>-1180</c:v>
                </c:pt>
                <c:pt idx="31">
                  <c:v>-1707</c:v>
                </c:pt>
                <c:pt idx="32">
                  <c:v>-12244</c:v>
                </c:pt>
                <c:pt idx="33">
                  <c:v>-732</c:v>
                </c:pt>
                <c:pt idx="34">
                  <c:v>-804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Hoja1!$BG$4:$BG$37</c:f>
              <c:numCache>
                <c:formatCode>0</c:formatCode>
                <c:ptCount val="34"/>
                <c:pt idx="0">
                  <c:v>1097</c:v>
                </c:pt>
                <c:pt idx="1">
                  <c:v>1227</c:v>
                </c:pt>
                <c:pt idx="2">
                  <c:v>10236</c:v>
                </c:pt>
                <c:pt idx="3">
                  <c:v>826</c:v>
                </c:pt>
                <c:pt idx="4">
                  <c:v>664</c:v>
                </c:pt>
                <c:pt idx="5">
                  <c:v>1156</c:v>
                </c:pt>
                <c:pt idx="6">
                  <c:v>653</c:v>
                </c:pt>
                <c:pt idx="7">
                  <c:v>5092</c:v>
                </c:pt>
                <c:pt idx="8">
                  <c:v>441</c:v>
                </c:pt>
                <c:pt idx="9">
                  <c:v>550</c:v>
                </c:pt>
                <c:pt idx="10">
                  <c:v>726</c:v>
                </c:pt>
                <c:pt idx="11">
                  <c:v>557</c:v>
                </c:pt>
                <c:pt idx="12">
                  <c:v>5475</c:v>
                </c:pt>
                <c:pt idx="13">
                  <c:v>379</c:v>
                </c:pt>
                <c:pt idx="14">
                  <c:v>979</c:v>
                </c:pt>
                <c:pt idx="15">
                  <c:v>446</c:v>
                </c:pt>
                <c:pt idx="16">
                  <c:v>1266</c:v>
                </c:pt>
                <c:pt idx="17">
                  <c:v>4317</c:v>
                </c:pt>
                <c:pt idx="18">
                  <c:v>399</c:v>
                </c:pt>
                <c:pt idx="19">
                  <c:v>-3477</c:v>
                </c:pt>
                <c:pt idx="20">
                  <c:v>975</c:v>
                </c:pt>
                <c:pt idx="21">
                  <c:v>-797</c:v>
                </c:pt>
                <c:pt idx="22">
                  <c:v>-15876</c:v>
                </c:pt>
                <c:pt idx="23">
                  <c:v>-2430</c:v>
                </c:pt>
                <c:pt idx="24">
                  <c:v>-1035</c:v>
                </c:pt>
                <c:pt idx="25">
                  <c:v>-874</c:v>
                </c:pt>
                <c:pt idx="26">
                  <c:v>-1847</c:v>
                </c:pt>
                <c:pt idx="27">
                  <c:v>-16834</c:v>
                </c:pt>
                <c:pt idx="28">
                  <c:v>-695</c:v>
                </c:pt>
                <c:pt idx="29">
                  <c:v>-1016</c:v>
                </c:pt>
                <c:pt idx="30">
                  <c:v>-1635</c:v>
                </c:pt>
                <c:pt idx="31">
                  <c:v>-1398</c:v>
                </c:pt>
                <c:pt idx="32">
                  <c:v>-16715</c:v>
                </c:pt>
                <c:pt idx="33">
                  <c:v>-1477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322226816"/>
        <c:axId val="322236800"/>
      </c:barChart>
      <c:catAx>
        <c:axId val="322226816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322236800"/>
        <c:crosses val="autoZero"/>
        <c:auto val="1"/>
        <c:lblAlgn val="ctr"/>
        <c:lblOffset val="100"/>
        <c:noMultiLvlLbl val="0"/>
      </c:catAx>
      <c:valAx>
        <c:axId val="322236800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322226816"/>
        <c:crosses val="autoZero"/>
        <c:crossBetween val="between"/>
        <c:dispUnits>
          <c:builtInUnit val="thousand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43898420486385E-2"/>
          <c:y val="7.9900036391391024E-2"/>
          <c:w val="0.83805372633198372"/>
          <c:h val="0.88154421070937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250507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Hoja1!$CQ$45:$CQ$79</c:f>
              <c:numCache>
                <c:formatCode>General</c:formatCode>
                <c:ptCount val="35"/>
                <c:pt idx="0">
                  <c:v>4546</c:v>
                </c:pt>
                <c:pt idx="1">
                  <c:v>10222</c:v>
                </c:pt>
                <c:pt idx="2">
                  <c:v>8388</c:v>
                </c:pt>
                <c:pt idx="3">
                  <c:v>1785</c:v>
                </c:pt>
                <c:pt idx="4">
                  <c:v>2576</c:v>
                </c:pt>
                <c:pt idx="5">
                  <c:v>1215</c:v>
                </c:pt>
                <c:pt idx="6">
                  <c:v>2178</c:v>
                </c:pt>
                <c:pt idx="7">
                  <c:v>3147</c:v>
                </c:pt>
                <c:pt idx="8">
                  <c:v>5487</c:v>
                </c:pt>
                <c:pt idx="9">
                  <c:v>4625</c:v>
                </c:pt>
                <c:pt idx="10">
                  <c:v>12773</c:v>
                </c:pt>
                <c:pt idx="11">
                  <c:v>13977</c:v>
                </c:pt>
                <c:pt idx="12">
                  <c:v>94281</c:v>
                </c:pt>
                <c:pt idx="13">
                  <c:v>20580</c:v>
                </c:pt>
                <c:pt idx="14">
                  <c:v>33638</c:v>
                </c:pt>
                <c:pt idx="15">
                  <c:v>56876</c:v>
                </c:pt>
                <c:pt idx="16">
                  <c:v>54661</c:v>
                </c:pt>
                <c:pt idx="17">
                  <c:v>121926</c:v>
                </c:pt>
                <c:pt idx="18">
                  <c:v>108583</c:v>
                </c:pt>
                <c:pt idx="19">
                  <c:v>97367</c:v>
                </c:pt>
                <c:pt idx="20">
                  <c:v>75583</c:v>
                </c:pt>
                <c:pt idx="21">
                  <c:v>38035</c:v>
                </c:pt>
                <c:pt idx="22">
                  <c:v>-52880</c:v>
                </c:pt>
                <c:pt idx="23">
                  <c:v>-59414</c:v>
                </c:pt>
                <c:pt idx="24">
                  <c:v>-54273</c:v>
                </c:pt>
                <c:pt idx="25">
                  <c:v>-66249</c:v>
                </c:pt>
                <c:pt idx="26">
                  <c:v>-54498</c:v>
                </c:pt>
                <c:pt idx="27">
                  <c:v>-126895</c:v>
                </c:pt>
                <c:pt idx="28">
                  <c:v>-31280</c:v>
                </c:pt>
                <c:pt idx="29">
                  <c:v>-28252</c:v>
                </c:pt>
                <c:pt idx="30">
                  <c:v>-32437</c:v>
                </c:pt>
                <c:pt idx="31">
                  <c:v>-28180</c:v>
                </c:pt>
                <c:pt idx="32">
                  <c:v>-98249</c:v>
                </c:pt>
                <c:pt idx="33">
                  <c:v>-13907</c:v>
                </c:pt>
                <c:pt idx="34">
                  <c:v>-11179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Hoja1!$CS$45:$CS$79</c:f>
              <c:numCache>
                <c:formatCode>General</c:formatCode>
                <c:ptCount val="35"/>
                <c:pt idx="0">
                  <c:v>344</c:v>
                </c:pt>
                <c:pt idx="1">
                  <c:v>1804</c:v>
                </c:pt>
                <c:pt idx="2">
                  <c:v>5248</c:v>
                </c:pt>
                <c:pt idx="3">
                  <c:v>299</c:v>
                </c:pt>
                <c:pt idx="4">
                  <c:v>951</c:v>
                </c:pt>
                <c:pt idx="5">
                  <c:v>1829</c:v>
                </c:pt>
                <c:pt idx="6">
                  <c:v>972</c:v>
                </c:pt>
                <c:pt idx="7">
                  <c:v>5802</c:v>
                </c:pt>
                <c:pt idx="8">
                  <c:v>1537</c:v>
                </c:pt>
                <c:pt idx="9">
                  <c:v>1561</c:v>
                </c:pt>
                <c:pt idx="10">
                  <c:v>1811</c:v>
                </c:pt>
                <c:pt idx="11">
                  <c:v>2554</c:v>
                </c:pt>
                <c:pt idx="12">
                  <c:v>20908</c:v>
                </c:pt>
                <c:pt idx="13">
                  <c:v>3675</c:v>
                </c:pt>
                <c:pt idx="14">
                  <c:v>5062</c:v>
                </c:pt>
                <c:pt idx="15">
                  <c:v>3979</c:v>
                </c:pt>
                <c:pt idx="16">
                  <c:v>4992</c:v>
                </c:pt>
                <c:pt idx="17">
                  <c:v>24265</c:v>
                </c:pt>
                <c:pt idx="18">
                  <c:v>4274</c:v>
                </c:pt>
                <c:pt idx="19">
                  <c:v>680</c:v>
                </c:pt>
                <c:pt idx="20">
                  <c:v>5728</c:v>
                </c:pt>
                <c:pt idx="21">
                  <c:v>473</c:v>
                </c:pt>
                <c:pt idx="22">
                  <c:v>-8842</c:v>
                </c:pt>
                <c:pt idx="23">
                  <c:v>-4305</c:v>
                </c:pt>
                <c:pt idx="24">
                  <c:v>-6493</c:v>
                </c:pt>
                <c:pt idx="25">
                  <c:v>-3626</c:v>
                </c:pt>
                <c:pt idx="26">
                  <c:v>-4768</c:v>
                </c:pt>
                <c:pt idx="27">
                  <c:v>-13912</c:v>
                </c:pt>
                <c:pt idx="28">
                  <c:v>-5109</c:v>
                </c:pt>
                <c:pt idx="29">
                  <c:v>-2691</c:v>
                </c:pt>
                <c:pt idx="30">
                  <c:v>-1937</c:v>
                </c:pt>
                <c:pt idx="31">
                  <c:v>-2004</c:v>
                </c:pt>
                <c:pt idx="32">
                  <c:v>-17906</c:v>
                </c:pt>
                <c:pt idx="33">
                  <c:v>-1732</c:v>
                </c:pt>
                <c:pt idx="34">
                  <c:v>-3469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Hoja1!$CU$45:$CU$79</c:f>
              <c:numCache>
                <c:formatCode>General</c:formatCode>
                <c:ptCount val="35"/>
                <c:pt idx="0">
                  <c:v>342</c:v>
                </c:pt>
                <c:pt idx="1">
                  <c:v>287</c:v>
                </c:pt>
                <c:pt idx="2">
                  <c:v>7300</c:v>
                </c:pt>
                <c:pt idx="3">
                  <c:v>919</c:v>
                </c:pt>
                <c:pt idx="4">
                  <c:v>881</c:v>
                </c:pt>
                <c:pt idx="5">
                  <c:v>1013</c:v>
                </c:pt>
                <c:pt idx="6">
                  <c:v>381</c:v>
                </c:pt>
                <c:pt idx="7">
                  <c:v>2912</c:v>
                </c:pt>
                <c:pt idx="8">
                  <c:v>502</c:v>
                </c:pt>
                <c:pt idx="9">
                  <c:v>1021</c:v>
                </c:pt>
                <c:pt idx="10">
                  <c:v>300</c:v>
                </c:pt>
                <c:pt idx="11">
                  <c:v>467</c:v>
                </c:pt>
                <c:pt idx="12">
                  <c:v>7263</c:v>
                </c:pt>
                <c:pt idx="13">
                  <c:v>390</c:v>
                </c:pt>
                <c:pt idx="14">
                  <c:v>627</c:v>
                </c:pt>
                <c:pt idx="15">
                  <c:v>565</c:v>
                </c:pt>
                <c:pt idx="16">
                  <c:v>644</c:v>
                </c:pt>
                <c:pt idx="17">
                  <c:v>-3413</c:v>
                </c:pt>
                <c:pt idx="18">
                  <c:v>173</c:v>
                </c:pt>
                <c:pt idx="19">
                  <c:v>-78</c:v>
                </c:pt>
                <c:pt idx="20">
                  <c:v>675</c:v>
                </c:pt>
                <c:pt idx="21">
                  <c:v>-2351</c:v>
                </c:pt>
                <c:pt idx="22">
                  <c:v>-10771</c:v>
                </c:pt>
                <c:pt idx="23">
                  <c:v>-857</c:v>
                </c:pt>
                <c:pt idx="24">
                  <c:v>-421</c:v>
                </c:pt>
                <c:pt idx="25">
                  <c:v>-646</c:v>
                </c:pt>
                <c:pt idx="26">
                  <c:v>-574</c:v>
                </c:pt>
                <c:pt idx="27">
                  <c:v>-6856</c:v>
                </c:pt>
                <c:pt idx="28">
                  <c:v>-471</c:v>
                </c:pt>
                <c:pt idx="29">
                  <c:v>-379</c:v>
                </c:pt>
                <c:pt idx="30">
                  <c:v>-179</c:v>
                </c:pt>
                <c:pt idx="31">
                  <c:v>-385</c:v>
                </c:pt>
                <c:pt idx="32">
                  <c:v>-11142</c:v>
                </c:pt>
                <c:pt idx="33">
                  <c:v>-644</c:v>
                </c:pt>
                <c:pt idx="34">
                  <c:v>-570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Hoja1!$BG$45:$BG$79</c:f>
              <c:numCache>
                <c:formatCode>0</c:formatCode>
                <c:ptCount val="35"/>
                <c:pt idx="0">
                  <c:v>174</c:v>
                </c:pt>
                <c:pt idx="1">
                  <c:v>26</c:v>
                </c:pt>
                <c:pt idx="2">
                  <c:v>22734</c:v>
                </c:pt>
                <c:pt idx="3">
                  <c:v>-229</c:v>
                </c:pt>
                <c:pt idx="4">
                  <c:v>1532</c:v>
                </c:pt>
                <c:pt idx="5">
                  <c:v>-22</c:v>
                </c:pt>
                <c:pt idx="6">
                  <c:v>-29</c:v>
                </c:pt>
                <c:pt idx="7">
                  <c:v>1809</c:v>
                </c:pt>
                <c:pt idx="8">
                  <c:v>29</c:v>
                </c:pt>
                <c:pt idx="9">
                  <c:v>44</c:v>
                </c:pt>
                <c:pt idx="10">
                  <c:v>-39</c:v>
                </c:pt>
                <c:pt idx="11">
                  <c:v>-185</c:v>
                </c:pt>
                <c:pt idx="12">
                  <c:v>3117</c:v>
                </c:pt>
                <c:pt idx="13">
                  <c:v>-54</c:v>
                </c:pt>
                <c:pt idx="14">
                  <c:v>110</c:v>
                </c:pt>
                <c:pt idx="15">
                  <c:v>382</c:v>
                </c:pt>
                <c:pt idx="16">
                  <c:v>705</c:v>
                </c:pt>
                <c:pt idx="17">
                  <c:v>1748</c:v>
                </c:pt>
                <c:pt idx="18">
                  <c:v>-140</c:v>
                </c:pt>
                <c:pt idx="19">
                  <c:v>-305</c:v>
                </c:pt>
                <c:pt idx="20">
                  <c:v>-71</c:v>
                </c:pt>
                <c:pt idx="21">
                  <c:v>56</c:v>
                </c:pt>
                <c:pt idx="22">
                  <c:v>-7509</c:v>
                </c:pt>
                <c:pt idx="23">
                  <c:v>-320</c:v>
                </c:pt>
                <c:pt idx="24">
                  <c:v>-133</c:v>
                </c:pt>
                <c:pt idx="25">
                  <c:v>-636</c:v>
                </c:pt>
                <c:pt idx="26">
                  <c:v>-181</c:v>
                </c:pt>
                <c:pt idx="27">
                  <c:v>-6741</c:v>
                </c:pt>
                <c:pt idx="28">
                  <c:v>-1062</c:v>
                </c:pt>
                <c:pt idx="29">
                  <c:v>446</c:v>
                </c:pt>
                <c:pt idx="30">
                  <c:v>-437</c:v>
                </c:pt>
                <c:pt idx="31">
                  <c:v>-68</c:v>
                </c:pt>
                <c:pt idx="32">
                  <c:v>-13988</c:v>
                </c:pt>
                <c:pt idx="33">
                  <c:v>-158</c:v>
                </c:pt>
                <c:pt idx="34">
                  <c:v>-76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482495488"/>
        <c:axId val="482505472"/>
      </c:barChart>
      <c:catAx>
        <c:axId val="482495488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482505472"/>
        <c:crosses val="autoZero"/>
        <c:auto val="1"/>
        <c:lblAlgn val="ctr"/>
        <c:lblOffset val="100"/>
        <c:noMultiLvlLbl val="0"/>
      </c:catAx>
      <c:valAx>
        <c:axId val="482505472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482495488"/>
        <c:crosses val="autoZero"/>
        <c:crossBetween val="between"/>
        <c:dispUnits>
          <c:builtInUnit val="hundred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480939657863116E-2"/>
          <c:y val="7.2241743410779921E-2"/>
          <c:w val="0.83221581465143679"/>
          <c:h val="0.88100027715257712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250507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Hoja1!$CQ$85:$CQ$130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Hoja1!$CS$85:$CS$130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9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2</c:v>
                </c:pt>
                <c:pt idx="7">
                  <c:v>32</c:v>
                </c:pt>
                <c:pt idx="8">
                  <c:v>6</c:v>
                </c:pt>
                <c:pt idx="9">
                  <c:v>2</c:v>
                </c:pt>
                <c:pt idx="10">
                  <c:v>1</c:v>
                </c:pt>
                <c:pt idx="11">
                  <c:v>7</c:v>
                </c:pt>
                <c:pt idx="12">
                  <c:v>34</c:v>
                </c:pt>
                <c:pt idx="13">
                  <c:v>13</c:v>
                </c:pt>
                <c:pt idx="14">
                  <c:v>1</c:v>
                </c:pt>
                <c:pt idx="15">
                  <c:v>0</c:v>
                </c:pt>
                <c:pt idx="16">
                  <c:v>4</c:v>
                </c:pt>
                <c:pt idx="17">
                  <c:v>43</c:v>
                </c:pt>
                <c:pt idx="18">
                  <c:v>1</c:v>
                </c:pt>
                <c:pt idx="19">
                  <c:v>9</c:v>
                </c:pt>
                <c:pt idx="20">
                  <c:v>11</c:v>
                </c:pt>
                <c:pt idx="21">
                  <c:v>8</c:v>
                </c:pt>
                <c:pt idx="22">
                  <c:v>-2</c:v>
                </c:pt>
                <c:pt idx="23">
                  <c:v>-5</c:v>
                </c:pt>
                <c:pt idx="24">
                  <c:v>-6</c:v>
                </c:pt>
                <c:pt idx="25">
                  <c:v>-5</c:v>
                </c:pt>
                <c:pt idx="26">
                  <c:v>-1</c:v>
                </c:pt>
                <c:pt idx="27">
                  <c:v>1</c:v>
                </c:pt>
                <c:pt idx="28">
                  <c:v>-4</c:v>
                </c:pt>
                <c:pt idx="29">
                  <c:v>-2</c:v>
                </c:pt>
                <c:pt idx="30">
                  <c:v>-6</c:v>
                </c:pt>
                <c:pt idx="31">
                  <c:v>-2</c:v>
                </c:pt>
                <c:pt idx="32">
                  <c:v>-2</c:v>
                </c:pt>
                <c:pt idx="33">
                  <c:v>-7</c:v>
                </c:pt>
                <c:pt idx="34">
                  <c:v>0</c:v>
                </c:pt>
                <c:pt idx="35">
                  <c:v>-1</c:v>
                </c:pt>
                <c:pt idx="36">
                  <c:v>0</c:v>
                </c:pt>
                <c:pt idx="37">
                  <c:v>-10</c:v>
                </c:pt>
                <c:pt idx="38">
                  <c:v>0</c:v>
                </c:pt>
                <c:pt idx="39">
                  <c:v>-27</c:v>
                </c:pt>
                <c:pt idx="40">
                  <c:v>-2</c:v>
                </c:pt>
                <c:pt idx="41">
                  <c:v>-2</c:v>
                </c:pt>
                <c:pt idx="42">
                  <c:v>-17</c:v>
                </c:pt>
                <c:pt idx="43">
                  <c:v>6</c:v>
                </c:pt>
                <c:pt idx="44">
                  <c:v>0</c:v>
                </c:pt>
                <c:pt idx="45">
                  <c:v>-1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Hoja1!$CU$85:$CU$130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  <c:pt idx="24">
                  <c:v>-1</c:v>
                </c:pt>
                <c:pt idx="25">
                  <c:v>0</c:v>
                </c:pt>
                <c:pt idx="26">
                  <c:v>0</c:v>
                </c:pt>
                <c:pt idx="27">
                  <c:v>-4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-2</c:v>
                </c:pt>
                <c:pt idx="44">
                  <c:v>-2</c:v>
                </c:pt>
                <c:pt idx="45">
                  <c:v>0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Hoja1!$BG$85:$BG$130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</c:v>
                </c:pt>
                <c:pt idx="28">
                  <c:v>0</c:v>
                </c:pt>
                <c:pt idx="29">
                  <c:v>0</c:v>
                </c:pt>
                <c:pt idx="30">
                  <c:v>-1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-1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482539392"/>
        <c:axId val="482540928"/>
      </c:barChart>
      <c:catAx>
        <c:axId val="482539392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482540928"/>
        <c:crosses val="autoZero"/>
        <c:auto val="1"/>
        <c:lblAlgn val="ctr"/>
        <c:lblOffset val="100"/>
        <c:noMultiLvlLbl val="0"/>
      </c:catAx>
      <c:valAx>
        <c:axId val="482540928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48253939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66815161727979"/>
          <c:y val="4.1160031068973667E-2"/>
          <c:w val="0.78602869982248191"/>
          <c:h val="0.9160096834925702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250507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20450</c:v>
                </c:pt>
                <c:pt idx="1">
                  <c:v>20425</c:v>
                </c:pt>
                <c:pt idx="2">
                  <c:v>20400</c:v>
                </c:pt>
                <c:pt idx="3">
                  <c:v>20375</c:v>
                </c:pt>
                <c:pt idx="4">
                  <c:v>20350</c:v>
                </c:pt>
                <c:pt idx="5">
                  <c:v>20325</c:v>
                </c:pt>
                <c:pt idx="6">
                  <c:v>20300</c:v>
                </c:pt>
                <c:pt idx="7">
                  <c:v>20275</c:v>
                </c:pt>
                <c:pt idx="8">
                  <c:v>20250</c:v>
                </c:pt>
                <c:pt idx="9">
                  <c:v>20225</c:v>
                </c:pt>
                <c:pt idx="10">
                  <c:v>20200</c:v>
                </c:pt>
                <c:pt idx="11">
                  <c:v>20175</c:v>
                </c:pt>
                <c:pt idx="12">
                  <c:v>20150</c:v>
                </c:pt>
                <c:pt idx="13">
                  <c:v>20125</c:v>
                </c:pt>
                <c:pt idx="14">
                  <c:v>20100</c:v>
                </c:pt>
                <c:pt idx="15">
                  <c:v>20075</c:v>
                </c:pt>
                <c:pt idx="16">
                  <c:v>20050</c:v>
                </c:pt>
                <c:pt idx="17">
                  <c:v>20025</c:v>
                </c:pt>
                <c:pt idx="18">
                  <c:v>20000</c:v>
                </c:pt>
                <c:pt idx="19">
                  <c:v>19975</c:v>
                </c:pt>
                <c:pt idx="20">
                  <c:v>19950</c:v>
                </c:pt>
                <c:pt idx="21">
                  <c:v>19925</c:v>
                </c:pt>
                <c:pt idx="22">
                  <c:v>19900</c:v>
                </c:pt>
                <c:pt idx="23">
                  <c:v>19875</c:v>
                </c:pt>
                <c:pt idx="24">
                  <c:v>19850</c:v>
                </c:pt>
                <c:pt idx="25">
                  <c:v>19825</c:v>
                </c:pt>
                <c:pt idx="26">
                  <c:v>19800</c:v>
                </c:pt>
                <c:pt idx="27">
                  <c:v>19775</c:v>
                </c:pt>
                <c:pt idx="28">
                  <c:v>19750</c:v>
                </c:pt>
                <c:pt idx="29">
                  <c:v>19725</c:v>
                </c:pt>
                <c:pt idx="30">
                  <c:v>19700</c:v>
                </c:pt>
                <c:pt idx="31">
                  <c:v>19675</c:v>
                </c:pt>
                <c:pt idx="32">
                  <c:v>19650</c:v>
                </c:pt>
                <c:pt idx="33">
                  <c:v>19625</c:v>
                </c:pt>
                <c:pt idx="34">
                  <c:v>19600</c:v>
                </c:pt>
                <c:pt idx="35">
                  <c:v>19575</c:v>
                </c:pt>
                <c:pt idx="36">
                  <c:v>19550</c:v>
                </c:pt>
                <c:pt idx="37">
                  <c:v>19525</c:v>
                </c:pt>
                <c:pt idx="38">
                  <c:v>19500</c:v>
                </c:pt>
                <c:pt idx="39">
                  <c:v>19475</c:v>
                </c:pt>
                <c:pt idx="40">
                  <c:v>19450</c:v>
                </c:pt>
                <c:pt idx="41">
                  <c:v>19425</c:v>
                </c:pt>
                <c:pt idx="42">
                  <c:v>19400</c:v>
                </c:pt>
                <c:pt idx="43">
                  <c:v>19375</c:v>
                </c:pt>
                <c:pt idx="44">
                  <c:v>19350</c:v>
                </c:pt>
                <c:pt idx="45">
                  <c:v>19325</c:v>
                </c:pt>
                <c:pt idx="46">
                  <c:v>19300</c:v>
                </c:pt>
                <c:pt idx="47">
                  <c:v>19275</c:v>
                </c:pt>
                <c:pt idx="48">
                  <c:v>19250</c:v>
                </c:pt>
                <c:pt idx="49">
                  <c:v>19225</c:v>
                </c:pt>
                <c:pt idx="50">
                  <c:v>19200</c:v>
                </c:pt>
                <c:pt idx="51">
                  <c:v>19175</c:v>
                </c:pt>
                <c:pt idx="52">
                  <c:v>19150</c:v>
                </c:pt>
              </c:numCache>
            </c:numRef>
          </c:cat>
          <c:val>
            <c:numRef>
              <c:f>Hoja1!$CQ$137:$CQ$189</c:f>
              <c:numCache>
                <c:formatCode>General</c:formatCode>
                <c:ptCount val="53"/>
                <c:pt idx="0">
                  <c:v>130</c:v>
                </c:pt>
                <c:pt idx="1">
                  <c:v>60</c:v>
                </c:pt>
                <c:pt idx="2">
                  <c:v>188</c:v>
                </c:pt>
                <c:pt idx="3">
                  <c:v>17</c:v>
                </c:pt>
                <c:pt idx="4">
                  <c:v>98</c:v>
                </c:pt>
                <c:pt idx="5">
                  <c:v>9</c:v>
                </c:pt>
                <c:pt idx="6">
                  <c:v>269</c:v>
                </c:pt>
                <c:pt idx="7">
                  <c:v>58</c:v>
                </c:pt>
                <c:pt idx="8">
                  <c:v>287</c:v>
                </c:pt>
                <c:pt idx="9">
                  <c:v>103</c:v>
                </c:pt>
                <c:pt idx="10">
                  <c:v>354</c:v>
                </c:pt>
                <c:pt idx="11">
                  <c:v>58</c:v>
                </c:pt>
                <c:pt idx="12">
                  <c:v>479</c:v>
                </c:pt>
                <c:pt idx="13">
                  <c:v>70</c:v>
                </c:pt>
                <c:pt idx="14">
                  <c:v>746</c:v>
                </c:pt>
                <c:pt idx="15">
                  <c:v>68</c:v>
                </c:pt>
                <c:pt idx="16">
                  <c:v>313</c:v>
                </c:pt>
                <c:pt idx="17">
                  <c:v>169</c:v>
                </c:pt>
                <c:pt idx="18">
                  <c:v>1853</c:v>
                </c:pt>
                <c:pt idx="19">
                  <c:v>233</c:v>
                </c:pt>
                <c:pt idx="20">
                  <c:v>649</c:v>
                </c:pt>
                <c:pt idx="21">
                  <c:v>7</c:v>
                </c:pt>
                <c:pt idx="22">
                  <c:v>650</c:v>
                </c:pt>
                <c:pt idx="23">
                  <c:v>48</c:v>
                </c:pt>
                <c:pt idx="24">
                  <c:v>574</c:v>
                </c:pt>
                <c:pt idx="25">
                  <c:v>75</c:v>
                </c:pt>
                <c:pt idx="26">
                  <c:v>191</c:v>
                </c:pt>
                <c:pt idx="27">
                  <c:v>-68</c:v>
                </c:pt>
                <c:pt idx="28">
                  <c:v>-18</c:v>
                </c:pt>
                <c:pt idx="29">
                  <c:v>-28</c:v>
                </c:pt>
                <c:pt idx="30">
                  <c:v>-386</c:v>
                </c:pt>
                <c:pt idx="31">
                  <c:v>-68</c:v>
                </c:pt>
                <c:pt idx="32">
                  <c:v>-366</c:v>
                </c:pt>
                <c:pt idx="33">
                  <c:v>-143</c:v>
                </c:pt>
                <c:pt idx="34">
                  <c:v>-530</c:v>
                </c:pt>
                <c:pt idx="35">
                  <c:v>-181</c:v>
                </c:pt>
                <c:pt idx="36">
                  <c:v>-176</c:v>
                </c:pt>
                <c:pt idx="37">
                  <c:v>-70</c:v>
                </c:pt>
                <c:pt idx="38">
                  <c:v>-494</c:v>
                </c:pt>
                <c:pt idx="39">
                  <c:v>-63</c:v>
                </c:pt>
                <c:pt idx="40">
                  <c:v>-180</c:v>
                </c:pt>
                <c:pt idx="41">
                  <c:v>-95</c:v>
                </c:pt>
                <c:pt idx="42">
                  <c:v>-1491</c:v>
                </c:pt>
                <c:pt idx="43">
                  <c:v>-63</c:v>
                </c:pt>
                <c:pt idx="44">
                  <c:v>-2810</c:v>
                </c:pt>
                <c:pt idx="45">
                  <c:v>-74</c:v>
                </c:pt>
                <c:pt idx="46">
                  <c:v>-897</c:v>
                </c:pt>
                <c:pt idx="47">
                  <c:v>-114</c:v>
                </c:pt>
                <c:pt idx="48">
                  <c:v>-142</c:v>
                </c:pt>
                <c:pt idx="49">
                  <c:v>-25</c:v>
                </c:pt>
                <c:pt idx="50">
                  <c:v>-359</c:v>
                </c:pt>
                <c:pt idx="51">
                  <c:v>-44</c:v>
                </c:pt>
                <c:pt idx="52">
                  <c:v>-216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20450</c:v>
                </c:pt>
                <c:pt idx="1">
                  <c:v>20425</c:v>
                </c:pt>
                <c:pt idx="2">
                  <c:v>20400</c:v>
                </c:pt>
                <c:pt idx="3">
                  <c:v>20375</c:v>
                </c:pt>
                <c:pt idx="4">
                  <c:v>20350</c:v>
                </c:pt>
                <c:pt idx="5">
                  <c:v>20325</c:v>
                </c:pt>
                <c:pt idx="6">
                  <c:v>20300</c:v>
                </c:pt>
                <c:pt idx="7">
                  <c:v>20275</c:v>
                </c:pt>
                <c:pt idx="8">
                  <c:v>20250</c:v>
                </c:pt>
                <c:pt idx="9">
                  <c:v>20225</c:v>
                </c:pt>
                <c:pt idx="10">
                  <c:v>20200</c:v>
                </c:pt>
                <c:pt idx="11">
                  <c:v>20175</c:v>
                </c:pt>
                <c:pt idx="12">
                  <c:v>20150</c:v>
                </c:pt>
                <c:pt idx="13">
                  <c:v>20125</c:v>
                </c:pt>
                <c:pt idx="14">
                  <c:v>20100</c:v>
                </c:pt>
                <c:pt idx="15">
                  <c:v>20075</c:v>
                </c:pt>
                <c:pt idx="16">
                  <c:v>20050</c:v>
                </c:pt>
                <c:pt idx="17">
                  <c:v>20025</c:v>
                </c:pt>
                <c:pt idx="18">
                  <c:v>20000</c:v>
                </c:pt>
                <c:pt idx="19">
                  <c:v>19975</c:v>
                </c:pt>
                <c:pt idx="20">
                  <c:v>19950</c:v>
                </c:pt>
                <c:pt idx="21">
                  <c:v>19925</c:v>
                </c:pt>
                <c:pt idx="22">
                  <c:v>19900</c:v>
                </c:pt>
                <c:pt idx="23">
                  <c:v>19875</c:v>
                </c:pt>
                <c:pt idx="24">
                  <c:v>19850</c:v>
                </c:pt>
                <c:pt idx="25">
                  <c:v>19825</c:v>
                </c:pt>
                <c:pt idx="26">
                  <c:v>19800</c:v>
                </c:pt>
                <c:pt idx="27">
                  <c:v>19775</c:v>
                </c:pt>
                <c:pt idx="28">
                  <c:v>19750</c:v>
                </c:pt>
                <c:pt idx="29">
                  <c:v>19725</c:v>
                </c:pt>
                <c:pt idx="30">
                  <c:v>19700</c:v>
                </c:pt>
                <c:pt idx="31">
                  <c:v>19675</c:v>
                </c:pt>
                <c:pt idx="32">
                  <c:v>19650</c:v>
                </c:pt>
                <c:pt idx="33">
                  <c:v>19625</c:v>
                </c:pt>
                <c:pt idx="34">
                  <c:v>19600</c:v>
                </c:pt>
                <c:pt idx="35">
                  <c:v>19575</c:v>
                </c:pt>
                <c:pt idx="36">
                  <c:v>19550</c:v>
                </c:pt>
                <c:pt idx="37">
                  <c:v>19525</c:v>
                </c:pt>
                <c:pt idx="38">
                  <c:v>19500</c:v>
                </c:pt>
                <c:pt idx="39">
                  <c:v>19475</c:v>
                </c:pt>
                <c:pt idx="40">
                  <c:v>19450</c:v>
                </c:pt>
                <c:pt idx="41">
                  <c:v>19425</c:v>
                </c:pt>
                <c:pt idx="42">
                  <c:v>19400</c:v>
                </c:pt>
                <c:pt idx="43">
                  <c:v>19375</c:v>
                </c:pt>
                <c:pt idx="44">
                  <c:v>19350</c:v>
                </c:pt>
                <c:pt idx="45">
                  <c:v>19325</c:v>
                </c:pt>
                <c:pt idx="46">
                  <c:v>19300</c:v>
                </c:pt>
                <c:pt idx="47">
                  <c:v>19275</c:v>
                </c:pt>
                <c:pt idx="48">
                  <c:v>19250</c:v>
                </c:pt>
                <c:pt idx="49">
                  <c:v>19225</c:v>
                </c:pt>
                <c:pt idx="50">
                  <c:v>19200</c:v>
                </c:pt>
                <c:pt idx="51">
                  <c:v>19175</c:v>
                </c:pt>
                <c:pt idx="52">
                  <c:v>19150</c:v>
                </c:pt>
              </c:numCache>
            </c:numRef>
          </c:cat>
          <c:val>
            <c:numRef>
              <c:f>Hoja1!$CS$137:$CS$189</c:f>
              <c:numCache>
                <c:formatCode>General</c:formatCode>
                <c:ptCount val="53"/>
                <c:pt idx="0">
                  <c:v>66</c:v>
                </c:pt>
                <c:pt idx="1">
                  <c:v>0</c:v>
                </c:pt>
                <c:pt idx="2">
                  <c:v>45</c:v>
                </c:pt>
                <c:pt idx="3">
                  <c:v>0</c:v>
                </c:pt>
                <c:pt idx="4">
                  <c:v>55</c:v>
                </c:pt>
                <c:pt idx="5">
                  <c:v>0</c:v>
                </c:pt>
                <c:pt idx="6">
                  <c:v>40</c:v>
                </c:pt>
                <c:pt idx="7">
                  <c:v>41</c:v>
                </c:pt>
                <c:pt idx="8">
                  <c:v>76</c:v>
                </c:pt>
                <c:pt idx="9">
                  <c:v>1</c:v>
                </c:pt>
                <c:pt idx="10">
                  <c:v>37</c:v>
                </c:pt>
                <c:pt idx="11">
                  <c:v>42</c:v>
                </c:pt>
                <c:pt idx="12">
                  <c:v>2</c:v>
                </c:pt>
                <c:pt idx="13">
                  <c:v>2</c:v>
                </c:pt>
                <c:pt idx="14">
                  <c:v>17</c:v>
                </c:pt>
                <c:pt idx="15">
                  <c:v>6</c:v>
                </c:pt>
                <c:pt idx="16">
                  <c:v>9</c:v>
                </c:pt>
                <c:pt idx="17">
                  <c:v>6</c:v>
                </c:pt>
                <c:pt idx="18">
                  <c:v>51</c:v>
                </c:pt>
                <c:pt idx="19">
                  <c:v>0</c:v>
                </c:pt>
                <c:pt idx="20">
                  <c:v>5</c:v>
                </c:pt>
                <c:pt idx="21">
                  <c:v>0</c:v>
                </c:pt>
                <c:pt idx="22">
                  <c:v>10</c:v>
                </c:pt>
                <c:pt idx="23">
                  <c:v>-1</c:v>
                </c:pt>
                <c:pt idx="24">
                  <c:v>4</c:v>
                </c:pt>
                <c:pt idx="25">
                  <c:v>0</c:v>
                </c:pt>
                <c:pt idx="26">
                  <c:v>11</c:v>
                </c:pt>
                <c:pt idx="27">
                  <c:v>-1</c:v>
                </c:pt>
                <c:pt idx="28">
                  <c:v>-1</c:v>
                </c:pt>
                <c:pt idx="29">
                  <c:v>-3</c:v>
                </c:pt>
                <c:pt idx="30">
                  <c:v>-4</c:v>
                </c:pt>
                <c:pt idx="31">
                  <c:v>-4</c:v>
                </c:pt>
                <c:pt idx="32">
                  <c:v>-15</c:v>
                </c:pt>
                <c:pt idx="33">
                  <c:v>0</c:v>
                </c:pt>
                <c:pt idx="34">
                  <c:v>-4</c:v>
                </c:pt>
                <c:pt idx="35">
                  <c:v>-2</c:v>
                </c:pt>
                <c:pt idx="36">
                  <c:v>-8</c:v>
                </c:pt>
                <c:pt idx="37">
                  <c:v>-1</c:v>
                </c:pt>
                <c:pt idx="38">
                  <c:v>-22</c:v>
                </c:pt>
                <c:pt idx="39">
                  <c:v>-11</c:v>
                </c:pt>
                <c:pt idx="40">
                  <c:v>-3</c:v>
                </c:pt>
                <c:pt idx="41">
                  <c:v>-1</c:v>
                </c:pt>
                <c:pt idx="42">
                  <c:v>-43</c:v>
                </c:pt>
                <c:pt idx="43">
                  <c:v>0</c:v>
                </c:pt>
                <c:pt idx="44">
                  <c:v>0</c:v>
                </c:pt>
                <c:pt idx="45">
                  <c:v>-2</c:v>
                </c:pt>
                <c:pt idx="46">
                  <c:v>-2</c:v>
                </c:pt>
                <c:pt idx="47">
                  <c:v>0</c:v>
                </c:pt>
                <c:pt idx="48">
                  <c:v>-2</c:v>
                </c:pt>
                <c:pt idx="49">
                  <c:v>-1</c:v>
                </c:pt>
                <c:pt idx="50">
                  <c:v>-2</c:v>
                </c:pt>
                <c:pt idx="51">
                  <c:v>-7</c:v>
                </c:pt>
                <c:pt idx="52">
                  <c:v>-7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20450</c:v>
                </c:pt>
                <c:pt idx="1">
                  <c:v>20425</c:v>
                </c:pt>
                <c:pt idx="2">
                  <c:v>20400</c:v>
                </c:pt>
                <c:pt idx="3">
                  <c:v>20375</c:v>
                </c:pt>
                <c:pt idx="4">
                  <c:v>20350</c:v>
                </c:pt>
                <c:pt idx="5">
                  <c:v>20325</c:v>
                </c:pt>
                <c:pt idx="6">
                  <c:v>20300</c:v>
                </c:pt>
                <c:pt idx="7">
                  <c:v>20275</c:v>
                </c:pt>
                <c:pt idx="8">
                  <c:v>20250</c:v>
                </c:pt>
                <c:pt idx="9">
                  <c:v>20225</c:v>
                </c:pt>
                <c:pt idx="10">
                  <c:v>20200</c:v>
                </c:pt>
                <c:pt idx="11">
                  <c:v>20175</c:v>
                </c:pt>
                <c:pt idx="12">
                  <c:v>20150</c:v>
                </c:pt>
                <c:pt idx="13">
                  <c:v>20125</c:v>
                </c:pt>
                <c:pt idx="14">
                  <c:v>20100</c:v>
                </c:pt>
                <c:pt idx="15">
                  <c:v>20075</c:v>
                </c:pt>
                <c:pt idx="16">
                  <c:v>20050</c:v>
                </c:pt>
                <c:pt idx="17">
                  <c:v>20025</c:v>
                </c:pt>
                <c:pt idx="18">
                  <c:v>20000</c:v>
                </c:pt>
                <c:pt idx="19">
                  <c:v>19975</c:v>
                </c:pt>
                <c:pt idx="20">
                  <c:v>19950</c:v>
                </c:pt>
                <c:pt idx="21">
                  <c:v>19925</c:v>
                </c:pt>
                <c:pt idx="22">
                  <c:v>19900</c:v>
                </c:pt>
                <c:pt idx="23">
                  <c:v>19875</c:v>
                </c:pt>
                <c:pt idx="24">
                  <c:v>19850</c:v>
                </c:pt>
                <c:pt idx="25">
                  <c:v>19825</c:v>
                </c:pt>
                <c:pt idx="26">
                  <c:v>19800</c:v>
                </c:pt>
                <c:pt idx="27">
                  <c:v>19775</c:v>
                </c:pt>
                <c:pt idx="28">
                  <c:v>19750</c:v>
                </c:pt>
                <c:pt idx="29">
                  <c:v>19725</c:v>
                </c:pt>
                <c:pt idx="30">
                  <c:v>19700</c:v>
                </c:pt>
                <c:pt idx="31">
                  <c:v>19675</c:v>
                </c:pt>
                <c:pt idx="32">
                  <c:v>19650</c:v>
                </c:pt>
                <c:pt idx="33">
                  <c:v>19625</c:v>
                </c:pt>
                <c:pt idx="34">
                  <c:v>19600</c:v>
                </c:pt>
                <c:pt idx="35">
                  <c:v>19575</c:v>
                </c:pt>
                <c:pt idx="36">
                  <c:v>19550</c:v>
                </c:pt>
                <c:pt idx="37">
                  <c:v>19525</c:v>
                </c:pt>
                <c:pt idx="38">
                  <c:v>19500</c:v>
                </c:pt>
                <c:pt idx="39">
                  <c:v>19475</c:v>
                </c:pt>
                <c:pt idx="40">
                  <c:v>19450</c:v>
                </c:pt>
                <c:pt idx="41">
                  <c:v>19425</c:v>
                </c:pt>
                <c:pt idx="42">
                  <c:v>19400</c:v>
                </c:pt>
                <c:pt idx="43">
                  <c:v>19375</c:v>
                </c:pt>
                <c:pt idx="44">
                  <c:v>19350</c:v>
                </c:pt>
                <c:pt idx="45">
                  <c:v>19325</c:v>
                </c:pt>
                <c:pt idx="46">
                  <c:v>19300</c:v>
                </c:pt>
                <c:pt idx="47">
                  <c:v>19275</c:v>
                </c:pt>
                <c:pt idx="48">
                  <c:v>19250</c:v>
                </c:pt>
                <c:pt idx="49">
                  <c:v>19225</c:v>
                </c:pt>
                <c:pt idx="50">
                  <c:v>19200</c:v>
                </c:pt>
                <c:pt idx="51">
                  <c:v>19175</c:v>
                </c:pt>
                <c:pt idx="52">
                  <c:v>19150</c:v>
                </c:pt>
              </c:numCache>
            </c:numRef>
          </c:cat>
          <c:val>
            <c:numRef>
              <c:f>Hoja1!$CU$137:$CU$189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5</c:v>
                </c:pt>
                <c:pt idx="14">
                  <c:v>0</c:v>
                </c:pt>
                <c:pt idx="15">
                  <c:v>4</c:v>
                </c:pt>
                <c:pt idx="16">
                  <c:v>3</c:v>
                </c:pt>
                <c:pt idx="17">
                  <c:v>0</c:v>
                </c:pt>
                <c:pt idx="18">
                  <c:v>15</c:v>
                </c:pt>
                <c:pt idx="19">
                  <c:v>3</c:v>
                </c:pt>
                <c:pt idx="20">
                  <c:v>-2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6</c:v>
                </c:pt>
                <c:pt idx="25">
                  <c:v>-3</c:v>
                </c:pt>
                <c:pt idx="26">
                  <c:v>16</c:v>
                </c:pt>
                <c:pt idx="27">
                  <c:v>-3</c:v>
                </c:pt>
                <c:pt idx="28">
                  <c:v>9</c:v>
                </c:pt>
                <c:pt idx="29">
                  <c:v>-13</c:v>
                </c:pt>
                <c:pt idx="30">
                  <c:v>6</c:v>
                </c:pt>
                <c:pt idx="31">
                  <c:v>8</c:v>
                </c:pt>
                <c:pt idx="32">
                  <c:v>-2</c:v>
                </c:pt>
                <c:pt idx="33">
                  <c:v>-6</c:v>
                </c:pt>
                <c:pt idx="34">
                  <c:v>-6</c:v>
                </c:pt>
                <c:pt idx="35">
                  <c:v>-6</c:v>
                </c:pt>
                <c:pt idx="36">
                  <c:v>-6</c:v>
                </c:pt>
                <c:pt idx="37">
                  <c:v>-5</c:v>
                </c:pt>
                <c:pt idx="38">
                  <c:v>-5</c:v>
                </c:pt>
                <c:pt idx="39">
                  <c:v>-5</c:v>
                </c:pt>
                <c:pt idx="40">
                  <c:v>-3</c:v>
                </c:pt>
                <c:pt idx="41">
                  <c:v>0</c:v>
                </c:pt>
                <c:pt idx="42">
                  <c:v>-9</c:v>
                </c:pt>
                <c:pt idx="43">
                  <c:v>-5</c:v>
                </c:pt>
                <c:pt idx="44">
                  <c:v>3</c:v>
                </c:pt>
                <c:pt idx="45">
                  <c:v>-2</c:v>
                </c:pt>
                <c:pt idx="46">
                  <c:v>-10</c:v>
                </c:pt>
                <c:pt idx="47">
                  <c:v>-10</c:v>
                </c:pt>
                <c:pt idx="48">
                  <c:v>-2</c:v>
                </c:pt>
                <c:pt idx="49">
                  <c:v>-3</c:v>
                </c:pt>
                <c:pt idx="50">
                  <c:v>-16</c:v>
                </c:pt>
                <c:pt idx="51">
                  <c:v>0</c:v>
                </c:pt>
                <c:pt idx="52">
                  <c:v>-1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Hoja1!$BG$137:$BG$189</c:f>
              <c:numCache>
                <c:formatCode>General</c:formatCode>
                <c:ptCount val="53"/>
                <c:pt idx="0">
                  <c:v>3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127</c:v>
                </c:pt>
                <c:pt idx="11">
                  <c:v>1</c:v>
                </c:pt>
                <c:pt idx="12">
                  <c:v>3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32</c:v>
                </c:pt>
                <c:pt idx="17">
                  <c:v>29</c:v>
                </c:pt>
                <c:pt idx="18">
                  <c:v>3</c:v>
                </c:pt>
                <c:pt idx="19">
                  <c:v>2</c:v>
                </c:pt>
                <c:pt idx="20">
                  <c:v>4</c:v>
                </c:pt>
                <c:pt idx="21">
                  <c:v>2</c:v>
                </c:pt>
                <c:pt idx="22">
                  <c:v>14</c:v>
                </c:pt>
                <c:pt idx="23">
                  <c:v>1</c:v>
                </c:pt>
                <c:pt idx="24">
                  <c:v>3</c:v>
                </c:pt>
                <c:pt idx="25">
                  <c:v>3</c:v>
                </c:pt>
                <c:pt idx="26">
                  <c:v>23</c:v>
                </c:pt>
                <c:pt idx="27">
                  <c:v>2</c:v>
                </c:pt>
                <c:pt idx="28">
                  <c:v>-2</c:v>
                </c:pt>
                <c:pt idx="29">
                  <c:v>4</c:v>
                </c:pt>
                <c:pt idx="30">
                  <c:v>0</c:v>
                </c:pt>
                <c:pt idx="31">
                  <c:v>3</c:v>
                </c:pt>
                <c:pt idx="32">
                  <c:v>-1</c:v>
                </c:pt>
                <c:pt idx="33">
                  <c:v>0</c:v>
                </c:pt>
                <c:pt idx="34">
                  <c:v>-7</c:v>
                </c:pt>
                <c:pt idx="35">
                  <c:v>1</c:v>
                </c:pt>
                <c:pt idx="36">
                  <c:v>1</c:v>
                </c:pt>
                <c:pt idx="37">
                  <c:v>-5</c:v>
                </c:pt>
                <c:pt idx="38">
                  <c:v>-8</c:v>
                </c:pt>
                <c:pt idx="39">
                  <c:v>0</c:v>
                </c:pt>
                <c:pt idx="40">
                  <c:v>0</c:v>
                </c:pt>
                <c:pt idx="41">
                  <c:v>-2</c:v>
                </c:pt>
                <c:pt idx="42">
                  <c:v>-115</c:v>
                </c:pt>
                <c:pt idx="43">
                  <c:v>-2</c:v>
                </c:pt>
                <c:pt idx="44">
                  <c:v>0</c:v>
                </c:pt>
                <c:pt idx="45">
                  <c:v>0</c:v>
                </c:pt>
                <c:pt idx="46">
                  <c:v>-2</c:v>
                </c:pt>
                <c:pt idx="47">
                  <c:v>0</c:v>
                </c:pt>
                <c:pt idx="48">
                  <c:v>-6</c:v>
                </c:pt>
                <c:pt idx="49">
                  <c:v>-2</c:v>
                </c:pt>
                <c:pt idx="50">
                  <c:v>-9</c:v>
                </c:pt>
                <c:pt idx="51">
                  <c:v>0</c:v>
                </c:pt>
                <c:pt idx="52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820409856"/>
        <c:axId val="820411392"/>
      </c:barChart>
      <c:catAx>
        <c:axId val="820409856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820411392"/>
        <c:crosses val="autoZero"/>
        <c:auto val="1"/>
        <c:lblAlgn val="ctr"/>
        <c:lblOffset val="100"/>
        <c:noMultiLvlLbl val="0"/>
      </c:catAx>
      <c:valAx>
        <c:axId val="820411392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82040985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DEX (Cientos)</a:t>
            </a:r>
          </a:p>
        </c:rich>
      </c:tx>
      <c:layout>
        <c:manualLayout>
          <c:xMode val="edge"/>
          <c:yMode val="edge"/>
          <c:x val="0.15853868497198109"/>
          <c:y val="2.139318424829907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812345723710553"/>
          <c:y val="5.0076844939373685E-2"/>
          <c:w val="0.74971503472204115"/>
          <c:h val="0.8783528502350357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250507</c:v>
                </c:pt>
              </c:strCache>
            </c:strRef>
          </c:tx>
          <c:invertIfNegative val="0"/>
          <c:cat>
            <c:numRef>
              <c:f>Hoja1!$A$4:$A$38</c:f>
              <c:numCache>
                <c:formatCode>0</c:formatCode>
                <c:ptCount val="35"/>
                <c:pt idx="0">
                  <c:v>582</c:v>
                </c:pt>
                <c:pt idx="1">
                  <c:v>581</c:v>
                </c:pt>
                <c:pt idx="2">
                  <c:v>580</c:v>
                </c:pt>
                <c:pt idx="3">
                  <c:v>579</c:v>
                </c:pt>
                <c:pt idx="4">
                  <c:v>578</c:v>
                </c:pt>
                <c:pt idx="5">
                  <c:v>577</c:v>
                </c:pt>
                <c:pt idx="6">
                  <c:v>576</c:v>
                </c:pt>
                <c:pt idx="7">
                  <c:v>575</c:v>
                </c:pt>
                <c:pt idx="8">
                  <c:v>574</c:v>
                </c:pt>
                <c:pt idx="9">
                  <c:v>573</c:v>
                </c:pt>
                <c:pt idx="10">
                  <c:v>572</c:v>
                </c:pt>
                <c:pt idx="11">
                  <c:v>571</c:v>
                </c:pt>
                <c:pt idx="12">
                  <c:v>570</c:v>
                </c:pt>
                <c:pt idx="13">
                  <c:v>569</c:v>
                </c:pt>
                <c:pt idx="14">
                  <c:v>568</c:v>
                </c:pt>
                <c:pt idx="15">
                  <c:v>567</c:v>
                </c:pt>
                <c:pt idx="16">
                  <c:v>566</c:v>
                </c:pt>
                <c:pt idx="17">
                  <c:v>565</c:v>
                </c:pt>
                <c:pt idx="18">
                  <c:v>564</c:v>
                </c:pt>
                <c:pt idx="19">
                  <c:v>563</c:v>
                </c:pt>
                <c:pt idx="20">
                  <c:v>562</c:v>
                </c:pt>
                <c:pt idx="21">
                  <c:v>561</c:v>
                </c:pt>
                <c:pt idx="22">
                  <c:v>560</c:v>
                </c:pt>
                <c:pt idx="23">
                  <c:v>559</c:v>
                </c:pt>
                <c:pt idx="24">
                  <c:v>558</c:v>
                </c:pt>
                <c:pt idx="25">
                  <c:v>557</c:v>
                </c:pt>
                <c:pt idx="26">
                  <c:v>556</c:v>
                </c:pt>
                <c:pt idx="27">
                  <c:v>555</c:v>
                </c:pt>
                <c:pt idx="28">
                  <c:v>554</c:v>
                </c:pt>
                <c:pt idx="29">
                  <c:v>553</c:v>
                </c:pt>
                <c:pt idx="30">
                  <c:v>552</c:v>
                </c:pt>
                <c:pt idx="31">
                  <c:v>551</c:v>
                </c:pt>
                <c:pt idx="32">
                  <c:v>550</c:v>
                </c:pt>
                <c:pt idx="33">
                  <c:v>549</c:v>
                </c:pt>
                <c:pt idx="34">
                  <c:v>548</c:v>
                </c:pt>
              </c:numCache>
            </c:numRef>
          </c:cat>
          <c:val>
            <c:numRef>
              <c:f>Hoja1!$CK$4:$CK$38</c:f>
              <c:numCache>
                <c:formatCode>General</c:formatCode>
                <c:ptCount val="35"/>
                <c:pt idx="0">
                  <c:v>-77</c:v>
                </c:pt>
                <c:pt idx="1">
                  <c:v>0</c:v>
                </c:pt>
                <c:pt idx="2">
                  <c:v>-2204</c:v>
                </c:pt>
                <c:pt idx="3">
                  <c:v>0</c:v>
                </c:pt>
                <c:pt idx="4">
                  <c:v>-75</c:v>
                </c:pt>
                <c:pt idx="5">
                  <c:v>-74</c:v>
                </c:pt>
                <c:pt idx="6">
                  <c:v>-146</c:v>
                </c:pt>
                <c:pt idx="7">
                  <c:v>-3311.9999999999995</c:v>
                </c:pt>
                <c:pt idx="8">
                  <c:v>-1207</c:v>
                </c:pt>
                <c:pt idx="9">
                  <c:v>-9800</c:v>
                </c:pt>
                <c:pt idx="10">
                  <c:v>-2906</c:v>
                </c:pt>
                <c:pt idx="11">
                  <c:v>-2336</c:v>
                </c:pt>
                <c:pt idx="12">
                  <c:v>-6562</c:v>
                </c:pt>
                <c:pt idx="13">
                  <c:v>-18806</c:v>
                </c:pt>
                <c:pt idx="14">
                  <c:v>-48171</c:v>
                </c:pt>
                <c:pt idx="15">
                  <c:v>-72566</c:v>
                </c:pt>
                <c:pt idx="16">
                  <c:v>-89553.999999999985</c:v>
                </c:pt>
                <c:pt idx="17">
                  <c:v>-55106</c:v>
                </c:pt>
                <c:pt idx="18">
                  <c:v>444996</c:v>
                </c:pt>
                <c:pt idx="19">
                  <c:v>425380</c:v>
                </c:pt>
                <c:pt idx="20">
                  <c:v>519440</c:v>
                </c:pt>
                <c:pt idx="21">
                  <c:v>467432</c:v>
                </c:pt>
                <c:pt idx="22">
                  <c:v>494656</c:v>
                </c:pt>
                <c:pt idx="23">
                  <c:v>320967</c:v>
                </c:pt>
                <c:pt idx="24">
                  <c:v>531090</c:v>
                </c:pt>
                <c:pt idx="25">
                  <c:v>436806</c:v>
                </c:pt>
                <c:pt idx="26">
                  <c:v>73300</c:v>
                </c:pt>
                <c:pt idx="27">
                  <c:v>123000</c:v>
                </c:pt>
                <c:pt idx="28">
                  <c:v>44000</c:v>
                </c:pt>
                <c:pt idx="29">
                  <c:v>69200</c:v>
                </c:pt>
                <c:pt idx="30">
                  <c:v>58900</c:v>
                </c:pt>
                <c:pt idx="31">
                  <c:v>55500</c:v>
                </c:pt>
                <c:pt idx="32">
                  <c:v>94200</c:v>
                </c:pt>
                <c:pt idx="33">
                  <c:v>113300</c:v>
                </c:pt>
                <c:pt idx="34">
                  <c:v>85600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val>
            <c:numRef>
              <c:f>Hoja1!$CM$4:$CM$38</c:f>
              <c:numCache>
                <c:formatCode>General</c:formatCode>
                <c:ptCount val="35"/>
                <c:pt idx="0">
                  <c:v>3675</c:v>
                </c:pt>
                <c:pt idx="1">
                  <c:v>3808</c:v>
                </c:pt>
                <c:pt idx="2">
                  <c:v>6983.9999999999982</c:v>
                </c:pt>
                <c:pt idx="3">
                  <c:v>13509</c:v>
                </c:pt>
                <c:pt idx="4">
                  <c:v>3129.0000000000009</c:v>
                </c:pt>
                <c:pt idx="5">
                  <c:v>2920</c:v>
                </c:pt>
                <c:pt idx="6">
                  <c:v>6196</c:v>
                </c:pt>
                <c:pt idx="7">
                  <c:v>18578.000000000015</c:v>
                </c:pt>
                <c:pt idx="8">
                  <c:v>1055.0000000000018</c:v>
                </c:pt>
                <c:pt idx="9">
                  <c:v>19450</c:v>
                </c:pt>
                <c:pt idx="10">
                  <c:v>36235</c:v>
                </c:pt>
                <c:pt idx="11">
                  <c:v>-7169.9999999999927</c:v>
                </c:pt>
                <c:pt idx="12">
                  <c:v>175568</c:v>
                </c:pt>
                <c:pt idx="13">
                  <c:v>45894</c:v>
                </c:pt>
                <c:pt idx="14">
                  <c:v>-3930</c:v>
                </c:pt>
                <c:pt idx="15">
                  <c:v>32739</c:v>
                </c:pt>
                <c:pt idx="16">
                  <c:v>45030</c:v>
                </c:pt>
                <c:pt idx="17">
                  <c:v>227892</c:v>
                </c:pt>
                <c:pt idx="18">
                  <c:v>26776</c:v>
                </c:pt>
                <c:pt idx="19">
                  <c:v>20775</c:v>
                </c:pt>
                <c:pt idx="20">
                  <c:v>124560</c:v>
                </c:pt>
                <c:pt idx="21">
                  <c:v>45383.999999999985</c:v>
                </c:pt>
                <c:pt idx="22">
                  <c:v>531133</c:v>
                </c:pt>
                <c:pt idx="23">
                  <c:v>107992</c:v>
                </c:pt>
                <c:pt idx="24">
                  <c:v>53750</c:v>
                </c:pt>
                <c:pt idx="25">
                  <c:v>18980</c:v>
                </c:pt>
                <c:pt idx="26">
                  <c:v>108450</c:v>
                </c:pt>
                <c:pt idx="27">
                  <c:v>659740</c:v>
                </c:pt>
                <c:pt idx="28">
                  <c:v>36220</c:v>
                </c:pt>
                <c:pt idx="29">
                  <c:v>53908</c:v>
                </c:pt>
                <c:pt idx="30">
                  <c:v>-58064.000000000015</c:v>
                </c:pt>
                <c:pt idx="31">
                  <c:v>85770</c:v>
                </c:pt>
                <c:pt idx="32">
                  <c:v>631900</c:v>
                </c:pt>
                <c:pt idx="33">
                  <c:v>44753</c:v>
                </c:pt>
                <c:pt idx="34">
                  <c:v>78180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val>
            <c:numRef>
              <c:f>Hoja1!$CO$4:$CO$38</c:f>
              <c:numCache>
                <c:formatCode>General</c:formatCode>
                <c:ptCount val="35"/>
                <c:pt idx="0">
                  <c:v>43045</c:v>
                </c:pt>
                <c:pt idx="1">
                  <c:v>59184.000000000007</c:v>
                </c:pt>
                <c:pt idx="2">
                  <c:v>272752.00000000006</c:v>
                </c:pt>
                <c:pt idx="3">
                  <c:v>64208</c:v>
                </c:pt>
                <c:pt idx="4">
                  <c:v>174882</c:v>
                </c:pt>
                <c:pt idx="5">
                  <c:v>80720</c:v>
                </c:pt>
                <c:pt idx="6">
                  <c:v>76422</c:v>
                </c:pt>
                <c:pt idx="7">
                  <c:v>1013799</c:v>
                </c:pt>
                <c:pt idx="8">
                  <c:v>58428</c:v>
                </c:pt>
                <c:pt idx="9">
                  <c:v>63648</c:v>
                </c:pt>
                <c:pt idx="10">
                  <c:v>44733</c:v>
                </c:pt>
                <c:pt idx="11">
                  <c:v>40414</c:v>
                </c:pt>
                <c:pt idx="12">
                  <c:v>-96763</c:v>
                </c:pt>
                <c:pt idx="13">
                  <c:v>17550.000000000015</c:v>
                </c:pt>
                <c:pt idx="14">
                  <c:v>145486</c:v>
                </c:pt>
                <c:pt idx="15">
                  <c:v>18779</c:v>
                </c:pt>
                <c:pt idx="16">
                  <c:v>94850</c:v>
                </c:pt>
                <c:pt idx="17">
                  <c:v>320700</c:v>
                </c:pt>
                <c:pt idx="18">
                  <c:v>99211</c:v>
                </c:pt>
                <c:pt idx="19">
                  <c:v>142647</c:v>
                </c:pt>
                <c:pt idx="20">
                  <c:v>160749.99999999994</c:v>
                </c:pt>
                <c:pt idx="21">
                  <c:v>178317.99999999997</c:v>
                </c:pt>
                <c:pt idx="22">
                  <c:v>-379594.99999999977</c:v>
                </c:pt>
                <c:pt idx="23">
                  <c:v>148638</c:v>
                </c:pt>
                <c:pt idx="24">
                  <c:v>660405</c:v>
                </c:pt>
                <c:pt idx="25">
                  <c:v>-194978</c:v>
                </c:pt>
                <c:pt idx="26">
                  <c:v>45026.999999999985</c:v>
                </c:pt>
                <c:pt idx="27">
                  <c:v>-1008592</c:v>
                </c:pt>
                <c:pt idx="28">
                  <c:v>89378</c:v>
                </c:pt>
                <c:pt idx="29">
                  <c:v>156986</c:v>
                </c:pt>
                <c:pt idx="30">
                  <c:v>39373.999999999985</c:v>
                </c:pt>
                <c:pt idx="31">
                  <c:v>554542</c:v>
                </c:pt>
                <c:pt idx="32">
                  <c:v>644075</c:v>
                </c:pt>
                <c:pt idx="33">
                  <c:v>309450</c:v>
                </c:pt>
                <c:pt idx="34">
                  <c:v>429599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339411328"/>
        <c:axId val="339412864"/>
      </c:barChart>
      <c:catAx>
        <c:axId val="339411328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339412864"/>
        <c:crosses val="autoZero"/>
        <c:auto val="1"/>
        <c:lblAlgn val="ctr"/>
        <c:lblOffset val="100"/>
        <c:noMultiLvlLbl val="0"/>
      </c:catAx>
      <c:valAx>
        <c:axId val="339412864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339411328"/>
        <c:crosses val="autoZero"/>
        <c:crossBetween val="between"/>
        <c:dispUnits>
          <c:builtInUnit val="hundred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43898420486385E-2"/>
          <c:y val="7.9900036391391024E-2"/>
          <c:w val="0.83805372633198372"/>
          <c:h val="0.88154421070937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250507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Hoja1!$CK$45:$CK$79</c:f>
              <c:numCache>
                <c:formatCode>General</c:formatCode>
                <c:ptCount val="35"/>
                <c:pt idx="0">
                  <c:v>-750</c:v>
                </c:pt>
                <c:pt idx="1">
                  <c:v>-666</c:v>
                </c:pt>
                <c:pt idx="2">
                  <c:v>-1460</c:v>
                </c:pt>
                <c:pt idx="3">
                  <c:v>-73</c:v>
                </c:pt>
                <c:pt idx="4">
                  <c:v>-719.99999999999989</c:v>
                </c:pt>
                <c:pt idx="5">
                  <c:v>-710</c:v>
                </c:pt>
                <c:pt idx="6">
                  <c:v>-839.99999999999989</c:v>
                </c:pt>
                <c:pt idx="7">
                  <c:v>-512.00000000000045</c:v>
                </c:pt>
                <c:pt idx="8">
                  <c:v>3111</c:v>
                </c:pt>
                <c:pt idx="9">
                  <c:v>-14021</c:v>
                </c:pt>
                <c:pt idx="10">
                  <c:v>-5323</c:v>
                </c:pt>
                <c:pt idx="11">
                  <c:v>-27133.000000000004</c:v>
                </c:pt>
                <c:pt idx="12">
                  <c:v>-59605</c:v>
                </c:pt>
                <c:pt idx="13">
                  <c:v>-48795.999999999993</c:v>
                </c:pt>
                <c:pt idx="14">
                  <c:v>-108136.00000000001</c:v>
                </c:pt>
                <c:pt idx="15">
                  <c:v>-2048</c:v>
                </c:pt>
                <c:pt idx="16">
                  <c:v>236495</c:v>
                </c:pt>
                <c:pt idx="17">
                  <c:v>534174</c:v>
                </c:pt>
                <c:pt idx="18">
                  <c:v>328752</c:v>
                </c:pt>
                <c:pt idx="19">
                  <c:v>284036</c:v>
                </c:pt>
                <c:pt idx="20">
                  <c:v>175786</c:v>
                </c:pt>
                <c:pt idx="21">
                  <c:v>178804</c:v>
                </c:pt>
                <c:pt idx="22">
                  <c:v>154204</c:v>
                </c:pt>
                <c:pt idx="23">
                  <c:v>83164</c:v>
                </c:pt>
                <c:pt idx="24">
                  <c:v>139300</c:v>
                </c:pt>
                <c:pt idx="25">
                  <c:v>26400</c:v>
                </c:pt>
                <c:pt idx="26">
                  <c:v>45900</c:v>
                </c:pt>
                <c:pt idx="27">
                  <c:v>44200</c:v>
                </c:pt>
                <c:pt idx="28">
                  <c:v>47200</c:v>
                </c:pt>
                <c:pt idx="29">
                  <c:v>17400</c:v>
                </c:pt>
                <c:pt idx="30">
                  <c:v>14000</c:v>
                </c:pt>
                <c:pt idx="31">
                  <c:v>54300</c:v>
                </c:pt>
                <c:pt idx="32">
                  <c:v>26800</c:v>
                </c:pt>
                <c:pt idx="33">
                  <c:v>4200</c:v>
                </c:pt>
                <c:pt idx="34">
                  <c:v>12500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Hoja1!$CM$45:$CM$79</c:f>
              <c:numCache>
                <c:formatCode>General</c:formatCode>
                <c:ptCount val="35"/>
                <c:pt idx="0">
                  <c:v>3219</c:v>
                </c:pt>
                <c:pt idx="1">
                  <c:v>5188</c:v>
                </c:pt>
                <c:pt idx="2">
                  <c:v>38331</c:v>
                </c:pt>
                <c:pt idx="3">
                  <c:v>4993</c:v>
                </c:pt>
                <c:pt idx="4">
                  <c:v>6152.0000000000009</c:v>
                </c:pt>
                <c:pt idx="5">
                  <c:v>8706</c:v>
                </c:pt>
                <c:pt idx="6">
                  <c:v>6360</c:v>
                </c:pt>
                <c:pt idx="7">
                  <c:v>38499</c:v>
                </c:pt>
                <c:pt idx="8">
                  <c:v>15734</c:v>
                </c:pt>
                <c:pt idx="9">
                  <c:v>16400.000000000004</c:v>
                </c:pt>
                <c:pt idx="10">
                  <c:v>12095.999999999995</c:v>
                </c:pt>
                <c:pt idx="11">
                  <c:v>-2075.9999999999964</c:v>
                </c:pt>
                <c:pt idx="12">
                  <c:v>155622.00000000009</c:v>
                </c:pt>
                <c:pt idx="13">
                  <c:v>-55237</c:v>
                </c:pt>
                <c:pt idx="14">
                  <c:v>8796</c:v>
                </c:pt>
                <c:pt idx="15">
                  <c:v>11750</c:v>
                </c:pt>
                <c:pt idx="16">
                  <c:v>42092</c:v>
                </c:pt>
                <c:pt idx="17">
                  <c:v>455124</c:v>
                </c:pt>
                <c:pt idx="18">
                  <c:v>-250.00000000001455</c:v>
                </c:pt>
                <c:pt idx="19">
                  <c:v>53021.999999999993</c:v>
                </c:pt>
                <c:pt idx="20">
                  <c:v>-8008</c:v>
                </c:pt>
                <c:pt idx="21">
                  <c:v>151440</c:v>
                </c:pt>
                <c:pt idx="22">
                  <c:v>200960</c:v>
                </c:pt>
                <c:pt idx="23">
                  <c:v>14979.999999999993</c:v>
                </c:pt>
                <c:pt idx="24">
                  <c:v>37764</c:v>
                </c:pt>
                <c:pt idx="25">
                  <c:v>60396</c:v>
                </c:pt>
                <c:pt idx="26">
                  <c:v>46227</c:v>
                </c:pt>
                <c:pt idx="27">
                  <c:v>304364</c:v>
                </c:pt>
                <c:pt idx="28">
                  <c:v>28080</c:v>
                </c:pt>
                <c:pt idx="29">
                  <c:v>130574</c:v>
                </c:pt>
                <c:pt idx="30">
                  <c:v>92859</c:v>
                </c:pt>
                <c:pt idx="31">
                  <c:v>82850</c:v>
                </c:pt>
                <c:pt idx="32">
                  <c:v>227963</c:v>
                </c:pt>
                <c:pt idx="33">
                  <c:v>54004</c:v>
                </c:pt>
                <c:pt idx="34">
                  <c:v>92896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Hoja1!$CO$45:$CO$79</c:f>
              <c:numCache>
                <c:formatCode>General</c:formatCode>
                <c:ptCount val="35"/>
                <c:pt idx="0">
                  <c:v>45101.000000000007</c:v>
                </c:pt>
                <c:pt idx="1">
                  <c:v>41857</c:v>
                </c:pt>
                <c:pt idx="2">
                  <c:v>977358</c:v>
                </c:pt>
                <c:pt idx="3">
                  <c:v>8097.0000000000009</c:v>
                </c:pt>
                <c:pt idx="4">
                  <c:v>20395</c:v>
                </c:pt>
                <c:pt idx="5">
                  <c:v>8780</c:v>
                </c:pt>
                <c:pt idx="6">
                  <c:v>17249</c:v>
                </c:pt>
                <c:pt idx="7">
                  <c:v>987846</c:v>
                </c:pt>
                <c:pt idx="8">
                  <c:v>4625</c:v>
                </c:pt>
                <c:pt idx="9">
                  <c:v>8656</c:v>
                </c:pt>
                <c:pt idx="10">
                  <c:v>12543.000000000002</c:v>
                </c:pt>
                <c:pt idx="11">
                  <c:v>19012</c:v>
                </c:pt>
                <c:pt idx="12">
                  <c:v>2042434</c:v>
                </c:pt>
                <c:pt idx="13">
                  <c:v>11180</c:v>
                </c:pt>
                <c:pt idx="14">
                  <c:v>28260</c:v>
                </c:pt>
                <c:pt idx="15">
                  <c:v>19358.999999999996</c:v>
                </c:pt>
                <c:pt idx="16">
                  <c:v>11091.000000000004</c:v>
                </c:pt>
                <c:pt idx="17">
                  <c:v>945737.99999999977</c:v>
                </c:pt>
                <c:pt idx="18">
                  <c:v>51219</c:v>
                </c:pt>
                <c:pt idx="19">
                  <c:v>239</c:v>
                </c:pt>
                <c:pt idx="20">
                  <c:v>-3032</c:v>
                </c:pt>
                <c:pt idx="21">
                  <c:v>-927</c:v>
                </c:pt>
                <c:pt idx="22">
                  <c:v>1210934</c:v>
                </c:pt>
                <c:pt idx="23">
                  <c:v>-5759.9999999999991</c:v>
                </c:pt>
                <c:pt idx="24">
                  <c:v>18682.999999999996</c:v>
                </c:pt>
                <c:pt idx="25">
                  <c:v>-16527</c:v>
                </c:pt>
                <c:pt idx="26">
                  <c:v>410</c:v>
                </c:pt>
                <c:pt idx="27">
                  <c:v>1828227.9999999995</c:v>
                </c:pt>
                <c:pt idx="28">
                  <c:v>-607</c:v>
                </c:pt>
                <c:pt idx="29">
                  <c:v>-33806.000000000007</c:v>
                </c:pt>
                <c:pt idx="30">
                  <c:v>50</c:v>
                </c:pt>
                <c:pt idx="31">
                  <c:v>-4922</c:v>
                </c:pt>
                <c:pt idx="32">
                  <c:v>2777809</c:v>
                </c:pt>
                <c:pt idx="33">
                  <c:v>71220</c:v>
                </c:pt>
                <c:pt idx="34">
                  <c:v>144302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339468672"/>
        <c:axId val="339470208"/>
      </c:barChart>
      <c:catAx>
        <c:axId val="339468672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339470208"/>
        <c:crosses val="autoZero"/>
        <c:auto val="1"/>
        <c:lblAlgn val="ctr"/>
        <c:lblOffset val="100"/>
        <c:noMultiLvlLbl val="0"/>
      </c:catAx>
      <c:valAx>
        <c:axId val="339470208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339468672"/>
        <c:crosses val="autoZero"/>
        <c:crossBetween val="between"/>
        <c:dispUnits>
          <c:builtInUnit val="hundred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480939657863116E-2"/>
          <c:y val="7.2241743410779921E-2"/>
          <c:w val="0.83221581465143679"/>
          <c:h val="0.8827896815486433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250507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Hoja1!$CK$85:$CK$130</c:f>
              <c:numCache>
                <c:formatCode>General</c:formatCode>
                <c:ptCount val="46"/>
                <c:pt idx="0">
                  <c:v>-475</c:v>
                </c:pt>
                <c:pt idx="1">
                  <c:v>0</c:v>
                </c:pt>
                <c:pt idx="2">
                  <c:v>-14014.000000000002</c:v>
                </c:pt>
                <c:pt idx="3">
                  <c:v>-182</c:v>
                </c:pt>
                <c:pt idx="4">
                  <c:v>-564</c:v>
                </c:pt>
                <c:pt idx="5">
                  <c:v>-90</c:v>
                </c:pt>
                <c:pt idx="6">
                  <c:v>-3115</c:v>
                </c:pt>
                <c:pt idx="7">
                  <c:v>-3870.0000000000005</c:v>
                </c:pt>
                <c:pt idx="8">
                  <c:v>-1344</c:v>
                </c:pt>
                <c:pt idx="9">
                  <c:v>-20448</c:v>
                </c:pt>
                <c:pt idx="10">
                  <c:v>-20448</c:v>
                </c:pt>
                <c:pt idx="11">
                  <c:v>-20256</c:v>
                </c:pt>
                <c:pt idx="12">
                  <c:v>-24288</c:v>
                </c:pt>
                <c:pt idx="13">
                  <c:v>-3229.9999999999995</c:v>
                </c:pt>
                <c:pt idx="14">
                  <c:v>-3229.9999999999995</c:v>
                </c:pt>
                <c:pt idx="15">
                  <c:v>-8835</c:v>
                </c:pt>
                <c:pt idx="16">
                  <c:v>-5922</c:v>
                </c:pt>
                <c:pt idx="17">
                  <c:v>-50102</c:v>
                </c:pt>
                <c:pt idx="18">
                  <c:v>-11532</c:v>
                </c:pt>
                <c:pt idx="19">
                  <c:v>-17296</c:v>
                </c:pt>
                <c:pt idx="20">
                  <c:v>-10460</c:v>
                </c:pt>
                <c:pt idx="21">
                  <c:v>-35545</c:v>
                </c:pt>
                <c:pt idx="22">
                  <c:v>-156482</c:v>
                </c:pt>
                <c:pt idx="23">
                  <c:v>-66871.999999999985</c:v>
                </c:pt>
                <c:pt idx="24">
                  <c:v>32738</c:v>
                </c:pt>
                <c:pt idx="25">
                  <c:v>115375</c:v>
                </c:pt>
                <c:pt idx="26">
                  <c:v>128155</c:v>
                </c:pt>
                <c:pt idx="27">
                  <c:v>152041</c:v>
                </c:pt>
                <c:pt idx="28">
                  <c:v>25600</c:v>
                </c:pt>
                <c:pt idx="29">
                  <c:v>18400</c:v>
                </c:pt>
                <c:pt idx="30">
                  <c:v>17400</c:v>
                </c:pt>
                <c:pt idx="31">
                  <c:v>49600</c:v>
                </c:pt>
                <c:pt idx="32">
                  <c:v>108800</c:v>
                </c:pt>
                <c:pt idx="33">
                  <c:v>17900</c:v>
                </c:pt>
                <c:pt idx="34">
                  <c:v>12300</c:v>
                </c:pt>
                <c:pt idx="35">
                  <c:v>20500</c:v>
                </c:pt>
                <c:pt idx="36">
                  <c:v>17800</c:v>
                </c:pt>
                <c:pt idx="37">
                  <c:v>54400</c:v>
                </c:pt>
                <c:pt idx="38">
                  <c:v>8500</c:v>
                </c:pt>
                <c:pt idx="39">
                  <c:v>6000</c:v>
                </c:pt>
                <c:pt idx="40">
                  <c:v>11500</c:v>
                </c:pt>
                <c:pt idx="41">
                  <c:v>5300</c:v>
                </c:pt>
                <c:pt idx="42">
                  <c:v>20700</c:v>
                </c:pt>
                <c:pt idx="43">
                  <c:v>8300</c:v>
                </c:pt>
                <c:pt idx="44">
                  <c:v>28500</c:v>
                </c:pt>
                <c:pt idx="45">
                  <c:v>18400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Hoja1!$CM$85:$CM$130</c:f>
              <c:numCache>
                <c:formatCode>General</c:formatCode>
                <c:ptCount val="46"/>
                <c:pt idx="0">
                  <c:v>299</c:v>
                </c:pt>
                <c:pt idx="1">
                  <c:v>-23</c:v>
                </c:pt>
                <c:pt idx="2">
                  <c:v>2239</c:v>
                </c:pt>
                <c:pt idx="3">
                  <c:v>436</c:v>
                </c:pt>
                <c:pt idx="4">
                  <c:v>-8334</c:v>
                </c:pt>
                <c:pt idx="5">
                  <c:v>865</c:v>
                </c:pt>
                <c:pt idx="6">
                  <c:v>-4425</c:v>
                </c:pt>
                <c:pt idx="7">
                  <c:v>19160</c:v>
                </c:pt>
                <c:pt idx="8">
                  <c:v>3810</c:v>
                </c:pt>
                <c:pt idx="9">
                  <c:v>4412</c:v>
                </c:pt>
                <c:pt idx="10">
                  <c:v>4712</c:v>
                </c:pt>
                <c:pt idx="11">
                  <c:v>13070.000000000002</c:v>
                </c:pt>
                <c:pt idx="12">
                  <c:v>34333.000000000007</c:v>
                </c:pt>
                <c:pt idx="13">
                  <c:v>11229.999999999998</c:v>
                </c:pt>
                <c:pt idx="14">
                  <c:v>6516</c:v>
                </c:pt>
                <c:pt idx="15">
                  <c:v>0</c:v>
                </c:pt>
                <c:pt idx="16">
                  <c:v>22775</c:v>
                </c:pt>
                <c:pt idx="17">
                  <c:v>-43347.999999999985</c:v>
                </c:pt>
                <c:pt idx="18">
                  <c:v>18663</c:v>
                </c:pt>
                <c:pt idx="19">
                  <c:v>60234.999999999985</c:v>
                </c:pt>
                <c:pt idx="20">
                  <c:v>-6646.9999999999964</c:v>
                </c:pt>
                <c:pt idx="21">
                  <c:v>-17909.000000000004</c:v>
                </c:pt>
                <c:pt idx="22">
                  <c:v>12193.000000000015</c:v>
                </c:pt>
                <c:pt idx="23">
                  <c:v>31871.999999999989</c:v>
                </c:pt>
                <c:pt idx="24">
                  <c:v>22050</c:v>
                </c:pt>
                <c:pt idx="25">
                  <c:v>37089.999999999993</c:v>
                </c:pt>
                <c:pt idx="26">
                  <c:v>-2470</c:v>
                </c:pt>
                <c:pt idx="27">
                  <c:v>24423</c:v>
                </c:pt>
                <c:pt idx="28">
                  <c:v>19723.000000000004</c:v>
                </c:pt>
                <c:pt idx="29">
                  <c:v>3166.0000000000036</c:v>
                </c:pt>
                <c:pt idx="30">
                  <c:v>1674.9999999999991</c:v>
                </c:pt>
                <c:pt idx="31">
                  <c:v>12126.000000000004</c:v>
                </c:pt>
                <c:pt idx="32">
                  <c:v>25704.000000000007</c:v>
                </c:pt>
                <c:pt idx="33">
                  <c:v>-2010.0000000000036</c:v>
                </c:pt>
                <c:pt idx="34">
                  <c:v>7186</c:v>
                </c:pt>
                <c:pt idx="35">
                  <c:v>18280.999999999996</c:v>
                </c:pt>
                <c:pt idx="36">
                  <c:v>22973.999999999996</c:v>
                </c:pt>
                <c:pt idx="37">
                  <c:v>80919.999999999985</c:v>
                </c:pt>
                <c:pt idx="38">
                  <c:v>13530</c:v>
                </c:pt>
                <c:pt idx="39">
                  <c:v>57580</c:v>
                </c:pt>
                <c:pt idx="40">
                  <c:v>8099</c:v>
                </c:pt>
                <c:pt idx="41">
                  <c:v>18581</c:v>
                </c:pt>
                <c:pt idx="42">
                  <c:v>64038.000000000015</c:v>
                </c:pt>
                <c:pt idx="43">
                  <c:v>22355</c:v>
                </c:pt>
                <c:pt idx="44">
                  <c:v>87164</c:v>
                </c:pt>
                <c:pt idx="45">
                  <c:v>11160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Hoja1!$CO$85:$CO$130</c:f>
              <c:numCache>
                <c:formatCode>General</c:formatCode>
                <c:ptCount val="46"/>
                <c:pt idx="0">
                  <c:v>-13847</c:v>
                </c:pt>
                <c:pt idx="1">
                  <c:v>-19410</c:v>
                </c:pt>
                <c:pt idx="2">
                  <c:v>-70481</c:v>
                </c:pt>
                <c:pt idx="3">
                  <c:v>-9400</c:v>
                </c:pt>
                <c:pt idx="4">
                  <c:v>-6520</c:v>
                </c:pt>
                <c:pt idx="5">
                  <c:v>-11865</c:v>
                </c:pt>
                <c:pt idx="6">
                  <c:v>-60835</c:v>
                </c:pt>
                <c:pt idx="7">
                  <c:v>-324829</c:v>
                </c:pt>
                <c:pt idx="8">
                  <c:v>-4080</c:v>
                </c:pt>
                <c:pt idx="9">
                  <c:v>-37586</c:v>
                </c:pt>
                <c:pt idx="10">
                  <c:v>-10251.000000000002</c:v>
                </c:pt>
                <c:pt idx="11">
                  <c:v>-21098.000000000004</c:v>
                </c:pt>
                <c:pt idx="12">
                  <c:v>36594</c:v>
                </c:pt>
                <c:pt idx="13">
                  <c:v>-3787.9999999999982</c:v>
                </c:pt>
                <c:pt idx="14">
                  <c:v>4884.0000000000018</c:v>
                </c:pt>
                <c:pt idx="15">
                  <c:v>3424.0000000000018</c:v>
                </c:pt>
                <c:pt idx="16">
                  <c:v>-9986.0000000000036</c:v>
                </c:pt>
                <c:pt idx="17">
                  <c:v>-289512</c:v>
                </c:pt>
                <c:pt idx="18">
                  <c:v>7033.9999999999982</c:v>
                </c:pt>
                <c:pt idx="19">
                  <c:v>-27840</c:v>
                </c:pt>
                <c:pt idx="20">
                  <c:v>-3012.9999999999973</c:v>
                </c:pt>
                <c:pt idx="21">
                  <c:v>3737</c:v>
                </c:pt>
                <c:pt idx="22">
                  <c:v>-2567.0000000000073</c:v>
                </c:pt>
                <c:pt idx="23">
                  <c:v>-16800</c:v>
                </c:pt>
                <c:pt idx="24">
                  <c:v>-35180</c:v>
                </c:pt>
                <c:pt idx="25">
                  <c:v>7497</c:v>
                </c:pt>
                <c:pt idx="26">
                  <c:v>54056.000000000015</c:v>
                </c:pt>
                <c:pt idx="27">
                  <c:v>72417</c:v>
                </c:pt>
                <c:pt idx="28">
                  <c:v>-3048</c:v>
                </c:pt>
                <c:pt idx="29">
                  <c:v>3576.0000000000018</c:v>
                </c:pt>
                <c:pt idx="30">
                  <c:v>-30826</c:v>
                </c:pt>
                <c:pt idx="31">
                  <c:v>254.99999999999818</c:v>
                </c:pt>
                <c:pt idx="32">
                  <c:v>34756</c:v>
                </c:pt>
                <c:pt idx="33">
                  <c:v>25703</c:v>
                </c:pt>
                <c:pt idx="34">
                  <c:v>-18066</c:v>
                </c:pt>
                <c:pt idx="35">
                  <c:v>190.00000000000182</c:v>
                </c:pt>
                <c:pt idx="36">
                  <c:v>27141</c:v>
                </c:pt>
                <c:pt idx="37">
                  <c:v>13009</c:v>
                </c:pt>
                <c:pt idx="38">
                  <c:v>23873.999999999993</c:v>
                </c:pt>
                <c:pt idx="39">
                  <c:v>-32568</c:v>
                </c:pt>
                <c:pt idx="40">
                  <c:v>1986</c:v>
                </c:pt>
                <c:pt idx="41">
                  <c:v>28570</c:v>
                </c:pt>
                <c:pt idx="42">
                  <c:v>24988</c:v>
                </c:pt>
                <c:pt idx="43">
                  <c:v>28336</c:v>
                </c:pt>
                <c:pt idx="44">
                  <c:v>4942</c:v>
                </c:pt>
                <c:pt idx="45">
                  <c:v>18921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339572608"/>
        <c:axId val="339574144"/>
      </c:barChart>
      <c:catAx>
        <c:axId val="339572608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339574144"/>
        <c:crosses val="autoZero"/>
        <c:auto val="1"/>
        <c:lblAlgn val="ctr"/>
        <c:lblOffset val="100"/>
        <c:noMultiLvlLbl val="0"/>
      </c:catAx>
      <c:valAx>
        <c:axId val="339574144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339572608"/>
        <c:crosses val="autoZero"/>
        <c:crossBetween val="between"/>
        <c:dispUnits>
          <c:builtInUnit val="hundred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66815161727979"/>
          <c:y val="3.9034770023745183E-2"/>
          <c:w val="0.78602869982248191"/>
          <c:h val="0.9202602055830273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250507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20450</c:v>
                </c:pt>
                <c:pt idx="1">
                  <c:v>20425</c:v>
                </c:pt>
                <c:pt idx="2">
                  <c:v>20400</c:v>
                </c:pt>
                <c:pt idx="3">
                  <c:v>20375</c:v>
                </c:pt>
                <c:pt idx="4">
                  <c:v>20350</c:v>
                </c:pt>
                <c:pt idx="5">
                  <c:v>20325</c:v>
                </c:pt>
                <c:pt idx="6">
                  <c:v>20300</c:v>
                </c:pt>
                <c:pt idx="7">
                  <c:v>20275</c:v>
                </c:pt>
                <c:pt idx="8">
                  <c:v>20250</c:v>
                </c:pt>
                <c:pt idx="9">
                  <c:v>20225</c:v>
                </c:pt>
                <c:pt idx="10">
                  <c:v>20200</c:v>
                </c:pt>
                <c:pt idx="11">
                  <c:v>20175</c:v>
                </c:pt>
                <c:pt idx="12">
                  <c:v>20150</c:v>
                </c:pt>
                <c:pt idx="13">
                  <c:v>20125</c:v>
                </c:pt>
                <c:pt idx="14">
                  <c:v>20100</c:v>
                </c:pt>
                <c:pt idx="15">
                  <c:v>20075</c:v>
                </c:pt>
                <c:pt idx="16">
                  <c:v>20050</c:v>
                </c:pt>
                <c:pt idx="17">
                  <c:v>20025</c:v>
                </c:pt>
                <c:pt idx="18">
                  <c:v>20000</c:v>
                </c:pt>
                <c:pt idx="19">
                  <c:v>19975</c:v>
                </c:pt>
                <c:pt idx="20">
                  <c:v>19950</c:v>
                </c:pt>
                <c:pt idx="21">
                  <c:v>19925</c:v>
                </c:pt>
                <c:pt idx="22">
                  <c:v>19900</c:v>
                </c:pt>
                <c:pt idx="23">
                  <c:v>19875</c:v>
                </c:pt>
                <c:pt idx="24">
                  <c:v>19850</c:v>
                </c:pt>
                <c:pt idx="25">
                  <c:v>19825</c:v>
                </c:pt>
                <c:pt idx="26">
                  <c:v>19800</c:v>
                </c:pt>
                <c:pt idx="27">
                  <c:v>19775</c:v>
                </c:pt>
                <c:pt idx="28">
                  <c:v>19750</c:v>
                </c:pt>
                <c:pt idx="29">
                  <c:v>19725</c:v>
                </c:pt>
                <c:pt idx="30">
                  <c:v>19700</c:v>
                </c:pt>
                <c:pt idx="31">
                  <c:v>19675</c:v>
                </c:pt>
                <c:pt idx="32">
                  <c:v>19650</c:v>
                </c:pt>
                <c:pt idx="33">
                  <c:v>19625</c:v>
                </c:pt>
                <c:pt idx="34">
                  <c:v>19600</c:v>
                </c:pt>
                <c:pt idx="35">
                  <c:v>19575</c:v>
                </c:pt>
                <c:pt idx="36">
                  <c:v>19550</c:v>
                </c:pt>
                <c:pt idx="37">
                  <c:v>19525</c:v>
                </c:pt>
                <c:pt idx="38">
                  <c:v>19500</c:v>
                </c:pt>
                <c:pt idx="39">
                  <c:v>19475</c:v>
                </c:pt>
                <c:pt idx="40">
                  <c:v>19450</c:v>
                </c:pt>
                <c:pt idx="41">
                  <c:v>19425</c:v>
                </c:pt>
                <c:pt idx="42">
                  <c:v>19400</c:v>
                </c:pt>
                <c:pt idx="43">
                  <c:v>19375</c:v>
                </c:pt>
                <c:pt idx="44">
                  <c:v>19350</c:v>
                </c:pt>
                <c:pt idx="45">
                  <c:v>19325</c:v>
                </c:pt>
                <c:pt idx="46">
                  <c:v>19300</c:v>
                </c:pt>
                <c:pt idx="47">
                  <c:v>19275</c:v>
                </c:pt>
                <c:pt idx="48">
                  <c:v>19250</c:v>
                </c:pt>
                <c:pt idx="49">
                  <c:v>19225</c:v>
                </c:pt>
                <c:pt idx="50">
                  <c:v>19200</c:v>
                </c:pt>
                <c:pt idx="51">
                  <c:v>19175</c:v>
                </c:pt>
                <c:pt idx="52">
                  <c:v>19150</c:v>
                </c:pt>
              </c:numCache>
            </c:numRef>
          </c:cat>
          <c:val>
            <c:numRef>
              <c:f>Hoja1!$CK$137:$CK$189</c:f>
              <c:numCache>
                <c:formatCode>General</c:formatCode>
                <c:ptCount val="53"/>
                <c:pt idx="0">
                  <c:v>18</c:v>
                </c:pt>
                <c:pt idx="1">
                  <c:v>65.999999999999986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42.000000000000007</c:v>
                </c:pt>
                <c:pt idx="6">
                  <c:v>-1900</c:v>
                </c:pt>
                <c:pt idx="7">
                  <c:v>9</c:v>
                </c:pt>
                <c:pt idx="8">
                  <c:v>15</c:v>
                </c:pt>
                <c:pt idx="9">
                  <c:v>40</c:v>
                </c:pt>
                <c:pt idx="10">
                  <c:v>-263</c:v>
                </c:pt>
                <c:pt idx="11">
                  <c:v>9</c:v>
                </c:pt>
                <c:pt idx="12">
                  <c:v>220.00000000000003</c:v>
                </c:pt>
                <c:pt idx="13">
                  <c:v>10</c:v>
                </c:pt>
                <c:pt idx="14">
                  <c:v>-327</c:v>
                </c:pt>
                <c:pt idx="15">
                  <c:v>62</c:v>
                </c:pt>
                <c:pt idx="16">
                  <c:v>-807</c:v>
                </c:pt>
                <c:pt idx="17">
                  <c:v>-46</c:v>
                </c:pt>
                <c:pt idx="18">
                  <c:v>-930.00000000000011</c:v>
                </c:pt>
                <c:pt idx="19">
                  <c:v>1245</c:v>
                </c:pt>
                <c:pt idx="20">
                  <c:v>-699</c:v>
                </c:pt>
                <c:pt idx="21">
                  <c:v>-6435</c:v>
                </c:pt>
                <c:pt idx="22">
                  <c:v>-786</c:v>
                </c:pt>
                <c:pt idx="23">
                  <c:v>78</c:v>
                </c:pt>
                <c:pt idx="24">
                  <c:v>-281.00000000000011</c:v>
                </c:pt>
                <c:pt idx="25">
                  <c:v>211</c:v>
                </c:pt>
                <c:pt idx="26">
                  <c:v>2156</c:v>
                </c:pt>
                <c:pt idx="27">
                  <c:v>300</c:v>
                </c:pt>
                <c:pt idx="28">
                  <c:v>562</c:v>
                </c:pt>
                <c:pt idx="29">
                  <c:v>328</c:v>
                </c:pt>
                <c:pt idx="30">
                  <c:v>4900</c:v>
                </c:pt>
                <c:pt idx="31">
                  <c:v>116</c:v>
                </c:pt>
                <c:pt idx="32">
                  <c:v>100</c:v>
                </c:pt>
                <c:pt idx="33">
                  <c:v>-43</c:v>
                </c:pt>
                <c:pt idx="34">
                  <c:v>2600</c:v>
                </c:pt>
                <c:pt idx="35">
                  <c:v>0</c:v>
                </c:pt>
                <c:pt idx="36">
                  <c:v>-296</c:v>
                </c:pt>
                <c:pt idx="37">
                  <c:v>-72</c:v>
                </c:pt>
                <c:pt idx="38">
                  <c:v>3300</c:v>
                </c:pt>
                <c:pt idx="39">
                  <c:v>4</c:v>
                </c:pt>
                <c:pt idx="40">
                  <c:v>34.999999999999986</c:v>
                </c:pt>
                <c:pt idx="41">
                  <c:v>-70</c:v>
                </c:pt>
                <c:pt idx="42">
                  <c:v>4900</c:v>
                </c:pt>
                <c:pt idx="43">
                  <c:v>-21.000000000000004</c:v>
                </c:pt>
                <c:pt idx="44">
                  <c:v>-209.99999999999994</c:v>
                </c:pt>
                <c:pt idx="45">
                  <c:v>106</c:v>
                </c:pt>
                <c:pt idx="46">
                  <c:v>3814</c:v>
                </c:pt>
                <c:pt idx="47">
                  <c:v>-64</c:v>
                </c:pt>
                <c:pt idx="48">
                  <c:v>-108</c:v>
                </c:pt>
                <c:pt idx="49">
                  <c:v>0</c:v>
                </c:pt>
                <c:pt idx="50">
                  <c:v>400</c:v>
                </c:pt>
                <c:pt idx="51">
                  <c:v>-245.00000000000003</c:v>
                </c:pt>
                <c:pt idx="52">
                  <c:v>-136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20450</c:v>
                </c:pt>
                <c:pt idx="1">
                  <c:v>20425</c:v>
                </c:pt>
                <c:pt idx="2">
                  <c:v>20400</c:v>
                </c:pt>
                <c:pt idx="3">
                  <c:v>20375</c:v>
                </c:pt>
                <c:pt idx="4">
                  <c:v>20350</c:v>
                </c:pt>
                <c:pt idx="5">
                  <c:v>20325</c:v>
                </c:pt>
                <c:pt idx="6">
                  <c:v>20300</c:v>
                </c:pt>
                <c:pt idx="7">
                  <c:v>20275</c:v>
                </c:pt>
                <c:pt idx="8">
                  <c:v>20250</c:v>
                </c:pt>
                <c:pt idx="9">
                  <c:v>20225</c:v>
                </c:pt>
                <c:pt idx="10">
                  <c:v>20200</c:v>
                </c:pt>
                <c:pt idx="11">
                  <c:v>20175</c:v>
                </c:pt>
                <c:pt idx="12">
                  <c:v>20150</c:v>
                </c:pt>
                <c:pt idx="13">
                  <c:v>20125</c:v>
                </c:pt>
                <c:pt idx="14">
                  <c:v>20100</c:v>
                </c:pt>
                <c:pt idx="15">
                  <c:v>20075</c:v>
                </c:pt>
                <c:pt idx="16">
                  <c:v>20050</c:v>
                </c:pt>
                <c:pt idx="17">
                  <c:v>20025</c:v>
                </c:pt>
                <c:pt idx="18">
                  <c:v>20000</c:v>
                </c:pt>
                <c:pt idx="19">
                  <c:v>19975</c:v>
                </c:pt>
                <c:pt idx="20">
                  <c:v>19950</c:v>
                </c:pt>
                <c:pt idx="21">
                  <c:v>19925</c:v>
                </c:pt>
                <c:pt idx="22">
                  <c:v>19900</c:v>
                </c:pt>
                <c:pt idx="23">
                  <c:v>19875</c:v>
                </c:pt>
                <c:pt idx="24">
                  <c:v>19850</c:v>
                </c:pt>
                <c:pt idx="25">
                  <c:v>19825</c:v>
                </c:pt>
                <c:pt idx="26">
                  <c:v>19800</c:v>
                </c:pt>
                <c:pt idx="27">
                  <c:v>19775</c:v>
                </c:pt>
                <c:pt idx="28">
                  <c:v>19750</c:v>
                </c:pt>
                <c:pt idx="29">
                  <c:v>19725</c:v>
                </c:pt>
                <c:pt idx="30">
                  <c:v>19700</c:v>
                </c:pt>
                <c:pt idx="31">
                  <c:v>19675</c:v>
                </c:pt>
                <c:pt idx="32">
                  <c:v>19650</c:v>
                </c:pt>
                <c:pt idx="33">
                  <c:v>19625</c:v>
                </c:pt>
                <c:pt idx="34">
                  <c:v>19600</c:v>
                </c:pt>
                <c:pt idx="35">
                  <c:v>19575</c:v>
                </c:pt>
                <c:pt idx="36">
                  <c:v>19550</c:v>
                </c:pt>
                <c:pt idx="37">
                  <c:v>19525</c:v>
                </c:pt>
                <c:pt idx="38">
                  <c:v>19500</c:v>
                </c:pt>
                <c:pt idx="39">
                  <c:v>19475</c:v>
                </c:pt>
                <c:pt idx="40">
                  <c:v>19450</c:v>
                </c:pt>
                <c:pt idx="41">
                  <c:v>19425</c:v>
                </c:pt>
                <c:pt idx="42">
                  <c:v>19400</c:v>
                </c:pt>
                <c:pt idx="43">
                  <c:v>19375</c:v>
                </c:pt>
                <c:pt idx="44">
                  <c:v>19350</c:v>
                </c:pt>
                <c:pt idx="45">
                  <c:v>19325</c:v>
                </c:pt>
                <c:pt idx="46">
                  <c:v>19300</c:v>
                </c:pt>
                <c:pt idx="47">
                  <c:v>19275</c:v>
                </c:pt>
                <c:pt idx="48">
                  <c:v>19250</c:v>
                </c:pt>
                <c:pt idx="49">
                  <c:v>19225</c:v>
                </c:pt>
                <c:pt idx="50">
                  <c:v>19200</c:v>
                </c:pt>
                <c:pt idx="51">
                  <c:v>19175</c:v>
                </c:pt>
                <c:pt idx="52">
                  <c:v>19150</c:v>
                </c:pt>
              </c:numCache>
            </c:numRef>
          </c:cat>
          <c:val>
            <c:numRef>
              <c:f>Hoja1!$CM$137:$CM$189</c:f>
              <c:numCache>
                <c:formatCode>General</c:formatCode>
                <c:ptCount val="53"/>
                <c:pt idx="0">
                  <c:v>-144</c:v>
                </c:pt>
                <c:pt idx="1">
                  <c:v>-284</c:v>
                </c:pt>
                <c:pt idx="2">
                  <c:v>84</c:v>
                </c:pt>
                <c:pt idx="3">
                  <c:v>-46</c:v>
                </c:pt>
                <c:pt idx="4">
                  <c:v>418</c:v>
                </c:pt>
                <c:pt idx="5">
                  <c:v>24</c:v>
                </c:pt>
                <c:pt idx="6">
                  <c:v>-122</c:v>
                </c:pt>
                <c:pt idx="7">
                  <c:v>464.99999999999994</c:v>
                </c:pt>
                <c:pt idx="8">
                  <c:v>-60</c:v>
                </c:pt>
                <c:pt idx="9">
                  <c:v>-3.0000000000000142</c:v>
                </c:pt>
                <c:pt idx="10">
                  <c:v>-19.999999999999943</c:v>
                </c:pt>
                <c:pt idx="11">
                  <c:v>530</c:v>
                </c:pt>
                <c:pt idx="12">
                  <c:v>-1339</c:v>
                </c:pt>
                <c:pt idx="13">
                  <c:v>128</c:v>
                </c:pt>
                <c:pt idx="14">
                  <c:v>222.99999999999994</c:v>
                </c:pt>
                <c:pt idx="15">
                  <c:v>403</c:v>
                </c:pt>
                <c:pt idx="16">
                  <c:v>361</c:v>
                </c:pt>
                <c:pt idx="17">
                  <c:v>328</c:v>
                </c:pt>
                <c:pt idx="18">
                  <c:v>794</c:v>
                </c:pt>
                <c:pt idx="19">
                  <c:v>-311</c:v>
                </c:pt>
                <c:pt idx="20">
                  <c:v>38</c:v>
                </c:pt>
                <c:pt idx="21">
                  <c:v>15.999999999999972</c:v>
                </c:pt>
                <c:pt idx="22">
                  <c:v>695</c:v>
                </c:pt>
                <c:pt idx="23">
                  <c:v>150</c:v>
                </c:pt>
                <c:pt idx="24">
                  <c:v>223</c:v>
                </c:pt>
                <c:pt idx="25">
                  <c:v>680.00000000000011</c:v>
                </c:pt>
                <c:pt idx="26">
                  <c:v>1676.9999999999995</c:v>
                </c:pt>
                <c:pt idx="27">
                  <c:v>669</c:v>
                </c:pt>
                <c:pt idx="28">
                  <c:v>475</c:v>
                </c:pt>
                <c:pt idx="29">
                  <c:v>532</c:v>
                </c:pt>
                <c:pt idx="30">
                  <c:v>69</c:v>
                </c:pt>
                <c:pt idx="31">
                  <c:v>148</c:v>
                </c:pt>
                <c:pt idx="32">
                  <c:v>5929.9999999999991</c:v>
                </c:pt>
                <c:pt idx="33">
                  <c:v>176</c:v>
                </c:pt>
                <c:pt idx="34">
                  <c:v>864</c:v>
                </c:pt>
                <c:pt idx="35">
                  <c:v>1099</c:v>
                </c:pt>
                <c:pt idx="36">
                  <c:v>270</c:v>
                </c:pt>
                <c:pt idx="37">
                  <c:v>228</c:v>
                </c:pt>
                <c:pt idx="38">
                  <c:v>480</c:v>
                </c:pt>
                <c:pt idx="39">
                  <c:v>-97</c:v>
                </c:pt>
                <c:pt idx="40">
                  <c:v>430</c:v>
                </c:pt>
                <c:pt idx="41">
                  <c:v>-199</c:v>
                </c:pt>
                <c:pt idx="42">
                  <c:v>409.99999999999994</c:v>
                </c:pt>
                <c:pt idx="43">
                  <c:v>-312</c:v>
                </c:pt>
                <c:pt idx="44">
                  <c:v>-53</c:v>
                </c:pt>
                <c:pt idx="45">
                  <c:v>-126</c:v>
                </c:pt>
                <c:pt idx="46">
                  <c:v>180</c:v>
                </c:pt>
                <c:pt idx="47">
                  <c:v>523</c:v>
                </c:pt>
                <c:pt idx="48">
                  <c:v>124</c:v>
                </c:pt>
                <c:pt idx="49">
                  <c:v>323</c:v>
                </c:pt>
                <c:pt idx="50">
                  <c:v>3180</c:v>
                </c:pt>
                <c:pt idx="51">
                  <c:v>334</c:v>
                </c:pt>
                <c:pt idx="52">
                  <c:v>312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20450</c:v>
                </c:pt>
                <c:pt idx="1">
                  <c:v>20425</c:v>
                </c:pt>
                <c:pt idx="2">
                  <c:v>20400</c:v>
                </c:pt>
                <c:pt idx="3">
                  <c:v>20375</c:v>
                </c:pt>
                <c:pt idx="4">
                  <c:v>20350</c:v>
                </c:pt>
                <c:pt idx="5">
                  <c:v>20325</c:v>
                </c:pt>
                <c:pt idx="6">
                  <c:v>20300</c:v>
                </c:pt>
                <c:pt idx="7">
                  <c:v>20275</c:v>
                </c:pt>
                <c:pt idx="8">
                  <c:v>20250</c:v>
                </c:pt>
                <c:pt idx="9">
                  <c:v>20225</c:v>
                </c:pt>
                <c:pt idx="10">
                  <c:v>20200</c:v>
                </c:pt>
                <c:pt idx="11">
                  <c:v>20175</c:v>
                </c:pt>
                <c:pt idx="12">
                  <c:v>20150</c:v>
                </c:pt>
                <c:pt idx="13">
                  <c:v>20125</c:v>
                </c:pt>
                <c:pt idx="14">
                  <c:v>20100</c:v>
                </c:pt>
                <c:pt idx="15">
                  <c:v>20075</c:v>
                </c:pt>
                <c:pt idx="16">
                  <c:v>20050</c:v>
                </c:pt>
                <c:pt idx="17">
                  <c:v>20025</c:v>
                </c:pt>
                <c:pt idx="18">
                  <c:v>20000</c:v>
                </c:pt>
                <c:pt idx="19">
                  <c:v>19975</c:v>
                </c:pt>
                <c:pt idx="20">
                  <c:v>19950</c:v>
                </c:pt>
                <c:pt idx="21">
                  <c:v>19925</c:v>
                </c:pt>
                <c:pt idx="22">
                  <c:v>19900</c:v>
                </c:pt>
                <c:pt idx="23">
                  <c:v>19875</c:v>
                </c:pt>
                <c:pt idx="24">
                  <c:v>19850</c:v>
                </c:pt>
                <c:pt idx="25">
                  <c:v>19825</c:v>
                </c:pt>
                <c:pt idx="26">
                  <c:v>19800</c:v>
                </c:pt>
                <c:pt idx="27">
                  <c:v>19775</c:v>
                </c:pt>
                <c:pt idx="28">
                  <c:v>19750</c:v>
                </c:pt>
                <c:pt idx="29">
                  <c:v>19725</c:v>
                </c:pt>
                <c:pt idx="30">
                  <c:v>19700</c:v>
                </c:pt>
                <c:pt idx="31">
                  <c:v>19675</c:v>
                </c:pt>
                <c:pt idx="32">
                  <c:v>19650</c:v>
                </c:pt>
                <c:pt idx="33">
                  <c:v>19625</c:v>
                </c:pt>
                <c:pt idx="34">
                  <c:v>19600</c:v>
                </c:pt>
                <c:pt idx="35">
                  <c:v>19575</c:v>
                </c:pt>
                <c:pt idx="36">
                  <c:v>19550</c:v>
                </c:pt>
                <c:pt idx="37">
                  <c:v>19525</c:v>
                </c:pt>
                <c:pt idx="38">
                  <c:v>19500</c:v>
                </c:pt>
                <c:pt idx="39">
                  <c:v>19475</c:v>
                </c:pt>
                <c:pt idx="40">
                  <c:v>19450</c:v>
                </c:pt>
                <c:pt idx="41">
                  <c:v>19425</c:v>
                </c:pt>
                <c:pt idx="42">
                  <c:v>19400</c:v>
                </c:pt>
                <c:pt idx="43">
                  <c:v>19375</c:v>
                </c:pt>
                <c:pt idx="44">
                  <c:v>19350</c:v>
                </c:pt>
                <c:pt idx="45">
                  <c:v>19325</c:v>
                </c:pt>
                <c:pt idx="46">
                  <c:v>19300</c:v>
                </c:pt>
                <c:pt idx="47">
                  <c:v>19275</c:v>
                </c:pt>
                <c:pt idx="48">
                  <c:v>19250</c:v>
                </c:pt>
                <c:pt idx="49">
                  <c:v>19225</c:v>
                </c:pt>
                <c:pt idx="50">
                  <c:v>19200</c:v>
                </c:pt>
                <c:pt idx="51">
                  <c:v>19175</c:v>
                </c:pt>
                <c:pt idx="52">
                  <c:v>19150</c:v>
                </c:pt>
              </c:numCache>
            </c:numRef>
          </c:cat>
          <c:val>
            <c:numRef>
              <c:f>Hoja1!$CO$137:$CO$189</c:f>
              <c:numCache>
                <c:formatCode>General</c:formatCode>
                <c:ptCount val="53"/>
                <c:pt idx="0">
                  <c:v>-69.000000000000057</c:v>
                </c:pt>
                <c:pt idx="1">
                  <c:v>-3080.0000000000005</c:v>
                </c:pt>
                <c:pt idx="2">
                  <c:v>-5918</c:v>
                </c:pt>
                <c:pt idx="3">
                  <c:v>-187</c:v>
                </c:pt>
                <c:pt idx="4">
                  <c:v>-409</c:v>
                </c:pt>
                <c:pt idx="5">
                  <c:v>82</c:v>
                </c:pt>
                <c:pt idx="6">
                  <c:v>-178.99999999999977</c:v>
                </c:pt>
                <c:pt idx="7">
                  <c:v>648.99999999999989</c:v>
                </c:pt>
                <c:pt idx="8">
                  <c:v>1208</c:v>
                </c:pt>
                <c:pt idx="9">
                  <c:v>480</c:v>
                </c:pt>
                <c:pt idx="10">
                  <c:v>1379.0000000000005</c:v>
                </c:pt>
                <c:pt idx="11">
                  <c:v>164</c:v>
                </c:pt>
                <c:pt idx="12">
                  <c:v>8</c:v>
                </c:pt>
                <c:pt idx="13">
                  <c:v>-412</c:v>
                </c:pt>
                <c:pt idx="14">
                  <c:v>-509</c:v>
                </c:pt>
                <c:pt idx="15">
                  <c:v>1252</c:v>
                </c:pt>
                <c:pt idx="16">
                  <c:v>510</c:v>
                </c:pt>
                <c:pt idx="17">
                  <c:v>80.000000000000227</c:v>
                </c:pt>
                <c:pt idx="18">
                  <c:v>-139</c:v>
                </c:pt>
                <c:pt idx="19">
                  <c:v>504.00000000000011</c:v>
                </c:pt>
                <c:pt idx="20">
                  <c:v>1145</c:v>
                </c:pt>
                <c:pt idx="21">
                  <c:v>480</c:v>
                </c:pt>
                <c:pt idx="22">
                  <c:v>-200</c:v>
                </c:pt>
                <c:pt idx="23">
                  <c:v>320</c:v>
                </c:pt>
                <c:pt idx="24">
                  <c:v>1102</c:v>
                </c:pt>
                <c:pt idx="25">
                  <c:v>540</c:v>
                </c:pt>
                <c:pt idx="26">
                  <c:v>506</c:v>
                </c:pt>
                <c:pt idx="27">
                  <c:v>881</c:v>
                </c:pt>
                <c:pt idx="28">
                  <c:v>3475.9999999999995</c:v>
                </c:pt>
                <c:pt idx="29">
                  <c:v>1665</c:v>
                </c:pt>
                <c:pt idx="30">
                  <c:v>189</c:v>
                </c:pt>
                <c:pt idx="31">
                  <c:v>176</c:v>
                </c:pt>
                <c:pt idx="32">
                  <c:v>23.000000000000057</c:v>
                </c:pt>
                <c:pt idx="33">
                  <c:v>1576.0000000000002</c:v>
                </c:pt>
                <c:pt idx="34">
                  <c:v>2206.0000000000005</c:v>
                </c:pt>
                <c:pt idx="35">
                  <c:v>759</c:v>
                </c:pt>
                <c:pt idx="36">
                  <c:v>698.00000000000023</c:v>
                </c:pt>
                <c:pt idx="37">
                  <c:v>1434</c:v>
                </c:pt>
                <c:pt idx="38">
                  <c:v>2583</c:v>
                </c:pt>
                <c:pt idx="39">
                  <c:v>17148.999999999996</c:v>
                </c:pt>
                <c:pt idx="40">
                  <c:v>1495</c:v>
                </c:pt>
                <c:pt idx="41">
                  <c:v>1701</c:v>
                </c:pt>
                <c:pt idx="42">
                  <c:v>1501</c:v>
                </c:pt>
                <c:pt idx="43">
                  <c:v>1032</c:v>
                </c:pt>
                <c:pt idx="44">
                  <c:v>1641</c:v>
                </c:pt>
                <c:pt idx="45">
                  <c:v>1698</c:v>
                </c:pt>
                <c:pt idx="46">
                  <c:v>4422</c:v>
                </c:pt>
                <c:pt idx="47">
                  <c:v>726</c:v>
                </c:pt>
                <c:pt idx="48">
                  <c:v>1449</c:v>
                </c:pt>
                <c:pt idx="49">
                  <c:v>136</c:v>
                </c:pt>
                <c:pt idx="50">
                  <c:v>3892</c:v>
                </c:pt>
                <c:pt idx="51">
                  <c:v>184</c:v>
                </c:pt>
                <c:pt idx="52">
                  <c:v>693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339752064"/>
        <c:axId val="339753600"/>
      </c:barChart>
      <c:catAx>
        <c:axId val="339752064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339753600"/>
        <c:crosses val="autoZero"/>
        <c:auto val="1"/>
        <c:lblAlgn val="ctr"/>
        <c:lblOffset val="100"/>
        <c:noMultiLvlLbl val="0"/>
      </c:catAx>
      <c:valAx>
        <c:axId val="339753600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339752064"/>
        <c:crosses val="autoZero"/>
        <c:crossBetween val="between"/>
        <c:dispUnits>
          <c:builtInUnit val="hundred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Hoja1!$EE$4:$EE$38</c:f>
              <c:numCache>
                <c:formatCode>0%</c:formatCode>
                <c:ptCount val="35"/>
                <c:pt idx="0">
                  <c:v>1.4635</c:v>
                </c:pt>
                <c:pt idx="1">
                  <c:v>1.3896999999999999</c:v>
                </c:pt>
                <c:pt idx="2">
                  <c:v>1.3153999999999999</c:v>
                </c:pt>
                <c:pt idx="3">
                  <c:v>1.2405999999999999</c:v>
                </c:pt>
                <c:pt idx="4">
                  <c:v>1.1652</c:v>
                </c:pt>
                <c:pt idx="5">
                  <c:v>1.0892999999999999</c:v>
                </c:pt>
                <c:pt idx="6">
                  <c:v>1.0126999999999999</c:v>
                </c:pt>
                <c:pt idx="7">
                  <c:v>0.93530000000000002</c:v>
                </c:pt>
                <c:pt idx="8">
                  <c:v>0.85729999999999995</c:v>
                </c:pt>
                <c:pt idx="9">
                  <c:v>0.77829999999999999</c:v>
                </c:pt>
                <c:pt idx="10">
                  <c:v>0.69840000000000002</c:v>
                </c:pt>
                <c:pt idx="11">
                  <c:v>0.61750000000000005</c:v>
                </c:pt>
                <c:pt idx="12">
                  <c:v>0.53520000000000001</c:v>
                </c:pt>
                <c:pt idx="13">
                  <c:v>0.45140000000000002</c:v>
                </c:pt>
                <c:pt idx="14">
                  <c:v>0.36570000000000003</c:v>
                </c:pt>
                <c:pt idx="15">
                  <c:v>0.27750000000000002</c:v>
                </c:pt>
                <c:pt idx="16">
                  <c:v>0.18540000000000001</c:v>
                </c:pt>
                <c:pt idx="17">
                  <c:v>8.6199999999999999E-2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xVal>
          <c:yVal>
            <c:numRef>
              <c:f>Hoja1!$A$4:$A$38</c:f>
              <c:numCache>
                <c:formatCode>0</c:formatCode>
                <c:ptCount val="35"/>
                <c:pt idx="0">
                  <c:v>582</c:v>
                </c:pt>
                <c:pt idx="1">
                  <c:v>581</c:v>
                </c:pt>
                <c:pt idx="2">
                  <c:v>580</c:v>
                </c:pt>
                <c:pt idx="3">
                  <c:v>579</c:v>
                </c:pt>
                <c:pt idx="4">
                  <c:v>578</c:v>
                </c:pt>
                <c:pt idx="5">
                  <c:v>577</c:v>
                </c:pt>
                <c:pt idx="6">
                  <c:v>576</c:v>
                </c:pt>
                <c:pt idx="7">
                  <c:v>575</c:v>
                </c:pt>
                <c:pt idx="8">
                  <c:v>574</c:v>
                </c:pt>
                <c:pt idx="9">
                  <c:v>573</c:v>
                </c:pt>
                <c:pt idx="10">
                  <c:v>572</c:v>
                </c:pt>
                <c:pt idx="11">
                  <c:v>571</c:v>
                </c:pt>
                <c:pt idx="12">
                  <c:v>570</c:v>
                </c:pt>
                <c:pt idx="13">
                  <c:v>569</c:v>
                </c:pt>
                <c:pt idx="14">
                  <c:v>568</c:v>
                </c:pt>
                <c:pt idx="15">
                  <c:v>567</c:v>
                </c:pt>
                <c:pt idx="16">
                  <c:v>566</c:v>
                </c:pt>
                <c:pt idx="17">
                  <c:v>565</c:v>
                </c:pt>
                <c:pt idx="18">
                  <c:v>564</c:v>
                </c:pt>
                <c:pt idx="19">
                  <c:v>563</c:v>
                </c:pt>
                <c:pt idx="20">
                  <c:v>562</c:v>
                </c:pt>
                <c:pt idx="21">
                  <c:v>561</c:v>
                </c:pt>
                <c:pt idx="22">
                  <c:v>560</c:v>
                </c:pt>
                <c:pt idx="23">
                  <c:v>559</c:v>
                </c:pt>
                <c:pt idx="24">
                  <c:v>558</c:v>
                </c:pt>
                <c:pt idx="25">
                  <c:v>557</c:v>
                </c:pt>
                <c:pt idx="26">
                  <c:v>556</c:v>
                </c:pt>
                <c:pt idx="27">
                  <c:v>555</c:v>
                </c:pt>
                <c:pt idx="28">
                  <c:v>554</c:v>
                </c:pt>
                <c:pt idx="29">
                  <c:v>553</c:v>
                </c:pt>
                <c:pt idx="30">
                  <c:v>552</c:v>
                </c:pt>
                <c:pt idx="31">
                  <c:v>551</c:v>
                </c:pt>
                <c:pt idx="32">
                  <c:v>550</c:v>
                </c:pt>
                <c:pt idx="33">
                  <c:v>549</c:v>
                </c:pt>
                <c:pt idx="34">
                  <c:v>548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Hoja1!$EF$4:$EF$38</c:f>
              <c:numCache>
                <c:formatCode>0%</c:formatCode>
                <c:ptCount val="35"/>
                <c:pt idx="0">
                  <c:v>5.3642000000000003</c:v>
                </c:pt>
                <c:pt idx="1">
                  <c:v>5.1753</c:v>
                </c:pt>
                <c:pt idx="2">
                  <c:v>4.9771000000000001</c:v>
                </c:pt>
                <c:pt idx="3">
                  <c:v>4.8516000000000004</c:v>
                </c:pt>
                <c:pt idx="4">
                  <c:v>4.66</c:v>
                </c:pt>
                <c:pt idx="5">
                  <c:v>4.4730999999999996</c:v>
                </c:pt>
                <c:pt idx="6">
                  <c:v>4.2976999999999999</c:v>
                </c:pt>
                <c:pt idx="7">
                  <c:v>4.1292</c:v>
                </c:pt>
                <c:pt idx="8">
                  <c:v>3.9154</c:v>
                </c:pt>
                <c:pt idx="9">
                  <c:v>3.7286999999999999</c:v>
                </c:pt>
                <c:pt idx="10">
                  <c:v>3.5470999999999999</c:v>
                </c:pt>
                <c:pt idx="11">
                  <c:v>3.2488999999999999</c:v>
                </c:pt>
                <c:pt idx="12">
                  <c:v>3.1118000000000001</c:v>
                </c:pt>
                <c:pt idx="13">
                  <c:v>2.8207</c:v>
                </c:pt>
                <c:pt idx="14">
                  <c:v>2.6103000000000001</c:v>
                </c:pt>
                <c:pt idx="15">
                  <c:v>2.3774999999999999</c:v>
                </c:pt>
                <c:pt idx="16">
                  <c:v>2.1793999999999998</c:v>
                </c:pt>
                <c:pt idx="17">
                  <c:v>1.9366000000000001</c:v>
                </c:pt>
                <c:pt idx="18">
                  <c:v>1.6016999999999999</c:v>
                </c:pt>
                <c:pt idx="19">
                  <c:v>1.2785</c:v>
                </c:pt>
                <c:pt idx="20">
                  <c:v>0.88839999999999997</c:v>
                </c:pt>
                <c:pt idx="21">
                  <c:v>0.56420000000000003</c:v>
                </c:pt>
                <c:pt idx="22">
                  <c:v>0.4955</c:v>
                </c:pt>
                <c:pt idx="23">
                  <c:v>0.51190000000000002</c:v>
                </c:pt>
                <c:pt idx="24">
                  <c:v>0.68410000000000004</c:v>
                </c:pt>
                <c:pt idx="25">
                  <c:v>0.68</c:v>
                </c:pt>
                <c:pt idx="26">
                  <c:v>0.76259999999999994</c:v>
                </c:pt>
                <c:pt idx="27">
                  <c:v>0.84450000000000003</c:v>
                </c:pt>
                <c:pt idx="28">
                  <c:v>0.92579999999999996</c:v>
                </c:pt>
                <c:pt idx="29">
                  <c:v>1.0065999999999999</c:v>
                </c:pt>
                <c:pt idx="30">
                  <c:v>1.087</c:v>
                </c:pt>
                <c:pt idx="31">
                  <c:v>1.1669</c:v>
                </c:pt>
                <c:pt idx="32">
                  <c:v>1.2464999999999999</c:v>
                </c:pt>
                <c:pt idx="33">
                  <c:v>1.3257000000000001</c:v>
                </c:pt>
                <c:pt idx="34">
                  <c:v>1.4047000000000001</c:v>
                </c:pt>
              </c:numCache>
            </c:numRef>
          </c:xVal>
          <c:yVal>
            <c:numRef>
              <c:f>Hoja1!$A$4:$A$38</c:f>
              <c:numCache>
                <c:formatCode>0</c:formatCode>
                <c:ptCount val="35"/>
                <c:pt idx="0">
                  <c:v>582</c:v>
                </c:pt>
                <c:pt idx="1">
                  <c:v>581</c:v>
                </c:pt>
                <c:pt idx="2">
                  <c:v>580</c:v>
                </c:pt>
                <c:pt idx="3">
                  <c:v>579</c:v>
                </c:pt>
                <c:pt idx="4">
                  <c:v>578</c:v>
                </c:pt>
                <c:pt idx="5">
                  <c:v>577</c:v>
                </c:pt>
                <c:pt idx="6">
                  <c:v>576</c:v>
                </c:pt>
                <c:pt idx="7">
                  <c:v>575</c:v>
                </c:pt>
                <c:pt idx="8">
                  <c:v>574</c:v>
                </c:pt>
                <c:pt idx="9">
                  <c:v>573</c:v>
                </c:pt>
                <c:pt idx="10">
                  <c:v>572</c:v>
                </c:pt>
                <c:pt idx="11">
                  <c:v>571</c:v>
                </c:pt>
                <c:pt idx="12">
                  <c:v>570</c:v>
                </c:pt>
                <c:pt idx="13">
                  <c:v>569</c:v>
                </c:pt>
                <c:pt idx="14">
                  <c:v>568</c:v>
                </c:pt>
                <c:pt idx="15">
                  <c:v>567</c:v>
                </c:pt>
                <c:pt idx="16">
                  <c:v>566</c:v>
                </c:pt>
                <c:pt idx="17">
                  <c:v>565</c:v>
                </c:pt>
                <c:pt idx="18">
                  <c:v>564</c:v>
                </c:pt>
                <c:pt idx="19">
                  <c:v>563</c:v>
                </c:pt>
                <c:pt idx="20">
                  <c:v>562</c:v>
                </c:pt>
                <c:pt idx="21">
                  <c:v>561</c:v>
                </c:pt>
                <c:pt idx="22">
                  <c:v>560</c:v>
                </c:pt>
                <c:pt idx="23">
                  <c:v>559</c:v>
                </c:pt>
                <c:pt idx="24">
                  <c:v>558</c:v>
                </c:pt>
                <c:pt idx="25">
                  <c:v>557</c:v>
                </c:pt>
                <c:pt idx="26">
                  <c:v>556</c:v>
                </c:pt>
                <c:pt idx="27">
                  <c:v>555</c:v>
                </c:pt>
                <c:pt idx="28">
                  <c:v>554</c:v>
                </c:pt>
                <c:pt idx="29">
                  <c:v>553</c:v>
                </c:pt>
                <c:pt idx="30">
                  <c:v>552</c:v>
                </c:pt>
                <c:pt idx="31">
                  <c:v>551</c:v>
                </c:pt>
                <c:pt idx="32">
                  <c:v>550</c:v>
                </c:pt>
                <c:pt idx="33">
                  <c:v>549</c:v>
                </c:pt>
                <c:pt idx="34">
                  <c:v>548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783680"/>
        <c:axId val="339785216"/>
      </c:scatterChart>
      <c:valAx>
        <c:axId val="339783680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339785216"/>
        <c:crosses val="autoZero"/>
        <c:crossBetween val="midCat"/>
      </c:valAx>
      <c:valAx>
        <c:axId val="33978521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39783680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Hoja1!$EE$45:$EE$79</c:f>
              <c:numCache>
                <c:formatCode>0%</c:formatCode>
                <c:ptCount val="35"/>
                <c:pt idx="0">
                  <c:v>1.4766999999999999</c:v>
                </c:pt>
                <c:pt idx="1">
                  <c:v>1.39</c:v>
                </c:pt>
                <c:pt idx="2">
                  <c:v>1.3026</c:v>
                </c:pt>
                <c:pt idx="3">
                  <c:v>1.2144999999999999</c:v>
                </c:pt>
                <c:pt idx="4">
                  <c:v>1.1255999999999999</c:v>
                </c:pt>
                <c:pt idx="5">
                  <c:v>1.0358000000000001</c:v>
                </c:pt>
                <c:pt idx="6">
                  <c:v>0.94499999999999995</c:v>
                </c:pt>
                <c:pt idx="7">
                  <c:v>0.85319999999999996</c:v>
                </c:pt>
                <c:pt idx="8">
                  <c:v>0.76019999999999999</c:v>
                </c:pt>
                <c:pt idx="9">
                  <c:v>0.66579999999999995</c:v>
                </c:pt>
                <c:pt idx="10">
                  <c:v>0.56969999999999998</c:v>
                </c:pt>
                <c:pt idx="11">
                  <c:v>0.47170000000000001</c:v>
                </c:pt>
                <c:pt idx="12">
                  <c:v>0.371</c:v>
                </c:pt>
                <c:pt idx="13">
                  <c:v>0.26679999999999998</c:v>
                </c:pt>
                <c:pt idx="14">
                  <c:v>0.15670000000000001</c:v>
                </c:pt>
                <c:pt idx="15">
                  <c:v>3.0800000000000001E-2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xVal>
          <c:yVal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Hoja1!$EF$45:$EF$79</c:f>
              <c:numCache>
                <c:formatCode>0%</c:formatCode>
                <c:ptCount val="35"/>
                <c:pt idx="0">
                  <c:v>5.8257000000000003</c:v>
                </c:pt>
                <c:pt idx="1">
                  <c:v>5.6214000000000004</c:v>
                </c:pt>
                <c:pt idx="2">
                  <c:v>5.4306000000000001</c:v>
                </c:pt>
                <c:pt idx="3">
                  <c:v>5.2195</c:v>
                </c:pt>
                <c:pt idx="4">
                  <c:v>5.0369000000000002</c:v>
                </c:pt>
                <c:pt idx="5">
                  <c:v>4.8174999999999999</c:v>
                </c:pt>
                <c:pt idx="6">
                  <c:v>4.5934999999999997</c:v>
                </c:pt>
                <c:pt idx="7">
                  <c:v>4.4335000000000004</c:v>
                </c:pt>
                <c:pt idx="8">
                  <c:v>4.1299000000000001</c:v>
                </c:pt>
                <c:pt idx="9">
                  <c:v>3.9554999999999998</c:v>
                </c:pt>
                <c:pt idx="10">
                  <c:v>3.6442999999999999</c:v>
                </c:pt>
                <c:pt idx="11">
                  <c:v>3.4478</c:v>
                </c:pt>
                <c:pt idx="12">
                  <c:v>3.1793</c:v>
                </c:pt>
                <c:pt idx="13">
                  <c:v>2.8837999999999999</c:v>
                </c:pt>
                <c:pt idx="14">
                  <c:v>2.1328</c:v>
                </c:pt>
                <c:pt idx="15">
                  <c:v>2.1846999999999999</c:v>
                </c:pt>
                <c:pt idx="16">
                  <c:v>2.2126999999999999</c:v>
                </c:pt>
                <c:pt idx="17">
                  <c:v>1.2417</c:v>
                </c:pt>
                <c:pt idx="18">
                  <c:v>0.89639999999999997</c:v>
                </c:pt>
                <c:pt idx="19">
                  <c:v>0.66790000000000005</c:v>
                </c:pt>
                <c:pt idx="20">
                  <c:v>0.54620000000000002</c:v>
                </c:pt>
                <c:pt idx="21">
                  <c:v>0.64510000000000001</c:v>
                </c:pt>
                <c:pt idx="22">
                  <c:v>0.74260000000000004</c:v>
                </c:pt>
                <c:pt idx="23">
                  <c:v>0.83909999999999996</c:v>
                </c:pt>
                <c:pt idx="24">
                  <c:v>0.93459999999999999</c:v>
                </c:pt>
                <c:pt idx="25">
                  <c:v>1.0295000000000001</c:v>
                </c:pt>
                <c:pt idx="26">
                  <c:v>1.1236999999999999</c:v>
                </c:pt>
                <c:pt idx="27">
                  <c:v>1.2174</c:v>
                </c:pt>
                <c:pt idx="28">
                  <c:v>1.3106</c:v>
                </c:pt>
                <c:pt idx="29">
                  <c:v>1.4034</c:v>
                </c:pt>
                <c:pt idx="30">
                  <c:v>1.4959</c:v>
                </c:pt>
                <c:pt idx="31">
                  <c:v>1.5880000000000001</c:v>
                </c:pt>
                <c:pt idx="32">
                  <c:v>1.6798999999999999</c:v>
                </c:pt>
                <c:pt idx="33">
                  <c:v>1.7715000000000001</c:v>
                </c:pt>
                <c:pt idx="34">
                  <c:v>1.863</c:v>
                </c:pt>
              </c:numCache>
            </c:numRef>
          </c:xVal>
          <c:yVal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0067840"/>
        <c:axId val="340069376"/>
      </c:scatterChart>
      <c:valAx>
        <c:axId val="340067840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340069376"/>
        <c:crosses val="autoZero"/>
        <c:crossBetween val="midCat"/>
      </c:valAx>
      <c:valAx>
        <c:axId val="34006937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40067840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Hoja1!$EE$85:$EE$130</c:f>
              <c:numCache>
                <c:formatCode>0%</c:formatCode>
                <c:ptCount val="46"/>
                <c:pt idx="0">
                  <c:v>1.8022</c:v>
                </c:pt>
                <c:pt idx="1">
                  <c:v>1.7343999999999999</c:v>
                </c:pt>
                <c:pt idx="2">
                  <c:v>1.6662999999999999</c:v>
                </c:pt>
                <c:pt idx="3">
                  <c:v>1.5978000000000001</c:v>
                </c:pt>
                <c:pt idx="4">
                  <c:v>1.5289999999999999</c:v>
                </c:pt>
                <c:pt idx="5">
                  <c:v>1.4598</c:v>
                </c:pt>
                <c:pt idx="6">
                  <c:v>1.3902000000000001</c:v>
                </c:pt>
                <c:pt idx="7">
                  <c:v>1.3201000000000001</c:v>
                </c:pt>
                <c:pt idx="8">
                  <c:v>1.2497</c:v>
                </c:pt>
                <c:pt idx="9">
                  <c:v>1.1767000000000001</c:v>
                </c:pt>
                <c:pt idx="10">
                  <c:v>1.1055999999999999</c:v>
                </c:pt>
                <c:pt idx="11">
                  <c:v>1.034</c:v>
                </c:pt>
                <c:pt idx="12">
                  <c:v>0.9617</c:v>
                </c:pt>
                <c:pt idx="13">
                  <c:v>0.88890000000000002</c:v>
                </c:pt>
                <c:pt idx="14">
                  <c:v>0.81530000000000002</c:v>
                </c:pt>
                <c:pt idx="15">
                  <c:v>0.74170000000000003</c:v>
                </c:pt>
                <c:pt idx="16">
                  <c:v>0.6673</c:v>
                </c:pt>
                <c:pt idx="17">
                  <c:v>0.59050000000000002</c:v>
                </c:pt>
                <c:pt idx="18">
                  <c:v>0.51300000000000001</c:v>
                </c:pt>
                <c:pt idx="19">
                  <c:v>0.43430000000000002</c:v>
                </c:pt>
                <c:pt idx="20">
                  <c:v>0.35410000000000003</c:v>
                </c:pt>
                <c:pt idx="21">
                  <c:v>0.27150000000000002</c:v>
                </c:pt>
                <c:pt idx="22">
                  <c:v>0.18690000000000001</c:v>
                </c:pt>
                <c:pt idx="23">
                  <c:v>0.1275</c:v>
                </c:pt>
                <c:pt idx="24">
                  <c:v>6.3799999999999996E-2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0.25</c:v>
                </c:pt>
                <c:pt idx="37">
                  <c:v>0.25</c:v>
                </c:pt>
                <c:pt idx="38">
                  <c:v>0.25</c:v>
                </c:pt>
                <c:pt idx="39">
                  <c:v>0.25</c:v>
                </c:pt>
                <c:pt idx="40">
                  <c:v>0.25</c:v>
                </c:pt>
                <c:pt idx="41">
                  <c:v>0.25</c:v>
                </c:pt>
                <c:pt idx="42">
                  <c:v>0.25</c:v>
                </c:pt>
                <c:pt idx="43">
                  <c:v>0.25</c:v>
                </c:pt>
                <c:pt idx="44">
                  <c:v>0.25</c:v>
                </c:pt>
                <c:pt idx="45">
                  <c:v>0.25</c:v>
                </c:pt>
              </c:numCache>
            </c:numRef>
          </c:xVal>
          <c:yVal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Hoja1!$EF$85:$EF$130</c:f>
              <c:numCache>
                <c:formatCode>0%</c:formatCode>
                <c:ptCount val="46"/>
                <c:pt idx="0">
                  <c:v>3.3449</c:v>
                </c:pt>
                <c:pt idx="1">
                  <c:v>3.8414999999999999</c:v>
                </c:pt>
                <c:pt idx="2">
                  <c:v>3.7109999999999999</c:v>
                </c:pt>
                <c:pt idx="3">
                  <c:v>3.5939999999999999</c:v>
                </c:pt>
                <c:pt idx="4">
                  <c:v>2.8921999999999999</c:v>
                </c:pt>
                <c:pt idx="5">
                  <c:v>3.3418000000000001</c:v>
                </c:pt>
                <c:pt idx="6">
                  <c:v>3.2726000000000002</c:v>
                </c:pt>
                <c:pt idx="7">
                  <c:v>3.0777000000000001</c:v>
                </c:pt>
                <c:pt idx="8">
                  <c:v>2.0255000000000001</c:v>
                </c:pt>
                <c:pt idx="9">
                  <c:v>1.9218</c:v>
                </c:pt>
                <c:pt idx="10">
                  <c:v>1.8170999999999999</c:v>
                </c:pt>
                <c:pt idx="11">
                  <c:v>1.7112000000000001</c:v>
                </c:pt>
                <c:pt idx="12">
                  <c:v>1.6041000000000001</c:v>
                </c:pt>
                <c:pt idx="13">
                  <c:v>1.4954000000000001</c:v>
                </c:pt>
                <c:pt idx="14">
                  <c:v>1.3852</c:v>
                </c:pt>
                <c:pt idx="15">
                  <c:v>1.2841</c:v>
                </c:pt>
                <c:pt idx="16">
                  <c:v>1.1593</c:v>
                </c:pt>
                <c:pt idx="17">
                  <c:v>1.0429999999999999</c:v>
                </c:pt>
                <c:pt idx="18">
                  <c:v>0.92400000000000004</c:v>
                </c:pt>
                <c:pt idx="19">
                  <c:v>0.80159999999999998</c:v>
                </c:pt>
                <c:pt idx="20">
                  <c:v>0.67500000000000004</c:v>
                </c:pt>
                <c:pt idx="21">
                  <c:v>0.54910000000000003</c:v>
                </c:pt>
                <c:pt idx="22">
                  <c:v>0.32200000000000001</c:v>
                </c:pt>
                <c:pt idx="23">
                  <c:v>0.2112</c:v>
                </c:pt>
                <c:pt idx="24">
                  <c:v>5.67E-2</c:v>
                </c:pt>
                <c:pt idx="25">
                  <c:v>0.1208</c:v>
                </c:pt>
                <c:pt idx="26">
                  <c:v>0.21029999999999999</c:v>
                </c:pt>
                <c:pt idx="27">
                  <c:v>0.29449999999999998</c:v>
                </c:pt>
                <c:pt idx="28">
                  <c:v>0.37780000000000002</c:v>
                </c:pt>
                <c:pt idx="29">
                  <c:v>0.45889999999999997</c:v>
                </c:pt>
                <c:pt idx="30">
                  <c:v>0.53900000000000003</c:v>
                </c:pt>
                <c:pt idx="31">
                  <c:v>0.61819999999999997</c:v>
                </c:pt>
                <c:pt idx="32">
                  <c:v>0.69699999999999995</c:v>
                </c:pt>
                <c:pt idx="33">
                  <c:v>0.77349999999999997</c:v>
                </c:pt>
                <c:pt idx="34">
                  <c:v>0.84960000000000002</c:v>
                </c:pt>
                <c:pt idx="35">
                  <c:v>0.92589999999999995</c:v>
                </c:pt>
                <c:pt idx="36">
                  <c:v>1.0019</c:v>
                </c:pt>
                <c:pt idx="37">
                  <c:v>1.0774999999999999</c:v>
                </c:pt>
                <c:pt idx="38">
                  <c:v>1.1527000000000001</c:v>
                </c:pt>
                <c:pt idx="39">
                  <c:v>1.2277</c:v>
                </c:pt>
                <c:pt idx="40">
                  <c:v>1.3025</c:v>
                </c:pt>
                <c:pt idx="41">
                  <c:v>1.3795999999999999</c:v>
                </c:pt>
                <c:pt idx="42">
                  <c:v>1.4542999999999999</c:v>
                </c:pt>
                <c:pt idx="43">
                  <c:v>1.5287999999999999</c:v>
                </c:pt>
                <c:pt idx="44">
                  <c:v>1.6031</c:v>
                </c:pt>
                <c:pt idx="45">
                  <c:v>1.6773</c:v>
                </c:pt>
              </c:numCache>
            </c:numRef>
          </c:xVal>
          <c:yVal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0103936"/>
        <c:axId val="340105472"/>
      </c:scatterChart>
      <c:valAx>
        <c:axId val="340103936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340105472"/>
        <c:crosses val="autoZero"/>
        <c:crossBetween val="midCat"/>
      </c:valAx>
      <c:valAx>
        <c:axId val="34010547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40103936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Hoja1!$EE$137:$EE$189</c:f>
              <c:numCache>
                <c:formatCode>0%</c:formatCode>
                <c:ptCount val="53"/>
                <c:pt idx="0">
                  <c:v>2.4712999999999998</c:v>
                </c:pt>
                <c:pt idx="1">
                  <c:v>2.3895</c:v>
                </c:pt>
                <c:pt idx="2">
                  <c:v>1.0763</c:v>
                </c:pt>
                <c:pt idx="3">
                  <c:v>1.2013</c:v>
                </c:pt>
                <c:pt idx="4">
                  <c:v>1.21</c:v>
                </c:pt>
                <c:pt idx="5">
                  <c:v>2.0554999999999999</c:v>
                </c:pt>
                <c:pt idx="6">
                  <c:v>0.94189999999999996</c:v>
                </c:pt>
                <c:pt idx="7">
                  <c:v>1.431</c:v>
                </c:pt>
                <c:pt idx="8">
                  <c:v>0.98580000000000001</c:v>
                </c:pt>
                <c:pt idx="9">
                  <c:v>1.7081999999999999</c:v>
                </c:pt>
                <c:pt idx="10">
                  <c:v>0.87139999999999995</c:v>
                </c:pt>
                <c:pt idx="11">
                  <c:v>1.5282</c:v>
                </c:pt>
                <c:pt idx="12">
                  <c:v>1.4362999999999999</c:v>
                </c:pt>
                <c:pt idx="13">
                  <c:v>1.343</c:v>
                </c:pt>
                <c:pt idx="14">
                  <c:v>0.82369999999999999</c:v>
                </c:pt>
                <c:pt idx="15">
                  <c:v>1.1511</c:v>
                </c:pt>
                <c:pt idx="16">
                  <c:v>1.0521</c:v>
                </c:pt>
                <c:pt idx="17">
                  <c:v>0.9506</c:v>
                </c:pt>
                <c:pt idx="18">
                  <c:v>0.30270000000000002</c:v>
                </c:pt>
                <c:pt idx="19">
                  <c:v>0.73760000000000003</c:v>
                </c:pt>
                <c:pt idx="20">
                  <c:v>0.2893</c:v>
                </c:pt>
                <c:pt idx="21">
                  <c:v>0.2918</c:v>
                </c:pt>
                <c:pt idx="22">
                  <c:v>0.1741</c:v>
                </c:pt>
                <c:pt idx="23">
                  <c:v>0.23569999999999999</c:v>
                </c:pt>
                <c:pt idx="24">
                  <c:v>0.19439999999999999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0.25</c:v>
                </c:pt>
                <c:pt idx="37">
                  <c:v>0.25</c:v>
                </c:pt>
                <c:pt idx="38">
                  <c:v>0.25</c:v>
                </c:pt>
                <c:pt idx="39">
                  <c:v>0.25</c:v>
                </c:pt>
                <c:pt idx="40">
                  <c:v>1.4018999999999999</c:v>
                </c:pt>
                <c:pt idx="41">
                  <c:v>1.5283</c:v>
                </c:pt>
                <c:pt idx="42">
                  <c:v>0.25</c:v>
                </c:pt>
                <c:pt idx="43">
                  <c:v>0.25</c:v>
                </c:pt>
                <c:pt idx="44">
                  <c:v>2.0021</c:v>
                </c:pt>
                <c:pt idx="45">
                  <c:v>2.1960000000000002</c:v>
                </c:pt>
                <c:pt idx="46">
                  <c:v>0.25</c:v>
                </c:pt>
                <c:pt idx="47">
                  <c:v>0.25</c:v>
                </c:pt>
                <c:pt idx="48">
                  <c:v>0.25</c:v>
                </c:pt>
                <c:pt idx="49">
                  <c:v>0.25</c:v>
                </c:pt>
                <c:pt idx="50">
                  <c:v>0.25</c:v>
                </c:pt>
                <c:pt idx="51">
                  <c:v>0.25</c:v>
                </c:pt>
                <c:pt idx="52">
                  <c:v>0.25</c:v>
                </c:pt>
              </c:numCache>
            </c:numRef>
          </c:xVal>
          <c:yVal>
            <c:numRef>
              <c:f>Hoja1!$A$137:$A$189</c:f>
              <c:numCache>
                <c:formatCode>0</c:formatCode>
                <c:ptCount val="53"/>
                <c:pt idx="0">
                  <c:v>20450</c:v>
                </c:pt>
                <c:pt idx="1">
                  <c:v>20425</c:v>
                </c:pt>
                <c:pt idx="2">
                  <c:v>20400</c:v>
                </c:pt>
                <c:pt idx="3">
                  <c:v>20375</c:v>
                </c:pt>
                <c:pt idx="4">
                  <c:v>20350</c:v>
                </c:pt>
                <c:pt idx="5">
                  <c:v>20325</c:v>
                </c:pt>
                <c:pt idx="6">
                  <c:v>20300</c:v>
                </c:pt>
                <c:pt idx="7">
                  <c:v>20275</c:v>
                </c:pt>
                <c:pt idx="8">
                  <c:v>20250</c:v>
                </c:pt>
                <c:pt idx="9">
                  <c:v>20225</c:v>
                </c:pt>
                <c:pt idx="10">
                  <c:v>20200</c:v>
                </c:pt>
                <c:pt idx="11">
                  <c:v>20175</c:v>
                </c:pt>
                <c:pt idx="12">
                  <c:v>20150</c:v>
                </c:pt>
                <c:pt idx="13">
                  <c:v>20125</c:v>
                </c:pt>
                <c:pt idx="14">
                  <c:v>20100</c:v>
                </c:pt>
                <c:pt idx="15">
                  <c:v>20075</c:v>
                </c:pt>
                <c:pt idx="16">
                  <c:v>20050</c:v>
                </c:pt>
                <c:pt idx="17">
                  <c:v>20025</c:v>
                </c:pt>
                <c:pt idx="18">
                  <c:v>20000</c:v>
                </c:pt>
                <c:pt idx="19">
                  <c:v>19975</c:v>
                </c:pt>
                <c:pt idx="20">
                  <c:v>19950</c:v>
                </c:pt>
                <c:pt idx="21">
                  <c:v>19925</c:v>
                </c:pt>
                <c:pt idx="22">
                  <c:v>19900</c:v>
                </c:pt>
                <c:pt idx="23">
                  <c:v>19875</c:v>
                </c:pt>
                <c:pt idx="24">
                  <c:v>19850</c:v>
                </c:pt>
                <c:pt idx="25">
                  <c:v>19825</c:v>
                </c:pt>
                <c:pt idx="26">
                  <c:v>19800</c:v>
                </c:pt>
                <c:pt idx="27">
                  <c:v>19775</c:v>
                </c:pt>
                <c:pt idx="28">
                  <c:v>19750</c:v>
                </c:pt>
                <c:pt idx="29">
                  <c:v>19725</c:v>
                </c:pt>
                <c:pt idx="30">
                  <c:v>19700</c:v>
                </c:pt>
                <c:pt idx="31">
                  <c:v>19675</c:v>
                </c:pt>
                <c:pt idx="32">
                  <c:v>19650</c:v>
                </c:pt>
                <c:pt idx="33">
                  <c:v>19625</c:v>
                </c:pt>
                <c:pt idx="34">
                  <c:v>19600</c:v>
                </c:pt>
                <c:pt idx="35">
                  <c:v>19575</c:v>
                </c:pt>
                <c:pt idx="36">
                  <c:v>19550</c:v>
                </c:pt>
                <c:pt idx="37">
                  <c:v>19525</c:v>
                </c:pt>
                <c:pt idx="38">
                  <c:v>19500</c:v>
                </c:pt>
                <c:pt idx="39">
                  <c:v>19475</c:v>
                </c:pt>
                <c:pt idx="40">
                  <c:v>19450</c:v>
                </c:pt>
                <c:pt idx="41">
                  <c:v>19425</c:v>
                </c:pt>
                <c:pt idx="42">
                  <c:v>19400</c:v>
                </c:pt>
                <c:pt idx="43">
                  <c:v>19375</c:v>
                </c:pt>
                <c:pt idx="44">
                  <c:v>19350</c:v>
                </c:pt>
                <c:pt idx="45">
                  <c:v>19325</c:v>
                </c:pt>
                <c:pt idx="46">
                  <c:v>19300</c:v>
                </c:pt>
                <c:pt idx="47">
                  <c:v>19275</c:v>
                </c:pt>
                <c:pt idx="48">
                  <c:v>19250</c:v>
                </c:pt>
                <c:pt idx="49">
                  <c:v>19225</c:v>
                </c:pt>
                <c:pt idx="50">
                  <c:v>19200</c:v>
                </c:pt>
                <c:pt idx="51">
                  <c:v>19175</c:v>
                </c:pt>
                <c:pt idx="52">
                  <c:v>19150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Hoja1!$EF$137:$EF$189</c:f>
              <c:numCache>
                <c:formatCode>0%</c:formatCode>
                <c:ptCount val="53"/>
                <c:pt idx="0">
                  <c:v>2.0543999999999998</c:v>
                </c:pt>
                <c:pt idx="1">
                  <c:v>2.1236999999999999</c:v>
                </c:pt>
                <c:pt idx="2">
                  <c:v>1.7863</c:v>
                </c:pt>
                <c:pt idx="3">
                  <c:v>1.7684</c:v>
                </c:pt>
                <c:pt idx="4">
                  <c:v>1.6468</c:v>
                </c:pt>
                <c:pt idx="5">
                  <c:v>1.6247</c:v>
                </c:pt>
                <c:pt idx="6">
                  <c:v>0.25</c:v>
                </c:pt>
                <c:pt idx="7">
                  <c:v>0.25</c:v>
                </c:pt>
                <c:pt idx="8">
                  <c:v>1.3746</c:v>
                </c:pt>
                <c:pt idx="9">
                  <c:v>1.22</c:v>
                </c:pt>
                <c:pt idx="10">
                  <c:v>1.1967000000000001</c:v>
                </c:pt>
                <c:pt idx="11">
                  <c:v>1.0772999999999999</c:v>
                </c:pt>
                <c:pt idx="12">
                  <c:v>1.048</c:v>
                </c:pt>
                <c:pt idx="13">
                  <c:v>0.92230000000000001</c:v>
                </c:pt>
                <c:pt idx="14">
                  <c:v>1.0139</c:v>
                </c:pt>
                <c:pt idx="15">
                  <c:v>0.84960000000000002</c:v>
                </c:pt>
                <c:pt idx="16">
                  <c:v>0.75029999999999997</c:v>
                </c:pt>
                <c:pt idx="17">
                  <c:v>0.7026</c:v>
                </c:pt>
                <c:pt idx="18">
                  <c:v>0.59179999999999999</c:v>
                </c:pt>
                <c:pt idx="19">
                  <c:v>0.53420000000000001</c:v>
                </c:pt>
                <c:pt idx="20">
                  <c:v>0.42330000000000001</c:v>
                </c:pt>
                <c:pt idx="21">
                  <c:v>0.3407</c:v>
                </c:pt>
                <c:pt idx="22">
                  <c:v>0.23169999999999999</c:v>
                </c:pt>
                <c:pt idx="23">
                  <c:v>0.1908</c:v>
                </c:pt>
                <c:pt idx="24">
                  <c:v>0.29210000000000003</c:v>
                </c:pt>
                <c:pt idx="25">
                  <c:v>0.35610000000000003</c:v>
                </c:pt>
                <c:pt idx="26">
                  <c:v>0.25519999999999998</c:v>
                </c:pt>
                <c:pt idx="27">
                  <c:v>0.2213</c:v>
                </c:pt>
                <c:pt idx="28">
                  <c:v>0.39429999999999998</c:v>
                </c:pt>
                <c:pt idx="29">
                  <c:v>0.66749999999999998</c:v>
                </c:pt>
                <c:pt idx="30">
                  <c:v>0.38009999999999999</c:v>
                </c:pt>
                <c:pt idx="31">
                  <c:v>1.1068</c:v>
                </c:pt>
                <c:pt idx="32">
                  <c:v>0.56299999999999994</c:v>
                </c:pt>
                <c:pt idx="33">
                  <c:v>1.306</c:v>
                </c:pt>
                <c:pt idx="34">
                  <c:v>0.58399999999999996</c:v>
                </c:pt>
                <c:pt idx="35">
                  <c:v>0.71840000000000004</c:v>
                </c:pt>
                <c:pt idx="36">
                  <c:v>1.5936999999999999</c:v>
                </c:pt>
                <c:pt idx="37">
                  <c:v>1.6873</c:v>
                </c:pt>
                <c:pt idx="38">
                  <c:v>0.90359999999999996</c:v>
                </c:pt>
                <c:pt idx="39">
                  <c:v>1.8717999999999999</c:v>
                </c:pt>
                <c:pt idx="40">
                  <c:v>1.9628000000000001</c:v>
                </c:pt>
                <c:pt idx="41">
                  <c:v>2.0531999999999999</c:v>
                </c:pt>
                <c:pt idx="42">
                  <c:v>0.98050000000000004</c:v>
                </c:pt>
                <c:pt idx="43">
                  <c:v>2.2320000000000002</c:v>
                </c:pt>
                <c:pt idx="44">
                  <c:v>2.3205</c:v>
                </c:pt>
                <c:pt idx="45">
                  <c:v>2.4085999999999999</c:v>
                </c:pt>
                <c:pt idx="46">
                  <c:v>1.8366</c:v>
                </c:pt>
                <c:pt idx="47">
                  <c:v>2.2372999999999998</c:v>
                </c:pt>
                <c:pt idx="48">
                  <c:v>2.67</c:v>
                </c:pt>
                <c:pt idx="49">
                  <c:v>1.3212999999999999</c:v>
                </c:pt>
                <c:pt idx="50">
                  <c:v>1.3696999999999999</c:v>
                </c:pt>
                <c:pt idx="51">
                  <c:v>2.9279000000000002</c:v>
                </c:pt>
                <c:pt idx="52">
                  <c:v>2.8506999999999998</c:v>
                </c:pt>
              </c:numCache>
            </c:numRef>
          </c:xVal>
          <c:yVal>
            <c:numRef>
              <c:f>Hoja1!$A$137:$A$189</c:f>
              <c:numCache>
                <c:formatCode>0</c:formatCode>
                <c:ptCount val="53"/>
                <c:pt idx="0">
                  <c:v>20450</c:v>
                </c:pt>
                <c:pt idx="1">
                  <c:v>20425</c:v>
                </c:pt>
                <c:pt idx="2">
                  <c:v>20400</c:v>
                </c:pt>
                <c:pt idx="3">
                  <c:v>20375</c:v>
                </c:pt>
                <c:pt idx="4">
                  <c:v>20350</c:v>
                </c:pt>
                <c:pt idx="5">
                  <c:v>20325</c:v>
                </c:pt>
                <c:pt idx="6">
                  <c:v>20300</c:v>
                </c:pt>
                <c:pt idx="7">
                  <c:v>20275</c:v>
                </c:pt>
                <c:pt idx="8">
                  <c:v>20250</c:v>
                </c:pt>
                <c:pt idx="9">
                  <c:v>20225</c:v>
                </c:pt>
                <c:pt idx="10">
                  <c:v>20200</c:v>
                </c:pt>
                <c:pt idx="11">
                  <c:v>20175</c:v>
                </c:pt>
                <c:pt idx="12">
                  <c:v>20150</c:v>
                </c:pt>
                <c:pt idx="13">
                  <c:v>20125</c:v>
                </c:pt>
                <c:pt idx="14">
                  <c:v>20100</c:v>
                </c:pt>
                <c:pt idx="15">
                  <c:v>20075</c:v>
                </c:pt>
                <c:pt idx="16">
                  <c:v>20050</c:v>
                </c:pt>
                <c:pt idx="17">
                  <c:v>20025</c:v>
                </c:pt>
                <c:pt idx="18">
                  <c:v>20000</c:v>
                </c:pt>
                <c:pt idx="19">
                  <c:v>19975</c:v>
                </c:pt>
                <c:pt idx="20">
                  <c:v>19950</c:v>
                </c:pt>
                <c:pt idx="21">
                  <c:v>19925</c:v>
                </c:pt>
                <c:pt idx="22">
                  <c:v>19900</c:v>
                </c:pt>
                <c:pt idx="23">
                  <c:v>19875</c:v>
                </c:pt>
                <c:pt idx="24">
                  <c:v>19850</c:v>
                </c:pt>
                <c:pt idx="25">
                  <c:v>19825</c:v>
                </c:pt>
                <c:pt idx="26">
                  <c:v>19800</c:v>
                </c:pt>
                <c:pt idx="27">
                  <c:v>19775</c:v>
                </c:pt>
                <c:pt idx="28">
                  <c:v>19750</c:v>
                </c:pt>
                <c:pt idx="29">
                  <c:v>19725</c:v>
                </c:pt>
                <c:pt idx="30">
                  <c:v>19700</c:v>
                </c:pt>
                <c:pt idx="31">
                  <c:v>19675</c:v>
                </c:pt>
                <c:pt idx="32">
                  <c:v>19650</c:v>
                </c:pt>
                <c:pt idx="33">
                  <c:v>19625</c:v>
                </c:pt>
                <c:pt idx="34">
                  <c:v>19600</c:v>
                </c:pt>
                <c:pt idx="35">
                  <c:v>19575</c:v>
                </c:pt>
                <c:pt idx="36">
                  <c:v>19550</c:v>
                </c:pt>
                <c:pt idx="37">
                  <c:v>19525</c:v>
                </c:pt>
                <c:pt idx="38">
                  <c:v>19500</c:v>
                </c:pt>
                <c:pt idx="39">
                  <c:v>19475</c:v>
                </c:pt>
                <c:pt idx="40">
                  <c:v>19450</c:v>
                </c:pt>
                <c:pt idx="41">
                  <c:v>19425</c:v>
                </c:pt>
                <c:pt idx="42">
                  <c:v>19400</c:v>
                </c:pt>
                <c:pt idx="43">
                  <c:v>19375</c:v>
                </c:pt>
                <c:pt idx="44">
                  <c:v>19350</c:v>
                </c:pt>
                <c:pt idx="45">
                  <c:v>19325</c:v>
                </c:pt>
                <c:pt idx="46">
                  <c:v>19300</c:v>
                </c:pt>
                <c:pt idx="47">
                  <c:v>19275</c:v>
                </c:pt>
                <c:pt idx="48">
                  <c:v>19250</c:v>
                </c:pt>
                <c:pt idx="49">
                  <c:v>19225</c:v>
                </c:pt>
                <c:pt idx="50">
                  <c:v>19200</c:v>
                </c:pt>
                <c:pt idx="51">
                  <c:v>19175</c:v>
                </c:pt>
                <c:pt idx="52">
                  <c:v>19150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0924672"/>
        <c:axId val="340930560"/>
      </c:scatterChart>
      <c:valAx>
        <c:axId val="340924672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340930560"/>
        <c:crosses val="autoZero"/>
        <c:crossBetween val="midCat"/>
      </c:valAx>
      <c:valAx>
        <c:axId val="34093056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40924672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508488</xdr:colOff>
      <xdr:row>0</xdr:row>
      <xdr:rowOff>0</xdr:rowOff>
    </xdr:from>
    <xdr:to>
      <xdr:col>15</xdr:col>
      <xdr:colOff>270622</xdr:colOff>
      <xdr:row>39</xdr:row>
      <xdr:rowOff>49626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22411</xdr:colOff>
      <xdr:row>40</xdr:row>
      <xdr:rowOff>179294</xdr:rowOff>
    </xdr:from>
    <xdr:to>
      <xdr:col>15</xdr:col>
      <xdr:colOff>448235</xdr:colOff>
      <xdr:row>80</xdr:row>
      <xdr:rowOff>40822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32016</xdr:colOff>
      <xdr:row>81</xdr:row>
      <xdr:rowOff>70438</xdr:rowOff>
    </xdr:from>
    <xdr:to>
      <xdr:col>15</xdr:col>
      <xdr:colOff>459441</xdr:colOff>
      <xdr:row>132</xdr:row>
      <xdr:rowOff>68036</xdr:rowOff>
    </xdr:to>
    <xdr:graphicFrame macro="">
      <xdr:nvGraphicFramePr>
        <xdr:cNvPr id="4" name="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32016</xdr:colOff>
      <xdr:row>133</xdr:row>
      <xdr:rowOff>70438</xdr:rowOff>
    </xdr:from>
    <xdr:to>
      <xdr:col>15</xdr:col>
      <xdr:colOff>470647</xdr:colOff>
      <xdr:row>191</xdr:row>
      <xdr:rowOff>68036</xdr:rowOff>
    </xdr:to>
    <xdr:graphicFrame macro="">
      <xdr:nvGraphicFramePr>
        <xdr:cNvPr id="5" name="4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103910</xdr:colOff>
      <xdr:row>1</xdr:row>
      <xdr:rowOff>34636</xdr:rowOff>
    </xdr:from>
    <xdr:to>
      <xdr:col>23</xdr:col>
      <xdr:colOff>728383</xdr:colOff>
      <xdr:row>40</xdr:row>
      <xdr:rowOff>97869</xdr:rowOff>
    </xdr:to>
    <xdr:graphicFrame macro="">
      <xdr:nvGraphicFramePr>
        <xdr:cNvPr id="6" name="5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89647</xdr:colOff>
      <xdr:row>40</xdr:row>
      <xdr:rowOff>163286</xdr:rowOff>
    </xdr:from>
    <xdr:to>
      <xdr:col>23</xdr:col>
      <xdr:colOff>474569</xdr:colOff>
      <xdr:row>80</xdr:row>
      <xdr:rowOff>74441</xdr:rowOff>
    </xdr:to>
    <xdr:graphicFrame macro="">
      <xdr:nvGraphicFramePr>
        <xdr:cNvPr id="8" name="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78441</xdr:colOff>
      <xdr:row>81</xdr:row>
      <xdr:rowOff>67235</xdr:rowOff>
    </xdr:from>
    <xdr:to>
      <xdr:col>24</xdr:col>
      <xdr:colOff>0</xdr:colOff>
      <xdr:row>132</xdr:row>
      <xdr:rowOff>64833</xdr:rowOff>
    </xdr:to>
    <xdr:graphicFrame macro="">
      <xdr:nvGraphicFramePr>
        <xdr:cNvPr id="9" name="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56032</xdr:colOff>
      <xdr:row>133</xdr:row>
      <xdr:rowOff>67235</xdr:rowOff>
    </xdr:from>
    <xdr:to>
      <xdr:col>23</xdr:col>
      <xdr:colOff>683560</xdr:colOff>
      <xdr:row>191</xdr:row>
      <xdr:rowOff>64833</xdr:rowOff>
    </xdr:to>
    <xdr:graphicFrame macro="">
      <xdr:nvGraphicFramePr>
        <xdr:cNvPr id="10" name="9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238125</xdr:colOff>
      <xdr:row>1</xdr:row>
      <xdr:rowOff>0</xdr:rowOff>
    </xdr:from>
    <xdr:to>
      <xdr:col>32</xdr:col>
      <xdr:colOff>145401</xdr:colOff>
      <xdr:row>40</xdr:row>
      <xdr:rowOff>63233</xdr:rowOff>
    </xdr:to>
    <xdr:graphicFrame macro="">
      <xdr:nvGraphicFramePr>
        <xdr:cNvPr id="26" name="25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25</xdr:col>
      <xdr:colOff>269875</xdr:colOff>
      <xdr:row>41</xdr:row>
      <xdr:rowOff>0</xdr:rowOff>
    </xdr:from>
    <xdr:to>
      <xdr:col>32</xdr:col>
      <xdr:colOff>197224</xdr:colOff>
      <xdr:row>80</xdr:row>
      <xdr:rowOff>67903</xdr:rowOff>
    </xdr:to>
    <xdr:graphicFrame macro="">
      <xdr:nvGraphicFramePr>
        <xdr:cNvPr id="27" name="26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254000</xdr:colOff>
      <xdr:row>81</xdr:row>
      <xdr:rowOff>63500</xdr:rowOff>
    </xdr:from>
    <xdr:to>
      <xdr:col>32</xdr:col>
      <xdr:colOff>173425</xdr:colOff>
      <xdr:row>132</xdr:row>
      <xdr:rowOff>61098</xdr:rowOff>
    </xdr:to>
    <xdr:graphicFrame macro="">
      <xdr:nvGraphicFramePr>
        <xdr:cNvPr id="28" name="2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25</xdr:col>
      <xdr:colOff>206375</xdr:colOff>
      <xdr:row>133</xdr:row>
      <xdr:rowOff>95250</xdr:rowOff>
    </xdr:from>
    <xdr:to>
      <xdr:col>32</xdr:col>
      <xdr:colOff>127481</xdr:colOff>
      <xdr:row>191</xdr:row>
      <xdr:rowOff>92848</xdr:rowOff>
    </xdr:to>
    <xdr:graphicFrame macro="">
      <xdr:nvGraphicFramePr>
        <xdr:cNvPr id="29" name="2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32</xdr:col>
      <xdr:colOff>244930</xdr:colOff>
      <xdr:row>1</xdr:row>
      <xdr:rowOff>81643</xdr:rowOff>
    </xdr:from>
    <xdr:to>
      <xdr:col>38</xdr:col>
      <xdr:colOff>380999</xdr:colOff>
      <xdr:row>41</xdr:row>
      <xdr:rowOff>40821</xdr:rowOff>
    </xdr:to>
    <xdr:graphicFrame macro="">
      <xdr:nvGraphicFramePr>
        <xdr:cNvPr id="18" name="1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32</xdr:col>
      <xdr:colOff>122463</xdr:colOff>
      <xdr:row>42</xdr:row>
      <xdr:rowOff>68035</xdr:rowOff>
    </xdr:from>
    <xdr:to>
      <xdr:col>39</xdr:col>
      <xdr:colOff>398688</xdr:colOff>
      <xdr:row>83</xdr:row>
      <xdr:rowOff>108858</xdr:rowOff>
    </xdr:to>
    <xdr:graphicFrame macro="">
      <xdr:nvGraphicFramePr>
        <xdr:cNvPr id="19" name="1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32</xdr:col>
      <xdr:colOff>258538</xdr:colOff>
      <xdr:row>84</xdr:row>
      <xdr:rowOff>-1</xdr:rowOff>
    </xdr:from>
    <xdr:to>
      <xdr:col>39</xdr:col>
      <xdr:colOff>32809</xdr:colOff>
      <xdr:row>131</xdr:row>
      <xdr:rowOff>122464</xdr:rowOff>
    </xdr:to>
    <xdr:graphicFrame macro="">
      <xdr:nvGraphicFramePr>
        <xdr:cNvPr id="20" name="19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33</xdr:col>
      <xdr:colOff>122465</xdr:colOff>
      <xdr:row>133</xdr:row>
      <xdr:rowOff>160261</xdr:rowOff>
    </xdr:from>
    <xdr:to>
      <xdr:col>38</xdr:col>
      <xdr:colOff>244929</xdr:colOff>
      <xdr:row>198</xdr:row>
      <xdr:rowOff>68035</xdr:rowOff>
    </xdr:to>
    <xdr:graphicFrame macro="">
      <xdr:nvGraphicFramePr>
        <xdr:cNvPr id="22" name="2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Y_CBO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QQ_CBO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PX_CBO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D2">
            <v>563.71640519697416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D2">
            <v>469.81373794456613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Hoja1"/>
    </sheetNames>
    <sheetDataSet>
      <sheetData sheetId="0">
        <row r="2">
          <cell r="AD2">
            <v>5826.8235213891576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F895"/>
  <sheetViews>
    <sheetView tabSelected="1" zoomScaleNormal="100" workbookViewId="0">
      <pane xSplit="1" ySplit="2" topLeftCell="FA845" activePane="bottomRight" state="frozen"/>
      <selection pane="topRight" activeCell="B1" sqref="B1"/>
      <selection pane="bottomLeft" activeCell="A3" sqref="A3"/>
      <selection pane="bottomRight" activeCell="EU508" sqref="EU508:FF895"/>
    </sheetView>
  </sheetViews>
  <sheetFormatPr baseColWidth="10" defaultRowHeight="12.75" x14ac:dyDescent="0.2"/>
  <cols>
    <col min="1" max="1" width="12.140625" style="20" customWidth="1"/>
    <col min="2" max="5" width="11.5703125" style="20" customWidth="1"/>
    <col min="6" max="6" width="12" style="20" customWidth="1"/>
    <col min="7" max="7" width="8.28515625" style="1" customWidth="1"/>
    <col min="8" max="16" width="5.42578125" style="1" customWidth="1"/>
    <col min="17" max="18" width="2.140625" style="1" customWidth="1"/>
    <col min="19" max="24" width="7.140625" style="1" customWidth="1"/>
    <col min="25" max="25" width="4" style="1" customWidth="1"/>
    <col min="26" max="26" width="4.28515625" style="1" customWidth="1"/>
    <col min="27" max="32" width="7.140625" style="1" customWidth="1"/>
    <col min="33" max="33" width="5" style="1" customWidth="1"/>
    <col min="34" max="34" width="3" style="1" customWidth="1"/>
    <col min="35" max="35" width="4.28515625" style="1" customWidth="1"/>
    <col min="36" max="41" width="7.140625" style="1" customWidth="1"/>
    <col min="42" max="43" width="10.85546875" style="1" customWidth="1"/>
    <col min="44" max="44" width="3" style="1" customWidth="1"/>
    <col min="45" max="60" width="12" style="1" customWidth="1"/>
    <col min="61" max="61" width="8" style="1" bestFit="1" customWidth="1"/>
    <col min="62" max="67" width="12" style="1" customWidth="1"/>
    <col min="68" max="68" width="9.85546875" style="64" customWidth="1"/>
    <col min="69" max="74" width="12" style="1" customWidth="1"/>
    <col min="75" max="75" width="9.85546875" style="64" customWidth="1"/>
    <col min="76" max="87" width="12" style="1" customWidth="1"/>
    <col min="88" max="88" width="9.85546875" style="64" customWidth="1"/>
    <col min="89" max="101" width="12" style="1" customWidth="1"/>
    <col min="102" max="102" width="10.85546875" style="64" bestFit="1" customWidth="1"/>
    <col min="103" max="103" width="12" style="1" customWidth="1"/>
    <col min="104" max="104" width="9.85546875" style="64" customWidth="1"/>
    <col min="105" max="110" width="12" style="1" customWidth="1"/>
    <col min="111" max="111" width="9.85546875" style="64" customWidth="1"/>
    <col min="112" max="117" width="12" style="1" customWidth="1"/>
    <col min="118" max="119" width="9.85546875" style="64" customWidth="1"/>
    <col min="120" max="133" width="12" style="1" customWidth="1"/>
    <col min="134" max="134" width="11.42578125" style="64" customWidth="1"/>
    <col min="135" max="140" width="12" style="1" customWidth="1"/>
    <col min="141" max="141" width="13.85546875" style="64" customWidth="1"/>
    <col min="142" max="147" width="12" style="1" customWidth="1"/>
    <col min="148" max="148" width="11.42578125" style="64" customWidth="1"/>
    <col min="149" max="149" width="15.85546875" style="64" customWidth="1"/>
    <col min="150" max="150" width="12.140625" style="64" bestFit="1" customWidth="1"/>
    <col min="151" max="151" width="8.7109375" style="67" customWidth="1"/>
    <col min="152" max="152" width="52.5703125" style="67" bestFit="1" customWidth="1"/>
    <col min="153" max="153" width="8.7109375" style="67" customWidth="1"/>
    <col min="154" max="154" width="46.7109375" style="67" customWidth="1"/>
    <col min="155" max="155" width="10" style="67" customWidth="1"/>
    <col min="156" max="156" width="54.5703125" style="67" bestFit="1" customWidth="1"/>
    <col min="157" max="157" width="11.140625" style="67" customWidth="1"/>
    <col min="158" max="158" width="45.5703125" style="67" customWidth="1"/>
    <col min="159" max="159" width="21" style="67" bestFit="1" customWidth="1"/>
    <col min="160" max="160" width="66.5703125" style="67" customWidth="1"/>
    <col min="161" max="161" width="57.85546875" style="68" bestFit="1" customWidth="1"/>
    <col min="162" max="162" width="21" style="68" bestFit="1" customWidth="1"/>
    <col min="163" max="16384" width="11.42578125" style="64"/>
  </cols>
  <sheetData>
    <row r="1" spans="1:162" ht="13.5" thickBot="1" x14ac:dyDescent="0.25">
      <c r="A1" s="17" t="s">
        <v>8</v>
      </c>
      <c r="B1" s="18" t="s">
        <v>4</v>
      </c>
      <c r="C1" s="18" t="s">
        <v>5</v>
      </c>
      <c r="D1" s="18" t="s">
        <v>6</v>
      </c>
      <c r="E1" s="19" t="s">
        <v>59</v>
      </c>
      <c r="F1" s="20">
        <f>+[1]Sheet1!$AD$2</f>
        <v>563.71640519697416</v>
      </c>
      <c r="G1" s="9" t="s">
        <v>11</v>
      </c>
      <c r="I1" s="104">
        <f ca="1">NOW()</f>
        <v>45784.910880324074</v>
      </c>
      <c r="J1" s="105"/>
      <c r="K1" s="105"/>
      <c r="L1" s="105"/>
      <c r="M1" s="105"/>
      <c r="N1" s="105"/>
      <c r="O1" s="105"/>
      <c r="P1" s="105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 t="s">
        <v>56</v>
      </c>
      <c r="AN1" s="21" t="s">
        <v>57</v>
      </c>
      <c r="AO1" s="21"/>
      <c r="AP1" s="21">
        <v>250507</v>
      </c>
      <c r="AQ1" s="21"/>
      <c r="AR1" s="21"/>
      <c r="AS1" s="22" t="str">
        <f>+B2</f>
        <v>250507</v>
      </c>
      <c r="AT1" s="22" t="str">
        <f>+AS1</f>
        <v>250507</v>
      </c>
      <c r="AU1" s="22" t="str">
        <f>+C2</f>
        <v>250509</v>
      </c>
      <c r="AV1" s="22" t="str">
        <f>+AU1</f>
        <v>250509</v>
      </c>
      <c r="AW1" s="22" t="str">
        <f>+D2</f>
        <v>250516</v>
      </c>
      <c r="AX1" s="22" t="str">
        <f>+AW1</f>
        <v>250516</v>
      </c>
      <c r="AY1" s="23">
        <f>+A3</f>
        <v>564.33000000000004</v>
      </c>
      <c r="BA1" s="22" t="str">
        <f>+AS1</f>
        <v>250507</v>
      </c>
      <c r="BB1" s="22"/>
      <c r="BC1" s="22" t="str">
        <f>+AU1</f>
        <v>250509</v>
      </c>
      <c r="BD1" s="22"/>
      <c r="BE1" s="22" t="str">
        <f>+AW1</f>
        <v>250516</v>
      </c>
      <c r="BF1" s="22">
        <f>+AY1</f>
        <v>564.33000000000004</v>
      </c>
      <c r="BG1" s="95"/>
      <c r="BH1" s="23">
        <f ca="1">MAX(BH4:BH38)</f>
        <v>255621</v>
      </c>
      <c r="BI1" s="1">
        <f ca="1">IFERROR(IF(MAX(BH4:BH38)&lt;&gt;0,INDEX(A4:A38,MATCH(MAX(BH4:BH38),BH4:BH38,0)),""),"")</f>
        <v>562</v>
      </c>
      <c r="BJ1" s="22"/>
      <c r="BK1" s="22"/>
      <c r="BL1" s="22"/>
      <c r="BM1" s="22"/>
      <c r="BN1" s="22"/>
      <c r="BO1" s="22"/>
      <c r="BP1" s="64">
        <v>1</v>
      </c>
      <c r="BQ1" s="22" t="e">
        <f ca="1">IF(BR1&gt;BR2,IF(MAX(BQ4:BQ38)&lt;&gt;0,INDEX(A4:A38,MATCH(MAX(BQ4:BQ38),BQ4:BQ38,0)),A3),IF(MIN(BQ4:BQ38)&lt;&gt;0,INDEX(A4:A38,MATCH(MIN(BQ4:BQ38),BQ4:BQ38,0))))</f>
        <v>#NUM!</v>
      </c>
      <c r="BR1" s="22" t="e">
        <f ca="1">+MAX(BQ4:BQ38)</f>
        <v>#NUM!</v>
      </c>
      <c r="BS1" s="22">
        <f ca="1">IF(BT1&gt;BT2,IF(MAX(BS4:BS38)&lt;&gt;0,INDEX(A4:A38,MATCH(MAX(BS4:BS38),BS4:BS38,0)),A3),IF(MIN(BS4:BS38)&lt;&gt;0,INDEX(A4:A38,MATCH(MIN(BS4:BS38),BS4:BS38,0))))</f>
        <v>570</v>
      </c>
      <c r="BT1" s="22">
        <f ca="1">+MAX(BS4:BS38)</f>
        <v>137010115.73142383</v>
      </c>
      <c r="BU1" s="22">
        <f ca="1">IF(BV1&gt;BV2,IF(MAX(BU4:BU38)&lt;&gt;0,INDEX(A4:A38,MATCH(MAX(BU4:BU38),BU4:BU38,0)),A3),IF(MIN(BU4:BU38)&lt;&gt;0,INDEX(A4:A38,MATCH(MIN(BU4:BU38),BU4:BU38,0))))</f>
        <v>555</v>
      </c>
      <c r="BV1" s="22">
        <f ca="1">+MAX(BU4:BU38)</f>
        <v>304476376.07080156</v>
      </c>
      <c r="BX1" s="22" t="e">
        <f ca="1">IF(BY1&gt;BZ1,IF(MAX(BX4:BX38)&lt;&gt;0,INDEX(G4:G38,MATCH(MAX(BX4:BX38),BX4:BX38,0)),G3),IF(MIN(BX4:BX38)&lt;&gt;0,INDEX(G4:G38,MATCH(MIN(BX4:BX38),BX4:BX38,0))))</f>
        <v>#NUM!</v>
      </c>
      <c r="BY1" s="22" t="e">
        <f ca="1">+MAX(BX4:BX38)</f>
        <v>#NUM!</v>
      </c>
      <c r="BZ1" s="22" t="e">
        <f ca="1">ABS(MIN(BX4:BX38))</f>
        <v>#NUM!</v>
      </c>
      <c r="CA1" s="22"/>
      <c r="CB1" s="22"/>
      <c r="CC1" s="22" t="e">
        <f ca="1">+AVERAGE(BY39:BY40,CA39:CA40,CC39:CC40)</f>
        <v>#N/A</v>
      </c>
      <c r="CD1" s="22"/>
      <c r="CE1" s="22"/>
      <c r="CF1" s="22"/>
      <c r="CG1" s="22"/>
      <c r="CH1" s="22"/>
      <c r="CI1" s="22"/>
      <c r="CK1" s="22">
        <f>IF(CL1&gt;CM1,IF(MAX(CK4:CK38)&lt;&gt;0,INDEX(N4:N38,MATCH(MAX(CK4:CK38),CK4:CK38,0)),N3),IF(MIN(CK4:CK38)&lt;&gt;0,INDEX(N4:N38,MATCH(MIN(CK4:CK38),CK4:CK38,0))))</f>
        <v>0</v>
      </c>
      <c r="CL1" s="22">
        <f>+MAX(CK4:CK38)</f>
        <v>531090</v>
      </c>
      <c r="CM1" s="22">
        <f>ABS(MIN(CK4:CK38))</f>
        <v>89553.999999999985</v>
      </c>
      <c r="CN1" s="22"/>
      <c r="CO1" s="22"/>
      <c r="CP1" s="22"/>
      <c r="CQ1" s="22">
        <f>IF(CR1&gt;CS1,IF(MAX(CQ4:CQ38)&lt;&gt;0,INDEX(A4:A38,MATCH(MAX(CQ4:CQ38),CQ4:CQ38,0)),A3),IF(MIN(CQ4:CQ38)&lt;&gt;0,INDEX(A4:A38,MATCH(MIN(CQ4:CQ38),CQ4:CQ38,0))))</f>
        <v>562</v>
      </c>
      <c r="CR1" s="22">
        <f>+MAX(CQ4:CQ38)</f>
        <v>231700</v>
      </c>
      <c r="CS1" s="22">
        <f>ABS(MIN(CQ4:CQ38))</f>
        <v>228609</v>
      </c>
      <c r="CT1" s="22"/>
      <c r="CU1" s="22"/>
      <c r="CV1" s="22"/>
      <c r="CW1" s="22" t="e">
        <f ca="1">IF(CX1&gt;CY1,IF(MAX(CW4:CW38)&lt;&gt;0,INDEX(A4:A38,MATCH(MAX(CW4:CW38),CW4:CW38,0)),M3),IF(MIN(CW4:CW38)&lt;&gt;0,INDEX(A4:A38,MATCH(MIN(CW4:CW38),CW4:CW38,0))))</f>
        <v>#NUM!</v>
      </c>
      <c r="CX1" s="61" t="e">
        <f ca="1">+MAX(CW4:CW38)</f>
        <v>#NUM!</v>
      </c>
      <c r="CY1" s="22" t="e">
        <f ca="1">ABS(MIN(CW4:CW38))</f>
        <v>#NUM!</v>
      </c>
      <c r="DA1" s="22" t="str">
        <f>+B2</f>
        <v>250507</v>
      </c>
      <c r="DB1" s="22"/>
      <c r="DC1" s="22" t="str">
        <f>+DA1</f>
        <v>250507</v>
      </c>
      <c r="DD1" s="22"/>
      <c r="DE1" s="22" t="str">
        <f>+DC1</f>
        <v>250507</v>
      </c>
      <c r="DF1" s="22"/>
      <c r="DH1" s="22" t="s">
        <v>28</v>
      </c>
      <c r="DI1" s="22" t="s">
        <v>29</v>
      </c>
      <c r="DJ1" s="22" t="s">
        <v>30</v>
      </c>
      <c r="DK1" s="22" t="s">
        <v>31</v>
      </c>
      <c r="DL1" s="22" t="s">
        <v>32</v>
      </c>
      <c r="DM1" s="22" t="s">
        <v>33</v>
      </c>
      <c r="DP1" s="22" t="s">
        <v>34</v>
      </c>
      <c r="DQ1" s="22" t="s">
        <v>35</v>
      </c>
      <c r="DR1" s="22" t="s">
        <v>36</v>
      </c>
      <c r="DS1" s="22" t="s">
        <v>41</v>
      </c>
      <c r="DT1" s="22"/>
      <c r="DU1" s="22"/>
      <c r="DV1" s="22" t="s">
        <v>56</v>
      </c>
      <c r="DW1" s="22" t="s">
        <v>57</v>
      </c>
      <c r="DX1" s="22">
        <v>0.67708333333333337</v>
      </c>
      <c r="DY1" s="22">
        <v>265</v>
      </c>
      <c r="DZ1" s="22"/>
      <c r="EA1" s="22"/>
      <c r="EB1" s="22">
        <v>6.9444444444444447E-4</v>
      </c>
      <c r="EC1" s="22">
        <v>4.2000000000000003E-2</v>
      </c>
      <c r="EE1" s="22">
        <v>0.25</v>
      </c>
      <c r="EF1" s="22"/>
      <c r="EG1" s="22"/>
      <c r="EH1" s="22"/>
      <c r="EI1" s="22"/>
      <c r="EJ1" s="22"/>
      <c r="EK1" s="65">
        <f ca="1">NOW()</f>
        <v>45784.910880208336</v>
      </c>
      <c r="EL1" s="87">
        <f>B42+$DX$1</f>
        <v>45784.677083333336</v>
      </c>
      <c r="EM1" s="88">
        <f ca="1">+EL1-$EK$1</f>
        <v>-0.23379687499982538</v>
      </c>
      <c r="EN1" s="87">
        <f>C42+$DX$1</f>
        <v>45786.677083333336</v>
      </c>
      <c r="EO1" s="88">
        <f ca="1">+EN1-$EK$1</f>
        <v>1.7662031250001746</v>
      </c>
      <c r="EP1" s="87">
        <f>D42+$DX$1</f>
        <v>45793.677083333336</v>
      </c>
      <c r="EQ1" s="88">
        <f ca="1">+EP1-$EK$1</f>
        <v>8.7662031250001746</v>
      </c>
      <c r="ES1" s="66"/>
    </row>
    <row r="2" spans="1:162" ht="13.5" thickBot="1" x14ac:dyDescent="0.25">
      <c r="A2" s="24" t="s">
        <v>13</v>
      </c>
      <c r="B2" s="18" t="str">
        <f>+TEXT(B42,"YYMMDD")</f>
        <v>250507</v>
      </c>
      <c r="C2" s="18" t="str">
        <f>+TEXT(C42,"YYMMDD")</f>
        <v>250509</v>
      </c>
      <c r="D2" s="18" t="str">
        <f>+TEXT(D42,"YYMMDD")</f>
        <v>250516</v>
      </c>
      <c r="E2" s="18"/>
      <c r="F2" s="18" t="s">
        <v>0</v>
      </c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 t="s">
        <v>7</v>
      </c>
      <c r="AQ2" s="21" t="s">
        <v>7</v>
      </c>
      <c r="AR2" s="21"/>
      <c r="AS2" s="22" t="s">
        <v>1</v>
      </c>
      <c r="AT2" s="25" t="s">
        <v>1</v>
      </c>
      <c r="AU2" s="22" t="s">
        <v>1</v>
      </c>
      <c r="AV2" s="25" t="s">
        <v>1</v>
      </c>
      <c r="AW2" s="22" t="s">
        <v>1</v>
      </c>
      <c r="AX2" s="25" t="s">
        <v>1</v>
      </c>
      <c r="AY2" s="23" t="s">
        <v>12</v>
      </c>
      <c r="BA2" s="22" t="s">
        <v>7</v>
      </c>
      <c r="BB2" s="25" t="s">
        <v>7</v>
      </c>
      <c r="BC2" s="22" t="s">
        <v>7</v>
      </c>
      <c r="BD2" s="25" t="s">
        <v>7</v>
      </c>
      <c r="BE2" s="22" t="s">
        <v>7</v>
      </c>
      <c r="BF2" s="25" t="s">
        <v>7</v>
      </c>
      <c r="BG2" s="23"/>
      <c r="BH2" s="23" t="s">
        <v>15</v>
      </c>
      <c r="BJ2" s="22" t="str">
        <f>+G1</f>
        <v>GAMMA</v>
      </c>
      <c r="BK2" s="25" t="str">
        <f>+BJ2</f>
        <v>GAMMA</v>
      </c>
      <c r="BL2" s="22" t="str">
        <f>+BK2</f>
        <v>GAMMA</v>
      </c>
      <c r="BM2" s="25" t="str">
        <f>+BL2</f>
        <v>GAMMA</v>
      </c>
      <c r="BN2" s="22" t="str">
        <f>+BM2</f>
        <v>GAMMA</v>
      </c>
      <c r="BO2" s="25" t="str">
        <f>+BN2</f>
        <v>GAMMA</v>
      </c>
      <c r="BQ2" s="22" t="s">
        <v>11</v>
      </c>
      <c r="BR2" s="25" t="e">
        <f ca="1">ABS(+MIN(BQ4:BQ38))</f>
        <v>#NUM!</v>
      </c>
      <c r="BS2" s="22" t="s">
        <v>11</v>
      </c>
      <c r="BT2" s="25">
        <f ca="1">ABS(+MIN(BS4:BS38))</f>
        <v>90804223.843801558</v>
      </c>
      <c r="BU2" s="22" t="s">
        <v>11</v>
      </c>
      <c r="BV2" s="25">
        <f ca="1">ABS(+MIN(BU4:BU38))</f>
        <v>340168283.17373812</v>
      </c>
      <c r="BX2" s="22" t="s">
        <v>11</v>
      </c>
      <c r="BY2" s="25"/>
      <c r="BZ2" s="22" t="s">
        <v>11</v>
      </c>
      <c r="CA2" s="25"/>
      <c r="CB2" s="22" t="s">
        <v>11</v>
      </c>
      <c r="CC2" s="25"/>
      <c r="CD2" s="22" t="s">
        <v>19</v>
      </c>
      <c r="CE2" s="25" t="str">
        <f>+CD2</f>
        <v>DELTA</v>
      </c>
      <c r="CF2" s="22" t="str">
        <f>+CE2</f>
        <v>DELTA</v>
      </c>
      <c r="CG2" s="25" t="str">
        <f>+CF2</f>
        <v>DELTA</v>
      </c>
      <c r="CH2" s="22" t="str">
        <f>+CG2</f>
        <v>DELTA</v>
      </c>
      <c r="CI2" s="25" t="str">
        <f>+CH2</f>
        <v>DELTA</v>
      </c>
      <c r="CK2" s="22" t="s">
        <v>20</v>
      </c>
      <c r="CL2" s="25"/>
      <c r="CM2" s="22" t="s">
        <v>20</v>
      </c>
      <c r="CN2" s="25"/>
      <c r="CO2" s="22" t="s">
        <v>20</v>
      </c>
      <c r="CP2" s="25"/>
      <c r="CQ2" s="22" t="s">
        <v>16</v>
      </c>
      <c r="CR2" s="25"/>
      <c r="CS2" s="22" t="s">
        <v>16</v>
      </c>
      <c r="CT2" s="25"/>
      <c r="CU2" s="22" t="s">
        <v>16</v>
      </c>
      <c r="CV2" s="25"/>
      <c r="CW2" s="25" t="s">
        <v>11</v>
      </c>
      <c r="CX2" s="60"/>
      <c r="CY2" s="25" t="s">
        <v>11</v>
      </c>
      <c r="DA2" s="22" t="s">
        <v>25</v>
      </c>
      <c r="DB2" s="25" t="s">
        <v>25</v>
      </c>
      <c r="DC2" s="22" t="s">
        <v>27</v>
      </c>
      <c r="DD2" s="25" t="s">
        <v>27</v>
      </c>
      <c r="DE2" s="22" t="s">
        <v>26</v>
      </c>
      <c r="DF2" s="22" t="s">
        <v>26</v>
      </c>
      <c r="DG2" s="64">
        <v>2000</v>
      </c>
      <c r="DH2" s="22" t="s">
        <v>44</v>
      </c>
      <c r="DI2" s="25" t="s">
        <v>45</v>
      </c>
      <c r="DJ2" s="22" t="s">
        <v>42</v>
      </c>
      <c r="DK2" s="25" t="s">
        <v>43</v>
      </c>
      <c r="DL2" s="22" t="s">
        <v>46</v>
      </c>
      <c r="DM2" s="22" t="s">
        <v>47</v>
      </c>
      <c r="DN2" s="60"/>
      <c r="DP2" s="22" t="s">
        <v>49</v>
      </c>
      <c r="DQ2" s="25" t="s">
        <v>48</v>
      </c>
      <c r="DR2" s="22" t="s">
        <v>50</v>
      </c>
      <c r="DS2" s="25" t="s">
        <v>51</v>
      </c>
      <c r="DT2" s="22"/>
      <c r="DU2" s="22"/>
      <c r="DV2" s="22"/>
      <c r="DW2" s="25"/>
      <c r="DX2" s="22"/>
      <c r="DY2" s="25"/>
      <c r="DZ2" s="22"/>
      <c r="EA2" s="25"/>
      <c r="EB2" s="22"/>
      <c r="EC2" s="22"/>
      <c r="EE2" s="22" t="s">
        <v>21</v>
      </c>
      <c r="EF2" s="25" t="s">
        <v>21</v>
      </c>
      <c r="EG2" s="22" t="s">
        <v>21</v>
      </c>
      <c r="EH2" s="25" t="s">
        <v>21</v>
      </c>
      <c r="EI2" s="22" t="s">
        <v>21</v>
      </c>
      <c r="EJ2" s="22" t="s">
        <v>21</v>
      </c>
      <c r="EL2" s="22" t="s">
        <v>21</v>
      </c>
      <c r="EM2" s="25" t="s">
        <v>21</v>
      </c>
      <c r="EN2" s="22" t="s">
        <v>21</v>
      </c>
      <c r="EO2" s="25" t="s">
        <v>21</v>
      </c>
      <c r="EP2" s="22" t="s">
        <v>21</v>
      </c>
      <c r="EQ2" s="22" t="s">
        <v>21</v>
      </c>
      <c r="ES2" s="62">
        <f ca="1">+EL1-$EK$1</f>
        <v>-0.23379687499982538</v>
      </c>
      <c r="ET2" s="64" t="s">
        <v>22</v>
      </c>
    </row>
    <row r="3" spans="1:162" s="63" customFormat="1" ht="13.5" thickBot="1" x14ac:dyDescent="0.25">
      <c r="A3" s="26">
        <f>RTD("tos.rtd", ,"MARK", A2)</f>
        <v>564.33000000000004</v>
      </c>
      <c r="B3" s="27">
        <f>+AS3/AT3</f>
        <v>-1.4808893980420745</v>
      </c>
      <c r="C3" s="27">
        <f>+AU3/AV3</f>
        <v>-1.2698836104740978</v>
      </c>
      <c r="D3" s="27">
        <f>+AW3/AX3</f>
        <v>-1.2532633079556934</v>
      </c>
      <c r="E3" s="28">
        <v>0</v>
      </c>
      <c r="F3" s="26">
        <f>RTD("tos.rtd", ,"MARK", F2)</f>
        <v>5680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>
        <v>0</v>
      </c>
      <c r="AP3" s="1">
        <v>2461500</v>
      </c>
      <c r="AQ3" s="1">
        <v>-2260315</v>
      </c>
      <c r="AR3" s="1"/>
      <c r="AS3" s="13">
        <f t="shared" ref="AS3:AX3" si="0">SUM(AS4:AS38)</f>
        <v>142195</v>
      </c>
      <c r="AT3" s="29">
        <f t="shared" si="0"/>
        <v>-96020</v>
      </c>
      <c r="AU3" s="13">
        <f t="shared" si="0"/>
        <v>132346</v>
      </c>
      <c r="AV3" s="29">
        <f t="shared" si="0"/>
        <v>-104219</v>
      </c>
      <c r="AW3" s="13">
        <f t="shared" si="0"/>
        <v>286595</v>
      </c>
      <c r="AX3" s="29">
        <f t="shared" si="0"/>
        <v>-228679</v>
      </c>
      <c r="AY3" s="29">
        <f>SUM(AY4:AY38)</f>
        <v>132218</v>
      </c>
      <c r="AZ3" s="1">
        <v>0</v>
      </c>
      <c r="BA3" s="13">
        <f t="shared" ref="BA3:BF3" si="1">SUM(BA4:BA38)</f>
        <v>2462934</v>
      </c>
      <c r="BB3" s="29">
        <f t="shared" si="1"/>
        <v>-2260969</v>
      </c>
      <c r="BC3" s="13">
        <f t="shared" si="1"/>
        <v>310562</v>
      </c>
      <c r="BD3" s="29">
        <f t="shared" si="1"/>
        <v>-245843</v>
      </c>
      <c r="BE3" s="13">
        <f t="shared" si="1"/>
        <v>120755</v>
      </c>
      <c r="BF3" s="29">
        <f t="shared" si="1"/>
        <v>-82528</v>
      </c>
      <c r="BG3" s="31"/>
      <c r="BH3" s="29">
        <f ca="1">SUM(BH4:BH38)</f>
        <v>275510</v>
      </c>
      <c r="BI3" s="1"/>
      <c r="BJ3" s="3" t="e">
        <f t="shared" ref="BJ3:BO3" ca="1" si="2">SUM(BJ4:BJ38)</f>
        <v>#NUM!</v>
      </c>
      <c r="BK3" s="3" t="e">
        <f t="shared" ca="1" si="2"/>
        <v>#NUM!</v>
      </c>
      <c r="BL3" s="3">
        <f t="shared" ca="1" si="2"/>
        <v>1.0211067735388555</v>
      </c>
      <c r="BM3" s="3">
        <f t="shared" ca="1" si="2"/>
        <v>-0.69992950691693012</v>
      </c>
      <c r="BN3" s="3">
        <f t="shared" ca="1" si="2"/>
        <v>0.95316538953091046</v>
      </c>
      <c r="BO3" s="3">
        <f t="shared" ca="1" si="2"/>
        <v>-0.87860594506907164</v>
      </c>
      <c r="BQ3" s="3" t="e">
        <f ca="1">SUM(BQ4:BQ38)</f>
        <v>#NUM!</v>
      </c>
      <c r="BR3" s="3"/>
      <c r="BS3" s="3">
        <f ca="1">SUM(BS4:BS38)</f>
        <v>624843851.06462574</v>
      </c>
      <c r="BT3" s="3"/>
      <c r="BU3" s="3">
        <f ca="1">SUM(BU4:BU38)</f>
        <v>517428059.93319929</v>
      </c>
      <c r="BV3" s="3"/>
      <c r="BX3" s="3" t="e">
        <f ca="1">SUM(BX4:BX38)</f>
        <v>#NUM!</v>
      </c>
      <c r="BY3" s="3"/>
      <c r="BZ3" s="3">
        <f ca="1">SUM(BZ4:BZ38)</f>
        <v>2216418765.9657917</v>
      </c>
      <c r="CA3" s="3"/>
      <c r="CB3" s="3">
        <f ca="1">SUM(CB4:CB38)</f>
        <v>580549789.8405081</v>
      </c>
      <c r="CC3" s="3"/>
      <c r="CD3" s="3">
        <f t="shared" ref="CD3:CI3" si="3">SUM(CD4:CD38)</f>
        <v>17.11</v>
      </c>
      <c r="CE3" s="3">
        <f t="shared" si="3"/>
        <v>13.669999999999998</v>
      </c>
      <c r="CF3" s="3">
        <f t="shared" si="3"/>
        <v>18.149999999999999</v>
      </c>
      <c r="CG3" s="3">
        <f t="shared" si="3"/>
        <v>16.650000000000002</v>
      </c>
      <c r="CH3" s="3">
        <f t="shared" si="3"/>
        <v>17.57</v>
      </c>
      <c r="CI3" s="3">
        <f t="shared" si="3"/>
        <v>17.34</v>
      </c>
      <c r="CK3" s="3">
        <f>SUM(CK4:CK38)</f>
        <v>4044865</v>
      </c>
      <c r="CL3" s="3"/>
      <c r="CM3" s="3">
        <f>SUM(CM4:CM38)</f>
        <v>3201769</v>
      </c>
      <c r="CN3" s="3"/>
      <c r="CO3" s="3">
        <f>SUM(CO4:CO38)</f>
        <v>4568072</v>
      </c>
      <c r="CP3" s="3"/>
      <c r="CQ3" s="3">
        <f>SUM(CQ4:CQ38)</f>
        <v>201965</v>
      </c>
      <c r="CR3" s="3"/>
      <c r="CS3" s="3">
        <f>SUM(CS4:CS38)</f>
        <v>64719</v>
      </c>
      <c r="CT3" s="3"/>
      <c r="CU3" s="3">
        <f>SUM(CU4:CU38)</f>
        <v>38227</v>
      </c>
      <c r="CV3" s="3"/>
      <c r="CW3" s="3" t="e">
        <f ca="1">SUM(CW4:CW38)</f>
        <v>#NUM!</v>
      </c>
      <c r="CY3" s="3" t="e">
        <f ca="1">SUM(CY4:CY38)</f>
        <v>#NUM!</v>
      </c>
      <c r="DA3" s="3">
        <f t="shared" ref="DA3:DF3" si="4">SUM(DA4:DA38)</f>
        <v>95.220000000000013</v>
      </c>
      <c r="DB3" s="3">
        <f t="shared" si="4"/>
        <v>237.80999999999989</v>
      </c>
      <c r="DC3" s="3">
        <f t="shared" si="4"/>
        <v>104.8</v>
      </c>
      <c r="DD3" s="3">
        <f t="shared" si="4"/>
        <v>236.5299999999998</v>
      </c>
      <c r="DE3" s="3">
        <f t="shared" si="4"/>
        <v>87.950000000000017</v>
      </c>
      <c r="DF3" s="3">
        <f t="shared" si="4"/>
        <v>209.19</v>
      </c>
      <c r="DG3" s="86"/>
      <c r="DH3" s="3">
        <f t="shared" ref="DH3:DM3" si="5">SUM(DH4:DH38)</f>
        <v>45.059664831740442</v>
      </c>
      <c r="DI3" s="3">
        <f t="shared" si="5"/>
        <v>-204.20000000000002</v>
      </c>
      <c r="DJ3" s="3">
        <f t="shared" si="5"/>
        <v>-1344</v>
      </c>
      <c r="DK3" s="3">
        <f t="shared" si="5"/>
        <v>276</v>
      </c>
      <c r="DL3" s="3">
        <f t="shared" si="5"/>
        <v>-159.14033516825961</v>
      </c>
      <c r="DM3" s="3">
        <f t="shared" si="5"/>
        <v>-1068</v>
      </c>
      <c r="DP3" s="3">
        <f t="shared" ref="DP3:DS3" si="6">SUM(DP4:DP38)</f>
        <v>-44.748126840171153</v>
      </c>
      <c r="DQ3" s="3">
        <f t="shared" si="6"/>
        <v>-99.48</v>
      </c>
      <c r="DR3" s="3" t="e">
        <f t="shared" ca="1" si="6"/>
        <v>#NUM!</v>
      </c>
      <c r="DS3" s="3">
        <f t="shared" si="6"/>
        <v>-1370.5200000000002</v>
      </c>
      <c r="DT3" s="3"/>
      <c r="DU3" s="3"/>
      <c r="DV3" s="3"/>
      <c r="DW3" s="3"/>
      <c r="DX3" s="3"/>
      <c r="DY3" s="3"/>
      <c r="DZ3" s="3"/>
      <c r="EA3" s="3"/>
      <c r="EB3" s="3"/>
      <c r="EC3" s="3"/>
      <c r="EE3" s="3">
        <f t="shared" ref="EE3:EJ3" si="7">SUM(EE4:EE38)</f>
        <v>18.714599999999997</v>
      </c>
      <c r="EF3" s="3">
        <f t="shared" si="7"/>
        <v>83.879200000000012</v>
      </c>
      <c r="EG3" s="3">
        <f t="shared" si="7"/>
        <v>6.6742999999999988</v>
      </c>
      <c r="EH3" s="3">
        <f t="shared" si="7"/>
        <v>13.622100000000001</v>
      </c>
      <c r="EI3" s="3">
        <f t="shared" si="7"/>
        <v>5.6946000000000003</v>
      </c>
      <c r="EJ3" s="3">
        <f t="shared" si="7"/>
        <v>8.9895999999999976</v>
      </c>
      <c r="EL3" s="3">
        <f t="shared" ref="EL3:EQ3" si="8">SUM(EL4:EL38)</f>
        <v>0</v>
      </c>
      <c r="EM3" s="3">
        <f t="shared" si="8"/>
        <v>0</v>
      </c>
      <c r="EN3" s="3">
        <f t="shared" si="8"/>
        <v>0</v>
      </c>
      <c r="EO3" s="3">
        <f t="shared" si="8"/>
        <v>0</v>
      </c>
      <c r="EP3" s="3">
        <f t="shared" si="8"/>
        <v>0</v>
      </c>
      <c r="EQ3" s="3">
        <f t="shared" si="8"/>
        <v>0</v>
      </c>
      <c r="EU3" s="67" t="s">
        <v>37</v>
      </c>
      <c r="EV3" s="67"/>
      <c r="EW3" s="67" t="s">
        <v>38</v>
      </c>
      <c r="EX3" s="67"/>
      <c r="EY3" s="67" t="s">
        <v>39</v>
      </c>
      <c r="EZ3" s="67"/>
      <c r="FA3" s="67" t="s">
        <v>40</v>
      </c>
      <c r="FB3" s="67"/>
      <c r="FC3" s="67" t="s">
        <v>52</v>
      </c>
      <c r="FD3" s="67" t="s">
        <v>53</v>
      </c>
      <c r="FE3" s="67" t="s">
        <v>54</v>
      </c>
      <c r="FF3" s="67" t="s">
        <v>55</v>
      </c>
    </row>
    <row r="4" spans="1:162" s="63" customFormat="1" ht="13.5" thickBot="1" x14ac:dyDescent="0.25">
      <c r="A4" s="2">
        <f>ROUND(565/$A$39,0)*$A$39+17*$A$39</f>
        <v>582</v>
      </c>
      <c r="B4" s="3">
        <f t="shared" ref="B4:B38" si="9">+IF($A$1="ABS",AS4-AT4,AS4+AT4)</f>
        <v>1653</v>
      </c>
      <c r="C4" s="3">
        <f t="shared" ref="C4:C38" si="10">+IF($A$1="ABS",AU4-AV4,AU4+AV4)</f>
        <v>2035</v>
      </c>
      <c r="D4" s="3">
        <f t="shared" ref="D4:D38" si="11">+IF($A$1="ABS",AW4-AX4,AW4+AX4)</f>
        <v>3921</v>
      </c>
      <c r="E4" s="3">
        <f t="shared" ref="E4:E38" si="12">SUM(B4:D4)</f>
        <v>7609</v>
      </c>
      <c r="F4" s="4">
        <f t="shared" ref="F4:F38" si="13">+$F$3/$A$3*A4</f>
        <v>5857.8491308277062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>
        <v>1316</v>
      </c>
      <c r="AN4" s="1">
        <v>-1</v>
      </c>
      <c r="AO4" s="1">
        <v>582</v>
      </c>
      <c r="AP4" s="1">
        <v>1436</v>
      </c>
      <c r="AQ4" s="1">
        <v>-1</v>
      </c>
      <c r="AR4" s="1"/>
      <c r="AS4" s="6">
        <f>IF(RTD("tos.rtd",,AS$2,"."&amp;$A$2&amp;$AS$1&amp;"C"&amp;$A4)="N/A",0,RTD("tos.rtd",,AS$2,"."&amp;$A$2&amp;$AS$1&amp;"C"&amp;$A4))</f>
        <v>1652</v>
      </c>
      <c r="AT4" s="7">
        <f>-IF(RTD("tos.rtd",,AT$2,"."&amp;$A$2&amp;$AS$1&amp;"P"&amp;$A4)="N/A",0,RTD("tos.rtd",,AT$2,"."&amp;$A$2&amp;$AS$1&amp;"P"&amp;$A4))</f>
        <v>-1</v>
      </c>
      <c r="AU4" s="6">
        <f>IF(RTD("tos.rtd",,AU$2,"."&amp;$A$2&amp;$AU$1&amp;"C"&amp;$A4)="N/A",0,RTD("tos.rtd",,AU$2,"."&amp;$A$2&amp;$AU$1&amp;"C"&amp;$A4))</f>
        <v>2030</v>
      </c>
      <c r="AV4" s="7">
        <f>-IF(RTD("tos.rtd",,AV$2,"."&amp;$A$2&amp;$AU$1&amp;"P"&amp;$A4)="N/A",0,RTD("tos.rtd",,AV$2,"."&amp;$A$2&amp;$AU$1&amp;"P"&amp;$A4))</f>
        <v>-5</v>
      </c>
      <c r="AW4" s="6">
        <f>IF(RTD("tos.rtd",,AW$2,"."&amp;$A$2&amp;$AW$1&amp;"C"&amp;$A4)="N/A",0,RTD("tos.rtd",,AW$2,"."&amp;$A$2&amp;$AW$1&amp;"C"&amp;$A4))</f>
        <v>3920</v>
      </c>
      <c r="AX4" s="7">
        <f>-IF(RTD("tos.rtd",,AX$2,"."&amp;$A$2&amp;$AW$1&amp;"P"&amp;$A4)="N/A",0,RTD("tos.rtd",,AX$2,"."&amp;$A$2&amp;$AW$1&amp;"P"&amp;$A4))</f>
        <v>-1</v>
      </c>
      <c r="AY4" s="1">
        <f>SUM(AS4:AX4)</f>
        <v>7595</v>
      </c>
      <c r="AZ4" s="8">
        <f>+A4</f>
        <v>582</v>
      </c>
      <c r="BA4" s="30">
        <f>IF(RTD("tos.rtd",,BA$2,"."&amp;$A$2&amp;$AS$1&amp;"C"&amp;$A4)="N/A",0,RTD("tos.rtd",,BA$2,"."&amp;$A$2&amp;$AS$1&amp;"C"&amp;$A4))</f>
        <v>1436</v>
      </c>
      <c r="BB4" s="31">
        <f>-IF(RTD("tos.rtd",,BB$2,"."&amp;$A$2&amp;$AS$1&amp;"P"&amp;$A4)="N/A",0,RTD("tos.rtd",,BB$2,"."&amp;$A$2&amp;$AS$1&amp;"P"&amp;$A4))</f>
        <v>-1</v>
      </c>
      <c r="BC4" s="30">
        <f>IF(RTD("tos.rtd",,BC$2,"."&amp;$A$2&amp;$AU$1&amp;"C"&amp;$A4)="N/A",0,RTD("tos.rtd",,BC$2,"."&amp;$A$2&amp;$AU$1&amp;"C"&amp;$A4))</f>
        <v>2391</v>
      </c>
      <c r="BD4" s="31">
        <f>-IF(RTD("tos.rtd",,BD$2,"."&amp;$A$2&amp;$AU$1&amp;"P"&amp;$A4)="N/A",0,RTD("tos.rtd",,BD$2,"."&amp;$A$2&amp;$AU$1&amp;"P"&amp;$A4))</f>
        <v>-4</v>
      </c>
      <c r="BE4" s="30">
        <f>IF(RTD("tos.rtd",,BE$2,"."&amp;$A$2&amp;$AW$1&amp;"C"&amp;$A4)="N/A",0,RTD("tos.rtd",,BE$2,"."&amp;$A$2&amp;$AW$1&amp;"C"&amp;$A4))</f>
        <v>1225</v>
      </c>
      <c r="BF4" s="99">
        <f>-IF(RTD("tos.rtd",,BF$2,"."&amp;$A$2&amp;$AW$1&amp;"P"&amp;$A4)="N/A",0,RTD("tos.rtd",,BF$2,"."&amp;$A$2&amp;$AW$1&amp;"P"&amp;$A4))</f>
        <v>-1</v>
      </c>
      <c r="BG4" s="32">
        <f ca="1">+Hoja2!Y5</f>
        <v>1097</v>
      </c>
      <c r="BH4" s="31">
        <f ca="1">SUM(BA4:BG4)</f>
        <v>6143</v>
      </c>
      <c r="BI4" s="8"/>
      <c r="BJ4" s="3" t="e">
        <f ca="1">IF($BP$1=1,DX4,IF(RTD("tos.rtd",,BJ$2,"."&amp;$A$2&amp;$AS$1&amp;"C"&amp;$A4)="N/A",0,RTD("tos.rtd",,BJ$2,"."&amp;$A$2&amp;$AS$1&amp;"C"&amp;$A4)))</f>
        <v>#NUM!</v>
      </c>
      <c r="BK4" s="3" t="e">
        <f ca="1">IF($BP$1=1,DY4,-IF(RTD("tos.rtd",,BK$2,"."&amp;$A$2&amp;$AS$1&amp;"P"&amp;$A4)="N/A",0,RTD("tos.rtd",,BK$2,"."&amp;$A$2&amp;$AS$1&amp;"P"&amp;$A4)))</f>
        <v>#NUM!</v>
      </c>
      <c r="BL4" s="3">
        <f ca="1">IF($BP$1=1,DZ4,IF(RTD("tos.rtd",,BL$2,"."&amp;$A$2&amp;$AU$1&amp;"C"&amp;$A4)="N/A",0,RTD("tos.rtd",,BL$2,"."&amp;$A$2&amp;$AU$1&amp;"C"&amp;$A4)))</f>
        <v>8.3146557939528416E-3</v>
      </c>
      <c r="BM4" s="3">
        <f ca="1">IF($BP$1=1,EA4,-IF(RTD("tos.rtd",,BM$2,"."&amp;$A$2&amp;$AU$1&amp;"P"&amp;$A4)="N/A",0,RTD("tos.rtd",,BM$2,"."&amp;$A$2&amp;$AU$1&amp;"P"&amp;$A4)))</f>
        <v>-1.2281332653475512E-2</v>
      </c>
      <c r="BN4" s="3">
        <f ca="1">IF($BP$1=1,EB4,IF(RTD("tos.rtd",,BN$2,"."&amp;$A$2&amp;$AW$1&amp;"C"&amp;$A4)="N/A",0,RTD("tos.rtd",,BN$2,"."&amp;$A$2&amp;$AW$1&amp;"C"&amp;$A4)))</f>
        <v>3.3869776374739501E-3</v>
      </c>
      <c r="BO4" s="3">
        <f ca="1">IF($BP$1=1,EC4,-IF(RTD("tos.rtd",,BO$2,"."&amp;$A$2&amp;$AW$1&amp;"P"&amp;$A4)="N/A",0,RTD("tos.rtd",,BO$2,"."&amp;$A$2&amp;$AW$1&amp;"P"&amp;$A4)))</f>
        <v>-1.2949321420223321E-2</v>
      </c>
      <c r="BQ4" s="3" t="e">
        <f ca="1">+$A$3*$A$3*AS4*BJ4-$A$3*$A$3*AT4*BK4</f>
        <v>#NUM!</v>
      </c>
      <c r="BR4" s="3"/>
      <c r="BS4" s="3">
        <f ca="1">+$A$3*$A$3*AU4*BL4-$A$3*$A$3*AV4*BM4</f>
        <v>5355791.9671529001</v>
      </c>
      <c r="BT4" s="3"/>
      <c r="BU4" s="3">
        <f ca="1">+$A$3*$A$3*AW4*BN4-$A$3*$A$3*AX4*BO4</f>
        <v>4224165.1407807292</v>
      </c>
      <c r="BV4" s="3"/>
      <c r="BX4" s="3" t="e">
        <f t="shared" ref="BX4" ca="1" si="14">+$A$3*$A$3*BA4*BJ4-$A$3*$A$3*BB4*BK4</f>
        <v>#NUM!</v>
      </c>
      <c r="BY4" s="3"/>
      <c r="BZ4" s="3">
        <f t="shared" ref="BZ4" ca="1" si="15">+$A$3*$A$3*BC4*BL4-$A$3*$A$3*BD4*BM4</f>
        <v>6315614.8304416295</v>
      </c>
      <c r="CA4" s="3"/>
      <c r="CB4" s="3">
        <f t="shared" ref="CB4" ca="1" si="16">+$A$3*$A$3*BE4*BN4-$A$3*$A$3*BF4*BO4</f>
        <v>1317216.391548177</v>
      </c>
      <c r="CC4" s="3"/>
      <c r="CD4" s="3">
        <f>IF(RTD("tos.rtd",,CD$2,"."&amp;$A$2&amp;$AS$1&amp;"C"&amp;$A4)="N/A",0,RTD("tos.rtd",,CD$2,"."&amp;$A$2&amp;$AS$1&amp;"C"&amp;$A4))</f>
        <v>0</v>
      </c>
      <c r="CE4" s="3">
        <f>-IF(RTD("tos.rtd",,CE$2,"."&amp;$A$2&amp;$AS$1&amp;"P"&amp;$A4)="N/A",0,RTD("tos.rtd",,CE$2,"."&amp;$A$2&amp;$AS$1&amp;"P"&amp;$A4))</f>
        <v>0.77</v>
      </c>
      <c r="CF4" s="3">
        <f>IF(RTD("tos.rtd",,CF$2,"."&amp;$A$2&amp;$AU$1&amp;"C"&amp;$A4)="N/A",0,RTD("tos.rtd",,CF$2,"."&amp;$A$2&amp;$AU$1&amp;"C"&amp;$A4))</f>
        <v>0.02</v>
      </c>
      <c r="CG4" s="3">
        <f>-IF(RTD("tos.rtd",,CG$2,"."&amp;$A$2&amp;$AU$1&amp;"P"&amp;$A4)="N/A",0,RTD("tos.rtd",,CG$2,"."&amp;$A$2&amp;$AU$1&amp;"P"&amp;$A4))</f>
        <v>0.77</v>
      </c>
      <c r="CH4" s="3">
        <f>IF(RTD("tos.rtd",,CH$2,"."&amp;$A$2&amp;$AW$1&amp;"C"&amp;$A4)="N/A",0,RTD("tos.rtd",,CH$2,"."&amp;$A$2&amp;$AW$1&amp;"C"&amp;$A4))</f>
        <v>0.11</v>
      </c>
      <c r="CI4" s="3">
        <f>-IF(RTD("tos.rtd",,CI$2,"."&amp;$A$2&amp;$AW$1&amp;"P"&amp;$A4)="N/A",0,RTD("tos.rtd",,CI$2,"."&amp;$A$2&amp;$AW$1&amp;"P"&amp;$A4))</f>
        <v>0.75</v>
      </c>
      <c r="CK4" s="3">
        <f t="shared" ref="CK4:CK38" si="17">+AS4*CD4*100+AT4*CE4*100</f>
        <v>-77</v>
      </c>
      <c r="CL4" s="3"/>
      <c r="CM4" s="3">
        <f t="shared" ref="CM4:CM38" si="18">+AU4*CF4*100+AV4*CG4*100</f>
        <v>3675</v>
      </c>
      <c r="CN4" s="3"/>
      <c r="CO4" s="3">
        <f t="shared" ref="CO4:CO38" si="19">+AW4*CH4*100+AX4*CI4*100</f>
        <v>43045</v>
      </c>
      <c r="CP4" s="3">
        <f>+CK4+CM4+CO4</f>
        <v>46643</v>
      </c>
      <c r="CQ4" s="3">
        <f>+BA4+BB4</f>
        <v>1435</v>
      </c>
      <c r="CR4" s="3"/>
      <c r="CS4" s="3">
        <f t="shared" ref="CS4:CS38" si="20">+BC4+BD4</f>
        <v>2387</v>
      </c>
      <c r="CT4" s="3"/>
      <c r="CU4" s="3">
        <f t="shared" ref="CU4:CU38" si="21">+BE4+BF4</f>
        <v>1224</v>
      </c>
      <c r="CV4" s="3">
        <f>+CQ4+CS4+CU4</f>
        <v>5046</v>
      </c>
      <c r="CW4" s="3" t="e">
        <f ca="1">+BQ4+BS4+BU4</f>
        <v>#NUM!</v>
      </c>
      <c r="CX4" s="85"/>
      <c r="CY4" s="3" t="e">
        <f ca="1">+BX4+BZ4+CB4</f>
        <v>#NUM!</v>
      </c>
      <c r="CZ4" s="85"/>
      <c r="DA4" s="3">
        <f>IF(RTD("tos.rtd",,DA$2,"."&amp;$A$2&amp;$AS$1&amp;"C"&amp;$A4)="N/A",0,RTD("tos.rtd",,DA$2,"."&amp;$A$2&amp;$AS$1&amp;"C"&amp;$A4))</f>
        <v>0.01</v>
      </c>
      <c r="DB4" s="3">
        <f>IF(RTD("tos.rtd",,DB$2,"."&amp;$A$2&amp;$AS$1&amp;"P"&amp;$A4)="N/A",0,RTD("tos.rtd",,DB$2,"."&amp;$A$2&amp;$AS$1&amp;"P"&amp;$A4))</f>
        <v>21.97</v>
      </c>
      <c r="DC4" s="3">
        <f>IF(RTD("tos.rtd",,DC$2,"."&amp;$A$2&amp;$AS$1&amp;"C"&amp;$A4)="N/A",0,RTD("tos.rtd",,DC$2,"."&amp;$A$2&amp;$AS$1&amp;"C"&amp;$A4))</f>
        <v>0.01</v>
      </c>
      <c r="DD4" s="3">
        <f>IF(RTD("tos.rtd",,DD$2,"."&amp;$A$2&amp;$AS$1&amp;"P"&amp;$A4)="N/A",0,RTD("tos.rtd",,DD$2,"."&amp;$A$2&amp;$AS$1&amp;"P"&amp;$A4))</f>
        <v>21.29</v>
      </c>
      <c r="DE4" s="3">
        <f>IF(RTD("tos.rtd",,DE$2,"."&amp;$A$2&amp;$AS$1&amp;"C"&amp;$A4)="N/A",0,RTD("tos.rtd",,DE$2,"."&amp;$A$2&amp;$AS$1&amp;"C"&amp;$A4))</f>
        <v>0</v>
      </c>
      <c r="DF4" s="3">
        <f>IF(RTD("tos.rtd",,DF$2,"."&amp;$A$2&amp;$AS$1&amp;"P"&amp;$A4)="N/A",0,RTD("tos.rtd",,DF$2,"."&amp;$A$2&amp;$AS$1&amp;"P"&amp;$A4))</f>
        <v>20.010000000000002</v>
      </c>
      <c r="DG4" s="86">
        <f>+$A4-$A$3</f>
        <v>17.669999999999959</v>
      </c>
      <c r="DH4" s="3">
        <f t="shared" ref="DH4:DH38" si="22">((DA4-DE4)/(DC4-DE4))*(BA4-AP4)</f>
        <v>0</v>
      </c>
      <c r="DI4" s="3">
        <f>((DB4-DF4)/(DD4-DF4))*(BB4-AQ4)</f>
        <v>0</v>
      </c>
      <c r="DJ4" s="3">
        <f>IF(DA4&gt;=(DE4+(DC4-DE4)*0.6),(BA4-AP4),IF(DA4&lt;=(DE4+(DC4-DE4)*0.4),-(BA4-AP4),0))</f>
        <v>0</v>
      </c>
      <c r="DK4" s="3">
        <f>IF(DB4&lt;=(DF4+(DD4-DF4)*0.4),-(BB4-AQ4),IF(DB4&gt;=(DF4+(DD4-DF4)*0.6),(BB4-AQ4),0))</f>
        <v>0</v>
      </c>
      <c r="DL4" s="3">
        <f>+DH4+DI4</f>
        <v>0</v>
      </c>
      <c r="DM4" s="3">
        <f>+DJ4+DK4</f>
        <v>0</v>
      </c>
      <c r="DN4" s="63" t="str">
        <f>IF(AND(DA4&gt;=(DE4+(DC4-DE4)*0.6),BA4&gt;AP4),"BUY",IF(AND(DA4&lt;=(DE4+(DC4-DE4)*0.4),BA4&gt;AP4),"SELL","UNKNOWN"))</f>
        <v>UNKNOWN</v>
      </c>
      <c r="DO4" s="63" t="str">
        <f>IF(AND(DB4&gt;=(DF4+(DD4-DF4)*0.6),ABS(BB4)&gt;ABS(AQ4)),"BUY",IF(AND(DB4&lt;=(DF4+(DD4-DF4)*0.4),ABS(BB4)&gt;ABS(AQ4)),"SELL","UNKNOWN"))</f>
        <v>UNKNOWN</v>
      </c>
      <c r="DP4" s="3">
        <f>+DH4*DA4+DI4*DB4</f>
        <v>0</v>
      </c>
      <c r="DQ4" s="3">
        <f>+DA4*DJ4+DB4*DK4</f>
        <v>0</v>
      </c>
      <c r="DR4" s="3" t="e">
        <f ca="1">+BJ4*DJ4+BK4*DK4</f>
        <v>#NUM!</v>
      </c>
      <c r="DS4" s="3">
        <f>+CD4*DJ4+CE4*DK4</f>
        <v>0</v>
      </c>
      <c r="DT4" s="3">
        <f>BA4-VLOOKUP(AZ4,$AO$4:$AQ$38,2,FALSE)</f>
        <v>0</v>
      </c>
      <c r="DU4" s="3">
        <f>BB4-VLOOKUP(AZ4,$AO$4:$AQ$38,3,FALSE)</f>
        <v>0</v>
      </c>
      <c r="DV4" s="3">
        <f>AM4+IF(DN4="BUY",DT4,IF(DN4="SELL",-DT4,0))</f>
        <v>1316</v>
      </c>
      <c r="DW4" s="3">
        <f t="shared" ref="DW4:DW38" si="23">AN4+IF(DO4="BUY",DU4,IF(DO4="SELL",-DU4,0))</f>
        <v>-1</v>
      </c>
      <c r="DX4" s="3" t="e">
        <f t="shared" ref="DX4:DX38" ca="1" si="24">(EXP(-POWER((LN($A$3/$A4)+($EC$1+POWER($EE4,2)/2)*($EM$1/$DY$1))/($EE4*SQRT($EM$1/$DY$1)),2)/2)/SQRT(2*PI())/($A$3*$EE4*SQRT($EM$1/$DY$1)))</f>
        <v>#NUM!</v>
      </c>
      <c r="DY4" s="3" t="e">
        <f t="shared" ref="DY4:DY38" ca="1" si="25">-(EXP(-POWER((LN($A$3/$A4)+($EC$1+POWER($EF4,2)/2)*($EM$1/$DY$1))/($EF4*SQRT($EM$1/$DY$1)),2)/2)/SQRT(2*PI())/($A$3*$EF4*SQRT($EM$1/$DY$1)))</f>
        <v>#NUM!</v>
      </c>
      <c r="DZ4" s="3">
        <f t="shared" ref="DZ4:DZ38" ca="1" si="26">(EXP(-POWER((LN($A$3/$A4)+($EC$1+POWER($EG4,2)/2)*($EO$1/$DY$1))/($EG4*SQRT($EO$1/$DY$1)),2)/2)/SQRT(2*PI())/($A$3*$EG4*SQRT($EO$1/$DY$1)))</f>
        <v>8.3146557939528416E-3</v>
      </c>
      <c r="EA4" s="3">
        <f t="shared" ref="EA4:EA38" ca="1" si="27">-(EXP(-POWER((LN($A$3/$A4)+($EC$1+POWER($EH4,2)/2)*($EO$1/$DY$1))/($EH4*SQRT($EO$1/$DY$1)),2)/2)/SQRT(2*PI())/($A$3*$EH4*SQRT($EO$1/$DY$1)))</f>
        <v>-1.2281332653475512E-2</v>
      </c>
      <c r="EB4" s="3">
        <f t="shared" ref="EB4:EB38" ca="1" si="28">(EXP(-POWER((LN($A$3/$A4)+($EC$1+POWER($EI4,2)/2)*($EO$1/$DY$1))/($EI4*SQRT($EO$1/$DY$1)),2)/2)/SQRT(2*PI())/($A$3*$EI4*SQRT($EO$1/$DY$1)))</f>
        <v>3.3869776374739501E-3</v>
      </c>
      <c r="EC4" s="3">
        <f t="shared" ref="EC4:EC38" ca="1" si="29">-(EXP(-POWER((LN($A$3/$A4)+($EC$1+POWER($EJ4,2)/2)*($EO$1/$DY$1))/($EJ4*SQRT($EO$1/$DY$1)),2)/2)/SQRT(2*PI())/($A$3*$EJ4*SQRT($EO$1/$DY$1)))</f>
        <v>-1.2949321420223321E-2</v>
      </c>
      <c r="ED4" s="63">
        <f>+DV4+DW4</f>
        <v>1315</v>
      </c>
      <c r="EE4" s="59">
        <f>IFERROR(VALUE(IF(OR(EL4="--",EL4="0.00%"),$EE$1,EL4)),$EE$1)</f>
        <v>1.4635</v>
      </c>
      <c r="EF4" s="59">
        <f t="shared" ref="EF4:EF38" si="30">IFERROR(VALUE(IF(OR(EM4="--",EM4="0.00%"),$EE$1,EM4)),$EE$1)</f>
        <v>5.3642000000000003</v>
      </c>
      <c r="EG4" s="59">
        <f t="shared" ref="EG4:EG38" si="31">IFERROR(VALUE(IF(OR(EN4="--",EN4="0.00%"),$EE$1,EN4)),$EE$1)</f>
        <v>0.20730000000000001</v>
      </c>
      <c r="EH4" s="59">
        <f t="shared" ref="EH4:EH38" si="32">IFERROR(VALUE(IF(OR(EO4="--",EO4="0.00%"),$EE$1,EO4)),$EE$1)</f>
        <v>0.58209999999999995</v>
      </c>
      <c r="EI4" s="59">
        <f t="shared" ref="EI4:EI38" si="33">IFERROR(VALUE(IF(OR(EP4="--",EP4="0.00%"),$EE$1,EP4)),$EE$1)</f>
        <v>0.15820000000000001</v>
      </c>
      <c r="EJ4" s="59">
        <f t="shared" ref="EJ4:EJ38" si="34">IFERROR(VALUE(IF(OR(EQ4="--",EQ4="0.00%"),$EE$1,EQ4)),$EE$1)</f>
        <v>0.28270000000000001</v>
      </c>
      <c r="EL4" s="3" t="str">
        <f>RTD("tos.rtd",,EL$2,"."&amp;$A$2&amp;$AS$1&amp;"C"&amp;$A4)</f>
        <v>146.35%</v>
      </c>
      <c r="EM4" s="3" t="str">
        <f>RTD("tos.rtd",,EM$2,"."&amp;$A$2&amp;$AS$1&amp;"P"&amp;$A4)</f>
        <v>536.42%</v>
      </c>
      <c r="EN4" s="3" t="str">
        <f>RTD("tos.rtd",,EN$2,"."&amp;$A$2&amp;$AU$1&amp;"C"&amp;$A4)</f>
        <v>20.73%</v>
      </c>
      <c r="EO4" s="3" t="str">
        <f>RTD("tos.rtd",,EO$2,"."&amp;$A$2&amp;$AU$1&amp;"P"&amp;$A4)</f>
        <v>58.21%</v>
      </c>
      <c r="EP4" s="3" t="str">
        <f>RTD("tos.rtd",,EP$2,"."&amp;$A$2&amp;$AW$1&amp;"C"&amp;$A4)</f>
        <v>15.82%</v>
      </c>
      <c r="EQ4" s="3" t="str">
        <f>RTD("tos.rtd",,EQ$2,"."&amp;$A$2&amp;$AW$1&amp;"P"&amp;$A4)</f>
        <v>28.27%</v>
      </c>
      <c r="ES4" s="63" t="str">
        <f>IFERROR(
    A4 &amp; "," &amp; TEXT(IF(ISNUMBER(DV4+DW4), DV4+DW4, 0), "00.00"),    "Error"
)</f>
        <v>582,1315.00</v>
      </c>
      <c r="ET4" s="63" t="str">
        <f ca="1">IF(ISERROR(
    A4 &amp; "," &amp; TEXT(
        IF($E$1="GEX-VOL", IF(ISNUMBER(BX4+BZ4+CB4), (BX4+BZ4+CB4)/1000, 0),
           IF($E$1="GEX-OI", IF(ISNUMBER(BQ4+BS4+BU4), (BQ4+BS4+BU4)/1000, 0),
               IF($E$1="DEX",IF(ISNUMBER(CK4+CM4+CO4), (CK4+CM4+CO4)/1000, 0),
                  IF($E$1="VOLPRES",IF(ISNUMBER(DJ4+DK4), (DJ4+DK4), 0),
                     IF(ISNUMBER(DV4+DW4), (DV4+DW4), 0)
        )))),
    "00.00")
), "Error",
A4 &amp; "," &amp; TEXT(
        IF($E$1="GEX-VOL", IF(ISNUMBER(BX4+BZ4+CB4), (BX4+BZ4+CB4)/1000, 0),
           IF($E$1="GEX-OI", IF(ISNUMBER(BQ4+BS4+BU4), (BQ4+BS4+BU4)/1000, 0),
               IF($E$1="DEX", IF(ISNUMBER(CK4+CM4+CO4), (CK4+CM4+CO4)/1000, 0),
                  IF($E$1="VOLPRES",IF(ISNUMBER(DJ4+DK4), (DJ4+DK4), 0),
                    IF(ISNUMBER(DV4+DW4), (DV4+DW4), 0)
        )))),
    "00.00")
)</f>
        <v>582,00.00</v>
      </c>
      <c r="EU4" s="101">
        <f>+A3</f>
        <v>564.33000000000004</v>
      </c>
      <c r="EV4" s="102" t="str">
        <f ca="1">IF(ISERROR(TEXT(NOW(),"YYYY-MM-DD HH:MM") &amp; ":00," &amp;
    IF(ISNUMBER(CW39), CW39, "") &amp; "," &amp;
    IF(ISNUMBER(CW40), CW40, "") &amp; "," &amp;
    IF(ISNUMBER(CY39), CY39, "") &amp; "," &amp;
    IF(ISNUMBER(CY40), CY40, "") &amp; "," &amp;
    IF(ISNUMBER(CP39), CP39, "") &amp; "," &amp;
    IF(ISNUMBER(CP40), CP40, "")&amp; "," &amp;
    IF(ISNUMBER(CC1), CC1, "")), "",
    TEXT(NOW(),"YYYY-MM-DD HH:MM") &amp; ":00," &amp;
    IF(ISNUMBER(CW39), CW39, "") &amp; "," &amp;
    IF(ISNUMBER(CW40), CW40, "") &amp; "," &amp;
    IF(ISNUMBER(CY39), CY39, "") &amp; "," &amp;
    IF(ISNUMBER(CY40), CY40, "") &amp; "," &amp;
    IF(ISNUMBER(CP39), CP39, "") &amp; "," &amp;
    IF(ISNUMBER(CP40), CP40, "")&amp; "," &amp;
    IF(ISNUMBER(CC1), CC1, "")
)&amp;","&amp;DN39&amp;","&amp;DN40</f>
        <v>2025-05-07 21:51:00,,,,,550,,,,,,,562,555,557,562</v>
      </c>
      <c r="EW4" s="67">
        <f>+A44</f>
        <v>486.85</v>
      </c>
      <c r="EX4" s="102" t="str">
        <f ca="1">IF(ISERROR(TEXT(NOW(),"YYYY-MM-DD HH:MM") &amp; ":00," &amp;
    IF(ISNUMBER(CW80), CW80, "") &amp; "," &amp;
    IF(ISNUMBER(CW81), CW81, "") &amp; "," &amp;
    IF(ISNUMBER(CY80), CY80, "") &amp; "," &amp;
    IF(ISNUMBER(CY81), CY81, "") &amp; "," &amp;
    IF(ISNUMBER(CP80), CP80, "") &amp; "," &amp;
    IF(ISNUMBER(CP81), CP81, "") &amp; "," &amp;
    IF(ISNUMBER(CC42), CC42, "")), "",
    TEXT(NOW(),"YYYY-MM-DD HH:MM") &amp; ":00," &amp;
    IF(ISNUMBER(CW80), CW80, "") &amp; "," &amp;
    IF(ISNUMBER(CW81), CW81, "") &amp; "," &amp;
    IF(ISNUMBER(CY80), CY80, "") &amp; "," &amp;
    IF(ISNUMBER(CY81), CY81, "") &amp; "," &amp;
    IF(ISNUMBER(CP80), CP80, "") &amp; "," &amp;
    IF(ISNUMBER(CP81), CP81, "") &amp; "," &amp;
    IF(ISNUMBER(CC42), CC42, "")
)&amp;","&amp;DN80&amp;","&amp;DN81</f>
        <v>2025-05-07 21:51:00,,,,,470,,,,,,,485,475,482,475</v>
      </c>
      <c r="EY4" s="67">
        <f>+A84</f>
        <v>5631.28</v>
      </c>
      <c r="EZ4" s="102" t="str">
        <f ca="1">IF(ISERROR(TEXT(NOW(),"YYYY-MM-DD HH:MM") &amp; ":00," &amp;
    IF(ISNUMBER(CW131), CW131, "") &amp; "," &amp;
    IF(ISNUMBER(CW132), CW132, "") &amp; "," &amp;
    IF(ISNUMBER(CY131), CY131, "") &amp; "," &amp;
    IF(ISNUMBER(CY132), CY132, "") &amp; "," &amp;
    IF(ISNUMBER(CP131), CP131, "") &amp; "," &amp;
    IF(ISNUMBER(CP132), CP132, "")&amp; "," &amp;
    IF(ISNUMBER(CC82), CC82, "")), "",
    TEXT(NOW(),"YYYY-MM-DD HH:MM") &amp; ":00," &amp;
    IF(ISNUMBER(CW131), CW131, "") &amp; "," &amp;
    IF(ISNUMBER(CW132), CW132, "") &amp; "," &amp;
    IF(ISNUMBER(CY131), CY131, "") &amp; "," &amp;
    IF(ISNUMBER(CY132), CY132, "") &amp; "," &amp;
    IF(ISNUMBER(CP131), CP131, "") &amp; "," &amp;
    IF(ISNUMBER(CP132), CP132, "")&amp; "," &amp;
    IF(ISNUMBER(CC82), CC82, "")
)&amp;","&amp;DN131&amp;","&amp;DN132</f>
        <v>2025-05-07 21:51:00,,,,,,5700,,,,,5630,5700,5480,5630,5620</v>
      </c>
      <c r="FA4" s="67">
        <f>+A136</f>
        <v>19867.973000000002</v>
      </c>
      <c r="FB4" s="67" t="str">
        <f ca="1">IF(ISERROR(TEXT(NOW(),"YYYY-MM-DD HH:MM") &amp; ":00," &amp;
    IF(ISNUMBER(CW190), CW190, "") &amp; "," &amp;
    IF(ISNUMBER(CW191), CW191, "") &amp; "," &amp;
    IF(ISNUMBER(CY190), CY190, "") &amp; "," &amp;
    IF(ISNUMBER(CY191), CY191, "") &amp; "," &amp;
    IF(ISNUMBER(CP190), CP190, "") &amp; "," &amp;
    IF(ISNUMBER(CP191), CP191, "") &amp; "," &amp;
    IF(ISNUMBER(CC134), CC134, "")), "",
    TEXT(NOW(),"YYYY-MM-DD HH:MM") &amp; ":00," &amp;
    IF(ISNUMBER(CW190), CW190, "") &amp; "," &amp;
    IF(ISNUMBER(CW191), CW191, "") &amp; "," &amp;
    IF(ISNUMBER(CY190), CY190, "") &amp; "," &amp;
    IF(ISNUMBER(CY191), CY191, "") &amp; "," &amp;
    IF(ISNUMBER(CP190), CP190, "") &amp; "," &amp;
    IF(ISNUMBER(CP191), CP191, "") &amp; "," &amp;
    IF(ISNUMBER(CC134), CC134, "")
)&amp;","&amp;DN190&amp;","&amp;DN191</f>
        <v>2025-05-07 21:51:00,,,,,19475,,,,,,,20000,19350,19400,19300</v>
      </c>
      <c r="FC4" s="67" t="str">
        <f ca="1">IF(ISERROR(TEXT(NOW(),"YYYY-MM-DD HH:MM") &amp; ":00," &amp;
    IF(ISNUMBER(CW3), CW3, "") &amp; "," &amp;
    IF(ISNUMBER(CY3), CY3, "") &amp; "," &amp;
    IF(ISNUMBER(DL3), DL3, "") &amp; "," &amp;
    IF(ISNUMBER(DM3), DM3, "") &amp; "," &amp;
    IF(ISNUMBER(DP3), DP3, "") &amp; "," &amp;
    IF(ISNUMBER(DQ3), DQ3, "")&amp; "," &amp;
    IF(ISNUMBER(DR3), DR3, "")&amp; "," &amp;
    IF(ISNUMBER(DS3), DS3, "")), "",
    TEXT(NOW(),"YYYY-MM-DD HH:MM") &amp; ":00," &amp;
   IF(ISNUMBER(CW3), CW3, "") &amp; "," &amp;
    IF(ISNUMBER(CY3), CY3, "") &amp; "," &amp;
    IF(ISNUMBER(DL3), DL3, "") &amp; "," &amp;
    IF(ISNUMBER(DM3), DM3, "") &amp; "," &amp;
    IF(ISNUMBER(DP3), DP3, "") &amp; "," &amp;
    IF(ISNUMBER(DQ3), DQ3, "")&amp; "," &amp;
    IF(ISNUMBER(DR3), DR3, "")&amp; "," &amp;
    IF(ISNUMBER(DS3), DS3, "")
)</f>
        <v>2025-05-07 21:51:00,,,-159.14033516826,-1068,-44.7481268401712,-99.48,,-1370.52</v>
      </c>
      <c r="FD4" s="67" t="str">
        <f ca="1">IF(ISERROR(TEXT(NOW(),"YYYY-MM-DD HH:MM") &amp; ":00," &amp;
    IF(ISNUMBER(CW44), CW44, "") &amp; "," &amp;
    IF(ISNUMBER(CY44), CY44, "") &amp; "," &amp;
    IF(ISNUMBER(DL44), DL44, "") &amp; "," &amp;
    IF(ISNUMBER(DM44), DM44, "") &amp; "," &amp;
    IF(ISNUMBER(DP44), DP44, "") &amp; "," &amp;
    IF(ISNUMBER(DQ44), DQ44, "")&amp; "," &amp;
    IF(ISNUMBER(DR44), DR44, "")&amp; "," &amp;
    IF(ISNUMBER(DS44), DS44, "")), "",
    TEXT(NOW(),"YYYY-MM-DD HH:MM") &amp; ":00," &amp;
   IF(ISNUMBER(CW44), CW44, "") &amp; "," &amp;
    IF(ISNUMBER(CY44), CY44, "") &amp; "," &amp;
    IF(ISNUMBER(DL44), DL44, "") &amp; "," &amp;
    IF(ISNUMBER(DM44), DM44, "") &amp; "," &amp;
    IF(ISNUMBER(DP44), DP44, "") &amp; "," &amp;
    IF(ISNUMBER(DQ44), DQ44, "")&amp; "," &amp;
    IF(ISNUMBER(DR44), DR44, "")&amp; "," &amp;
    IF(ISNUMBER(DS44), DS44, "")
)</f>
        <v>2025-05-07 21:51:00,,,-189.100584291165,-1110,8.01249982982425,-197.65,,-1051.87</v>
      </c>
      <c r="FE4" s="67" t="str">
        <f ca="1">IF(ISERROR(TEXT(NOW(),"YYYY-MM-DD HH:MM") &amp; ":00," &amp;
    IF(ISNUMBER(CW84), CW84, "") &amp; "," &amp;
    IF(ISNUMBER(CY84), CY84, "") &amp; "," &amp;
    IF(ISNUMBER(DL84), DL84, "") &amp; "," &amp;
    IF(ISNUMBER(DM84), DM84, "") &amp; "," &amp;
    IF(ISNUMBER(DP84), DP84, "") &amp; "," &amp;
    IF(ISNUMBER(DQ84), DQ84, "")&amp; "," &amp;
    IF(ISNUMBER(DR84), DR84, "")&amp; "," &amp;
    IF(ISNUMBER(DS84), DS84, "")), "",
    TEXT(NOW(),"YYYY-MM-DD HH:MM") &amp; ":00," &amp;
   IF(ISNUMBER(CW84), CW84, "") &amp; "," &amp;
    IF(ISNUMBER(CY84), CY84, "") &amp; "," &amp;
    IF(ISNUMBER(DL84), DL84, "") &amp; "," &amp;
    IF(ISNUMBER(DM84), DM84, "") &amp; "," &amp;
    IF(ISNUMBER(DP84), DP84, "") &amp; "," &amp;
    IF(ISNUMBER(DQ84), DQ84, "")&amp; "," &amp;
    IF(ISNUMBER(DR84), DR84, "")&amp; "," &amp;
    IF(ISNUMBER(DS84), DS84, "")
)</f>
        <v>2025-05-07 21:51:00,,,-85594.321073233,72624,328213.319462066,-976025.4,,-87193.32</v>
      </c>
      <c r="FF4" s="67" t="str">
        <f ca="1">IF(ISERROR(TEXT(NOW(),"YYYY-MM-DD HH:MM") &amp; ":00," &amp;
    IF(ISNUMBER(CW136), CW136, "") &amp; "," &amp;
    IF(ISNUMBER(CY136), CY136, "") &amp; "," &amp;
    IF(ISNUMBER(DL136), DL136, "") &amp; "," &amp;
    IF(ISNUMBER(DM136), DM136, "") &amp; "," &amp;
    IF(ISNUMBER(DP136), DP136, "") &amp; "," &amp;
    IF(ISNUMBER(DQ136), DQ136, "")&amp; "," &amp;
    IF(ISNUMBER(DR136), DR136, "")&amp; "," &amp;
    IF(ISNUMBER(DS136), DS136, "")), "",
    TEXT(NOW(),"YYYY-MM-DD HH:MM") &amp; ":00," &amp;
   IF(ISNUMBER(CW136), CW136, "") &amp; "," &amp;
    IF(ISNUMBER(CY136), CY136, "") &amp; "," &amp;
    IF(ISNUMBER(DL136), DL136, "") &amp; "," &amp;
    IF(ISNUMBER(DM136), DM136, "") &amp; "," &amp;
    IF(ISNUMBER(DP136), DP136, "") &amp; "," &amp;
    IF(ISNUMBER(DQ136), DQ136, "")&amp; "," &amp;
    IF(ISNUMBER(DR136), DR136, "")&amp; "," &amp;
    IF(ISNUMBER(DS136), DS136, "")
)</f>
        <v>2025-05-07 21:51:00,,,0,0,0,0,,0</v>
      </c>
    </row>
    <row r="5" spans="1:162" s="63" customFormat="1" ht="13.5" thickBot="1" x14ac:dyDescent="0.25">
      <c r="A5" s="2">
        <f>+A4-$A$39</f>
        <v>581</v>
      </c>
      <c r="B5" s="3">
        <f t="shared" si="9"/>
        <v>2000</v>
      </c>
      <c r="C5" s="3">
        <f t="shared" si="10"/>
        <v>2567</v>
      </c>
      <c r="D5" s="3">
        <f t="shared" si="11"/>
        <v>4740</v>
      </c>
      <c r="E5" s="3">
        <f>SUM(B5:D5)</f>
        <v>9307</v>
      </c>
      <c r="F5" s="4">
        <f>+$F$3/$A$3*A5</f>
        <v>5847.7840979568682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>
        <v>619</v>
      </c>
      <c r="AN5" s="1">
        <v>8</v>
      </c>
      <c r="AO5" s="1">
        <v>581</v>
      </c>
      <c r="AP5" s="1">
        <v>1737</v>
      </c>
      <c r="AQ5" s="1">
        <v>-44</v>
      </c>
      <c r="AR5" s="1"/>
      <c r="AS5" s="6">
        <f>IF(RTD("tos.rtd",,AS$2,"."&amp;$A$2&amp;$AS$1&amp;"C"&amp;$A5)="N/A",0,RTD("tos.rtd",,AS$2,"."&amp;$A$2&amp;$AS$1&amp;"C"&amp;$A5))</f>
        <v>2000</v>
      </c>
      <c r="AT5" s="7">
        <f>-IF(RTD("tos.rtd",,AT$2,"."&amp;$A$2&amp;$AS$1&amp;"P"&amp;$A5)="N/A",0,RTD("tos.rtd",,AT$2,"."&amp;$A$2&amp;$AS$1&amp;"P"&amp;$A5))</f>
        <v>0</v>
      </c>
      <c r="AU5" s="6">
        <f>IF(RTD("tos.rtd",,AU$2,"."&amp;$A$2&amp;$AU$1&amp;"C"&amp;$A5)="N/A",0,RTD("tos.rtd",,AU$2,"."&amp;$A$2&amp;$AU$1&amp;"C"&amp;$A5))</f>
        <v>2550</v>
      </c>
      <c r="AV5" s="7">
        <f>-IF(RTD("tos.rtd",,AV$2,"."&amp;$A$2&amp;$AU$1&amp;"P"&amp;$A5)="N/A",0,RTD("tos.rtd",,AV$2,"."&amp;$A$2&amp;$AU$1&amp;"P"&amp;$A5))</f>
        <v>-17</v>
      </c>
      <c r="AW5" s="6">
        <f>IF(RTD("tos.rtd",,AW$2,"."&amp;$A$2&amp;$AW$1&amp;"C"&amp;$A5)="N/A",0,RTD("tos.rtd",,AW$2,"."&amp;$A$2&amp;$AW$1&amp;"C"&amp;$A5))</f>
        <v>4712</v>
      </c>
      <c r="AX5" s="7">
        <f>-IF(RTD("tos.rtd",,AX$2,"."&amp;$A$2&amp;$AW$1&amp;"P"&amp;$A5)="N/A",0,RTD("tos.rtd",,AX$2,"."&amp;$A$2&amp;$AW$1&amp;"P"&amp;$A5))</f>
        <v>-28</v>
      </c>
      <c r="AY5" s="1">
        <f>SUM(AS5:AX5)</f>
        <v>9217</v>
      </c>
      <c r="AZ5" s="8">
        <f t="shared" ref="AZ5:AZ38" si="35">+A5</f>
        <v>581</v>
      </c>
      <c r="BA5" s="6">
        <f>IF(RTD("tos.rtd",,BA$2,"."&amp;$A$2&amp;$AS$1&amp;"C"&amp;$A5)="N/A",0,RTD("tos.rtd",,BA$2,"."&amp;$A$2&amp;$AS$1&amp;"C"&amp;$A5))</f>
        <v>1737</v>
      </c>
      <c r="BB5" s="7">
        <f>-IF(RTD("tos.rtd",,BB$2,"."&amp;$A$2&amp;$AS$1&amp;"P"&amp;$A5)="N/A",0,RTD("tos.rtd",,BB$2,"."&amp;$A$2&amp;$AS$1&amp;"P"&amp;$A5))</f>
        <v>-44</v>
      </c>
      <c r="BC5" s="6">
        <f>IF(RTD("tos.rtd",,BC$2,"."&amp;$A$2&amp;$AU$1&amp;"C"&amp;$A5)="N/A",0,RTD("tos.rtd",,BC$2,"."&amp;$A$2&amp;$AU$1&amp;"C"&amp;$A5))</f>
        <v>1213</v>
      </c>
      <c r="BD5" s="7">
        <f>-IF(RTD("tos.rtd",,BD$2,"."&amp;$A$2&amp;$AU$1&amp;"P"&amp;$A5)="N/A",0,RTD("tos.rtd",,BD$2,"."&amp;$A$2&amp;$AU$1&amp;"P"&amp;$A5))</f>
        <v>-8</v>
      </c>
      <c r="BE5" s="6">
        <f>IF(RTD("tos.rtd",,BE$2,"."&amp;$A$2&amp;$AW$1&amp;"C"&amp;$A5)="N/A",0,RTD("tos.rtd",,BE$2,"."&amp;$A$2&amp;$AW$1&amp;"C"&amp;$A5))</f>
        <v>760</v>
      </c>
      <c r="BF5" s="83">
        <f>-IF(RTD("tos.rtd",,BF$2,"."&amp;$A$2&amp;$AW$1&amp;"P"&amp;$A5)="N/A",0,RTD("tos.rtd",,BF$2,"."&amp;$A$2&amp;$AW$1&amp;"P"&amp;$A5))</f>
        <v>-24</v>
      </c>
      <c r="BG5" s="32">
        <f ca="1">+Hoja2!Y6</f>
        <v>1227</v>
      </c>
      <c r="BH5" s="7">
        <f t="shared" ref="BH5:BH38" ca="1" si="36">SUM(BA5:BG5)</f>
        <v>4861</v>
      </c>
      <c r="BI5" s="8" t="str">
        <f ca="1">IF(AND(BH5&lt;0,BH4&gt;0), "Cruce -", IF(AND(BH5&gt;0,BH4&lt;0),"Cruce +", ""))</f>
        <v/>
      </c>
      <c r="BJ5" s="3" t="e">
        <f ca="1">IF($BP$1=1,DX5,IF(RTD("tos.rtd",,BJ$2,"."&amp;$A$2&amp;$AS$1&amp;"C"&amp;$A5)="N/A",0,RTD("tos.rtd",,BJ$2,"."&amp;$A$2&amp;$AS$1&amp;"C"&amp;$A5)))</f>
        <v>#NUM!</v>
      </c>
      <c r="BK5" s="3" t="e">
        <f ca="1">IF($BP$1=1,DY5,-IF(RTD("tos.rtd",,BK$2,"."&amp;$A$2&amp;$AS$1&amp;"P"&amp;$A5)="N/A",0,RTD("tos.rtd",,BK$2,"."&amp;$A$2&amp;$AS$1&amp;"P"&amp;$A5)))</f>
        <v>#NUM!</v>
      </c>
      <c r="BL5" s="3">
        <f ca="1">IF($BP$1=1,DZ5,IF(RTD("tos.rtd",,BL$2,"."&amp;$A$2&amp;$AU$1&amp;"C"&amp;$A5)="N/A",0,RTD("tos.rtd",,BL$2,"."&amp;$A$2&amp;$AU$1&amp;"C"&amp;$A5)))</f>
        <v>8.9714692309619173E-3</v>
      </c>
      <c r="BM5" s="3">
        <f ca="1">IF($BP$1=1,EA5,-IF(RTD("tos.rtd",,BM$2,"."&amp;$A$2&amp;$AU$1&amp;"P"&amp;$A5)="N/A",0,RTD("tos.rtd",,BM$2,"."&amp;$A$2&amp;$AU$1&amp;"P"&amp;$A5)))</f>
        <v>-1.2622434398510038E-2</v>
      </c>
      <c r="BN5" s="3">
        <f ca="1">IF($BP$1=1,EB5,IF(RTD("tos.rtd",,BN$2,"."&amp;$A$2&amp;$AW$1&amp;"C"&amp;$A5)="N/A",0,RTD("tos.rtd",,BN$2,"."&amp;$A$2&amp;$AW$1&amp;"C"&amp;$A5)))</f>
        <v>4.6307320554362149E-3</v>
      </c>
      <c r="BO5" s="3">
        <f ca="1">IF($BP$1=1,EC5,-IF(RTD("tos.rtd",,BO$2,"."&amp;$A$2&amp;$AW$1&amp;"P"&amp;$A5)="N/A",0,RTD("tos.rtd",,BO$2,"."&amp;$A$2&amp;$AW$1&amp;"P"&amp;$A5)))</f>
        <v>-1.4094163046767118E-2</v>
      </c>
      <c r="BQ5" s="3" t="e">
        <f t="shared" ref="BQ5:BQ38" ca="1" si="37">+$A$3*$A$3*AS5*BJ5-$A$3*$A$3*AT5*BK5</f>
        <v>#NUM!</v>
      </c>
      <c r="BR5" s="3" t="e">
        <f ca="1">IF(AND(BQ5&lt;0,BQ4&gt;0), "Cruce -", IF(AND(BQ5&gt;0,BQ4&lt;0),"Cruce +", ""))</f>
        <v>#NUM!</v>
      </c>
      <c r="BS5" s="3">
        <f t="shared" ref="BS5:BS38" ca="1" si="38">+$A$3*$A$3*AU5*BL5-$A$3*$A$3*AV5*BM5</f>
        <v>7217341.5533247022</v>
      </c>
      <c r="BT5" s="3" t="str">
        <f ca="1">IF(AND(BS5&lt;0,BS4&gt;0), "Cruce -", IF(AND(BS5&gt;0,BS4&lt;0),"Cruce +", ""))</f>
        <v/>
      </c>
      <c r="BU5" s="3">
        <f t="shared" ref="BU5:BU38" ca="1" si="39">+$A$3*$A$3*AW5*BN5-$A$3*$A$3*AX5*BO5</f>
        <v>6823303.1256304914</v>
      </c>
      <c r="BV5" s="3" t="str">
        <f ca="1">IF(AND(BU5&lt;0,BU4&gt;0), "Cruce -", IF(AND(BU5&gt;0,BU4&lt;0),"Cruce +", ""))</f>
        <v/>
      </c>
      <c r="BX5" s="3" t="e">
        <f t="shared" ref="BX5:BX38" ca="1" si="40">+$A$3*$A$3*BA5*BJ5-$A$3*$A$3*BB5*BK5</f>
        <v>#NUM!</v>
      </c>
      <c r="BY5" s="3" t="e">
        <f ca="1">IF(AND(BX5&lt;0,BX4&gt;0), "Cruce -", IF(AND(BX5&gt;0,BX4&lt;0),"Cruce +", ""))</f>
        <v>#NUM!</v>
      </c>
      <c r="BZ5" s="3">
        <f t="shared" ref="BZ5:BZ38" ca="1" si="41">+$A$3*$A$3*BC5*BL5-$A$3*$A$3*BD5*BM5</f>
        <v>3433538.7020054678</v>
      </c>
      <c r="CA5" s="3" t="str">
        <f ca="1">IF(AND(BZ5&lt;0,BZ4&gt;0), "Cruce -", IF(AND(BZ5&gt;0,BZ4&lt;0),"Cruce +", ""))</f>
        <v/>
      </c>
      <c r="CB5" s="3">
        <f t="shared" ref="CB5:CB38" ca="1" si="42">+$A$3*$A$3*BE5*BN5-$A$3*$A$3*BF5*BO5</f>
        <v>1013078.5338075854</v>
      </c>
      <c r="CC5" s="3" t="str">
        <f ca="1">IF(AND(CB5&lt;0,CB4&gt;0), "Cruce -", IF(AND(CB5&gt;0,CB4&lt;0),"Cruce +", ""))</f>
        <v/>
      </c>
      <c r="CD5" s="3">
        <f>IF(RTD("tos.rtd",,CD$2,"."&amp;$A$2&amp;$AS$1&amp;"C"&amp;$A5)="N/A",0,RTD("tos.rtd",,CD$2,"."&amp;$A$2&amp;$AS$1&amp;"C"&amp;$A5))</f>
        <v>0</v>
      </c>
      <c r="CE5" s="3">
        <f>-IF(RTD("tos.rtd",,CE$2,"."&amp;$A$2&amp;$AS$1&amp;"P"&amp;$A5)="N/A",0,RTD("tos.rtd",,CE$2,"."&amp;$A$2&amp;$AS$1&amp;"P"&amp;$A5))</f>
        <v>0.76</v>
      </c>
      <c r="CF5" s="3">
        <f>IF(RTD("tos.rtd",,CF$2,"."&amp;$A$2&amp;$AU$1&amp;"C"&amp;$A5)="N/A",0,RTD("tos.rtd",,CF$2,"."&amp;$A$2&amp;$AU$1&amp;"C"&amp;$A5))</f>
        <v>0.02</v>
      </c>
      <c r="CG5" s="3">
        <f>-IF(RTD("tos.rtd",,CG$2,"."&amp;$A$2&amp;$AU$1&amp;"P"&amp;$A5)="N/A",0,RTD("tos.rtd",,CG$2,"."&amp;$A$2&amp;$AU$1&amp;"P"&amp;$A5))</f>
        <v>0.76</v>
      </c>
      <c r="CH5" s="3">
        <f>IF(RTD("tos.rtd",,CH$2,"."&amp;$A$2&amp;$AW$1&amp;"C"&amp;$A5)="N/A",0,RTD("tos.rtd",,CH$2,"."&amp;$A$2&amp;$AW$1&amp;"C"&amp;$A5))</f>
        <v>0.13</v>
      </c>
      <c r="CI5" s="3">
        <f>-IF(RTD("tos.rtd",,CI$2,"."&amp;$A$2&amp;$AW$1&amp;"P"&amp;$A5)="N/A",0,RTD("tos.rtd",,CI$2,"."&amp;$A$2&amp;$AW$1&amp;"P"&amp;$A5))</f>
        <v>0.74</v>
      </c>
      <c r="CK5" s="3">
        <f t="shared" si="17"/>
        <v>0</v>
      </c>
      <c r="CL5" s="3"/>
      <c r="CM5" s="3">
        <f t="shared" si="18"/>
        <v>3808</v>
      </c>
      <c r="CN5" s="3"/>
      <c r="CO5" s="3">
        <f t="shared" si="19"/>
        <v>59184.000000000007</v>
      </c>
      <c r="CP5" s="3">
        <f t="shared" ref="CP5:CP38" si="43">+CK5+CM5+CO5</f>
        <v>62992.000000000007</v>
      </c>
      <c r="CQ5" s="3">
        <f t="shared" ref="CQ5:CQ38" si="44">+BA5+BB5</f>
        <v>1693</v>
      </c>
      <c r="CR5" s="3"/>
      <c r="CS5" s="3">
        <f t="shared" si="20"/>
        <v>1205</v>
      </c>
      <c r="CT5" s="3"/>
      <c r="CU5" s="3">
        <f t="shared" si="21"/>
        <v>736</v>
      </c>
      <c r="CV5" s="3">
        <f t="shared" ref="CV5:CV38" si="45">+CQ5+CS5+CU5</f>
        <v>3634</v>
      </c>
      <c r="CW5" s="3" t="e">
        <f t="shared" ref="CW5:CW38" ca="1" si="46">+BQ5+BS5+BU5</f>
        <v>#NUM!</v>
      </c>
      <c r="CX5" s="85" t="e">
        <f ca="1">IF(AND(CW5&lt;0,CW4&gt;0), "Cruce -", IF(AND(CW5&gt;0,CW4&lt;0),"Cruce +", ""))</f>
        <v>#NUM!</v>
      </c>
      <c r="CY5" s="3" t="e">
        <f t="shared" ref="CY5:CY38" ca="1" si="47">+BX5+BZ5+CB5</f>
        <v>#NUM!</v>
      </c>
      <c r="CZ5" s="85" t="e">
        <f ca="1">IF(AND(CY5&lt;0,CY4&gt;0), "Cruce -", IF(AND(CY5&gt;0,CY4&lt;0),"Cruce +", ""))</f>
        <v>#NUM!</v>
      </c>
      <c r="DA5" s="3">
        <f>IF(RTD("tos.rtd",,DA$2,"."&amp;$A$2&amp;$AS$1&amp;"C"&amp;$A5)="N/A",0,RTD("tos.rtd",,DA$2,"."&amp;$A$2&amp;$AS$1&amp;"C"&amp;$A5))</f>
        <v>0.01</v>
      </c>
      <c r="DB5" s="3">
        <f>IF(RTD("tos.rtd",,DB$2,"."&amp;$A$2&amp;$AS$1&amp;"P"&amp;$A5)="N/A",0,RTD("tos.rtd",,DB$2,"."&amp;$A$2&amp;$AS$1&amp;"P"&amp;$A5))</f>
        <v>20.62</v>
      </c>
      <c r="DC5" s="3">
        <f>IF(RTD("tos.rtd",,DC$2,"."&amp;$A$2&amp;$AS$1&amp;"C"&amp;$A5)="N/A",0,RTD("tos.rtd",,DC$2,"."&amp;$A$2&amp;$AS$1&amp;"C"&amp;$A5))</f>
        <v>0.01</v>
      </c>
      <c r="DD5" s="3">
        <f>IF(RTD("tos.rtd",,DD$2,"."&amp;$A$2&amp;$AS$1&amp;"P"&amp;$A5)="N/A",0,RTD("tos.rtd",,DD$2,"."&amp;$A$2&amp;$AS$1&amp;"P"&amp;$A5))</f>
        <v>20.29</v>
      </c>
      <c r="DE5" s="3">
        <f>IF(RTD("tos.rtd",,DE$2,"."&amp;$A$2&amp;$AS$1&amp;"C"&amp;$A5)="N/A",0,RTD("tos.rtd",,DE$2,"."&amp;$A$2&amp;$AS$1&amp;"C"&amp;$A5))</f>
        <v>0</v>
      </c>
      <c r="DF5" s="3">
        <f>IF(RTD("tos.rtd",,DF$2,"."&amp;$A$2&amp;$AS$1&amp;"P"&amp;$A5)="N/A",0,RTD("tos.rtd",,DF$2,"."&amp;$A$2&amp;$AS$1&amp;"P"&amp;$A5))</f>
        <v>18.96</v>
      </c>
      <c r="DG5" s="86">
        <f t="shared" ref="DG5:DG38" si="48">+$A5-$A$3</f>
        <v>16.669999999999959</v>
      </c>
      <c r="DH5" s="3">
        <f t="shared" si="22"/>
        <v>0</v>
      </c>
      <c r="DI5" s="3">
        <f t="shared" ref="DI5:DI38" si="49">((DB5-DF5)/(DD5-DF5))*(BB5-AQ5)</f>
        <v>0</v>
      </c>
      <c r="DJ5" s="3">
        <f t="shared" ref="DJ5:DJ38" si="50">IF(DA5&gt;=(DE5+(DC5-DE5)*0.6),(BA5-AP5),IF(DA5&lt;=(DE5+(DC5-DE5)*0.4),-(BA5-AP5),0))</f>
        <v>0</v>
      </c>
      <c r="DK5" s="3">
        <f t="shared" ref="DK5:DK38" si="51">IF(DB5&lt;=(DF5+(DD5-DF5)*0.4),-(BB5-AQ5),IF(DB5&gt;=(DF5+(DD5-DF5)*0.6),(BB5-AQ5),0))</f>
        <v>0</v>
      </c>
      <c r="DL5" s="3">
        <f t="shared" ref="DL5:DL38" si="52">+DH5+DI5</f>
        <v>0</v>
      </c>
      <c r="DM5" s="3">
        <f t="shared" ref="DM5:DM38" si="53">+DJ5+DK5</f>
        <v>0</v>
      </c>
      <c r="DN5" s="63" t="str">
        <f t="shared" ref="DN5:DN38" si="54">IF(AND(DA5&gt;=(DE5+(DC5-DE5)*0.6),BA5&gt;AP5),"BUY",IF(AND(DA5&lt;=(DE5+(DC5-DE5)*0.4),BA5&gt;AP5),"SELL","UNKNOWN"))</f>
        <v>UNKNOWN</v>
      </c>
      <c r="DO5" s="63" t="str">
        <f t="shared" ref="DO5:DO38" si="55">IF(AND(DB5&gt;=(DF5+(DD5-DF5)*0.6),ABS(BB5)&gt;ABS(AQ5)),"BUY",IF(AND(DB5&lt;=(DF5+(DD5-DF5)*0.4),ABS(BB5)&gt;ABS(AQ5)),"SELL","UNKNOWN"))</f>
        <v>UNKNOWN</v>
      </c>
      <c r="DP5" s="3">
        <f t="shared" ref="DP5:DP38" si="56">+DH5*DA5+DI5*DB5</f>
        <v>0</v>
      </c>
      <c r="DQ5" s="3">
        <f t="shared" ref="DQ5:DQ38" si="57">+DA5*DJ5+DB5*DK5</f>
        <v>0</v>
      </c>
      <c r="DR5" s="3" t="e">
        <f t="shared" ref="DR5:DR38" ca="1" si="58">+BJ5*DJ5+BK5*DK5</f>
        <v>#NUM!</v>
      </c>
      <c r="DS5" s="3">
        <f t="shared" ref="DS5:DS38" si="59">+CD5*DJ5+CE5*DK5</f>
        <v>0</v>
      </c>
      <c r="DT5" s="3">
        <f t="shared" ref="DT5:DT38" si="60">BA5-VLOOKUP(AZ5,$AO$4:$AQ$38,2,FALSE)</f>
        <v>0</v>
      </c>
      <c r="DU5" s="3">
        <f t="shared" ref="DU5:DU38" si="61">BB5-VLOOKUP(AZ5,$AO$4:$AQ$38,3,FALSE)</f>
        <v>0</v>
      </c>
      <c r="DV5" s="3">
        <f t="shared" ref="DV5:DV38" si="62">AM5+IF(DN5="BUY",DT5,IF(DN5="SELL",-DT5,0))</f>
        <v>619</v>
      </c>
      <c r="DW5" s="3">
        <f t="shared" si="23"/>
        <v>8</v>
      </c>
      <c r="DX5" s="3" t="e">
        <f t="shared" ca="1" si="24"/>
        <v>#NUM!</v>
      </c>
      <c r="DY5" s="3" t="e">
        <f t="shared" ca="1" si="25"/>
        <v>#NUM!</v>
      </c>
      <c r="DZ5" s="3">
        <f t="shared" ca="1" si="26"/>
        <v>8.9714692309619173E-3</v>
      </c>
      <c r="EA5" s="3">
        <f t="shared" ca="1" si="27"/>
        <v>-1.2622434398510038E-2</v>
      </c>
      <c r="EB5" s="3">
        <f t="shared" ca="1" si="28"/>
        <v>4.6307320554362149E-3</v>
      </c>
      <c r="EC5" s="3">
        <f t="shared" ca="1" si="29"/>
        <v>-1.4094163046767118E-2</v>
      </c>
      <c r="ED5" s="63">
        <f t="shared" ref="ED5:ED38" si="63">+DV5+DW5</f>
        <v>627</v>
      </c>
      <c r="EE5" s="59">
        <f t="shared" ref="EE5:EE38" si="64">IFERROR(VALUE(IF(OR(EL5="--",EL5="0.00%"),$EE$1,EL5)),$EE$1)</f>
        <v>1.3896999999999999</v>
      </c>
      <c r="EF5" s="59">
        <f t="shared" si="30"/>
        <v>5.1753</v>
      </c>
      <c r="EG5" s="59">
        <f t="shared" si="31"/>
        <v>0.1973</v>
      </c>
      <c r="EH5" s="59">
        <f t="shared" si="32"/>
        <v>0.57689999999999997</v>
      </c>
      <c r="EI5" s="59">
        <f t="shared" si="33"/>
        <v>0.1585</v>
      </c>
      <c r="EJ5" s="59">
        <f t="shared" si="34"/>
        <v>0.27779999999999999</v>
      </c>
      <c r="EL5" s="3" t="str">
        <f>RTD("tos.rtd",,EL$2,"."&amp;$A$2&amp;$AS$1&amp;"C"&amp;$A5)</f>
        <v>138.97%</v>
      </c>
      <c r="EM5" s="3" t="str">
        <f>RTD("tos.rtd",,EM$2,"."&amp;$A$2&amp;$AS$1&amp;"P"&amp;$A5)</f>
        <v>517.53%</v>
      </c>
      <c r="EN5" s="3" t="str">
        <f>RTD("tos.rtd",,EN$2,"."&amp;$A$2&amp;$AU$1&amp;"C"&amp;$A5)</f>
        <v>19.73%</v>
      </c>
      <c r="EO5" s="3" t="str">
        <f>RTD("tos.rtd",,EO$2,"."&amp;$A$2&amp;$AU$1&amp;"P"&amp;$A5)</f>
        <v>57.69%</v>
      </c>
      <c r="EP5" s="3" t="str">
        <f>RTD("tos.rtd",,EP$2,"."&amp;$A$2&amp;$AW$1&amp;"C"&amp;$A5)</f>
        <v>15.85%</v>
      </c>
      <c r="EQ5" s="3" t="str">
        <f>RTD("tos.rtd",,EQ$2,"."&amp;$A$2&amp;$AW$1&amp;"P"&amp;$A5)</f>
        <v>27.78%</v>
      </c>
      <c r="ES5" s="63" t="str">
        <f t="shared" ref="ES5:ES38" si="65">IFERROR(
    A5 &amp; "," &amp; TEXT(IF(ISNUMBER(DV5+DW5), DV5+DW5, 0), "00.00"),    "Error"
)</f>
        <v>581,627.00</v>
      </c>
      <c r="ET5" s="63" t="str">
        <f t="shared" ref="ET5:ET38" ca="1" si="66">IF(ISERROR(
    A5 &amp; "," &amp; TEXT(
        IF($E$1="GEX-VOL", IF(ISNUMBER(BX5+BZ5+CB5), (BX5+BZ5+CB5)/1000, 0),
           IF($E$1="GEX-OI", IF(ISNUMBER(BQ5+BS5+BU5), (BQ5+BS5+BU5)/1000, 0),
               IF($E$1="DEX",IF(ISNUMBER(CK5+CM5+CO5), (CK5+CM5+CO5)/1000, 0),
                  IF($E$1="VOLPRES",IF(ISNUMBER(DJ5+DK5), (DJ5+DK5), 0),
                     IF(ISNUMBER(DV5+DW5), (DV5+DW5), 0)
        )))),
    "00.00")
), "Error",
A5 &amp; "," &amp; TEXT(
        IF($E$1="GEX-VOL", IF(ISNUMBER(BX5+BZ5+CB5), (BX5+BZ5+CB5)/1000, 0),
           IF($E$1="GEX-OI", IF(ISNUMBER(BQ5+BS5+BU5), (BQ5+BS5+BU5)/1000, 0),
               IF($E$1="DEX", IF(ISNUMBER(CK5+CM5+CO5), (CK5+CM5+CO5)/1000, 0),
                  IF($E$1="VOLPRES",IF(ISNUMBER(DJ5+DK5), (DJ5+DK5), 0),
                    IF(ISNUMBER(DV5+DW5), (DV5+DW5), 0)
        )))),
    "00.00")
)</f>
        <v>581,00.00</v>
      </c>
      <c r="EU5" s="67">
        <v>563.04</v>
      </c>
      <c r="EV5" s="67" t="s">
        <v>60</v>
      </c>
      <c r="EW5" s="67">
        <v>485.62</v>
      </c>
      <c r="EX5" s="67" t="s">
        <v>61</v>
      </c>
      <c r="EY5" s="67">
        <v>5643.75</v>
      </c>
      <c r="EZ5" s="67" t="s">
        <v>62</v>
      </c>
      <c r="FA5" s="67">
        <v>19948.5</v>
      </c>
      <c r="FB5" s="67" t="s">
        <v>63</v>
      </c>
      <c r="FC5" s="67" t="s">
        <v>64</v>
      </c>
      <c r="FD5" s="67" t="s">
        <v>65</v>
      </c>
      <c r="FE5" s="67" t="s">
        <v>66</v>
      </c>
      <c r="FF5" s="67" t="s">
        <v>67</v>
      </c>
    </row>
    <row r="6" spans="1:162" s="63" customFormat="1" ht="13.5" thickBot="1" x14ac:dyDescent="0.25">
      <c r="A6" s="2">
        <f t="shared" ref="A6:A38" si="67">+A5-$A$39</f>
        <v>580</v>
      </c>
      <c r="B6" s="3">
        <f t="shared" si="9"/>
        <v>6529</v>
      </c>
      <c r="C6" s="3">
        <f t="shared" si="10"/>
        <v>10746</v>
      </c>
      <c r="D6" s="3">
        <f t="shared" si="11"/>
        <v>29624</v>
      </c>
      <c r="E6" s="3">
        <f>SUM(B6:D6)</f>
        <v>46899</v>
      </c>
      <c r="F6" s="4">
        <f>+$F$3/$A$3*A6</f>
        <v>5837.7190650860302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v>-19</v>
      </c>
      <c r="AN6" s="1">
        <v>20</v>
      </c>
      <c r="AO6" s="1">
        <v>580</v>
      </c>
      <c r="AP6" s="1">
        <v>8039</v>
      </c>
      <c r="AQ6" s="1">
        <v>-50</v>
      </c>
      <c r="AR6" s="1"/>
      <c r="AS6" s="6">
        <f>IF(RTD("tos.rtd",,AS$2,"."&amp;$A$2&amp;$AS$1&amp;"C"&amp;$A6)="N/A",0,RTD("tos.rtd",,AS$2,"."&amp;$A$2&amp;$AS$1&amp;"C"&amp;$A6))</f>
        <v>6500</v>
      </c>
      <c r="AT6" s="7">
        <f>-IF(RTD("tos.rtd",,AT$2,"."&amp;$A$2&amp;$AS$1&amp;"P"&amp;$A6)="N/A",0,RTD("tos.rtd",,AT$2,"."&amp;$A$2&amp;$AS$1&amp;"P"&amp;$A6))</f>
        <v>-29</v>
      </c>
      <c r="AU6" s="6">
        <f>IF(RTD("tos.rtd",,AU$2,"."&amp;$A$2&amp;$AU$1&amp;"C"&amp;$A6)="N/A",0,RTD("tos.rtd",,AU$2,"."&amp;$A$2&amp;$AU$1&amp;"C"&amp;$A6))</f>
        <v>10560</v>
      </c>
      <c r="AV6" s="7">
        <f>-IF(RTD("tos.rtd",,AV$2,"."&amp;$A$2&amp;$AU$1&amp;"P"&amp;$A6)="N/A",0,RTD("tos.rtd",,AV$2,"."&amp;$A$2&amp;$AU$1&amp;"P"&amp;$A6))</f>
        <v>-186</v>
      </c>
      <c r="AW6" s="6">
        <f>IF(RTD("tos.rtd",,AW$2,"."&amp;$A$2&amp;$AW$1&amp;"C"&amp;$A6)="N/A",0,RTD("tos.rtd",,AW$2,"."&amp;$A$2&amp;$AW$1&amp;"C"&amp;$A6))</f>
        <v>27992</v>
      </c>
      <c r="AX6" s="7">
        <f>-IF(RTD("tos.rtd",,AX$2,"."&amp;$A$2&amp;$AW$1&amp;"P"&amp;$A6)="N/A",0,RTD("tos.rtd",,AX$2,"."&amp;$A$2&amp;$AW$1&amp;"P"&amp;$A6))</f>
        <v>-1632</v>
      </c>
      <c r="AY6" s="1">
        <f t="shared" ref="AY6:AY38" si="68">SUM(AS6:AX6)</f>
        <v>43205</v>
      </c>
      <c r="AZ6" s="8">
        <f t="shared" si="35"/>
        <v>580</v>
      </c>
      <c r="BA6" s="6">
        <f>IF(RTD("tos.rtd",,BA$2,"."&amp;$A$2&amp;$AS$1&amp;"C"&amp;$A6)="N/A",0,RTD("tos.rtd",,BA$2,"."&amp;$A$2&amp;$AS$1&amp;"C"&amp;$A6))</f>
        <v>8039</v>
      </c>
      <c r="BB6" s="7">
        <f>-IF(RTD("tos.rtd",,BB$2,"."&amp;$A$2&amp;$AS$1&amp;"P"&amp;$A6)="N/A",0,RTD("tos.rtd",,BB$2,"."&amp;$A$2&amp;$AS$1&amp;"P"&amp;$A6))</f>
        <v>-50</v>
      </c>
      <c r="BC6" s="6">
        <f>IF(RTD("tos.rtd",,BC$2,"."&amp;$A$2&amp;$AU$1&amp;"C"&amp;$A6)="N/A",0,RTD("tos.rtd",,BC$2,"."&amp;$A$2&amp;$AU$1&amp;"C"&amp;$A6))</f>
        <v>12524</v>
      </c>
      <c r="BD6" s="7">
        <f>-IF(RTD("tos.rtd",,BD$2,"."&amp;$A$2&amp;$AU$1&amp;"P"&amp;$A6)="N/A",0,RTD("tos.rtd",,BD$2,"."&amp;$A$2&amp;$AU$1&amp;"P"&amp;$A6))</f>
        <v>-42</v>
      </c>
      <c r="BE6" s="6">
        <f>IF(RTD("tos.rtd",,BE$2,"."&amp;$A$2&amp;$AW$1&amp;"C"&amp;$A6)="N/A",0,RTD("tos.rtd",,BE$2,"."&amp;$A$2&amp;$AW$1&amp;"C"&amp;$A6))</f>
        <v>12524</v>
      </c>
      <c r="BF6" s="83">
        <f>-IF(RTD("tos.rtd",,BF$2,"."&amp;$A$2&amp;$AW$1&amp;"P"&amp;$A6)="N/A",0,RTD("tos.rtd",,BF$2,"."&amp;$A$2&amp;$AW$1&amp;"P"&amp;$A6))</f>
        <v>-140</v>
      </c>
      <c r="BG6" s="32">
        <f ca="1">+Hoja2!Y7</f>
        <v>10236</v>
      </c>
      <c r="BH6" s="7">
        <f t="shared" ca="1" si="36"/>
        <v>43091</v>
      </c>
      <c r="BI6" s="8" t="str">
        <f t="shared" ref="BI6" ca="1" si="69">IF(AND(BH6&lt;0,BH5&gt;0), "Cruce -", IF(AND(BH6&gt;0,BH5&lt;0),"Cruce +", ""))</f>
        <v/>
      </c>
      <c r="BJ6" s="3" t="e">
        <f ca="1">IF($BP$1=1,DX6,IF(RTD("tos.rtd",,BJ$2,"."&amp;$A$2&amp;$AS$1&amp;"C"&amp;$A6)="N/A",0,RTD("tos.rtd",,BJ$2,"."&amp;$A$2&amp;$AS$1&amp;"C"&amp;$A6)))</f>
        <v>#NUM!</v>
      </c>
      <c r="BK6" s="3" t="e">
        <f ca="1">IF($BP$1=1,DY6,-IF(RTD("tos.rtd",,BK$2,"."&amp;$A$2&amp;$AS$1&amp;"P"&amp;$A6)="N/A",0,RTD("tos.rtd",,BK$2,"."&amp;$A$2&amp;$AS$1&amp;"P"&amp;$A6)))</f>
        <v>#NUM!</v>
      </c>
      <c r="BL6" s="3">
        <f ca="1">IF($BP$1=1,DZ6,IF(RTD("tos.rtd",,BL$2,"."&amp;$A$2&amp;$AU$1&amp;"C"&amp;$A6)="N/A",0,RTD("tos.rtd",,BL$2,"."&amp;$A$2&amp;$AU$1&amp;"C"&amp;$A6)))</f>
        <v>1.0309320758496603E-2</v>
      </c>
      <c r="BM6" s="3">
        <f ca="1">IF($BP$1=1,EA6,-IF(RTD("tos.rtd",,BM$2,"."&amp;$A$2&amp;$AU$1&amp;"P"&amp;$A6)="N/A",0,RTD("tos.rtd",,BM$2,"."&amp;$A$2&amp;$AU$1&amp;"P"&amp;$A6)))</f>
        <v>-1.3193948120513534E-2</v>
      </c>
      <c r="BN6" s="3">
        <f ca="1">IF($BP$1=1,EB6,IF(RTD("tos.rtd",,BN$2,"."&amp;$A$2&amp;$AW$1&amp;"C"&amp;$A6)="N/A",0,RTD("tos.rtd",,BN$2,"."&amp;$A$2&amp;$AW$1&amp;"C"&amp;$A6)))</f>
        <v>6.2881720210523281E-3</v>
      </c>
      <c r="BO6" s="3">
        <f ca="1">IF($BP$1=1,EC6,-IF(RTD("tos.rtd",,BO$2,"."&amp;$A$2&amp;$AW$1&amp;"P"&amp;$A6)="N/A",0,RTD("tos.rtd",,BO$2,"."&amp;$A$2&amp;$AW$1&amp;"P"&amp;$A6)))</f>
        <v>-1.5348485180977357E-2</v>
      </c>
      <c r="BQ6" s="3" t="e">
        <f t="shared" ca="1" si="37"/>
        <v>#NUM!</v>
      </c>
      <c r="BR6" s="3" t="e">
        <f t="shared" ref="BR6:BT38" ca="1" si="70">IF(AND(BQ6&lt;0,BQ5&gt;0), "Cruce -", IF(AND(BQ6&gt;0,BQ5&lt;0),"Cruce +", ""))</f>
        <v>#NUM!</v>
      </c>
      <c r="BS6" s="3">
        <f t="shared" ca="1" si="38"/>
        <v>33888966.317668207</v>
      </c>
      <c r="BT6" s="3" t="str">
        <f t="shared" ca="1" si="70"/>
        <v/>
      </c>
      <c r="BU6" s="3">
        <f t="shared" ca="1" si="39"/>
        <v>48079097.652533144</v>
      </c>
      <c r="BV6" s="3" t="str">
        <f t="shared" ref="BV6" ca="1" si="71">IF(AND(BU6&lt;0,BU5&gt;0), "Cruce -", IF(AND(BU6&gt;0,BU5&lt;0),"Cruce +", ""))</f>
        <v/>
      </c>
      <c r="BX6" s="3" t="e">
        <f t="shared" ca="1" si="40"/>
        <v>#NUM!</v>
      </c>
      <c r="BY6" s="3" t="e">
        <f t="shared" ref="BY6:BY38" ca="1" si="72">IF(AND(BX6&lt;0,BX5&gt;0), "Cruce -", IF(AND(BX6&gt;0,BX5&lt;0),"Cruce +", ""))</f>
        <v>#NUM!</v>
      </c>
      <c r="BZ6" s="3">
        <f t="shared" ca="1" si="41"/>
        <v>40942223.214948781</v>
      </c>
      <c r="CA6" s="3" t="str">
        <f t="shared" ref="CA6:CA38" ca="1" si="73">IF(AND(BZ6&lt;0,BZ5&gt;0), "Cruce -", IF(AND(BZ6&gt;0,BZ5&lt;0),"Cruce +", ""))</f>
        <v/>
      </c>
      <c r="CB6" s="3">
        <f t="shared" ca="1" si="42"/>
        <v>24396038.081845559</v>
      </c>
      <c r="CC6" s="3" t="str">
        <f t="shared" ref="CC6:CC38" ca="1" si="74">IF(AND(CB6&lt;0,CB5&gt;0), "Cruce -", IF(AND(CB6&gt;0,CB5&lt;0),"Cruce +", ""))</f>
        <v/>
      </c>
      <c r="CD6" s="3">
        <f>IF(RTD("tos.rtd",,CD$2,"."&amp;$A$2&amp;$AS$1&amp;"C"&amp;$A6)="N/A",0,RTD("tos.rtd",,CD$2,"."&amp;$A$2&amp;$AS$1&amp;"C"&amp;$A6))</f>
        <v>0</v>
      </c>
      <c r="CE6" s="3">
        <f>-IF(RTD("tos.rtd",,CE$2,"."&amp;$A$2&amp;$AS$1&amp;"P"&amp;$A6)="N/A",0,RTD("tos.rtd",,CE$2,"."&amp;$A$2&amp;$AS$1&amp;"P"&amp;$A6))</f>
        <v>0.76</v>
      </c>
      <c r="CF6" s="3">
        <f>IF(RTD("tos.rtd",,CF$2,"."&amp;$A$2&amp;$AU$1&amp;"C"&amp;$A6)="N/A",0,RTD("tos.rtd",,CF$2,"."&amp;$A$2&amp;$AU$1&amp;"C"&amp;$A6))</f>
        <v>0.02</v>
      </c>
      <c r="CG6" s="3">
        <f>-IF(RTD("tos.rtd",,CG$2,"."&amp;$A$2&amp;$AU$1&amp;"P"&amp;$A6)="N/A",0,RTD("tos.rtd",,CG$2,"."&amp;$A$2&amp;$AU$1&amp;"P"&amp;$A6))</f>
        <v>0.76</v>
      </c>
      <c r="CH6" s="3">
        <f>IF(RTD("tos.rtd",,CH$2,"."&amp;$A$2&amp;$AW$1&amp;"C"&amp;$A6)="N/A",0,RTD("tos.rtd",,CH$2,"."&amp;$A$2&amp;$AW$1&amp;"C"&amp;$A6))</f>
        <v>0.14000000000000001</v>
      </c>
      <c r="CI6" s="3">
        <f>-IF(RTD("tos.rtd",,CI$2,"."&amp;$A$2&amp;$AW$1&amp;"P"&amp;$A6)="N/A",0,RTD("tos.rtd",,CI$2,"."&amp;$A$2&amp;$AW$1&amp;"P"&amp;$A6))</f>
        <v>0.73</v>
      </c>
      <c r="CK6" s="3">
        <f t="shared" si="17"/>
        <v>-2204</v>
      </c>
      <c r="CL6" s="3"/>
      <c r="CM6" s="3">
        <f t="shared" si="18"/>
        <v>6983.9999999999982</v>
      </c>
      <c r="CN6" s="3"/>
      <c r="CO6" s="3">
        <f t="shared" si="19"/>
        <v>272752.00000000006</v>
      </c>
      <c r="CP6" s="3">
        <f t="shared" si="43"/>
        <v>277532.00000000006</v>
      </c>
      <c r="CQ6" s="3">
        <f t="shared" si="44"/>
        <v>7989</v>
      </c>
      <c r="CR6" s="3"/>
      <c r="CS6" s="3">
        <f t="shared" si="20"/>
        <v>12482</v>
      </c>
      <c r="CT6" s="3"/>
      <c r="CU6" s="3">
        <f t="shared" si="21"/>
        <v>12384</v>
      </c>
      <c r="CV6" s="3">
        <f t="shared" si="45"/>
        <v>32855</v>
      </c>
      <c r="CW6" s="3" t="e">
        <f t="shared" ca="1" si="46"/>
        <v>#NUM!</v>
      </c>
      <c r="CX6" s="85" t="e">
        <f t="shared" ref="CX6:CX38" ca="1" si="75">IF(AND(CW6&lt;0,CW5&gt;0), "Cruce -", IF(AND(CW6&gt;0,CW5&lt;0),"Cruce +", ""))</f>
        <v>#NUM!</v>
      </c>
      <c r="CY6" s="3" t="e">
        <f t="shared" ca="1" si="47"/>
        <v>#NUM!</v>
      </c>
      <c r="CZ6" s="85" t="e">
        <f t="shared" ref="CZ6:CZ38" ca="1" si="76">IF(AND(CY6&lt;0,CY5&gt;0), "Cruce -", IF(AND(CY6&gt;0,CY5&lt;0),"Cruce +", ""))</f>
        <v>#NUM!</v>
      </c>
      <c r="DA6" s="3">
        <f>IF(RTD("tos.rtd",,DA$2,"."&amp;$A$2&amp;$AS$1&amp;"C"&amp;$A6)="N/A",0,RTD("tos.rtd",,DA$2,"."&amp;$A$2&amp;$AS$1&amp;"C"&amp;$A6))</f>
        <v>0.01</v>
      </c>
      <c r="DB6" s="3">
        <f>IF(RTD("tos.rtd",,DB$2,"."&amp;$A$2&amp;$AS$1&amp;"P"&amp;$A6)="N/A",0,RTD("tos.rtd",,DB$2,"."&amp;$A$2&amp;$AS$1&amp;"P"&amp;$A6))</f>
        <v>21.78</v>
      </c>
      <c r="DC6" s="3">
        <f>IF(RTD("tos.rtd",,DC$2,"."&amp;$A$2&amp;$AS$1&amp;"C"&amp;$A6)="N/A",0,RTD("tos.rtd",,DC$2,"."&amp;$A$2&amp;$AS$1&amp;"C"&amp;$A6))</f>
        <v>0.01</v>
      </c>
      <c r="DD6" s="3">
        <f>IF(RTD("tos.rtd",,DD$2,"."&amp;$A$2&amp;$AS$1&amp;"P"&amp;$A6)="N/A",0,RTD("tos.rtd",,DD$2,"."&amp;$A$2&amp;$AS$1&amp;"P"&amp;$A6))</f>
        <v>19.579999999999998</v>
      </c>
      <c r="DE6" s="3">
        <f>IF(RTD("tos.rtd",,DE$2,"."&amp;$A$2&amp;$AS$1&amp;"C"&amp;$A6)="N/A",0,RTD("tos.rtd",,DE$2,"."&amp;$A$2&amp;$AS$1&amp;"C"&amp;$A6))</f>
        <v>0</v>
      </c>
      <c r="DF6" s="3">
        <f>IF(RTD("tos.rtd",,DF$2,"."&amp;$A$2&amp;$AS$1&amp;"P"&amp;$A6)="N/A",0,RTD("tos.rtd",,DF$2,"."&amp;$A$2&amp;$AS$1&amp;"P"&amp;$A6))</f>
        <v>17.600000000000001</v>
      </c>
      <c r="DG6" s="86">
        <f t="shared" si="48"/>
        <v>15.669999999999959</v>
      </c>
      <c r="DH6" s="3">
        <f t="shared" si="22"/>
        <v>0</v>
      </c>
      <c r="DI6" s="3">
        <f t="shared" si="49"/>
        <v>0</v>
      </c>
      <c r="DJ6" s="3">
        <f t="shared" si="50"/>
        <v>0</v>
      </c>
      <c r="DK6" s="3">
        <f t="shared" si="51"/>
        <v>0</v>
      </c>
      <c r="DL6" s="3">
        <f t="shared" si="52"/>
        <v>0</v>
      </c>
      <c r="DM6" s="3">
        <f t="shared" si="53"/>
        <v>0</v>
      </c>
      <c r="DN6" s="63" t="str">
        <f t="shared" si="54"/>
        <v>UNKNOWN</v>
      </c>
      <c r="DO6" s="63" t="str">
        <f t="shared" si="55"/>
        <v>UNKNOWN</v>
      </c>
      <c r="DP6" s="3">
        <f t="shared" si="56"/>
        <v>0</v>
      </c>
      <c r="DQ6" s="3">
        <f t="shared" si="57"/>
        <v>0</v>
      </c>
      <c r="DR6" s="3" t="e">
        <f t="shared" ca="1" si="58"/>
        <v>#NUM!</v>
      </c>
      <c r="DS6" s="3">
        <f t="shared" si="59"/>
        <v>0</v>
      </c>
      <c r="DT6" s="3">
        <f t="shared" si="60"/>
        <v>0</v>
      </c>
      <c r="DU6" s="3">
        <f t="shared" si="61"/>
        <v>0</v>
      </c>
      <c r="DV6" s="3">
        <f t="shared" si="62"/>
        <v>-19</v>
      </c>
      <c r="DW6" s="3">
        <f t="shared" si="23"/>
        <v>20</v>
      </c>
      <c r="DX6" s="3" t="e">
        <f t="shared" ca="1" si="24"/>
        <v>#NUM!</v>
      </c>
      <c r="DY6" s="3" t="e">
        <f t="shared" ca="1" si="25"/>
        <v>#NUM!</v>
      </c>
      <c r="DZ6" s="3">
        <f t="shared" ca="1" si="26"/>
        <v>1.0309320758496603E-2</v>
      </c>
      <c r="EA6" s="3">
        <f t="shared" ca="1" si="27"/>
        <v>-1.3193948120513534E-2</v>
      </c>
      <c r="EB6" s="3">
        <f t="shared" ca="1" si="28"/>
        <v>6.2881720210523281E-3</v>
      </c>
      <c r="EC6" s="3">
        <f t="shared" ca="1" si="29"/>
        <v>-1.5348485180977357E-2</v>
      </c>
      <c r="ED6" s="63">
        <f t="shared" si="63"/>
        <v>1</v>
      </c>
      <c r="EE6" s="59">
        <f t="shared" si="64"/>
        <v>1.3153999999999999</v>
      </c>
      <c r="EF6" s="59">
        <f t="shared" si="30"/>
        <v>4.9771000000000001</v>
      </c>
      <c r="EG6" s="59">
        <f t="shared" si="31"/>
        <v>0.19259999999999999</v>
      </c>
      <c r="EH6" s="59">
        <f t="shared" si="32"/>
        <v>0.55669999999999997</v>
      </c>
      <c r="EI6" s="59">
        <f t="shared" si="33"/>
        <v>0.15939999999999999</v>
      </c>
      <c r="EJ6" s="59">
        <f t="shared" si="34"/>
        <v>0.2732</v>
      </c>
      <c r="EL6" s="3" t="str">
        <f>RTD("tos.rtd",,EL$2,"."&amp;$A$2&amp;$AS$1&amp;"C"&amp;$A6)</f>
        <v>131.54%</v>
      </c>
      <c r="EM6" s="3" t="str">
        <f>RTD("tos.rtd",,EM$2,"."&amp;$A$2&amp;$AS$1&amp;"P"&amp;$A6)</f>
        <v>497.71%</v>
      </c>
      <c r="EN6" s="3" t="str">
        <f>RTD("tos.rtd",,EN$2,"."&amp;$A$2&amp;$AU$1&amp;"C"&amp;$A6)</f>
        <v>19.26%</v>
      </c>
      <c r="EO6" s="3" t="str">
        <f>RTD("tos.rtd",,EO$2,"."&amp;$A$2&amp;$AU$1&amp;"P"&amp;$A6)</f>
        <v>55.67%</v>
      </c>
      <c r="EP6" s="3" t="str">
        <f>RTD("tos.rtd",,EP$2,"."&amp;$A$2&amp;$AW$1&amp;"C"&amp;$A6)</f>
        <v>15.94%</v>
      </c>
      <c r="EQ6" s="3" t="str">
        <f>RTD("tos.rtd",,EQ$2,"."&amp;$A$2&amp;$AW$1&amp;"P"&amp;$A6)</f>
        <v>27.32%</v>
      </c>
      <c r="ES6" s="63" t="str">
        <f t="shared" si="65"/>
        <v>580,01.00</v>
      </c>
      <c r="ET6" s="63" t="str">
        <f t="shared" ca="1" si="66"/>
        <v>580,00.00</v>
      </c>
      <c r="EU6" s="67">
        <v>562.99</v>
      </c>
      <c r="EV6" s="67" t="s">
        <v>68</v>
      </c>
      <c r="EW6" s="67">
        <v>485.6</v>
      </c>
      <c r="EX6" s="67" t="s">
        <v>69</v>
      </c>
      <c r="EY6" s="67">
        <v>5643.75</v>
      </c>
      <c r="EZ6" s="67" t="s">
        <v>70</v>
      </c>
      <c r="FA6" s="67">
        <v>19948</v>
      </c>
      <c r="FB6" s="67" t="s">
        <v>71</v>
      </c>
      <c r="FC6" s="67" t="s">
        <v>72</v>
      </c>
      <c r="FD6" s="67" t="s">
        <v>73</v>
      </c>
      <c r="FE6" s="67" t="s">
        <v>74</v>
      </c>
      <c r="FF6" s="67" t="s">
        <v>75</v>
      </c>
    </row>
    <row r="7" spans="1:162" s="63" customFormat="1" ht="13.5" thickBot="1" x14ac:dyDescent="0.25">
      <c r="A7" s="2">
        <f t="shared" si="67"/>
        <v>579</v>
      </c>
      <c r="B7" s="3">
        <f t="shared" si="9"/>
        <v>2956</v>
      </c>
      <c r="C7" s="3">
        <f t="shared" si="10"/>
        <v>4965</v>
      </c>
      <c r="D7" s="3">
        <f t="shared" si="11"/>
        <v>4079</v>
      </c>
      <c r="E7" s="3">
        <f t="shared" si="12"/>
        <v>12000</v>
      </c>
      <c r="F7" s="4">
        <f t="shared" si="13"/>
        <v>5827.6540322151923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>
        <v>1857</v>
      </c>
      <c r="AN7" s="1">
        <v>1</v>
      </c>
      <c r="AO7" s="1">
        <v>579</v>
      </c>
      <c r="AP7" s="1">
        <v>4073</v>
      </c>
      <c r="AQ7" s="1">
        <v>-18</v>
      </c>
      <c r="AR7" s="1"/>
      <c r="AS7" s="6">
        <f>IF(RTD("tos.rtd",,AS$2,"."&amp;$A$2&amp;$AS$1&amp;"C"&amp;$A7)="N/A",0,RTD("tos.rtd",,AS$2,"."&amp;$A$2&amp;$AS$1&amp;"C"&amp;$A7))</f>
        <v>2956</v>
      </c>
      <c r="AT7" s="7">
        <f>-IF(RTD("tos.rtd",,AT$2,"."&amp;$A$2&amp;$AS$1&amp;"P"&amp;$A7)="N/A",0,RTD("tos.rtd",,AT$2,"."&amp;$A$2&amp;$AS$1&amp;"P"&amp;$A7))</f>
        <v>0</v>
      </c>
      <c r="AU7" s="6">
        <f>IF(RTD("tos.rtd",,AU$2,"."&amp;$A$2&amp;$AU$1&amp;"C"&amp;$A7)="N/A",0,RTD("tos.rtd",,AU$2,"."&amp;$A$2&amp;$AU$1&amp;"C"&amp;$A7))</f>
        <v>4947</v>
      </c>
      <c r="AV7" s="7">
        <f>-IF(RTD("tos.rtd",,AV$2,"."&amp;$A$2&amp;$AU$1&amp;"P"&amp;$A7)="N/A",0,RTD("tos.rtd",,AV$2,"."&amp;$A$2&amp;$AU$1&amp;"P"&amp;$A7))</f>
        <v>-18</v>
      </c>
      <c r="AW7" s="6">
        <f>IF(RTD("tos.rtd",,AW$2,"."&amp;$A$2&amp;$AW$1&amp;"C"&amp;$A7)="N/A",0,RTD("tos.rtd",,AW$2,"."&amp;$A$2&amp;$AW$1&amp;"C"&amp;$A7))</f>
        <v>4067</v>
      </c>
      <c r="AX7" s="7">
        <f>-IF(RTD("tos.rtd",,AX$2,"."&amp;$A$2&amp;$AW$1&amp;"P"&amp;$A7)="N/A",0,RTD("tos.rtd",,AX$2,"."&amp;$A$2&amp;$AW$1&amp;"P"&amp;$A7))</f>
        <v>-12</v>
      </c>
      <c r="AY7" s="1">
        <f t="shared" si="68"/>
        <v>11940</v>
      </c>
      <c r="AZ7" s="8">
        <f t="shared" si="35"/>
        <v>579</v>
      </c>
      <c r="BA7" s="6">
        <f>IF(RTD("tos.rtd",,BA$2,"."&amp;$A$2&amp;$AS$1&amp;"C"&amp;$A7)="N/A",0,RTD("tos.rtd",,BA$2,"."&amp;$A$2&amp;$AS$1&amp;"C"&amp;$A7))</f>
        <v>4073</v>
      </c>
      <c r="BB7" s="7">
        <f>-IF(RTD("tos.rtd",,BB$2,"."&amp;$A$2&amp;$AS$1&amp;"P"&amp;$A7)="N/A",0,RTD("tos.rtd",,BB$2,"."&amp;$A$2&amp;$AS$1&amp;"P"&amp;$A7))</f>
        <v>-18</v>
      </c>
      <c r="BC7" s="6">
        <f>IF(RTD("tos.rtd",,BC$2,"."&amp;$A$2&amp;$AU$1&amp;"C"&amp;$A7)="N/A",0,RTD("tos.rtd",,BC$2,"."&amp;$A$2&amp;$AU$1&amp;"C"&amp;$A7))</f>
        <v>3784</v>
      </c>
      <c r="BD7" s="7">
        <f>-IF(RTD("tos.rtd",,BD$2,"."&amp;$A$2&amp;$AU$1&amp;"P"&amp;$A7)="N/A",0,RTD("tos.rtd",,BD$2,"."&amp;$A$2&amp;$AU$1&amp;"P"&amp;$A7))</f>
        <v>-5</v>
      </c>
      <c r="BE7" s="6">
        <f>IF(RTD("tos.rtd",,BE$2,"."&amp;$A$2&amp;$AW$1&amp;"C"&amp;$A7)="N/A",0,RTD("tos.rtd",,BE$2,"."&amp;$A$2&amp;$AW$1&amp;"C"&amp;$A7))</f>
        <v>1896</v>
      </c>
      <c r="BF7" s="83">
        <f>-IF(RTD("tos.rtd",,BF$2,"."&amp;$A$2&amp;$AW$1&amp;"P"&amp;$A7)="N/A",0,RTD("tos.rtd",,BF$2,"."&amp;$A$2&amp;$AW$1&amp;"P"&amp;$A7))</f>
        <v>0</v>
      </c>
      <c r="BG7" s="32">
        <f ca="1">+Hoja2!Y8</f>
        <v>826</v>
      </c>
      <c r="BH7" s="7">
        <f t="shared" ca="1" si="36"/>
        <v>10556</v>
      </c>
      <c r="BI7" s="8" t="str">
        <f t="shared" ref="BI7" ca="1" si="77">IF(AND(BH7&lt;0,BH6&gt;0), "Cruce -", IF(AND(BH7&gt;0,BH6&lt;0),"Cruce +", ""))</f>
        <v/>
      </c>
      <c r="BJ7" s="3" t="e">
        <f ca="1">IF($BP$1=1,DX7,IF(RTD("tos.rtd",,BJ$2,"."&amp;$A$2&amp;$AS$1&amp;"C"&amp;$A7)="N/A",0,RTD("tos.rtd",,BJ$2,"."&amp;$A$2&amp;$AS$1&amp;"C"&amp;$A7)))</f>
        <v>#NUM!</v>
      </c>
      <c r="BK7" s="3" t="e">
        <f ca="1">IF($BP$1=1,DY7,-IF(RTD("tos.rtd",,BK$2,"."&amp;$A$2&amp;$AS$1&amp;"P"&amp;$A7)="N/A",0,RTD("tos.rtd",,BK$2,"."&amp;$A$2&amp;$AS$1&amp;"P"&amp;$A7)))</f>
        <v>#NUM!</v>
      </c>
      <c r="BL7" s="3">
        <f ca="1">IF($BP$1=1,DZ7,IF(RTD("tos.rtd",,BL$2,"."&amp;$A$2&amp;$AU$1&amp;"C"&amp;$A7)="N/A",0,RTD("tos.rtd",,BL$2,"."&amp;$A$2&amp;$AU$1&amp;"C"&amp;$A7)))</f>
        <v>1.2246462625549277E-2</v>
      </c>
      <c r="BM7" s="3">
        <f ca="1">IF($BP$1=1,EA7,-IF(RTD("tos.rtd",,BM$2,"."&amp;$A$2&amp;$AU$1&amp;"P"&amp;$A7)="N/A",0,RTD("tos.rtd",,BM$2,"."&amp;$A$2&amp;$AU$1&amp;"P"&amp;$A7)))</f>
        <v>-1.3514881104355321E-2</v>
      </c>
      <c r="BN7" s="3">
        <f ca="1">IF($BP$1=1,EB7,IF(RTD("tos.rtd",,BN$2,"."&amp;$A$2&amp;$AW$1&amp;"C"&amp;$A7)="N/A",0,RTD("tos.rtd",,BN$2,"."&amp;$A$2&amp;$AW$1&amp;"C"&amp;$A7)))</f>
        <v>8.2380833500021993E-3</v>
      </c>
      <c r="BO7" s="3">
        <f ca="1">IF($BP$1=1,EC7,-IF(RTD("tos.rtd",,BO$2,"."&amp;$A$2&amp;$AW$1&amp;"P"&amp;$A7)="N/A",0,RTD("tos.rtd",,BO$2,"."&amp;$A$2&amp;$AW$1&amp;"P"&amp;$A7)))</f>
        <v>-1.6713020314055204E-2</v>
      </c>
      <c r="BQ7" s="3" t="e">
        <f t="shared" ca="1" si="37"/>
        <v>#NUM!</v>
      </c>
      <c r="BR7" s="3" t="e">
        <f t="shared" ca="1" si="70"/>
        <v>#NUM!</v>
      </c>
      <c r="BS7" s="3">
        <f t="shared" ca="1" si="38"/>
        <v>19216374.678637393</v>
      </c>
      <c r="BT7" s="3" t="str">
        <f t="shared" ca="1" si="70"/>
        <v/>
      </c>
      <c r="BU7" s="3">
        <f t="shared" ca="1" si="39"/>
        <v>10606183.504261112</v>
      </c>
      <c r="BV7" s="3" t="str">
        <f t="shared" ref="BV7" ca="1" si="78">IF(AND(BU7&lt;0,BU6&gt;0), "Cruce -", IF(AND(BU7&gt;0,BU6&lt;0),"Cruce +", ""))</f>
        <v/>
      </c>
      <c r="BX7" s="3" t="e">
        <f t="shared" ca="1" si="40"/>
        <v>#NUM!</v>
      </c>
      <c r="BY7" s="3" t="e">
        <f t="shared" ca="1" si="72"/>
        <v>#NUM!</v>
      </c>
      <c r="BZ7" s="3">
        <f t="shared" ca="1" si="41"/>
        <v>14736498.701382095</v>
      </c>
      <c r="CA7" s="3" t="str">
        <f t="shared" ca="1" si="73"/>
        <v/>
      </c>
      <c r="CB7" s="3">
        <f t="shared" ca="1" si="42"/>
        <v>4974286.4496836821</v>
      </c>
      <c r="CC7" s="3" t="str">
        <f t="shared" ca="1" si="74"/>
        <v/>
      </c>
      <c r="CD7" s="3">
        <f>IF(RTD("tos.rtd",,CD$2,"."&amp;$A$2&amp;$AS$1&amp;"C"&amp;$A7)="N/A",0,RTD("tos.rtd",,CD$2,"."&amp;$A$2&amp;$AS$1&amp;"C"&amp;$A7))</f>
        <v>0</v>
      </c>
      <c r="CE7" s="3">
        <f>-IF(RTD("tos.rtd",,CE$2,"."&amp;$A$2&amp;$AS$1&amp;"P"&amp;$A7)="N/A",0,RTD("tos.rtd",,CE$2,"."&amp;$A$2&amp;$AS$1&amp;"P"&amp;$A7))</f>
        <v>0.75</v>
      </c>
      <c r="CF7" s="3">
        <f>IF(RTD("tos.rtd",,CF$2,"."&amp;$A$2&amp;$AU$1&amp;"C"&amp;$A7)="N/A",0,RTD("tos.rtd",,CF$2,"."&amp;$A$2&amp;$AU$1&amp;"C"&amp;$A7))</f>
        <v>0.03</v>
      </c>
      <c r="CG7" s="3">
        <f>-IF(RTD("tos.rtd",,CG$2,"."&amp;$A$2&amp;$AU$1&amp;"P"&amp;$A7)="N/A",0,RTD("tos.rtd",,CG$2,"."&amp;$A$2&amp;$AU$1&amp;"P"&amp;$A7))</f>
        <v>0.74</v>
      </c>
      <c r="CH7" s="3">
        <f>IF(RTD("tos.rtd",,CH$2,"."&amp;$A$2&amp;$AW$1&amp;"C"&amp;$A7)="N/A",0,RTD("tos.rtd",,CH$2,"."&amp;$A$2&amp;$AW$1&amp;"C"&amp;$A7))</f>
        <v>0.16</v>
      </c>
      <c r="CI7" s="3">
        <f>-IF(RTD("tos.rtd",,CI$2,"."&amp;$A$2&amp;$AW$1&amp;"P"&amp;$A7)="N/A",0,RTD("tos.rtd",,CI$2,"."&amp;$A$2&amp;$AW$1&amp;"P"&amp;$A7))</f>
        <v>0.72</v>
      </c>
      <c r="CK7" s="3">
        <f t="shared" si="17"/>
        <v>0</v>
      </c>
      <c r="CL7" s="3"/>
      <c r="CM7" s="3">
        <f t="shared" si="18"/>
        <v>13509</v>
      </c>
      <c r="CN7" s="3"/>
      <c r="CO7" s="3">
        <f t="shared" si="19"/>
        <v>64208</v>
      </c>
      <c r="CP7" s="3">
        <f t="shared" si="43"/>
        <v>77717</v>
      </c>
      <c r="CQ7" s="3">
        <f t="shared" si="44"/>
        <v>4055</v>
      </c>
      <c r="CR7" s="3"/>
      <c r="CS7" s="3">
        <f t="shared" si="20"/>
        <v>3779</v>
      </c>
      <c r="CT7" s="3"/>
      <c r="CU7" s="3">
        <f t="shared" si="21"/>
        <v>1896</v>
      </c>
      <c r="CV7" s="3">
        <f t="shared" si="45"/>
        <v>9730</v>
      </c>
      <c r="CW7" s="3" t="e">
        <f t="shared" ca="1" si="46"/>
        <v>#NUM!</v>
      </c>
      <c r="CX7" s="85" t="e">
        <f t="shared" ca="1" si="75"/>
        <v>#NUM!</v>
      </c>
      <c r="CY7" s="3" t="e">
        <f t="shared" ca="1" si="47"/>
        <v>#NUM!</v>
      </c>
      <c r="CZ7" s="85" t="e">
        <f t="shared" ca="1" si="76"/>
        <v>#NUM!</v>
      </c>
      <c r="DA7" s="3">
        <f>IF(RTD("tos.rtd",,DA$2,"."&amp;$A$2&amp;$AS$1&amp;"C"&amp;$A7)="N/A",0,RTD("tos.rtd",,DA$2,"."&amp;$A$2&amp;$AS$1&amp;"C"&amp;$A7))</f>
        <v>0.01</v>
      </c>
      <c r="DB7" s="3">
        <f>IF(RTD("tos.rtd",,DB$2,"."&amp;$A$2&amp;$AS$1&amp;"P"&amp;$A7)="N/A",0,RTD("tos.rtd",,DB$2,"."&amp;$A$2&amp;$AS$1&amp;"P"&amp;$A7))</f>
        <v>20.07</v>
      </c>
      <c r="DC7" s="3">
        <f>IF(RTD("tos.rtd",,DC$2,"."&amp;$A$2&amp;$AS$1&amp;"C"&amp;$A7)="N/A",0,RTD("tos.rtd",,DC$2,"."&amp;$A$2&amp;$AS$1&amp;"C"&amp;$A7))</f>
        <v>0.01</v>
      </c>
      <c r="DD7" s="3">
        <f>IF(RTD("tos.rtd",,DD$2,"."&amp;$A$2&amp;$AS$1&amp;"P"&amp;$A7)="N/A",0,RTD("tos.rtd",,DD$2,"."&amp;$A$2&amp;$AS$1&amp;"P"&amp;$A7))</f>
        <v>18.29</v>
      </c>
      <c r="DE7" s="3">
        <f>IF(RTD("tos.rtd",,DE$2,"."&amp;$A$2&amp;$AS$1&amp;"C"&amp;$A7)="N/A",0,RTD("tos.rtd",,DE$2,"."&amp;$A$2&amp;$AS$1&amp;"C"&amp;$A7))</f>
        <v>0</v>
      </c>
      <c r="DF7" s="3">
        <f>IF(RTD("tos.rtd",,DF$2,"."&amp;$A$2&amp;$AS$1&amp;"P"&amp;$A7)="N/A",0,RTD("tos.rtd",,DF$2,"."&amp;$A$2&amp;$AS$1&amp;"P"&amp;$A7))</f>
        <v>17.02</v>
      </c>
      <c r="DG7" s="86">
        <f t="shared" si="48"/>
        <v>14.669999999999959</v>
      </c>
      <c r="DH7" s="3">
        <f t="shared" si="22"/>
        <v>0</v>
      </c>
      <c r="DI7" s="3">
        <f t="shared" si="49"/>
        <v>0</v>
      </c>
      <c r="DJ7" s="3">
        <f t="shared" si="50"/>
        <v>0</v>
      </c>
      <c r="DK7" s="3">
        <f t="shared" si="51"/>
        <v>0</v>
      </c>
      <c r="DL7" s="3">
        <f t="shared" si="52"/>
        <v>0</v>
      </c>
      <c r="DM7" s="3">
        <f t="shared" si="53"/>
        <v>0</v>
      </c>
      <c r="DN7" s="63" t="str">
        <f t="shared" si="54"/>
        <v>UNKNOWN</v>
      </c>
      <c r="DO7" s="63" t="str">
        <f t="shared" si="55"/>
        <v>UNKNOWN</v>
      </c>
      <c r="DP7" s="3">
        <f t="shared" si="56"/>
        <v>0</v>
      </c>
      <c r="DQ7" s="3">
        <f t="shared" si="57"/>
        <v>0</v>
      </c>
      <c r="DR7" s="3" t="e">
        <f t="shared" ca="1" si="58"/>
        <v>#NUM!</v>
      </c>
      <c r="DS7" s="3">
        <f t="shared" si="59"/>
        <v>0</v>
      </c>
      <c r="DT7" s="3">
        <f t="shared" si="60"/>
        <v>0</v>
      </c>
      <c r="DU7" s="3">
        <f t="shared" si="61"/>
        <v>0</v>
      </c>
      <c r="DV7" s="3">
        <f t="shared" si="62"/>
        <v>1857</v>
      </c>
      <c r="DW7" s="3">
        <f t="shared" si="23"/>
        <v>1</v>
      </c>
      <c r="DX7" s="3" t="e">
        <f t="shared" ca="1" si="24"/>
        <v>#NUM!</v>
      </c>
      <c r="DY7" s="3" t="e">
        <f t="shared" ca="1" si="25"/>
        <v>#NUM!</v>
      </c>
      <c r="DZ7" s="3">
        <f t="shared" ca="1" si="26"/>
        <v>1.2246462625549277E-2</v>
      </c>
      <c r="EA7" s="3">
        <f t="shared" ca="1" si="27"/>
        <v>-1.3514881104355321E-2</v>
      </c>
      <c r="EB7" s="3">
        <f t="shared" ca="1" si="28"/>
        <v>8.2380833500021993E-3</v>
      </c>
      <c r="EC7" s="3">
        <f t="shared" ca="1" si="29"/>
        <v>-1.6713020314055204E-2</v>
      </c>
      <c r="ED7" s="63">
        <f t="shared" si="63"/>
        <v>1858</v>
      </c>
      <c r="EE7" s="59">
        <f t="shared" si="64"/>
        <v>1.2405999999999999</v>
      </c>
      <c r="EF7" s="59">
        <f t="shared" si="30"/>
        <v>4.8516000000000004</v>
      </c>
      <c r="EG7" s="59">
        <f t="shared" si="31"/>
        <v>0.19139999999999999</v>
      </c>
      <c r="EH7" s="59">
        <f t="shared" si="32"/>
        <v>0.55430000000000001</v>
      </c>
      <c r="EI7" s="59">
        <f t="shared" si="33"/>
        <v>0.15959999999999999</v>
      </c>
      <c r="EJ7" s="59">
        <f t="shared" si="34"/>
        <v>0.26889999999999997</v>
      </c>
      <c r="EL7" s="3" t="str">
        <f>RTD("tos.rtd",,EL$2,"."&amp;$A$2&amp;$AS$1&amp;"C"&amp;$A7)</f>
        <v>124.06%</v>
      </c>
      <c r="EM7" s="3" t="str">
        <f>RTD("tos.rtd",,EM$2,"."&amp;$A$2&amp;$AS$1&amp;"P"&amp;$A7)</f>
        <v>485.16%</v>
      </c>
      <c r="EN7" s="3" t="str">
        <f>RTD("tos.rtd",,EN$2,"."&amp;$A$2&amp;$AU$1&amp;"C"&amp;$A7)</f>
        <v>19.14%</v>
      </c>
      <c r="EO7" s="3" t="str">
        <f>RTD("tos.rtd",,EO$2,"."&amp;$A$2&amp;$AU$1&amp;"P"&amp;$A7)</f>
        <v>55.43%</v>
      </c>
      <c r="EP7" s="3" t="str">
        <f>RTD("tos.rtd",,EP$2,"."&amp;$A$2&amp;$AW$1&amp;"C"&amp;$A7)</f>
        <v>15.96%</v>
      </c>
      <c r="EQ7" s="3" t="str">
        <f>RTD("tos.rtd",,EQ$2,"."&amp;$A$2&amp;$AW$1&amp;"P"&amp;$A7)</f>
        <v>26.89%</v>
      </c>
      <c r="ES7" s="63" t="str">
        <f t="shared" si="65"/>
        <v>579,1858.00</v>
      </c>
      <c r="ET7" s="63" t="str">
        <f t="shared" ca="1" si="66"/>
        <v>579,00.00</v>
      </c>
      <c r="EU7" s="67">
        <v>563.1</v>
      </c>
      <c r="EV7" s="67" t="s">
        <v>76</v>
      </c>
      <c r="EW7" s="67">
        <v>485.68</v>
      </c>
      <c r="EX7" s="67" t="s">
        <v>77</v>
      </c>
      <c r="EY7" s="67">
        <v>5644.25</v>
      </c>
      <c r="EZ7" s="67" t="s">
        <v>78</v>
      </c>
      <c r="FA7" s="67">
        <v>19951.75</v>
      </c>
      <c r="FB7" s="67" t="s">
        <v>79</v>
      </c>
      <c r="FC7" s="67" t="s">
        <v>80</v>
      </c>
      <c r="FD7" s="67" t="s">
        <v>81</v>
      </c>
      <c r="FE7" s="67" t="s">
        <v>82</v>
      </c>
      <c r="FF7" s="67" t="s">
        <v>83</v>
      </c>
    </row>
    <row r="8" spans="1:162" s="63" customFormat="1" ht="13.5" thickBot="1" x14ac:dyDescent="0.25">
      <c r="A8" s="2">
        <f t="shared" si="67"/>
        <v>578</v>
      </c>
      <c r="B8" s="3">
        <f t="shared" si="9"/>
        <v>6415</v>
      </c>
      <c r="C8" s="3">
        <f t="shared" si="10"/>
        <v>3703</v>
      </c>
      <c r="D8" s="3">
        <f t="shared" si="11"/>
        <v>11110</v>
      </c>
      <c r="E8" s="3">
        <f t="shared" si="12"/>
        <v>21228</v>
      </c>
      <c r="F8" s="4">
        <f t="shared" si="13"/>
        <v>5817.5889993443543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v>505</v>
      </c>
      <c r="AN8" s="1">
        <v>0</v>
      </c>
      <c r="AO8" s="1">
        <v>578</v>
      </c>
      <c r="AP8" s="1">
        <v>6121</v>
      </c>
      <c r="AQ8" s="1">
        <v>-42</v>
      </c>
      <c r="AR8" s="1"/>
      <c r="AS8" s="6">
        <f>IF(RTD("tos.rtd",,AS$2,"."&amp;$A$2&amp;$AS$1&amp;"C"&amp;$A8)="N/A",0,RTD("tos.rtd",,AS$2,"."&amp;$A$2&amp;$AS$1&amp;"C"&amp;$A8))</f>
        <v>6414</v>
      </c>
      <c r="AT8" s="7">
        <f>-IF(RTD("tos.rtd",,AT$2,"."&amp;$A$2&amp;$AS$1&amp;"P"&amp;$A8)="N/A",0,RTD("tos.rtd",,AT$2,"."&amp;$A$2&amp;$AS$1&amp;"P"&amp;$A8))</f>
        <v>-1</v>
      </c>
      <c r="AU8" s="6">
        <f>IF(RTD("tos.rtd",,AU$2,"."&amp;$A$2&amp;$AU$1&amp;"C"&amp;$A8)="N/A",0,RTD("tos.rtd",,AU$2,"."&amp;$A$2&amp;$AU$1&amp;"C"&amp;$A8))</f>
        <v>3598</v>
      </c>
      <c r="AV8" s="7">
        <f>-IF(RTD("tos.rtd",,AV$2,"."&amp;$A$2&amp;$AU$1&amp;"P"&amp;$A8)="N/A",0,RTD("tos.rtd",,AV$2,"."&amp;$A$2&amp;$AU$1&amp;"P"&amp;$A8))</f>
        <v>-105</v>
      </c>
      <c r="AW8" s="6">
        <f>IF(RTD("tos.rtd",,AW$2,"."&amp;$A$2&amp;$AW$1&amp;"C"&amp;$A8)="N/A",0,RTD("tos.rtd",,AW$2,"."&amp;$A$2&amp;$AW$1&amp;"C"&amp;$A8))</f>
        <v>10828</v>
      </c>
      <c r="AX8" s="7">
        <f>-IF(RTD("tos.rtd",,AX$2,"."&amp;$A$2&amp;$AW$1&amp;"P"&amp;$A8)="N/A",0,RTD("tos.rtd",,AX$2,"."&amp;$A$2&amp;$AW$1&amp;"P"&amp;$A8))</f>
        <v>-282</v>
      </c>
      <c r="AY8" s="1">
        <f t="shared" si="68"/>
        <v>20452</v>
      </c>
      <c r="AZ8" s="8">
        <f t="shared" si="35"/>
        <v>578</v>
      </c>
      <c r="BA8" s="6">
        <f>IF(RTD("tos.rtd",,BA$2,"."&amp;$A$2&amp;$AS$1&amp;"C"&amp;$A8)="N/A",0,RTD("tos.rtd",,BA$2,"."&amp;$A$2&amp;$AS$1&amp;"C"&amp;$A8))</f>
        <v>6121</v>
      </c>
      <c r="BB8" s="7">
        <f>-IF(RTD("tos.rtd",,BB$2,"."&amp;$A$2&amp;$AS$1&amp;"P"&amp;$A8)="N/A",0,RTD("tos.rtd",,BB$2,"."&amp;$A$2&amp;$AS$1&amp;"P"&amp;$A8))</f>
        <v>-42</v>
      </c>
      <c r="BC8" s="6">
        <f>IF(RTD("tos.rtd",,BC$2,"."&amp;$A$2&amp;$AU$1&amp;"C"&amp;$A8)="N/A",0,RTD("tos.rtd",,BC$2,"."&amp;$A$2&amp;$AU$1&amp;"C"&amp;$A8))</f>
        <v>1227</v>
      </c>
      <c r="BD8" s="7">
        <f>-IF(RTD("tos.rtd",,BD$2,"."&amp;$A$2&amp;$AU$1&amp;"P"&amp;$A8)="N/A",0,RTD("tos.rtd",,BD$2,"."&amp;$A$2&amp;$AU$1&amp;"P"&amp;$A8))</f>
        <v>-5</v>
      </c>
      <c r="BE8" s="6">
        <f>IF(RTD("tos.rtd",,BE$2,"."&amp;$A$2&amp;$AW$1&amp;"C"&amp;$A8)="N/A",0,RTD("tos.rtd",,BE$2,"."&amp;$A$2&amp;$AW$1&amp;"C"&amp;$A8))</f>
        <v>1256</v>
      </c>
      <c r="BF8" s="83">
        <f>-IF(RTD("tos.rtd",,BF$2,"."&amp;$A$2&amp;$AW$1&amp;"P"&amp;$A8)="N/A",0,RTD("tos.rtd",,BF$2,"."&amp;$A$2&amp;$AW$1&amp;"P"&amp;$A8))</f>
        <v>-2</v>
      </c>
      <c r="BG8" s="32">
        <f ca="1">+Hoja2!Y9</f>
        <v>664</v>
      </c>
      <c r="BH8" s="7">
        <f t="shared" ca="1" si="36"/>
        <v>9219</v>
      </c>
      <c r="BI8" s="8" t="str">
        <f t="shared" ref="BI8" ca="1" si="79">IF(AND(BH8&lt;0,BH7&gt;0), "Cruce -", IF(AND(BH8&gt;0,BH7&lt;0),"Cruce +", ""))</f>
        <v/>
      </c>
      <c r="BJ8" s="3" t="e">
        <f ca="1">IF($BP$1=1,DX8,IF(RTD("tos.rtd",,BJ$2,"."&amp;$A$2&amp;$AS$1&amp;"C"&amp;$A8)="N/A",0,RTD("tos.rtd",,BJ$2,"."&amp;$A$2&amp;$AS$1&amp;"C"&amp;$A8)))</f>
        <v>#NUM!</v>
      </c>
      <c r="BK8" s="3" t="e">
        <f ca="1">IF($BP$1=1,DY8,-IF(RTD("tos.rtd",,BK$2,"."&amp;$A$2&amp;$AS$1&amp;"P"&amp;$A8)="N/A",0,RTD("tos.rtd",,BK$2,"."&amp;$A$2&amp;$AS$1&amp;"P"&amp;$A8)))</f>
        <v>#NUM!</v>
      </c>
      <c r="BL8" s="3">
        <f ca="1">IF($BP$1=1,DZ8,IF(RTD("tos.rtd",,BL$2,"."&amp;$A$2&amp;$AU$1&amp;"C"&amp;$A8)="N/A",0,RTD("tos.rtd",,BL$2,"."&amp;$A$2&amp;$AU$1&amp;"C"&amp;$A8)))</f>
        <v>1.4211703853634032E-2</v>
      </c>
      <c r="BM8" s="3">
        <f ca="1">IF($BP$1=1,EA8,-IF(RTD("tos.rtd",,BM$2,"."&amp;$A$2&amp;$AU$1&amp;"P"&amp;$A8)="N/A",0,RTD("tos.rtd",,BM$2,"."&amp;$A$2&amp;$AU$1&amp;"P"&amp;$A8)))</f>
        <v>-1.4127469672092052E-2</v>
      </c>
      <c r="BN8" s="3">
        <f ca="1">IF($BP$1=1,EB8,IF(RTD("tos.rtd",,BN$2,"."&amp;$A$2&amp;$AW$1&amp;"C"&amp;$A8)="N/A",0,RTD("tos.rtd",,BN$2,"."&amp;$A$2&amp;$AW$1&amp;"C"&amp;$A8)))</f>
        <v>1.0656040298772283E-2</v>
      </c>
      <c r="BO8" s="3">
        <f ca="1">IF($BP$1=1,EC8,-IF(RTD("tos.rtd",,BO$2,"."&amp;$A$2&amp;$AW$1&amp;"P"&amp;$A8)="N/A",0,RTD("tos.rtd",,BO$2,"."&amp;$A$2&amp;$AW$1&amp;"P"&amp;$A8)))</f>
        <v>-1.8190312076728526E-2</v>
      </c>
      <c r="BQ8" s="3" t="e">
        <f t="shared" ca="1" si="37"/>
        <v>#NUM!</v>
      </c>
      <c r="BR8" s="3" t="e">
        <f t="shared" ca="1" si="70"/>
        <v>#NUM!</v>
      </c>
      <c r="BS8" s="3">
        <f t="shared" ca="1" si="38"/>
        <v>15812057.391275078</v>
      </c>
      <c r="BT8" s="3" t="str">
        <f t="shared" ca="1" si="70"/>
        <v/>
      </c>
      <c r="BU8" s="3">
        <f t="shared" ca="1" si="39"/>
        <v>35112389.068941034</v>
      </c>
      <c r="BV8" s="3" t="str">
        <f t="shared" ref="BV8" ca="1" si="80">IF(AND(BU8&lt;0,BU7&gt;0), "Cruce -", IF(AND(BU8&gt;0,BU7&lt;0),"Cruce +", ""))</f>
        <v/>
      </c>
      <c r="BX8" s="3" t="e">
        <f t="shared" ca="1" si="40"/>
        <v>#NUM!</v>
      </c>
      <c r="BY8" s="3" t="e">
        <f t="shared" ca="1" si="72"/>
        <v>#NUM!</v>
      </c>
      <c r="BZ8" s="3">
        <f t="shared" ca="1" si="41"/>
        <v>5530879.0761397984</v>
      </c>
      <c r="CA8" s="3" t="str">
        <f t="shared" ca="1" si="73"/>
        <v/>
      </c>
      <c r="CB8" s="3">
        <f t="shared" ca="1" si="42"/>
        <v>4250790.0417548083</v>
      </c>
      <c r="CC8" s="3" t="str">
        <f t="shared" ca="1" si="74"/>
        <v/>
      </c>
      <c r="CD8" s="3">
        <f>IF(RTD("tos.rtd",,CD$2,"."&amp;$A$2&amp;$AS$1&amp;"C"&amp;$A8)="N/A",0,RTD("tos.rtd",,CD$2,"."&amp;$A$2&amp;$AS$1&amp;"C"&amp;$A8))</f>
        <v>0</v>
      </c>
      <c r="CE8" s="3">
        <f>-IF(RTD("tos.rtd",,CE$2,"."&amp;$A$2&amp;$AS$1&amp;"P"&amp;$A8)="N/A",0,RTD("tos.rtd",,CE$2,"."&amp;$A$2&amp;$AS$1&amp;"P"&amp;$A8))</f>
        <v>0.75</v>
      </c>
      <c r="CF8" s="3">
        <f>IF(RTD("tos.rtd",,CF$2,"."&amp;$A$2&amp;$AU$1&amp;"C"&amp;$A8)="N/A",0,RTD("tos.rtd",,CF$2,"."&amp;$A$2&amp;$AU$1&amp;"C"&amp;$A8))</f>
        <v>0.03</v>
      </c>
      <c r="CG8" s="3">
        <f>-IF(RTD("tos.rtd",,CG$2,"."&amp;$A$2&amp;$AU$1&amp;"P"&amp;$A8)="N/A",0,RTD("tos.rtd",,CG$2,"."&amp;$A$2&amp;$AU$1&amp;"P"&amp;$A8))</f>
        <v>0.73</v>
      </c>
      <c r="CH8" s="3">
        <f>IF(RTD("tos.rtd",,CH$2,"."&amp;$A$2&amp;$AW$1&amp;"C"&amp;$A8)="N/A",0,RTD("tos.rtd",,CH$2,"."&amp;$A$2&amp;$AW$1&amp;"C"&amp;$A8))</f>
        <v>0.18</v>
      </c>
      <c r="CI8" s="3">
        <f>-IF(RTD("tos.rtd",,CI$2,"."&amp;$A$2&amp;$AW$1&amp;"P"&amp;$A8)="N/A",0,RTD("tos.rtd",,CI$2,"."&amp;$A$2&amp;$AW$1&amp;"P"&amp;$A8))</f>
        <v>0.71</v>
      </c>
      <c r="CK8" s="3">
        <f t="shared" si="17"/>
        <v>-75</v>
      </c>
      <c r="CL8" s="3"/>
      <c r="CM8" s="3">
        <f t="shared" si="18"/>
        <v>3129.0000000000009</v>
      </c>
      <c r="CN8" s="3"/>
      <c r="CO8" s="3">
        <f t="shared" si="19"/>
        <v>174882</v>
      </c>
      <c r="CP8" s="3">
        <f t="shared" si="43"/>
        <v>177936</v>
      </c>
      <c r="CQ8" s="3">
        <f t="shared" si="44"/>
        <v>6079</v>
      </c>
      <c r="CR8" s="3"/>
      <c r="CS8" s="3">
        <f t="shared" si="20"/>
        <v>1222</v>
      </c>
      <c r="CT8" s="3"/>
      <c r="CU8" s="3">
        <f t="shared" si="21"/>
        <v>1254</v>
      </c>
      <c r="CV8" s="3">
        <f t="shared" si="45"/>
        <v>8555</v>
      </c>
      <c r="CW8" s="3" t="e">
        <f t="shared" ca="1" si="46"/>
        <v>#NUM!</v>
      </c>
      <c r="CX8" s="85" t="e">
        <f t="shared" ca="1" si="75"/>
        <v>#NUM!</v>
      </c>
      <c r="CY8" s="3" t="e">
        <f t="shared" ca="1" si="47"/>
        <v>#NUM!</v>
      </c>
      <c r="CZ8" s="85" t="e">
        <f t="shared" ca="1" si="76"/>
        <v>#NUM!</v>
      </c>
      <c r="DA8" s="3">
        <f>IF(RTD("tos.rtd",,DA$2,"."&amp;$A$2&amp;$AS$1&amp;"C"&amp;$A8)="N/A",0,RTD("tos.rtd",,DA$2,"."&amp;$A$2&amp;$AS$1&amp;"C"&amp;$A8))</f>
        <v>0.01</v>
      </c>
      <c r="DB8" s="3">
        <f>IF(RTD("tos.rtd",,DB$2,"."&amp;$A$2&amp;$AS$1&amp;"P"&amp;$A8)="N/A",0,RTD("tos.rtd",,DB$2,"."&amp;$A$2&amp;$AS$1&amp;"P"&amp;$A8))</f>
        <v>19.13</v>
      </c>
      <c r="DC8" s="3">
        <f>IF(RTD("tos.rtd",,DC$2,"."&amp;$A$2&amp;$AS$1&amp;"C"&amp;$A8)="N/A",0,RTD("tos.rtd",,DC$2,"."&amp;$A$2&amp;$AS$1&amp;"C"&amp;$A8))</f>
        <v>0.01</v>
      </c>
      <c r="DD8" s="3">
        <f>IF(RTD("tos.rtd",,DD$2,"."&amp;$A$2&amp;$AS$1&amp;"P"&amp;$A8)="N/A",0,RTD("tos.rtd",,DD$2,"."&amp;$A$2&amp;$AS$1&amp;"P"&amp;$A8))</f>
        <v>17.29</v>
      </c>
      <c r="DE8" s="3">
        <f>IF(RTD("tos.rtd",,DE$2,"."&amp;$A$2&amp;$AS$1&amp;"C"&amp;$A8)="N/A",0,RTD("tos.rtd",,DE$2,"."&amp;$A$2&amp;$AS$1&amp;"C"&amp;$A8))</f>
        <v>0</v>
      </c>
      <c r="DF8" s="3">
        <f>IF(RTD("tos.rtd",,DF$2,"."&amp;$A$2&amp;$AS$1&amp;"P"&amp;$A8)="N/A",0,RTD("tos.rtd",,DF$2,"."&amp;$A$2&amp;$AS$1&amp;"P"&amp;$A8))</f>
        <v>15.98</v>
      </c>
      <c r="DG8" s="86">
        <f t="shared" si="48"/>
        <v>13.669999999999959</v>
      </c>
      <c r="DH8" s="3">
        <f t="shared" si="22"/>
        <v>0</v>
      </c>
      <c r="DI8" s="3">
        <f t="shared" si="49"/>
        <v>0</v>
      </c>
      <c r="DJ8" s="3">
        <f t="shared" si="50"/>
        <v>0</v>
      </c>
      <c r="DK8" s="3">
        <f t="shared" si="51"/>
        <v>0</v>
      </c>
      <c r="DL8" s="3">
        <f t="shared" si="52"/>
        <v>0</v>
      </c>
      <c r="DM8" s="3">
        <f t="shared" si="53"/>
        <v>0</v>
      </c>
      <c r="DN8" s="63" t="str">
        <f t="shared" si="54"/>
        <v>UNKNOWN</v>
      </c>
      <c r="DO8" s="63" t="str">
        <f t="shared" si="55"/>
        <v>UNKNOWN</v>
      </c>
      <c r="DP8" s="3">
        <f t="shared" si="56"/>
        <v>0</v>
      </c>
      <c r="DQ8" s="3">
        <f t="shared" si="57"/>
        <v>0</v>
      </c>
      <c r="DR8" s="3" t="e">
        <f t="shared" ca="1" si="58"/>
        <v>#NUM!</v>
      </c>
      <c r="DS8" s="3">
        <f t="shared" si="59"/>
        <v>0</v>
      </c>
      <c r="DT8" s="3">
        <f t="shared" si="60"/>
        <v>0</v>
      </c>
      <c r="DU8" s="3">
        <f t="shared" si="61"/>
        <v>0</v>
      </c>
      <c r="DV8" s="3">
        <f t="shared" si="62"/>
        <v>505</v>
      </c>
      <c r="DW8" s="3">
        <f t="shared" si="23"/>
        <v>0</v>
      </c>
      <c r="DX8" s="3" t="e">
        <f t="shared" ca="1" si="24"/>
        <v>#NUM!</v>
      </c>
      <c r="DY8" s="3" t="e">
        <f t="shared" ca="1" si="25"/>
        <v>#NUM!</v>
      </c>
      <c r="DZ8" s="3">
        <f t="shared" ca="1" si="26"/>
        <v>1.4211703853634032E-2</v>
      </c>
      <c r="EA8" s="3">
        <f t="shared" ca="1" si="27"/>
        <v>-1.4127469672092052E-2</v>
      </c>
      <c r="EB8" s="3">
        <f t="shared" ca="1" si="28"/>
        <v>1.0656040298772283E-2</v>
      </c>
      <c r="EC8" s="3">
        <f t="shared" ca="1" si="29"/>
        <v>-1.8190312076728526E-2</v>
      </c>
      <c r="ED8" s="63">
        <f t="shared" si="63"/>
        <v>505</v>
      </c>
      <c r="EE8" s="59">
        <f t="shared" si="64"/>
        <v>1.1652</v>
      </c>
      <c r="EF8" s="59">
        <f t="shared" si="30"/>
        <v>4.66</v>
      </c>
      <c r="EG8" s="59">
        <f t="shared" si="31"/>
        <v>0.188</v>
      </c>
      <c r="EH8" s="59">
        <f t="shared" si="32"/>
        <v>0.53569999999999995</v>
      </c>
      <c r="EI8" s="59">
        <f t="shared" si="33"/>
        <v>0.16020000000000001</v>
      </c>
      <c r="EJ8" s="59">
        <f t="shared" si="34"/>
        <v>0.26529999999999998</v>
      </c>
      <c r="EL8" s="3" t="str">
        <f>RTD("tos.rtd",,EL$2,"."&amp;$A$2&amp;$AS$1&amp;"C"&amp;$A8)</f>
        <v>116.52%</v>
      </c>
      <c r="EM8" s="3" t="str">
        <f>RTD("tos.rtd",,EM$2,"."&amp;$A$2&amp;$AS$1&amp;"P"&amp;$A8)</f>
        <v>466.00%</v>
      </c>
      <c r="EN8" s="3" t="str">
        <f>RTD("tos.rtd",,EN$2,"."&amp;$A$2&amp;$AU$1&amp;"C"&amp;$A8)</f>
        <v>18.80%</v>
      </c>
      <c r="EO8" s="3" t="str">
        <f>RTD("tos.rtd",,EO$2,"."&amp;$A$2&amp;$AU$1&amp;"P"&amp;$A8)</f>
        <v>53.57%</v>
      </c>
      <c r="EP8" s="3" t="str">
        <f>RTD("tos.rtd",,EP$2,"."&amp;$A$2&amp;$AW$1&amp;"C"&amp;$A8)</f>
        <v>16.02%</v>
      </c>
      <c r="EQ8" s="3" t="str">
        <f>RTD("tos.rtd",,EQ$2,"."&amp;$A$2&amp;$AW$1&amp;"P"&amp;$A8)</f>
        <v>26.53%</v>
      </c>
      <c r="ES8" s="63" t="str">
        <f t="shared" si="65"/>
        <v>578,505.00</v>
      </c>
      <c r="ET8" s="63" t="str">
        <f t="shared" ca="1" si="66"/>
        <v>578,00.00</v>
      </c>
      <c r="EU8" s="67">
        <v>562.89</v>
      </c>
      <c r="EV8" s="67" t="s">
        <v>84</v>
      </c>
      <c r="EW8" s="67">
        <v>485.46</v>
      </c>
      <c r="EX8" s="67" t="s">
        <v>85</v>
      </c>
      <c r="EY8" s="67">
        <v>5642.5</v>
      </c>
      <c r="EZ8" s="67" t="s">
        <v>86</v>
      </c>
      <c r="FA8" s="67">
        <v>19942</v>
      </c>
      <c r="FB8" s="67" t="s">
        <v>87</v>
      </c>
      <c r="FC8" s="67" t="s">
        <v>88</v>
      </c>
      <c r="FD8" s="67" t="s">
        <v>89</v>
      </c>
      <c r="FE8" s="67" t="s">
        <v>90</v>
      </c>
      <c r="FF8" s="67" t="s">
        <v>91</v>
      </c>
    </row>
    <row r="9" spans="1:162" s="63" customFormat="1" ht="13.5" thickBot="1" x14ac:dyDescent="0.25">
      <c r="A9" s="2">
        <f t="shared" si="67"/>
        <v>577</v>
      </c>
      <c r="B9" s="3">
        <f t="shared" ref="B9:B14" si="81">+IF($A$1="ABS",AS9-AT9,AS9+AT9)</f>
        <v>3325</v>
      </c>
      <c r="C9" s="3">
        <f t="shared" ref="C9:C14" si="82">+IF($A$1="ABS",AU9-AV9,AU9+AV9)</f>
        <v>1939</v>
      </c>
      <c r="D9" s="3">
        <f t="shared" ref="D9:D14" si="83">+IF($A$1="ABS",AW9-AX9,AW9+AX9)</f>
        <v>4126</v>
      </c>
      <c r="E9" s="3">
        <f t="shared" ref="E9:E14" si="84">SUM(B9:D9)</f>
        <v>9390</v>
      </c>
      <c r="F9" s="4">
        <f t="shared" ref="F9:F14" si="85">+$F$3/$A$3*A9</f>
        <v>5807.5239664735163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>
        <v>401</v>
      </c>
      <c r="AN9" s="1">
        <v>-15</v>
      </c>
      <c r="AO9" s="1">
        <v>577</v>
      </c>
      <c r="AP9" s="1">
        <v>2445</v>
      </c>
      <c r="AQ9" s="1">
        <v>-41</v>
      </c>
      <c r="AR9" s="1"/>
      <c r="AS9" s="6">
        <f>IF(RTD("tos.rtd",,AS$2,"."&amp;$A$2&amp;$AS$1&amp;"C"&amp;$A9)="N/A",0,RTD("tos.rtd",,AS$2,"."&amp;$A$2&amp;$AS$1&amp;"C"&amp;$A9))</f>
        <v>3324</v>
      </c>
      <c r="AT9" s="7">
        <f>-IF(RTD("tos.rtd",,AT$2,"."&amp;$A$2&amp;$AS$1&amp;"P"&amp;$A9)="N/A",0,RTD("tos.rtd",,AT$2,"."&amp;$A$2&amp;$AS$1&amp;"P"&amp;$A9))</f>
        <v>-1</v>
      </c>
      <c r="AU9" s="6">
        <f>IF(RTD("tos.rtd",,AU$2,"."&amp;$A$2&amp;$AU$1&amp;"C"&amp;$A9)="N/A",0,RTD("tos.rtd",,AU$2,"."&amp;$A$2&amp;$AU$1&amp;"C"&amp;$A9))</f>
        <v>1877</v>
      </c>
      <c r="AV9" s="7">
        <f>-IF(RTD("tos.rtd",,AV$2,"."&amp;$A$2&amp;$AU$1&amp;"P"&amp;$A9)="N/A",0,RTD("tos.rtd",,AV$2,"."&amp;$A$2&amp;$AU$1&amp;"P"&amp;$A9))</f>
        <v>-62</v>
      </c>
      <c r="AW9" s="6">
        <f>IF(RTD("tos.rtd",,AW$2,"."&amp;$A$2&amp;$AW$1&amp;"C"&amp;$A9)="N/A",0,RTD("tos.rtd",,AW$2,"."&amp;$A$2&amp;$AW$1&amp;"C"&amp;$A9))</f>
        <v>4106</v>
      </c>
      <c r="AX9" s="7">
        <f>-IF(RTD("tos.rtd",,AX$2,"."&amp;$A$2&amp;$AW$1&amp;"P"&amp;$A9)="N/A",0,RTD("tos.rtd",,AX$2,"."&amp;$A$2&amp;$AW$1&amp;"P"&amp;$A9))</f>
        <v>-20</v>
      </c>
      <c r="AY9" s="1">
        <f t="shared" ref="AY9:AY14" si="86">SUM(AS9:AX9)</f>
        <v>9224</v>
      </c>
      <c r="AZ9" s="8">
        <f t="shared" si="35"/>
        <v>577</v>
      </c>
      <c r="BA9" s="6">
        <f>IF(RTD("tos.rtd",,BA$2,"."&amp;$A$2&amp;$AS$1&amp;"C"&amp;$A9)="N/A",0,RTD("tos.rtd",,BA$2,"."&amp;$A$2&amp;$AS$1&amp;"C"&amp;$A9))</f>
        <v>2445</v>
      </c>
      <c r="BB9" s="7">
        <f>-IF(RTD("tos.rtd",,BB$2,"."&amp;$A$2&amp;$AS$1&amp;"P"&amp;$A9)="N/A",0,RTD("tos.rtd",,BB$2,"."&amp;$A$2&amp;$AS$1&amp;"P"&amp;$A9))</f>
        <v>-41</v>
      </c>
      <c r="BC9" s="6">
        <f>IF(RTD("tos.rtd",,BC$2,"."&amp;$A$2&amp;$AU$1&amp;"C"&amp;$A9)="N/A",0,RTD("tos.rtd",,BC$2,"."&amp;$A$2&amp;$AU$1&amp;"C"&amp;$A9))</f>
        <v>1720</v>
      </c>
      <c r="BD9" s="7">
        <f>-IF(RTD("tos.rtd",,BD$2,"."&amp;$A$2&amp;$AU$1&amp;"P"&amp;$A9)="N/A",0,RTD("tos.rtd",,BD$2,"."&amp;$A$2&amp;$AU$1&amp;"P"&amp;$A9))</f>
        <v>-215</v>
      </c>
      <c r="BE9" s="6">
        <f>IF(RTD("tos.rtd",,BE$2,"."&amp;$A$2&amp;$AW$1&amp;"C"&amp;$A9)="N/A",0,RTD("tos.rtd",,BE$2,"."&amp;$A$2&amp;$AW$1&amp;"C"&amp;$A9))</f>
        <v>1024</v>
      </c>
      <c r="BF9" s="83">
        <f>-IF(RTD("tos.rtd",,BF$2,"."&amp;$A$2&amp;$AW$1&amp;"P"&amp;$A9)="N/A",0,RTD("tos.rtd",,BF$2,"."&amp;$A$2&amp;$AW$1&amp;"P"&amp;$A9))</f>
        <v>-25</v>
      </c>
      <c r="BG9" s="32">
        <f ca="1">+Hoja2!Y10</f>
        <v>1156</v>
      </c>
      <c r="BH9" s="7">
        <f t="shared" ca="1" si="36"/>
        <v>6064</v>
      </c>
      <c r="BI9" s="8" t="str">
        <f t="shared" ref="BI9" ca="1" si="87">IF(AND(BH9&lt;0,BH8&gt;0), "Cruce -", IF(AND(BH9&gt;0,BH8&lt;0),"Cruce +", ""))</f>
        <v/>
      </c>
      <c r="BJ9" s="3" t="e">
        <f ca="1">IF($BP$1=1,DX9,IF(RTD("tos.rtd",,BJ$2,"."&amp;$A$2&amp;$AS$1&amp;"C"&amp;$A9)="N/A",0,RTD("tos.rtd",,BJ$2,"."&amp;$A$2&amp;$AS$1&amp;"C"&amp;$A9)))</f>
        <v>#NUM!</v>
      </c>
      <c r="BK9" s="3" t="e">
        <f ca="1">IF($BP$1=1,DY9,-IF(RTD("tos.rtd",,BK$2,"."&amp;$A$2&amp;$AS$1&amp;"P"&amp;$A9)="N/A",0,RTD("tos.rtd",,BK$2,"."&amp;$A$2&amp;$AS$1&amp;"P"&amp;$A9)))</f>
        <v>#NUM!</v>
      </c>
      <c r="BL9" s="3">
        <f ca="1">IF($BP$1=1,DZ9,IF(RTD("tos.rtd",,BL$2,"."&amp;$A$2&amp;$AU$1&amp;"C"&amp;$A9)="N/A",0,RTD("tos.rtd",,BL$2,"."&amp;$A$2&amp;$AU$1&amp;"C"&amp;$A9)))</f>
        <v>1.6441896526884828E-2</v>
      </c>
      <c r="BM9" s="3">
        <f ca="1">IF($BP$1=1,EA9,-IF(RTD("tos.rtd",,BM$2,"."&amp;$A$2&amp;$AU$1&amp;"P"&amp;$A9)="N/A",0,RTD("tos.rtd",,BM$2,"."&amp;$A$2&amp;$AU$1&amp;"P"&amp;$A9)))</f>
        <v>-1.5302193439843376E-2</v>
      </c>
      <c r="BN9" s="3">
        <f ca="1">IF($BP$1=1,EB9,IF(RTD("tos.rtd",,BN$2,"."&amp;$A$2&amp;$AW$1&amp;"C"&amp;$A9)="N/A",0,RTD("tos.rtd",,BN$2,"."&amp;$A$2&amp;$AW$1&amp;"C"&amp;$A9)))</f>
        <v>1.3500009146935513E-2</v>
      </c>
      <c r="BO9" s="3">
        <f ca="1">IF($BP$1=1,EC9,-IF(RTD("tos.rtd",,BO$2,"."&amp;$A$2&amp;$AW$1&amp;"P"&amp;$A9)="N/A",0,RTD("tos.rtd",,BO$2,"."&amp;$A$2&amp;$AW$1&amp;"P"&amp;$A9)))</f>
        <v>-1.9759945040091802E-2</v>
      </c>
      <c r="BQ9" s="3" t="e">
        <f t="shared" ref="BQ9:BQ14" ca="1" si="88">+$A$3*$A$3*AS9*BJ9-$A$3*$A$3*AT9*BK9</f>
        <v>#NUM!</v>
      </c>
      <c r="BR9" s="3" t="e">
        <f t="shared" ca="1" si="70"/>
        <v>#NUM!</v>
      </c>
      <c r="BS9" s="3">
        <f t="shared" ref="BS9:BS14" ca="1" si="89">+$A$3*$A$3*AU9*BL9-$A$3*$A$3*AV9*BM9</f>
        <v>9526249.3864012174</v>
      </c>
      <c r="BT9" s="3" t="str">
        <f t="shared" ca="1" si="70"/>
        <v/>
      </c>
      <c r="BU9" s="3">
        <f t="shared" ref="BU9:BU14" ca="1" si="90">+$A$3*$A$3*AW9*BN9-$A$3*$A$3*AX9*BO9</f>
        <v>17527172.667267248</v>
      </c>
      <c r="BV9" s="3" t="str">
        <f t="shared" ref="BV9" ca="1" si="91">IF(AND(BU9&lt;0,BU8&gt;0), "Cruce -", IF(AND(BU9&gt;0,BU8&lt;0),"Cruce +", ""))</f>
        <v/>
      </c>
      <c r="BX9" s="3" t="e">
        <f t="shared" ref="BX9:BX14" ca="1" si="92">+$A$3*$A$3*BA9*BJ9-$A$3*$A$3*BB9*BK9</f>
        <v>#NUM!</v>
      </c>
      <c r="BY9" s="3" t="e">
        <f t="shared" ca="1" si="72"/>
        <v>#NUM!</v>
      </c>
      <c r="BZ9" s="3">
        <f t="shared" ref="BZ9:BZ14" ca="1" si="93">+$A$3*$A$3*BC9*BL9-$A$3*$A$3*BD9*BM9</f>
        <v>7958552.8402297534</v>
      </c>
      <c r="CA9" s="3" t="str">
        <f t="shared" ca="1" si="73"/>
        <v/>
      </c>
      <c r="CB9" s="3">
        <f t="shared" ref="CB9:CB14" ca="1" si="94">+$A$3*$A$3*BE9*BN9-$A$3*$A$3*BF9*BO9</f>
        <v>4245186.5113334581</v>
      </c>
      <c r="CC9" s="3" t="str">
        <f t="shared" ca="1" si="74"/>
        <v/>
      </c>
      <c r="CD9" s="3">
        <f>IF(RTD("tos.rtd",,CD$2,"."&amp;$A$2&amp;$AS$1&amp;"C"&amp;$A9)="N/A",0,RTD("tos.rtd",,CD$2,"."&amp;$A$2&amp;$AS$1&amp;"C"&amp;$A9))</f>
        <v>0</v>
      </c>
      <c r="CE9" s="3">
        <f>-IF(RTD("tos.rtd",,CE$2,"."&amp;$A$2&amp;$AS$1&amp;"P"&amp;$A9)="N/A",0,RTD("tos.rtd",,CE$2,"."&amp;$A$2&amp;$AS$1&amp;"P"&amp;$A9))</f>
        <v>0.74</v>
      </c>
      <c r="CF9" s="3">
        <f>IF(RTD("tos.rtd",,CF$2,"."&amp;$A$2&amp;$AU$1&amp;"C"&amp;$A9)="N/A",0,RTD("tos.rtd",,CF$2,"."&amp;$A$2&amp;$AU$1&amp;"C"&amp;$A9))</f>
        <v>0.04</v>
      </c>
      <c r="CG9" s="3">
        <f>-IF(RTD("tos.rtd",,CG$2,"."&amp;$A$2&amp;$AU$1&amp;"P"&amp;$A9)="N/A",0,RTD("tos.rtd",,CG$2,"."&amp;$A$2&amp;$AU$1&amp;"P"&amp;$A9))</f>
        <v>0.74</v>
      </c>
      <c r="CH9" s="3">
        <f>IF(RTD("tos.rtd",,CH$2,"."&amp;$A$2&amp;$AW$1&amp;"C"&amp;$A9)="N/A",0,RTD("tos.rtd",,CH$2,"."&amp;$A$2&amp;$AW$1&amp;"C"&amp;$A9))</f>
        <v>0.2</v>
      </c>
      <c r="CI9" s="3">
        <f>-IF(RTD("tos.rtd",,CI$2,"."&amp;$A$2&amp;$AW$1&amp;"P"&amp;$A9)="N/A",0,RTD("tos.rtd",,CI$2,"."&amp;$A$2&amp;$AW$1&amp;"P"&amp;$A9))</f>
        <v>0.7</v>
      </c>
      <c r="CK9" s="3">
        <f t="shared" ref="CK9:CK14" si="95">+AS9*CD9*100+AT9*CE9*100</f>
        <v>-74</v>
      </c>
      <c r="CL9" s="3"/>
      <c r="CM9" s="3">
        <f t="shared" ref="CM9:CM14" si="96">+AU9*CF9*100+AV9*CG9*100</f>
        <v>2920</v>
      </c>
      <c r="CN9" s="3"/>
      <c r="CO9" s="3">
        <f t="shared" ref="CO9:CO14" si="97">+AW9*CH9*100+AX9*CI9*100</f>
        <v>80720</v>
      </c>
      <c r="CP9" s="3">
        <f t="shared" ref="CP9:CP14" si="98">+CK9+CM9+CO9</f>
        <v>83566</v>
      </c>
      <c r="CQ9" s="3">
        <f t="shared" ref="CQ9:CQ14" si="99">+BA9+BB9</f>
        <v>2404</v>
      </c>
      <c r="CR9" s="3"/>
      <c r="CS9" s="3">
        <f t="shared" ref="CS9:CS14" si="100">+BC9+BD9</f>
        <v>1505</v>
      </c>
      <c r="CT9" s="3"/>
      <c r="CU9" s="3">
        <f t="shared" ref="CU9:CU14" si="101">+BE9+BF9</f>
        <v>999</v>
      </c>
      <c r="CV9" s="3">
        <f t="shared" ref="CV9:CV14" si="102">+CQ9+CS9+CU9</f>
        <v>4908</v>
      </c>
      <c r="CW9" s="3" t="e">
        <f t="shared" ref="CW9:CW14" ca="1" si="103">+BQ9+BS9+BU9</f>
        <v>#NUM!</v>
      </c>
      <c r="CX9" s="85" t="e">
        <f t="shared" ca="1" si="75"/>
        <v>#NUM!</v>
      </c>
      <c r="CY9" s="3" t="e">
        <f t="shared" ref="CY9:CY14" ca="1" si="104">+BX9+BZ9+CB9</f>
        <v>#NUM!</v>
      </c>
      <c r="CZ9" s="85" t="e">
        <f t="shared" ca="1" si="76"/>
        <v>#NUM!</v>
      </c>
      <c r="DA9" s="3">
        <f>IF(RTD("tos.rtd",,DA$2,"."&amp;$A$2&amp;$AS$1&amp;"C"&amp;$A9)="N/A",0,RTD("tos.rtd",,DA$2,"."&amp;$A$2&amp;$AS$1&amp;"C"&amp;$A9))</f>
        <v>0.01</v>
      </c>
      <c r="DB9" s="3">
        <f>IF(RTD("tos.rtd",,DB$2,"."&amp;$A$2&amp;$AS$1&amp;"P"&amp;$A9)="N/A",0,RTD("tos.rtd",,DB$2,"."&amp;$A$2&amp;$AS$1&amp;"P"&amp;$A9))</f>
        <v>14.95</v>
      </c>
      <c r="DC9" s="3">
        <f>IF(RTD("tos.rtd",,DC$2,"."&amp;$A$2&amp;$AS$1&amp;"C"&amp;$A9)="N/A",0,RTD("tos.rtd",,DC$2,"."&amp;$A$2&amp;$AS$1&amp;"C"&amp;$A9))</f>
        <v>0.01</v>
      </c>
      <c r="DD9" s="3">
        <f>IF(RTD("tos.rtd",,DD$2,"."&amp;$A$2&amp;$AS$1&amp;"P"&amp;$A9)="N/A",0,RTD("tos.rtd",,DD$2,"."&amp;$A$2&amp;$AS$1&amp;"P"&amp;$A9))</f>
        <v>16.29</v>
      </c>
      <c r="DE9" s="3">
        <f>IF(RTD("tos.rtd",,DE$2,"."&amp;$A$2&amp;$AS$1&amp;"C"&amp;$A9)="N/A",0,RTD("tos.rtd",,DE$2,"."&amp;$A$2&amp;$AS$1&amp;"C"&amp;$A9))</f>
        <v>0</v>
      </c>
      <c r="DF9" s="3">
        <f>IF(RTD("tos.rtd",,DF$2,"."&amp;$A$2&amp;$AS$1&amp;"P"&amp;$A9)="N/A",0,RTD("tos.rtd",,DF$2,"."&amp;$A$2&amp;$AS$1&amp;"P"&amp;$A9))</f>
        <v>14.96</v>
      </c>
      <c r="DG9" s="86">
        <f t="shared" si="48"/>
        <v>12.669999999999959</v>
      </c>
      <c r="DH9" s="3">
        <f t="shared" ref="DH9:DH14" si="105">((DA9-DE9)/(DC9-DE9))*(BA9-AP9)</f>
        <v>0</v>
      </c>
      <c r="DI9" s="3">
        <f t="shared" ref="DI9:DI14" si="106">((DB9-DF9)/(DD9-DF9))*(BB9-AQ9)</f>
        <v>0</v>
      </c>
      <c r="DJ9" s="3">
        <f t="shared" ref="DJ9:DJ14" si="107">IF(DA9&gt;=(DE9+(DC9-DE9)*0.6),(BA9-AP9),IF(DA9&lt;=(DE9+(DC9-DE9)*0.4),-(BA9-AP9),0))</f>
        <v>0</v>
      </c>
      <c r="DK9" s="3">
        <f t="shared" si="51"/>
        <v>0</v>
      </c>
      <c r="DL9" s="3">
        <f t="shared" si="52"/>
        <v>0</v>
      </c>
      <c r="DM9" s="3">
        <f t="shared" si="53"/>
        <v>0</v>
      </c>
      <c r="DN9" s="63" t="str">
        <f t="shared" si="54"/>
        <v>UNKNOWN</v>
      </c>
      <c r="DO9" s="63" t="str">
        <f t="shared" si="55"/>
        <v>UNKNOWN</v>
      </c>
      <c r="DP9" s="3">
        <f t="shared" si="56"/>
        <v>0</v>
      </c>
      <c r="DQ9" s="3">
        <f t="shared" si="57"/>
        <v>0</v>
      </c>
      <c r="DR9" s="3" t="e">
        <f t="shared" ca="1" si="58"/>
        <v>#NUM!</v>
      </c>
      <c r="DS9" s="3">
        <f t="shared" si="59"/>
        <v>0</v>
      </c>
      <c r="DT9" s="3">
        <f t="shared" si="60"/>
        <v>0</v>
      </c>
      <c r="DU9" s="3">
        <f t="shared" si="61"/>
        <v>0</v>
      </c>
      <c r="DV9" s="3">
        <f t="shared" si="62"/>
        <v>401</v>
      </c>
      <c r="DW9" s="3">
        <f t="shared" si="23"/>
        <v>-15</v>
      </c>
      <c r="DX9" s="3" t="e">
        <f t="shared" ca="1" si="24"/>
        <v>#NUM!</v>
      </c>
      <c r="DY9" s="3" t="e">
        <f t="shared" ca="1" si="25"/>
        <v>#NUM!</v>
      </c>
      <c r="DZ9" s="3">
        <f t="shared" ca="1" si="26"/>
        <v>1.6441896526884828E-2</v>
      </c>
      <c r="EA9" s="3">
        <f t="shared" ca="1" si="27"/>
        <v>-1.5302193439843376E-2</v>
      </c>
      <c r="EB9" s="3">
        <f t="shared" ca="1" si="28"/>
        <v>1.3500009146935513E-2</v>
      </c>
      <c r="EC9" s="3">
        <f t="shared" ca="1" si="29"/>
        <v>-1.9759945040091802E-2</v>
      </c>
      <c r="ED9" s="63">
        <f t="shared" si="63"/>
        <v>386</v>
      </c>
      <c r="EE9" s="59">
        <f t="shared" ref="EE9:EE14" si="108">IFERROR(VALUE(IF(OR(EL9="--",EL9="0.00%"),$EE$1,EL9)),$EE$1)</f>
        <v>1.0892999999999999</v>
      </c>
      <c r="EF9" s="59">
        <f t="shared" ref="EF9:EF14" si="109">IFERROR(VALUE(IF(OR(EM9="--",EM9="0.00%"),$EE$1,EM9)),$EE$1)</f>
        <v>4.4730999999999996</v>
      </c>
      <c r="EG9" s="59">
        <f t="shared" ref="EG9:EG14" si="110">IFERROR(VALUE(IF(OR(EN9="--",EN9="0.00%"),$EE$1,EN9)),$EE$1)</f>
        <v>0.18440000000000001</v>
      </c>
      <c r="EH9" s="59">
        <f t="shared" ref="EH9:EH14" si="111">IFERROR(VALUE(IF(OR(EO9="--",EO9="0.00%"),$EE$1,EO9)),$EE$1)</f>
        <v>0.49320000000000003</v>
      </c>
      <c r="EI9" s="59">
        <f t="shared" ref="EI9:EI14" si="112">IFERROR(VALUE(IF(OR(EP9="--",EP9="0.00%"),$EE$1,EP9)),$EE$1)</f>
        <v>0.1608</v>
      </c>
      <c r="EJ9" s="59">
        <f t="shared" ref="EJ9:EJ14" si="113">IFERROR(VALUE(IF(OR(EQ9="--",EQ9="0.00%"),$EE$1,EQ9)),$EE$1)</f>
        <v>0.26190000000000002</v>
      </c>
      <c r="EL9" s="3" t="str">
        <f>RTD("tos.rtd",,EL$2,"."&amp;$A$2&amp;$AS$1&amp;"C"&amp;$A9)</f>
        <v>108.93%</v>
      </c>
      <c r="EM9" s="3" t="str">
        <f>RTD("tos.rtd",,EM$2,"."&amp;$A$2&amp;$AS$1&amp;"P"&amp;$A9)</f>
        <v>447.31%</v>
      </c>
      <c r="EN9" s="3" t="str">
        <f>RTD("tos.rtd",,EN$2,"."&amp;$A$2&amp;$AU$1&amp;"C"&amp;$A9)</f>
        <v>18.44%</v>
      </c>
      <c r="EO9" s="3" t="str">
        <f>RTD("tos.rtd",,EO$2,"."&amp;$A$2&amp;$AU$1&amp;"P"&amp;$A9)</f>
        <v>49.32%</v>
      </c>
      <c r="EP9" s="3" t="str">
        <f>RTD("tos.rtd",,EP$2,"."&amp;$A$2&amp;$AW$1&amp;"C"&amp;$A9)</f>
        <v>16.08%</v>
      </c>
      <c r="EQ9" s="3" t="str">
        <f>RTD("tos.rtd",,EQ$2,"."&amp;$A$2&amp;$AW$1&amp;"P"&amp;$A9)</f>
        <v>26.19%</v>
      </c>
      <c r="ES9" s="63" t="str">
        <f t="shared" si="65"/>
        <v>577,386.00</v>
      </c>
      <c r="ET9" s="63" t="str">
        <f t="shared" ca="1" si="66"/>
        <v>577,00.00</v>
      </c>
      <c r="EU9" s="67">
        <v>563.14</v>
      </c>
      <c r="EV9" s="67" t="s">
        <v>92</v>
      </c>
      <c r="EW9" s="67">
        <v>485.74</v>
      </c>
      <c r="EX9" s="67" t="s">
        <v>93</v>
      </c>
      <c r="EY9" s="67">
        <v>5645</v>
      </c>
      <c r="EZ9" s="67" t="s">
        <v>94</v>
      </c>
      <c r="FA9" s="67">
        <v>19953.75</v>
      </c>
      <c r="FB9" s="67" t="s">
        <v>95</v>
      </c>
      <c r="FC9" s="67" t="s">
        <v>96</v>
      </c>
      <c r="FD9" s="67" t="s">
        <v>97</v>
      </c>
      <c r="FE9" s="67" t="s">
        <v>98</v>
      </c>
      <c r="FF9" s="67" t="s">
        <v>99</v>
      </c>
    </row>
    <row r="10" spans="1:162" s="63" customFormat="1" ht="13.5" thickBot="1" x14ac:dyDescent="0.25">
      <c r="A10" s="2">
        <f t="shared" si="67"/>
        <v>576</v>
      </c>
      <c r="B10" s="3">
        <f t="shared" si="81"/>
        <v>1915</v>
      </c>
      <c r="C10" s="3">
        <f t="shared" si="82"/>
        <v>2300</v>
      </c>
      <c r="D10" s="3">
        <f t="shared" si="83"/>
        <v>4611</v>
      </c>
      <c r="E10" s="3">
        <f t="shared" si="84"/>
        <v>8826</v>
      </c>
      <c r="F10" s="4">
        <f t="shared" si="85"/>
        <v>5797.4589336026784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>
        <v>1042</v>
      </c>
      <c r="AN10" s="1">
        <v>-20</v>
      </c>
      <c r="AO10" s="1">
        <v>576</v>
      </c>
      <c r="AP10" s="1">
        <v>6336</v>
      </c>
      <c r="AQ10" s="1">
        <v>-24</v>
      </c>
      <c r="AR10" s="1"/>
      <c r="AS10" s="6">
        <f>IF(RTD("tos.rtd",,AS$2,"."&amp;$A$2&amp;$AS$1&amp;"C"&amp;$A10)="N/A",0,RTD("tos.rtd",,AS$2,"."&amp;$A$2&amp;$AS$1&amp;"C"&amp;$A10))</f>
        <v>1913</v>
      </c>
      <c r="AT10" s="7">
        <f>-IF(RTD("tos.rtd",,AT$2,"."&amp;$A$2&amp;$AS$1&amp;"P"&amp;$A10)="N/A",0,RTD("tos.rtd",,AT$2,"."&amp;$A$2&amp;$AS$1&amp;"P"&amp;$A10))</f>
        <v>-2</v>
      </c>
      <c r="AU10" s="6">
        <f>IF(RTD("tos.rtd",,AU$2,"."&amp;$A$2&amp;$AU$1&amp;"C"&amp;$A10)="N/A",0,RTD("tos.rtd",,AU$2,"."&amp;$A$2&amp;$AU$1&amp;"C"&amp;$A10))</f>
        <v>2232</v>
      </c>
      <c r="AV10" s="7">
        <f>-IF(RTD("tos.rtd",,AV$2,"."&amp;$A$2&amp;$AU$1&amp;"P"&amp;$A10)="N/A",0,RTD("tos.rtd",,AV$2,"."&amp;$A$2&amp;$AU$1&amp;"P"&amp;$A10))</f>
        <v>-68</v>
      </c>
      <c r="AW10" s="6">
        <f>IF(RTD("tos.rtd",,AW$2,"."&amp;$A$2&amp;$AW$1&amp;"C"&amp;$A10)="N/A",0,RTD("tos.rtd",,AW$2,"."&amp;$A$2&amp;$AW$1&amp;"C"&amp;$A10))</f>
        <v>4333</v>
      </c>
      <c r="AX10" s="7">
        <f>-IF(RTD("tos.rtd",,AX$2,"."&amp;$A$2&amp;$AW$1&amp;"P"&amp;$A10)="N/A",0,RTD("tos.rtd",,AX$2,"."&amp;$A$2&amp;$AW$1&amp;"P"&amp;$A10))</f>
        <v>-278</v>
      </c>
      <c r="AY10" s="1">
        <f t="shared" si="86"/>
        <v>8130</v>
      </c>
      <c r="AZ10" s="8">
        <f t="shared" si="35"/>
        <v>576</v>
      </c>
      <c r="BA10" s="6">
        <f>IF(RTD("tos.rtd",,BA$2,"."&amp;$A$2&amp;$AS$1&amp;"C"&amp;$A10)="N/A",0,RTD("tos.rtd",,BA$2,"."&amp;$A$2&amp;$AS$1&amp;"C"&amp;$A10))</f>
        <v>6336</v>
      </c>
      <c r="BB10" s="7">
        <f>-IF(RTD("tos.rtd",,BB$2,"."&amp;$A$2&amp;$AS$1&amp;"P"&amp;$A10)="N/A",0,RTD("tos.rtd",,BB$2,"."&amp;$A$2&amp;$AS$1&amp;"P"&amp;$A10))</f>
        <v>-24</v>
      </c>
      <c r="BC10" s="6">
        <f>IF(RTD("tos.rtd",,BC$2,"."&amp;$A$2&amp;$AU$1&amp;"C"&amp;$A10)="N/A",0,RTD("tos.rtd",,BC$2,"."&amp;$A$2&amp;$AU$1&amp;"C"&amp;$A10))</f>
        <v>1825</v>
      </c>
      <c r="BD10" s="7">
        <f>-IF(RTD("tos.rtd",,BD$2,"."&amp;$A$2&amp;$AU$1&amp;"P"&amp;$A10)="N/A",0,RTD("tos.rtd",,BD$2,"."&amp;$A$2&amp;$AU$1&amp;"P"&amp;$A10))</f>
        <v>-8</v>
      </c>
      <c r="BE10" s="6">
        <f>IF(RTD("tos.rtd",,BE$2,"."&amp;$A$2&amp;$AW$1&amp;"C"&amp;$A10)="N/A",0,RTD("tos.rtd",,BE$2,"."&amp;$A$2&amp;$AW$1&amp;"C"&amp;$A10))</f>
        <v>522</v>
      </c>
      <c r="BF10" s="83">
        <f>-IF(RTD("tos.rtd",,BF$2,"."&amp;$A$2&amp;$AW$1&amp;"P"&amp;$A10)="N/A",0,RTD("tos.rtd",,BF$2,"."&amp;$A$2&amp;$AW$1&amp;"P"&amp;$A10))</f>
        <v>-8</v>
      </c>
      <c r="BG10" s="32">
        <f ca="1">+Hoja2!Y11</f>
        <v>653</v>
      </c>
      <c r="BH10" s="7">
        <f t="shared" ca="1" si="36"/>
        <v>9296</v>
      </c>
      <c r="BI10" s="8" t="str">
        <f t="shared" ref="BI10" ca="1" si="114">IF(AND(BH10&lt;0,BH9&gt;0), "Cruce -", IF(AND(BH10&gt;0,BH9&lt;0),"Cruce +", ""))</f>
        <v/>
      </c>
      <c r="BJ10" s="3" t="e">
        <f ca="1">IF($BP$1=1,DX10,IF(RTD("tos.rtd",,BJ$2,"."&amp;$A$2&amp;$AS$1&amp;"C"&amp;$A10)="N/A",0,RTD("tos.rtd",,BJ$2,"."&amp;$A$2&amp;$AS$1&amp;"C"&amp;$A10)))</f>
        <v>#NUM!</v>
      </c>
      <c r="BK10" s="3" t="e">
        <f ca="1">IF($BP$1=1,DY10,-IF(RTD("tos.rtd",,BK$2,"."&amp;$A$2&amp;$AS$1&amp;"P"&amp;$A10)="N/A",0,RTD("tos.rtd",,BK$2,"."&amp;$A$2&amp;$AS$1&amp;"P"&amp;$A10)))</f>
        <v>#NUM!</v>
      </c>
      <c r="BL10" s="3">
        <f ca="1">IF($BP$1=1,DZ10,IF(RTD("tos.rtd",,BL$2,"."&amp;$A$2&amp;$AU$1&amp;"C"&amp;$A10)="N/A",0,RTD("tos.rtd",,BL$2,"."&amp;$A$2&amp;$AU$1&amp;"C"&amp;$A10)))</f>
        <v>1.9057946735721181E-2</v>
      </c>
      <c r="BM10" s="3">
        <f ca="1">IF($BP$1=1,EA10,-IF(RTD("tos.rtd",,BM$2,"."&amp;$A$2&amp;$AU$1&amp;"P"&amp;$A10)="N/A",0,RTD("tos.rtd",,BM$2,"."&amp;$A$2&amp;$AU$1&amp;"P"&amp;$A10)))</f>
        <v>-1.6075578956890393E-2</v>
      </c>
      <c r="BN10" s="3">
        <f ca="1">IF($BP$1=1,EB10,IF(RTD("tos.rtd",,BN$2,"."&amp;$A$2&amp;$AW$1&amp;"C"&amp;$A10)="N/A",0,RTD("tos.rtd",,BN$2,"."&amp;$A$2&amp;$AW$1&amp;"C"&amp;$A10)))</f>
        <v>1.6742914738354615E-2</v>
      </c>
      <c r="BO10" s="3">
        <f ca="1">IF($BP$1=1,EC10,-IF(RTD("tos.rtd",,BO$2,"."&amp;$A$2&amp;$AW$1&amp;"P"&amp;$A10)="N/A",0,RTD("tos.rtd",,BO$2,"."&amp;$A$2&amp;$AW$1&amp;"P"&amp;$A10)))</f>
        <v>-2.1409054934686599E-2</v>
      </c>
      <c r="BQ10" s="3" t="e">
        <f t="shared" ca="1" si="88"/>
        <v>#NUM!</v>
      </c>
      <c r="BR10" s="3" t="e">
        <f t="shared" ca="1" si="70"/>
        <v>#NUM!</v>
      </c>
      <c r="BS10" s="3">
        <f t="shared" ca="1" si="89"/>
        <v>13198665.227354722</v>
      </c>
      <c r="BT10" s="3" t="str">
        <f t="shared" ca="1" si="70"/>
        <v/>
      </c>
      <c r="BU10" s="3">
        <f t="shared" ca="1" si="90"/>
        <v>21208505.518667262</v>
      </c>
      <c r="BV10" s="3" t="str">
        <f t="shared" ref="BV10" ca="1" si="115">IF(AND(BU10&lt;0,BU9&gt;0), "Cruce -", IF(AND(BU10&gt;0,BU9&lt;0),"Cruce +", ""))</f>
        <v/>
      </c>
      <c r="BX10" s="3" t="e">
        <f t="shared" ca="1" si="92"/>
        <v>#NUM!</v>
      </c>
      <c r="BY10" s="3" t="e">
        <f t="shared" ca="1" si="72"/>
        <v>#NUM!</v>
      </c>
      <c r="BZ10" s="3">
        <f t="shared" ca="1" si="93"/>
        <v>11035612.410683319</v>
      </c>
      <c r="CA10" s="3" t="str">
        <f t="shared" ca="1" si="73"/>
        <v/>
      </c>
      <c r="CB10" s="3">
        <f t="shared" ca="1" si="94"/>
        <v>2728805.3003111025</v>
      </c>
      <c r="CC10" s="3" t="str">
        <f t="shared" ca="1" si="74"/>
        <v/>
      </c>
      <c r="CD10" s="3">
        <f>IF(RTD("tos.rtd",,CD$2,"."&amp;$A$2&amp;$AS$1&amp;"C"&amp;$A10)="N/A",0,RTD("tos.rtd",,CD$2,"."&amp;$A$2&amp;$AS$1&amp;"C"&amp;$A10))</f>
        <v>0</v>
      </c>
      <c r="CE10" s="3">
        <f>-IF(RTD("tos.rtd",,CE$2,"."&amp;$A$2&amp;$AS$1&amp;"P"&amp;$A10)="N/A",0,RTD("tos.rtd",,CE$2,"."&amp;$A$2&amp;$AS$1&amp;"P"&amp;$A10))</f>
        <v>0.73</v>
      </c>
      <c r="CF10" s="3">
        <f>IF(RTD("tos.rtd",,CF$2,"."&amp;$A$2&amp;$AU$1&amp;"C"&amp;$A10)="N/A",0,RTD("tos.rtd",,CF$2,"."&amp;$A$2&amp;$AU$1&amp;"C"&amp;$A10))</f>
        <v>0.05</v>
      </c>
      <c r="CG10" s="3">
        <f>-IF(RTD("tos.rtd",,CG$2,"."&amp;$A$2&amp;$AU$1&amp;"P"&amp;$A10)="N/A",0,RTD("tos.rtd",,CG$2,"."&amp;$A$2&amp;$AU$1&amp;"P"&amp;$A10))</f>
        <v>0.73</v>
      </c>
      <c r="CH10" s="3">
        <f>IF(RTD("tos.rtd",,CH$2,"."&amp;$A$2&amp;$AW$1&amp;"C"&amp;$A10)="N/A",0,RTD("tos.rtd",,CH$2,"."&amp;$A$2&amp;$AW$1&amp;"C"&amp;$A10))</f>
        <v>0.22</v>
      </c>
      <c r="CI10" s="3">
        <f>-IF(RTD("tos.rtd",,CI$2,"."&amp;$A$2&amp;$AW$1&amp;"P"&amp;$A10)="N/A",0,RTD("tos.rtd",,CI$2,"."&amp;$A$2&amp;$AW$1&amp;"P"&amp;$A10))</f>
        <v>0.68</v>
      </c>
      <c r="CK10" s="3">
        <f t="shared" si="95"/>
        <v>-146</v>
      </c>
      <c r="CL10" s="3"/>
      <c r="CM10" s="3">
        <f t="shared" si="96"/>
        <v>6196</v>
      </c>
      <c r="CN10" s="3"/>
      <c r="CO10" s="3">
        <f t="shared" si="97"/>
        <v>76422</v>
      </c>
      <c r="CP10" s="3">
        <f t="shared" si="98"/>
        <v>82472</v>
      </c>
      <c r="CQ10" s="3">
        <f t="shared" si="99"/>
        <v>6312</v>
      </c>
      <c r="CR10" s="3"/>
      <c r="CS10" s="3">
        <f t="shared" si="100"/>
        <v>1817</v>
      </c>
      <c r="CT10" s="3"/>
      <c r="CU10" s="3">
        <f t="shared" si="101"/>
        <v>514</v>
      </c>
      <c r="CV10" s="3">
        <f t="shared" si="102"/>
        <v>8643</v>
      </c>
      <c r="CW10" s="3" t="e">
        <f t="shared" ca="1" si="103"/>
        <v>#NUM!</v>
      </c>
      <c r="CX10" s="85" t="e">
        <f t="shared" ca="1" si="75"/>
        <v>#NUM!</v>
      </c>
      <c r="CY10" s="3" t="e">
        <f t="shared" ca="1" si="104"/>
        <v>#NUM!</v>
      </c>
      <c r="CZ10" s="85" t="e">
        <f t="shared" ca="1" si="76"/>
        <v>#NUM!</v>
      </c>
      <c r="DA10" s="3">
        <f>IF(RTD("tos.rtd",,DA$2,"."&amp;$A$2&amp;$AS$1&amp;"C"&amp;$A10)="N/A",0,RTD("tos.rtd",,DA$2,"."&amp;$A$2&amp;$AS$1&amp;"C"&amp;$A10))</f>
        <v>0.01</v>
      </c>
      <c r="DB10" s="3">
        <f>IF(RTD("tos.rtd",,DB$2,"."&amp;$A$2&amp;$AS$1&amp;"P"&amp;$A10)="N/A",0,RTD("tos.rtd",,DB$2,"."&amp;$A$2&amp;$AS$1&amp;"P"&amp;$A10))</f>
        <v>15.22</v>
      </c>
      <c r="DC10" s="3">
        <f>IF(RTD("tos.rtd",,DC$2,"."&amp;$A$2&amp;$AS$1&amp;"C"&amp;$A10)="N/A",0,RTD("tos.rtd",,DC$2,"."&amp;$A$2&amp;$AS$1&amp;"C"&amp;$A10))</f>
        <v>0.01</v>
      </c>
      <c r="DD10" s="3">
        <f>IF(RTD("tos.rtd",,DD$2,"."&amp;$A$2&amp;$AS$1&amp;"P"&amp;$A10)="N/A",0,RTD("tos.rtd",,DD$2,"."&amp;$A$2&amp;$AS$1&amp;"P"&amp;$A10))</f>
        <v>15.29</v>
      </c>
      <c r="DE10" s="3">
        <f>IF(RTD("tos.rtd",,DE$2,"."&amp;$A$2&amp;$AS$1&amp;"C"&amp;$A10)="N/A",0,RTD("tos.rtd",,DE$2,"."&amp;$A$2&amp;$AS$1&amp;"C"&amp;$A10))</f>
        <v>0</v>
      </c>
      <c r="DF10" s="3">
        <f>IF(RTD("tos.rtd",,DF$2,"."&amp;$A$2&amp;$AS$1&amp;"P"&amp;$A10)="N/A",0,RTD("tos.rtd",,DF$2,"."&amp;$A$2&amp;$AS$1&amp;"P"&amp;$A10))</f>
        <v>13.98</v>
      </c>
      <c r="DG10" s="86">
        <f t="shared" si="48"/>
        <v>11.669999999999959</v>
      </c>
      <c r="DH10" s="3">
        <f t="shared" si="105"/>
        <v>0</v>
      </c>
      <c r="DI10" s="3">
        <f t="shared" si="106"/>
        <v>0</v>
      </c>
      <c r="DJ10" s="3">
        <f t="shared" si="107"/>
        <v>0</v>
      </c>
      <c r="DK10" s="3">
        <f t="shared" si="51"/>
        <v>0</v>
      </c>
      <c r="DL10" s="3">
        <f t="shared" si="52"/>
        <v>0</v>
      </c>
      <c r="DM10" s="3">
        <f t="shared" si="53"/>
        <v>0</v>
      </c>
      <c r="DN10" s="63" t="str">
        <f t="shared" si="54"/>
        <v>UNKNOWN</v>
      </c>
      <c r="DO10" s="63" t="str">
        <f t="shared" si="55"/>
        <v>UNKNOWN</v>
      </c>
      <c r="DP10" s="3">
        <f t="shared" si="56"/>
        <v>0</v>
      </c>
      <c r="DQ10" s="3">
        <f t="shared" si="57"/>
        <v>0</v>
      </c>
      <c r="DR10" s="3" t="e">
        <f t="shared" ca="1" si="58"/>
        <v>#NUM!</v>
      </c>
      <c r="DS10" s="3">
        <f t="shared" si="59"/>
        <v>0</v>
      </c>
      <c r="DT10" s="3">
        <f t="shared" si="60"/>
        <v>0</v>
      </c>
      <c r="DU10" s="3">
        <f t="shared" si="61"/>
        <v>0</v>
      </c>
      <c r="DV10" s="3">
        <f t="shared" si="62"/>
        <v>1042</v>
      </c>
      <c r="DW10" s="3">
        <f t="shared" si="23"/>
        <v>-20</v>
      </c>
      <c r="DX10" s="3" t="e">
        <f t="shared" ca="1" si="24"/>
        <v>#NUM!</v>
      </c>
      <c r="DY10" s="3" t="e">
        <f t="shared" ca="1" si="25"/>
        <v>#NUM!</v>
      </c>
      <c r="DZ10" s="3">
        <f t="shared" ca="1" si="26"/>
        <v>1.9057946735721181E-2</v>
      </c>
      <c r="EA10" s="3">
        <f t="shared" ca="1" si="27"/>
        <v>-1.6075578956890393E-2</v>
      </c>
      <c r="EB10" s="3">
        <f t="shared" ca="1" si="28"/>
        <v>1.6742914738354615E-2</v>
      </c>
      <c r="EC10" s="3">
        <f t="shared" ca="1" si="29"/>
        <v>-2.1409054934686599E-2</v>
      </c>
      <c r="ED10" s="63">
        <f t="shared" si="63"/>
        <v>1022</v>
      </c>
      <c r="EE10" s="59">
        <f t="shared" si="108"/>
        <v>1.0126999999999999</v>
      </c>
      <c r="EF10" s="59">
        <f t="shared" si="109"/>
        <v>4.2976999999999999</v>
      </c>
      <c r="EG10" s="59">
        <f t="shared" si="110"/>
        <v>0.18160000000000001</v>
      </c>
      <c r="EH10" s="59">
        <f t="shared" si="111"/>
        <v>0.47510000000000002</v>
      </c>
      <c r="EI10" s="59">
        <f t="shared" si="112"/>
        <v>0.1613</v>
      </c>
      <c r="EJ10" s="59">
        <f t="shared" si="113"/>
        <v>0.25890000000000002</v>
      </c>
      <c r="EL10" s="3" t="str">
        <f>RTD("tos.rtd",,EL$2,"."&amp;$A$2&amp;$AS$1&amp;"C"&amp;$A10)</f>
        <v>101.27%</v>
      </c>
      <c r="EM10" s="3" t="str">
        <f>RTD("tos.rtd",,EM$2,"."&amp;$A$2&amp;$AS$1&amp;"P"&amp;$A10)</f>
        <v>429.77%</v>
      </c>
      <c r="EN10" s="3" t="str">
        <f>RTD("tos.rtd",,EN$2,"."&amp;$A$2&amp;$AU$1&amp;"C"&amp;$A10)</f>
        <v>18.16%</v>
      </c>
      <c r="EO10" s="3" t="str">
        <f>RTD("tos.rtd",,EO$2,"."&amp;$A$2&amp;$AU$1&amp;"P"&amp;$A10)</f>
        <v>47.51%</v>
      </c>
      <c r="EP10" s="3" t="str">
        <f>RTD("tos.rtd",,EP$2,"."&amp;$A$2&amp;$AW$1&amp;"C"&amp;$A10)</f>
        <v>16.13%</v>
      </c>
      <c r="EQ10" s="3" t="str">
        <f>RTD("tos.rtd",,EQ$2,"."&amp;$A$2&amp;$AW$1&amp;"P"&amp;$A10)</f>
        <v>25.89%</v>
      </c>
      <c r="ES10" s="63" t="str">
        <f t="shared" si="65"/>
        <v>576,1022.00</v>
      </c>
      <c r="ET10" s="63" t="str">
        <f t="shared" ca="1" si="66"/>
        <v>576,00.00</v>
      </c>
      <c r="EU10" s="67">
        <v>563.01</v>
      </c>
      <c r="EV10" s="67" t="s">
        <v>100</v>
      </c>
      <c r="EW10" s="67">
        <v>485.64</v>
      </c>
      <c r="EX10" s="67" t="s">
        <v>101</v>
      </c>
      <c r="EY10" s="67">
        <v>5643.75</v>
      </c>
      <c r="EZ10" s="67" t="s">
        <v>102</v>
      </c>
      <c r="FA10" s="67">
        <v>19949</v>
      </c>
      <c r="FB10" s="67" t="s">
        <v>103</v>
      </c>
      <c r="FC10" s="67" t="s">
        <v>104</v>
      </c>
      <c r="FD10" s="67" t="s">
        <v>105</v>
      </c>
      <c r="FE10" s="67" t="s">
        <v>106</v>
      </c>
      <c r="FF10" s="67" t="s">
        <v>107</v>
      </c>
    </row>
    <row r="11" spans="1:162" s="63" customFormat="1" ht="13.5" thickBot="1" x14ac:dyDescent="0.25">
      <c r="A11" s="2">
        <f t="shared" si="67"/>
        <v>575</v>
      </c>
      <c r="B11" s="3">
        <f t="shared" si="81"/>
        <v>9466</v>
      </c>
      <c r="C11" s="3">
        <f t="shared" si="82"/>
        <v>10554</v>
      </c>
      <c r="D11" s="3">
        <f t="shared" si="83"/>
        <v>52627</v>
      </c>
      <c r="E11" s="3">
        <f t="shared" si="84"/>
        <v>72647</v>
      </c>
      <c r="F11" s="4">
        <f t="shared" si="85"/>
        <v>5787.3939007318404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>
        <v>11354</v>
      </c>
      <c r="AN11" s="1">
        <v>-6</v>
      </c>
      <c r="AO11" s="1">
        <v>575</v>
      </c>
      <c r="AP11" s="1">
        <v>23240</v>
      </c>
      <c r="AQ11" s="1">
        <v>-216</v>
      </c>
      <c r="AR11" s="1"/>
      <c r="AS11" s="6">
        <f>IF(RTD("tos.rtd",,AS$2,"."&amp;$A$2&amp;$AS$1&amp;"C"&amp;$A11)="N/A",0,RTD("tos.rtd",,AS$2,"."&amp;$A$2&amp;$AS$1&amp;"C"&amp;$A11))</f>
        <v>9420</v>
      </c>
      <c r="AT11" s="7">
        <f>-IF(RTD("tos.rtd",,AT$2,"."&amp;$A$2&amp;$AS$1&amp;"P"&amp;$A11)="N/A",0,RTD("tos.rtd",,AT$2,"."&amp;$A$2&amp;$AS$1&amp;"P"&amp;$A11))</f>
        <v>-46</v>
      </c>
      <c r="AU11" s="6">
        <f>IF(RTD("tos.rtd",,AU$2,"."&amp;$A$2&amp;$AU$1&amp;"C"&amp;$A11)="N/A",0,RTD("tos.rtd",,AU$2,"."&amp;$A$2&amp;$AU$1&amp;"C"&amp;$A11))</f>
        <v>9854</v>
      </c>
      <c r="AV11" s="7">
        <f>-IF(RTD("tos.rtd",,AV$2,"."&amp;$A$2&amp;$AU$1&amp;"P"&amp;$A11)="N/A",0,RTD("tos.rtd",,AV$2,"."&amp;$A$2&amp;$AU$1&amp;"P"&amp;$A11))</f>
        <v>-700</v>
      </c>
      <c r="AW11" s="6">
        <f>IF(RTD("tos.rtd",,AW$2,"."&amp;$A$2&amp;$AW$1&amp;"C"&amp;$A11)="N/A",0,RTD("tos.rtd",,AW$2,"."&amp;$A$2&amp;$AW$1&amp;"C"&amp;$A11))</f>
        <v>49888</v>
      </c>
      <c r="AX11" s="7">
        <f>-IF(RTD("tos.rtd",,AX$2,"."&amp;$A$2&amp;$AW$1&amp;"P"&amp;$A11)="N/A",0,RTD("tos.rtd",,AX$2,"."&amp;$A$2&amp;$AW$1&amp;"P"&amp;$A11))</f>
        <v>-2739</v>
      </c>
      <c r="AY11" s="1">
        <f t="shared" si="86"/>
        <v>65677</v>
      </c>
      <c r="AZ11" s="8">
        <f t="shared" si="35"/>
        <v>575</v>
      </c>
      <c r="BA11" s="6">
        <f>IF(RTD("tos.rtd",,BA$2,"."&amp;$A$2&amp;$AS$1&amp;"C"&amp;$A11)="N/A",0,RTD("tos.rtd",,BA$2,"."&amp;$A$2&amp;$AS$1&amp;"C"&amp;$A11))</f>
        <v>23240</v>
      </c>
      <c r="BB11" s="7">
        <f>-IF(RTD("tos.rtd",,BB$2,"."&amp;$A$2&amp;$AS$1&amp;"P"&amp;$A11)="N/A",0,RTD("tos.rtd",,BB$2,"."&amp;$A$2&amp;$AS$1&amp;"P"&amp;$A11))</f>
        <v>-216</v>
      </c>
      <c r="BC11" s="6">
        <f>IF(RTD("tos.rtd",,BC$2,"."&amp;$A$2&amp;$AU$1&amp;"C"&amp;$A11)="N/A",0,RTD("tos.rtd",,BC$2,"."&amp;$A$2&amp;$AU$1&amp;"C"&amp;$A11))</f>
        <v>13160</v>
      </c>
      <c r="BD11" s="7">
        <f>-IF(RTD("tos.rtd",,BD$2,"."&amp;$A$2&amp;$AU$1&amp;"P"&amp;$A11)="N/A",0,RTD("tos.rtd",,BD$2,"."&amp;$A$2&amp;$AU$1&amp;"P"&amp;$A11))</f>
        <v>-399</v>
      </c>
      <c r="BE11" s="6">
        <f>IF(RTD("tos.rtd",,BE$2,"."&amp;$A$2&amp;$AW$1&amp;"C"&amp;$A11)="N/A",0,RTD("tos.rtd",,BE$2,"."&amp;$A$2&amp;$AW$1&amp;"C"&amp;$A11))</f>
        <v>15759</v>
      </c>
      <c r="BF11" s="83">
        <f>-IF(RTD("tos.rtd",,BF$2,"."&amp;$A$2&amp;$AW$1&amp;"P"&amp;$A11)="N/A",0,RTD("tos.rtd",,BF$2,"."&amp;$A$2&amp;$AW$1&amp;"P"&amp;$A11))</f>
        <v>-352</v>
      </c>
      <c r="BG11" s="32">
        <f ca="1">+Hoja2!Y12</f>
        <v>5092</v>
      </c>
      <c r="BH11" s="7">
        <f t="shared" ca="1" si="36"/>
        <v>56284</v>
      </c>
      <c r="BI11" s="8" t="str">
        <f t="shared" ref="BI11" ca="1" si="116">IF(AND(BH11&lt;0,BH10&gt;0), "Cruce -", IF(AND(BH11&gt;0,BH10&lt;0),"Cruce +", ""))</f>
        <v/>
      </c>
      <c r="BJ11" s="3" t="e">
        <f ca="1">IF($BP$1=1,DX11,IF(RTD("tos.rtd",,BJ$2,"."&amp;$A$2&amp;$AS$1&amp;"C"&amp;$A11)="N/A",0,RTD("tos.rtd",,BJ$2,"."&amp;$A$2&amp;$AS$1&amp;"C"&amp;$A11)))</f>
        <v>#NUM!</v>
      </c>
      <c r="BK11" s="3" t="e">
        <f ca="1">IF($BP$1=1,DY11,-IF(RTD("tos.rtd",,BK$2,"."&amp;$A$2&amp;$AS$1&amp;"P"&amp;$A11)="N/A",0,RTD("tos.rtd",,BK$2,"."&amp;$A$2&amp;$AS$1&amp;"P"&amp;$A11)))</f>
        <v>#NUM!</v>
      </c>
      <c r="BL11" s="3">
        <f ca="1">IF($BP$1=1,DZ11,IF(RTD("tos.rtd",,BL$2,"."&amp;$A$2&amp;$AU$1&amp;"C"&amp;$A11)="N/A",0,RTD("tos.rtd",,BL$2,"."&amp;$A$2&amp;$AU$1&amp;"C"&amp;$A11)))</f>
        <v>2.2066214539876464E-2</v>
      </c>
      <c r="BM11" s="3">
        <f ca="1">IF($BP$1=1,EA11,-IF(RTD("tos.rtd",,BM$2,"."&amp;$A$2&amp;$AU$1&amp;"P"&amp;$A11)="N/A",0,RTD("tos.rtd",,BM$2,"."&amp;$A$2&amp;$AU$1&amp;"P"&amp;$A11)))</f>
        <v>-1.6902660472995889E-2</v>
      </c>
      <c r="BN11" s="3">
        <f ca="1">IF($BP$1=1,EB11,IF(RTD("tos.rtd",,BN$2,"."&amp;$A$2&amp;$AW$1&amp;"C"&amp;$A11)="N/A",0,RTD("tos.rtd",,BN$2,"."&amp;$A$2&amp;$AW$1&amp;"C"&amp;$A11)))</f>
        <v>2.0433110372423818E-2</v>
      </c>
      <c r="BO11" s="3">
        <f ca="1">IF($BP$1=1,EC11,-IF(RTD("tos.rtd",,BO$2,"."&amp;$A$2&amp;$AW$1&amp;"P"&amp;$A11)="N/A",0,RTD("tos.rtd",,BO$2,"."&amp;$A$2&amp;$AW$1&amp;"P"&amp;$A11)))</f>
        <v>-2.3111433826612512E-2</v>
      </c>
      <c r="BQ11" s="3" t="e">
        <f t="shared" ca="1" si="88"/>
        <v>#NUM!</v>
      </c>
      <c r="BR11" s="3" t="e">
        <f t="shared" ca="1" si="70"/>
        <v>#NUM!</v>
      </c>
      <c r="BS11" s="3">
        <f t="shared" ca="1" si="89"/>
        <v>65479836.37587551</v>
      </c>
      <c r="BT11" s="3" t="str">
        <f t="shared" ca="1" si="70"/>
        <v/>
      </c>
      <c r="BU11" s="3">
        <f t="shared" ca="1" si="90"/>
        <v>304476376.07080156</v>
      </c>
      <c r="BV11" s="3" t="str">
        <f t="shared" ref="BV11" ca="1" si="117">IF(AND(BU11&lt;0,BU10&gt;0), "Cruce -", IF(AND(BU11&gt;0,BU10&lt;0),"Cruce +", ""))</f>
        <v/>
      </c>
      <c r="BX11" s="3" t="e">
        <f t="shared" ca="1" si="92"/>
        <v>#NUM!</v>
      </c>
      <c r="BY11" s="3" t="e">
        <f t="shared" ca="1" si="72"/>
        <v>#NUM!</v>
      </c>
      <c r="BZ11" s="3">
        <f t="shared" ca="1" si="93"/>
        <v>90332662.401829168</v>
      </c>
      <c r="CA11" s="3" t="str">
        <f t="shared" ca="1" si="73"/>
        <v/>
      </c>
      <c r="CB11" s="3">
        <f t="shared" ca="1" si="94"/>
        <v>99957712.150307447</v>
      </c>
      <c r="CC11" s="3" t="str">
        <f t="shared" ca="1" si="74"/>
        <v/>
      </c>
      <c r="CD11" s="3">
        <f>IF(RTD("tos.rtd",,CD$2,"."&amp;$A$2&amp;$AS$1&amp;"C"&amp;$A11)="N/A",0,RTD("tos.rtd",,CD$2,"."&amp;$A$2&amp;$AS$1&amp;"C"&amp;$A11))</f>
        <v>0</v>
      </c>
      <c r="CE11" s="3">
        <f>-IF(RTD("tos.rtd",,CE$2,"."&amp;$A$2&amp;$AS$1&amp;"P"&amp;$A11)="N/A",0,RTD("tos.rtd",,CE$2,"."&amp;$A$2&amp;$AS$1&amp;"P"&amp;$A11))</f>
        <v>0.72</v>
      </c>
      <c r="CF11" s="3">
        <f>IF(RTD("tos.rtd",,CF$2,"."&amp;$A$2&amp;$AU$1&amp;"C"&amp;$A11)="N/A",0,RTD("tos.rtd",,CF$2,"."&amp;$A$2&amp;$AU$1&amp;"C"&amp;$A11))</f>
        <v>7.0000000000000007E-2</v>
      </c>
      <c r="CG11" s="3">
        <f>-IF(RTD("tos.rtd",,CG$2,"."&amp;$A$2&amp;$AU$1&amp;"P"&amp;$A11)="N/A",0,RTD("tos.rtd",,CG$2,"."&amp;$A$2&amp;$AU$1&amp;"P"&amp;$A11))</f>
        <v>0.72</v>
      </c>
      <c r="CH11" s="3">
        <f>IF(RTD("tos.rtd",,CH$2,"."&amp;$A$2&amp;$AW$1&amp;"C"&amp;$A11)="N/A",0,RTD("tos.rtd",,CH$2,"."&amp;$A$2&amp;$AW$1&amp;"C"&amp;$A11))</f>
        <v>0.24</v>
      </c>
      <c r="CI11" s="3">
        <f>-IF(RTD("tos.rtd",,CI$2,"."&amp;$A$2&amp;$AW$1&amp;"P"&amp;$A11)="N/A",0,RTD("tos.rtd",,CI$2,"."&amp;$A$2&amp;$AW$1&amp;"P"&amp;$A11))</f>
        <v>0.67</v>
      </c>
      <c r="CK11" s="3">
        <f t="shared" si="95"/>
        <v>-3311.9999999999995</v>
      </c>
      <c r="CL11" s="3"/>
      <c r="CM11" s="3">
        <f t="shared" si="96"/>
        <v>18578.000000000015</v>
      </c>
      <c r="CN11" s="3"/>
      <c r="CO11" s="3">
        <f t="shared" si="97"/>
        <v>1013799</v>
      </c>
      <c r="CP11" s="3">
        <f t="shared" si="98"/>
        <v>1029065</v>
      </c>
      <c r="CQ11" s="3">
        <f t="shared" si="99"/>
        <v>23024</v>
      </c>
      <c r="CR11" s="3"/>
      <c r="CS11" s="3">
        <f t="shared" si="100"/>
        <v>12761</v>
      </c>
      <c r="CT11" s="3"/>
      <c r="CU11" s="3">
        <f t="shared" si="101"/>
        <v>15407</v>
      </c>
      <c r="CV11" s="3">
        <f t="shared" si="102"/>
        <v>51192</v>
      </c>
      <c r="CW11" s="3" t="e">
        <f t="shared" ca="1" si="103"/>
        <v>#NUM!</v>
      </c>
      <c r="CX11" s="85" t="e">
        <f t="shared" ca="1" si="75"/>
        <v>#NUM!</v>
      </c>
      <c r="CY11" s="3" t="e">
        <f t="shared" ca="1" si="104"/>
        <v>#NUM!</v>
      </c>
      <c r="CZ11" s="85" t="e">
        <f t="shared" ca="1" si="76"/>
        <v>#NUM!</v>
      </c>
      <c r="DA11" s="3">
        <f>IF(RTD("tos.rtd",,DA$2,"."&amp;$A$2&amp;$AS$1&amp;"C"&amp;$A11)="N/A",0,RTD("tos.rtd",,DA$2,"."&amp;$A$2&amp;$AS$1&amp;"C"&amp;$A11))</f>
        <v>0.01</v>
      </c>
      <c r="DB11" s="3">
        <f>IF(RTD("tos.rtd",,DB$2,"."&amp;$A$2&amp;$AS$1&amp;"P"&amp;$A11)="N/A",0,RTD("tos.rtd",,DB$2,"."&amp;$A$2&amp;$AS$1&amp;"P"&amp;$A11))</f>
        <v>17</v>
      </c>
      <c r="DC11" s="3">
        <f>IF(RTD("tos.rtd",,DC$2,"."&amp;$A$2&amp;$AS$1&amp;"C"&amp;$A11)="N/A",0,RTD("tos.rtd",,DC$2,"."&amp;$A$2&amp;$AS$1&amp;"C"&amp;$A11))</f>
        <v>0.01</v>
      </c>
      <c r="DD11" s="3">
        <f>IF(RTD("tos.rtd",,DD$2,"."&amp;$A$2&amp;$AS$1&amp;"P"&amp;$A11)="N/A",0,RTD("tos.rtd",,DD$2,"."&amp;$A$2&amp;$AS$1&amp;"P"&amp;$A11))</f>
        <v>14.29</v>
      </c>
      <c r="DE11" s="3">
        <f>IF(RTD("tos.rtd",,DE$2,"."&amp;$A$2&amp;$AS$1&amp;"C"&amp;$A11)="N/A",0,RTD("tos.rtd",,DE$2,"."&amp;$A$2&amp;$AS$1&amp;"C"&amp;$A11))</f>
        <v>0</v>
      </c>
      <c r="DF11" s="3">
        <f>IF(RTD("tos.rtd",,DF$2,"."&amp;$A$2&amp;$AS$1&amp;"P"&amp;$A11)="N/A",0,RTD("tos.rtd",,DF$2,"."&amp;$A$2&amp;$AS$1&amp;"P"&amp;$A11))</f>
        <v>13.03</v>
      </c>
      <c r="DG11" s="86">
        <f t="shared" si="48"/>
        <v>10.669999999999959</v>
      </c>
      <c r="DH11" s="3">
        <f t="shared" si="105"/>
        <v>0</v>
      </c>
      <c r="DI11" s="3">
        <f t="shared" si="106"/>
        <v>0</v>
      </c>
      <c r="DJ11" s="3">
        <f t="shared" si="107"/>
        <v>0</v>
      </c>
      <c r="DK11" s="3">
        <f t="shared" si="51"/>
        <v>0</v>
      </c>
      <c r="DL11" s="3">
        <f t="shared" si="52"/>
        <v>0</v>
      </c>
      <c r="DM11" s="3">
        <f t="shared" si="53"/>
        <v>0</v>
      </c>
      <c r="DN11" s="63" t="str">
        <f t="shared" si="54"/>
        <v>UNKNOWN</v>
      </c>
      <c r="DO11" s="63" t="str">
        <f t="shared" si="55"/>
        <v>UNKNOWN</v>
      </c>
      <c r="DP11" s="3">
        <f t="shared" si="56"/>
        <v>0</v>
      </c>
      <c r="DQ11" s="3">
        <f t="shared" si="57"/>
        <v>0</v>
      </c>
      <c r="DR11" s="3" t="e">
        <f t="shared" ca="1" si="58"/>
        <v>#NUM!</v>
      </c>
      <c r="DS11" s="3">
        <f t="shared" si="59"/>
        <v>0</v>
      </c>
      <c r="DT11" s="3">
        <f t="shared" si="60"/>
        <v>0</v>
      </c>
      <c r="DU11" s="3">
        <f t="shared" si="61"/>
        <v>0</v>
      </c>
      <c r="DV11" s="3">
        <f t="shared" si="62"/>
        <v>11354</v>
      </c>
      <c r="DW11" s="3">
        <f t="shared" si="23"/>
        <v>-6</v>
      </c>
      <c r="DX11" s="3" t="e">
        <f t="shared" ca="1" si="24"/>
        <v>#NUM!</v>
      </c>
      <c r="DY11" s="3" t="e">
        <f t="shared" ca="1" si="25"/>
        <v>#NUM!</v>
      </c>
      <c r="DZ11" s="3">
        <f t="shared" ca="1" si="26"/>
        <v>2.2066214539876464E-2</v>
      </c>
      <c r="EA11" s="3">
        <f t="shared" ca="1" si="27"/>
        <v>-1.6902660472995889E-2</v>
      </c>
      <c r="EB11" s="3">
        <f t="shared" ca="1" si="28"/>
        <v>2.0433110372423818E-2</v>
      </c>
      <c r="EC11" s="3">
        <f t="shared" ca="1" si="29"/>
        <v>-2.3111433826612512E-2</v>
      </c>
      <c r="ED11" s="63">
        <f t="shared" si="63"/>
        <v>11348</v>
      </c>
      <c r="EE11" s="59">
        <f t="shared" si="108"/>
        <v>0.93530000000000002</v>
      </c>
      <c r="EF11" s="59">
        <f t="shared" si="109"/>
        <v>4.1292</v>
      </c>
      <c r="EG11" s="59">
        <f t="shared" si="110"/>
        <v>0.1799</v>
      </c>
      <c r="EH11" s="59">
        <f t="shared" si="111"/>
        <v>0.45760000000000001</v>
      </c>
      <c r="EI11" s="59">
        <f t="shared" si="112"/>
        <v>0.16239999999999999</v>
      </c>
      <c r="EJ11" s="59">
        <f t="shared" si="113"/>
        <v>0.25640000000000002</v>
      </c>
      <c r="EL11" s="3" t="str">
        <f>RTD("tos.rtd",,EL$2,"."&amp;$A$2&amp;$AS$1&amp;"C"&amp;$A11)</f>
        <v>93.53%</v>
      </c>
      <c r="EM11" s="3" t="str">
        <f>RTD("tos.rtd",,EM$2,"."&amp;$A$2&amp;$AS$1&amp;"P"&amp;$A11)</f>
        <v>412.92%</v>
      </c>
      <c r="EN11" s="3" t="str">
        <f>RTD("tos.rtd",,EN$2,"."&amp;$A$2&amp;$AU$1&amp;"C"&amp;$A11)</f>
        <v>17.99%</v>
      </c>
      <c r="EO11" s="3" t="str">
        <f>RTD("tos.rtd",,EO$2,"."&amp;$A$2&amp;$AU$1&amp;"P"&amp;$A11)</f>
        <v>45.76%</v>
      </c>
      <c r="EP11" s="3" t="str">
        <f>RTD("tos.rtd",,EP$2,"."&amp;$A$2&amp;$AW$1&amp;"C"&amp;$A11)</f>
        <v>16.24%</v>
      </c>
      <c r="EQ11" s="3" t="str">
        <f>RTD("tos.rtd",,EQ$2,"."&amp;$A$2&amp;$AW$1&amp;"P"&amp;$A11)</f>
        <v>25.64%</v>
      </c>
      <c r="ES11" s="63" t="str">
        <f t="shared" si="65"/>
        <v>575,11348.00</v>
      </c>
      <c r="ET11" s="63" t="str">
        <f t="shared" ca="1" si="66"/>
        <v>575,00.00</v>
      </c>
      <c r="EU11" s="67">
        <v>563.09</v>
      </c>
      <c r="EV11" s="67" t="s">
        <v>108</v>
      </c>
      <c r="EW11" s="67">
        <v>485.66</v>
      </c>
      <c r="EX11" s="67" t="s">
        <v>109</v>
      </c>
      <c r="EY11" s="67">
        <v>5644.5</v>
      </c>
      <c r="EZ11" s="67" t="s">
        <v>110</v>
      </c>
      <c r="FA11" s="67">
        <v>19949.75</v>
      </c>
      <c r="FB11" s="67" t="s">
        <v>111</v>
      </c>
      <c r="FC11" s="67" t="s">
        <v>112</v>
      </c>
      <c r="FD11" s="67" t="s">
        <v>113</v>
      </c>
      <c r="FE11" s="67" t="s">
        <v>114</v>
      </c>
      <c r="FF11" s="67" t="s">
        <v>115</v>
      </c>
    </row>
    <row r="12" spans="1:162" s="63" customFormat="1" ht="13.5" thickBot="1" x14ac:dyDescent="0.25">
      <c r="A12" s="2">
        <f t="shared" si="67"/>
        <v>574</v>
      </c>
      <c r="B12" s="3">
        <f t="shared" si="81"/>
        <v>3449</v>
      </c>
      <c r="C12" s="3">
        <f t="shared" si="82"/>
        <v>2135</v>
      </c>
      <c r="D12" s="3">
        <f t="shared" si="83"/>
        <v>3514</v>
      </c>
      <c r="E12" s="3">
        <f t="shared" si="84"/>
        <v>9098</v>
      </c>
      <c r="F12" s="4">
        <f t="shared" si="85"/>
        <v>5777.3288678610024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>
        <v>-21</v>
      </c>
      <c r="AN12" s="1">
        <v>24</v>
      </c>
      <c r="AO12" s="1">
        <v>574</v>
      </c>
      <c r="AP12" s="1">
        <v>8445</v>
      </c>
      <c r="AQ12" s="1">
        <v>-74</v>
      </c>
      <c r="AR12" s="1"/>
      <c r="AS12" s="6">
        <f>IF(RTD("tos.rtd",,AS$2,"."&amp;$A$2&amp;$AS$1&amp;"C"&amp;$A12)="N/A",0,RTD("tos.rtd",,AS$2,"."&amp;$A$2&amp;$AS$1&amp;"C"&amp;$A12))</f>
        <v>3432</v>
      </c>
      <c r="AT12" s="7">
        <f>-IF(RTD("tos.rtd",,AT$2,"."&amp;$A$2&amp;$AS$1&amp;"P"&amp;$A12)="N/A",0,RTD("tos.rtd",,AT$2,"."&amp;$A$2&amp;$AS$1&amp;"P"&amp;$A12))</f>
        <v>-17</v>
      </c>
      <c r="AU12" s="6">
        <f>IF(RTD("tos.rtd",,AU$2,"."&amp;$A$2&amp;$AU$1&amp;"C"&amp;$A12)="N/A",0,RTD("tos.rtd",,AU$2,"."&amp;$A$2&amp;$AU$1&amp;"C"&amp;$A12))</f>
        <v>1908</v>
      </c>
      <c r="AV12" s="7">
        <f>-IF(RTD("tos.rtd",,AV$2,"."&amp;$A$2&amp;$AU$1&amp;"P"&amp;$A12)="N/A",0,RTD("tos.rtd",,AV$2,"."&amp;$A$2&amp;$AU$1&amp;"P"&amp;$A12))</f>
        <v>-227</v>
      </c>
      <c r="AW12" s="6">
        <f>IF(RTD("tos.rtd",,AW$2,"."&amp;$A$2&amp;$AW$1&amp;"C"&amp;$A12)="N/A",0,RTD("tos.rtd",,AW$2,"."&amp;$A$2&amp;$AW$1&amp;"C"&amp;$A12))</f>
        <v>3156</v>
      </c>
      <c r="AX12" s="7">
        <f>-IF(RTD("tos.rtd",,AX$2,"."&amp;$A$2&amp;$AW$1&amp;"P"&amp;$A12)="N/A",0,RTD("tos.rtd",,AX$2,"."&amp;$A$2&amp;$AW$1&amp;"P"&amp;$A12))</f>
        <v>-358</v>
      </c>
      <c r="AY12" s="1">
        <f t="shared" si="86"/>
        <v>7894</v>
      </c>
      <c r="AZ12" s="8">
        <f t="shared" si="35"/>
        <v>574</v>
      </c>
      <c r="BA12" s="6">
        <f>IF(RTD("tos.rtd",,BA$2,"."&amp;$A$2&amp;$AS$1&amp;"C"&amp;$A12)="N/A",0,RTD("tos.rtd",,BA$2,"."&amp;$A$2&amp;$AS$1&amp;"C"&amp;$A12))</f>
        <v>8447</v>
      </c>
      <c r="BB12" s="7">
        <f>-IF(RTD("tos.rtd",,BB$2,"."&amp;$A$2&amp;$AS$1&amp;"P"&amp;$A12)="N/A",0,RTD("tos.rtd",,BB$2,"."&amp;$A$2&amp;$AS$1&amp;"P"&amp;$A12))</f>
        <v>-74</v>
      </c>
      <c r="BC12" s="6">
        <f>IF(RTD("tos.rtd",,BC$2,"."&amp;$A$2&amp;$AU$1&amp;"C"&amp;$A12)="N/A",0,RTD("tos.rtd",,BC$2,"."&amp;$A$2&amp;$AU$1&amp;"C"&amp;$A12))</f>
        <v>4724</v>
      </c>
      <c r="BD12" s="7">
        <f>-IF(RTD("tos.rtd",,BD$2,"."&amp;$A$2&amp;$AU$1&amp;"P"&amp;$A12)="N/A",0,RTD("tos.rtd",,BD$2,"."&amp;$A$2&amp;$AU$1&amp;"P"&amp;$A12))</f>
        <v>-150</v>
      </c>
      <c r="BE12" s="6">
        <f>IF(RTD("tos.rtd",,BE$2,"."&amp;$A$2&amp;$AW$1&amp;"C"&amp;$A12)="N/A",0,RTD("tos.rtd",,BE$2,"."&amp;$A$2&amp;$AW$1&amp;"C"&amp;$A12))</f>
        <v>748</v>
      </c>
      <c r="BF12" s="83">
        <f>-IF(RTD("tos.rtd",,BF$2,"."&amp;$A$2&amp;$AW$1&amp;"P"&amp;$A12)="N/A",0,RTD("tos.rtd",,BF$2,"."&amp;$A$2&amp;$AW$1&amp;"P"&amp;$A12))</f>
        <v>0</v>
      </c>
      <c r="BG12" s="32">
        <f ca="1">+Hoja2!Y13</f>
        <v>441</v>
      </c>
      <c r="BH12" s="7">
        <f t="shared" ca="1" si="36"/>
        <v>14136</v>
      </c>
      <c r="BI12" s="8" t="str">
        <f t="shared" ref="BI12" ca="1" si="118">IF(AND(BH12&lt;0,BH11&gt;0), "Cruce -", IF(AND(BH12&gt;0,BH11&lt;0),"Cruce +", ""))</f>
        <v/>
      </c>
      <c r="BJ12" s="3" t="e">
        <f ca="1">IF($BP$1=1,DX12,IF(RTD("tos.rtd",,BJ$2,"."&amp;$A$2&amp;$AS$1&amp;"C"&amp;$A12)="N/A",0,RTD("tos.rtd",,BJ$2,"."&amp;$A$2&amp;$AS$1&amp;"C"&amp;$A12)))</f>
        <v>#NUM!</v>
      </c>
      <c r="BK12" s="3" t="e">
        <f ca="1">IF($BP$1=1,DY12,-IF(RTD("tos.rtd",,BK$2,"."&amp;$A$2&amp;$AS$1&amp;"P"&amp;$A12)="N/A",0,RTD("tos.rtd",,BK$2,"."&amp;$A$2&amp;$AS$1&amp;"P"&amp;$A12)))</f>
        <v>#NUM!</v>
      </c>
      <c r="BL12" s="3">
        <f ca="1">IF($BP$1=1,DZ12,IF(RTD("tos.rtd",,BL$2,"."&amp;$A$2&amp;$AU$1&amp;"C"&amp;$A12)="N/A",0,RTD("tos.rtd",,BL$2,"."&amp;$A$2&amp;$AU$1&amp;"C"&amp;$A12)))</f>
        <v>2.5333630718077062E-2</v>
      </c>
      <c r="BM12" s="3">
        <f ca="1">IF($BP$1=1,EA12,-IF(RTD("tos.rtd",,BM$2,"."&amp;$A$2&amp;$AU$1&amp;"P"&amp;$A12)="N/A",0,RTD("tos.rtd",,BM$2,"."&amp;$A$2&amp;$AU$1&amp;"P"&amp;$A12)))</f>
        <v>-1.7781765895931379E-2</v>
      </c>
      <c r="BN12" s="3">
        <f ca="1">IF($BP$1=1,EB12,IF(RTD("tos.rtd",,BN$2,"."&amp;$A$2&amp;$AW$1&amp;"C"&amp;$A12)="N/A",0,RTD("tos.rtd",,BN$2,"."&amp;$A$2&amp;$AW$1&amp;"C"&amp;$A12)))</f>
        <v>2.4315148062244798E-2</v>
      </c>
      <c r="BO12" s="3">
        <f ca="1">IF($BP$1=1,EC12,-IF(RTD("tos.rtd",,BO$2,"."&amp;$A$2&amp;$AW$1&amp;"P"&amp;$A12)="N/A",0,RTD("tos.rtd",,BO$2,"."&amp;$A$2&amp;$AW$1&amp;"P"&amp;$A12)))</f>
        <v>-2.4841504237233986E-2</v>
      </c>
      <c r="BQ12" s="3" t="e">
        <f t="shared" ca="1" si="88"/>
        <v>#NUM!</v>
      </c>
      <c r="BR12" s="3" t="e">
        <f t="shared" ca="1" si="70"/>
        <v>#NUM!</v>
      </c>
      <c r="BS12" s="3">
        <f t="shared" ca="1" si="89"/>
        <v>14108181.789618628</v>
      </c>
      <c r="BT12" s="3" t="str">
        <f t="shared" ca="1" si="70"/>
        <v/>
      </c>
      <c r="BU12" s="3">
        <f t="shared" ca="1" si="90"/>
        <v>21606596.202535093</v>
      </c>
      <c r="BV12" s="3" t="str">
        <f t="shared" ref="BV12" ca="1" si="119">IF(AND(BU12&lt;0,BU11&gt;0), "Cruce -", IF(AND(BU12&gt;0,BU11&lt;0),"Cruce +", ""))</f>
        <v/>
      </c>
      <c r="BX12" s="3" t="e">
        <f t="shared" ca="1" si="92"/>
        <v>#NUM!</v>
      </c>
      <c r="BY12" s="3" t="e">
        <f t="shared" ca="1" si="72"/>
        <v>#NUM!</v>
      </c>
      <c r="BZ12" s="3">
        <f t="shared" ca="1" si="93"/>
        <v>37263601.453516863</v>
      </c>
      <c r="CA12" s="3" t="str">
        <f t="shared" ca="1" si="73"/>
        <v/>
      </c>
      <c r="CB12" s="3">
        <f t="shared" ca="1" si="94"/>
        <v>5792216.582368318</v>
      </c>
      <c r="CC12" s="3" t="str">
        <f t="shared" ca="1" si="74"/>
        <v/>
      </c>
      <c r="CD12" s="3">
        <f>IF(RTD("tos.rtd",,CD$2,"."&amp;$A$2&amp;$AS$1&amp;"C"&amp;$A12)="N/A",0,RTD("tos.rtd",,CD$2,"."&amp;$A$2&amp;$AS$1&amp;"C"&amp;$A12))</f>
        <v>0</v>
      </c>
      <c r="CE12" s="3">
        <f>-IF(RTD("tos.rtd",,CE$2,"."&amp;$A$2&amp;$AS$1&amp;"P"&amp;$A12)="N/A",0,RTD("tos.rtd",,CE$2,"."&amp;$A$2&amp;$AS$1&amp;"P"&amp;$A12))</f>
        <v>0.71</v>
      </c>
      <c r="CF12" s="3">
        <f>IF(RTD("tos.rtd",,CF$2,"."&amp;$A$2&amp;$AU$1&amp;"C"&amp;$A12)="N/A",0,RTD("tos.rtd",,CF$2,"."&amp;$A$2&amp;$AU$1&amp;"C"&amp;$A12))</f>
        <v>0.09</v>
      </c>
      <c r="CG12" s="3">
        <f>-IF(RTD("tos.rtd",,CG$2,"."&amp;$A$2&amp;$AU$1&amp;"P"&amp;$A12)="N/A",0,RTD("tos.rtd",,CG$2,"."&amp;$A$2&amp;$AU$1&amp;"P"&amp;$A12))</f>
        <v>0.71</v>
      </c>
      <c r="CH12" s="3">
        <f>IF(RTD("tos.rtd",,CH$2,"."&amp;$A$2&amp;$AW$1&amp;"C"&amp;$A12)="N/A",0,RTD("tos.rtd",,CH$2,"."&amp;$A$2&amp;$AW$1&amp;"C"&amp;$A12))</f>
        <v>0.26</v>
      </c>
      <c r="CI12" s="3">
        <f>-IF(RTD("tos.rtd",,CI$2,"."&amp;$A$2&amp;$AW$1&amp;"P"&amp;$A12)="N/A",0,RTD("tos.rtd",,CI$2,"."&amp;$A$2&amp;$AW$1&amp;"P"&amp;$A12))</f>
        <v>0.66</v>
      </c>
      <c r="CK12" s="3">
        <f t="shared" si="95"/>
        <v>-1207</v>
      </c>
      <c r="CL12" s="3"/>
      <c r="CM12" s="3">
        <f t="shared" si="96"/>
        <v>1055.0000000000018</v>
      </c>
      <c r="CN12" s="3"/>
      <c r="CO12" s="3">
        <f t="shared" si="97"/>
        <v>58428</v>
      </c>
      <c r="CP12" s="3">
        <f t="shared" si="98"/>
        <v>58276</v>
      </c>
      <c r="CQ12" s="3">
        <f t="shared" si="99"/>
        <v>8373</v>
      </c>
      <c r="CR12" s="3"/>
      <c r="CS12" s="3">
        <f t="shared" si="100"/>
        <v>4574</v>
      </c>
      <c r="CT12" s="3"/>
      <c r="CU12" s="3">
        <f t="shared" si="101"/>
        <v>748</v>
      </c>
      <c r="CV12" s="3">
        <f t="shared" si="102"/>
        <v>13695</v>
      </c>
      <c r="CW12" s="3" t="e">
        <f t="shared" ca="1" si="103"/>
        <v>#NUM!</v>
      </c>
      <c r="CX12" s="85" t="e">
        <f t="shared" ca="1" si="75"/>
        <v>#NUM!</v>
      </c>
      <c r="CY12" s="3" t="e">
        <f t="shared" ca="1" si="104"/>
        <v>#NUM!</v>
      </c>
      <c r="CZ12" s="85" t="e">
        <f t="shared" ca="1" si="76"/>
        <v>#NUM!</v>
      </c>
      <c r="DA12" s="3">
        <f>IF(RTD("tos.rtd",,DA$2,"."&amp;$A$2&amp;$AS$1&amp;"C"&amp;$A12)="N/A",0,RTD("tos.rtd",,DA$2,"."&amp;$A$2&amp;$AS$1&amp;"C"&amp;$A12))</f>
        <v>0.01</v>
      </c>
      <c r="DB12" s="3">
        <f>IF(RTD("tos.rtd",,DB$2,"."&amp;$A$2&amp;$AS$1&amp;"P"&amp;$A12)="N/A",0,RTD("tos.rtd",,DB$2,"."&amp;$A$2&amp;$AS$1&amp;"P"&amp;$A12))</f>
        <v>12.5</v>
      </c>
      <c r="DC12" s="3">
        <f>IF(RTD("tos.rtd",,DC$2,"."&amp;$A$2&amp;$AS$1&amp;"C"&amp;$A12)="N/A",0,RTD("tos.rtd",,DC$2,"."&amp;$A$2&amp;$AS$1&amp;"C"&amp;$A12))</f>
        <v>0.01</v>
      </c>
      <c r="DD12" s="3">
        <f>IF(RTD("tos.rtd",,DD$2,"."&amp;$A$2&amp;$AS$1&amp;"P"&amp;$A12)="N/A",0,RTD("tos.rtd",,DD$2,"."&amp;$A$2&amp;$AS$1&amp;"P"&amp;$A12))</f>
        <v>13.29</v>
      </c>
      <c r="DE12" s="3">
        <f>IF(RTD("tos.rtd",,DE$2,"."&amp;$A$2&amp;$AS$1&amp;"C"&amp;$A12)="N/A",0,RTD("tos.rtd",,DE$2,"."&amp;$A$2&amp;$AS$1&amp;"C"&amp;$A12))</f>
        <v>0</v>
      </c>
      <c r="DF12" s="3">
        <f>IF(RTD("tos.rtd",,DF$2,"."&amp;$A$2&amp;$AS$1&amp;"P"&amp;$A12)="N/A",0,RTD("tos.rtd",,DF$2,"."&amp;$A$2&amp;$AS$1&amp;"P"&amp;$A12))</f>
        <v>11.96</v>
      </c>
      <c r="DG12" s="86">
        <f t="shared" si="48"/>
        <v>9.6699999999999591</v>
      </c>
      <c r="DH12" s="3">
        <f t="shared" si="105"/>
        <v>2</v>
      </c>
      <c r="DI12" s="3">
        <f t="shared" si="106"/>
        <v>0</v>
      </c>
      <c r="DJ12" s="3">
        <f t="shared" si="107"/>
        <v>2</v>
      </c>
      <c r="DK12" s="3">
        <f t="shared" si="51"/>
        <v>0</v>
      </c>
      <c r="DL12" s="3">
        <f t="shared" si="52"/>
        <v>2</v>
      </c>
      <c r="DM12" s="3">
        <f t="shared" si="53"/>
        <v>2</v>
      </c>
      <c r="DN12" s="63" t="str">
        <f t="shared" si="54"/>
        <v>BUY</v>
      </c>
      <c r="DO12" s="63" t="str">
        <f t="shared" si="55"/>
        <v>UNKNOWN</v>
      </c>
      <c r="DP12" s="3">
        <f t="shared" si="56"/>
        <v>0.02</v>
      </c>
      <c r="DQ12" s="3">
        <f t="shared" si="57"/>
        <v>0.02</v>
      </c>
      <c r="DR12" s="3" t="e">
        <f t="shared" ca="1" si="58"/>
        <v>#NUM!</v>
      </c>
      <c r="DS12" s="3">
        <f t="shared" si="59"/>
        <v>0</v>
      </c>
      <c r="DT12" s="3">
        <f t="shared" si="60"/>
        <v>2</v>
      </c>
      <c r="DU12" s="3">
        <f t="shared" si="61"/>
        <v>0</v>
      </c>
      <c r="DV12" s="3">
        <f t="shared" si="62"/>
        <v>-19</v>
      </c>
      <c r="DW12" s="3">
        <f t="shared" si="23"/>
        <v>24</v>
      </c>
      <c r="DX12" s="3" t="e">
        <f t="shared" ca="1" si="24"/>
        <v>#NUM!</v>
      </c>
      <c r="DY12" s="3" t="e">
        <f t="shared" ca="1" si="25"/>
        <v>#NUM!</v>
      </c>
      <c r="DZ12" s="3">
        <f t="shared" ca="1" si="26"/>
        <v>2.5333630718077062E-2</v>
      </c>
      <c r="EA12" s="3">
        <f t="shared" ca="1" si="27"/>
        <v>-1.7781765895931379E-2</v>
      </c>
      <c r="EB12" s="3">
        <f t="shared" ca="1" si="28"/>
        <v>2.4315148062244798E-2</v>
      </c>
      <c r="EC12" s="3">
        <f t="shared" ca="1" si="29"/>
        <v>-2.4841504237233986E-2</v>
      </c>
      <c r="ED12" s="63">
        <f t="shared" si="63"/>
        <v>5</v>
      </c>
      <c r="EE12" s="59">
        <f t="shared" si="108"/>
        <v>0.85729999999999995</v>
      </c>
      <c r="EF12" s="59">
        <f t="shared" si="109"/>
        <v>3.9154</v>
      </c>
      <c r="EG12" s="59">
        <f t="shared" si="110"/>
        <v>0.1782</v>
      </c>
      <c r="EH12" s="59">
        <f t="shared" si="111"/>
        <v>0.44080000000000003</v>
      </c>
      <c r="EI12" s="59">
        <f t="shared" si="112"/>
        <v>0.16259999999999999</v>
      </c>
      <c r="EJ12" s="59">
        <f t="shared" si="113"/>
        <v>0.25409999999999999</v>
      </c>
      <c r="EL12" s="3" t="str">
        <f>RTD("tos.rtd",,EL$2,"."&amp;$A$2&amp;$AS$1&amp;"C"&amp;$A12)</f>
        <v>85.73%</v>
      </c>
      <c r="EM12" s="3" t="str">
        <f>RTD("tos.rtd",,EM$2,"."&amp;$A$2&amp;$AS$1&amp;"P"&amp;$A12)</f>
        <v>391.54%</v>
      </c>
      <c r="EN12" s="3" t="str">
        <f>RTD("tos.rtd",,EN$2,"."&amp;$A$2&amp;$AU$1&amp;"C"&amp;$A12)</f>
        <v>17.82%</v>
      </c>
      <c r="EO12" s="3" t="str">
        <f>RTD("tos.rtd",,EO$2,"."&amp;$A$2&amp;$AU$1&amp;"P"&amp;$A12)</f>
        <v>44.08%</v>
      </c>
      <c r="EP12" s="3" t="str">
        <f>RTD("tos.rtd",,EP$2,"."&amp;$A$2&amp;$AW$1&amp;"C"&amp;$A12)</f>
        <v>16.26%</v>
      </c>
      <c r="EQ12" s="3" t="str">
        <f>RTD("tos.rtd",,EQ$2,"."&amp;$A$2&amp;$AW$1&amp;"P"&amp;$A12)</f>
        <v>25.41%</v>
      </c>
      <c r="ES12" s="63" t="str">
        <f t="shared" si="65"/>
        <v>574,05.00</v>
      </c>
      <c r="ET12" s="63" t="str">
        <f t="shared" ca="1" si="66"/>
        <v>574,00.00</v>
      </c>
      <c r="EU12" s="67">
        <v>563.07000000000005</v>
      </c>
      <c r="EV12" s="67" t="s">
        <v>116</v>
      </c>
      <c r="EW12" s="67">
        <v>485.62</v>
      </c>
      <c r="EX12" s="67" t="s">
        <v>117</v>
      </c>
      <c r="EY12" s="67">
        <v>5644.25</v>
      </c>
      <c r="EZ12" s="67" t="s">
        <v>118</v>
      </c>
      <c r="FA12" s="67">
        <v>19948.5</v>
      </c>
      <c r="FB12" s="67" t="s">
        <v>119</v>
      </c>
      <c r="FC12" s="67" t="s">
        <v>120</v>
      </c>
      <c r="FD12" s="67" t="s">
        <v>121</v>
      </c>
      <c r="FE12" s="67" t="s">
        <v>122</v>
      </c>
      <c r="FF12" s="67" t="s">
        <v>123</v>
      </c>
    </row>
    <row r="13" spans="1:162" s="63" customFormat="1" ht="13.5" thickBot="1" x14ac:dyDescent="0.25">
      <c r="A13" s="2">
        <f t="shared" si="67"/>
        <v>573</v>
      </c>
      <c r="B13" s="3">
        <f t="shared" si="81"/>
        <v>6148</v>
      </c>
      <c r="C13" s="3">
        <f t="shared" si="82"/>
        <v>2030</v>
      </c>
      <c r="D13" s="3">
        <f t="shared" si="83"/>
        <v>3702</v>
      </c>
      <c r="E13" s="3">
        <f t="shared" si="84"/>
        <v>11880</v>
      </c>
      <c r="F13" s="4">
        <f t="shared" si="85"/>
        <v>5767.2638349901645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v>-3503</v>
      </c>
      <c r="AN13" s="1">
        <v>-77</v>
      </c>
      <c r="AO13" s="1">
        <v>573</v>
      </c>
      <c r="AP13" s="1">
        <v>24713</v>
      </c>
      <c r="AQ13" s="1">
        <v>-211</v>
      </c>
      <c r="AR13" s="1"/>
      <c r="AS13" s="6">
        <f>IF(RTD("tos.rtd",,AS$2,"."&amp;$A$2&amp;$AS$1&amp;"C"&amp;$A13)="N/A",0,RTD("tos.rtd",,AS$2,"."&amp;$A$2&amp;$AS$1&amp;"C"&amp;$A13))</f>
        <v>6008</v>
      </c>
      <c r="AT13" s="7">
        <f>-IF(RTD("tos.rtd",,AT$2,"."&amp;$A$2&amp;$AS$1&amp;"P"&amp;$A13)="N/A",0,RTD("tos.rtd",,AT$2,"."&amp;$A$2&amp;$AS$1&amp;"P"&amp;$A13))</f>
        <v>-140</v>
      </c>
      <c r="AU13" s="6">
        <f>IF(RTD("tos.rtd",,AU$2,"."&amp;$A$2&amp;$AU$1&amp;"C"&amp;$A13)="N/A",0,RTD("tos.rtd",,AU$2,"."&amp;$A$2&amp;$AU$1&amp;"C"&amp;$A13))</f>
        <v>1994</v>
      </c>
      <c r="AV13" s="7">
        <f>-IF(RTD("tos.rtd",,AV$2,"."&amp;$A$2&amp;$AU$1&amp;"P"&amp;$A13)="N/A",0,RTD("tos.rtd",,AV$2,"."&amp;$A$2&amp;$AU$1&amp;"P"&amp;$A13))</f>
        <v>-36</v>
      </c>
      <c r="AW13" s="6">
        <f>IF(RTD("tos.rtd",,AW$2,"."&amp;$A$2&amp;$AW$1&amp;"C"&amp;$A13)="N/A",0,RTD("tos.rtd",,AW$2,"."&amp;$A$2&amp;$AW$1&amp;"C"&amp;$A13))</f>
        <v>3232</v>
      </c>
      <c r="AX13" s="7">
        <f>-IF(RTD("tos.rtd",,AX$2,"."&amp;$A$2&amp;$AW$1&amp;"P"&amp;$A13)="N/A",0,RTD("tos.rtd",,AX$2,"."&amp;$A$2&amp;$AW$1&amp;"P"&amp;$A13))</f>
        <v>-470</v>
      </c>
      <c r="AY13" s="1">
        <f t="shared" si="86"/>
        <v>10588</v>
      </c>
      <c r="AZ13" s="8">
        <f t="shared" si="35"/>
        <v>573</v>
      </c>
      <c r="BA13" s="6">
        <f>IF(RTD("tos.rtd",,BA$2,"."&amp;$A$2&amp;$AS$1&amp;"C"&amp;$A13)="N/A",0,RTD("tos.rtd",,BA$2,"."&amp;$A$2&amp;$AS$1&amp;"C"&amp;$A13))</f>
        <v>24713</v>
      </c>
      <c r="BB13" s="7">
        <f>-IF(RTD("tos.rtd",,BB$2,"."&amp;$A$2&amp;$AS$1&amp;"P"&amp;$A13)="N/A",0,RTD("tos.rtd",,BB$2,"."&amp;$A$2&amp;$AS$1&amp;"P"&amp;$A13))</f>
        <v>-211</v>
      </c>
      <c r="BC13" s="6">
        <f>IF(RTD("tos.rtd",,BC$2,"."&amp;$A$2&amp;$AU$1&amp;"C"&amp;$A13)="N/A",0,RTD("tos.rtd",,BC$2,"."&amp;$A$2&amp;$AU$1&amp;"C"&amp;$A13))</f>
        <v>3311</v>
      </c>
      <c r="BD13" s="7">
        <f>-IF(RTD("tos.rtd",,BD$2,"."&amp;$A$2&amp;$AU$1&amp;"P"&amp;$A13)="N/A",0,RTD("tos.rtd",,BD$2,"."&amp;$A$2&amp;$AU$1&amp;"P"&amp;$A13))</f>
        <v>-29</v>
      </c>
      <c r="BE13" s="6">
        <f>IF(RTD("tos.rtd",,BE$2,"."&amp;$A$2&amp;$AW$1&amp;"C"&amp;$A13)="N/A",0,RTD("tos.rtd",,BE$2,"."&amp;$A$2&amp;$AW$1&amp;"C"&amp;$A13))</f>
        <v>1493</v>
      </c>
      <c r="BF13" s="83">
        <f>-IF(RTD("tos.rtd",,BF$2,"."&amp;$A$2&amp;$AW$1&amp;"P"&amp;$A13)="N/A",0,RTD("tos.rtd",,BF$2,"."&amp;$A$2&amp;$AW$1&amp;"P"&amp;$A13))</f>
        <v>-19</v>
      </c>
      <c r="BG13" s="32">
        <f ca="1">+Hoja2!Y14</f>
        <v>550</v>
      </c>
      <c r="BH13" s="7">
        <f t="shared" ca="1" si="36"/>
        <v>29808</v>
      </c>
      <c r="BI13" s="8" t="str">
        <f t="shared" ref="BI13" ca="1" si="120">IF(AND(BH13&lt;0,BH12&gt;0), "Cruce -", IF(AND(BH13&gt;0,BH12&lt;0),"Cruce +", ""))</f>
        <v/>
      </c>
      <c r="BJ13" s="3" t="e">
        <f ca="1">IF($BP$1=1,DX13,IF(RTD("tos.rtd",,BJ$2,"."&amp;$A$2&amp;$AS$1&amp;"C"&amp;$A13)="N/A",0,RTD("tos.rtd",,BJ$2,"."&amp;$A$2&amp;$AS$1&amp;"C"&amp;$A13)))</f>
        <v>#NUM!</v>
      </c>
      <c r="BK13" s="3" t="e">
        <f ca="1">IF($BP$1=1,DY13,-IF(RTD("tos.rtd",,BK$2,"."&amp;$A$2&amp;$AS$1&amp;"P"&amp;$A13)="N/A",0,RTD("tos.rtd",,BK$2,"."&amp;$A$2&amp;$AS$1&amp;"P"&amp;$A13)))</f>
        <v>#NUM!</v>
      </c>
      <c r="BL13" s="3">
        <f ca="1">IF($BP$1=1,DZ13,IF(RTD("tos.rtd",,BL$2,"."&amp;$A$2&amp;$AU$1&amp;"C"&amp;$A13)="N/A",0,RTD("tos.rtd",,BL$2,"."&amp;$A$2&amp;$AU$1&amp;"C"&amp;$A13)))</f>
        <v>2.8815322370471644E-2</v>
      </c>
      <c r="BM13" s="3">
        <f ca="1">IF($BP$1=1,EA13,-IF(RTD("tos.rtd",,BM$2,"."&amp;$A$2&amp;$AU$1&amp;"P"&amp;$A13)="N/A",0,RTD("tos.rtd",,BM$2,"."&amp;$A$2&amp;$AU$1&amp;"P"&amp;$A13)))</f>
        <v>-1.8708427584349544E-2</v>
      </c>
      <c r="BN13" s="3">
        <f ca="1">IF($BP$1=1,EB13,IF(RTD("tos.rtd",,BN$2,"."&amp;$A$2&amp;$AW$1&amp;"C"&amp;$A13)="N/A",0,RTD("tos.rtd",,BN$2,"."&amp;$A$2&amp;$AW$1&amp;"C"&amp;$A13)))</f>
        <v>2.8453033324733749E-2</v>
      </c>
      <c r="BO13" s="3">
        <f ca="1">IF($BP$1=1,EC13,-IF(RTD("tos.rtd",,BO$2,"."&amp;$A$2&amp;$AW$1&amp;"P"&amp;$A13)="N/A",0,RTD("tos.rtd",,BO$2,"."&amp;$A$2&amp;$AW$1&amp;"P"&amp;$A13)))</f>
        <v>-2.6554607068115518E-2</v>
      </c>
      <c r="BQ13" s="3" t="e">
        <f t="shared" ca="1" si="88"/>
        <v>#NUM!</v>
      </c>
      <c r="BR13" s="3" t="e">
        <f t="shared" ca="1" si="70"/>
        <v>#NUM!</v>
      </c>
      <c r="BS13" s="3">
        <f t="shared" ca="1" si="89"/>
        <v>18083986.154301699</v>
      </c>
      <c r="BT13" s="3" t="str">
        <f t="shared" ca="1" si="70"/>
        <v/>
      </c>
      <c r="BU13" s="3">
        <f t="shared" ca="1" si="90"/>
        <v>25311717.360335447</v>
      </c>
      <c r="BV13" s="3" t="str">
        <f t="shared" ref="BV13" ca="1" si="121">IF(AND(BU13&lt;0,BU12&gt;0), "Cruce -", IF(AND(BU13&gt;0,BU12&lt;0),"Cruce +", ""))</f>
        <v/>
      </c>
      <c r="BX13" s="3" t="e">
        <f t="shared" ca="1" si="92"/>
        <v>#NUM!</v>
      </c>
      <c r="BY13" s="3" t="e">
        <f t="shared" ca="1" si="72"/>
        <v>#NUM!</v>
      </c>
      <c r="BZ13" s="3">
        <f t="shared" ca="1" si="93"/>
        <v>30211496.086805634</v>
      </c>
      <c r="CA13" s="3" t="str">
        <f t="shared" ca="1" si="73"/>
        <v/>
      </c>
      <c r="CB13" s="3">
        <f t="shared" ca="1" si="94"/>
        <v>13367976.846873332</v>
      </c>
      <c r="CC13" s="3" t="str">
        <f t="shared" ca="1" si="74"/>
        <v/>
      </c>
      <c r="CD13" s="3">
        <f>IF(RTD("tos.rtd",,CD$2,"."&amp;$A$2&amp;$AS$1&amp;"C"&amp;$A13)="N/A",0,RTD("tos.rtd",,CD$2,"."&amp;$A$2&amp;$AS$1&amp;"C"&amp;$A13))</f>
        <v>0</v>
      </c>
      <c r="CE13" s="3">
        <f>-IF(RTD("tos.rtd",,CE$2,"."&amp;$A$2&amp;$AS$1&amp;"P"&amp;$A13)="N/A",0,RTD("tos.rtd",,CE$2,"."&amp;$A$2&amp;$AS$1&amp;"P"&amp;$A13))</f>
        <v>0.7</v>
      </c>
      <c r="CF13" s="3">
        <f>IF(RTD("tos.rtd",,CF$2,"."&amp;$A$2&amp;$AU$1&amp;"C"&amp;$A13)="N/A",0,RTD("tos.rtd",,CF$2,"."&amp;$A$2&amp;$AU$1&amp;"C"&amp;$A13))</f>
        <v>0.11</v>
      </c>
      <c r="CG13" s="3">
        <f>-IF(RTD("tos.rtd",,CG$2,"."&amp;$A$2&amp;$AU$1&amp;"P"&amp;$A13)="N/A",0,RTD("tos.rtd",,CG$2,"."&amp;$A$2&amp;$AU$1&amp;"P"&amp;$A13))</f>
        <v>0.69</v>
      </c>
      <c r="CH13" s="3">
        <f>IF(RTD("tos.rtd",,CH$2,"."&amp;$A$2&amp;$AW$1&amp;"C"&amp;$A13)="N/A",0,RTD("tos.rtd",,CH$2,"."&amp;$A$2&amp;$AW$1&amp;"C"&amp;$A13))</f>
        <v>0.28999999999999998</v>
      </c>
      <c r="CI13" s="3">
        <f>-IF(RTD("tos.rtd",,CI$2,"."&amp;$A$2&amp;$AW$1&amp;"P"&amp;$A13)="N/A",0,RTD("tos.rtd",,CI$2,"."&amp;$A$2&amp;$AW$1&amp;"P"&amp;$A13))</f>
        <v>0.64</v>
      </c>
      <c r="CK13" s="3">
        <f t="shared" si="95"/>
        <v>-9800</v>
      </c>
      <c r="CL13" s="3"/>
      <c r="CM13" s="3">
        <f t="shared" si="96"/>
        <v>19450</v>
      </c>
      <c r="CN13" s="3"/>
      <c r="CO13" s="3">
        <f t="shared" si="97"/>
        <v>63648</v>
      </c>
      <c r="CP13" s="3">
        <f t="shared" si="98"/>
        <v>73298</v>
      </c>
      <c r="CQ13" s="3">
        <f t="shared" si="99"/>
        <v>24502</v>
      </c>
      <c r="CR13" s="3"/>
      <c r="CS13" s="3">
        <f t="shared" si="100"/>
        <v>3282</v>
      </c>
      <c r="CT13" s="3"/>
      <c r="CU13" s="3">
        <f t="shared" si="101"/>
        <v>1474</v>
      </c>
      <c r="CV13" s="3">
        <f t="shared" si="102"/>
        <v>29258</v>
      </c>
      <c r="CW13" s="3" t="e">
        <f t="shared" ca="1" si="103"/>
        <v>#NUM!</v>
      </c>
      <c r="CX13" s="85" t="e">
        <f t="shared" ca="1" si="75"/>
        <v>#NUM!</v>
      </c>
      <c r="CY13" s="3" t="e">
        <f t="shared" ca="1" si="104"/>
        <v>#NUM!</v>
      </c>
      <c r="CZ13" s="85" t="e">
        <f t="shared" ca="1" si="76"/>
        <v>#NUM!</v>
      </c>
      <c r="DA13" s="3">
        <f>IF(RTD("tos.rtd",,DA$2,"."&amp;$A$2&amp;$AS$1&amp;"C"&amp;$A13)="N/A",0,RTD("tos.rtd",,DA$2,"."&amp;$A$2&amp;$AS$1&amp;"C"&amp;$A13))</f>
        <v>0.01</v>
      </c>
      <c r="DB13" s="3">
        <f>IF(RTD("tos.rtd",,DB$2,"."&amp;$A$2&amp;$AS$1&amp;"P"&amp;$A13)="N/A",0,RTD("tos.rtd",,DB$2,"."&amp;$A$2&amp;$AS$1&amp;"P"&amp;$A13))</f>
        <v>11.67</v>
      </c>
      <c r="DC13" s="3">
        <f>IF(RTD("tos.rtd",,DC$2,"."&amp;$A$2&amp;$AS$1&amp;"C"&amp;$A13)="N/A",0,RTD("tos.rtd",,DC$2,"."&amp;$A$2&amp;$AS$1&amp;"C"&amp;$A13))</f>
        <v>0.01</v>
      </c>
      <c r="DD13" s="3">
        <f>IF(RTD("tos.rtd",,DD$2,"."&amp;$A$2&amp;$AS$1&amp;"P"&amp;$A13)="N/A",0,RTD("tos.rtd",,DD$2,"."&amp;$A$2&amp;$AS$1&amp;"P"&amp;$A13))</f>
        <v>12.29</v>
      </c>
      <c r="DE13" s="3">
        <f>IF(RTD("tos.rtd",,DE$2,"."&amp;$A$2&amp;$AS$1&amp;"C"&amp;$A13)="N/A",0,RTD("tos.rtd",,DE$2,"."&amp;$A$2&amp;$AS$1&amp;"C"&amp;$A13))</f>
        <v>0</v>
      </c>
      <c r="DF13" s="3">
        <f>IF(RTD("tos.rtd",,DF$2,"."&amp;$A$2&amp;$AS$1&amp;"P"&amp;$A13)="N/A",0,RTD("tos.rtd",,DF$2,"."&amp;$A$2&amp;$AS$1&amp;"P"&amp;$A13))</f>
        <v>10.98</v>
      </c>
      <c r="DG13" s="86">
        <f t="shared" si="48"/>
        <v>8.6699999999999591</v>
      </c>
      <c r="DH13" s="3">
        <f t="shared" si="105"/>
        <v>0</v>
      </c>
      <c r="DI13" s="3">
        <f t="shared" si="106"/>
        <v>0</v>
      </c>
      <c r="DJ13" s="3">
        <f t="shared" si="107"/>
        <v>0</v>
      </c>
      <c r="DK13" s="3">
        <f t="shared" si="51"/>
        <v>0</v>
      </c>
      <c r="DL13" s="3">
        <f t="shared" si="52"/>
        <v>0</v>
      </c>
      <c r="DM13" s="3">
        <f t="shared" si="53"/>
        <v>0</v>
      </c>
      <c r="DN13" s="63" t="str">
        <f t="shared" si="54"/>
        <v>UNKNOWN</v>
      </c>
      <c r="DO13" s="63" t="str">
        <f t="shared" si="55"/>
        <v>UNKNOWN</v>
      </c>
      <c r="DP13" s="3">
        <f t="shared" si="56"/>
        <v>0</v>
      </c>
      <c r="DQ13" s="3">
        <f t="shared" si="57"/>
        <v>0</v>
      </c>
      <c r="DR13" s="3" t="e">
        <f t="shared" ca="1" si="58"/>
        <v>#NUM!</v>
      </c>
      <c r="DS13" s="3">
        <f t="shared" si="59"/>
        <v>0</v>
      </c>
      <c r="DT13" s="3">
        <f t="shared" si="60"/>
        <v>0</v>
      </c>
      <c r="DU13" s="3">
        <f t="shared" si="61"/>
        <v>0</v>
      </c>
      <c r="DV13" s="3">
        <f t="shared" si="62"/>
        <v>-3503</v>
      </c>
      <c r="DW13" s="3">
        <f t="shared" si="23"/>
        <v>-77</v>
      </c>
      <c r="DX13" s="3" t="e">
        <f t="shared" ca="1" si="24"/>
        <v>#NUM!</v>
      </c>
      <c r="DY13" s="3" t="e">
        <f t="shared" ca="1" si="25"/>
        <v>#NUM!</v>
      </c>
      <c r="DZ13" s="3">
        <f t="shared" ca="1" si="26"/>
        <v>2.8815322370471644E-2</v>
      </c>
      <c r="EA13" s="3">
        <f t="shared" ca="1" si="27"/>
        <v>-1.8708427584349544E-2</v>
      </c>
      <c r="EB13" s="3">
        <f t="shared" ca="1" si="28"/>
        <v>2.8453033324733749E-2</v>
      </c>
      <c r="EC13" s="3">
        <f t="shared" ca="1" si="29"/>
        <v>-2.6554607068115518E-2</v>
      </c>
      <c r="ED13" s="63">
        <f t="shared" si="63"/>
        <v>-3580</v>
      </c>
      <c r="EE13" s="59">
        <f t="shared" si="108"/>
        <v>0.77829999999999999</v>
      </c>
      <c r="EF13" s="59">
        <f t="shared" si="109"/>
        <v>3.7286999999999999</v>
      </c>
      <c r="EG13" s="59">
        <f t="shared" si="110"/>
        <v>0.17610000000000001</v>
      </c>
      <c r="EH13" s="59">
        <f t="shared" si="111"/>
        <v>0.42480000000000001</v>
      </c>
      <c r="EI13" s="59">
        <f t="shared" si="112"/>
        <v>0.16339999999999999</v>
      </c>
      <c r="EJ13" s="59">
        <f t="shared" si="113"/>
        <v>0.25230000000000002</v>
      </c>
      <c r="EL13" s="3" t="str">
        <f>RTD("tos.rtd",,EL$2,"."&amp;$A$2&amp;$AS$1&amp;"C"&amp;$A13)</f>
        <v>77.83%</v>
      </c>
      <c r="EM13" s="3" t="str">
        <f>RTD("tos.rtd",,EM$2,"."&amp;$A$2&amp;$AS$1&amp;"P"&amp;$A13)</f>
        <v>372.87%</v>
      </c>
      <c r="EN13" s="3" t="str">
        <f>RTD("tos.rtd",,EN$2,"."&amp;$A$2&amp;$AU$1&amp;"C"&amp;$A13)</f>
        <v>17.61%</v>
      </c>
      <c r="EO13" s="3" t="str">
        <f>RTD("tos.rtd",,EO$2,"."&amp;$A$2&amp;$AU$1&amp;"P"&amp;$A13)</f>
        <v>42.48%</v>
      </c>
      <c r="EP13" s="3" t="str">
        <f>RTD("tos.rtd",,EP$2,"."&amp;$A$2&amp;$AW$1&amp;"C"&amp;$A13)</f>
        <v>16.34%</v>
      </c>
      <c r="EQ13" s="3" t="str">
        <f>RTD("tos.rtd",,EQ$2,"."&amp;$A$2&amp;$AW$1&amp;"P"&amp;$A13)</f>
        <v>25.23%</v>
      </c>
      <c r="ES13" s="63" t="str">
        <f t="shared" si="65"/>
        <v>573,-3580.00</v>
      </c>
      <c r="ET13" s="63" t="str">
        <f t="shared" ca="1" si="66"/>
        <v>573,00.00</v>
      </c>
      <c r="EU13" s="67">
        <v>562.97</v>
      </c>
      <c r="EV13" s="67" t="s">
        <v>124</v>
      </c>
      <c r="EW13" s="67">
        <v>485.51</v>
      </c>
      <c r="EX13" s="67" t="s">
        <v>125</v>
      </c>
      <c r="EY13" s="67">
        <v>5643</v>
      </c>
      <c r="EZ13" s="67" t="s">
        <v>126</v>
      </c>
      <c r="FA13" s="67">
        <v>19943.75</v>
      </c>
      <c r="FB13" s="67" t="s">
        <v>127</v>
      </c>
      <c r="FC13" s="67" t="s">
        <v>128</v>
      </c>
      <c r="FD13" s="67" t="s">
        <v>129</v>
      </c>
      <c r="FE13" s="67" t="s">
        <v>130</v>
      </c>
      <c r="FF13" s="67" t="s">
        <v>131</v>
      </c>
    </row>
    <row r="14" spans="1:162" s="63" customFormat="1" ht="13.5" thickBot="1" x14ac:dyDescent="0.25">
      <c r="A14" s="2">
        <f t="shared" si="67"/>
        <v>572</v>
      </c>
      <c r="B14" s="3">
        <f t="shared" si="81"/>
        <v>6404</v>
      </c>
      <c r="C14" s="3">
        <f t="shared" si="82"/>
        <v>3535</v>
      </c>
      <c r="D14" s="3">
        <f t="shared" si="83"/>
        <v>3276</v>
      </c>
      <c r="E14" s="3">
        <f t="shared" si="84"/>
        <v>13215</v>
      </c>
      <c r="F14" s="4">
        <f t="shared" si="85"/>
        <v>5757.1988021193265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>
        <v>-3193</v>
      </c>
      <c r="AN14" s="1">
        <v>42</v>
      </c>
      <c r="AO14" s="1">
        <v>572</v>
      </c>
      <c r="AP14" s="1">
        <v>17023</v>
      </c>
      <c r="AQ14" s="1">
        <v>-193</v>
      </c>
      <c r="AR14" s="1"/>
      <c r="AS14" s="6">
        <f>IF(RTD("tos.rtd",,AS$2,"."&amp;$A$2&amp;$AS$1&amp;"C"&amp;$A14)="N/A",0,RTD("tos.rtd",,AS$2,"."&amp;$A$2&amp;$AS$1&amp;"C"&amp;$A14))</f>
        <v>6271</v>
      </c>
      <c r="AT14" s="7">
        <f>-IF(RTD("tos.rtd",,AT$2,"."&amp;$A$2&amp;$AS$1&amp;"P"&amp;$A14)="N/A",0,RTD("tos.rtd",,AT$2,"."&amp;$A$2&amp;$AS$1&amp;"P"&amp;$A14))</f>
        <v>-133</v>
      </c>
      <c r="AU14" s="6">
        <f>IF(RTD("tos.rtd",,AU$2,"."&amp;$A$2&amp;$AU$1&amp;"C"&amp;$A14)="N/A",0,RTD("tos.rtd",,AU$2,"."&amp;$A$2&amp;$AU$1&amp;"C"&amp;$A14))</f>
        <v>3415</v>
      </c>
      <c r="AV14" s="7">
        <f>-IF(RTD("tos.rtd",,AV$2,"."&amp;$A$2&amp;$AU$1&amp;"P"&amp;$A14)="N/A",0,RTD("tos.rtd",,AV$2,"."&amp;$A$2&amp;$AU$1&amp;"P"&amp;$A14))</f>
        <v>-120</v>
      </c>
      <c r="AW14" s="6">
        <f>IF(RTD("tos.rtd",,AW$2,"."&amp;$A$2&amp;$AW$1&amp;"C"&amp;$A14)="N/A",0,RTD("tos.rtd",,AW$2,"."&amp;$A$2&amp;$AW$1&amp;"C"&amp;$A14))</f>
        <v>2665</v>
      </c>
      <c r="AX14" s="7">
        <f>-IF(RTD("tos.rtd",,AX$2,"."&amp;$A$2&amp;$AW$1&amp;"P"&amp;$A14)="N/A",0,RTD("tos.rtd",,AX$2,"."&amp;$A$2&amp;$AW$1&amp;"P"&amp;$A14))</f>
        <v>-611</v>
      </c>
      <c r="AY14" s="1">
        <f t="shared" si="86"/>
        <v>11487</v>
      </c>
      <c r="AZ14" s="8">
        <f t="shared" si="35"/>
        <v>572</v>
      </c>
      <c r="BA14" s="6">
        <f>IF(RTD("tos.rtd",,BA$2,"."&amp;$A$2&amp;$AS$1&amp;"C"&amp;$A14)="N/A",0,RTD("tos.rtd",,BA$2,"."&amp;$A$2&amp;$AS$1&amp;"C"&amp;$A14))</f>
        <v>17029</v>
      </c>
      <c r="BB14" s="7">
        <f>-IF(RTD("tos.rtd",,BB$2,"."&amp;$A$2&amp;$AS$1&amp;"P"&amp;$A14)="N/A",0,RTD("tos.rtd",,BB$2,"."&amp;$A$2&amp;$AS$1&amp;"P"&amp;$A14))</f>
        <v>-193</v>
      </c>
      <c r="BC14" s="6">
        <f>IF(RTD("tos.rtd",,BC$2,"."&amp;$A$2&amp;$AU$1&amp;"C"&amp;$A14)="N/A",0,RTD("tos.rtd",,BC$2,"."&amp;$A$2&amp;$AU$1&amp;"C"&amp;$A14))</f>
        <v>7236</v>
      </c>
      <c r="BD14" s="7">
        <f>-IF(RTD("tos.rtd",,BD$2,"."&amp;$A$2&amp;$AU$1&amp;"P"&amp;$A14)="N/A",0,RTD("tos.rtd",,BD$2,"."&amp;$A$2&amp;$AU$1&amp;"P"&amp;$A14))</f>
        <v>-40</v>
      </c>
      <c r="BE14" s="6">
        <f>IF(RTD("tos.rtd",,BE$2,"."&amp;$A$2&amp;$AW$1&amp;"C"&amp;$A14)="N/A",0,RTD("tos.rtd",,BE$2,"."&amp;$A$2&amp;$AW$1&amp;"C"&amp;$A14))</f>
        <v>837</v>
      </c>
      <c r="BF14" s="83">
        <f>-IF(RTD("tos.rtd",,BF$2,"."&amp;$A$2&amp;$AW$1&amp;"P"&amp;$A14)="N/A",0,RTD("tos.rtd",,BF$2,"."&amp;$A$2&amp;$AW$1&amp;"P"&amp;$A14))</f>
        <v>-174</v>
      </c>
      <c r="BG14" s="32">
        <f ca="1">+Hoja2!Y15</f>
        <v>726</v>
      </c>
      <c r="BH14" s="7">
        <f t="shared" ca="1" si="36"/>
        <v>25421</v>
      </c>
      <c r="BI14" s="8" t="str">
        <f t="shared" ref="BI14" ca="1" si="122">IF(AND(BH14&lt;0,BH13&gt;0), "Cruce -", IF(AND(BH14&gt;0,BH13&lt;0),"Cruce +", ""))</f>
        <v/>
      </c>
      <c r="BJ14" s="3" t="e">
        <f ca="1">IF($BP$1=1,DX14,IF(RTD("tos.rtd",,BJ$2,"."&amp;$A$2&amp;$AS$1&amp;"C"&amp;$A14)="N/A",0,RTD("tos.rtd",,BJ$2,"."&amp;$A$2&amp;$AS$1&amp;"C"&amp;$A14)))</f>
        <v>#NUM!</v>
      </c>
      <c r="BK14" s="3" t="e">
        <f ca="1">IF($BP$1=1,DY14,-IF(RTD("tos.rtd",,BK$2,"."&amp;$A$2&amp;$AS$1&amp;"P"&amp;$A14)="N/A",0,RTD("tos.rtd",,BK$2,"."&amp;$A$2&amp;$AS$1&amp;"P"&amp;$A14)))</f>
        <v>#NUM!</v>
      </c>
      <c r="BL14" s="3">
        <f ca="1">IF($BP$1=1,DZ14,IF(RTD("tos.rtd",,BL$2,"."&amp;$A$2&amp;$AU$1&amp;"C"&amp;$A14)="N/A",0,RTD("tos.rtd",,BL$2,"."&amp;$A$2&amp;$AU$1&amp;"C"&amp;$A14)))</f>
        <v>3.2477753075025172E-2</v>
      </c>
      <c r="BM14" s="3">
        <f ca="1">IF($BP$1=1,EA14,-IF(RTD("tos.rtd",,BM$2,"."&amp;$A$2&amp;$AU$1&amp;"P"&amp;$A14)="N/A",0,RTD("tos.rtd",,BM$2,"."&amp;$A$2&amp;$AU$1&amp;"P"&amp;$A14)))</f>
        <v>-1.969468135864004E-2</v>
      </c>
      <c r="BN14" s="3">
        <f ca="1">IF($BP$1=1,EB14,IF(RTD("tos.rtd",,BN$2,"."&amp;$A$2&amp;$AW$1&amp;"C"&amp;$A14)="N/A",0,RTD("tos.rtd",,BN$2,"."&amp;$A$2&amp;$AW$1&amp;"C"&amp;$A14)))</f>
        <v>3.2642230603711131E-2</v>
      </c>
      <c r="BO14" s="3">
        <f ca="1">IF($BP$1=1,EC14,-IF(RTD("tos.rtd",,BO$2,"."&amp;$A$2&amp;$AW$1&amp;"P"&amp;$A14)="N/A",0,RTD("tos.rtd",,BO$2,"."&amp;$A$2&amp;$AW$1&amp;"P"&amp;$A14)))</f>
        <v>-2.8227913137840868E-2</v>
      </c>
      <c r="BQ14" s="3" t="e">
        <f t="shared" ca="1" si="88"/>
        <v>#NUM!</v>
      </c>
      <c r="BR14" s="3" t="e">
        <f t="shared" ca="1" si="70"/>
        <v>#NUM!</v>
      </c>
      <c r="BS14" s="3">
        <f t="shared" ca="1" si="89"/>
        <v>34569154.879908621</v>
      </c>
      <c r="BT14" s="3" t="str">
        <f t="shared" ca="1" si="70"/>
        <v/>
      </c>
      <c r="BU14" s="3">
        <f t="shared" ca="1" si="90"/>
        <v>22211348.764201146</v>
      </c>
      <c r="BV14" s="3" t="str">
        <f t="shared" ref="BV14" ca="1" si="123">IF(AND(BU14&lt;0,BU13&gt;0), "Cruce -", IF(AND(BU14&gt;0,BU13&lt;0),"Cruce +", ""))</f>
        <v/>
      </c>
      <c r="BX14" s="3" t="e">
        <f t="shared" ca="1" si="92"/>
        <v>#NUM!</v>
      </c>
      <c r="BY14" s="3" t="e">
        <f t="shared" ca="1" si="72"/>
        <v>#NUM!</v>
      </c>
      <c r="BZ14" s="3">
        <f t="shared" ca="1" si="93"/>
        <v>74592049.668197557</v>
      </c>
      <c r="CA14" s="3" t="str">
        <f t="shared" ca="1" si="73"/>
        <v/>
      </c>
      <c r="CB14" s="3">
        <f t="shared" ca="1" si="94"/>
        <v>7136840.7085155556</v>
      </c>
      <c r="CC14" s="3" t="str">
        <f t="shared" ca="1" si="74"/>
        <v/>
      </c>
      <c r="CD14" s="3">
        <f>IF(RTD("tos.rtd",,CD$2,"."&amp;$A$2&amp;$AS$1&amp;"C"&amp;$A14)="N/A",0,RTD("tos.rtd",,CD$2,"."&amp;$A$2&amp;$AS$1&amp;"C"&amp;$A14))</f>
        <v>0.01</v>
      </c>
      <c r="CE14" s="3">
        <f>-IF(RTD("tos.rtd",,CE$2,"."&amp;$A$2&amp;$AS$1&amp;"P"&amp;$A14)="N/A",0,RTD("tos.rtd",,CE$2,"."&amp;$A$2&amp;$AS$1&amp;"P"&amp;$A14))</f>
        <v>0.69</v>
      </c>
      <c r="CF14" s="3">
        <f>IF(RTD("tos.rtd",,CF$2,"."&amp;$A$2&amp;$AU$1&amp;"C"&amp;$A14)="N/A",0,RTD("tos.rtd",,CF$2,"."&amp;$A$2&amp;$AU$1&amp;"C"&amp;$A14))</f>
        <v>0.13</v>
      </c>
      <c r="CG14" s="3">
        <f>-IF(RTD("tos.rtd",,CG$2,"."&amp;$A$2&amp;$AU$1&amp;"P"&amp;$A14)="N/A",0,RTD("tos.rtd",,CG$2,"."&amp;$A$2&amp;$AU$1&amp;"P"&amp;$A14))</f>
        <v>0.68</v>
      </c>
      <c r="CH14" s="3">
        <f>IF(RTD("tos.rtd",,CH$2,"."&amp;$A$2&amp;$AW$1&amp;"C"&amp;$A14)="N/A",0,RTD("tos.rtd",,CH$2,"."&amp;$A$2&amp;$AW$1&amp;"C"&amp;$A14))</f>
        <v>0.31</v>
      </c>
      <c r="CI14" s="3">
        <f>-IF(RTD("tos.rtd",,CI$2,"."&amp;$A$2&amp;$AW$1&amp;"P"&amp;$A14)="N/A",0,RTD("tos.rtd",,CI$2,"."&amp;$A$2&amp;$AW$1&amp;"P"&amp;$A14))</f>
        <v>0.62</v>
      </c>
      <c r="CK14" s="3">
        <f t="shared" si="95"/>
        <v>-2906</v>
      </c>
      <c r="CL14" s="3"/>
      <c r="CM14" s="3">
        <f t="shared" si="96"/>
        <v>36235</v>
      </c>
      <c r="CN14" s="3"/>
      <c r="CO14" s="3">
        <f t="shared" si="97"/>
        <v>44733</v>
      </c>
      <c r="CP14" s="3">
        <f t="shared" si="98"/>
        <v>78062</v>
      </c>
      <c r="CQ14" s="3">
        <f t="shared" si="99"/>
        <v>16836</v>
      </c>
      <c r="CR14" s="3"/>
      <c r="CS14" s="3">
        <f t="shared" si="100"/>
        <v>7196</v>
      </c>
      <c r="CT14" s="3"/>
      <c r="CU14" s="3">
        <f t="shared" si="101"/>
        <v>663</v>
      </c>
      <c r="CV14" s="3">
        <f t="shared" si="102"/>
        <v>24695</v>
      </c>
      <c r="CW14" s="3" t="e">
        <f t="shared" ca="1" si="103"/>
        <v>#NUM!</v>
      </c>
      <c r="CX14" s="85" t="e">
        <f t="shared" ca="1" si="75"/>
        <v>#NUM!</v>
      </c>
      <c r="CY14" s="3" t="e">
        <f t="shared" ca="1" si="104"/>
        <v>#NUM!</v>
      </c>
      <c r="CZ14" s="85" t="e">
        <f t="shared" ca="1" si="76"/>
        <v>#NUM!</v>
      </c>
      <c r="DA14" s="3">
        <f>IF(RTD("tos.rtd",,DA$2,"."&amp;$A$2&amp;$AS$1&amp;"C"&amp;$A14)="N/A",0,RTD("tos.rtd",,DA$2,"."&amp;$A$2&amp;$AS$1&amp;"C"&amp;$A14))</f>
        <v>0.01</v>
      </c>
      <c r="DB14" s="3">
        <f>IF(RTD("tos.rtd",,DB$2,"."&amp;$A$2&amp;$AS$1&amp;"P"&amp;$A14)="N/A",0,RTD("tos.rtd",,DB$2,"."&amp;$A$2&amp;$AS$1&amp;"P"&amp;$A14))</f>
        <v>11.15</v>
      </c>
      <c r="DC14" s="3">
        <f>IF(RTD("tos.rtd",,DC$2,"."&amp;$A$2&amp;$AS$1&amp;"C"&amp;$A14)="N/A",0,RTD("tos.rtd",,DC$2,"."&amp;$A$2&amp;$AS$1&amp;"C"&amp;$A14))</f>
        <v>0.01</v>
      </c>
      <c r="DD14" s="3">
        <f>IF(RTD("tos.rtd",,DD$2,"."&amp;$A$2&amp;$AS$1&amp;"P"&amp;$A14)="N/A",0,RTD("tos.rtd",,DD$2,"."&amp;$A$2&amp;$AS$1&amp;"P"&amp;$A14))</f>
        <v>11.58</v>
      </c>
      <c r="DE14" s="3">
        <f>IF(RTD("tos.rtd",,DE$2,"."&amp;$A$2&amp;$AS$1&amp;"C"&amp;$A14)="N/A",0,RTD("tos.rtd",,DE$2,"."&amp;$A$2&amp;$AS$1&amp;"C"&amp;$A14))</f>
        <v>0</v>
      </c>
      <c r="DF14" s="3">
        <f>IF(RTD("tos.rtd",,DF$2,"."&amp;$A$2&amp;$AS$1&amp;"P"&amp;$A14)="N/A",0,RTD("tos.rtd",,DF$2,"."&amp;$A$2&amp;$AS$1&amp;"P"&amp;$A14))</f>
        <v>9.74</v>
      </c>
      <c r="DG14" s="86">
        <f t="shared" si="48"/>
        <v>7.6699999999999591</v>
      </c>
      <c r="DH14" s="3">
        <f t="shared" si="105"/>
        <v>6</v>
      </c>
      <c r="DI14" s="3">
        <f t="shared" si="106"/>
        <v>0</v>
      </c>
      <c r="DJ14" s="3">
        <f t="shared" si="107"/>
        <v>6</v>
      </c>
      <c r="DK14" s="3">
        <f t="shared" si="51"/>
        <v>0</v>
      </c>
      <c r="DL14" s="3">
        <f t="shared" si="52"/>
        <v>6</v>
      </c>
      <c r="DM14" s="3">
        <f t="shared" si="53"/>
        <v>6</v>
      </c>
      <c r="DN14" s="63" t="str">
        <f t="shared" si="54"/>
        <v>BUY</v>
      </c>
      <c r="DO14" s="63" t="str">
        <f t="shared" si="55"/>
        <v>UNKNOWN</v>
      </c>
      <c r="DP14" s="3">
        <f t="shared" si="56"/>
        <v>0.06</v>
      </c>
      <c r="DQ14" s="3">
        <f t="shared" si="57"/>
        <v>0.06</v>
      </c>
      <c r="DR14" s="3" t="e">
        <f t="shared" ca="1" si="58"/>
        <v>#NUM!</v>
      </c>
      <c r="DS14" s="3">
        <f t="shared" si="59"/>
        <v>0.06</v>
      </c>
      <c r="DT14" s="3">
        <f t="shared" si="60"/>
        <v>6</v>
      </c>
      <c r="DU14" s="3">
        <f t="shared" si="61"/>
        <v>0</v>
      </c>
      <c r="DV14" s="3">
        <f t="shared" si="62"/>
        <v>-3187</v>
      </c>
      <c r="DW14" s="3">
        <f t="shared" si="23"/>
        <v>42</v>
      </c>
      <c r="DX14" s="3" t="e">
        <f t="shared" ca="1" si="24"/>
        <v>#NUM!</v>
      </c>
      <c r="DY14" s="3" t="e">
        <f t="shared" ca="1" si="25"/>
        <v>#NUM!</v>
      </c>
      <c r="DZ14" s="3">
        <f t="shared" ca="1" si="26"/>
        <v>3.2477753075025172E-2</v>
      </c>
      <c r="EA14" s="3">
        <f t="shared" ca="1" si="27"/>
        <v>-1.969468135864004E-2</v>
      </c>
      <c r="EB14" s="3">
        <f t="shared" ca="1" si="28"/>
        <v>3.2642230603711131E-2</v>
      </c>
      <c r="EC14" s="3">
        <f t="shared" ca="1" si="29"/>
        <v>-2.8227913137840868E-2</v>
      </c>
      <c r="ED14" s="63">
        <f t="shared" si="63"/>
        <v>-3145</v>
      </c>
      <c r="EE14" s="59">
        <f t="shared" si="108"/>
        <v>0.69840000000000002</v>
      </c>
      <c r="EF14" s="59">
        <f t="shared" si="109"/>
        <v>3.5470999999999999</v>
      </c>
      <c r="EG14" s="59">
        <f t="shared" si="110"/>
        <v>0.1744</v>
      </c>
      <c r="EH14" s="59">
        <f t="shared" si="111"/>
        <v>0.40920000000000001</v>
      </c>
      <c r="EI14" s="59">
        <f t="shared" si="112"/>
        <v>0.16420000000000001</v>
      </c>
      <c r="EJ14" s="59">
        <f t="shared" si="113"/>
        <v>0.25059999999999999</v>
      </c>
      <c r="EL14" s="3" t="str">
        <f>RTD("tos.rtd",,EL$2,"."&amp;$A$2&amp;$AS$1&amp;"C"&amp;$A14)</f>
        <v>69.84%</v>
      </c>
      <c r="EM14" s="3" t="str">
        <f>RTD("tos.rtd",,EM$2,"."&amp;$A$2&amp;$AS$1&amp;"P"&amp;$A14)</f>
        <v>354.71%</v>
      </c>
      <c r="EN14" s="3" t="str">
        <f>RTD("tos.rtd",,EN$2,"."&amp;$A$2&amp;$AU$1&amp;"C"&amp;$A14)</f>
        <v>17.44%</v>
      </c>
      <c r="EO14" s="3" t="str">
        <f>RTD("tos.rtd",,EO$2,"."&amp;$A$2&amp;$AU$1&amp;"P"&amp;$A14)</f>
        <v>40.92%</v>
      </c>
      <c r="EP14" s="3" t="str">
        <f>RTD("tos.rtd",,EP$2,"."&amp;$A$2&amp;$AW$1&amp;"C"&amp;$A14)</f>
        <v>16.42%</v>
      </c>
      <c r="EQ14" s="3" t="str">
        <f>RTD("tos.rtd",,EQ$2,"."&amp;$A$2&amp;$AW$1&amp;"P"&amp;$A14)</f>
        <v>25.06%</v>
      </c>
      <c r="ES14" s="63" t="str">
        <f t="shared" si="65"/>
        <v>572,-3145.00</v>
      </c>
      <c r="ET14" s="63" t="str">
        <f t="shared" ca="1" si="66"/>
        <v>572,00.00</v>
      </c>
      <c r="EU14" s="67">
        <v>562.97</v>
      </c>
      <c r="EV14" s="67" t="s">
        <v>132</v>
      </c>
      <c r="EW14" s="67">
        <v>485.49</v>
      </c>
      <c r="EX14" s="67" t="s">
        <v>133</v>
      </c>
      <c r="EY14" s="67">
        <v>5643.5</v>
      </c>
      <c r="EZ14" s="67" t="s">
        <v>134</v>
      </c>
      <c r="FA14" s="67">
        <v>19943</v>
      </c>
      <c r="FB14" s="67" t="s">
        <v>135</v>
      </c>
      <c r="FC14" s="67" t="s">
        <v>136</v>
      </c>
      <c r="FD14" s="67" t="s">
        <v>137</v>
      </c>
      <c r="FE14" s="67" t="s">
        <v>138</v>
      </c>
      <c r="FF14" s="67" t="s">
        <v>139</v>
      </c>
    </row>
    <row r="15" spans="1:162" s="63" customFormat="1" ht="13.5" thickBot="1" x14ac:dyDescent="0.25">
      <c r="A15" s="2">
        <f t="shared" si="67"/>
        <v>571</v>
      </c>
      <c r="B15" s="3">
        <f t="shared" si="9"/>
        <v>5599</v>
      </c>
      <c r="C15" s="3">
        <f t="shared" si="10"/>
        <v>3323</v>
      </c>
      <c r="D15" s="3">
        <f t="shared" si="11"/>
        <v>3301</v>
      </c>
      <c r="E15" s="3">
        <f t="shared" si="12"/>
        <v>12223</v>
      </c>
      <c r="F15" s="4">
        <f t="shared" si="13"/>
        <v>5747.1337692484885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>
        <v>-722</v>
      </c>
      <c r="AN15" s="1">
        <v>28</v>
      </c>
      <c r="AO15" s="1">
        <v>571</v>
      </c>
      <c r="AP15" s="1">
        <v>35754</v>
      </c>
      <c r="AQ15" s="1">
        <v>-211</v>
      </c>
      <c r="AR15" s="1"/>
      <c r="AS15" s="6">
        <f>IF(RTD("tos.rtd",,AS$2,"."&amp;$A$2&amp;$AS$1&amp;"C"&amp;$A15)="N/A",0,RTD("tos.rtd",,AS$2,"."&amp;$A$2&amp;$AS$1&amp;"C"&amp;$A15))</f>
        <v>5484</v>
      </c>
      <c r="AT15" s="7">
        <f>-IF(RTD("tos.rtd",,AT$2,"."&amp;$A$2&amp;$AS$1&amp;"P"&amp;$A15)="N/A",0,RTD("tos.rtd",,AT$2,"."&amp;$A$2&amp;$AS$1&amp;"P"&amp;$A15))</f>
        <v>-115</v>
      </c>
      <c r="AU15" s="6">
        <f>IF(RTD("tos.rtd",,AU$2,"."&amp;$A$2&amp;$AU$1&amp;"C"&amp;$A15)="N/A",0,RTD("tos.rtd",,AU$2,"."&amp;$A$2&amp;$AU$1&amp;"C"&amp;$A15))</f>
        <v>2556</v>
      </c>
      <c r="AV15" s="7">
        <f>-IF(RTD("tos.rtd",,AV$2,"."&amp;$A$2&amp;$AU$1&amp;"P"&amp;$A15)="N/A",0,RTD("tos.rtd",,AV$2,"."&amp;$A$2&amp;$AU$1&amp;"P"&amp;$A15))</f>
        <v>-767</v>
      </c>
      <c r="AW15" s="6">
        <f>IF(RTD("tos.rtd",,AW$2,"."&amp;$A$2&amp;$AW$1&amp;"C"&amp;$A15)="N/A",0,RTD("tos.rtd",,AW$2,"."&amp;$A$2&amp;$AW$1&amp;"C"&amp;$A15))</f>
        <v>2545</v>
      </c>
      <c r="AX15" s="7">
        <f>-IF(RTD("tos.rtd",,AX$2,"."&amp;$A$2&amp;$AW$1&amp;"P"&amp;$A15)="N/A",0,RTD("tos.rtd",,AX$2,"."&amp;$A$2&amp;$AW$1&amp;"P"&amp;$A15))</f>
        <v>-756</v>
      </c>
      <c r="AY15" s="1">
        <f t="shared" si="68"/>
        <v>8947</v>
      </c>
      <c r="AZ15" s="8">
        <f t="shared" si="35"/>
        <v>571</v>
      </c>
      <c r="BA15" s="6">
        <f>IF(RTD("tos.rtd",,BA$2,"."&amp;$A$2&amp;$AS$1&amp;"C"&amp;$A15)="N/A",0,RTD("tos.rtd",,BA$2,"."&amp;$A$2&amp;$AS$1&amp;"C"&amp;$A15))</f>
        <v>35754</v>
      </c>
      <c r="BB15" s="7">
        <f>-IF(RTD("tos.rtd",,BB$2,"."&amp;$A$2&amp;$AS$1&amp;"P"&amp;$A15)="N/A",0,RTD("tos.rtd",,BB$2,"."&amp;$A$2&amp;$AS$1&amp;"P"&amp;$A15))</f>
        <v>-211</v>
      </c>
      <c r="BC15" s="6">
        <f>IF(RTD("tos.rtd",,BC$2,"."&amp;$A$2&amp;$AU$1&amp;"C"&amp;$A15)="N/A",0,RTD("tos.rtd",,BC$2,"."&amp;$A$2&amp;$AU$1&amp;"C"&amp;$A15))</f>
        <v>6806</v>
      </c>
      <c r="BD15" s="7">
        <f>-IF(RTD("tos.rtd",,BD$2,"."&amp;$A$2&amp;$AU$1&amp;"P"&amp;$A15)="N/A",0,RTD("tos.rtd",,BD$2,"."&amp;$A$2&amp;$AU$1&amp;"P"&amp;$A15))</f>
        <v>-124</v>
      </c>
      <c r="BE15" s="6">
        <f>IF(RTD("tos.rtd",,BE$2,"."&amp;$A$2&amp;$AW$1&amp;"C"&amp;$A15)="N/A",0,RTD("tos.rtd",,BE$2,"."&amp;$A$2&amp;$AW$1&amp;"C"&amp;$A15))</f>
        <v>2429</v>
      </c>
      <c r="BF15" s="83">
        <f>-IF(RTD("tos.rtd",,BF$2,"."&amp;$A$2&amp;$AW$1&amp;"P"&amp;$A15)="N/A",0,RTD("tos.rtd",,BF$2,"."&amp;$A$2&amp;$AW$1&amp;"P"&amp;$A15))</f>
        <v>-11</v>
      </c>
      <c r="BG15" s="32">
        <f ca="1">+Hoja2!Y16</f>
        <v>557</v>
      </c>
      <c r="BH15" s="7">
        <f t="shared" ca="1" si="36"/>
        <v>45200</v>
      </c>
      <c r="BI15" s="8" t="str">
        <f t="shared" ref="BI15" ca="1" si="124">IF(AND(BH15&lt;0,BH14&gt;0), "Cruce -", IF(AND(BH15&gt;0,BH14&lt;0),"Cruce +", ""))</f>
        <v/>
      </c>
      <c r="BJ15" s="3" t="e">
        <f ca="1">IF($BP$1=1,DX15,IF(RTD("tos.rtd",,BJ$2,"."&amp;$A$2&amp;$AS$1&amp;"C"&amp;$A15)="N/A",0,RTD("tos.rtd",,BJ$2,"."&amp;$A$2&amp;$AS$1&amp;"C"&amp;$A15)))</f>
        <v>#NUM!</v>
      </c>
      <c r="BK15" s="3" t="e">
        <f ca="1">IF($BP$1=1,DY15,-IF(RTD("tos.rtd",,BK$2,"."&amp;$A$2&amp;$AS$1&amp;"P"&amp;$A15)="N/A",0,RTD("tos.rtd",,BK$2,"."&amp;$A$2&amp;$AS$1&amp;"P"&amp;$A15)))</f>
        <v>#NUM!</v>
      </c>
      <c r="BL15" s="3">
        <f ca="1">IF($BP$1=1,DZ15,IF(RTD("tos.rtd",,BL$2,"."&amp;$A$2&amp;$AU$1&amp;"C"&amp;$A15)="N/A",0,RTD("tos.rtd",,BL$2,"."&amp;$A$2&amp;$AU$1&amp;"C"&amp;$A15)))</f>
        <v>3.6191658489365293E-2</v>
      </c>
      <c r="BM15" s="3">
        <f ca="1">IF($BP$1=1,EA15,-IF(RTD("tos.rtd",,BM$2,"."&amp;$A$2&amp;$AU$1&amp;"P"&amp;$A15)="N/A",0,RTD("tos.rtd",,BM$2,"."&amp;$A$2&amp;$AU$1&amp;"P"&amp;$A15)))</f>
        <v>-2.0684832640756885E-2</v>
      </c>
      <c r="BN15" s="3">
        <f ca="1">IF($BP$1=1,EB15,IF(RTD("tos.rtd",,BN$2,"."&amp;$A$2&amp;$AW$1&amp;"C"&amp;$A15)="N/A",0,RTD("tos.rtd",,BN$2,"."&amp;$A$2&amp;$AW$1&amp;"C"&amp;$A15)))</f>
        <v>3.6737098350279808E-2</v>
      </c>
      <c r="BO15" s="3">
        <f ca="1">IF($BP$1=1,EC15,-IF(RTD("tos.rtd",,BO$2,"."&amp;$A$2&amp;$AW$1&amp;"P"&amp;$A15)="N/A",0,RTD("tos.rtd",,BO$2,"."&amp;$A$2&amp;$AW$1&amp;"P"&amp;$A15)))</f>
        <v>-2.9794653994112547E-2</v>
      </c>
      <c r="BQ15" s="3" t="e">
        <f t="shared" ca="1" si="37"/>
        <v>#NUM!</v>
      </c>
      <c r="BR15" s="3" t="e">
        <f t="shared" ca="1" si="70"/>
        <v>#NUM!</v>
      </c>
      <c r="BS15" s="3">
        <f t="shared" ca="1" si="38"/>
        <v>24407609.309890117</v>
      </c>
      <c r="BT15" s="3" t="str">
        <f t="shared" ca="1" si="70"/>
        <v/>
      </c>
      <c r="BU15" s="3">
        <f t="shared" ca="1" si="39"/>
        <v>22602067.151705716</v>
      </c>
      <c r="BV15" s="3" t="str">
        <f t="shared" ref="BV15" ca="1" si="125">IF(AND(BU15&lt;0,BU14&gt;0), "Cruce -", IF(AND(BU15&gt;0,BU14&lt;0),"Cruce +", ""))</f>
        <v/>
      </c>
      <c r="BX15" s="3" t="e">
        <f t="shared" ca="1" si="40"/>
        <v>#NUM!</v>
      </c>
      <c r="BY15" s="3" t="e">
        <f t="shared" ca="1" si="72"/>
        <v>#NUM!</v>
      </c>
      <c r="BZ15" s="3">
        <f t="shared" ca="1" si="41"/>
        <v>77628414.305353582</v>
      </c>
      <c r="CA15" s="3" t="str">
        <f t="shared" ca="1" si="73"/>
        <v/>
      </c>
      <c r="CB15" s="3">
        <f t="shared" ca="1" si="42"/>
        <v>28313960.623672914</v>
      </c>
      <c r="CC15" s="3" t="str">
        <f t="shared" ca="1" si="74"/>
        <v/>
      </c>
      <c r="CD15" s="3">
        <f>IF(RTD("tos.rtd",,CD$2,"."&amp;$A$2&amp;$AS$1&amp;"C"&amp;$A15)="N/A",0,RTD("tos.rtd",,CD$2,"."&amp;$A$2&amp;$AS$1&amp;"C"&amp;$A15))</f>
        <v>0.01</v>
      </c>
      <c r="CE15" s="3">
        <f>-IF(RTD("tos.rtd",,CE$2,"."&amp;$A$2&amp;$AS$1&amp;"P"&amp;$A15)="N/A",0,RTD("tos.rtd",,CE$2,"."&amp;$A$2&amp;$AS$1&amp;"P"&amp;$A15))</f>
        <v>0.68</v>
      </c>
      <c r="CF15" s="3">
        <f>IF(RTD("tos.rtd",,CF$2,"."&amp;$A$2&amp;$AU$1&amp;"C"&amp;$A15)="N/A",0,RTD("tos.rtd",,CF$2,"."&amp;$A$2&amp;$AU$1&amp;"C"&amp;$A15))</f>
        <v>0.17</v>
      </c>
      <c r="CG15" s="3">
        <f>-IF(RTD("tos.rtd",,CG$2,"."&amp;$A$2&amp;$AU$1&amp;"P"&amp;$A15)="N/A",0,RTD("tos.rtd",,CG$2,"."&amp;$A$2&amp;$AU$1&amp;"P"&amp;$A15))</f>
        <v>0.66</v>
      </c>
      <c r="CH15" s="3">
        <f>IF(RTD("tos.rtd",,CH$2,"."&amp;$A$2&amp;$AW$1&amp;"C"&amp;$A15)="N/A",0,RTD("tos.rtd",,CH$2,"."&amp;$A$2&amp;$AW$1&amp;"C"&amp;$A15))</f>
        <v>0.34</v>
      </c>
      <c r="CI15" s="3">
        <f>-IF(RTD("tos.rtd",,CI$2,"."&amp;$A$2&amp;$AW$1&amp;"P"&amp;$A15)="N/A",0,RTD("tos.rtd",,CI$2,"."&amp;$A$2&amp;$AW$1&amp;"P"&amp;$A15))</f>
        <v>0.61</v>
      </c>
      <c r="CK15" s="3">
        <f t="shared" si="17"/>
        <v>-2336</v>
      </c>
      <c r="CL15" s="3"/>
      <c r="CM15" s="3">
        <f t="shared" si="18"/>
        <v>-7169.9999999999927</v>
      </c>
      <c r="CN15" s="3"/>
      <c r="CO15" s="3">
        <f t="shared" si="19"/>
        <v>40414</v>
      </c>
      <c r="CP15" s="3">
        <f t="shared" si="43"/>
        <v>30908.000000000007</v>
      </c>
      <c r="CQ15" s="3">
        <f t="shared" si="44"/>
        <v>35543</v>
      </c>
      <c r="CR15" s="3"/>
      <c r="CS15" s="3">
        <f t="shared" si="20"/>
        <v>6682</v>
      </c>
      <c r="CT15" s="3"/>
      <c r="CU15" s="3">
        <f t="shared" si="21"/>
        <v>2418</v>
      </c>
      <c r="CV15" s="3">
        <f t="shared" si="45"/>
        <v>44643</v>
      </c>
      <c r="CW15" s="3" t="e">
        <f t="shared" ca="1" si="46"/>
        <v>#NUM!</v>
      </c>
      <c r="CX15" s="85" t="e">
        <f t="shared" ca="1" si="75"/>
        <v>#NUM!</v>
      </c>
      <c r="CY15" s="3" t="e">
        <f t="shared" ca="1" si="47"/>
        <v>#NUM!</v>
      </c>
      <c r="CZ15" s="85" t="e">
        <f t="shared" ca="1" si="76"/>
        <v>#NUM!</v>
      </c>
      <c r="DA15" s="3">
        <f>IF(RTD("tos.rtd",,DA$2,"."&amp;$A$2&amp;$AS$1&amp;"C"&amp;$A15)="N/A",0,RTD("tos.rtd",,DA$2,"."&amp;$A$2&amp;$AS$1&amp;"C"&amp;$A15))</f>
        <v>0.01</v>
      </c>
      <c r="DB15" s="3">
        <f>IF(RTD("tos.rtd",,DB$2,"."&amp;$A$2&amp;$AS$1&amp;"P"&amp;$A15)="N/A",0,RTD("tos.rtd",,DB$2,"."&amp;$A$2&amp;$AS$1&amp;"P"&amp;$A15))</f>
        <v>9.5</v>
      </c>
      <c r="DC15" s="3">
        <f>IF(RTD("tos.rtd",,DC$2,"."&amp;$A$2&amp;$AS$1&amp;"C"&amp;$A15)="N/A",0,RTD("tos.rtd",,DC$2,"."&amp;$A$2&amp;$AS$1&amp;"C"&amp;$A15))</f>
        <v>0.01</v>
      </c>
      <c r="DD15" s="3">
        <f>IF(RTD("tos.rtd",,DD$2,"."&amp;$A$2&amp;$AS$1&amp;"P"&amp;$A15)="N/A",0,RTD("tos.rtd",,DD$2,"."&amp;$A$2&amp;$AS$1&amp;"P"&amp;$A15))</f>
        <v>10.29</v>
      </c>
      <c r="DE15" s="3">
        <f>IF(RTD("tos.rtd",,DE$2,"."&amp;$A$2&amp;$AS$1&amp;"C"&amp;$A15)="N/A",0,RTD("tos.rtd",,DE$2,"."&amp;$A$2&amp;$AS$1&amp;"C"&amp;$A15))</f>
        <v>0</v>
      </c>
      <c r="DF15" s="3">
        <f>IF(RTD("tos.rtd",,DF$2,"."&amp;$A$2&amp;$AS$1&amp;"P"&amp;$A15)="N/A",0,RTD("tos.rtd",,DF$2,"."&amp;$A$2&amp;$AS$1&amp;"P"&amp;$A15))</f>
        <v>8.74</v>
      </c>
      <c r="DG15" s="86">
        <f t="shared" si="48"/>
        <v>6.6699999999999591</v>
      </c>
      <c r="DH15" s="3">
        <f t="shared" si="22"/>
        <v>0</v>
      </c>
      <c r="DI15" s="3">
        <f t="shared" si="49"/>
        <v>0</v>
      </c>
      <c r="DJ15" s="3">
        <f t="shared" si="50"/>
        <v>0</v>
      </c>
      <c r="DK15" s="3">
        <f t="shared" si="51"/>
        <v>0</v>
      </c>
      <c r="DL15" s="3">
        <f t="shared" si="52"/>
        <v>0</v>
      </c>
      <c r="DM15" s="3">
        <f t="shared" si="53"/>
        <v>0</v>
      </c>
      <c r="DN15" s="63" t="str">
        <f t="shared" si="54"/>
        <v>UNKNOWN</v>
      </c>
      <c r="DO15" s="63" t="str">
        <f t="shared" si="55"/>
        <v>UNKNOWN</v>
      </c>
      <c r="DP15" s="3">
        <f t="shared" si="56"/>
        <v>0</v>
      </c>
      <c r="DQ15" s="3">
        <f t="shared" si="57"/>
        <v>0</v>
      </c>
      <c r="DR15" s="3" t="e">
        <f t="shared" ca="1" si="58"/>
        <v>#NUM!</v>
      </c>
      <c r="DS15" s="3">
        <f t="shared" si="59"/>
        <v>0</v>
      </c>
      <c r="DT15" s="3">
        <f t="shared" si="60"/>
        <v>0</v>
      </c>
      <c r="DU15" s="3">
        <f t="shared" si="61"/>
        <v>0</v>
      </c>
      <c r="DV15" s="3">
        <f t="shared" si="62"/>
        <v>-722</v>
      </c>
      <c r="DW15" s="3">
        <f t="shared" si="23"/>
        <v>28</v>
      </c>
      <c r="DX15" s="3" t="e">
        <f t="shared" ca="1" si="24"/>
        <v>#NUM!</v>
      </c>
      <c r="DY15" s="3" t="e">
        <f t="shared" ca="1" si="25"/>
        <v>#NUM!</v>
      </c>
      <c r="DZ15" s="3">
        <f t="shared" ca="1" si="26"/>
        <v>3.6191658489365293E-2</v>
      </c>
      <c r="EA15" s="3">
        <f t="shared" ca="1" si="27"/>
        <v>-2.0684832640756885E-2</v>
      </c>
      <c r="EB15" s="3">
        <f t="shared" ca="1" si="28"/>
        <v>3.6737098350279808E-2</v>
      </c>
      <c r="EC15" s="3">
        <f t="shared" ca="1" si="29"/>
        <v>-2.9794653994112547E-2</v>
      </c>
      <c r="ED15" s="63">
        <f t="shared" si="63"/>
        <v>-694</v>
      </c>
      <c r="EE15" s="59">
        <f t="shared" si="64"/>
        <v>0.61750000000000005</v>
      </c>
      <c r="EF15" s="59">
        <f t="shared" si="30"/>
        <v>3.2488999999999999</v>
      </c>
      <c r="EG15" s="59">
        <f t="shared" si="31"/>
        <v>0.1731</v>
      </c>
      <c r="EH15" s="59">
        <f t="shared" si="32"/>
        <v>0.3952</v>
      </c>
      <c r="EI15" s="59">
        <f t="shared" si="33"/>
        <v>0.16489999999999999</v>
      </c>
      <c r="EJ15" s="59">
        <f t="shared" si="34"/>
        <v>0.24940000000000001</v>
      </c>
      <c r="EL15" s="3" t="str">
        <f>RTD("tos.rtd",,EL$2,"."&amp;$A$2&amp;$AS$1&amp;"C"&amp;$A15)</f>
        <v>61.75%</v>
      </c>
      <c r="EM15" s="3" t="str">
        <f>RTD("tos.rtd",,EM$2,"."&amp;$A$2&amp;$AS$1&amp;"P"&amp;$A15)</f>
        <v>324.89%</v>
      </c>
      <c r="EN15" s="3" t="str">
        <f>RTD("tos.rtd",,EN$2,"."&amp;$A$2&amp;$AU$1&amp;"C"&amp;$A15)</f>
        <v>17.31%</v>
      </c>
      <c r="EO15" s="3" t="str">
        <f>RTD("tos.rtd",,EO$2,"."&amp;$A$2&amp;$AU$1&amp;"P"&amp;$A15)</f>
        <v>39.52%</v>
      </c>
      <c r="EP15" s="3" t="str">
        <f>RTD("tos.rtd",,EP$2,"."&amp;$A$2&amp;$AW$1&amp;"C"&amp;$A15)</f>
        <v>16.49%</v>
      </c>
      <c r="EQ15" s="3" t="str">
        <f>RTD("tos.rtd",,EQ$2,"."&amp;$A$2&amp;$AW$1&amp;"P"&amp;$A15)</f>
        <v>24.94%</v>
      </c>
      <c r="ES15" s="63" t="str">
        <f t="shared" si="65"/>
        <v>571,-694.00</v>
      </c>
      <c r="ET15" s="63" t="str">
        <f t="shared" ca="1" si="66"/>
        <v>571,00.00</v>
      </c>
      <c r="EU15" s="67">
        <v>563.01</v>
      </c>
      <c r="EV15" s="67" t="s">
        <v>140</v>
      </c>
      <c r="EW15" s="67">
        <v>485.56</v>
      </c>
      <c r="EX15" s="67" t="s">
        <v>141</v>
      </c>
      <c r="EY15" s="67">
        <v>5643.75</v>
      </c>
      <c r="EZ15" s="67" t="s">
        <v>142</v>
      </c>
      <c r="FA15" s="67">
        <v>19946.5</v>
      </c>
      <c r="FB15" s="67" t="s">
        <v>143</v>
      </c>
      <c r="FC15" s="67" t="s">
        <v>144</v>
      </c>
      <c r="FD15" s="67" t="s">
        <v>145</v>
      </c>
      <c r="FE15" s="67" t="s">
        <v>146</v>
      </c>
      <c r="FF15" s="67" t="s">
        <v>147</v>
      </c>
    </row>
    <row r="16" spans="1:162" s="63" customFormat="1" ht="13.5" thickBot="1" x14ac:dyDescent="0.25">
      <c r="A16" s="2">
        <f t="shared" si="67"/>
        <v>570</v>
      </c>
      <c r="B16" s="3">
        <f t="shared" si="9"/>
        <v>12198</v>
      </c>
      <c r="C16" s="3">
        <f t="shared" si="10"/>
        <v>11983</v>
      </c>
      <c r="D16" s="3">
        <f>+IF($A$1="ABS",AW16-AX16,AW16+AX16)</f>
        <v>40487</v>
      </c>
      <c r="E16" s="3">
        <f t="shared" si="12"/>
        <v>64668</v>
      </c>
      <c r="F16" s="4">
        <f t="shared" si="13"/>
        <v>5737.0687363776506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v>8939</v>
      </c>
      <c r="AN16" s="1">
        <v>1456</v>
      </c>
      <c r="AO16" s="1">
        <v>570</v>
      </c>
      <c r="AP16" s="1">
        <v>107741</v>
      </c>
      <c r="AQ16" s="1">
        <v>-3613</v>
      </c>
      <c r="AR16" s="1"/>
      <c r="AS16" s="6">
        <f>IF(RTD("tos.rtd",,AS$2,"."&amp;$A$2&amp;$AS$1&amp;"C"&amp;$A16)="N/A",0,RTD("tos.rtd",,AS$2,"."&amp;$A$2&amp;$AS$1&amp;"C"&amp;$A16))</f>
        <v>11918</v>
      </c>
      <c r="AT16" s="7">
        <f>-IF(RTD("tos.rtd",,AT$2,"."&amp;$A$2&amp;$AS$1&amp;"P"&amp;$A16)="N/A",0,RTD("tos.rtd",,AT$2,"."&amp;$A$2&amp;$AS$1&amp;"P"&amp;$A16))</f>
        <v>-280</v>
      </c>
      <c r="AU16" s="6">
        <f>IF(RTD("tos.rtd",,AU$2,"."&amp;$A$2&amp;$AU$1&amp;"C"&amp;$A16)="N/A",0,RTD("tos.rtd",,AU$2,"."&amp;$A$2&amp;$AU$1&amp;"C"&amp;$A16))</f>
        <v>11220</v>
      </c>
      <c r="AV16" s="7">
        <f>-IF(RTD("tos.rtd",,AV$2,"."&amp;$A$2&amp;$AU$1&amp;"P"&amp;$A16)="N/A",0,RTD("tos.rtd",,AV$2,"."&amp;$A$2&amp;$AU$1&amp;"P"&amp;$A16))</f>
        <v>-763</v>
      </c>
      <c r="AW16" s="6">
        <f>IF(RTD("tos.rtd",,AW$2,"."&amp;$A$2&amp;$AW$1&amp;"C"&amp;$A16)="N/A",0,RTD("tos.rtd",,AW$2,"."&amp;$A$2&amp;$AW$1&amp;"C"&amp;$A16))</f>
        <v>24126</v>
      </c>
      <c r="AX16" s="7">
        <f>-IF(RTD("tos.rtd",,AX$2,"."&amp;$A$2&amp;$AW$1&amp;"P"&amp;$A16)="N/A",0,RTD("tos.rtd",,AX$2,"."&amp;$A$2&amp;$AW$1&amp;"P"&amp;$A16))</f>
        <v>-16361</v>
      </c>
      <c r="AY16" s="1">
        <f t="shared" si="68"/>
        <v>29860</v>
      </c>
      <c r="AZ16" s="8">
        <f t="shared" si="35"/>
        <v>570</v>
      </c>
      <c r="BA16" s="6">
        <f>IF(RTD("tos.rtd",,BA$2,"."&amp;$A$2&amp;$AS$1&amp;"C"&amp;$A16)="N/A",0,RTD("tos.rtd",,BA$2,"."&amp;$A$2&amp;$AS$1&amp;"C"&amp;$A16))</f>
        <v>107741</v>
      </c>
      <c r="BB16" s="7">
        <f>-IF(RTD("tos.rtd",,BB$2,"."&amp;$A$2&amp;$AS$1&amp;"P"&amp;$A16)="N/A",0,RTD("tos.rtd",,BB$2,"."&amp;$A$2&amp;$AS$1&amp;"P"&amp;$A16))</f>
        <v>-3613</v>
      </c>
      <c r="BC16" s="6">
        <f>IF(RTD("tos.rtd",,BC$2,"."&amp;$A$2&amp;$AU$1&amp;"C"&amp;$A16)="N/A",0,RTD("tos.rtd",,BC$2,"."&amp;$A$2&amp;$AU$1&amp;"C"&amp;$A16))</f>
        <v>47149</v>
      </c>
      <c r="BD16" s="7">
        <f>-IF(RTD("tos.rtd",,BD$2,"."&amp;$A$2&amp;$AU$1&amp;"P"&amp;$A16)="N/A",0,RTD("tos.rtd",,BD$2,"."&amp;$A$2&amp;$AU$1&amp;"P"&amp;$A16))</f>
        <v>-1299</v>
      </c>
      <c r="BE16" s="6">
        <f>IF(RTD("tos.rtd",,BE$2,"."&amp;$A$2&amp;$AW$1&amp;"C"&amp;$A16)="N/A",0,RTD("tos.rtd",,BE$2,"."&amp;$A$2&amp;$AW$1&amp;"C"&amp;$A16))</f>
        <v>16014</v>
      </c>
      <c r="BF16" s="83">
        <f>-IF(RTD("tos.rtd",,BF$2,"."&amp;$A$2&amp;$AW$1&amp;"P"&amp;$A16)="N/A",0,RTD("tos.rtd",,BF$2,"."&amp;$A$2&amp;$AW$1&amp;"P"&amp;$A16))</f>
        <v>-898</v>
      </c>
      <c r="BG16" s="32">
        <f ca="1">+Hoja2!Y17</f>
        <v>5475</v>
      </c>
      <c r="BH16" s="7">
        <f t="shared" ca="1" si="36"/>
        <v>170569</v>
      </c>
      <c r="BI16" s="8" t="str">
        <f t="shared" ref="BI16" ca="1" si="126">IF(AND(BH16&lt;0,BH15&gt;0), "Cruce -", IF(AND(BH16&gt;0,BH15&lt;0),"Cruce +", ""))</f>
        <v/>
      </c>
      <c r="BJ16" s="3" t="e">
        <f ca="1">IF($BP$1=1,DX16,IF(RTD("tos.rtd",,BJ$2,"."&amp;$A$2&amp;$AS$1&amp;"C"&amp;$A16)="N/A",0,RTD("tos.rtd",,BJ$2,"."&amp;$A$2&amp;$AS$1&amp;"C"&amp;$A16)))</f>
        <v>#NUM!</v>
      </c>
      <c r="BK16" s="3" t="e">
        <f ca="1">IF($BP$1=1,DY16,-IF(RTD("tos.rtd",,BK$2,"."&amp;$A$2&amp;$AS$1&amp;"P"&amp;$A16)="N/A",0,RTD("tos.rtd",,BK$2,"."&amp;$A$2&amp;$AS$1&amp;"P"&amp;$A16)))</f>
        <v>#NUM!</v>
      </c>
      <c r="BL16" s="3">
        <f ca="1">IF($BP$1=1,DZ16,IF(RTD("tos.rtd",,BL$2,"."&amp;$A$2&amp;$AU$1&amp;"C"&amp;$A16)="N/A",0,RTD("tos.rtd",,BL$2,"."&amp;$A$2&amp;$AU$1&amp;"C"&amp;$A16)))</f>
        <v>3.9816312614455944E-2</v>
      </c>
      <c r="BM16" s="3">
        <f ca="1">IF($BP$1=1,EA16,-IF(RTD("tos.rtd",,BM$2,"."&amp;$A$2&amp;$AU$1&amp;"P"&amp;$A16)="N/A",0,RTD("tos.rtd",,BM$2,"."&amp;$A$2&amp;$AU$1&amp;"P"&amp;$A16)))</f>
        <v>-2.1655605238706212E-2</v>
      </c>
      <c r="BN16" s="3">
        <f ca="1">IF($BP$1=1,EB16,IF(RTD("tos.rtd",,BN$2,"."&amp;$A$2&amp;$AW$1&amp;"C"&amp;$A16)="N/A",0,RTD("tos.rtd",,BN$2,"."&amp;$A$2&amp;$AW$1&amp;"C"&amp;$A16)))</f>
        <v>4.0558608625987085E-2</v>
      </c>
      <c r="BO16" s="3">
        <f ca="1">IF($BP$1=1,EC16,-IF(RTD("tos.rtd",,BO$2,"."&amp;$A$2&amp;$AW$1&amp;"P"&amp;$A16)="N/A",0,RTD("tos.rtd",,BO$2,"."&amp;$A$2&amp;$AW$1&amp;"P"&amp;$A16)))</f>
        <v>-3.1209542124594373E-2</v>
      </c>
      <c r="BQ16" s="3" t="e">
        <f t="shared" ca="1" si="37"/>
        <v>#NUM!</v>
      </c>
      <c r="BR16" s="3" t="e">
        <f t="shared" ca="1" si="70"/>
        <v>#NUM!</v>
      </c>
      <c r="BS16" s="3">
        <f t="shared" ca="1" si="38"/>
        <v>137010115.73142383</v>
      </c>
      <c r="BT16" s="3" t="str">
        <f t="shared" ca="1" si="70"/>
        <v/>
      </c>
      <c r="BU16" s="3">
        <f t="shared" ca="1" si="39"/>
        <v>149010599.37767097</v>
      </c>
      <c r="BV16" s="3" t="str">
        <f t="shared" ref="BV16" ca="1" si="127">IF(AND(BU16&lt;0,BU15&gt;0), "Cruce -", IF(AND(BU16&gt;0,BU15&lt;0),"Cruce +", ""))</f>
        <v/>
      </c>
      <c r="BX16" s="3" t="e">
        <f t="shared" ca="1" si="40"/>
        <v>#NUM!</v>
      </c>
      <c r="BY16" s="3" t="e">
        <f t="shared" ca="1" si="72"/>
        <v>#NUM!</v>
      </c>
      <c r="BZ16" s="3">
        <f t="shared" ca="1" si="41"/>
        <v>588901700.25967312</v>
      </c>
      <c r="CA16" s="3" t="str">
        <f t="shared" ca="1" si="73"/>
        <v/>
      </c>
      <c r="CB16" s="3">
        <f t="shared" ca="1" si="42"/>
        <v>197921515.11590025</v>
      </c>
      <c r="CC16" s="3" t="str">
        <f t="shared" ca="1" si="74"/>
        <v/>
      </c>
      <c r="CD16" s="3">
        <f>IF(RTD("tos.rtd",,CD$2,"."&amp;$A$2&amp;$AS$1&amp;"C"&amp;$A16)="N/A",0,RTD("tos.rtd",,CD$2,"."&amp;$A$2&amp;$AS$1&amp;"C"&amp;$A16))</f>
        <v>0.01</v>
      </c>
      <c r="CE16" s="3">
        <f>-IF(RTD("tos.rtd",,CE$2,"."&amp;$A$2&amp;$AS$1&amp;"P"&amp;$A16)="N/A",0,RTD("tos.rtd",,CE$2,"."&amp;$A$2&amp;$AS$1&amp;"P"&amp;$A16))</f>
        <v>0.66</v>
      </c>
      <c r="CF16" s="3">
        <f>IF(RTD("tos.rtd",,CF$2,"."&amp;$A$2&amp;$AU$1&amp;"C"&amp;$A16)="N/A",0,RTD("tos.rtd",,CF$2,"."&amp;$A$2&amp;$AU$1&amp;"C"&amp;$A16))</f>
        <v>0.2</v>
      </c>
      <c r="CG16" s="3">
        <f>-IF(RTD("tos.rtd",,CG$2,"."&amp;$A$2&amp;$AU$1&amp;"P"&amp;$A16)="N/A",0,RTD("tos.rtd",,CG$2,"."&amp;$A$2&amp;$AU$1&amp;"P"&amp;$A16))</f>
        <v>0.64</v>
      </c>
      <c r="CH16" s="3">
        <f>IF(RTD("tos.rtd",,CH$2,"."&amp;$A$2&amp;$AW$1&amp;"C"&amp;$A16)="N/A",0,RTD("tos.rtd",,CH$2,"."&amp;$A$2&amp;$AW$1&amp;"C"&amp;$A16))</f>
        <v>0.36</v>
      </c>
      <c r="CI16" s="3">
        <f>-IF(RTD("tos.rtd",,CI$2,"."&amp;$A$2&amp;$AW$1&amp;"P"&amp;$A16)="N/A",0,RTD("tos.rtd",,CI$2,"."&amp;$A$2&amp;$AW$1&amp;"P"&amp;$A16))</f>
        <v>0.59</v>
      </c>
      <c r="CK16" s="3">
        <f t="shared" si="17"/>
        <v>-6562</v>
      </c>
      <c r="CL16" s="3"/>
      <c r="CM16" s="3">
        <f t="shared" si="18"/>
        <v>175568</v>
      </c>
      <c r="CN16" s="3"/>
      <c r="CO16" s="3">
        <f t="shared" si="19"/>
        <v>-96763</v>
      </c>
      <c r="CP16" s="3">
        <f t="shared" si="43"/>
        <v>72243</v>
      </c>
      <c r="CQ16" s="3">
        <f t="shared" si="44"/>
        <v>104128</v>
      </c>
      <c r="CR16" s="3"/>
      <c r="CS16" s="3">
        <f t="shared" si="20"/>
        <v>45850</v>
      </c>
      <c r="CT16" s="3"/>
      <c r="CU16" s="3">
        <f t="shared" si="21"/>
        <v>15116</v>
      </c>
      <c r="CV16" s="3">
        <f t="shared" si="45"/>
        <v>165094</v>
      </c>
      <c r="CW16" s="3" t="e">
        <f t="shared" ca="1" si="46"/>
        <v>#NUM!</v>
      </c>
      <c r="CX16" s="85" t="e">
        <f t="shared" ca="1" si="75"/>
        <v>#NUM!</v>
      </c>
      <c r="CY16" s="3" t="e">
        <f t="shared" ca="1" si="47"/>
        <v>#NUM!</v>
      </c>
      <c r="CZ16" s="85" t="e">
        <f t="shared" ca="1" si="76"/>
        <v>#NUM!</v>
      </c>
      <c r="DA16" s="3">
        <f>IF(RTD("tos.rtd",,DA$2,"."&amp;$A$2&amp;$AS$1&amp;"C"&amp;$A16)="N/A",0,RTD("tos.rtd",,DA$2,"."&amp;$A$2&amp;$AS$1&amp;"C"&amp;$A16))</f>
        <v>0.01</v>
      </c>
      <c r="DB16" s="3">
        <f>IF(RTD("tos.rtd",,DB$2,"."&amp;$A$2&amp;$AS$1&amp;"P"&amp;$A16)="N/A",0,RTD("tos.rtd",,DB$2,"."&amp;$A$2&amp;$AS$1&amp;"P"&amp;$A16))</f>
        <v>8.9600000000000009</v>
      </c>
      <c r="DC16" s="3">
        <f>IF(RTD("tos.rtd",,DC$2,"."&amp;$A$2&amp;$AS$1&amp;"C"&amp;$A16)="N/A",0,RTD("tos.rtd",,DC$2,"."&amp;$A$2&amp;$AS$1&amp;"C"&amp;$A16))</f>
        <v>0.01</v>
      </c>
      <c r="DD16" s="3">
        <f>IF(RTD("tos.rtd",,DD$2,"."&amp;$A$2&amp;$AS$1&amp;"P"&amp;$A16)="N/A",0,RTD("tos.rtd",,DD$2,"."&amp;$A$2&amp;$AS$1&amp;"P"&amp;$A16))</f>
        <v>9.2899999999999991</v>
      </c>
      <c r="DE16" s="3">
        <f>IF(RTD("tos.rtd",,DE$2,"."&amp;$A$2&amp;$AS$1&amp;"C"&amp;$A16)="N/A",0,RTD("tos.rtd",,DE$2,"."&amp;$A$2&amp;$AS$1&amp;"C"&amp;$A16))</f>
        <v>0</v>
      </c>
      <c r="DF16" s="3">
        <f>IF(RTD("tos.rtd",,DF$2,"."&amp;$A$2&amp;$AS$1&amp;"P"&amp;$A16)="N/A",0,RTD("tos.rtd",,DF$2,"."&amp;$A$2&amp;$AS$1&amp;"P"&amp;$A16))</f>
        <v>7.96</v>
      </c>
      <c r="DG16" s="86">
        <f t="shared" si="48"/>
        <v>5.6699999999999591</v>
      </c>
      <c r="DH16" s="3">
        <f t="shared" si="22"/>
        <v>0</v>
      </c>
      <c r="DI16" s="3">
        <f t="shared" si="49"/>
        <v>0</v>
      </c>
      <c r="DJ16" s="3">
        <f t="shared" si="50"/>
        <v>0</v>
      </c>
      <c r="DK16" s="3">
        <f t="shared" si="51"/>
        <v>0</v>
      </c>
      <c r="DL16" s="3">
        <f t="shared" si="52"/>
        <v>0</v>
      </c>
      <c r="DM16" s="3">
        <f t="shared" si="53"/>
        <v>0</v>
      </c>
      <c r="DN16" s="63" t="str">
        <f t="shared" si="54"/>
        <v>UNKNOWN</v>
      </c>
      <c r="DO16" s="63" t="str">
        <f t="shared" si="55"/>
        <v>UNKNOWN</v>
      </c>
      <c r="DP16" s="3">
        <f t="shared" si="56"/>
        <v>0</v>
      </c>
      <c r="DQ16" s="3">
        <f t="shared" si="57"/>
        <v>0</v>
      </c>
      <c r="DR16" s="3" t="e">
        <f t="shared" ca="1" si="58"/>
        <v>#NUM!</v>
      </c>
      <c r="DS16" s="3">
        <f t="shared" si="59"/>
        <v>0</v>
      </c>
      <c r="DT16" s="3">
        <f t="shared" si="60"/>
        <v>0</v>
      </c>
      <c r="DU16" s="3">
        <f t="shared" si="61"/>
        <v>0</v>
      </c>
      <c r="DV16" s="3">
        <f t="shared" si="62"/>
        <v>8939</v>
      </c>
      <c r="DW16" s="3">
        <f t="shared" si="23"/>
        <v>1456</v>
      </c>
      <c r="DX16" s="3" t="e">
        <f t="shared" ca="1" si="24"/>
        <v>#NUM!</v>
      </c>
      <c r="DY16" s="3" t="e">
        <f t="shared" ca="1" si="25"/>
        <v>#NUM!</v>
      </c>
      <c r="DZ16" s="3">
        <f t="shared" ca="1" si="26"/>
        <v>3.9816312614455944E-2</v>
      </c>
      <c r="EA16" s="3">
        <f t="shared" ca="1" si="27"/>
        <v>-2.1655605238706212E-2</v>
      </c>
      <c r="EB16" s="3">
        <f t="shared" ca="1" si="28"/>
        <v>4.0558608625987085E-2</v>
      </c>
      <c r="EC16" s="3">
        <f t="shared" ca="1" si="29"/>
        <v>-3.1209542124594373E-2</v>
      </c>
      <c r="ED16" s="63">
        <f t="shared" si="63"/>
        <v>10395</v>
      </c>
      <c r="EE16" s="59">
        <f t="shared" si="64"/>
        <v>0.53520000000000001</v>
      </c>
      <c r="EF16" s="59">
        <f t="shared" si="30"/>
        <v>3.1118000000000001</v>
      </c>
      <c r="EG16" s="59">
        <f t="shared" si="31"/>
        <v>0.17199999999999999</v>
      </c>
      <c r="EH16" s="59">
        <f t="shared" si="32"/>
        <v>0.38279999999999997</v>
      </c>
      <c r="EI16" s="59">
        <f t="shared" si="33"/>
        <v>0.1658</v>
      </c>
      <c r="EJ16" s="59">
        <f t="shared" si="34"/>
        <v>0.24859999999999999</v>
      </c>
      <c r="EL16" s="3" t="str">
        <f>RTD("tos.rtd",,EL$2,"."&amp;$A$2&amp;$AS$1&amp;"C"&amp;$A16)</f>
        <v>53.52%</v>
      </c>
      <c r="EM16" s="3" t="str">
        <f>RTD("tos.rtd",,EM$2,"."&amp;$A$2&amp;$AS$1&amp;"P"&amp;$A16)</f>
        <v>311.18%</v>
      </c>
      <c r="EN16" s="3" t="str">
        <f>RTD("tos.rtd",,EN$2,"."&amp;$A$2&amp;$AU$1&amp;"C"&amp;$A16)</f>
        <v>17.20%</v>
      </c>
      <c r="EO16" s="3" t="str">
        <f>RTD("tos.rtd",,EO$2,"."&amp;$A$2&amp;$AU$1&amp;"P"&amp;$A16)</f>
        <v>38.28%</v>
      </c>
      <c r="EP16" s="3" t="str">
        <f>RTD("tos.rtd",,EP$2,"."&amp;$A$2&amp;$AW$1&amp;"C"&amp;$A16)</f>
        <v>16.58%</v>
      </c>
      <c r="EQ16" s="3" t="str">
        <f>RTD("tos.rtd",,EQ$2,"."&amp;$A$2&amp;$AW$1&amp;"P"&amp;$A16)</f>
        <v>24.86%</v>
      </c>
      <c r="ES16" s="63" t="str">
        <f t="shared" si="65"/>
        <v>570,10395.00</v>
      </c>
      <c r="ET16" s="63" t="str">
        <f t="shared" ca="1" si="66"/>
        <v>570,00.00</v>
      </c>
      <c r="EU16" s="67">
        <v>563.16</v>
      </c>
      <c r="EV16" s="67" t="s">
        <v>148</v>
      </c>
      <c r="EW16" s="67">
        <v>485.71</v>
      </c>
      <c r="EX16" s="67" t="s">
        <v>149</v>
      </c>
      <c r="EY16" s="67">
        <v>5645</v>
      </c>
      <c r="EZ16" s="67" t="s">
        <v>150</v>
      </c>
      <c r="FA16" s="67">
        <v>19951.5</v>
      </c>
      <c r="FB16" s="67" t="s">
        <v>151</v>
      </c>
      <c r="FC16" s="67" t="s">
        <v>152</v>
      </c>
      <c r="FD16" s="67" t="s">
        <v>153</v>
      </c>
      <c r="FE16" s="67" t="s">
        <v>154</v>
      </c>
      <c r="FF16" s="67" t="s">
        <v>155</v>
      </c>
    </row>
    <row r="17" spans="1:162" s="63" customFormat="1" ht="13.5" thickBot="1" x14ac:dyDescent="0.25">
      <c r="A17" s="2">
        <f t="shared" si="67"/>
        <v>569</v>
      </c>
      <c r="B17" s="3">
        <f t="shared" si="9"/>
        <v>4228</v>
      </c>
      <c r="C17" s="3">
        <f t="shared" si="10"/>
        <v>3012</v>
      </c>
      <c r="D17" s="3">
        <f t="shared" si="11"/>
        <v>4642</v>
      </c>
      <c r="E17" s="3">
        <f t="shared" si="12"/>
        <v>11882</v>
      </c>
      <c r="F17" s="4">
        <f t="shared" si="13"/>
        <v>5727.0037035068126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>
        <v>6162</v>
      </c>
      <c r="AN17" s="1">
        <v>-201</v>
      </c>
      <c r="AO17" s="1">
        <v>569</v>
      </c>
      <c r="AP17" s="1">
        <v>85582</v>
      </c>
      <c r="AQ17" s="1">
        <v>-796</v>
      </c>
      <c r="AR17" s="1"/>
      <c r="AS17" s="6">
        <f>IF(RTD("tos.rtd",,AS$2,"."&amp;$A$2&amp;$AS$1&amp;"C"&amp;$A17)="N/A",0,RTD("tos.rtd",,AS$2,"."&amp;$A$2&amp;$AS$1&amp;"C"&amp;$A17))</f>
        <v>3879</v>
      </c>
      <c r="AT17" s="7">
        <f>-IF(RTD("tos.rtd",,AT$2,"."&amp;$A$2&amp;$AS$1&amp;"P"&amp;$A17)="N/A",0,RTD("tos.rtd",,AT$2,"."&amp;$A$2&amp;$AS$1&amp;"P"&amp;$A17))</f>
        <v>-349</v>
      </c>
      <c r="AU17" s="6">
        <f>IF(RTD("tos.rtd",,AU$2,"."&amp;$A$2&amp;$AU$1&amp;"C"&amp;$A17)="N/A",0,RTD("tos.rtd",,AU$2,"."&amp;$A$2&amp;$AU$1&amp;"C"&amp;$A17))</f>
        <v>2674</v>
      </c>
      <c r="AV17" s="7">
        <f>-IF(RTD("tos.rtd",,AV$2,"."&amp;$A$2&amp;$AU$1&amp;"P"&amp;$A17)="N/A",0,RTD("tos.rtd",,AV$2,"."&amp;$A$2&amp;$AU$1&amp;"P"&amp;$A17))</f>
        <v>-338</v>
      </c>
      <c r="AW17" s="6">
        <f>IF(RTD("tos.rtd",,AW$2,"."&amp;$A$2&amp;$AW$1&amp;"C"&amp;$A17)="N/A",0,RTD("tos.rtd",,AW$2,"."&amp;$A$2&amp;$AW$1&amp;"C"&amp;$A17))</f>
        <v>2939</v>
      </c>
      <c r="AX17" s="7">
        <f>-IF(RTD("tos.rtd",,AX$2,"."&amp;$A$2&amp;$AW$1&amp;"P"&amp;$A17)="N/A",0,RTD("tos.rtd",,AX$2,"."&amp;$A$2&amp;$AW$1&amp;"P"&amp;$A17))</f>
        <v>-1703</v>
      </c>
      <c r="AY17" s="1">
        <f t="shared" si="68"/>
        <v>7102</v>
      </c>
      <c r="AZ17" s="8">
        <f t="shared" si="35"/>
        <v>569</v>
      </c>
      <c r="BA17" s="6">
        <f>IF(RTD("tos.rtd",,BA$2,"."&amp;$A$2&amp;$AS$1&amp;"C"&amp;$A17)="N/A",0,RTD("tos.rtd",,BA$2,"."&amp;$A$2&amp;$AS$1&amp;"C"&amp;$A17))</f>
        <v>85582</v>
      </c>
      <c r="BB17" s="7">
        <f>-IF(RTD("tos.rtd",,BB$2,"."&amp;$A$2&amp;$AS$1&amp;"P"&amp;$A17)="N/A",0,RTD("tos.rtd",,BB$2,"."&amp;$A$2&amp;$AS$1&amp;"P"&amp;$A17))</f>
        <v>-796</v>
      </c>
      <c r="BC17" s="6">
        <f>IF(RTD("tos.rtd",,BC$2,"."&amp;$A$2&amp;$AU$1&amp;"C"&amp;$A17)="N/A",0,RTD("tos.rtd",,BC$2,"."&amp;$A$2&amp;$AU$1&amp;"C"&amp;$A17))</f>
        <v>4505</v>
      </c>
      <c r="BD17" s="7">
        <f>-IF(RTD("tos.rtd",,BD$2,"."&amp;$A$2&amp;$AU$1&amp;"P"&amp;$A17)="N/A",0,RTD("tos.rtd",,BD$2,"."&amp;$A$2&amp;$AU$1&amp;"P"&amp;$A17))</f>
        <v>-509</v>
      </c>
      <c r="BE17" s="6">
        <f>IF(RTD("tos.rtd",,BE$2,"."&amp;$A$2&amp;$AW$1&amp;"C"&amp;$A17)="N/A",0,RTD("tos.rtd",,BE$2,"."&amp;$A$2&amp;$AW$1&amp;"C"&amp;$A17))</f>
        <v>971</v>
      </c>
      <c r="BF17" s="83">
        <f>-IF(RTD("tos.rtd",,BF$2,"."&amp;$A$2&amp;$AW$1&amp;"P"&amp;$A17)="N/A",0,RTD("tos.rtd",,BF$2,"."&amp;$A$2&amp;$AW$1&amp;"P"&amp;$A17))</f>
        <v>-10</v>
      </c>
      <c r="BG17" s="32">
        <f ca="1">+Hoja2!Y18</f>
        <v>379</v>
      </c>
      <c r="BH17" s="7">
        <f t="shared" ca="1" si="36"/>
        <v>90122</v>
      </c>
      <c r="BI17" s="8" t="str">
        <f t="shared" ref="BI17" ca="1" si="128">IF(AND(BH17&lt;0,BH16&gt;0), "Cruce -", IF(AND(BH17&gt;0,BH16&lt;0),"Cruce +", ""))</f>
        <v/>
      </c>
      <c r="BJ17" s="3" t="e">
        <f ca="1">IF($BP$1=1,DX17,IF(RTD("tos.rtd",,BJ$2,"."&amp;$A$2&amp;$AS$1&amp;"C"&amp;$A17)="N/A",0,RTD("tos.rtd",,BJ$2,"."&amp;$A$2&amp;$AS$1&amp;"C"&amp;$A17)))</f>
        <v>#NUM!</v>
      </c>
      <c r="BK17" s="3" t="e">
        <f ca="1">IF($BP$1=1,DY17,-IF(RTD("tos.rtd",,BK$2,"."&amp;$A$2&amp;$AS$1&amp;"P"&amp;$A17)="N/A",0,RTD("tos.rtd",,BK$2,"."&amp;$A$2&amp;$AS$1&amp;"P"&amp;$A17)))</f>
        <v>#NUM!</v>
      </c>
      <c r="BL17" s="3">
        <f ca="1">IF($BP$1=1,DZ17,IF(RTD("tos.rtd",,BL$2,"."&amp;$A$2&amp;$AU$1&amp;"C"&amp;$A17)="N/A",0,RTD("tos.rtd",,BL$2,"."&amp;$A$2&amp;$AU$1&amp;"C"&amp;$A17)))</f>
        <v>4.3209578105409582E-2</v>
      </c>
      <c r="BM17" s="3">
        <f ca="1">IF($BP$1=1,EA17,-IF(RTD("tos.rtd",,BM$2,"."&amp;$A$2&amp;$AU$1&amp;"P"&amp;$A17)="N/A",0,RTD("tos.rtd",,BM$2,"."&amp;$A$2&amp;$AU$1&amp;"P"&amp;$A17)))</f>
        <v>-2.2606680186672164E-2</v>
      </c>
      <c r="BN17" s="3">
        <f ca="1">IF($BP$1=1,EB17,IF(RTD("tos.rtd",,BN$2,"."&amp;$A$2&amp;$AW$1&amp;"C"&amp;$A17)="N/A",0,RTD("tos.rtd",,BN$2,"."&amp;$A$2&amp;$AW$1&amp;"C"&amp;$A17)))</f>
        <v>4.3983873937775884E-2</v>
      </c>
      <c r="BO17" s="3">
        <f ca="1">IF($BP$1=1,EC17,-IF(RTD("tos.rtd",,BO$2,"."&amp;$A$2&amp;$AW$1&amp;"P"&amp;$A17)="N/A",0,RTD("tos.rtd",,BO$2,"."&amp;$A$2&amp;$AW$1&amp;"P"&amp;$A17)))</f>
        <v>-3.2456871697636412E-2</v>
      </c>
      <c r="BQ17" s="3" t="e">
        <f t="shared" ca="1" si="37"/>
        <v>#NUM!</v>
      </c>
      <c r="BR17" s="3" t="e">
        <f t="shared" ca="1" si="70"/>
        <v>#NUM!</v>
      </c>
      <c r="BS17" s="3">
        <f t="shared" ca="1" si="38"/>
        <v>34363166.036776237</v>
      </c>
      <c r="BT17" s="3" t="str">
        <f t="shared" ca="1" si="70"/>
        <v/>
      </c>
      <c r="BU17" s="3">
        <f t="shared" ca="1" si="39"/>
        <v>23564923.122155931</v>
      </c>
      <c r="BV17" s="3" t="str">
        <f t="shared" ref="BV17" ca="1" si="129">IF(AND(BU17&lt;0,BU16&gt;0), "Cruce -", IF(AND(BU17&gt;0,BU16&lt;0),"Cruce +", ""))</f>
        <v/>
      </c>
      <c r="BX17" s="3" t="e">
        <f t="shared" ca="1" si="40"/>
        <v>#NUM!</v>
      </c>
      <c r="BY17" s="3" t="e">
        <f t="shared" ca="1" si="72"/>
        <v>#NUM!</v>
      </c>
      <c r="BZ17" s="3">
        <f t="shared" ca="1" si="41"/>
        <v>58328226.230910338</v>
      </c>
      <c r="CA17" s="3" t="str">
        <f t="shared" ca="1" si="73"/>
        <v/>
      </c>
      <c r="CB17" s="3">
        <f t="shared" ca="1" si="42"/>
        <v>13497890.168164689</v>
      </c>
      <c r="CC17" s="3" t="str">
        <f t="shared" ca="1" si="74"/>
        <v/>
      </c>
      <c r="CD17" s="3">
        <f>IF(RTD("tos.rtd",,CD$2,"."&amp;$A$2&amp;$AS$1&amp;"C"&amp;$A17)="N/A",0,RTD("tos.rtd",,CD$2,"."&amp;$A$2&amp;$AS$1&amp;"C"&amp;$A17))</f>
        <v>0.01</v>
      </c>
      <c r="CE17" s="3">
        <f>-IF(RTD("tos.rtd",,CE$2,"."&amp;$A$2&amp;$AS$1&amp;"P"&amp;$A17)="N/A",0,RTD("tos.rtd",,CE$2,"."&amp;$A$2&amp;$AS$1&amp;"P"&amp;$A17))</f>
        <v>0.65</v>
      </c>
      <c r="CF17" s="3">
        <f>IF(RTD("tos.rtd",,CF$2,"."&amp;$A$2&amp;$AU$1&amp;"C"&amp;$A17)="N/A",0,RTD("tos.rtd",,CF$2,"."&amp;$A$2&amp;$AU$1&amp;"C"&amp;$A17))</f>
        <v>0.25</v>
      </c>
      <c r="CG17" s="3">
        <f>-IF(RTD("tos.rtd",,CG$2,"."&amp;$A$2&amp;$AU$1&amp;"P"&amp;$A17)="N/A",0,RTD("tos.rtd",,CG$2,"."&amp;$A$2&amp;$AU$1&amp;"P"&amp;$A17))</f>
        <v>0.62</v>
      </c>
      <c r="CH17" s="3">
        <f>IF(RTD("tos.rtd",,CH$2,"."&amp;$A$2&amp;$AW$1&amp;"C"&amp;$A17)="N/A",0,RTD("tos.rtd",,CH$2,"."&amp;$A$2&amp;$AW$1&amp;"C"&amp;$A17))</f>
        <v>0.39</v>
      </c>
      <c r="CI17" s="3">
        <f>-IF(RTD("tos.rtd",,CI$2,"."&amp;$A$2&amp;$AW$1&amp;"P"&amp;$A17)="N/A",0,RTD("tos.rtd",,CI$2,"."&amp;$A$2&amp;$AW$1&amp;"P"&amp;$A17))</f>
        <v>0.56999999999999995</v>
      </c>
      <c r="CK17" s="3">
        <f t="shared" si="17"/>
        <v>-18806</v>
      </c>
      <c r="CL17" s="3"/>
      <c r="CM17" s="3">
        <f t="shared" si="18"/>
        <v>45894</v>
      </c>
      <c r="CN17" s="3"/>
      <c r="CO17" s="3">
        <f t="shared" si="19"/>
        <v>17550.000000000015</v>
      </c>
      <c r="CP17" s="3">
        <f t="shared" si="43"/>
        <v>44638.000000000015</v>
      </c>
      <c r="CQ17" s="3">
        <f t="shared" si="44"/>
        <v>84786</v>
      </c>
      <c r="CR17" s="3"/>
      <c r="CS17" s="3">
        <f t="shared" si="20"/>
        <v>3996</v>
      </c>
      <c r="CT17" s="3"/>
      <c r="CU17" s="3">
        <f t="shared" si="21"/>
        <v>961</v>
      </c>
      <c r="CV17" s="3">
        <f t="shared" si="45"/>
        <v>89743</v>
      </c>
      <c r="CW17" s="3" t="e">
        <f t="shared" ca="1" si="46"/>
        <v>#NUM!</v>
      </c>
      <c r="CX17" s="85" t="e">
        <f t="shared" ca="1" si="75"/>
        <v>#NUM!</v>
      </c>
      <c r="CY17" s="3" t="e">
        <f t="shared" ca="1" si="47"/>
        <v>#NUM!</v>
      </c>
      <c r="CZ17" s="85" t="e">
        <f t="shared" ca="1" si="76"/>
        <v>#NUM!</v>
      </c>
      <c r="DA17" s="3">
        <f>IF(RTD("tos.rtd",,DA$2,"."&amp;$A$2&amp;$AS$1&amp;"C"&amp;$A17)="N/A",0,RTD("tos.rtd",,DA$2,"."&amp;$A$2&amp;$AS$1&amp;"C"&amp;$A17))</f>
        <v>0.01</v>
      </c>
      <c r="DB17" s="3">
        <f>IF(RTD("tos.rtd",,DB$2,"."&amp;$A$2&amp;$AS$1&amp;"P"&amp;$A17)="N/A",0,RTD("tos.rtd",,DB$2,"."&amp;$A$2&amp;$AS$1&amp;"P"&amp;$A17))</f>
        <v>7.52</v>
      </c>
      <c r="DC17" s="3">
        <f>IF(RTD("tos.rtd",,DC$2,"."&amp;$A$2&amp;$AS$1&amp;"C"&amp;$A17)="N/A",0,RTD("tos.rtd",,DC$2,"."&amp;$A$2&amp;$AS$1&amp;"C"&amp;$A17))</f>
        <v>0.01</v>
      </c>
      <c r="DD17" s="3">
        <f>IF(RTD("tos.rtd",,DD$2,"."&amp;$A$2&amp;$AS$1&amp;"P"&amp;$A17)="N/A",0,RTD("tos.rtd",,DD$2,"."&amp;$A$2&amp;$AS$1&amp;"P"&amp;$A17))</f>
        <v>8.27</v>
      </c>
      <c r="DE17" s="3">
        <f>IF(RTD("tos.rtd",,DE$2,"."&amp;$A$2&amp;$AS$1&amp;"C"&amp;$A17)="N/A",0,RTD("tos.rtd",,DE$2,"."&amp;$A$2&amp;$AS$1&amp;"C"&amp;$A17))</f>
        <v>0</v>
      </c>
      <c r="DF17" s="3">
        <f>IF(RTD("tos.rtd",,DF$2,"."&amp;$A$2&amp;$AS$1&amp;"P"&amp;$A17)="N/A",0,RTD("tos.rtd",,DF$2,"."&amp;$A$2&amp;$AS$1&amp;"P"&amp;$A17))</f>
        <v>6.74</v>
      </c>
      <c r="DG17" s="86">
        <f t="shared" si="48"/>
        <v>4.6699999999999591</v>
      </c>
      <c r="DH17" s="3">
        <f t="shared" si="22"/>
        <v>0</v>
      </c>
      <c r="DI17" s="3">
        <f t="shared" si="49"/>
        <v>0</v>
      </c>
      <c r="DJ17" s="3">
        <f t="shared" si="50"/>
        <v>0</v>
      </c>
      <c r="DK17" s="3">
        <f t="shared" si="51"/>
        <v>0</v>
      </c>
      <c r="DL17" s="3">
        <f t="shared" si="52"/>
        <v>0</v>
      </c>
      <c r="DM17" s="3">
        <f t="shared" si="53"/>
        <v>0</v>
      </c>
      <c r="DN17" s="63" t="str">
        <f t="shared" si="54"/>
        <v>UNKNOWN</v>
      </c>
      <c r="DO17" s="63" t="str">
        <f t="shared" si="55"/>
        <v>UNKNOWN</v>
      </c>
      <c r="DP17" s="3">
        <f t="shared" si="56"/>
        <v>0</v>
      </c>
      <c r="DQ17" s="3">
        <f t="shared" si="57"/>
        <v>0</v>
      </c>
      <c r="DR17" s="3" t="e">
        <f t="shared" ca="1" si="58"/>
        <v>#NUM!</v>
      </c>
      <c r="DS17" s="3">
        <f t="shared" si="59"/>
        <v>0</v>
      </c>
      <c r="DT17" s="3">
        <f t="shared" si="60"/>
        <v>0</v>
      </c>
      <c r="DU17" s="3">
        <f t="shared" si="61"/>
        <v>0</v>
      </c>
      <c r="DV17" s="3">
        <f t="shared" si="62"/>
        <v>6162</v>
      </c>
      <c r="DW17" s="3">
        <f t="shared" si="23"/>
        <v>-201</v>
      </c>
      <c r="DX17" s="3" t="e">
        <f t="shared" ca="1" si="24"/>
        <v>#NUM!</v>
      </c>
      <c r="DY17" s="3" t="e">
        <f t="shared" ca="1" si="25"/>
        <v>#NUM!</v>
      </c>
      <c r="DZ17" s="3">
        <f t="shared" ca="1" si="26"/>
        <v>4.3209578105409582E-2</v>
      </c>
      <c r="EA17" s="3">
        <f t="shared" ca="1" si="27"/>
        <v>-2.2606680186672164E-2</v>
      </c>
      <c r="EB17" s="3">
        <f t="shared" ca="1" si="28"/>
        <v>4.3983873937775884E-2</v>
      </c>
      <c r="EC17" s="3">
        <f t="shared" ca="1" si="29"/>
        <v>-3.2456871697636412E-2</v>
      </c>
      <c r="ED17" s="63">
        <f t="shared" si="63"/>
        <v>5961</v>
      </c>
      <c r="EE17" s="59">
        <f t="shared" si="64"/>
        <v>0.45140000000000002</v>
      </c>
      <c r="EF17" s="59">
        <f t="shared" si="30"/>
        <v>2.8207</v>
      </c>
      <c r="EG17" s="59">
        <f t="shared" si="31"/>
        <v>0.17100000000000001</v>
      </c>
      <c r="EH17" s="59">
        <f t="shared" si="32"/>
        <v>0.3715</v>
      </c>
      <c r="EI17" s="59">
        <f t="shared" si="33"/>
        <v>0.16650000000000001</v>
      </c>
      <c r="EJ17" s="59">
        <f t="shared" si="34"/>
        <v>0.24790000000000001</v>
      </c>
      <c r="EL17" s="3" t="str">
        <f>RTD("tos.rtd",,EL$2,"."&amp;$A$2&amp;$AS$1&amp;"C"&amp;$A17)</f>
        <v>45.14%</v>
      </c>
      <c r="EM17" s="3" t="str">
        <f>RTD("tos.rtd",,EM$2,"."&amp;$A$2&amp;$AS$1&amp;"P"&amp;$A17)</f>
        <v>282.07%</v>
      </c>
      <c r="EN17" s="3" t="str">
        <f>RTD("tos.rtd",,EN$2,"."&amp;$A$2&amp;$AU$1&amp;"C"&amp;$A17)</f>
        <v>17.10%</v>
      </c>
      <c r="EO17" s="3" t="str">
        <f>RTD("tos.rtd",,EO$2,"."&amp;$A$2&amp;$AU$1&amp;"P"&amp;$A17)</f>
        <v>37.15%</v>
      </c>
      <c r="EP17" s="3" t="str">
        <f>RTD("tos.rtd",,EP$2,"."&amp;$A$2&amp;$AW$1&amp;"C"&amp;$A17)</f>
        <v>16.65%</v>
      </c>
      <c r="EQ17" s="3" t="str">
        <f>RTD("tos.rtd",,EQ$2,"."&amp;$A$2&amp;$AW$1&amp;"P"&amp;$A17)</f>
        <v>24.79%</v>
      </c>
      <c r="ES17" s="63" t="str">
        <f t="shared" si="65"/>
        <v>569,5961.00</v>
      </c>
      <c r="ET17" s="63" t="str">
        <f t="shared" ca="1" si="66"/>
        <v>569,00.00</v>
      </c>
      <c r="EU17" s="67">
        <v>563.19000000000005</v>
      </c>
      <c r="EV17" s="67" t="s">
        <v>156</v>
      </c>
      <c r="EW17" s="67">
        <v>485.72</v>
      </c>
      <c r="EX17" s="67" t="s">
        <v>157</v>
      </c>
      <c r="EY17" s="67">
        <v>5645.5</v>
      </c>
      <c r="EZ17" s="67" t="s">
        <v>158</v>
      </c>
      <c r="FA17" s="67">
        <v>19952.5</v>
      </c>
      <c r="FB17" s="67" t="s">
        <v>159</v>
      </c>
      <c r="FC17" s="67" t="s">
        <v>160</v>
      </c>
      <c r="FD17" s="67" t="s">
        <v>161</v>
      </c>
      <c r="FE17" s="67" t="s">
        <v>162</v>
      </c>
      <c r="FF17" s="67" t="s">
        <v>163</v>
      </c>
    </row>
    <row r="18" spans="1:162" s="63" customFormat="1" ht="13.5" thickBot="1" x14ac:dyDescent="0.25">
      <c r="A18" s="2">
        <f t="shared" si="67"/>
        <v>568</v>
      </c>
      <c r="B18" s="3">
        <f t="shared" si="9"/>
        <v>6639</v>
      </c>
      <c r="C18" s="3">
        <f t="shared" si="10"/>
        <v>7174</v>
      </c>
      <c r="D18" s="3">
        <f t="shared" si="11"/>
        <v>8568</v>
      </c>
      <c r="E18" s="3">
        <f t="shared" si="12"/>
        <v>22381</v>
      </c>
      <c r="F18" s="4">
        <f t="shared" si="13"/>
        <v>5716.9386706359746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>
        <v>-997</v>
      </c>
      <c r="AN18" s="1">
        <v>-407</v>
      </c>
      <c r="AO18" s="1">
        <v>568</v>
      </c>
      <c r="AP18" s="1">
        <v>79845</v>
      </c>
      <c r="AQ18" s="1">
        <v>-1419</v>
      </c>
      <c r="AR18" s="1"/>
      <c r="AS18" s="6">
        <f>IF(RTD("tos.rtd",,AS$2,"."&amp;$A$2&amp;$AS$1&amp;"C"&amp;$A18)="N/A",0,RTD("tos.rtd",,AS$2,"."&amp;$A$2&amp;$AS$1&amp;"C"&amp;$A18))</f>
        <v>5769</v>
      </c>
      <c r="AT18" s="7">
        <f>-IF(RTD("tos.rtd",,AT$2,"."&amp;$A$2&amp;$AS$1&amp;"P"&amp;$A18)="N/A",0,RTD("tos.rtd",,AT$2,"."&amp;$A$2&amp;$AS$1&amp;"P"&amp;$A18))</f>
        <v>-870</v>
      </c>
      <c r="AU18" s="6">
        <f>IF(RTD("tos.rtd",,AU$2,"."&amp;$A$2&amp;$AU$1&amp;"C"&amp;$A18)="N/A",0,RTD("tos.rtd",,AU$2,"."&amp;$A$2&amp;$AU$1&amp;"C"&amp;$A18))</f>
        <v>4739</v>
      </c>
      <c r="AV18" s="7">
        <f>-IF(RTD("tos.rtd",,AV$2,"."&amp;$A$2&amp;$AU$1&amp;"P"&amp;$A18)="N/A",0,RTD("tos.rtd",,AV$2,"."&amp;$A$2&amp;$AU$1&amp;"P"&amp;$A18))</f>
        <v>-2435</v>
      </c>
      <c r="AW18" s="6">
        <f>IF(RTD("tos.rtd",,AW$2,"."&amp;$A$2&amp;$AW$1&amp;"C"&amp;$A18)="N/A",0,RTD("tos.rtd",,AW$2,"."&amp;$A$2&amp;$AW$1&amp;"C"&amp;$A18))</f>
        <v>6358</v>
      </c>
      <c r="AX18" s="7">
        <f>-IF(RTD("tos.rtd",,AX$2,"."&amp;$A$2&amp;$AW$1&amp;"P"&amp;$A18)="N/A",0,RTD("tos.rtd",,AX$2,"."&amp;$A$2&amp;$AW$1&amp;"P"&amp;$A18))</f>
        <v>-2210</v>
      </c>
      <c r="AY18" s="1">
        <f t="shared" si="68"/>
        <v>11351</v>
      </c>
      <c r="AZ18" s="8">
        <f t="shared" si="35"/>
        <v>568</v>
      </c>
      <c r="BA18" s="6">
        <f>IF(RTD("tos.rtd",,BA$2,"."&amp;$A$2&amp;$AS$1&amp;"C"&amp;$A18)="N/A",0,RTD("tos.rtd",,BA$2,"."&amp;$A$2&amp;$AS$1&amp;"C"&amp;$A18))</f>
        <v>79845</v>
      </c>
      <c r="BB18" s="7">
        <f>-IF(RTD("tos.rtd",,BB$2,"."&amp;$A$2&amp;$AS$1&amp;"P"&amp;$A18)="N/A",0,RTD("tos.rtd",,BB$2,"."&amp;$A$2&amp;$AS$1&amp;"P"&amp;$A18))</f>
        <v>-1419</v>
      </c>
      <c r="BC18" s="6">
        <f>IF(RTD("tos.rtd",,BC$2,"."&amp;$A$2&amp;$AU$1&amp;"C"&amp;$A18)="N/A",0,RTD("tos.rtd",,BC$2,"."&amp;$A$2&amp;$AU$1&amp;"C"&amp;$A18))</f>
        <v>8485</v>
      </c>
      <c r="BD18" s="7">
        <f>-IF(RTD("tos.rtd",,BD$2,"."&amp;$A$2&amp;$AU$1&amp;"P"&amp;$A18)="N/A",0,RTD("tos.rtd",,BD$2,"."&amp;$A$2&amp;$AU$1&amp;"P"&amp;$A18))</f>
        <v>-437</v>
      </c>
      <c r="BE18" s="6">
        <f>IF(RTD("tos.rtd",,BE$2,"."&amp;$A$2&amp;$AW$1&amp;"C"&amp;$A18)="N/A",0,RTD("tos.rtd",,BE$2,"."&amp;$A$2&amp;$AW$1&amp;"C"&amp;$A18))</f>
        <v>1926</v>
      </c>
      <c r="BF18" s="83">
        <f>-IF(RTD("tos.rtd",,BF$2,"."&amp;$A$2&amp;$AW$1&amp;"P"&amp;$A18)="N/A",0,RTD("tos.rtd",,BF$2,"."&amp;$A$2&amp;$AW$1&amp;"P"&amp;$A18))</f>
        <v>-48</v>
      </c>
      <c r="BG18" s="32">
        <f ca="1">+Hoja2!Y19</f>
        <v>979</v>
      </c>
      <c r="BH18" s="7">
        <f t="shared" ca="1" si="36"/>
        <v>89331</v>
      </c>
      <c r="BI18" s="8" t="str">
        <f t="shared" ref="BI18" ca="1" si="130">IF(AND(BH18&lt;0,BH17&gt;0), "Cruce -", IF(AND(BH18&gt;0,BH17&lt;0),"Cruce +", ""))</f>
        <v/>
      </c>
      <c r="BJ18" s="3" t="e">
        <f ca="1">IF($BP$1=1,DX18,IF(RTD("tos.rtd",,BJ$2,"."&amp;$A$2&amp;$AS$1&amp;"C"&amp;$A18)="N/A",0,RTD("tos.rtd",,BJ$2,"."&amp;$A$2&amp;$AS$1&amp;"C"&amp;$A18)))</f>
        <v>#NUM!</v>
      </c>
      <c r="BK18" s="3" t="e">
        <f ca="1">IF($BP$1=1,DY18,-IF(RTD("tos.rtd",,BK$2,"."&amp;$A$2&amp;$AS$1&amp;"P"&amp;$A18)="N/A",0,RTD("tos.rtd",,BK$2,"."&amp;$A$2&amp;$AS$1&amp;"P"&amp;$A18)))</f>
        <v>#NUM!</v>
      </c>
      <c r="BL18" s="3">
        <f ca="1">IF($BP$1=1,DZ18,IF(RTD("tos.rtd",,BL$2,"."&amp;$A$2&amp;$AU$1&amp;"C"&amp;$A18)="N/A",0,RTD("tos.rtd",,BL$2,"."&amp;$A$2&amp;$AU$1&amp;"C"&amp;$A18)))</f>
        <v>4.6412686680680146E-2</v>
      </c>
      <c r="BM18" s="3">
        <f ca="1">IF($BP$1=1,EA18,-IF(RTD("tos.rtd",,BM$2,"."&amp;$A$2&amp;$AU$1&amp;"P"&amp;$A18)="N/A",0,RTD("tos.rtd",,BM$2,"."&amp;$A$2&amp;$AU$1&amp;"P"&amp;$A18)))</f>
        <v>-2.3475826737030685E-2</v>
      </c>
      <c r="BN18" s="3">
        <f ca="1">IF($BP$1=1,EB18,IF(RTD("tos.rtd",,BN$2,"."&amp;$A$2&amp;$AW$1&amp;"C"&amp;$A18)="N/A",0,RTD("tos.rtd",,BN$2,"."&amp;$A$2&amp;$AW$1&amp;"C"&amp;$A18)))</f>
        <v>4.6831851793825006E-2</v>
      </c>
      <c r="BO18" s="3">
        <f ca="1">IF($BP$1=1,EC18,-IF(RTD("tos.rtd",,BO$2,"."&amp;$A$2&amp;$AW$1&amp;"P"&amp;$A18)="N/A",0,RTD("tos.rtd",,BO$2,"."&amp;$A$2&amp;$AW$1&amp;"P"&amp;$A18)))</f>
        <v>-3.3466445950922394E-2</v>
      </c>
      <c r="BQ18" s="3" t="e">
        <f t="shared" ca="1" si="37"/>
        <v>#NUM!</v>
      </c>
      <c r="BR18" s="3" t="e">
        <f t="shared" ca="1" si="70"/>
        <v>#NUM!</v>
      </c>
      <c r="BS18" s="3">
        <f t="shared" ca="1" si="38"/>
        <v>51842215.419285253</v>
      </c>
      <c r="BT18" s="3" t="str">
        <f t="shared" ca="1" si="70"/>
        <v/>
      </c>
      <c r="BU18" s="3">
        <f t="shared" ca="1" si="39"/>
        <v>71271964.315189153</v>
      </c>
      <c r="BV18" s="3" t="str">
        <f t="shared" ref="BV18" ca="1" si="131">IF(AND(BU18&lt;0,BU17&gt;0), "Cruce -", IF(AND(BU18&gt;0,BU17&lt;0),"Cruce +", ""))</f>
        <v/>
      </c>
      <c r="BX18" s="3" t="e">
        <f t="shared" ca="1" si="40"/>
        <v>#NUM!</v>
      </c>
      <c r="BY18" s="3" t="e">
        <f t="shared" ca="1" si="72"/>
        <v>#NUM!</v>
      </c>
      <c r="BZ18" s="3">
        <f t="shared" ca="1" si="41"/>
        <v>122149398.33398829</v>
      </c>
      <c r="CA18" s="3" t="str">
        <f t="shared" ca="1" si="73"/>
        <v/>
      </c>
      <c r="CB18" s="3">
        <f t="shared" ca="1" si="42"/>
        <v>28213670.625475466</v>
      </c>
      <c r="CC18" s="3" t="str">
        <f t="shared" ca="1" si="74"/>
        <v/>
      </c>
      <c r="CD18" s="3">
        <f>IF(RTD("tos.rtd",,CD$2,"."&amp;$A$2&amp;$AS$1&amp;"C"&amp;$A18)="N/A",0,RTD("tos.rtd",,CD$2,"."&amp;$A$2&amp;$AS$1&amp;"C"&amp;$A18))</f>
        <v>0.01</v>
      </c>
      <c r="CE18" s="3">
        <f>-IF(RTD("tos.rtd",,CE$2,"."&amp;$A$2&amp;$AS$1&amp;"P"&amp;$A18)="N/A",0,RTD("tos.rtd",,CE$2,"."&amp;$A$2&amp;$AS$1&amp;"P"&amp;$A18))</f>
        <v>0.62</v>
      </c>
      <c r="CF18" s="3">
        <f>IF(RTD("tos.rtd",,CF$2,"."&amp;$A$2&amp;$AU$1&amp;"C"&amp;$A18)="N/A",0,RTD("tos.rtd",,CF$2,"."&amp;$A$2&amp;$AU$1&amp;"C"&amp;$A18))</f>
        <v>0.3</v>
      </c>
      <c r="CG18" s="3">
        <f>-IF(RTD("tos.rtd",,CG$2,"."&amp;$A$2&amp;$AU$1&amp;"P"&amp;$A18)="N/A",0,RTD("tos.rtd",,CG$2,"."&amp;$A$2&amp;$AU$1&amp;"P"&amp;$A18))</f>
        <v>0.6</v>
      </c>
      <c r="CH18" s="3">
        <f>IF(RTD("tos.rtd",,CH$2,"."&amp;$A$2&amp;$AW$1&amp;"C"&amp;$A18)="N/A",0,RTD("tos.rtd",,CH$2,"."&amp;$A$2&amp;$AW$1&amp;"C"&amp;$A18))</f>
        <v>0.42</v>
      </c>
      <c r="CI18" s="3">
        <f>-IF(RTD("tos.rtd",,CI$2,"."&amp;$A$2&amp;$AW$1&amp;"P"&amp;$A18)="N/A",0,RTD("tos.rtd",,CI$2,"."&amp;$A$2&amp;$AW$1&amp;"P"&amp;$A18))</f>
        <v>0.55000000000000004</v>
      </c>
      <c r="CK18" s="3">
        <f t="shared" si="17"/>
        <v>-48171</v>
      </c>
      <c r="CL18" s="3"/>
      <c r="CM18" s="3">
        <f t="shared" si="18"/>
        <v>-3930</v>
      </c>
      <c r="CN18" s="3"/>
      <c r="CO18" s="3">
        <f t="shared" si="19"/>
        <v>145486</v>
      </c>
      <c r="CP18" s="3">
        <f t="shared" si="43"/>
        <v>93385</v>
      </c>
      <c r="CQ18" s="3">
        <f t="shared" si="44"/>
        <v>78426</v>
      </c>
      <c r="CR18" s="3"/>
      <c r="CS18" s="3">
        <f t="shared" si="20"/>
        <v>8048</v>
      </c>
      <c r="CT18" s="3"/>
      <c r="CU18" s="3">
        <f t="shared" si="21"/>
        <v>1878</v>
      </c>
      <c r="CV18" s="3">
        <f t="shared" si="45"/>
        <v>88352</v>
      </c>
      <c r="CW18" s="3" t="e">
        <f t="shared" ca="1" si="46"/>
        <v>#NUM!</v>
      </c>
      <c r="CX18" s="85" t="e">
        <f t="shared" ca="1" si="75"/>
        <v>#NUM!</v>
      </c>
      <c r="CY18" s="3" t="e">
        <f t="shared" ca="1" si="47"/>
        <v>#NUM!</v>
      </c>
      <c r="CZ18" s="85" t="e">
        <f t="shared" ca="1" si="76"/>
        <v>#NUM!</v>
      </c>
      <c r="DA18" s="3">
        <f>IF(RTD("tos.rtd",,DA$2,"."&amp;$A$2&amp;$AS$1&amp;"C"&amp;$A18)="N/A",0,RTD("tos.rtd",,DA$2,"."&amp;$A$2&amp;$AS$1&amp;"C"&amp;$A18))</f>
        <v>0.01</v>
      </c>
      <c r="DB18" s="3">
        <f>IF(RTD("tos.rtd",,DB$2,"."&amp;$A$2&amp;$AS$1&amp;"P"&amp;$A18)="N/A",0,RTD("tos.rtd",,DB$2,"."&amp;$A$2&amp;$AS$1&amp;"P"&amp;$A18))</f>
        <v>6.51</v>
      </c>
      <c r="DC18" s="3">
        <f>IF(RTD("tos.rtd",,DC$2,"."&amp;$A$2&amp;$AS$1&amp;"C"&amp;$A18)="N/A",0,RTD("tos.rtd",,DC$2,"."&amp;$A$2&amp;$AS$1&amp;"C"&amp;$A18))</f>
        <v>0.01</v>
      </c>
      <c r="DD18" s="3">
        <f>IF(RTD("tos.rtd",,DD$2,"."&amp;$A$2&amp;$AS$1&amp;"P"&amp;$A18)="N/A",0,RTD("tos.rtd",,DD$2,"."&amp;$A$2&amp;$AS$1&amp;"P"&amp;$A18))</f>
        <v>7.45</v>
      </c>
      <c r="DE18" s="3">
        <f>IF(RTD("tos.rtd",,DE$2,"."&amp;$A$2&amp;$AS$1&amp;"C"&amp;$A18)="N/A",0,RTD("tos.rtd",,DE$2,"."&amp;$A$2&amp;$AS$1&amp;"C"&amp;$A18))</f>
        <v>0</v>
      </c>
      <c r="DF18" s="3">
        <f>IF(RTD("tos.rtd",,DF$2,"."&amp;$A$2&amp;$AS$1&amp;"P"&amp;$A18)="N/A",0,RTD("tos.rtd",,DF$2,"."&amp;$A$2&amp;$AS$1&amp;"P"&amp;$A18))</f>
        <v>5.6</v>
      </c>
      <c r="DG18" s="86">
        <f t="shared" si="48"/>
        <v>3.6699999999999591</v>
      </c>
      <c r="DH18" s="3">
        <f t="shared" si="22"/>
        <v>0</v>
      </c>
      <c r="DI18" s="3">
        <f t="shared" si="49"/>
        <v>0</v>
      </c>
      <c r="DJ18" s="3">
        <f t="shared" si="50"/>
        <v>0</v>
      </c>
      <c r="DK18" s="3">
        <f t="shared" si="51"/>
        <v>0</v>
      </c>
      <c r="DL18" s="3">
        <f t="shared" si="52"/>
        <v>0</v>
      </c>
      <c r="DM18" s="3">
        <f t="shared" si="53"/>
        <v>0</v>
      </c>
      <c r="DN18" s="63" t="str">
        <f t="shared" si="54"/>
        <v>UNKNOWN</v>
      </c>
      <c r="DO18" s="63" t="str">
        <f t="shared" si="55"/>
        <v>UNKNOWN</v>
      </c>
      <c r="DP18" s="3">
        <f t="shared" si="56"/>
        <v>0</v>
      </c>
      <c r="DQ18" s="3">
        <f t="shared" si="57"/>
        <v>0</v>
      </c>
      <c r="DR18" s="3" t="e">
        <f t="shared" ca="1" si="58"/>
        <v>#NUM!</v>
      </c>
      <c r="DS18" s="3">
        <f t="shared" si="59"/>
        <v>0</v>
      </c>
      <c r="DT18" s="3">
        <f t="shared" si="60"/>
        <v>0</v>
      </c>
      <c r="DU18" s="3">
        <f t="shared" si="61"/>
        <v>0</v>
      </c>
      <c r="DV18" s="3">
        <f t="shared" si="62"/>
        <v>-997</v>
      </c>
      <c r="DW18" s="3">
        <f t="shared" si="23"/>
        <v>-407</v>
      </c>
      <c r="DX18" s="3" t="e">
        <f t="shared" ca="1" si="24"/>
        <v>#NUM!</v>
      </c>
      <c r="DY18" s="3" t="e">
        <f t="shared" ca="1" si="25"/>
        <v>#NUM!</v>
      </c>
      <c r="DZ18" s="3">
        <f t="shared" ca="1" si="26"/>
        <v>4.6412686680680146E-2</v>
      </c>
      <c r="EA18" s="3">
        <f t="shared" ca="1" si="27"/>
        <v>-2.3475826737030685E-2</v>
      </c>
      <c r="EB18" s="3">
        <f t="shared" ca="1" si="28"/>
        <v>4.6831851793825006E-2</v>
      </c>
      <c r="EC18" s="3">
        <f t="shared" ca="1" si="29"/>
        <v>-3.3466445950922394E-2</v>
      </c>
      <c r="ED18" s="63">
        <f t="shared" si="63"/>
        <v>-1404</v>
      </c>
      <c r="EE18" s="59">
        <f t="shared" si="64"/>
        <v>0.36570000000000003</v>
      </c>
      <c r="EF18" s="59">
        <f t="shared" si="30"/>
        <v>2.6103000000000001</v>
      </c>
      <c r="EG18" s="59">
        <f t="shared" si="31"/>
        <v>0.16919999999999999</v>
      </c>
      <c r="EH18" s="59">
        <f t="shared" si="32"/>
        <v>0.3619</v>
      </c>
      <c r="EI18" s="59">
        <f t="shared" si="33"/>
        <v>0.1673</v>
      </c>
      <c r="EJ18" s="59">
        <f t="shared" si="34"/>
        <v>0.24759999999999999</v>
      </c>
      <c r="EL18" s="3" t="str">
        <f>RTD("tos.rtd",,EL$2,"."&amp;$A$2&amp;$AS$1&amp;"C"&amp;$A18)</f>
        <v>36.57%</v>
      </c>
      <c r="EM18" s="3" t="str">
        <f>RTD("tos.rtd",,EM$2,"."&amp;$A$2&amp;$AS$1&amp;"P"&amp;$A18)</f>
        <v>261.03%</v>
      </c>
      <c r="EN18" s="3" t="str">
        <f>RTD("tos.rtd",,EN$2,"."&amp;$A$2&amp;$AU$1&amp;"C"&amp;$A18)</f>
        <v>16.92%</v>
      </c>
      <c r="EO18" s="3" t="str">
        <f>RTD("tos.rtd",,EO$2,"."&amp;$A$2&amp;$AU$1&amp;"P"&amp;$A18)</f>
        <v>36.19%</v>
      </c>
      <c r="EP18" s="3" t="str">
        <f>RTD("tos.rtd",,EP$2,"."&amp;$A$2&amp;$AW$1&amp;"C"&amp;$A18)</f>
        <v>16.73%</v>
      </c>
      <c r="EQ18" s="3" t="str">
        <f>RTD("tos.rtd",,EQ$2,"."&amp;$A$2&amp;$AW$1&amp;"P"&amp;$A18)</f>
        <v>24.76%</v>
      </c>
      <c r="ES18" s="63" t="str">
        <f t="shared" si="65"/>
        <v>568,-1404.00</v>
      </c>
      <c r="ET18" s="63" t="str">
        <f t="shared" ca="1" si="66"/>
        <v>568,00.00</v>
      </c>
      <c r="EU18" s="67">
        <v>563.16</v>
      </c>
      <c r="EV18" s="67" t="s">
        <v>164</v>
      </c>
      <c r="EW18" s="67">
        <v>485.72</v>
      </c>
      <c r="EX18" s="67" t="s">
        <v>165</v>
      </c>
      <c r="EY18" s="67">
        <v>5645</v>
      </c>
      <c r="EZ18" s="67" t="s">
        <v>166</v>
      </c>
      <c r="FA18" s="67">
        <v>19952</v>
      </c>
      <c r="FB18" s="67" t="s">
        <v>167</v>
      </c>
      <c r="FC18" s="67" t="s">
        <v>168</v>
      </c>
      <c r="FD18" s="67" t="s">
        <v>169</v>
      </c>
      <c r="FE18" s="67" t="s">
        <v>170</v>
      </c>
      <c r="FF18" s="67" t="s">
        <v>171</v>
      </c>
    </row>
    <row r="19" spans="1:162" s="63" customFormat="1" ht="13.5" thickBot="1" x14ac:dyDescent="0.25">
      <c r="A19" s="2">
        <f t="shared" si="67"/>
        <v>567</v>
      </c>
      <c r="B19" s="3">
        <f t="shared" si="9"/>
        <v>8320</v>
      </c>
      <c r="C19" s="3">
        <f t="shared" si="10"/>
        <v>4597</v>
      </c>
      <c r="D19" s="3">
        <f t="shared" si="11"/>
        <v>6249</v>
      </c>
      <c r="E19" s="3">
        <f t="shared" si="12"/>
        <v>19166</v>
      </c>
      <c r="F19" s="4">
        <f t="shared" si="13"/>
        <v>5706.8736377651367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v>6264</v>
      </c>
      <c r="AN19" s="1">
        <v>-64</v>
      </c>
      <c r="AO19" s="1">
        <v>567</v>
      </c>
      <c r="AP19" s="1">
        <v>83871</v>
      </c>
      <c r="AQ19" s="1">
        <v>-872</v>
      </c>
      <c r="AR19" s="1"/>
      <c r="AS19" s="6">
        <f>IF(RTD("tos.rtd",,AS$2,"."&amp;$A$2&amp;$AS$1&amp;"C"&amp;$A19)="N/A",0,RTD("tos.rtd",,AS$2,"."&amp;$A$2&amp;$AS$1&amp;"C"&amp;$A19))</f>
        <v>6994</v>
      </c>
      <c r="AT19" s="7">
        <f>-IF(RTD("tos.rtd",,AT$2,"."&amp;$A$2&amp;$AS$1&amp;"P"&amp;$A19)="N/A",0,RTD("tos.rtd",,AT$2,"."&amp;$A$2&amp;$AS$1&amp;"P"&amp;$A19))</f>
        <v>-1326</v>
      </c>
      <c r="AU19" s="6">
        <f>IF(RTD("tos.rtd",,AU$2,"."&amp;$A$2&amp;$AU$1&amp;"C"&amp;$A19)="N/A",0,RTD("tos.rtd",,AU$2,"."&amp;$A$2&amp;$AU$1&amp;"C"&amp;$A19))</f>
        <v>3204</v>
      </c>
      <c r="AV19" s="7">
        <f>-IF(RTD("tos.rtd",,AV$2,"."&amp;$A$2&amp;$AU$1&amp;"P"&amp;$A19)="N/A",0,RTD("tos.rtd",,AV$2,"."&amp;$A$2&amp;$AU$1&amp;"P"&amp;$A19))</f>
        <v>-1393</v>
      </c>
      <c r="AW19" s="6">
        <f>IF(RTD("tos.rtd",,AW$2,"."&amp;$A$2&amp;$AW$1&amp;"C"&amp;$A19)="N/A",0,RTD("tos.rtd",,AW$2,"."&amp;$A$2&amp;$AW$1&amp;"C"&amp;$A19))</f>
        <v>3608</v>
      </c>
      <c r="AX19" s="7">
        <f>-IF(RTD("tos.rtd",,AX$2,"."&amp;$A$2&amp;$AW$1&amp;"P"&amp;$A19)="N/A",0,RTD("tos.rtd",,AX$2,"."&amp;$A$2&amp;$AW$1&amp;"P"&amp;$A19))</f>
        <v>-2641</v>
      </c>
      <c r="AY19" s="1">
        <f t="shared" si="68"/>
        <v>8446</v>
      </c>
      <c r="AZ19" s="8">
        <f t="shared" si="35"/>
        <v>567</v>
      </c>
      <c r="BA19" s="6">
        <f>IF(RTD("tos.rtd",,BA$2,"."&amp;$A$2&amp;$AS$1&amp;"C"&amp;$A19)="N/A",0,RTD("tos.rtd",,BA$2,"."&amp;$A$2&amp;$AS$1&amp;"C"&amp;$A19))</f>
        <v>83876</v>
      </c>
      <c r="BB19" s="7">
        <f>-IF(RTD("tos.rtd",,BB$2,"."&amp;$A$2&amp;$AS$1&amp;"P"&amp;$A19)="N/A",0,RTD("tos.rtd",,BB$2,"."&amp;$A$2&amp;$AS$1&amp;"P"&amp;$A19))</f>
        <v>-872</v>
      </c>
      <c r="BC19" s="6">
        <f>IF(RTD("tos.rtd",,BC$2,"."&amp;$A$2&amp;$AU$1&amp;"C"&amp;$A19)="N/A",0,RTD("tos.rtd",,BC$2,"."&amp;$A$2&amp;$AU$1&amp;"C"&amp;$A19))</f>
        <v>6771</v>
      </c>
      <c r="BD19" s="7">
        <f>-IF(RTD("tos.rtd",,BD$2,"."&amp;$A$2&amp;$AU$1&amp;"P"&amp;$A19)="N/A",0,RTD("tos.rtd",,BD$2,"."&amp;$A$2&amp;$AU$1&amp;"P"&amp;$A19))</f>
        <v>-358</v>
      </c>
      <c r="BE19" s="6">
        <f>IF(RTD("tos.rtd",,BE$2,"."&amp;$A$2&amp;$AW$1&amp;"C"&amp;$A19)="N/A",0,RTD("tos.rtd",,BE$2,"."&amp;$A$2&amp;$AW$1&amp;"C"&amp;$A19))</f>
        <v>1718</v>
      </c>
      <c r="BF19" s="83">
        <f>-IF(RTD("tos.rtd",,BF$2,"."&amp;$A$2&amp;$AW$1&amp;"P"&amp;$A19)="N/A",0,RTD("tos.rtd",,BF$2,"."&amp;$A$2&amp;$AW$1&amp;"P"&amp;$A19))</f>
        <v>-164</v>
      </c>
      <c r="BG19" s="32">
        <f ca="1">+Hoja2!Y20</f>
        <v>446</v>
      </c>
      <c r="BH19" s="7">
        <f t="shared" ca="1" si="36"/>
        <v>91417</v>
      </c>
      <c r="BI19" s="8" t="str">
        <f t="shared" ref="BI19" ca="1" si="132">IF(AND(BH19&lt;0,BH18&gt;0), "Cruce -", IF(AND(BH19&gt;0,BH18&lt;0),"Cruce +", ""))</f>
        <v/>
      </c>
      <c r="BJ19" s="3" t="e">
        <f ca="1">IF($BP$1=1,DX19,IF(RTD("tos.rtd",,BJ$2,"."&amp;$A$2&amp;$AS$1&amp;"C"&amp;$A19)="N/A",0,RTD("tos.rtd",,BJ$2,"."&amp;$A$2&amp;$AS$1&amp;"C"&amp;$A19)))</f>
        <v>#NUM!</v>
      </c>
      <c r="BK19" s="3" t="e">
        <f ca="1">IF($BP$1=1,DY19,-IF(RTD("tos.rtd",,BK$2,"."&amp;$A$2&amp;$AS$1&amp;"P"&amp;$A19)="N/A",0,RTD("tos.rtd",,BK$2,"."&amp;$A$2&amp;$AS$1&amp;"P"&amp;$A19)))</f>
        <v>#NUM!</v>
      </c>
      <c r="BL19" s="3">
        <f ca="1">IF($BP$1=1,DZ19,IF(RTD("tos.rtd",,BL$2,"."&amp;$A$2&amp;$AU$1&amp;"C"&amp;$A19)="N/A",0,RTD("tos.rtd",,BL$2,"."&amp;$A$2&amp;$AU$1&amp;"C"&amp;$A19)))</f>
        <v>4.9202624962001902E-2</v>
      </c>
      <c r="BM19" s="3">
        <f ca="1">IF($BP$1=1,EA19,-IF(RTD("tos.rtd",,BM$2,"."&amp;$A$2&amp;$AU$1&amp;"P"&amp;$A19)="N/A",0,RTD("tos.rtd",,BM$2,"."&amp;$A$2&amp;$AU$1&amp;"P"&amp;$A19)))</f>
        <v>-2.4258773400901882E-2</v>
      </c>
      <c r="BN19" s="3">
        <f ca="1">IF($BP$1=1,EB19,IF(RTD("tos.rtd",,BN$2,"."&amp;$A$2&amp;$AW$1&amp;"C"&amp;$A19)="N/A",0,RTD("tos.rtd",,BN$2,"."&amp;$A$2&amp;$AW$1&amp;"C"&amp;$A19)))</f>
        <v>4.907143511939905E-2</v>
      </c>
      <c r="BO19" s="3">
        <f ca="1">IF($BP$1=1,EC19,-IF(RTD("tos.rtd",,BO$2,"."&amp;$A$2&amp;$AW$1&amp;"P"&amp;$A19)="N/A",0,RTD("tos.rtd",,BO$2,"."&amp;$A$2&amp;$AW$1&amp;"P"&amp;$A19)))</f>
        <v>-3.4239493844554075E-2</v>
      </c>
      <c r="BQ19" s="3" t="e">
        <f t="shared" ca="1" si="37"/>
        <v>#NUM!</v>
      </c>
      <c r="BR19" s="3" t="e">
        <f t="shared" ca="1" si="70"/>
        <v>#NUM!</v>
      </c>
      <c r="BS19" s="3">
        <f t="shared" ca="1" si="38"/>
        <v>39443177.305880755</v>
      </c>
      <c r="BT19" s="3" t="str">
        <f t="shared" ca="1" si="70"/>
        <v/>
      </c>
      <c r="BU19" s="3">
        <f t="shared" ca="1" si="39"/>
        <v>27586758.520880062</v>
      </c>
      <c r="BV19" s="3" t="str">
        <f t="shared" ref="BV19" ca="1" si="133">IF(AND(BU19&lt;0,BU18&gt;0), "Cruce -", IF(AND(BU19&gt;0,BU18&lt;0),"Cruce +", ""))</f>
        <v/>
      </c>
      <c r="BX19" s="3" t="e">
        <f t="shared" ca="1" si="40"/>
        <v>#NUM!</v>
      </c>
      <c r="BY19" s="3" t="e">
        <f t="shared" ca="1" si="72"/>
        <v>#NUM!</v>
      </c>
      <c r="BZ19" s="3">
        <f t="shared" ca="1" si="41"/>
        <v>103332257.26140697</v>
      </c>
      <c r="CA19" s="3" t="str">
        <f t="shared" ca="1" si="73"/>
        <v/>
      </c>
      <c r="CB19" s="3">
        <f t="shared" ca="1" si="42"/>
        <v>25060098.753856868</v>
      </c>
      <c r="CC19" s="3" t="str">
        <f t="shared" ca="1" si="74"/>
        <v/>
      </c>
      <c r="CD19" s="3">
        <f>IF(RTD("tos.rtd",,CD$2,"."&amp;$A$2&amp;$AS$1&amp;"C"&amp;$A19)="N/A",0,RTD("tos.rtd",,CD$2,"."&amp;$A$2&amp;$AS$1&amp;"C"&amp;$A19))</f>
        <v>0.01</v>
      </c>
      <c r="CE19" s="3">
        <f>-IF(RTD("tos.rtd",,CE$2,"."&amp;$A$2&amp;$AS$1&amp;"P"&amp;$A19)="N/A",0,RTD("tos.rtd",,CE$2,"."&amp;$A$2&amp;$AS$1&amp;"P"&amp;$A19))</f>
        <v>0.6</v>
      </c>
      <c r="CF19" s="3">
        <f>IF(RTD("tos.rtd",,CF$2,"."&amp;$A$2&amp;$AU$1&amp;"C"&amp;$A19)="N/A",0,RTD("tos.rtd",,CF$2,"."&amp;$A$2&amp;$AU$1&amp;"C"&amp;$A19))</f>
        <v>0.35</v>
      </c>
      <c r="CG19" s="3">
        <f>-IF(RTD("tos.rtd",,CG$2,"."&amp;$A$2&amp;$AU$1&amp;"P"&amp;$A19)="N/A",0,RTD("tos.rtd",,CG$2,"."&amp;$A$2&amp;$AU$1&amp;"P"&amp;$A19))</f>
        <v>0.56999999999999995</v>
      </c>
      <c r="CH19" s="3">
        <f>IF(RTD("tos.rtd",,CH$2,"."&amp;$A$2&amp;$AW$1&amp;"C"&amp;$A19)="N/A",0,RTD("tos.rtd",,CH$2,"."&amp;$A$2&amp;$AW$1&amp;"C"&amp;$A19))</f>
        <v>0.44</v>
      </c>
      <c r="CI19" s="3">
        <f>-IF(RTD("tos.rtd",,CI$2,"."&amp;$A$2&amp;$AW$1&amp;"P"&amp;$A19)="N/A",0,RTD("tos.rtd",,CI$2,"."&amp;$A$2&amp;$AW$1&amp;"P"&amp;$A19))</f>
        <v>0.53</v>
      </c>
      <c r="CK19" s="3">
        <f t="shared" si="17"/>
        <v>-72566</v>
      </c>
      <c r="CL19" s="3"/>
      <c r="CM19" s="3">
        <f t="shared" si="18"/>
        <v>32739</v>
      </c>
      <c r="CN19" s="3"/>
      <c r="CO19" s="3">
        <f t="shared" si="19"/>
        <v>18779</v>
      </c>
      <c r="CP19" s="3">
        <f t="shared" si="43"/>
        <v>-21048</v>
      </c>
      <c r="CQ19" s="3">
        <f t="shared" si="44"/>
        <v>83004</v>
      </c>
      <c r="CR19" s="3"/>
      <c r="CS19" s="3">
        <f t="shared" si="20"/>
        <v>6413</v>
      </c>
      <c r="CT19" s="3"/>
      <c r="CU19" s="3">
        <f t="shared" si="21"/>
        <v>1554</v>
      </c>
      <c r="CV19" s="3">
        <f t="shared" si="45"/>
        <v>90971</v>
      </c>
      <c r="CW19" s="3" t="e">
        <f t="shared" ca="1" si="46"/>
        <v>#NUM!</v>
      </c>
      <c r="CX19" s="85" t="e">
        <f t="shared" ca="1" si="75"/>
        <v>#NUM!</v>
      </c>
      <c r="CY19" s="3" t="e">
        <f t="shared" ca="1" si="47"/>
        <v>#NUM!</v>
      </c>
      <c r="CZ19" s="85" t="e">
        <f t="shared" ca="1" si="76"/>
        <v>#NUM!</v>
      </c>
      <c r="DA19" s="3">
        <f>IF(RTD("tos.rtd",,DA$2,"."&amp;$A$2&amp;$AS$1&amp;"C"&amp;$A19)="N/A",0,RTD("tos.rtd",,DA$2,"."&amp;$A$2&amp;$AS$1&amp;"C"&amp;$A19))</f>
        <v>0.03</v>
      </c>
      <c r="DB19" s="3">
        <f>IF(RTD("tos.rtd",,DB$2,"."&amp;$A$2&amp;$AS$1&amp;"P"&amp;$A19)="N/A",0,RTD("tos.rtd",,DB$2,"."&amp;$A$2&amp;$AS$1&amp;"P"&amp;$A19))</f>
        <v>5.48</v>
      </c>
      <c r="DC19" s="3">
        <f>IF(RTD("tos.rtd",,DC$2,"."&amp;$A$2&amp;$AS$1&amp;"C"&amp;$A19)="N/A",0,RTD("tos.rtd",,DC$2,"."&amp;$A$2&amp;$AS$1&amp;"C"&amp;$A19))</f>
        <v>0.01</v>
      </c>
      <c r="DD19" s="3">
        <f>IF(RTD("tos.rtd",,DD$2,"."&amp;$A$2&amp;$AS$1&amp;"P"&amp;$A19)="N/A",0,RTD("tos.rtd",,DD$2,"."&amp;$A$2&amp;$AS$1&amp;"P"&amp;$A19))</f>
        <v>6.45</v>
      </c>
      <c r="DE19" s="3">
        <f>IF(RTD("tos.rtd",,DE$2,"."&amp;$A$2&amp;$AS$1&amp;"C"&amp;$A19)="N/A",0,RTD("tos.rtd",,DE$2,"."&amp;$A$2&amp;$AS$1&amp;"C"&amp;$A19))</f>
        <v>0</v>
      </c>
      <c r="DF19" s="3">
        <f>IF(RTD("tos.rtd",,DF$2,"."&amp;$A$2&amp;$AS$1&amp;"P"&amp;$A19)="N/A",0,RTD("tos.rtd",,DF$2,"."&amp;$A$2&amp;$AS$1&amp;"P"&amp;$A19))</f>
        <v>4.5999999999999996</v>
      </c>
      <c r="DG19" s="86">
        <f t="shared" si="48"/>
        <v>2.6699999999999591</v>
      </c>
      <c r="DH19" s="3">
        <f t="shared" si="22"/>
        <v>15</v>
      </c>
      <c r="DI19" s="3">
        <f t="shared" si="49"/>
        <v>0</v>
      </c>
      <c r="DJ19" s="3">
        <f t="shared" si="50"/>
        <v>5</v>
      </c>
      <c r="DK19" s="3">
        <f t="shared" si="51"/>
        <v>0</v>
      </c>
      <c r="DL19" s="3">
        <f t="shared" si="52"/>
        <v>15</v>
      </c>
      <c r="DM19" s="3">
        <f t="shared" si="53"/>
        <v>5</v>
      </c>
      <c r="DN19" s="63" t="str">
        <f t="shared" si="54"/>
        <v>BUY</v>
      </c>
      <c r="DO19" s="63" t="str">
        <f t="shared" si="55"/>
        <v>UNKNOWN</v>
      </c>
      <c r="DP19" s="3">
        <f t="shared" si="56"/>
        <v>0.44999999999999996</v>
      </c>
      <c r="DQ19" s="3">
        <f t="shared" si="57"/>
        <v>0.15</v>
      </c>
      <c r="DR19" s="3" t="e">
        <f t="shared" ca="1" si="58"/>
        <v>#NUM!</v>
      </c>
      <c r="DS19" s="3">
        <f t="shared" si="59"/>
        <v>0.05</v>
      </c>
      <c r="DT19" s="3">
        <f t="shared" si="60"/>
        <v>5</v>
      </c>
      <c r="DU19" s="3">
        <f t="shared" si="61"/>
        <v>0</v>
      </c>
      <c r="DV19" s="3">
        <f t="shared" si="62"/>
        <v>6269</v>
      </c>
      <c r="DW19" s="3">
        <f t="shared" si="23"/>
        <v>-64</v>
      </c>
      <c r="DX19" s="3" t="e">
        <f t="shared" ca="1" si="24"/>
        <v>#NUM!</v>
      </c>
      <c r="DY19" s="3" t="e">
        <f t="shared" ca="1" si="25"/>
        <v>#NUM!</v>
      </c>
      <c r="DZ19" s="3">
        <f t="shared" ca="1" si="26"/>
        <v>4.9202624962001902E-2</v>
      </c>
      <c r="EA19" s="3">
        <f t="shared" ca="1" si="27"/>
        <v>-2.4258773400901882E-2</v>
      </c>
      <c r="EB19" s="3">
        <f t="shared" ca="1" si="28"/>
        <v>4.907143511939905E-2</v>
      </c>
      <c r="EC19" s="3">
        <f t="shared" ca="1" si="29"/>
        <v>-3.4239493844554075E-2</v>
      </c>
      <c r="ED19" s="63">
        <f t="shared" si="63"/>
        <v>6205</v>
      </c>
      <c r="EE19" s="59">
        <f t="shared" si="64"/>
        <v>0.27750000000000002</v>
      </c>
      <c r="EF19" s="59">
        <f t="shared" si="30"/>
        <v>2.3774999999999999</v>
      </c>
      <c r="EG19" s="59">
        <f t="shared" si="31"/>
        <v>0.1673</v>
      </c>
      <c r="EH19" s="59">
        <f t="shared" si="32"/>
        <v>0.35349999999999998</v>
      </c>
      <c r="EI19" s="59">
        <f t="shared" si="33"/>
        <v>0.1678</v>
      </c>
      <c r="EJ19" s="59">
        <f t="shared" si="34"/>
        <v>0.24740000000000001</v>
      </c>
      <c r="EL19" s="3" t="str">
        <f>RTD("tos.rtd",,EL$2,"."&amp;$A$2&amp;$AS$1&amp;"C"&amp;$A19)</f>
        <v>27.75%</v>
      </c>
      <c r="EM19" s="3" t="str">
        <f>RTD("tos.rtd",,EM$2,"."&amp;$A$2&amp;$AS$1&amp;"P"&amp;$A19)</f>
        <v>237.75%</v>
      </c>
      <c r="EN19" s="3" t="str">
        <f>RTD("tos.rtd",,EN$2,"."&amp;$A$2&amp;$AU$1&amp;"C"&amp;$A19)</f>
        <v>16.73%</v>
      </c>
      <c r="EO19" s="3" t="str">
        <f>RTD("tos.rtd",,EO$2,"."&amp;$A$2&amp;$AU$1&amp;"P"&amp;$A19)</f>
        <v>35.35%</v>
      </c>
      <c r="EP19" s="3" t="str">
        <f>RTD("tos.rtd",,EP$2,"."&amp;$A$2&amp;$AW$1&amp;"C"&amp;$A19)</f>
        <v>16.78%</v>
      </c>
      <c r="EQ19" s="3" t="str">
        <f>RTD("tos.rtd",,EQ$2,"."&amp;$A$2&amp;$AW$1&amp;"P"&amp;$A19)</f>
        <v>24.74%</v>
      </c>
      <c r="ES19" s="63" t="str">
        <f t="shared" si="65"/>
        <v>567,6205.00</v>
      </c>
      <c r="ET19" s="63" t="str">
        <f t="shared" ca="1" si="66"/>
        <v>567,00.00</v>
      </c>
      <c r="EU19" s="67">
        <v>562.99</v>
      </c>
      <c r="EV19" s="67" t="s">
        <v>172</v>
      </c>
      <c r="EW19" s="67">
        <v>485.53</v>
      </c>
      <c r="EX19" s="67" t="s">
        <v>173</v>
      </c>
      <c r="EY19" s="67">
        <v>5643.5</v>
      </c>
      <c r="EZ19" s="67" t="s">
        <v>174</v>
      </c>
      <c r="FA19" s="67">
        <v>19944.25</v>
      </c>
      <c r="FB19" s="67" t="s">
        <v>175</v>
      </c>
      <c r="FC19" s="67" t="s">
        <v>176</v>
      </c>
      <c r="FD19" s="67" t="s">
        <v>177</v>
      </c>
      <c r="FE19" s="67" t="s">
        <v>178</v>
      </c>
      <c r="FF19" s="67" t="s">
        <v>179</v>
      </c>
    </row>
    <row r="20" spans="1:162" s="63" customFormat="1" ht="13.5" thickBot="1" x14ac:dyDescent="0.25">
      <c r="A20" s="2">
        <f t="shared" si="67"/>
        <v>566</v>
      </c>
      <c r="B20" s="3">
        <f t="shared" si="9"/>
        <v>7379</v>
      </c>
      <c r="C20" s="3">
        <f t="shared" si="10"/>
        <v>5579</v>
      </c>
      <c r="D20" s="3">
        <f t="shared" si="11"/>
        <v>9283</v>
      </c>
      <c r="E20" s="3">
        <f t="shared" si="12"/>
        <v>22241</v>
      </c>
      <c r="F20" s="4">
        <f t="shared" si="13"/>
        <v>5696.8086048942987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>
        <v>-14786</v>
      </c>
      <c r="AN20" s="1">
        <v>237</v>
      </c>
      <c r="AO20" s="1">
        <v>566</v>
      </c>
      <c r="AP20" s="1">
        <v>97116</v>
      </c>
      <c r="AQ20" s="1">
        <v>-2382</v>
      </c>
      <c r="AR20" s="1"/>
      <c r="AS20" s="6">
        <f>IF(RTD("tos.rtd",,AS$2,"."&amp;$A$2&amp;$AS$1&amp;"C"&amp;$A20)="N/A",0,RTD("tos.rtd",,AS$2,"."&amp;$A$2&amp;$AS$1&amp;"C"&amp;$A20))</f>
        <v>5611</v>
      </c>
      <c r="AT20" s="7">
        <f>-IF(RTD("tos.rtd",,AT$2,"."&amp;$A$2&amp;$AS$1&amp;"P"&amp;$A20)="N/A",0,RTD("tos.rtd",,AT$2,"."&amp;$A$2&amp;$AS$1&amp;"P"&amp;$A20))</f>
        <v>-1768</v>
      </c>
      <c r="AU20" s="6">
        <f>IF(RTD("tos.rtd",,AU$2,"."&amp;$A$2&amp;$AU$1&amp;"C"&amp;$A20)="N/A",0,RTD("tos.rtd",,AU$2,"."&amp;$A$2&amp;$AU$1&amp;"C"&amp;$A20))</f>
        <v>3684</v>
      </c>
      <c r="AV20" s="7">
        <f>-IF(RTD("tos.rtd",,AV$2,"."&amp;$A$2&amp;$AU$1&amp;"P"&amp;$A20)="N/A",0,RTD("tos.rtd",,AV$2,"."&amp;$A$2&amp;$AU$1&amp;"P"&amp;$A20))</f>
        <v>-1895</v>
      </c>
      <c r="AW20" s="6">
        <f>IF(RTD("tos.rtd",,AW$2,"."&amp;$A$2&amp;$AW$1&amp;"C"&amp;$A20)="N/A",0,RTD("tos.rtd",,AW$2,"."&amp;$A$2&amp;$AW$1&amp;"C"&amp;$A20))</f>
        <v>5834</v>
      </c>
      <c r="AX20" s="7">
        <f>-IF(RTD("tos.rtd",,AX$2,"."&amp;$A$2&amp;$AW$1&amp;"P"&amp;$A20)="N/A",0,RTD("tos.rtd",,AX$2,"."&amp;$A$2&amp;$AW$1&amp;"P"&amp;$A20))</f>
        <v>-3449</v>
      </c>
      <c r="AY20" s="1">
        <f t="shared" si="68"/>
        <v>8017</v>
      </c>
      <c r="AZ20" s="8">
        <f t="shared" si="35"/>
        <v>566</v>
      </c>
      <c r="BA20" s="6">
        <f>IF(RTD("tos.rtd",,BA$2,"."&amp;$A$2&amp;$AS$1&amp;"C"&amp;$A20)="N/A",0,RTD("tos.rtd",,BA$2,"."&amp;$A$2&amp;$AS$1&amp;"C"&amp;$A20))</f>
        <v>97121</v>
      </c>
      <c r="BB20" s="7">
        <f>-IF(RTD("tos.rtd",,BB$2,"."&amp;$A$2&amp;$AS$1&amp;"P"&amp;$A20)="N/A",0,RTD("tos.rtd",,BB$2,"."&amp;$A$2&amp;$AS$1&amp;"P"&amp;$A20))</f>
        <v>-2382</v>
      </c>
      <c r="BC20" s="6">
        <f>IF(RTD("tos.rtd",,BC$2,"."&amp;$A$2&amp;$AU$1&amp;"C"&amp;$A20)="N/A",0,RTD("tos.rtd",,BC$2,"."&amp;$A$2&amp;$AU$1&amp;"C"&amp;$A20))</f>
        <v>7038</v>
      </c>
      <c r="BD20" s="7">
        <f>-IF(RTD("tos.rtd",,BD$2,"."&amp;$A$2&amp;$AU$1&amp;"P"&amp;$A20)="N/A",0,RTD("tos.rtd",,BD$2,"."&amp;$A$2&amp;$AU$1&amp;"P"&amp;$A20))</f>
        <v>-802</v>
      </c>
      <c r="BE20" s="6">
        <f>IF(RTD("tos.rtd",,BE$2,"."&amp;$A$2&amp;$AW$1&amp;"C"&amp;$A20)="N/A",0,RTD("tos.rtd",,BE$2,"."&amp;$A$2&amp;$AW$1&amp;"C"&amp;$A20))</f>
        <v>1993</v>
      </c>
      <c r="BF20" s="83">
        <f>-IF(RTD("tos.rtd",,BF$2,"."&amp;$A$2&amp;$AW$1&amp;"P"&amp;$A20)="N/A",0,RTD("tos.rtd",,BF$2,"."&amp;$A$2&amp;$AW$1&amp;"P"&amp;$A20))</f>
        <v>-543</v>
      </c>
      <c r="BG20" s="32">
        <f ca="1">+Hoja2!Y21</f>
        <v>1266</v>
      </c>
      <c r="BH20" s="7">
        <f t="shared" ca="1" si="36"/>
        <v>103691</v>
      </c>
      <c r="BI20" s="8" t="str">
        <f t="shared" ref="BI20" ca="1" si="134">IF(AND(BH20&lt;0,BH19&gt;0), "Cruce -", IF(AND(BH20&gt;0,BH19&lt;0),"Cruce +", ""))</f>
        <v/>
      </c>
      <c r="BJ20" s="3" t="e">
        <f ca="1">IF($BP$1=1,DX20,IF(RTD("tos.rtd",,BJ$2,"."&amp;$A$2&amp;$AS$1&amp;"C"&amp;$A20)="N/A",0,RTD("tos.rtd",,BJ$2,"."&amp;$A$2&amp;$AS$1&amp;"C"&amp;$A20)))</f>
        <v>#NUM!</v>
      </c>
      <c r="BK20" s="3" t="e">
        <f ca="1">IF($BP$1=1,DY20,-IF(RTD("tos.rtd",,BK$2,"."&amp;$A$2&amp;$AS$1&amp;"P"&amp;$A20)="N/A",0,RTD("tos.rtd",,BK$2,"."&amp;$A$2&amp;$AS$1&amp;"P"&amp;$A20)))</f>
        <v>#NUM!</v>
      </c>
      <c r="BL20" s="3">
        <f ca="1">IF($BP$1=1,DZ20,IF(RTD("tos.rtd",,BL$2,"."&amp;$A$2&amp;$AU$1&amp;"C"&amp;$A20)="N/A",0,RTD("tos.rtd",,BL$2,"."&amp;$A$2&amp;$AU$1&amp;"C"&amp;$A20)))</f>
        <v>5.1673697339173479E-2</v>
      </c>
      <c r="BM20" s="3">
        <f ca="1">IF($BP$1=1,EA20,-IF(RTD("tos.rtd",,BM$2,"."&amp;$A$2&amp;$AU$1&amp;"P"&amp;$A20)="N/A",0,RTD("tos.rtd",,BM$2,"."&amp;$A$2&amp;$AU$1&amp;"P"&amp;$A20)))</f>
        <v>-2.4917028537210995E-2</v>
      </c>
      <c r="BN20" s="3">
        <f ca="1">IF($BP$1=1,EB20,IF(RTD("tos.rtd",,BN$2,"."&amp;$A$2&amp;$AW$1&amp;"C"&amp;$A20)="N/A",0,RTD("tos.rtd",,BN$2,"."&amp;$A$2&amp;$AW$1&amp;"C"&amp;$A20)))</f>
        <v>5.0493936115764471E-2</v>
      </c>
      <c r="BO20" s="3">
        <f ca="1">IF($BP$1=1,EC20,-IF(RTD("tos.rtd",,BO$2,"."&amp;$A$2&amp;$AW$1&amp;"P"&amp;$A20)="N/A",0,RTD("tos.rtd",,BO$2,"."&amp;$A$2&amp;$AW$1&amp;"P"&amp;$A20)))</f>
        <v>-3.4726198256640695E-2</v>
      </c>
      <c r="BQ20" s="3" t="e">
        <f t="shared" ca="1" si="37"/>
        <v>#NUM!</v>
      </c>
      <c r="BR20" s="3" t="e">
        <f t="shared" ca="1" si="70"/>
        <v>#NUM!</v>
      </c>
      <c r="BS20" s="3">
        <f t="shared" ca="1" si="38"/>
        <v>45588149.220522642</v>
      </c>
      <c r="BT20" s="3" t="str">
        <f t="shared" ca="1" si="70"/>
        <v/>
      </c>
      <c r="BU20" s="3">
        <f t="shared" ca="1" si="39"/>
        <v>55671759.556290343</v>
      </c>
      <c r="BV20" s="3" t="str">
        <f t="shared" ref="BV20" ca="1" si="135">IF(AND(BU20&lt;0,BU19&gt;0), "Cruce -", IF(AND(BU20&gt;0,BU19&lt;0),"Cruce +", ""))</f>
        <v/>
      </c>
      <c r="BX20" s="3" t="e">
        <f t="shared" ca="1" si="40"/>
        <v>#NUM!</v>
      </c>
      <c r="BY20" s="3" t="e">
        <f t="shared" ca="1" si="72"/>
        <v>#NUM!</v>
      </c>
      <c r="BZ20" s="3">
        <f t="shared" ca="1" si="41"/>
        <v>109456305.6008673</v>
      </c>
      <c r="CA20" s="3" t="str">
        <f t="shared" ca="1" si="73"/>
        <v/>
      </c>
      <c r="CB20" s="3">
        <f t="shared" ca="1" si="42"/>
        <v>26043732.988104474</v>
      </c>
      <c r="CC20" s="3" t="str">
        <f t="shared" ca="1" si="74"/>
        <v/>
      </c>
      <c r="CD20" s="3">
        <f>IF(RTD("tos.rtd",,CD$2,"."&amp;$A$2&amp;$AS$1&amp;"C"&amp;$A20)="N/A",0,RTD("tos.rtd",,CD$2,"."&amp;$A$2&amp;$AS$1&amp;"C"&amp;$A20))</f>
        <v>0.02</v>
      </c>
      <c r="CE20" s="3">
        <f>-IF(RTD("tos.rtd",,CE$2,"."&amp;$A$2&amp;$AS$1&amp;"P"&amp;$A20)="N/A",0,RTD("tos.rtd",,CE$2,"."&amp;$A$2&amp;$AS$1&amp;"P"&amp;$A20))</f>
        <v>0.56999999999999995</v>
      </c>
      <c r="CF20" s="3">
        <f>IF(RTD("tos.rtd",,CF$2,"."&amp;$A$2&amp;$AU$1&amp;"C"&amp;$A20)="N/A",0,RTD("tos.rtd",,CF$2,"."&amp;$A$2&amp;$AU$1&amp;"C"&amp;$A20))</f>
        <v>0.4</v>
      </c>
      <c r="CG20" s="3">
        <f>-IF(RTD("tos.rtd",,CG$2,"."&amp;$A$2&amp;$AU$1&amp;"P"&amp;$A20)="N/A",0,RTD("tos.rtd",,CG$2,"."&amp;$A$2&amp;$AU$1&amp;"P"&amp;$A20))</f>
        <v>0.54</v>
      </c>
      <c r="CH20" s="3">
        <f>IF(RTD("tos.rtd",,CH$2,"."&amp;$A$2&amp;$AW$1&amp;"C"&amp;$A20)="N/A",0,RTD("tos.rtd",,CH$2,"."&amp;$A$2&amp;$AW$1&amp;"C"&amp;$A20))</f>
        <v>0.47</v>
      </c>
      <c r="CI20" s="3">
        <f>-IF(RTD("tos.rtd",,CI$2,"."&amp;$A$2&amp;$AW$1&amp;"P"&amp;$A20)="N/A",0,RTD("tos.rtd",,CI$2,"."&amp;$A$2&amp;$AW$1&amp;"P"&amp;$A20))</f>
        <v>0.52</v>
      </c>
      <c r="CK20" s="3">
        <f t="shared" si="17"/>
        <v>-89553.999999999985</v>
      </c>
      <c r="CL20" s="3"/>
      <c r="CM20" s="3">
        <f t="shared" si="18"/>
        <v>45030</v>
      </c>
      <c r="CN20" s="3"/>
      <c r="CO20" s="3">
        <f t="shared" si="19"/>
        <v>94850</v>
      </c>
      <c r="CP20" s="3">
        <f t="shared" si="43"/>
        <v>50326.000000000015</v>
      </c>
      <c r="CQ20" s="3">
        <f t="shared" si="44"/>
        <v>94739</v>
      </c>
      <c r="CR20" s="3"/>
      <c r="CS20" s="3">
        <f t="shared" si="20"/>
        <v>6236</v>
      </c>
      <c r="CT20" s="3"/>
      <c r="CU20" s="3">
        <f t="shared" si="21"/>
        <v>1450</v>
      </c>
      <c r="CV20" s="3">
        <f t="shared" si="45"/>
        <v>102425</v>
      </c>
      <c r="CW20" s="3" t="e">
        <f t="shared" ca="1" si="46"/>
        <v>#NUM!</v>
      </c>
      <c r="CX20" s="85" t="e">
        <f t="shared" ca="1" si="75"/>
        <v>#NUM!</v>
      </c>
      <c r="CY20" s="3" t="e">
        <f t="shared" ca="1" si="47"/>
        <v>#NUM!</v>
      </c>
      <c r="CZ20" s="85" t="e">
        <f t="shared" ca="1" si="76"/>
        <v>#NUM!</v>
      </c>
      <c r="DA20" s="3">
        <f>IF(RTD("tos.rtd",,DA$2,"."&amp;$A$2&amp;$AS$1&amp;"C"&amp;$A20)="N/A",0,RTD("tos.rtd",,DA$2,"."&amp;$A$2&amp;$AS$1&amp;"C"&amp;$A20))</f>
        <v>0.01</v>
      </c>
      <c r="DB20" s="3">
        <f>IF(RTD("tos.rtd",,DB$2,"."&amp;$A$2&amp;$AS$1&amp;"P"&amp;$A20)="N/A",0,RTD("tos.rtd",,DB$2,"."&amp;$A$2&amp;$AS$1&amp;"P"&amp;$A20))</f>
        <v>4.55</v>
      </c>
      <c r="DC20" s="3">
        <f>IF(RTD("tos.rtd",,DC$2,"."&amp;$A$2&amp;$AS$1&amp;"C"&amp;$A20)="N/A",0,RTD("tos.rtd",,DC$2,"."&amp;$A$2&amp;$AS$1&amp;"C"&amp;$A20))</f>
        <v>0.01</v>
      </c>
      <c r="DD20" s="3">
        <f>IF(RTD("tos.rtd",,DD$2,"."&amp;$A$2&amp;$AS$1&amp;"P"&amp;$A20)="N/A",0,RTD("tos.rtd",,DD$2,"."&amp;$A$2&amp;$AS$1&amp;"P"&amp;$A20))</f>
        <v>5.45</v>
      </c>
      <c r="DE20" s="3">
        <f>IF(RTD("tos.rtd",,DE$2,"."&amp;$A$2&amp;$AS$1&amp;"C"&amp;$A20)="N/A",0,RTD("tos.rtd",,DE$2,"."&amp;$A$2&amp;$AS$1&amp;"C"&amp;$A20))</f>
        <v>0</v>
      </c>
      <c r="DF20" s="3">
        <f>IF(RTD("tos.rtd",,DF$2,"."&amp;$A$2&amp;$AS$1&amp;"P"&amp;$A20)="N/A",0,RTD("tos.rtd",,DF$2,"."&amp;$A$2&amp;$AS$1&amp;"P"&amp;$A20))</f>
        <v>3.76</v>
      </c>
      <c r="DG20" s="86">
        <f t="shared" si="48"/>
        <v>1.6699999999999591</v>
      </c>
      <c r="DH20" s="3">
        <f t="shared" si="22"/>
        <v>5</v>
      </c>
      <c r="DI20" s="3">
        <f t="shared" si="49"/>
        <v>0</v>
      </c>
      <c r="DJ20" s="3">
        <f t="shared" si="50"/>
        <v>5</v>
      </c>
      <c r="DK20" s="3">
        <f t="shared" si="51"/>
        <v>0</v>
      </c>
      <c r="DL20" s="3">
        <f t="shared" si="52"/>
        <v>5</v>
      </c>
      <c r="DM20" s="3">
        <f t="shared" si="53"/>
        <v>5</v>
      </c>
      <c r="DN20" s="63" t="str">
        <f t="shared" si="54"/>
        <v>BUY</v>
      </c>
      <c r="DO20" s="63" t="str">
        <f t="shared" si="55"/>
        <v>UNKNOWN</v>
      </c>
      <c r="DP20" s="3">
        <f t="shared" si="56"/>
        <v>0.05</v>
      </c>
      <c r="DQ20" s="3">
        <f t="shared" si="57"/>
        <v>0.05</v>
      </c>
      <c r="DR20" s="3" t="e">
        <f t="shared" ca="1" si="58"/>
        <v>#NUM!</v>
      </c>
      <c r="DS20" s="3">
        <f t="shared" si="59"/>
        <v>0.1</v>
      </c>
      <c r="DT20" s="3">
        <f t="shared" si="60"/>
        <v>5</v>
      </c>
      <c r="DU20" s="3">
        <f t="shared" si="61"/>
        <v>0</v>
      </c>
      <c r="DV20" s="3">
        <f t="shared" si="62"/>
        <v>-14781</v>
      </c>
      <c r="DW20" s="3">
        <f t="shared" si="23"/>
        <v>237</v>
      </c>
      <c r="DX20" s="3" t="e">
        <f t="shared" ca="1" si="24"/>
        <v>#NUM!</v>
      </c>
      <c r="DY20" s="3" t="e">
        <f t="shared" ca="1" si="25"/>
        <v>#NUM!</v>
      </c>
      <c r="DZ20" s="3">
        <f t="shared" ca="1" si="26"/>
        <v>5.1673697339173479E-2</v>
      </c>
      <c r="EA20" s="3">
        <f t="shared" ca="1" si="27"/>
        <v>-2.4917028537210995E-2</v>
      </c>
      <c r="EB20" s="3">
        <f t="shared" ca="1" si="28"/>
        <v>5.0493936115764471E-2</v>
      </c>
      <c r="EC20" s="3">
        <f t="shared" ca="1" si="29"/>
        <v>-3.4726198256640695E-2</v>
      </c>
      <c r="ED20" s="63">
        <f t="shared" si="63"/>
        <v>-14544</v>
      </c>
      <c r="EE20" s="59">
        <f t="shared" si="64"/>
        <v>0.18540000000000001</v>
      </c>
      <c r="EF20" s="59">
        <f t="shared" si="30"/>
        <v>2.1793999999999998</v>
      </c>
      <c r="EG20" s="59">
        <f t="shared" si="31"/>
        <v>0.16450000000000001</v>
      </c>
      <c r="EH20" s="59">
        <f t="shared" si="32"/>
        <v>0.34639999999999999</v>
      </c>
      <c r="EI20" s="59">
        <f t="shared" si="33"/>
        <v>0.16850000000000001</v>
      </c>
      <c r="EJ20" s="59">
        <f t="shared" si="34"/>
        <v>0.2475</v>
      </c>
      <c r="EL20" s="3" t="str">
        <f>RTD("tos.rtd",,EL$2,"."&amp;$A$2&amp;$AS$1&amp;"C"&amp;$A20)</f>
        <v>18.54%</v>
      </c>
      <c r="EM20" s="3" t="str">
        <f>RTD("tos.rtd",,EM$2,"."&amp;$A$2&amp;$AS$1&amp;"P"&amp;$A20)</f>
        <v>217.94%</v>
      </c>
      <c r="EN20" s="3" t="str">
        <f>RTD("tos.rtd",,EN$2,"."&amp;$A$2&amp;$AU$1&amp;"C"&amp;$A20)</f>
        <v>16.45%</v>
      </c>
      <c r="EO20" s="3" t="str">
        <f>RTD("tos.rtd",,EO$2,"."&amp;$A$2&amp;$AU$1&amp;"P"&amp;$A20)</f>
        <v>34.64%</v>
      </c>
      <c r="EP20" s="3" t="str">
        <f>RTD("tos.rtd",,EP$2,"."&amp;$A$2&amp;$AW$1&amp;"C"&amp;$A20)</f>
        <v>16.85%</v>
      </c>
      <c r="EQ20" s="3" t="str">
        <f>RTD("tos.rtd",,EQ$2,"."&amp;$A$2&amp;$AW$1&amp;"P"&amp;$A20)</f>
        <v>24.75%</v>
      </c>
      <c r="ES20" s="63" t="str">
        <f t="shared" si="65"/>
        <v>566,-14544.00</v>
      </c>
      <c r="ET20" s="63" t="str">
        <f t="shared" ca="1" si="66"/>
        <v>566,00.00</v>
      </c>
      <c r="EU20" s="67">
        <v>563.12</v>
      </c>
      <c r="EV20" s="67" t="s">
        <v>180</v>
      </c>
      <c r="EW20" s="67">
        <v>485.63</v>
      </c>
      <c r="EX20" s="67" t="s">
        <v>181</v>
      </c>
      <c r="EY20" s="67">
        <v>5644.75</v>
      </c>
      <c r="EZ20" s="67" t="s">
        <v>182</v>
      </c>
      <c r="FA20" s="67">
        <v>19949</v>
      </c>
      <c r="FB20" s="67" t="s">
        <v>183</v>
      </c>
      <c r="FC20" s="67" t="s">
        <v>184</v>
      </c>
      <c r="FD20" s="67" t="s">
        <v>185</v>
      </c>
      <c r="FE20" s="67" t="s">
        <v>186</v>
      </c>
      <c r="FF20" s="67" t="s">
        <v>187</v>
      </c>
    </row>
    <row r="21" spans="1:162" s="63" customFormat="1" ht="13.5" thickBot="1" x14ac:dyDescent="0.25">
      <c r="A21" s="2">
        <f t="shared" si="67"/>
        <v>565</v>
      </c>
      <c r="B21" s="33">
        <f t="shared" si="9"/>
        <v>7354</v>
      </c>
      <c r="C21" s="33">
        <f t="shared" si="10"/>
        <v>12474</v>
      </c>
      <c r="D21" s="33">
        <f t="shared" si="11"/>
        <v>28258</v>
      </c>
      <c r="E21" s="33">
        <f t="shared" si="12"/>
        <v>48086</v>
      </c>
      <c r="F21" s="34">
        <f t="shared" si="13"/>
        <v>5686.7435720234607</v>
      </c>
      <c r="G21" s="1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>
        <v>15997</v>
      </c>
      <c r="AN21" s="12">
        <v>219</v>
      </c>
      <c r="AO21" s="12">
        <v>565</v>
      </c>
      <c r="AP21" s="12">
        <v>200881</v>
      </c>
      <c r="AQ21" s="12">
        <v>-6391</v>
      </c>
      <c r="AR21" s="12"/>
      <c r="AS21" s="13">
        <f>IF(RTD("tos.rtd",,AS$2,"."&amp;$A$2&amp;$AS$1&amp;"C"&amp;$A21)="N/A",0,RTD("tos.rtd",,AS$2,"."&amp;$A$2&amp;$AS$1&amp;"C"&amp;$A21))</f>
        <v>5976</v>
      </c>
      <c r="AT21" s="29">
        <f>-IF(RTD("tos.rtd",,AT$2,"."&amp;$A$2&amp;$AS$1&amp;"P"&amp;$A21)="N/A",0,RTD("tos.rtd",,AT$2,"."&amp;$A$2&amp;$AS$1&amp;"P"&amp;$A21))</f>
        <v>-1378</v>
      </c>
      <c r="AU21" s="13">
        <f>IF(RTD("tos.rtd",,AU$2,"."&amp;$A$2&amp;$AU$1&amp;"C"&amp;$A21)="N/A",0,RTD("tos.rtd",,AU$2,"."&amp;$A$2&amp;$AU$1&amp;"C"&amp;$A21))</f>
        <v>8817</v>
      </c>
      <c r="AV21" s="29">
        <f>-IF(RTD("tos.rtd",,AV$2,"."&amp;$A$2&amp;$AU$1&amp;"P"&amp;$A21)="N/A",0,RTD("tos.rtd",,AV$2,"."&amp;$A$2&amp;$AU$1&amp;"P"&amp;$A21))</f>
        <v>-3657</v>
      </c>
      <c r="AW21" s="13">
        <f>IF(RTD("tos.rtd",,AW$2,"."&amp;$A$2&amp;$AW$1&amp;"C"&amp;$A21)="N/A",0,RTD("tos.rtd",,AW$2,"."&amp;$A$2&amp;$AW$1&amp;"C"&amp;$A21))</f>
        <v>17336</v>
      </c>
      <c r="AX21" s="29">
        <f>-IF(RTD("tos.rtd",,AX$2,"."&amp;$A$2&amp;$AW$1&amp;"P"&amp;$A21)="N/A",0,RTD("tos.rtd",,AX$2,"."&amp;$A$2&amp;$AW$1&amp;"P"&amp;$A21))</f>
        <v>-10922</v>
      </c>
      <c r="AY21" s="1">
        <f t="shared" si="68"/>
        <v>16172</v>
      </c>
      <c r="AZ21" s="8">
        <f t="shared" si="35"/>
        <v>565</v>
      </c>
      <c r="BA21" s="13">
        <f>IF(RTD("tos.rtd",,BA$2,"."&amp;$A$2&amp;$AS$1&amp;"C"&amp;$A21)="N/A",0,RTD("tos.rtd",,BA$2,"."&amp;$A$2&amp;$AS$1&amp;"C"&amp;$A21))</f>
        <v>200881</v>
      </c>
      <c r="BB21" s="29">
        <f>-IF(RTD("tos.rtd",,BB$2,"."&amp;$A$2&amp;$AS$1&amp;"P"&amp;$A21)="N/A",0,RTD("tos.rtd",,BB$2,"."&amp;$A$2&amp;$AS$1&amp;"P"&amp;$A21))</f>
        <v>-6391</v>
      </c>
      <c r="BC21" s="13">
        <f>IF(RTD("tos.rtd",,BC$2,"."&amp;$A$2&amp;$AU$1&amp;"C"&amp;$A21)="N/A",0,RTD("tos.rtd",,BC$2,"."&amp;$A$2&amp;$AU$1&amp;"C"&amp;$A21))</f>
        <v>41875</v>
      </c>
      <c r="BD21" s="29">
        <f>-IF(RTD("tos.rtd",,BD$2,"."&amp;$A$2&amp;$AU$1&amp;"P"&amp;$A21)="N/A",0,RTD("tos.rtd",,BD$2,"."&amp;$A$2&amp;$AU$1&amp;"P"&amp;$A21))</f>
        <v>-2054</v>
      </c>
      <c r="BE21" s="13">
        <f>IF(RTD("tos.rtd",,BE$2,"."&amp;$A$2&amp;$AW$1&amp;"C"&amp;$A21)="N/A",0,RTD("tos.rtd",,BE$2,"."&amp;$A$2&amp;$AW$1&amp;"C"&amp;$A21))</f>
        <v>7425</v>
      </c>
      <c r="BF21" s="12">
        <f>-IF(RTD("tos.rtd",,BF$2,"."&amp;$A$2&amp;$AW$1&amp;"P"&amp;$A21)="N/A",0,RTD("tos.rtd",,BF$2,"."&amp;$A$2&amp;$AW$1&amp;"P"&amp;$A21))</f>
        <v>-1518</v>
      </c>
      <c r="BG21" s="100">
        <f ca="1">+Hoja2!Y22</f>
        <v>4317</v>
      </c>
      <c r="BH21" s="29">
        <f t="shared" ca="1" si="36"/>
        <v>244535</v>
      </c>
      <c r="BI21" s="8" t="str">
        <f t="shared" ref="BI21" ca="1" si="136">IF(AND(BH21&lt;0,BH20&gt;0), "Cruce -", IF(AND(BH21&gt;0,BH20&lt;0),"Cruce +", ""))</f>
        <v/>
      </c>
      <c r="BJ21" s="3" t="e">
        <f ca="1">IF($BP$1=1,DX21,IF(RTD("tos.rtd",,BJ$2,"."&amp;$A$2&amp;$AS$1&amp;"C"&amp;$A21)="N/A",0,RTD("tos.rtd",,BJ$2,"."&amp;$A$2&amp;$AS$1&amp;"C"&amp;$A21)))</f>
        <v>#NUM!</v>
      </c>
      <c r="BK21" s="3" t="e">
        <f ca="1">IF($BP$1=1,DY21,-IF(RTD("tos.rtd",,BK$2,"."&amp;$A$2&amp;$AS$1&amp;"P"&amp;$A21)="N/A",0,RTD("tos.rtd",,BK$2,"."&amp;$A$2&amp;$AS$1&amp;"P"&amp;$A21)))</f>
        <v>#NUM!</v>
      </c>
      <c r="BL21" s="3">
        <f ca="1">IF($BP$1=1,DZ21,IF(RTD("tos.rtd",,BL$2,"."&amp;$A$2&amp;$AU$1&amp;"C"&amp;$A21)="N/A",0,RTD("tos.rtd",,BL$2,"."&amp;$A$2&amp;$AU$1&amp;"C"&amp;$A21)))</f>
        <v>5.3613159203767524E-2</v>
      </c>
      <c r="BM21" s="3">
        <f ca="1">IF($BP$1=1,EA21,-IF(RTD("tos.rtd",,BM$2,"."&amp;$A$2&amp;$AU$1&amp;"P"&amp;$A21)="N/A",0,RTD("tos.rtd",,BM$2,"."&amp;$A$2&amp;$AU$1&amp;"P"&amp;$A21)))</f>
        <v>-2.5411574172402498E-2</v>
      </c>
      <c r="BN21" s="3">
        <f ca="1">IF($BP$1=1,EB21,IF(RTD("tos.rtd",,BN$2,"."&amp;$A$2&amp;$AW$1&amp;"C"&amp;$A21)="N/A",0,RTD("tos.rtd",,BN$2,"."&amp;$A$2&amp;$AW$1&amp;"C"&amp;$A21)))</f>
        <v>5.1209884705212802E-2</v>
      </c>
      <c r="BO21" s="3">
        <f ca="1">IF($BP$1=1,EC21,-IF(RTD("tos.rtd",,BO$2,"."&amp;$A$2&amp;$AW$1&amp;"P"&amp;$A21)="N/A",0,RTD("tos.rtd",,BO$2,"."&amp;$A$2&amp;$AW$1&amp;"P"&amp;$A21)))</f>
        <v>-3.4937492511771147E-2</v>
      </c>
      <c r="BQ21" s="3" t="e">
        <f t="shared" ca="1" si="37"/>
        <v>#NUM!</v>
      </c>
      <c r="BR21" s="3" t="e">
        <f t="shared" ca="1" si="70"/>
        <v>#NUM!</v>
      </c>
      <c r="BS21" s="3">
        <f t="shared" ca="1" si="38"/>
        <v>120946985.33453389</v>
      </c>
      <c r="BT21" s="3" t="str">
        <f t="shared" ca="1" si="70"/>
        <v/>
      </c>
      <c r="BU21" s="3">
        <f t="shared" ca="1" si="39"/>
        <v>161204623.48562816</v>
      </c>
      <c r="BV21" s="3" t="str">
        <f t="shared" ref="BV21" ca="1" si="137">IF(AND(BU21&lt;0,BU20&gt;0), "Cruce -", IF(AND(BU21&gt;0,BU20&lt;0),"Cruce +", ""))</f>
        <v/>
      </c>
      <c r="BX21" s="3" t="e">
        <f t="shared" ca="1" si="40"/>
        <v>#NUM!</v>
      </c>
      <c r="BY21" s="3" t="e">
        <f t="shared" ca="1" si="72"/>
        <v>#NUM!</v>
      </c>
      <c r="BZ21" s="3">
        <f t="shared" ca="1" si="41"/>
        <v>698355124.06194353</v>
      </c>
      <c r="CA21" s="3" t="str">
        <f t="shared" ca="1" si="73"/>
        <v/>
      </c>
      <c r="CB21" s="3">
        <f t="shared" ca="1" si="42"/>
        <v>104202296.09112298</v>
      </c>
      <c r="CC21" s="3" t="str">
        <f t="shared" ca="1" si="74"/>
        <v/>
      </c>
      <c r="CD21" s="3">
        <f>IF(RTD("tos.rtd",,CD$2,"."&amp;$A$2&amp;$AS$1&amp;"C"&amp;$A21)="N/A",0,RTD("tos.rtd",,CD$2,"."&amp;$A$2&amp;$AS$1&amp;"C"&amp;$A21))</f>
        <v>0.03</v>
      </c>
      <c r="CE21" s="3">
        <f>-IF(RTD("tos.rtd",,CE$2,"."&amp;$A$2&amp;$AS$1&amp;"P"&amp;$A21)="N/A",0,RTD("tos.rtd",,CE$2,"."&amp;$A$2&amp;$AS$1&amp;"P"&amp;$A21))</f>
        <v>0.53</v>
      </c>
      <c r="CF21" s="3">
        <f>IF(RTD("tos.rtd",,CF$2,"."&amp;$A$2&amp;$AU$1&amp;"C"&amp;$A21)="N/A",0,RTD("tos.rtd",,CF$2,"."&amp;$A$2&amp;$AU$1&amp;"C"&amp;$A21))</f>
        <v>0.47</v>
      </c>
      <c r="CG21" s="3">
        <f>-IF(RTD("tos.rtd",,CG$2,"."&amp;$A$2&amp;$AU$1&amp;"P"&amp;$A21)="N/A",0,RTD("tos.rtd",,CG$2,"."&amp;$A$2&amp;$AU$1&amp;"P"&amp;$A21))</f>
        <v>0.51</v>
      </c>
      <c r="CH21" s="3">
        <f>IF(RTD("tos.rtd",,CH$2,"."&amp;$A$2&amp;$AW$1&amp;"C"&amp;$A21)="N/A",0,RTD("tos.rtd",,CH$2,"."&amp;$A$2&amp;$AW$1&amp;"C"&amp;$A21))</f>
        <v>0.5</v>
      </c>
      <c r="CI21" s="3">
        <f>-IF(RTD("tos.rtd",,CI$2,"."&amp;$A$2&amp;$AW$1&amp;"P"&amp;$A21)="N/A",0,RTD("tos.rtd",,CI$2,"."&amp;$A$2&amp;$AW$1&amp;"P"&amp;$A21))</f>
        <v>0.5</v>
      </c>
      <c r="CK21" s="3">
        <f t="shared" si="17"/>
        <v>-55106</v>
      </c>
      <c r="CL21" s="3"/>
      <c r="CM21" s="3">
        <f t="shared" si="18"/>
        <v>227892</v>
      </c>
      <c r="CN21" s="3"/>
      <c r="CO21" s="3">
        <f t="shared" si="19"/>
        <v>320700</v>
      </c>
      <c r="CP21" s="3">
        <f t="shared" si="43"/>
        <v>493486</v>
      </c>
      <c r="CQ21" s="3">
        <f t="shared" si="44"/>
        <v>194490</v>
      </c>
      <c r="CR21" s="3"/>
      <c r="CS21" s="3">
        <f t="shared" si="20"/>
        <v>39821</v>
      </c>
      <c r="CT21" s="3"/>
      <c r="CU21" s="3">
        <f t="shared" si="21"/>
        <v>5907</v>
      </c>
      <c r="CV21" s="3">
        <f t="shared" si="45"/>
        <v>240218</v>
      </c>
      <c r="CW21" s="3" t="e">
        <f t="shared" ca="1" si="46"/>
        <v>#NUM!</v>
      </c>
      <c r="CX21" s="85" t="e">
        <f t="shared" ca="1" si="75"/>
        <v>#NUM!</v>
      </c>
      <c r="CY21" s="3" t="e">
        <f t="shared" ca="1" si="47"/>
        <v>#NUM!</v>
      </c>
      <c r="CZ21" s="85" t="e">
        <f t="shared" ca="1" si="76"/>
        <v>#NUM!</v>
      </c>
      <c r="DA21" s="3">
        <f>IF(RTD("tos.rtd",,DA$2,"."&amp;$A$2&amp;$AS$1&amp;"C"&amp;$A21)="N/A",0,RTD("tos.rtd",,DA$2,"."&amp;$A$2&amp;$AS$1&amp;"C"&amp;$A21))</f>
        <v>0.01</v>
      </c>
      <c r="DB21" s="3">
        <f>IF(RTD("tos.rtd",,DB$2,"."&amp;$A$2&amp;$AS$1&amp;"P"&amp;$A21)="N/A",0,RTD("tos.rtd",,DB$2,"."&amp;$A$2&amp;$AS$1&amp;"P"&amp;$A21))</f>
        <v>3.85</v>
      </c>
      <c r="DC21" s="3">
        <f>IF(RTD("tos.rtd",,DC$2,"."&amp;$A$2&amp;$AS$1&amp;"C"&amp;$A21)="N/A",0,RTD("tos.rtd",,DC$2,"."&amp;$A$2&amp;$AS$1&amp;"C"&amp;$A21))</f>
        <v>0.01</v>
      </c>
      <c r="DD21" s="3">
        <f>IF(RTD("tos.rtd",,DD$2,"."&amp;$A$2&amp;$AS$1&amp;"P"&amp;$A21)="N/A",0,RTD("tos.rtd",,DD$2,"."&amp;$A$2&amp;$AS$1&amp;"P"&amp;$A21))</f>
        <v>4.37</v>
      </c>
      <c r="DE21" s="3">
        <f>IF(RTD("tos.rtd",,DE$2,"."&amp;$A$2&amp;$AS$1&amp;"C"&amp;$A21)="N/A",0,RTD("tos.rtd",,DE$2,"."&amp;$A$2&amp;$AS$1&amp;"C"&amp;$A21))</f>
        <v>0</v>
      </c>
      <c r="DF21" s="3">
        <f>IF(RTD("tos.rtd",,DF$2,"."&amp;$A$2&amp;$AS$1&amp;"P"&amp;$A21)="N/A",0,RTD("tos.rtd",,DF$2,"."&amp;$A$2&amp;$AS$1&amp;"P"&amp;$A21))</f>
        <v>2.91</v>
      </c>
      <c r="DG21" s="86">
        <f t="shared" si="48"/>
        <v>0.66999999999995907</v>
      </c>
      <c r="DH21" s="3">
        <f t="shared" si="22"/>
        <v>0</v>
      </c>
      <c r="DI21" s="3">
        <f t="shared" si="49"/>
        <v>0</v>
      </c>
      <c r="DJ21" s="3">
        <f t="shared" si="50"/>
        <v>0</v>
      </c>
      <c r="DK21" s="3">
        <f t="shared" si="51"/>
        <v>0</v>
      </c>
      <c r="DL21" s="3">
        <f t="shared" si="52"/>
        <v>0</v>
      </c>
      <c r="DM21" s="3">
        <f t="shared" si="53"/>
        <v>0</v>
      </c>
      <c r="DN21" s="63" t="str">
        <f t="shared" si="54"/>
        <v>UNKNOWN</v>
      </c>
      <c r="DO21" s="63" t="str">
        <f t="shared" si="55"/>
        <v>UNKNOWN</v>
      </c>
      <c r="DP21" s="3">
        <f t="shared" si="56"/>
        <v>0</v>
      </c>
      <c r="DQ21" s="3">
        <f t="shared" si="57"/>
        <v>0</v>
      </c>
      <c r="DR21" s="3" t="e">
        <f t="shared" ca="1" si="58"/>
        <v>#NUM!</v>
      </c>
      <c r="DS21" s="3">
        <f t="shared" si="59"/>
        <v>0</v>
      </c>
      <c r="DT21" s="3">
        <f t="shared" si="60"/>
        <v>0</v>
      </c>
      <c r="DU21" s="3">
        <f t="shared" si="61"/>
        <v>0</v>
      </c>
      <c r="DV21" s="3">
        <f t="shared" si="62"/>
        <v>15997</v>
      </c>
      <c r="DW21" s="3">
        <f t="shared" si="23"/>
        <v>219</v>
      </c>
      <c r="DX21" s="3" t="e">
        <f t="shared" ca="1" si="24"/>
        <v>#NUM!</v>
      </c>
      <c r="DY21" s="3" t="e">
        <f t="shared" ca="1" si="25"/>
        <v>#NUM!</v>
      </c>
      <c r="DZ21" s="3">
        <f t="shared" ca="1" si="26"/>
        <v>5.3613159203767524E-2</v>
      </c>
      <c r="EA21" s="3">
        <f t="shared" ca="1" si="27"/>
        <v>-2.5411574172402498E-2</v>
      </c>
      <c r="EB21" s="3">
        <f t="shared" ca="1" si="28"/>
        <v>5.1209884705212802E-2</v>
      </c>
      <c r="EC21" s="3">
        <f t="shared" ca="1" si="29"/>
        <v>-3.4937492511771147E-2</v>
      </c>
      <c r="ED21" s="63">
        <f t="shared" si="63"/>
        <v>16216</v>
      </c>
      <c r="EE21" s="59">
        <f t="shared" si="64"/>
        <v>8.6199999999999999E-2</v>
      </c>
      <c r="EF21" s="59">
        <f t="shared" si="30"/>
        <v>1.9366000000000001</v>
      </c>
      <c r="EG21" s="59">
        <f t="shared" si="31"/>
        <v>0.16120000000000001</v>
      </c>
      <c r="EH21" s="59">
        <f t="shared" si="32"/>
        <v>0.3407</v>
      </c>
      <c r="EI21" s="59">
        <f t="shared" si="33"/>
        <v>0.16880000000000001</v>
      </c>
      <c r="EJ21" s="59">
        <f t="shared" si="34"/>
        <v>0.2477</v>
      </c>
      <c r="EL21" s="3" t="str">
        <f>RTD("tos.rtd",,EL$2,"."&amp;$A$2&amp;$AS$1&amp;"C"&amp;$A21)</f>
        <v>8.62%</v>
      </c>
      <c r="EM21" s="3" t="str">
        <f>RTD("tos.rtd",,EM$2,"."&amp;$A$2&amp;$AS$1&amp;"P"&amp;$A21)</f>
        <v>193.66%</v>
      </c>
      <c r="EN21" s="3" t="str">
        <f>RTD("tos.rtd",,EN$2,"."&amp;$A$2&amp;$AU$1&amp;"C"&amp;$A21)</f>
        <v>16.12%</v>
      </c>
      <c r="EO21" s="3" t="str">
        <f>RTD("tos.rtd",,EO$2,"."&amp;$A$2&amp;$AU$1&amp;"P"&amp;$A21)</f>
        <v>34.07%</v>
      </c>
      <c r="EP21" s="3" t="str">
        <f>RTD("tos.rtd",,EP$2,"."&amp;$A$2&amp;$AW$1&amp;"C"&amp;$A21)</f>
        <v>16.88%</v>
      </c>
      <c r="EQ21" s="3" t="str">
        <f>RTD("tos.rtd",,EQ$2,"."&amp;$A$2&amp;$AW$1&amp;"P"&amp;$A21)</f>
        <v>24.77%</v>
      </c>
      <c r="ES21" s="63" t="str">
        <f t="shared" si="65"/>
        <v>565,16216.00</v>
      </c>
      <c r="ET21" s="63" t="str">
        <f t="shared" ca="1" si="66"/>
        <v>565,00.00</v>
      </c>
      <c r="EU21" s="67">
        <v>563.02</v>
      </c>
      <c r="EV21" s="67" t="s">
        <v>188</v>
      </c>
      <c r="EW21" s="67">
        <v>485.51</v>
      </c>
      <c r="EX21" s="67" t="s">
        <v>189</v>
      </c>
      <c r="EY21" s="67">
        <v>5643.75</v>
      </c>
      <c r="EZ21" s="67" t="s">
        <v>190</v>
      </c>
      <c r="FA21" s="67">
        <v>19943.5</v>
      </c>
      <c r="FB21" s="67" t="s">
        <v>191</v>
      </c>
      <c r="FC21" s="67" t="s">
        <v>192</v>
      </c>
      <c r="FD21" s="67" t="s">
        <v>193</v>
      </c>
      <c r="FE21" s="67" t="s">
        <v>194</v>
      </c>
      <c r="FF21" s="67" t="s">
        <v>195</v>
      </c>
    </row>
    <row r="22" spans="1:162" s="63" customFormat="1" ht="13.5" thickBot="1" x14ac:dyDescent="0.25">
      <c r="A22" s="2">
        <f t="shared" si="67"/>
        <v>564</v>
      </c>
      <c r="B22" s="3">
        <f t="shared" si="9"/>
        <v>7148</v>
      </c>
      <c r="C22" s="3">
        <f t="shared" si="10"/>
        <v>3297</v>
      </c>
      <c r="D22" s="3">
        <f t="shared" si="11"/>
        <v>5203</v>
      </c>
      <c r="E22" s="3">
        <f t="shared" si="12"/>
        <v>15648</v>
      </c>
      <c r="F22" s="14">
        <f t="shared" si="13"/>
        <v>5676.6785391526228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>
        <v>10551</v>
      </c>
      <c r="AN22" s="1">
        <v>91</v>
      </c>
      <c r="AO22" s="1">
        <v>564</v>
      </c>
      <c r="AP22" s="1">
        <v>140112</v>
      </c>
      <c r="AQ22" s="1">
        <v>-7246</v>
      </c>
      <c r="AR22" s="1"/>
      <c r="AS22" s="6">
        <f>IF(RTD("tos.rtd",,AS$2,"."&amp;$A$2&amp;$AS$1&amp;"C"&amp;$A22)="N/A",0,RTD("tos.rtd",,AS$2,"."&amp;$A$2&amp;$AS$1&amp;"C"&amp;$A22))</f>
        <v>5325</v>
      </c>
      <c r="AT22" s="7">
        <f>-IF(RTD("tos.rtd",,AT$2,"."&amp;$A$2&amp;$AS$1&amp;"P"&amp;$A22)="N/A",0,RTD("tos.rtd",,AT$2,"."&amp;$A$2&amp;$AS$1&amp;"P"&amp;$A22))</f>
        <v>-1823</v>
      </c>
      <c r="AU22" s="6">
        <f>IF(RTD("tos.rtd",,AU$2,"."&amp;$A$2&amp;$AU$1&amp;"C"&amp;$A22)="N/A",0,RTD("tos.rtd",,AU$2,"."&amp;$A$2&amp;$AU$1&amp;"C"&amp;$A22))</f>
        <v>1832</v>
      </c>
      <c r="AV22" s="7">
        <f>-IF(RTD("tos.rtd",,AV$2,"."&amp;$A$2&amp;$AU$1&amp;"P"&amp;$A22)="N/A",0,RTD("tos.rtd",,AV$2,"."&amp;$A$2&amp;$AU$1&amp;"P"&amp;$A22))</f>
        <v>-1465</v>
      </c>
      <c r="AW22" s="6">
        <f>IF(RTD("tos.rtd",,AW$2,"."&amp;$A$2&amp;$AW$1&amp;"C"&amp;$A22)="N/A",0,RTD("tos.rtd",,AW$2,"."&amp;$A$2&amp;$AW$1&amp;"C"&amp;$A22))</f>
        <v>3455</v>
      </c>
      <c r="AX22" s="7">
        <f>-IF(RTD("tos.rtd",,AX$2,"."&amp;$A$2&amp;$AW$1&amp;"P"&amp;$A22)="N/A",0,RTD("tos.rtd",,AX$2,"."&amp;$A$2&amp;$AW$1&amp;"P"&amp;$A22))</f>
        <v>-1748</v>
      </c>
      <c r="AY22" s="1">
        <f t="shared" si="68"/>
        <v>5576</v>
      </c>
      <c r="AZ22" s="8">
        <f t="shared" si="35"/>
        <v>564</v>
      </c>
      <c r="BA22" s="6">
        <f>IF(RTD("tos.rtd",,BA$2,"."&amp;$A$2&amp;$AS$1&amp;"C"&amp;$A22)="N/A",0,RTD("tos.rtd",,BA$2,"."&amp;$A$2&amp;$AS$1&amp;"C"&amp;$A22))</f>
        <v>140112</v>
      </c>
      <c r="BB22" s="7">
        <f>-IF(RTD("tos.rtd",,BB$2,"."&amp;$A$2&amp;$AS$1&amp;"P"&amp;$A22)="N/A",0,RTD("tos.rtd",,BB$2,"."&amp;$A$2&amp;$AS$1&amp;"P"&amp;$A22))</f>
        <v>-7254</v>
      </c>
      <c r="BC22" s="6">
        <f>IF(RTD("tos.rtd",,BC$2,"."&amp;$A$2&amp;$AU$1&amp;"C"&amp;$A22)="N/A",0,RTD("tos.rtd",,BC$2,"."&amp;$A$2&amp;$AU$1&amp;"C"&amp;$A22))</f>
        <v>6348</v>
      </c>
      <c r="BD22" s="7">
        <f>-IF(RTD("tos.rtd",,BD$2,"."&amp;$A$2&amp;$AU$1&amp;"P"&amp;$A22)="N/A",0,RTD("tos.rtd",,BD$2,"."&amp;$A$2&amp;$AU$1&amp;"P"&amp;$A22))</f>
        <v>-863</v>
      </c>
      <c r="BE22" s="6">
        <f>IF(RTD("tos.rtd",,BE$2,"."&amp;$A$2&amp;$AW$1&amp;"C"&amp;$A22)="N/A",0,RTD("tos.rtd",,BE$2,"."&amp;$A$2&amp;$AW$1&amp;"C"&amp;$A22))</f>
        <v>3023</v>
      </c>
      <c r="BF22" s="83">
        <f>-IF(RTD("tos.rtd",,BF$2,"."&amp;$A$2&amp;$AW$1&amp;"P"&amp;$A22)="N/A",0,RTD("tos.rtd",,BF$2,"."&amp;$A$2&amp;$AW$1&amp;"P"&amp;$A22))</f>
        <v>-571</v>
      </c>
      <c r="BG22" s="32">
        <f ca="1">+Hoja2!Y23</f>
        <v>399</v>
      </c>
      <c r="BH22" s="7">
        <f t="shared" ca="1" si="36"/>
        <v>141194</v>
      </c>
      <c r="BI22" s="8" t="str">
        <f t="shared" ref="BI22" ca="1" si="138">IF(AND(BH22&lt;0,BH21&gt;0), "Cruce -", IF(AND(BH22&gt;0,BH21&lt;0),"Cruce +", ""))</f>
        <v/>
      </c>
      <c r="BJ22" s="3" t="e">
        <f ca="1">IF($BP$1=1,DX22,IF(RTD("tos.rtd",,BJ$2,"."&amp;$A$2&amp;$AS$1&amp;"C"&amp;$A22)="N/A",0,RTD("tos.rtd",,BJ$2,"."&amp;$A$2&amp;$AS$1&amp;"C"&amp;$A22)))</f>
        <v>#NUM!</v>
      </c>
      <c r="BK22" s="3" t="e">
        <f ca="1">IF($BP$1=1,DY22,-IF(RTD("tos.rtd",,BK$2,"."&amp;$A$2&amp;$AS$1&amp;"P"&amp;$A22)="N/A",0,RTD("tos.rtd",,BK$2,"."&amp;$A$2&amp;$AS$1&amp;"P"&amp;$A22)))</f>
        <v>#NUM!</v>
      </c>
      <c r="BL22" s="3">
        <f ca="1">IF($BP$1=1,DZ22,IF(RTD("tos.rtd",,BL$2,"."&amp;$A$2&amp;$AU$1&amp;"C"&amp;$A22)="N/A",0,RTD("tos.rtd",,BL$2,"."&amp;$A$2&amp;$AU$1&amp;"C"&amp;$A22)))</f>
        <v>5.5038926069239498E-2</v>
      </c>
      <c r="BM22" s="3">
        <f ca="1">IF($BP$1=1,EA22,-IF(RTD("tos.rtd",,BM$2,"."&amp;$A$2&amp;$AU$1&amp;"P"&amp;$A22)="N/A",0,RTD("tos.rtd",,BM$2,"."&amp;$A$2&amp;$AU$1&amp;"P"&amp;$A22)))</f>
        <v>-2.5745169274212013E-2</v>
      </c>
      <c r="BN22" s="3">
        <f ca="1">IF($BP$1=1,EB22,IF(RTD("tos.rtd",,BN$2,"."&amp;$A$2&amp;$AW$1&amp;"C"&amp;$A22)="N/A",0,RTD("tos.rtd",,BN$2,"."&amp;$A$2&amp;$AW$1&amp;"C"&amp;$A22)))</f>
        <v>5.1084075327091936E-2</v>
      </c>
      <c r="BO22" s="3">
        <f ca="1">IF($BP$1=1,EC22,-IF(RTD("tos.rtd",,BO$2,"."&amp;$A$2&amp;$AW$1&amp;"P"&amp;$A22)="N/A",0,RTD("tos.rtd",,BO$2,"."&amp;$A$2&amp;$AW$1&amp;"P"&amp;$A22)))</f>
        <v>-3.4839513176603464E-2</v>
      </c>
      <c r="BQ22" s="3" t="e">
        <f t="shared" ca="1" si="37"/>
        <v>#NUM!</v>
      </c>
      <c r="BR22" s="3" t="e">
        <f t="shared" ca="1" si="70"/>
        <v>#NUM!</v>
      </c>
      <c r="BS22" s="3">
        <f t="shared" ca="1" si="38"/>
        <v>20100015.055953622</v>
      </c>
      <c r="BT22" s="3" t="str">
        <f t="shared" ca="1" si="70"/>
        <v/>
      </c>
      <c r="BU22" s="3">
        <f t="shared" ca="1" si="39"/>
        <v>36813670.833423533</v>
      </c>
      <c r="BV22" s="3" t="str">
        <f t="shared" ref="BV22" ca="1" si="139">IF(AND(BU22&lt;0,BU21&gt;0), "Cruce -", IF(AND(BU22&gt;0,BU21&lt;0),"Cruce +", ""))</f>
        <v/>
      </c>
      <c r="BX22" s="3" t="e">
        <f t="shared" ca="1" si="40"/>
        <v>#NUM!</v>
      </c>
      <c r="BY22" s="3" t="e">
        <f t="shared" ca="1" si="72"/>
        <v>#NUM!</v>
      </c>
      <c r="BZ22" s="3">
        <f t="shared" ca="1" si="41"/>
        <v>104192978.12141845</v>
      </c>
      <c r="CA22" s="3" t="str">
        <f t="shared" ca="1" si="73"/>
        <v/>
      </c>
      <c r="CB22" s="3">
        <f t="shared" ca="1" si="42"/>
        <v>42844756.421567671</v>
      </c>
      <c r="CC22" s="3" t="str">
        <f t="shared" ca="1" si="74"/>
        <v/>
      </c>
      <c r="CD22" s="3">
        <f>IF(RTD("tos.rtd",,CD$2,"."&amp;$A$2&amp;$AS$1&amp;"C"&amp;$A22)="N/A",0,RTD("tos.rtd",,CD$2,"."&amp;$A$2&amp;$AS$1&amp;"C"&amp;$A22))</f>
        <v>1</v>
      </c>
      <c r="CE22" s="3">
        <f>-IF(RTD("tos.rtd",,CE$2,"."&amp;$A$2&amp;$AS$1&amp;"P"&amp;$A22)="N/A",0,RTD("tos.rtd",,CE$2,"."&amp;$A$2&amp;$AS$1&amp;"P"&amp;$A22))</f>
        <v>0.48</v>
      </c>
      <c r="CF22" s="3">
        <f>IF(RTD("tos.rtd",,CF$2,"."&amp;$A$2&amp;$AU$1&amp;"C"&amp;$A22)="N/A",0,RTD("tos.rtd",,CF$2,"."&amp;$A$2&amp;$AU$1&amp;"C"&amp;$A22))</f>
        <v>0.53</v>
      </c>
      <c r="CG22" s="3">
        <f>-IF(RTD("tos.rtd",,CG$2,"."&amp;$A$2&amp;$AU$1&amp;"P"&amp;$A22)="N/A",0,RTD("tos.rtd",,CG$2,"."&amp;$A$2&amp;$AU$1&amp;"P"&amp;$A22))</f>
        <v>0.48</v>
      </c>
      <c r="CH22" s="3">
        <f>IF(RTD("tos.rtd",,CH$2,"."&amp;$A$2&amp;$AW$1&amp;"C"&amp;$A22)="N/A",0,RTD("tos.rtd",,CH$2,"."&amp;$A$2&amp;$AW$1&amp;"C"&amp;$A22))</f>
        <v>0.53</v>
      </c>
      <c r="CI22" s="3">
        <f>-IF(RTD("tos.rtd",,CI$2,"."&amp;$A$2&amp;$AW$1&amp;"P"&amp;$A22)="N/A",0,RTD("tos.rtd",,CI$2,"."&amp;$A$2&amp;$AW$1&amp;"P"&amp;$A22))</f>
        <v>0.48</v>
      </c>
      <c r="CK22" s="3">
        <f t="shared" si="17"/>
        <v>444996</v>
      </c>
      <c r="CL22" s="3"/>
      <c r="CM22" s="3">
        <f t="shared" si="18"/>
        <v>26776</v>
      </c>
      <c r="CN22" s="3"/>
      <c r="CO22" s="3">
        <f t="shared" si="19"/>
        <v>99211</v>
      </c>
      <c r="CP22" s="3">
        <f t="shared" si="43"/>
        <v>570983</v>
      </c>
      <c r="CQ22" s="3">
        <f t="shared" si="44"/>
        <v>132858</v>
      </c>
      <c r="CR22" s="3"/>
      <c r="CS22" s="3">
        <f t="shared" si="20"/>
        <v>5485</v>
      </c>
      <c r="CT22" s="3"/>
      <c r="CU22" s="3">
        <f t="shared" si="21"/>
        <v>2452</v>
      </c>
      <c r="CV22" s="3">
        <f t="shared" si="45"/>
        <v>140795</v>
      </c>
      <c r="CW22" s="3" t="e">
        <f t="shared" ca="1" si="46"/>
        <v>#NUM!</v>
      </c>
      <c r="CX22" s="85" t="e">
        <f t="shared" ca="1" si="75"/>
        <v>#NUM!</v>
      </c>
      <c r="CY22" s="3" t="e">
        <f t="shared" ca="1" si="47"/>
        <v>#NUM!</v>
      </c>
      <c r="CZ22" s="85" t="e">
        <f t="shared" ca="1" si="76"/>
        <v>#NUM!</v>
      </c>
      <c r="DA22" s="3">
        <f>IF(RTD("tos.rtd",,DA$2,"."&amp;$A$2&amp;$AS$1&amp;"C"&amp;$A22)="N/A",0,RTD("tos.rtd",,DA$2,"."&amp;$A$2&amp;$AS$1&amp;"C"&amp;$A22))</f>
        <v>0.01</v>
      </c>
      <c r="DB22" s="3">
        <f>IF(RTD("tos.rtd",,DB$2,"."&amp;$A$2&amp;$AS$1&amp;"P"&amp;$A22)="N/A",0,RTD("tos.rtd",,DB$2,"."&amp;$A$2&amp;$AS$1&amp;"P"&amp;$A22))</f>
        <v>2.84</v>
      </c>
      <c r="DC22" s="3">
        <f>IF(RTD("tos.rtd",,DC$2,"."&amp;$A$2&amp;$AS$1&amp;"C"&amp;$A22)="N/A",0,RTD("tos.rtd",,DC$2,"."&amp;$A$2&amp;$AS$1&amp;"C"&amp;$A22))</f>
        <v>0.01</v>
      </c>
      <c r="DD22" s="3">
        <f>IF(RTD("tos.rtd",,DD$2,"."&amp;$A$2&amp;$AS$1&amp;"P"&amp;$A22)="N/A",0,RTD("tos.rtd",,DD$2,"."&amp;$A$2&amp;$AS$1&amp;"P"&amp;$A22))</f>
        <v>2.63</v>
      </c>
      <c r="DE22" s="3">
        <f>IF(RTD("tos.rtd",,DE$2,"."&amp;$A$2&amp;$AS$1&amp;"C"&amp;$A22)="N/A",0,RTD("tos.rtd",,DE$2,"."&amp;$A$2&amp;$AS$1&amp;"C"&amp;$A22))</f>
        <v>0</v>
      </c>
      <c r="DF22" s="3">
        <f>IF(RTD("tos.rtd",,DF$2,"."&amp;$A$2&amp;$AS$1&amp;"P"&amp;$A22)="N/A",0,RTD("tos.rtd",,DF$2,"."&amp;$A$2&amp;$AS$1&amp;"P"&amp;$A22))</f>
        <v>2.4900000000000002</v>
      </c>
      <c r="DG22" s="86">
        <f t="shared" si="48"/>
        <v>-0.33000000000004093</v>
      </c>
      <c r="DH22" s="3">
        <f t="shared" si="22"/>
        <v>0</v>
      </c>
      <c r="DI22" s="3">
        <f t="shared" si="49"/>
        <v>-20.000000000000025</v>
      </c>
      <c r="DJ22" s="3">
        <f t="shared" si="50"/>
        <v>0</v>
      </c>
      <c r="DK22" s="3">
        <f t="shared" si="51"/>
        <v>-8</v>
      </c>
      <c r="DL22" s="3">
        <f t="shared" si="52"/>
        <v>-20.000000000000025</v>
      </c>
      <c r="DM22" s="3">
        <f t="shared" si="53"/>
        <v>-8</v>
      </c>
      <c r="DN22" s="63" t="str">
        <f t="shared" si="54"/>
        <v>UNKNOWN</v>
      </c>
      <c r="DO22" s="63" t="str">
        <f t="shared" si="55"/>
        <v>BUY</v>
      </c>
      <c r="DP22" s="3">
        <f t="shared" si="56"/>
        <v>-56.800000000000068</v>
      </c>
      <c r="DQ22" s="3">
        <f t="shared" si="57"/>
        <v>-22.72</v>
      </c>
      <c r="DR22" s="3" t="e">
        <f t="shared" ca="1" si="58"/>
        <v>#NUM!</v>
      </c>
      <c r="DS22" s="3">
        <f t="shared" si="59"/>
        <v>-3.84</v>
      </c>
      <c r="DT22" s="3">
        <f t="shared" si="60"/>
        <v>0</v>
      </c>
      <c r="DU22" s="3">
        <f t="shared" si="61"/>
        <v>-8</v>
      </c>
      <c r="DV22" s="3">
        <f t="shared" si="62"/>
        <v>10551</v>
      </c>
      <c r="DW22" s="3">
        <f t="shared" si="23"/>
        <v>83</v>
      </c>
      <c r="DX22" s="3" t="e">
        <f t="shared" ca="1" si="24"/>
        <v>#NUM!</v>
      </c>
      <c r="DY22" s="3" t="e">
        <f t="shared" ca="1" si="25"/>
        <v>#NUM!</v>
      </c>
      <c r="DZ22" s="3">
        <f t="shared" ca="1" si="26"/>
        <v>5.5038926069239498E-2</v>
      </c>
      <c r="EA22" s="3">
        <f t="shared" ca="1" si="27"/>
        <v>-2.5745169274212013E-2</v>
      </c>
      <c r="EB22" s="3">
        <f t="shared" ca="1" si="28"/>
        <v>5.1084075327091936E-2</v>
      </c>
      <c r="EC22" s="3">
        <f t="shared" ca="1" si="29"/>
        <v>-3.4839513176603464E-2</v>
      </c>
      <c r="ED22" s="63">
        <f t="shared" si="63"/>
        <v>10634</v>
      </c>
      <c r="EE22" s="59">
        <f t="shared" si="64"/>
        <v>0.25</v>
      </c>
      <c r="EF22" s="59">
        <f t="shared" si="30"/>
        <v>1.6016999999999999</v>
      </c>
      <c r="EG22" s="59">
        <f t="shared" si="31"/>
        <v>0.15690000000000001</v>
      </c>
      <c r="EH22" s="59">
        <f t="shared" si="32"/>
        <v>0.33600000000000002</v>
      </c>
      <c r="EI22" s="59">
        <f t="shared" si="33"/>
        <v>0.1691</v>
      </c>
      <c r="EJ22" s="59">
        <f t="shared" si="34"/>
        <v>0.2482</v>
      </c>
      <c r="EL22" s="3" t="str">
        <f>RTD("tos.rtd",,EL$2,"."&amp;$A$2&amp;$AS$1&amp;"C"&amp;$A22)</f>
        <v>--</v>
      </c>
      <c r="EM22" s="3" t="str">
        <f>RTD("tos.rtd",,EM$2,"."&amp;$A$2&amp;$AS$1&amp;"P"&amp;$A22)</f>
        <v>160.17%</v>
      </c>
      <c r="EN22" s="3" t="str">
        <f>RTD("tos.rtd",,EN$2,"."&amp;$A$2&amp;$AU$1&amp;"C"&amp;$A22)</f>
        <v>15.69%</v>
      </c>
      <c r="EO22" s="3" t="str">
        <f>RTD("tos.rtd",,EO$2,"."&amp;$A$2&amp;$AU$1&amp;"P"&amp;$A22)</f>
        <v>33.60%</v>
      </c>
      <c r="EP22" s="3" t="str">
        <f>RTD("tos.rtd",,EP$2,"."&amp;$A$2&amp;$AW$1&amp;"C"&amp;$A22)</f>
        <v>16.91%</v>
      </c>
      <c r="EQ22" s="3" t="str">
        <f>RTD("tos.rtd",,EQ$2,"."&amp;$A$2&amp;$AW$1&amp;"P"&amp;$A22)</f>
        <v>24.82%</v>
      </c>
      <c r="ES22" s="63" t="str">
        <f t="shared" si="65"/>
        <v>564,10634.00</v>
      </c>
      <c r="ET22" s="63" t="str">
        <f t="shared" ca="1" si="66"/>
        <v>564,00.00</v>
      </c>
      <c r="EU22" s="67">
        <v>562.96</v>
      </c>
      <c r="EV22" s="67" t="s">
        <v>196</v>
      </c>
      <c r="EW22" s="67">
        <v>485.49</v>
      </c>
      <c r="EX22" s="67" t="s">
        <v>197</v>
      </c>
      <c r="EY22" s="67">
        <v>5643.25</v>
      </c>
      <c r="EZ22" s="67" t="s">
        <v>198</v>
      </c>
      <c r="FA22" s="67">
        <v>19943.25</v>
      </c>
      <c r="FB22" s="67" t="s">
        <v>199</v>
      </c>
      <c r="FC22" s="67" t="s">
        <v>200</v>
      </c>
      <c r="FD22" s="67" t="s">
        <v>201</v>
      </c>
      <c r="FE22" s="67" t="s">
        <v>202</v>
      </c>
      <c r="FF22" s="67" t="s">
        <v>203</v>
      </c>
    </row>
    <row r="23" spans="1:162" s="63" customFormat="1" ht="13.5" thickBot="1" x14ac:dyDescent="0.25">
      <c r="A23" s="2">
        <f t="shared" si="67"/>
        <v>563</v>
      </c>
      <c r="B23" s="3">
        <f t="shared" ref="B23:B29" si="140">+IF($A$1="ABS",AS23-AT23,AS23+AT23)</f>
        <v>6694</v>
      </c>
      <c r="C23" s="3">
        <f t="shared" ref="C23:C29" si="141">+IF($A$1="ABS",AU23-AV23,AU23+AV23)</f>
        <v>4457</v>
      </c>
      <c r="D23" s="3">
        <f t="shared" ref="D23:D29" si="142">+IF($A$1="ABS",AW23-AX23,AW23+AX23)</f>
        <v>7190</v>
      </c>
      <c r="E23" s="3">
        <f t="shared" ref="E23:E29" si="143">SUM(B23:D23)</f>
        <v>18341</v>
      </c>
      <c r="F23" s="4">
        <f t="shared" ref="F23:F29" si="144">+$F$3/$A$3*A23</f>
        <v>5666.6135062817848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>
        <v>-13158</v>
      </c>
      <c r="AN23" s="1">
        <v>-6456</v>
      </c>
      <c r="AO23" s="1">
        <v>563</v>
      </c>
      <c r="AP23" s="1">
        <v>204913</v>
      </c>
      <c r="AQ23" s="1">
        <v>-21577</v>
      </c>
      <c r="AR23" s="1"/>
      <c r="AS23" s="6">
        <f>IF(RTD("tos.rtd",,AS$2,"."&amp;$A$2&amp;$AS$1&amp;"C"&amp;$A23)="N/A",0,RTD("tos.rtd",,AS$2,"."&amp;$A$2&amp;$AS$1&amp;"C"&amp;$A23))</f>
        <v>4951</v>
      </c>
      <c r="AT23" s="7">
        <f>-IF(RTD("tos.rtd",,AT$2,"."&amp;$A$2&amp;$AS$1&amp;"P"&amp;$A23)="N/A",0,RTD("tos.rtd",,AT$2,"."&amp;$A$2&amp;$AS$1&amp;"P"&amp;$A23))</f>
        <v>-1743</v>
      </c>
      <c r="AU23" s="6">
        <f>IF(RTD("tos.rtd",,AU$2,"."&amp;$A$2&amp;$AU$1&amp;"C"&amp;$A23)="N/A",0,RTD("tos.rtd",,AU$2,"."&amp;$A$2&amp;$AU$1&amp;"C"&amp;$A23))</f>
        <v>2108</v>
      </c>
      <c r="AV23" s="7">
        <f>-IF(RTD("tos.rtd",,AV$2,"."&amp;$A$2&amp;$AU$1&amp;"P"&amp;$A23)="N/A",0,RTD("tos.rtd",,AV$2,"."&amp;$A$2&amp;$AU$1&amp;"P"&amp;$A23))</f>
        <v>-2349</v>
      </c>
      <c r="AW23" s="6">
        <f>IF(RTD("tos.rtd",,AW$2,"."&amp;$A$2&amp;$AW$1&amp;"C"&amp;$A23)="N/A",0,RTD("tos.rtd",,AW$2,"."&amp;$A$2&amp;$AW$1&amp;"C"&amp;$A23))</f>
        <v>4687</v>
      </c>
      <c r="AX23" s="7">
        <f>-IF(RTD("tos.rtd",,AX$2,"."&amp;$A$2&amp;$AW$1&amp;"P"&amp;$A23)="N/A",0,RTD("tos.rtd",,AX$2,"."&amp;$A$2&amp;$AW$1&amp;"P"&amp;$A23))</f>
        <v>-2503</v>
      </c>
      <c r="AY23" s="1">
        <f t="shared" ref="AY23:AY29" si="145">SUM(AS23:AX23)</f>
        <v>5151</v>
      </c>
      <c r="AZ23" s="8">
        <f t="shared" si="35"/>
        <v>563</v>
      </c>
      <c r="BA23" s="6">
        <f>IF(RTD("tos.rtd",,BA$2,"."&amp;$A$2&amp;$AS$1&amp;"C"&amp;$A23)="N/A",0,RTD("tos.rtd",,BA$2,"."&amp;$A$2&amp;$AS$1&amp;"C"&amp;$A23))</f>
        <v>205106</v>
      </c>
      <c r="BB23" s="7">
        <f>-IF(RTD("tos.rtd",,BB$2,"."&amp;$A$2&amp;$AS$1&amp;"P"&amp;$A23)="N/A",0,RTD("tos.rtd",,BB$2,"."&amp;$A$2&amp;$AS$1&amp;"P"&amp;$A23))</f>
        <v>-21581</v>
      </c>
      <c r="BC23" s="6">
        <f>IF(RTD("tos.rtd",,BC$2,"."&amp;$A$2&amp;$AU$1&amp;"C"&amp;$A23)="N/A",0,RTD("tos.rtd",,BC$2,"."&amp;$A$2&amp;$AU$1&amp;"C"&amp;$A23))</f>
        <v>10208</v>
      </c>
      <c r="BD23" s="7">
        <f>-IF(RTD("tos.rtd",,BD$2,"."&amp;$A$2&amp;$AU$1&amp;"P"&amp;$A23)="N/A",0,RTD("tos.rtd",,BD$2,"."&amp;$A$2&amp;$AU$1&amp;"P"&amp;$A23))</f>
        <v>-2336</v>
      </c>
      <c r="BE23" s="6">
        <f>IF(RTD("tos.rtd",,BE$2,"."&amp;$A$2&amp;$AW$1&amp;"C"&amp;$A23)="N/A",0,RTD("tos.rtd",,BE$2,"."&amp;$A$2&amp;$AW$1&amp;"C"&amp;$A23))</f>
        <v>2235</v>
      </c>
      <c r="BF23" s="83">
        <f>-IF(RTD("tos.rtd",,BF$2,"."&amp;$A$2&amp;$AW$1&amp;"P"&amp;$A23)="N/A",0,RTD("tos.rtd",,BF$2,"."&amp;$A$2&amp;$AW$1&amp;"P"&amp;$A23))</f>
        <v>-1312</v>
      </c>
      <c r="BG23" s="32">
        <f ca="1">+Hoja2!Y24</f>
        <v>-3477</v>
      </c>
      <c r="BH23" s="7">
        <f t="shared" ca="1" si="36"/>
        <v>188843</v>
      </c>
      <c r="BI23" s="8" t="str">
        <f t="shared" ref="BI23" ca="1" si="146">IF(AND(BH23&lt;0,BH22&gt;0), "Cruce -", IF(AND(BH23&gt;0,BH22&lt;0),"Cruce +", ""))</f>
        <v/>
      </c>
      <c r="BJ23" s="3" t="e">
        <f ca="1">IF($BP$1=1,DX23,IF(RTD("tos.rtd",,BJ$2,"."&amp;$A$2&amp;$AS$1&amp;"C"&amp;$A23)="N/A",0,RTD("tos.rtd",,BJ$2,"."&amp;$A$2&amp;$AS$1&amp;"C"&amp;$A23)))</f>
        <v>#NUM!</v>
      </c>
      <c r="BK23" s="3" t="e">
        <f ca="1">IF($BP$1=1,DY23,-IF(RTD("tos.rtd",,BK$2,"."&amp;$A$2&amp;$AS$1&amp;"P"&amp;$A23)="N/A",0,RTD("tos.rtd",,BK$2,"."&amp;$A$2&amp;$AS$1&amp;"P"&amp;$A23)))</f>
        <v>#NUM!</v>
      </c>
      <c r="BL23" s="3">
        <f ca="1">IF($BP$1=1,DZ23,IF(RTD("tos.rtd",,BL$2,"."&amp;$A$2&amp;$AU$1&amp;"C"&amp;$A23)="N/A",0,RTD("tos.rtd",,BL$2,"."&amp;$A$2&amp;$AU$1&amp;"C"&amp;$A23)))</f>
        <v>5.6077697586954196E-2</v>
      </c>
      <c r="BM23" s="3">
        <f ca="1">IF($BP$1=1,EA23,-IF(RTD("tos.rtd",,BM$2,"."&amp;$A$2&amp;$AU$1&amp;"P"&amp;$A23)="N/A",0,RTD("tos.rtd",,BM$2,"."&amp;$A$2&amp;$AU$1&amp;"P"&amp;$A23)))</f>
        <v>-2.5906574646345826E-2</v>
      </c>
      <c r="BN23" s="3">
        <f ca="1">IF($BP$1=1,EB23,IF(RTD("tos.rtd",,BN$2,"."&amp;$A$2&amp;$AW$1&amp;"C"&amp;$A23)="N/A",0,RTD("tos.rtd",,BN$2,"."&amp;$A$2&amp;$AW$1&amp;"C"&amp;$A23)))</f>
        <v>5.0070147300248682E-2</v>
      </c>
      <c r="BO23" s="3">
        <f ca="1">IF($BP$1=1,EC23,-IF(RTD("tos.rtd",,BO$2,"."&amp;$A$2&amp;$AW$1&amp;"P"&amp;$A23)="N/A",0,RTD("tos.rtd",,BO$2,"."&amp;$A$2&amp;$AW$1&amp;"P"&amp;$A23)))</f>
        <v>-3.4491343478740145E-2</v>
      </c>
      <c r="BQ23" s="3" t="e">
        <f t="shared" ref="BQ23:BQ29" ca="1" si="147">+$A$3*$A$3*AS23*BJ23-$A$3*$A$3*AT23*BK23</f>
        <v>#NUM!</v>
      </c>
      <c r="BR23" s="3" t="e">
        <f t="shared" ca="1" si="70"/>
        <v>#NUM!</v>
      </c>
      <c r="BS23" s="3">
        <f t="shared" ref="BS23:BS29" ca="1" si="148">+$A$3*$A$3*AU23*BL23-$A$3*$A$3*AV23*BM23</f>
        <v>18266466.370263603</v>
      </c>
      <c r="BT23" s="3" t="str">
        <f t="shared" ca="1" si="70"/>
        <v/>
      </c>
      <c r="BU23" s="3">
        <f t="shared" ref="BU23:BU29" ca="1" si="149">+$A$3*$A$3*AW23*BN23-$A$3*$A$3*AX23*BO23</f>
        <v>47243807.488494441</v>
      </c>
      <c r="BV23" s="3" t="str">
        <f t="shared" ref="BV23" ca="1" si="150">IF(AND(BU23&lt;0,BU22&gt;0), "Cruce -", IF(AND(BU23&gt;0,BU22&lt;0),"Cruce +", ""))</f>
        <v/>
      </c>
      <c r="BX23" s="3" t="e">
        <f t="shared" ref="BX23:BX29" ca="1" si="151">+$A$3*$A$3*BA23*BJ23-$A$3*$A$3*BB23*BK23</f>
        <v>#NUM!</v>
      </c>
      <c r="BY23" s="3" t="e">
        <f t="shared" ca="1" si="72"/>
        <v>#NUM!</v>
      </c>
      <c r="BZ23" s="3">
        <f t="shared" ref="BZ23:BZ29" ca="1" si="152">+$A$3*$A$3*BC23*BL23-$A$3*$A$3*BD23*BM23</f>
        <v>163031393.14406583</v>
      </c>
      <c r="CA23" s="3" t="str">
        <f t="shared" ca="1" si="73"/>
        <v/>
      </c>
      <c r="CB23" s="3">
        <f t="shared" ref="CB23:CB29" ca="1" si="153">+$A$3*$A$3*BE23*BN23-$A$3*$A$3*BF23*BO23</f>
        <v>21227232.82142362</v>
      </c>
      <c r="CC23" s="3" t="str">
        <f t="shared" ca="1" si="74"/>
        <v/>
      </c>
      <c r="CD23" s="3">
        <f>IF(RTD("tos.rtd",,CD$2,"."&amp;$A$2&amp;$AS$1&amp;"C"&amp;$A23)="N/A",0,RTD("tos.rtd",,CD$2,"."&amp;$A$2&amp;$AS$1&amp;"C"&amp;$A23))</f>
        <v>1</v>
      </c>
      <c r="CE23" s="3">
        <f>-IF(RTD("tos.rtd",,CE$2,"."&amp;$A$2&amp;$AS$1&amp;"P"&amp;$A23)="N/A",0,RTD("tos.rtd",,CE$2,"."&amp;$A$2&amp;$AS$1&amp;"P"&amp;$A23))</f>
        <v>0.4</v>
      </c>
      <c r="CF23" s="3">
        <f>IF(RTD("tos.rtd",,CF$2,"."&amp;$A$2&amp;$AU$1&amp;"C"&amp;$A23)="N/A",0,RTD("tos.rtd",,CF$2,"."&amp;$A$2&amp;$AU$1&amp;"C"&amp;$A23))</f>
        <v>0.6</v>
      </c>
      <c r="CG23" s="3">
        <f>-IF(RTD("tos.rtd",,CG$2,"."&amp;$A$2&amp;$AU$1&amp;"P"&amp;$A23)="N/A",0,RTD("tos.rtd",,CG$2,"."&amp;$A$2&amp;$AU$1&amp;"P"&amp;$A23))</f>
        <v>0.45</v>
      </c>
      <c r="CH23" s="3">
        <f>IF(RTD("tos.rtd",,CH$2,"."&amp;$A$2&amp;$AW$1&amp;"C"&amp;$A23)="N/A",0,RTD("tos.rtd",,CH$2,"."&amp;$A$2&amp;$AW$1&amp;"C"&amp;$A23))</f>
        <v>0.55000000000000004</v>
      </c>
      <c r="CI23" s="3">
        <f>-IF(RTD("tos.rtd",,CI$2,"."&amp;$A$2&amp;$AW$1&amp;"P"&amp;$A23)="N/A",0,RTD("tos.rtd",,CI$2,"."&amp;$A$2&amp;$AW$1&amp;"P"&amp;$A23))</f>
        <v>0.46</v>
      </c>
      <c r="CK23" s="3">
        <f t="shared" ref="CK23:CK29" si="154">+AS23*CD23*100+AT23*CE23*100</f>
        <v>425380</v>
      </c>
      <c r="CL23" s="3"/>
      <c r="CM23" s="3">
        <f t="shared" ref="CM23:CM29" si="155">+AU23*CF23*100+AV23*CG23*100</f>
        <v>20775</v>
      </c>
      <c r="CN23" s="3"/>
      <c r="CO23" s="3">
        <f t="shared" ref="CO23:CO29" si="156">+AW23*CH23*100+AX23*CI23*100</f>
        <v>142647</v>
      </c>
      <c r="CP23" s="3">
        <f t="shared" ref="CP23:CP29" si="157">+CK23+CM23+CO23</f>
        <v>588802</v>
      </c>
      <c r="CQ23" s="3">
        <f t="shared" ref="CQ23:CQ29" si="158">+BA23+BB23</f>
        <v>183525</v>
      </c>
      <c r="CR23" s="3"/>
      <c r="CS23" s="3">
        <f t="shared" ref="CS23:CS29" si="159">+BC23+BD23</f>
        <v>7872</v>
      </c>
      <c r="CT23" s="3"/>
      <c r="CU23" s="3">
        <f t="shared" ref="CU23:CU29" si="160">+BE23+BF23</f>
        <v>923</v>
      </c>
      <c r="CV23" s="3">
        <f t="shared" ref="CV23:CV29" si="161">+CQ23+CS23+CU23</f>
        <v>192320</v>
      </c>
      <c r="CW23" s="3" t="e">
        <f t="shared" ref="CW23:CW29" ca="1" si="162">+BQ23+BS23+BU23</f>
        <v>#NUM!</v>
      </c>
      <c r="CX23" s="85" t="e">
        <f t="shared" ca="1" si="75"/>
        <v>#NUM!</v>
      </c>
      <c r="CY23" s="3" t="e">
        <f t="shared" ref="CY23:CY29" ca="1" si="163">+BX23+BZ23+CB23</f>
        <v>#NUM!</v>
      </c>
      <c r="CZ23" s="85" t="e">
        <f t="shared" ca="1" si="76"/>
        <v>#NUM!</v>
      </c>
      <c r="DA23" s="3">
        <f>IF(RTD("tos.rtd",,DA$2,"."&amp;$A$2&amp;$AS$1&amp;"C"&amp;$A23)="N/A",0,RTD("tos.rtd",,DA$2,"."&amp;$A$2&amp;$AS$1&amp;"C"&amp;$A23))</f>
        <v>0.01</v>
      </c>
      <c r="DB23" s="3">
        <f>IF(RTD("tos.rtd",,DB$2,"."&amp;$A$2&amp;$AS$1&amp;"P"&amp;$A23)="N/A",0,RTD("tos.rtd",,DB$2,"."&amp;$A$2&amp;$AS$1&amp;"P"&amp;$A23))</f>
        <v>1.71</v>
      </c>
      <c r="DC23" s="3">
        <f>IF(RTD("tos.rtd",,DC$2,"."&amp;$A$2&amp;$AS$1&amp;"C"&amp;$A23)="N/A",0,RTD("tos.rtd",,DC$2,"."&amp;$A$2&amp;$AS$1&amp;"C"&amp;$A23))</f>
        <v>0.02</v>
      </c>
      <c r="DD23" s="3">
        <f>IF(RTD("tos.rtd",,DD$2,"."&amp;$A$2&amp;$AS$1&amp;"P"&amp;$A23)="N/A",0,RTD("tos.rtd",,DD$2,"."&amp;$A$2&amp;$AS$1&amp;"P"&amp;$A23))</f>
        <v>1.64</v>
      </c>
      <c r="DE23" s="3">
        <f>IF(RTD("tos.rtd",,DE$2,"."&amp;$A$2&amp;$AS$1&amp;"C"&amp;$A23)="N/A",0,RTD("tos.rtd",,DE$2,"."&amp;$A$2&amp;$AS$1&amp;"C"&amp;$A23))</f>
        <v>0.01</v>
      </c>
      <c r="DF23" s="3">
        <f>IF(RTD("tos.rtd",,DF$2,"."&amp;$A$2&amp;$AS$1&amp;"P"&amp;$A23)="N/A",0,RTD("tos.rtd",,DF$2,"."&amp;$A$2&amp;$AS$1&amp;"P"&amp;$A23))</f>
        <v>1.5</v>
      </c>
      <c r="DG23" s="86">
        <f t="shared" si="48"/>
        <v>-1.3300000000000409</v>
      </c>
      <c r="DH23" s="3">
        <f t="shared" ref="DH23:DH29" si="164">((DA23-DE23)/(DC23-DE23))*(BA23-AP23)</f>
        <v>0</v>
      </c>
      <c r="DI23" s="3">
        <f t="shared" ref="DI23:DI29" si="165">((DB23-DF23)/(DD23-DF23))*(BB23-AQ23)</f>
        <v>-6.0000000000000036</v>
      </c>
      <c r="DJ23" s="3">
        <f t="shared" ref="DJ23:DJ29" si="166">IF(DA23&gt;=(DE23+(DC23-DE23)*0.6),(BA23-AP23),IF(DA23&lt;=(DE23+(DC23-DE23)*0.4),-(BA23-AP23),0))</f>
        <v>-193</v>
      </c>
      <c r="DK23" s="3">
        <f t="shared" si="51"/>
        <v>-4</v>
      </c>
      <c r="DL23" s="3">
        <f t="shared" si="52"/>
        <v>-6.0000000000000036</v>
      </c>
      <c r="DM23" s="3">
        <f t="shared" si="53"/>
        <v>-197</v>
      </c>
      <c r="DN23" s="63" t="str">
        <f t="shared" si="54"/>
        <v>SELL</v>
      </c>
      <c r="DO23" s="63" t="str">
        <f t="shared" si="55"/>
        <v>BUY</v>
      </c>
      <c r="DP23" s="3">
        <f t="shared" si="56"/>
        <v>-10.260000000000005</v>
      </c>
      <c r="DQ23" s="3">
        <f t="shared" si="57"/>
        <v>-8.77</v>
      </c>
      <c r="DR23" s="3" t="e">
        <f t="shared" ca="1" si="58"/>
        <v>#NUM!</v>
      </c>
      <c r="DS23" s="3">
        <f t="shared" si="59"/>
        <v>-194.6</v>
      </c>
      <c r="DT23" s="3">
        <f t="shared" si="60"/>
        <v>193</v>
      </c>
      <c r="DU23" s="3">
        <f t="shared" si="61"/>
        <v>-4</v>
      </c>
      <c r="DV23" s="3">
        <f t="shared" si="62"/>
        <v>-13351</v>
      </c>
      <c r="DW23" s="3">
        <f t="shared" si="23"/>
        <v>-6460</v>
      </c>
      <c r="DX23" s="3" t="e">
        <f t="shared" ca="1" si="24"/>
        <v>#NUM!</v>
      </c>
      <c r="DY23" s="3" t="e">
        <f t="shared" ca="1" si="25"/>
        <v>#NUM!</v>
      </c>
      <c r="DZ23" s="3">
        <f t="shared" ca="1" si="26"/>
        <v>5.6077697586954196E-2</v>
      </c>
      <c r="EA23" s="3">
        <f t="shared" ca="1" si="27"/>
        <v>-2.5906574646345826E-2</v>
      </c>
      <c r="EB23" s="3">
        <f t="shared" ca="1" si="28"/>
        <v>5.0070147300248682E-2</v>
      </c>
      <c r="EC23" s="3">
        <f t="shared" ca="1" si="29"/>
        <v>-3.4491343478740145E-2</v>
      </c>
      <c r="ED23" s="63">
        <f t="shared" si="63"/>
        <v>-19811</v>
      </c>
      <c r="EE23" s="59">
        <f t="shared" ref="EE23:EE29" si="167">IFERROR(VALUE(IF(OR(EL23="--",EL23="0.00%"),$EE$1,EL23)),$EE$1)</f>
        <v>0.25</v>
      </c>
      <c r="EF23" s="59">
        <f t="shared" ref="EF23:EF29" si="168">IFERROR(VALUE(IF(OR(EM23="--",EM23="0.00%"),$EE$1,EM23)),$EE$1)</f>
        <v>1.2785</v>
      </c>
      <c r="EG23" s="59">
        <f t="shared" ref="EG23:EG29" si="169">IFERROR(VALUE(IF(OR(EN23="--",EN23="0.00%"),$EE$1,EN23)),$EE$1)</f>
        <v>0.1507</v>
      </c>
      <c r="EH23" s="59">
        <f t="shared" ref="EH23:EH29" si="170">IFERROR(VALUE(IF(OR(EO23="--",EO23="0.00%"),$EE$1,EO23)),$EE$1)</f>
        <v>0.3322</v>
      </c>
      <c r="EI23" s="59">
        <f t="shared" ref="EI23:EI29" si="171">IFERROR(VALUE(IF(OR(EP23="--",EP23="0.00%"),$EE$1,EP23)),$EE$1)</f>
        <v>0.1696</v>
      </c>
      <c r="EJ23" s="59">
        <f t="shared" ref="EJ23:EJ29" si="172">IFERROR(VALUE(IF(OR(EQ23="--",EQ23="0.00%"),$EE$1,EQ23)),$EE$1)</f>
        <v>0.24859999999999999</v>
      </c>
      <c r="EL23" s="3" t="str">
        <f>RTD("tos.rtd",,EL$2,"."&amp;$A$2&amp;$AS$1&amp;"C"&amp;$A23)</f>
        <v>--</v>
      </c>
      <c r="EM23" s="3" t="str">
        <f>RTD("tos.rtd",,EM$2,"."&amp;$A$2&amp;$AS$1&amp;"P"&amp;$A23)</f>
        <v>127.85%</v>
      </c>
      <c r="EN23" s="3" t="str">
        <f>RTD("tos.rtd",,EN$2,"."&amp;$A$2&amp;$AU$1&amp;"C"&amp;$A23)</f>
        <v>15.07%</v>
      </c>
      <c r="EO23" s="3" t="str">
        <f>RTD("tos.rtd",,EO$2,"."&amp;$A$2&amp;$AU$1&amp;"P"&amp;$A23)</f>
        <v>33.22%</v>
      </c>
      <c r="EP23" s="3" t="str">
        <f>RTD("tos.rtd",,EP$2,"."&amp;$A$2&amp;$AW$1&amp;"C"&amp;$A23)</f>
        <v>16.96%</v>
      </c>
      <c r="EQ23" s="3" t="str">
        <f>RTD("tos.rtd",,EQ$2,"."&amp;$A$2&amp;$AW$1&amp;"P"&amp;$A23)</f>
        <v>24.86%</v>
      </c>
      <c r="ES23" s="63" t="str">
        <f t="shared" si="65"/>
        <v>563,-19811.00</v>
      </c>
      <c r="ET23" s="63" t="str">
        <f t="shared" ca="1" si="66"/>
        <v>563,00.00</v>
      </c>
      <c r="EU23" s="67">
        <v>562.94000000000005</v>
      </c>
      <c r="EV23" s="67" t="s">
        <v>204</v>
      </c>
      <c r="EW23" s="67">
        <v>485.46</v>
      </c>
      <c r="EX23" s="67" t="s">
        <v>205</v>
      </c>
      <c r="EY23" s="67">
        <v>5643</v>
      </c>
      <c r="EZ23" s="67" t="s">
        <v>206</v>
      </c>
      <c r="FA23" s="67">
        <v>19941.75</v>
      </c>
      <c r="FB23" s="67" t="s">
        <v>207</v>
      </c>
      <c r="FC23" s="67" t="s">
        <v>208</v>
      </c>
      <c r="FD23" s="67" t="s">
        <v>209</v>
      </c>
      <c r="FE23" s="67" t="s">
        <v>210</v>
      </c>
      <c r="FF23" s="67" t="s">
        <v>211</v>
      </c>
    </row>
    <row r="24" spans="1:162" s="63" customFormat="1" ht="13.5" thickBot="1" x14ac:dyDescent="0.25">
      <c r="A24" s="2">
        <f t="shared" si="67"/>
        <v>562</v>
      </c>
      <c r="B24" s="3">
        <f t="shared" si="140"/>
        <v>9360</v>
      </c>
      <c r="C24" s="3">
        <f t="shared" si="141"/>
        <v>5147</v>
      </c>
      <c r="D24" s="3">
        <f t="shared" si="142"/>
        <v>7861</v>
      </c>
      <c r="E24" s="3">
        <f t="shared" si="143"/>
        <v>22368</v>
      </c>
      <c r="F24" s="4">
        <f t="shared" si="144"/>
        <v>5656.5484734109468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>
        <v>-44951</v>
      </c>
      <c r="AN24" s="1">
        <v>-1366</v>
      </c>
      <c r="AO24" s="1">
        <v>562</v>
      </c>
      <c r="AP24" s="1">
        <v>301170</v>
      </c>
      <c r="AQ24" s="1">
        <v>-70557</v>
      </c>
      <c r="AR24" s="1"/>
      <c r="AS24" s="6">
        <f>IF(RTD("tos.rtd",,AS$2,"."&amp;$A$2&amp;$AS$1&amp;"C"&amp;$A24)="N/A",0,RTD("tos.rtd",,AS$2,"."&amp;$A$2&amp;$AS$1&amp;"C"&amp;$A24))</f>
        <v>6080</v>
      </c>
      <c r="AT24" s="7">
        <f>-IF(RTD("tos.rtd",,AT$2,"."&amp;$A$2&amp;$AS$1&amp;"P"&amp;$A24)="N/A",0,RTD("tos.rtd",,AT$2,"."&amp;$A$2&amp;$AS$1&amp;"P"&amp;$A24))</f>
        <v>-3280</v>
      </c>
      <c r="AU24" s="6">
        <f>IF(RTD("tos.rtd",,AU$2,"."&amp;$A$2&amp;$AU$1&amp;"C"&amp;$A24)="N/A",0,RTD("tos.rtd",,AU$2,"."&amp;$A$2&amp;$AU$1&amp;"C"&amp;$A24))</f>
        <v>3126</v>
      </c>
      <c r="AV24" s="7">
        <f>-IF(RTD("tos.rtd",,AV$2,"."&amp;$A$2&amp;$AU$1&amp;"P"&amp;$A24)="N/A",0,RTD("tos.rtd",,AV$2,"."&amp;$A$2&amp;$AU$1&amp;"P"&amp;$A24))</f>
        <v>-2021</v>
      </c>
      <c r="AW24" s="6">
        <f>IF(RTD("tos.rtd",,AW$2,"."&amp;$A$2&amp;$AW$1&amp;"C"&amp;$A24)="N/A",0,RTD("tos.rtd",,AW$2,"."&amp;$A$2&amp;$AW$1&amp;"C"&amp;$A24))</f>
        <v>4967</v>
      </c>
      <c r="AX24" s="7">
        <f>-IF(RTD("tos.rtd",,AX$2,"."&amp;$A$2&amp;$AW$1&amp;"P"&amp;$A24)="N/A",0,RTD("tos.rtd",,AX$2,"."&amp;$A$2&amp;$AW$1&amp;"P"&amp;$A24))</f>
        <v>-2894</v>
      </c>
      <c r="AY24" s="1">
        <f t="shared" si="145"/>
        <v>5978</v>
      </c>
      <c r="AZ24" s="8">
        <f t="shared" si="35"/>
        <v>562</v>
      </c>
      <c r="BA24" s="6">
        <f>IF(RTD("tos.rtd",,BA$2,"."&amp;$A$2&amp;$AS$1&amp;"C"&amp;$A24)="N/A",0,RTD("tos.rtd",,BA$2,"."&amp;$A$2&amp;$AS$1&amp;"C"&amp;$A24))</f>
        <v>302261</v>
      </c>
      <c r="BB24" s="7">
        <f>-IF(RTD("tos.rtd",,BB$2,"."&amp;$A$2&amp;$AS$1&amp;"P"&amp;$A24)="N/A",0,RTD("tos.rtd",,BB$2,"."&amp;$A$2&amp;$AS$1&amp;"P"&amp;$A24))</f>
        <v>-70561</v>
      </c>
      <c r="BC24" s="6">
        <f>IF(RTD("tos.rtd",,BC$2,"."&amp;$A$2&amp;$AU$1&amp;"C"&amp;$A24)="N/A",0,RTD("tos.rtd",,BC$2,"."&amp;$A$2&amp;$AU$1&amp;"C"&amp;$A24))</f>
        <v>19567</v>
      </c>
      <c r="BD24" s="7">
        <f>-IF(RTD("tos.rtd",,BD$2,"."&amp;$A$2&amp;$AU$1&amp;"P"&amp;$A24)="N/A",0,RTD("tos.rtd",,BD$2,"."&amp;$A$2&amp;$AU$1&amp;"P"&amp;$A24))</f>
        <v>-4619</v>
      </c>
      <c r="BE24" s="6">
        <f>IF(RTD("tos.rtd",,BE$2,"."&amp;$A$2&amp;$AW$1&amp;"C"&amp;$A24)="N/A",0,RTD("tos.rtd",,BE$2,"."&amp;$A$2&amp;$AW$1&amp;"C"&amp;$A24))</f>
        <v>9448</v>
      </c>
      <c r="BF24" s="83">
        <f>-IF(RTD("tos.rtd",,BF$2,"."&amp;$A$2&amp;$AW$1&amp;"P"&amp;$A24)="N/A",0,RTD("tos.rtd",,BF$2,"."&amp;$A$2&amp;$AW$1&amp;"P"&amp;$A24))</f>
        <v>-1450</v>
      </c>
      <c r="BG24" s="32">
        <f ca="1">+Hoja2!Y25</f>
        <v>975</v>
      </c>
      <c r="BH24" s="7">
        <f t="shared" ca="1" si="36"/>
        <v>255621</v>
      </c>
      <c r="BI24" s="8" t="str">
        <f t="shared" ref="BI24" ca="1" si="173">IF(AND(BH24&lt;0,BH23&gt;0), "Cruce -", IF(AND(BH24&gt;0,BH23&lt;0),"Cruce +", ""))</f>
        <v/>
      </c>
      <c r="BJ24" s="3" t="e">
        <f ca="1">IF($BP$1=1,DX24,IF(RTD("tos.rtd",,BJ$2,"."&amp;$A$2&amp;$AS$1&amp;"C"&amp;$A24)="N/A",0,RTD("tos.rtd",,BJ$2,"."&amp;$A$2&amp;$AS$1&amp;"C"&amp;$A24)))</f>
        <v>#NUM!</v>
      </c>
      <c r="BK24" s="3" t="e">
        <f ca="1">IF($BP$1=1,DY24,-IF(RTD("tos.rtd",,BK$2,"."&amp;$A$2&amp;$AS$1&amp;"P"&amp;$A24)="N/A",0,RTD("tos.rtd",,BK$2,"."&amp;$A$2&amp;$AS$1&amp;"P"&amp;$A24)))</f>
        <v>#NUM!</v>
      </c>
      <c r="BL24" s="3">
        <f ca="1">IF($BP$1=1,DZ24,IF(RTD("tos.rtd",,BL$2,"."&amp;$A$2&amp;$AU$1&amp;"C"&amp;$A24)="N/A",0,RTD("tos.rtd",,BL$2,"."&amp;$A$2&amp;$AU$1&amp;"C"&amp;$A24)))</f>
        <v>5.6313111471190912E-2</v>
      </c>
      <c r="BM24" s="3">
        <f ca="1">IF($BP$1=1,EA24,-IF(RTD("tos.rtd",,BM$2,"."&amp;$A$2&amp;$AU$1&amp;"P"&amp;$A24)="N/A",0,RTD("tos.rtd",,BM$2,"."&amp;$A$2&amp;$AU$1&amp;"P"&amp;$A24)))</f>
        <v>-2.5891382832003228E-2</v>
      </c>
      <c r="BN24" s="3">
        <f ca="1">IF($BP$1=1,EB24,IF(RTD("tos.rtd",,BN$2,"."&amp;$A$2&amp;$AW$1&amp;"C"&amp;$A24)="N/A",0,RTD("tos.rtd",,BN$2,"."&amp;$A$2&amp;$AW$1&amp;"C"&amp;$A24)))</f>
        <v>4.8364102287586481E-2</v>
      </c>
      <c r="BO24" s="3">
        <f ca="1">IF($BP$1=1,EC24,-IF(RTD("tos.rtd",,BO$2,"."&amp;$A$2&amp;$AW$1&amp;"P"&amp;$A24)="N/A",0,RTD("tos.rtd",,BO$2,"."&amp;$A$2&amp;$AW$1&amp;"P"&amp;$A24)))</f>
        <v>-3.3836143922517235E-2</v>
      </c>
      <c r="BQ24" s="3" t="e">
        <f t="shared" ca="1" si="147"/>
        <v>#NUM!</v>
      </c>
      <c r="BR24" s="3" t="e">
        <f t="shared" ca="1" si="70"/>
        <v>#NUM!</v>
      </c>
      <c r="BS24" s="3">
        <f t="shared" ca="1" si="148"/>
        <v>39397178.605285674</v>
      </c>
      <c r="BT24" s="3" t="str">
        <f t="shared" ca="1" si="70"/>
        <v/>
      </c>
      <c r="BU24" s="3">
        <f t="shared" ca="1" si="149"/>
        <v>45318904.496043541</v>
      </c>
      <c r="BV24" s="3" t="str">
        <f t="shared" ref="BV24" ca="1" si="174">IF(AND(BU24&lt;0,BU23&gt;0), "Cruce -", IF(AND(BU24&gt;0,BU23&lt;0),"Cruce +", ""))</f>
        <v/>
      </c>
      <c r="BX24" s="3" t="e">
        <f t="shared" ca="1" si="151"/>
        <v>#NUM!</v>
      </c>
      <c r="BY24" s="3" t="e">
        <f t="shared" ca="1" si="72"/>
        <v>#NUM!</v>
      </c>
      <c r="BZ24" s="3">
        <f t="shared" ca="1" si="152"/>
        <v>312827113.5779165</v>
      </c>
      <c r="CA24" s="3" t="str">
        <f t="shared" ca="1" si="73"/>
        <v/>
      </c>
      <c r="CB24" s="3">
        <f t="shared" ca="1" si="153"/>
        <v>129897389.1653107</v>
      </c>
      <c r="CC24" s="3" t="str">
        <f t="shared" ca="1" si="74"/>
        <v/>
      </c>
      <c r="CD24" s="3">
        <f>IF(RTD("tos.rtd",,CD$2,"."&amp;$A$2&amp;$AS$1&amp;"C"&amp;$A24)="N/A",0,RTD("tos.rtd",,CD$2,"."&amp;$A$2&amp;$AS$1&amp;"C"&amp;$A24))</f>
        <v>1</v>
      </c>
      <c r="CE24" s="3">
        <f>-IF(RTD("tos.rtd",,CE$2,"."&amp;$A$2&amp;$AS$1&amp;"P"&amp;$A24)="N/A",0,RTD("tos.rtd",,CE$2,"."&amp;$A$2&amp;$AS$1&amp;"P"&amp;$A24))</f>
        <v>0.27</v>
      </c>
      <c r="CF24" s="3">
        <f>IF(RTD("tos.rtd",,CF$2,"."&amp;$A$2&amp;$AU$1&amp;"C"&amp;$A24)="N/A",0,RTD("tos.rtd",,CF$2,"."&amp;$A$2&amp;$AU$1&amp;"C"&amp;$A24))</f>
        <v>0.67</v>
      </c>
      <c r="CG24" s="3">
        <f>-IF(RTD("tos.rtd",,CG$2,"."&amp;$A$2&amp;$AU$1&amp;"P"&amp;$A24)="N/A",0,RTD("tos.rtd",,CG$2,"."&amp;$A$2&amp;$AU$1&amp;"P"&amp;$A24))</f>
        <v>0.42</v>
      </c>
      <c r="CH24" s="3">
        <f>IF(RTD("tos.rtd",,CH$2,"."&amp;$A$2&amp;$AW$1&amp;"C"&amp;$A24)="N/A",0,RTD("tos.rtd",,CH$2,"."&amp;$A$2&amp;$AW$1&amp;"C"&amp;$A24))</f>
        <v>0.57999999999999996</v>
      </c>
      <c r="CI24" s="3">
        <f>-IF(RTD("tos.rtd",,CI$2,"."&amp;$A$2&amp;$AW$1&amp;"P"&amp;$A24)="N/A",0,RTD("tos.rtd",,CI$2,"."&amp;$A$2&amp;$AW$1&amp;"P"&amp;$A24))</f>
        <v>0.44</v>
      </c>
      <c r="CK24" s="3">
        <f t="shared" si="154"/>
        <v>519440</v>
      </c>
      <c r="CL24" s="3"/>
      <c r="CM24" s="3">
        <f t="shared" si="155"/>
        <v>124560</v>
      </c>
      <c r="CN24" s="3"/>
      <c r="CO24" s="3">
        <f t="shared" si="156"/>
        <v>160749.99999999994</v>
      </c>
      <c r="CP24" s="3">
        <f t="shared" si="157"/>
        <v>804750</v>
      </c>
      <c r="CQ24" s="3">
        <f t="shared" si="158"/>
        <v>231700</v>
      </c>
      <c r="CR24" s="3"/>
      <c r="CS24" s="3">
        <f t="shared" si="159"/>
        <v>14948</v>
      </c>
      <c r="CT24" s="3"/>
      <c r="CU24" s="3">
        <f t="shared" si="160"/>
        <v>7998</v>
      </c>
      <c r="CV24" s="3">
        <f t="shared" si="161"/>
        <v>254646</v>
      </c>
      <c r="CW24" s="3" t="e">
        <f t="shared" ca="1" si="162"/>
        <v>#NUM!</v>
      </c>
      <c r="CX24" s="85" t="e">
        <f t="shared" ca="1" si="75"/>
        <v>#NUM!</v>
      </c>
      <c r="CY24" s="3" t="e">
        <f t="shared" ca="1" si="163"/>
        <v>#NUM!</v>
      </c>
      <c r="CZ24" s="85" t="e">
        <f t="shared" ca="1" si="76"/>
        <v>#NUM!</v>
      </c>
      <c r="DA24" s="3">
        <f>IF(RTD("tos.rtd",,DA$2,"."&amp;$A$2&amp;$AS$1&amp;"C"&amp;$A24)="N/A",0,RTD("tos.rtd",,DA$2,"."&amp;$A$2&amp;$AS$1&amp;"C"&amp;$A24))</f>
        <v>0.05</v>
      </c>
      <c r="DB24" s="3">
        <f>IF(RTD("tos.rtd",,DB$2,"."&amp;$A$2&amp;$AS$1&amp;"P"&amp;$A24)="N/A",0,RTD("tos.rtd",,DB$2,"."&amp;$A$2&amp;$AS$1&amp;"P"&amp;$A24))</f>
        <v>0.6</v>
      </c>
      <c r="DC24" s="3">
        <f>IF(RTD("tos.rtd",,DC$2,"."&amp;$A$2&amp;$AS$1&amp;"C"&amp;$A24)="N/A",0,RTD("tos.rtd",,DC$2,"."&amp;$A$2&amp;$AS$1&amp;"C"&amp;$A24))</f>
        <v>0.06</v>
      </c>
      <c r="DD24" s="3">
        <f>IF(RTD("tos.rtd",,DD$2,"."&amp;$A$2&amp;$AS$1&amp;"P"&amp;$A24)="N/A",0,RTD("tos.rtd",,DD$2,"."&amp;$A$2&amp;$AS$1&amp;"P"&amp;$A24))</f>
        <v>0.67</v>
      </c>
      <c r="DE24" s="3">
        <f>IF(RTD("tos.rtd",,DE$2,"."&amp;$A$2&amp;$AS$1&amp;"C"&amp;$A24)="N/A",0,RTD("tos.rtd",,DE$2,"."&amp;$A$2&amp;$AS$1&amp;"C"&amp;$A24))</f>
        <v>0.05</v>
      </c>
      <c r="DF24" s="3">
        <f>IF(RTD("tos.rtd",,DF$2,"."&amp;$A$2&amp;$AS$1&amp;"P"&amp;$A24)="N/A",0,RTD("tos.rtd",,DF$2,"."&amp;$A$2&amp;$AS$1&amp;"P"&amp;$A24))</f>
        <v>0.56999999999999995</v>
      </c>
      <c r="DG24" s="86">
        <f t="shared" si="48"/>
        <v>-2.3300000000000409</v>
      </c>
      <c r="DH24" s="3">
        <f t="shared" si="164"/>
        <v>0</v>
      </c>
      <c r="DI24" s="3">
        <f t="shared" si="165"/>
        <v>-1.2</v>
      </c>
      <c r="DJ24" s="3">
        <f t="shared" si="166"/>
        <v>-1091</v>
      </c>
      <c r="DK24" s="3">
        <f t="shared" si="51"/>
        <v>4</v>
      </c>
      <c r="DL24" s="3">
        <f t="shared" si="52"/>
        <v>-1.2</v>
      </c>
      <c r="DM24" s="3">
        <f t="shared" si="53"/>
        <v>-1087</v>
      </c>
      <c r="DN24" s="63" t="str">
        <f t="shared" si="54"/>
        <v>SELL</v>
      </c>
      <c r="DO24" s="63" t="str">
        <f t="shared" si="55"/>
        <v>SELL</v>
      </c>
      <c r="DP24" s="3">
        <f t="shared" si="56"/>
        <v>-0.72</v>
      </c>
      <c r="DQ24" s="3">
        <f t="shared" si="57"/>
        <v>-52.150000000000006</v>
      </c>
      <c r="DR24" s="3" t="e">
        <f t="shared" ca="1" si="58"/>
        <v>#NUM!</v>
      </c>
      <c r="DS24" s="3">
        <f t="shared" si="59"/>
        <v>-1089.92</v>
      </c>
      <c r="DT24" s="3">
        <f t="shared" si="60"/>
        <v>1091</v>
      </c>
      <c r="DU24" s="3">
        <f t="shared" si="61"/>
        <v>-4</v>
      </c>
      <c r="DV24" s="3">
        <f t="shared" si="62"/>
        <v>-46042</v>
      </c>
      <c r="DW24" s="3">
        <f t="shared" si="23"/>
        <v>-1362</v>
      </c>
      <c r="DX24" s="3" t="e">
        <f t="shared" ca="1" si="24"/>
        <v>#NUM!</v>
      </c>
      <c r="DY24" s="3" t="e">
        <f t="shared" ca="1" si="25"/>
        <v>#NUM!</v>
      </c>
      <c r="DZ24" s="3">
        <f t="shared" ca="1" si="26"/>
        <v>5.6313111471190912E-2</v>
      </c>
      <c r="EA24" s="3">
        <f t="shared" ca="1" si="27"/>
        <v>-2.5891382832003228E-2</v>
      </c>
      <c r="EB24" s="3">
        <f t="shared" ca="1" si="28"/>
        <v>4.8364102287586481E-2</v>
      </c>
      <c r="EC24" s="3">
        <f t="shared" ca="1" si="29"/>
        <v>-3.3836143922517235E-2</v>
      </c>
      <c r="ED24" s="63">
        <f t="shared" si="63"/>
        <v>-47404</v>
      </c>
      <c r="EE24" s="59">
        <f t="shared" si="167"/>
        <v>0.25</v>
      </c>
      <c r="EF24" s="59">
        <f t="shared" si="168"/>
        <v>0.88839999999999997</v>
      </c>
      <c r="EG24" s="59">
        <f t="shared" si="169"/>
        <v>0.14280000000000001</v>
      </c>
      <c r="EH24" s="59">
        <f t="shared" si="170"/>
        <v>0.32919999999999999</v>
      </c>
      <c r="EI24" s="59">
        <f t="shared" si="171"/>
        <v>0.16980000000000001</v>
      </c>
      <c r="EJ24" s="59">
        <f t="shared" si="172"/>
        <v>0.24940000000000001</v>
      </c>
      <c r="EL24" s="3" t="str">
        <f>RTD("tos.rtd",,EL$2,"."&amp;$A$2&amp;$AS$1&amp;"C"&amp;$A24)</f>
        <v>--</v>
      </c>
      <c r="EM24" s="3" t="str">
        <f>RTD("tos.rtd",,EM$2,"."&amp;$A$2&amp;$AS$1&amp;"P"&amp;$A24)</f>
        <v>88.84%</v>
      </c>
      <c r="EN24" s="3" t="str">
        <f>RTD("tos.rtd",,EN$2,"."&amp;$A$2&amp;$AU$1&amp;"C"&amp;$A24)</f>
        <v>14.28%</v>
      </c>
      <c r="EO24" s="3" t="str">
        <f>RTD("tos.rtd",,EO$2,"."&amp;$A$2&amp;$AU$1&amp;"P"&amp;$A24)</f>
        <v>32.92%</v>
      </c>
      <c r="EP24" s="3" t="str">
        <f>RTD("tos.rtd",,EP$2,"."&amp;$A$2&amp;$AW$1&amp;"C"&amp;$A24)</f>
        <v>16.98%</v>
      </c>
      <c r="EQ24" s="3" t="str">
        <f>RTD("tos.rtd",,EQ$2,"."&amp;$A$2&amp;$AW$1&amp;"P"&amp;$A24)</f>
        <v>24.94%</v>
      </c>
      <c r="ES24" s="63" t="str">
        <f t="shared" si="65"/>
        <v>562,-47404.00</v>
      </c>
      <c r="ET24" s="63" t="str">
        <f t="shared" ca="1" si="66"/>
        <v>562,00.00</v>
      </c>
      <c r="EU24" s="67">
        <v>563.04</v>
      </c>
      <c r="EV24" s="67" t="s">
        <v>212</v>
      </c>
      <c r="EW24" s="67">
        <v>485.57</v>
      </c>
      <c r="EX24" s="67" t="s">
        <v>213</v>
      </c>
      <c r="EY24" s="67">
        <v>5644</v>
      </c>
      <c r="EZ24" s="67" t="s">
        <v>214</v>
      </c>
      <c r="FA24" s="67">
        <v>19946.75</v>
      </c>
      <c r="FB24" s="67" t="s">
        <v>215</v>
      </c>
      <c r="FC24" s="67" t="s">
        <v>216</v>
      </c>
      <c r="FD24" s="67" t="s">
        <v>217</v>
      </c>
      <c r="FE24" s="67" t="s">
        <v>218</v>
      </c>
      <c r="FF24" s="67" t="s">
        <v>219</v>
      </c>
    </row>
    <row r="25" spans="1:162" s="63" customFormat="1" ht="13.5" thickBot="1" x14ac:dyDescent="0.25">
      <c r="A25" s="2">
        <f t="shared" si="67"/>
        <v>561</v>
      </c>
      <c r="B25" s="3">
        <f t="shared" si="140"/>
        <v>8909</v>
      </c>
      <c r="C25" s="3">
        <f t="shared" si="141"/>
        <v>4890</v>
      </c>
      <c r="D25" s="3">
        <f t="shared" si="142"/>
        <v>4990</v>
      </c>
      <c r="E25" s="3">
        <f t="shared" si="143"/>
        <v>18789</v>
      </c>
      <c r="F25" s="4">
        <f t="shared" si="144"/>
        <v>5646.4834405401089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>
        <v>4622</v>
      </c>
      <c r="AN25" s="1">
        <v>13427</v>
      </c>
      <c r="AO25" s="1">
        <v>561</v>
      </c>
      <c r="AP25" s="1">
        <v>326194</v>
      </c>
      <c r="AQ25" s="1">
        <v>-152210</v>
      </c>
      <c r="AR25" s="1"/>
      <c r="AS25" s="6">
        <f>IF(RTD("tos.rtd",,AS$2,"."&amp;$A$2&amp;$AS$1&amp;"C"&amp;$A25)="N/A",0,RTD("tos.rtd",,AS$2,"."&amp;$A$2&amp;$AS$1&amp;"C"&amp;$A25))</f>
        <v>4988</v>
      </c>
      <c r="AT25" s="7">
        <f>-IF(RTD("tos.rtd",,AT$2,"."&amp;$A$2&amp;$AS$1&amp;"P"&amp;$A25)="N/A",0,RTD("tos.rtd",,AT$2,"."&amp;$A$2&amp;$AS$1&amp;"P"&amp;$A25))</f>
        <v>-3921</v>
      </c>
      <c r="AU25" s="6">
        <f>IF(RTD("tos.rtd",,AU$2,"."&amp;$A$2&amp;$AU$1&amp;"C"&amp;$A25)="N/A",0,RTD("tos.rtd",,AU$2,"."&amp;$A$2&amp;$AU$1&amp;"C"&amp;$A25))</f>
        <v>2071</v>
      </c>
      <c r="AV25" s="7">
        <f>-IF(RTD("tos.rtd",,AV$2,"."&amp;$A$2&amp;$AU$1&amp;"P"&amp;$A25)="N/A",0,RTD("tos.rtd",,AV$2,"."&amp;$A$2&amp;$AU$1&amp;"P"&amp;$A25))</f>
        <v>-2819</v>
      </c>
      <c r="AW25" s="6">
        <f>IF(RTD("tos.rtd",,AW$2,"."&amp;$A$2&amp;$AW$1&amp;"C"&amp;$A25)="N/A",0,RTD("tos.rtd",,AW$2,"."&amp;$A$2&amp;$AW$1&amp;"C"&amp;$A25))</f>
        <v>3766</v>
      </c>
      <c r="AX25" s="7">
        <f>-IF(RTD("tos.rtd",,AX$2,"."&amp;$A$2&amp;$AW$1&amp;"P"&amp;$A25)="N/A",0,RTD("tos.rtd",,AX$2,"."&amp;$A$2&amp;$AW$1&amp;"P"&amp;$A25))</f>
        <v>-1224</v>
      </c>
      <c r="AY25" s="1">
        <f t="shared" si="145"/>
        <v>2861</v>
      </c>
      <c r="AZ25" s="8">
        <f t="shared" si="35"/>
        <v>561</v>
      </c>
      <c r="BA25" s="6">
        <f>IF(RTD("tos.rtd",,BA$2,"."&amp;$A$2&amp;$AS$1&amp;"C"&amp;$A25)="N/A",0,RTD("tos.rtd",,BA$2,"."&amp;$A$2&amp;$AS$1&amp;"C"&amp;$A25))</f>
        <v>326295</v>
      </c>
      <c r="BB25" s="7">
        <f>-IF(RTD("tos.rtd",,BB$2,"."&amp;$A$2&amp;$AS$1&amp;"P"&amp;$A25)="N/A",0,RTD("tos.rtd",,BB$2,"."&amp;$A$2&amp;$AS$1&amp;"P"&amp;$A25))</f>
        <v>-152332</v>
      </c>
      <c r="BC25" s="6">
        <f>IF(RTD("tos.rtd",,BC$2,"."&amp;$A$2&amp;$AU$1&amp;"C"&amp;$A25)="N/A",0,RTD("tos.rtd",,BC$2,"."&amp;$A$2&amp;$AU$1&amp;"C"&amp;$A25))</f>
        <v>19032</v>
      </c>
      <c r="BD25" s="7">
        <f>-IF(RTD("tos.rtd",,BD$2,"."&amp;$A$2&amp;$AU$1&amp;"P"&amp;$A25)="N/A",0,RTD("tos.rtd",,BD$2,"."&amp;$A$2&amp;$AU$1&amp;"P"&amp;$A25))</f>
        <v>-11040</v>
      </c>
      <c r="BE25" s="6">
        <f>IF(RTD("tos.rtd",,BE$2,"."&amp;$A$2&amp;$AW$1&amp;"C"&amp;$A25)="N/A",0,RTD("tos.rtd",,BE$2,"."&amp;$A$2&amp;$AW$1&amp;"C"&amp;$A25))</f>
        <v>5307</v>
      </c>
      <c r="BF25" s="83">
        <f>-IF(RTD("tos.rtd",,BF$2,"."&amp;$A$2&amp;$AW$1&amp;"P"&amp;$A25)="N/A",0,RTD("tos.rtd",,BF$2,"."&amp;$A$2&amp;$AW$1&amp;"P"&amp;$A25))</f>
        <v>-2192</v>
      </c>
      <c r="BG25" s="32">
        <f ca="1">+Hoja2!Y26</f>
        <v>-797</v>
      </c>
      <c r="BH25" s="7">
        <f t="shared" ca="1" si="36"/>
        <v>184273</v>
      </c>
      <c r="BI25" s="8" t="str">
        <f t="shared" ref="BI25" ca="1" si="175">IF(AND(BH25&lt;0,BH24&gt;0), "Cruce -", IF(AND(BH25&gt;0,BH24&lt;0),"Cruce +", ""))</f>
        <v/>
      </c>
      <c r="BJ25" s="3" t="e">
        <f ca="1">IF($BP$1=1,DX25,IF(RTD("tos.rtd",,BJ$2,"."&amp;$A$2&amp;$AS$1&amp;"C"&amp;$A25)="N/A",0,RTD("tos.rtd",,BJ$2,"."&amp;$A$2&amp;$AS$1&amp;"C"&amp;$A25)))</f>
        <v>#NUM!</v>
      </c>
      <c r="BK25" s="3" t="e">
        <f ca="1">IF($BP$1=1,DY25,-IF(RTD("tos.rtd",,BK$2,"."&amp;$A$2&amp;$AS$1&amp;"P"&amp;$A25)="N/A",0,RTD("tos.rtd",,BK$2,"."&amp;$A$2&amp;$AS$1&amp;"P"&amp;$A25)))</f>
        <v>#NUM!</v>
      </c>
      <c r="BL25" s="3">
        <f ca="1">IF($BP$1=1,DZ25,IF(RTD("tos.rtd",,BL$2,"."&amp;$A$2&amp;$AU$1&amp;"C"&amp;$A25)="N/A",0,RTD("tos.rtd",,BL$2,"."&amp;$A$2&amp;$AU$1&amp;"C"&amp;$A25)))</f>
        <v>5.5764683453333304E-2</v>
      </c>
      <c r="BM25" s="3">
        <f ca="1">IF($BP$1=1,EA25,-IF(RTD("tos.rtd",,BM$2,"."&amp;$A$2&amp;$AU$1&amp;"P"&amp;$A25)="N/A",0,RTD("tos.rtd",,BM$2,"."&amp;$A$2&amp;$AU$1&amp;"P"&amp;$A25)))</f>
        <v>-2.5709458211898177E-2</v>
      </c>
      <c r="BN25" s="3">
        <f ca="1">IF($BP$1=1,EB25,IF(RTD("tos.rtd",,BN$2,"."&amp;$A$2&amp;$AW$1&amp;"C"&amp;$A25)="N/A",0,RTD("tos.rtd",,BN$2,"."&amp;$A$2&amp;$AW$1&amp;"C"&amp;$A25)))</f>
        <v>4.60232741920866E-2</v>
      </c>
      <c r="BO25" s="3">
        <f ca="1">IF($BP$1=1,EC25,-IF(RTD("tos.rtd",,BO$2,"."&amp;$A$2&amp;$AW$1&amp;"P"&amp;$A25)="N/A",0,RTD("tos.rtd",,BO$2,"."&amp;$A$2&amp;$AW$1&amp;"P"&amp;$A25)))</f>
        <v>-3.2959946234175468E-2</v>
      </c>
      <c r="BQ25" s="3" t="e">
        <f t="shared" ca="1" si="147"/>
        <v>#NUM!</v>
      </c>
      <c r="BR25" s="3" t="e">
        <f t="shared" ca="1" si="70"/>
        <v>#NUM!</v>
      </c>
      <c r="BS25" s="3">
        <f t="shared" ca="1" si="148"/>
        <v>13698500.978488527</v>
      </c>
      <c r="BT25" s="3" t="str">
        <f t="shared" ca="1" si="70"/>
        <v/>
      </c>
      <c r="BU25" s="3">
        <f t="shared" ca="1" si="149"/>
        <v>42350136.454053074</v>
      </c>
      <c r="BV25" s="3" t="str">
        <f t="shared" ref="BV25" ca="1" si="176">IF(AND(BU25&lt;0,BU24&gt;0), "Cruce -", IF(AND(BU25&gt;0,BU24&lt;0),"Cruce +", ""))</f>
        <v/>
      </c>
      <c r="BX25" s="3" t="e">
        <f t="shared" ca="1" si="151"/>
        <v>#NUM!</v>
      </c>
      <c r="BY25" s="3" t="e">
        <f t="shared" ca="1" si="72"/>
        <v>#NUM!</v>
      </c>
      <c r="BZ25" s="3">
        <f t="shared" ca="1" si="152"/>
        <v>247603102.09855342</v>
      </c>
      <c r="CA25" s="3" t="str">
        <f t="shared" ca="1" si="73"/>
        <v/>
      </c>
      <c r="CB25" s="3">
        <f t="shared" ca="1" si="153"/>
        <v>54775700.602296084</v>
      </c>
      <c r="CC25" s="3" t="str">
        <f t="shared" ca="1" si="74"/>
        <v/>
      </c>
      <c r="CD25" s="3">
        <f>IF(RTD("tos.rtd",,CD$2,"."&amp;$A$2&amp;$AS$1&amp;"C"&amp;$A25)="N/A",0,RTD("tos.rtd",,CD$2,"."&amp;$A$2&amp;$AS$1&amp;"C"&amp;$A25))</f>
        <v>1</v>
      </c>
      <c r="CE25" s="3">
        <f>-IF(RTD("tos.rtd",,CE$2,"."&amp;$A$2&amp;$AS$1&amp;"P"&amp;$A25)="N/A",0,RTD("tos.rtd",,CE$2,"."&amp;$A$2&amp;$AS$1&amp;"P"&amp;$A25))</f>
        <v>0.08</v>
      </c>
      <c r="CF25" s="3">
        <f>IF(RTD("tos.rtd",,CF$2,"."&amp;$A$2&amp;$AU$1&amp;"C"&amp;$A25)="N/A",0,RTD("tos.rtd",,CF$2,"."&amp;$A$2&amp;$AU$1&amp;"C"&amp;$A25))</f>
        <v>0.75</v>
      </c>
      <c r="CG25" s="3">
        <f>-IF(RTD("tos.rtd",,CG$2,"."&amp;$A$2&amp;$AU$1&amp;"P"&amp;$A25)="N/A",0,RTD("tos.rtd",,CG$2,"."&amp;$A$2&amp;$AU$1&amp;"P"&amp;$A25))</f>
        <v>0.39</v>
      </c>
      <c r="CH25" s="3">
        <f>IF(RTD("tos.rtd",,CH$2,"."&amp;$A$2&amp;$AW$1&amp;"C"&amp;$A25)="N/A",0,RTD("tos.rtd",,CH$2,"."&amp;$A$2&amp;$AW$1&amp;"C"&amp;$A25))</f>
        <v>0.61</v>
      </c>
      <c r="CI25" s="3">
        <f>-IF(RTD("tos.rtd",,CI$2,"."&amp;$A$2&amp;$AW$1&amp;"P"&amp;$A25)="N/A",0,RTD("tos.rtd",,CI$2,"."&amp;$A$2&amp;$AW$1&amp;"P"&amp;$A25))</f>
        <v>0.42</v>
      </c>
      <c r="CK25" s="3">
        <f t="shared" si="154"/>
        <v>467432</v>
      </c>
      <c r="CL25" s="3"/>
      <c r="CM25" s="3">
        <f t="shared" si="155"/>
        <v>45383.999999999985</v>
      </c>
      <c r="CN25" s="3"/>
      <c r="CO25" s="3">
        <f t="shared" si="156"/>
        <v>178317.99999999997</v>
      </c>
      <c r="CP25" s="3">
        <f t="shared" si="157"/>
        <v>691134</v>
      </c>
      <c r="CQ25" s="3">
        <f t="shared" si="158"/>
        <v>173963</v>
      </c>
      <c r="CR25" s="3"/>
      <c r="CS25" s="3">
        <f t="shared" si="159"/>
        <v>7992</v>
      </c>
      <c r="CT25" s="3"/>
      <c r="CU25" s="3">
        <f t="shared" si="160"/>
        <v>3115</v>
      </c>
      <c r="CV25" s="3">
        <f t="shared" si="161"/>
        <v>185070</v>
      </c>
      <c r="CW25" s="3" t="e">
        <f t="shared" ca="1" si="162"/>
        <v>#NUM!</v>
      </c>
      <c r="CX25" s="85" t="e">
        <f t="shared" ca="1" si="75"/>
        <v>#NUM!</v>
      </c>
      <c r="CY25" s="3" t="e">
        <f t="shared" ca="1" si="163"/>
        <v>#NUM!</v>
      </c>
      <c r="CZ25" s="85" t="e">
        <f t="shared" ca="1" si="76"/>
        <v>#NUM!</v>
      </c>
      <c r="DA25" s="3">
        <f>IF(RTD("tos.rtd",,DA$2,"."&amp;$A$2&amp;$AS$1&amp;"C"&amp;$A25)="N/A",0,RTD("tos.rtd",,DA$2,"."&amp;$A$2&amp;$AS$1&amp;"C"&amp;$A25))</f>
        <v>0.47</v>
      </c>
      <c r="DB25" s="3">
        <f>IF(RTD("tos.rtd",,DB$2,"."&amp;$A$2&amp;$AS$1&amp;"P"&amp;$A25)="N/A",0,RTD("tos.rtd",,DB$2,"."&amp;$A$2&amp;$AS$1&amp;"P"&amp;$A25))</f>
        <v>0.1</v>
      </c>
      <c r="DC25" s="3">
        <f>IF(RTD("tos.rtd",,DC$2,"."&amp;$A$2&amp;$AS$1&amp;"C"&amp;$A25)="N/A",0,RTD("tos.rtd",,DC$2,"."&amp;$A$2&amp;$AS$1&amp;"C"&amp;$A25))</f>
        <v>0.56000000000000005</v>
      </c>
      <c r="DD25" s="3">
        <f>IF(RTD("tos.rtd",,DD$2,"."&amp;$A$2&amp;$AS$1&amp;"P"&amp;$A25)="N/A",0,RTD("tos.rtd",,DD$2,"."&amp;$A$2&amp;$AS$1&amp;"P"&amp;$A25))</f>
        <v>0.1</v>
      </c>
      <c r="DE25" s="3">
        <f>IF(RTD("tos.rtd",,DE$2,"."&amp;$A$2&amp;$AS$1&amp;"C"&amp;$A25)="N/A",0,RTD("tos.rtd",,DE$2,"."&amp;$A$2&amp;$AS$1&amp;"C"&amp;$A25))</f>
        <v>0.47</v>
      </c>
      <c r="DF25" s="3">
        <f>IF(RTD("tos.rtd",,DF$2,"."&amp;$A$2&amp;$AS$1&amp;"P"&amp;$A25)="N/A",0,RTD("tos.rtd",,DF$2,"."&amp;$A$2&amp;$AS$1&amp;"P"&amp;$A25))</f>
        <v>0.08</v>
      </c>
      <c r="DG25" s="86">
        <f t="shared" si="48"/>
        <v>-3.3300000000000409</v>
      </c>
      <c r="DH25" s="3">
        <f t="shared" si="164"/>
        <v>0</v>
      </c>
      <c r="DI25" s="3">
        <f t="shared" si="165"/>
        <v>-122</v>
      </c>
      <c r="DJ25" s="3">
        <f t="shared" si="166"/>
        <v>-101</v>
      </c>
      <c r="DK25" s="3">
        <f t="shared" si="51"/>
        <v>-122</v>
      </c>
      <c r="DL25" s="3">
        <f t="shared" si="52"/>
        <v>-122</v>
      </c>
      <c r="DM25" s="3">
        <f t="shared" si="53"/>
        <v>-223</v>
      </c>
      <c r="DN25" s="63" t="str">
        <f t="shared" si="54"/>
        <v>SELL</v>
      </c>
      <c r="DO25" s="63" t="str">
        <f t="shared" si="55"/>
        <v>BUY</v>
      </c>
      <c r="DP25" s="3">
        <f t="shared" si="56"/>
        <v>-12.200000000000001</v>
      </c>
      <c r="DQ25" s="3">
        <f t="shared" si="57"/>
        <v>-59.67</v>
      </c>
      <c r="DR25" s="3" t="e">
        <f t="shared" ca="1" si="58"/>
        <v>#NUM!</v>
      </c>
      <c r="DS25" s="3">
        <f t="shared" si="59"/>
        <v>-110.76</v>
      </c>
      <c r="DT25" s="3">
        <f t="shared" si="60"/>
        <v>101</v>
      </c>
      <c r="DU25" s="3">
        <f t="shared" si="61"/>
        <v>-122</v>
      </c>
      <c r="DV25" s="3">
        <f t="shared" si="62"/>
        <v>4521</v>
      </c>
      <c r="DW25" s="3">
        <f t="shared" si="23"/>
        <v>13305</v>
      </c>
      <c r="DX25" s="3" t="e">
        <f t="shared" ca="1" si="24"/>
        <v>#NUM!</v>
      </c>
      <c r="DY25" s="3" t="e">
        <f t="shared" ca="1" si="25"/>
        <v>#NUM!</v>
      </c>
      <c r="DZ25" s="3">
        <f t="shared" ca="1" si="26"/>
        <v>5.5764683453333304E-2</v>
      </c>
      <c r="EA25" s="3">
        <f t="shared" ca="1" si="27"/>
        <v>-2.5709458211898177E-2</v>
      </c>
      <c r="EB25" s="3">
        <f t="shared" ca="1" si="28"/>
        <v>4.60232741920866E-2</v>
      </c>
      <c r="EC25" s="3">
        <f t="shared" ca="1" si="29"/>
        <v>-3.2959946234175468E-2</v>
      </c>
      <c r="ED25" s="63">
        <f t="shared" si="63"/>
        <v>17826</v>
      </c>
      <c r="EE25" s="59">
        <f t="shared" si="167"/>
        <v>0.25</v>
      </c>
      <c r="EF25" s="59">
        <f t="shared" si="168"/>
        <v>0.56420000000000003</v>
      </c>
      <c r="EG25" s="59">
        <f t="shared" si="169"/>
        <v>0.1308</v>
      </c>
      <c r="EH25" s="59">
        <f t="shared" si="170"/>
        <v>0.32679999999999998</v>
      </c>
      <c r="EI25" s="59">
        <f t="shared" si="171"/>
        <v>0.16969999999999999</v>
      </c>
      <c r="EJ25" s="59">
        <f t="shared" si="172"/>
        <v>0.25009999999999999</v>
      </c>
      <c r="EL25" s="3" t="str">
        <f>RTD("tos.rtd",,EL$2,"."&amp;$A$2&amp;$AS$1&amp;"C"&amp;$A25)</f>
        <v>--</v>
      </c>
      <c r="EM25" s="3" t="str">
        <f>RTD("tos.rtd",,EM$2,"."&amp;$A$2&amp;$AS$1&amp;"P"&amp;$A25)</f>
        <v>56.42%</v>
      </c>
      <c r="EN25" s="3" t="str">
        <f>RTD("tos.rtd",,EN$2,"."&amp;$A$2&amp;$AU$1&amp;"C"&amp;$A25)</f>
        <v>13.08%</v>
      </c>
      <c r="EO25" s="3" t="str">
        <f>RTD("tos.rtd",,EO$2,"."&amp;$A$2&amp;$AU$1&amp;"P"&amp;$A25)</f>
        <v>32.68%</v>
      </c>
      <c r="EP25" s="3" t="str">
        <f>RTD("tos.rtd",,EP$2,"."&amp;$A$2&amp;$AW$1&amp;"C"&amp;$A25)</f>
        <v>16.97%</v>
      </c>
      <c r="EQ25" s="3" t="str">
        <f>RTD("tos.rtd",,EQ$2,"."&amp;$A$2&amp;$AW$1&amp;"P"&amp;$A25)</f>
        <v>25.01%</v>
      </c>
      <c r="ES25" s="63" t="str">
        <f t="shared" si="65"/>
        <v>561,17826.00</v>
      </c>
      <c r="ET25" s="63" t="str">
        <f t="shared" ca="1" si="66"/>
        <v>561,00.00</v>
      </c>
      <c r="EU25" s="67">
        <v>563.14</v>
      </c>
      <c r="EV25" s="67" t="s">
        <v>220</v>
      </c>
      <c r="EW25" s="67">
        <v>485.7</v>
      </c>
      <c r="EX25" s="67" t="s">
        <v>221</v>
      </c>
      <c r="EY25" s="67">
        <v>5645</v>
      </c>
      <c r="EZ25" s="67" t="s">
        <v>222</v>
      </c>
      <c r="FA25" s="67">
        <v>19951.5</v>
      </c>
      <c r="FB25" s="67" t="s">
        <v>223</v>
      </c>
      <c r="FC25" s="67" t="s">
        <v>224</v>
      </c>
      <c r="FD25" s="67" t="s">
        <v>225</v>
      </c>
      <c r="FE25" s="67" t="s">
        <v>226</v>
      </c>
      <c r="FF25" s="67" t="s">
        <v>227</v>
      </c>
    </row>
    <row r="26" spans="1:162" s="63" customFormat="1" ht="13.5" thickBot="1" x14ac:dyDescent="0.25">
      <c r="A26" s="2">
        <f t="shared" si="67"/>
        <v>560</v>
      </c>
      <c r="B26" s="3">
        <f t="shared" si="140"/>
        <v>13690</v>
      </c>
      <c r="C26" s="3">
        <f t="shared" si="141"/>
        <v>19291</v>
      </c>
      <c r="D26" s="3">
        <f t="shared" si="142"/>
        <v>40811</v>
      </c>
      <c r="E26" s="3">
        <f t="shared" si="143"/>
        <v>73792</v>
      </c>
      <c r="F26" s="4">
        <f t="shared" si="144"/>
        <v>5636.4184076692709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>
        <v>-8931</v>
      </c>
      <c r="AN26" s="1">
        <v>21561</v>
      </c>
      <c r="AO26" s="1">
        <v>560</v>
      </c>
      <c r="AP26" s="1">
        <v>401661</v>
      </c>
      <c r="AQ26" s="1">
        <v>-278356</v>
      </c>
      <c r="AR26" s="1"/>
      <c r="AS26" s="6">
        <f>IF(RTD("tos.rtd",,AS$2,"."&amp;$A$2&amp;$AS$1&amp;"C"&amp;$A26)="N/A",0,RTD("tos.rtd",,AS$2,"."&amp;$A$2&amp;$AS$1&amp;"C"&amp;$A26))</f>
        <v>5118</v>
      </c>
      <c r="AT26" s="7">
        <f>-IF(RTD("tos.rtd",,AT$2,"."&amp;$A$2&amp;$AS$1&amp;"P"&amp;$A26)="N/A",0,RTD("tos.rtd",,AT$2,"."&amp;$A$2&amp;$AS$1&amp;"P"&amp;$A26))</f>
        <v>-8572</v>
      </c>
      <c r="AU26" s="6">
        <f>IF(RTD("tos.rtd",,AU$2,"."&amp;$A$2&amp;$AU$1&amp;"C"&amp;$A26)="N/A",0,RTD("tos.rtd",,AU$2,"."&amp;$A$2&amp;$AU$1&amp;"C"&amp;$A26))</f>
        <v>10129</v>
      </c>
      <c r="AV26" s="7">
        <f>-IF(RTD("tos.rtd",,AV$2,"."&amp;$A$2&amp;$AU$1&amp;"P"&amp;$A26)="N/A",0,RTD("tos.rtd",,AV$2,"."&amp;$A$2&amp;$AU$1&amp;"P"&amp;$A26))</f>
        <v>-9162</v>
      </c>
      <c r="AW26" s="6">
        <f>IF(RTD("tos.rtd",,AW$2,"."&amp;$A$2&amp;$AW$1&amp;"C"&amp;$A26)="N/A",0,RTD("tos.rtd",,AW$2,"."&amp;$A$2&amp;$AW$1&amp;"C"&amp;$A26))</f>
        <v>12439</v>
      </c>
      <c r="AX26" s="7">
        <f>-IF(RTD("tos.rtd",,AX$2,"."&amp;$A$2&amp;$AW$1&amp;"P"&amp;$A26)="N/A",0,RTD("tos.rtd",,AX$2,"."&amp;$A$2&amp;$AW$1&amp;"P"&amp;$A26))</f>
        <v>-28372</v>
      </c>
      <c r="AY26" s="1">
        <f t="shared" si="145"/>
        <v>-18420</v>
      </c>
      <c r="AZ26" s="8">
        <f t="shared" si="35"/>
        <v>560</v>
      </c>
      <c r="BA26" s="6">
        <f>IF(RTD("tos.rtd",,BA$2,"."&amp;$A$2&amp;$AS$1&amp;"C"&amp;$A26)="N/A",0,RTD("tos.rtd",,BA$2,"."&amp;$A$2&amp;$AS$1&amp;"C"&amp;$A26))</f>
        <v>401686</v>
      </c>
      <c r="BB26" s="7">
        <f>-IF(RTD("tos.rtd",,BB$2,"."&amp;$A$2&amp;$AS$1&amp;"P"&amp;$A26)="N/A",0,RTD("tos.rtd",,BB$2,"."&amp;$A$2&amp;$AS$1&amp;"P"&amp;$A26))</f>
        <v>-278459</v>
      </c>
      <c r="BC26" s="6">
        <f>IF(RTD("tos.rtd",,BC$2,"."&amp;$A$2&amp;$AU$1&amp;"C"&amp;$A26)="N/A",0,RTD("tos.rtd",,BC$2,"."&amp;$A$2&amp;$AU$1&amp;"C"&amp;$A26))</f>
        <v>35922</v>
      </c>
      <c r="BD26" s="7">
        <f>-IF(RTD("tos.rtd",,BD$2,"."&amp;$A$2&amp;$AU$1&amp;"P"&amp;$A26)="N/A",0,RTD("tos.rtd",,BD$2,"."&amp;$A$2&amp;$AU$1&amp;"P"&amp;$A26))</f>
        <v>-32132</v>
      </c>
      <c r="BE26" s="6">
        <f>IF(RTD("tos.rtd",,BE$2,"."&amp;$A$2&amp;$AW$1&amp;"C"&amp;$A26)="N/A",0,RTD("tos.rtd",,BE$2,"."&amp;$A$2&amp;$AW$1&amp;"C"&amp;$A26))</f>
        <v>14485</v>
      </c>
      <c r="BF26" s="83">
        <f>-IF(RTD("tos.rtd",,BF$2,"."&amp;$A$2&amp;$AW$1&amp;"P"&amp;$A26)="N/A",0,RTD("tos.rtd",,BF$2,"."&amp;$A$2&amp;$AW$1&amp;"P"&amp;$A26))</f>
        <v>-29598</v>
      </c>
      <c r="BG26" s="32">
        <f ca="1">+Hoja2!Y27</f>
        <v>-15876</v>
      </c>
      <c r="BH26" s="7">
        <f t="shared" ca="1" si="36"/>
        <v>96028</v>
      </c>
      <c r="BI26" s="8" t="str">
        <f t="shared" ref="BI26" ca="1" si="177">IF(AND(BH26&lt;0,BH25&gt;0), "Cruce -", IF(AND(BH26&gt;0,BH25&lt;0),"Cruce +", ""))</f>
        <v/>
      </c>
      <c r="BJ26" s="3" t="e">
        <f ca="1">IF($BP$1=1,DX26,IF(RTD("tos.rtd",,BJ$2,"."&amp;$A$2&amp;$AS$1&amp;"C"&amp;$A26)="N/A",0,RTD("tos.rtd",,BJ$2,"."&amp;$A$2&amp;$AS$1&amp;"C"&amp;$A26)))</f>
        <v>#NUM!</v>
      </c>
      <c r="BK26" s="3" t="e">
        <f ca="1">IF($BP$1=1,DY26,-IF(RTD("tos.rtd",,BK$2,"."&amp;$A$2&amp;$AS$1&amp;"P"&amp;$A26)="N/A",0,RTD("tos.rtd",,BK$2,"."&amp;$A$2&amp;$AS$1&amp;"P"&amp;$A26)))</f>
        <v>#NUM!</v>
      </c>
      <c r="BL26" s="3">
        <f ca="1">IF($BP$1=1,DZ26,IF(RTD("tos.rtd",,BL$2,"."&amp;$A$2&amp;$AU$1&amp;"C"&amp;$A26)="N/A",0,RTD("tos.rtd",,BL$2,"."&amp;$A$2&amp;$AU$1&amp;"C"&amp;$A26)))</f>
        <v>5.2582841176558585E-2</v>
      </c>
      <c r="BM26" s="3">
        <f ca="1">IF($BP$1=1,EA26,-IF(RTD("tos.rtd",,BM$2,"."&amp;$A$2&amp;$AU$1&amp;"P"&amp;$A26)="N/A",0,RTD("tos.rtd",,BM$2,"."&amp;$A$2&amp;$AU$1&amp;"P"&amp;$A26)))</f>
        <v>-2.5368345330100541E-2</v>
      </c>
      <c r="BN26" s="3">
        <f ca="1">IF($BP$1=1,EB26,IF(RTD("tos.rtd",,BN$2,"."&amp;$A$2&amp;$AW$1&amp;"C"&amp;$A26)="N/A",0,RTD("tos.rtd",,BN$2,"."&amp;$A$2&amp;$AW$1&amp;"C"&amp;$A26)))</f>
        <v>4.3066364077783519E-2</v>
      </c>
      <c r="BO26" s="3">
        <f ca="1">IF($BP$1=1,EC26,-IF(RTD("tos.rtd",,BO$2,"."&amp;$A$2&amp;$AW$1&amp;"P"&amp;$A26)="N/A",0,RTD("tos.rtd",,BO$2,"."&amp;$A$2&amp;$AW$1&amp;"P"&amp;$A26)))</f>
        <v>-3.1849195739624393E-2</v>
      </c>
      <c r="BQ26" s="3" t="e">
        <f t="shared" ca="1" si="147"/>
        <v>#NUM!</v>
      </c>
      <c r="BR26" s="3" t="e">
        <f t="shared" ca="1" si="70"/>
        <v>#NUM!</v>
      </c>
      <c r="BS26" s="3">
        <f t="shared" ca="1" si="148"/>
        <v>95600000.405602694</v>
      </c>
      <c r="BT26" s="3" t="str">
        <f t="shared" ca="1" si="70"/>
        <v/>
      </c>
      <c r="BU26" s="3">
        <f t="shared" ca="1" si="149"/>
        <v>-117171791.72157413</v>
      </c>
      <c r="BV26" s="3" t="str">
        <f t="shared" ref="BV26" ca="1" si="178">IF(AND(BU26&lt;0,BU25&gt;0), "Cruce -", IF(AND(BU26&gt;0,BU25&lt;0),"Cruce +", ""))</f>
        <v>Cruce -</v>
      </c>
      <c r="BX26" s="3" t="e">
        <f t="shared" ca="1" si="151"/>
        <v>#NUM!</v>
      </c>
      <c r="BY26" s="3" t="e">
        <f t="shared" ca="1" si="72"/>
        <v>#NUM!</v>
      </c>
      <c r="BZ26" s="3">
        <f t="shared" ca="1" si="152"/>
        <v>341953844.61324596</v>
      </c>
      <c r="CA26" s="3" t="str">
        <f t="shared" ca="1" si="73"/>
        <v/>
      </c>
      <c r="CB26" s="3">
        <f t="shared" ca="1" si="153"/>
        <v>-101545611.31950825</v>
      </c>
      <c r="CC26" s="3" t="str">
        <f t="shared" ca="1" si="74"/>
        <v>Cruce -</v>
      </c>
      <c r="CD26" s="3">
        <f>IF(RTD("tos.rtd",,CD$2,"."&amp;$A$2&amp;$AS$1&amp;"C"&amp;$A26)="N/A",0,RTD("tos.rtd",,CD$2,"."&amp;$A$2&amp;$AS$1&amp;"C"&amp;$A26))</f>
        <v>1</v>
      </c>
      <c r="CE26" s="3">
        <f>-IF(RTD("tos.rtd",,CE$2,"."&amp;$A$2&amp;$AS$1&amp;"P"&amp;$A26)="N/A",0,RTD("tos.rtd",,CE$2,"."&amp;$A$2&amp;$AS$1&amp;"P"&amp;$A26))</f>
        <v>0.02</v>
      </c>
      <c r="CF26" s="3">
        <f>IF(RTD("tos.rtd",,CF$2,"."&amp;$A$2&amp;$AU$1&amp;"C"&amp;$A26)="N/A",0,RTD("tos.rtd",,CF$2,"."&amp;$A$2&amp;$AU$1&amp;"C"&amp;$A26))</f>
        <v>0.85</v>
      </c>
      <c r="CG26" s="3">
        <f>-IF(RTD("tos.rtd",,CG$2,"."&amp;$A$2&amp;$AU$1&amp;"P"&amp;$A26)="N/A",0,RTD("tos.rtd",,CG$2,"."&amp;$A$2&amp;$AU$1&amp;"P"&amp;$A26))</f>
        <v>0.36</v>
      </c>
      <c r="CH26" s="3">
        <f>IF(RTD("tos.rtd",,CH$2,"."&amp;$A$2&amp;$AW$1&amp;"C"&amp;$A26)="N/A",0,RTD("tos.rtd",,CH$2,"."&amp;$A$2&amp;$AW$1&amp;"C"&amp;$A26))</f>
        <v>0.63</v>
      </c>
      <c r="CI26" s="3">
        <f>-IF(RTD("tos.rtd",,CI$2,"."&amp;$A$2&amp;$AW$1&amp;"P"&amp;$A26)="N/A",0,RTD("tos.rtd",,CI$2,"."&amp;$A$2&amp;$AW$1&amp;"P"&amp;$A26))</f>
        <v>0.41</v>
      </c>
      <c r="CK26" s="3">
        <f t="shared" si="154"/>
        <v>494656</v>
      </c>
      <c r="CL26" s="3"/>
      <c r="CM26" s="3">
        <f t="shared" si="155"/>
        <v>531133</v>
      </c>
      <c r="CN26" s="3"/>
      <c r="CO26" s="3">
        <f t="shared" si="156"/>
        <v>-379594.99999999977</v>
      </c>
      <c r="CP26" s="3">
        <f t="shared" si="157"/>
        <v>646194.00000000023</v>
      </c>
      <c r="CQ26" s="3">
        <f t="shared" si="158"/>
        <v>123227</v>
      </c>
      <c r="CR26" s="3"/>
      <c r="CS26" s="3">
        <f t="shared" si="159"/>
        <v>3790</v>
      </c>
      <c r="CT26" s="3"/>
      <c r="CU26" s="3">
        <f t="shared" si="160"/>
        <v>-15113</v>
      </c>
      <c r="CV26" s="3">
        <f t="shared" si="161"/>
        <v>111904</v>
      </c>
      <c r="CW26" s="3" t="e">
        <f t="shared" ca="1" si="162"/>
        <v>#NUM!</v>
      </c>
      <c r="CX26" s="85" t="e">
        <f t="shared" ca="1" si="75"/>
        <v>#NUM!</v>
      </c>
      <c r="CY26" s="3" t="e">
        <f t="shared" ca="1" si="163"/>
        <v>#NUM!</v>
      </c>
      <c r="CZ26" s="85" t="e">
        <f t="shared" ca="1" si="76"/>
        <v>#NUM!</v>
      </c>
      <c r="DA26" s="3">
        <f>IF(RTD("tos.rtd",,DA$2,"."&amp;$A$2&amp;$AS$1&amp;"C"&amp;$A26)="N/A",0,RTD("tos.rtd",,DA$2,"."&amp;$A$2&amp;$AS$1&amp;"C"&amp;$A26))</f>
        <v>1.47</v>
      </c>
      <c r="DB26" s="3">
        <f>IF(RTD("tos.rtd",,DB$2,"."&amp;$A$2&amp;$AS$1&amp;"P"&amp;$A26)="N/A",0,RTD("tos.rtd",,DB$2,"."&amp;$A$2&amp;$AS$1&amp;"P"&amp;$A26))</f>
        <v>0.01</v>
      </c>
      <c r="DC26" s="3">
        <f>IF(RTD("tos.rtd",,DC$2,"."&amp;$A$2&amp;$AS$1&amp;"C"&amp;$A26)="N/A",0,RTD("tos.rtd",,DC$2,"."&amp;$A$2&amp;$AS$1&amp;"C"&amp;$A26))</f>
        <v>1.51</v>
      </c>
      <c r="DD26" s="3">
        <f>IF(RTD("tos.rtd",,DD$2,"."&amp;$A$2&amp;$AS$1&amp;"P"&amp;$A26)="N/A",0,RTD("tos.rtd",,DD$2,"."&amp;$A$2&amp;$AS$1&amp;"P"&amp;$A26))</f>
        <v>0.02</v>
      </c>
      <c r="DE26" s="3">
        <f>IF(RTD("tos.rtd",,DE$2,"."&amp;$A$2&amp;$AS$1&amp;"C"&amp;$A26)="N/A",0,RTD("tos.rtd",,DE$2,"."&amp;$A$2&amp;$AS$1&amp;"C"&amp;$A26))</f>
        <v>1.37</v>
      </c>
      <c r="DF26" s="3">
        <f>IF(RTD("tos.rtd",,DF$2,"."&amp;$A$2&amp;$AS$1&amp;"P"&amp;$A26)="N/A",0,RTD("tos.rtd",,DF$2,"."&amp;$A$2&amp;$AS$1&amp;"P"&amp;$A26))</f>
        <v>0.01</v>
      </c>
      <c r="DG26" s="86">
        <f t="shared" si="48"/>
        <v>-4.3300000000000409</v>
      </c>
      <c r="DH26" s="3">
        <f t="shared" si="164"/>
        <v>17.857142857142847</v>
      </c>
      <c r="DI26" s="3">
        <f t="shared" si="165"/>
        <v>0</v>
      </c>
      <c r="DJ26" s="3">
        <f t="shared" si="166"/>
        <v>25</v>
      </c>
      <c r="DK26" s="3">
        <f t="shared" si="51"/>
        <v>103</v>
      </c>
      <c r="DL26" s="3">
        <f t="shared" si="52"/>
        <v>17.857142857142847</v>
      </c>
      <c r="DM26" s="3">
        <f t="shared" si="53"/>
        <v>128</v>
      </c>
      <c r="DN26" s="63" t="str">
        <f t="shared" si="54"/>
        <v>BUY</v>
      </c>
      <c r="DO26" s="63" t="str">
        <f t="shared" si="55"/>
        <v>SELL</v>
      </c>
      <c r="DP26" s="3">
        <f t="shared" si="56"/>
        <v>26.249999999999986</v>
      </c>
      <c r="DQ26" s="3">
        <f t="shared" si="57"/>
        <v>37.78</v>
      </c>
      <c r="DR26" s="3" t="e">
        <f t="shared" ca="1" si="58"/>
        <v>#NUM!</v>
      </c>
      <c r="DS26" s="3">
        <f t="shared" si="59"/>
        <v>27.06</v>
      </c>
      <c r="DT26" s="3">
        <f t="shared" si="60"/>
        <v>25</v>
      </c>
      <c r="DU26" s="3">
        <f t="shared" si="61"/>
        <v>-103</v>
      </c>
      <c r="DV26" s="3">
        <f t="shared" si="62"/>
        <v>-8906</v>
      </c>
      <c r="DW26" s="3">
        <f t="shared" si="23"/>
        <v>21664</v>
      </c>
      <c r="DX26" s="3" t="e">
        <f t="shared" ca="1" si="24"/>
        <v>#NUM!</v>
      </c>
      <c r="DY26" s="3" t="e">
        <f t="shared" ca="1" si="25"/>
        <v>#NUM!</v>
      </c>
      <c r="DZ26" s="3">
        <f t="shared" ca="1" si="26"/>
        <v>5.2582841176558585E-2</v>
      </c>
      <c r="EA26" s="3">
        <f t="shared" ca="1" si="27"/>
        <v>-2.5368345330100541E-2</v>
      </c>
      <c r="EB26" s="3">
        <f t="shared" ca="1" si="28"/>
        <v>4.3066364077783519E-2</v>
      </c>
      <c r="EC26" s="3">
        <f t="shared" ca="1" si="29"/>
        <v>-3.1849195739624393E-2</v>
      </c>
      <c r="ED26" s="63">
        <f t="shared" si="63"/>
        <v>12758</v>
      </c>
      <c r="EE26" s="59">
        <f t="shared" si="167"/>
        <v>0.25</v>
      </c>
      <c r="EF26" s="59">
        <f t="shared" si="168"/>
        <v>0.4955</v>
      </c>
      <c r="EG26" s="59">
        <f t="shared" si="169"/>
        <v>0.11219999999999999</v>
      </c>
      <c r="EH26" s="59">
        <f t="shared" si="170"/>
        <v>0.32490000000000002</v>
      </c>
      <c r="EI26" s="59">
        <f t="shared" si="171"/>
        <v>0.1696</v>
      </c>
      <c r="EJ26" s="59">
        <f t="shared" si="172"/>
        <v>0.251</v>
      </c>
      <c r="EL26" s="3" t="str">
        <f>RTD("tos.rtd",,EL$2,"."&amp;$A$2&amp;$AS$1&amp;"C"&amp;$A26)</f>
        <v>--</v>
      </c>
      <c r="EM26" s="3" t="str">
        <f>RTD("tos.rtd",,EM$2,"."&amp;$A$2&amp;$AS$1&amp;"P"&amp;$A26)</f>
        <v>49.55%</v>
      </c>
      <c r="EN26" s="3" t="str">
        <f>RTD("tos.rtd",,EN$2,"."&amp;$A$2&amp;$AU$1&amp;"C"&amp;$A26)</f>
        <v>11.22%</v>
      </c>
      <c r="EO26" s="3" t="str">
        <f>RTD("tos.rtd",,EO$2,"."&amp;$A$2&amp;$AU$1&amp;"P"&amp;$A26)</f>
        <v>32.49%</v>
      </c>
      <c r="EP26" s="3" t="str">
        <f>RTD("tos.rtd",,EP$2,"."&amp;$A$2&amp;$AW$1&amp;"C"&amp;$A26)</f>
        <v>16.96%</v>
      </c>
      <c r="EQ26" s="3" t="str">
        <f>RTD("tos.rtd",,EQ$2,"."&amp;$A$2&amp;$AW$1&amp;"P"&amp;$A26)</f>
        <v>25.10%</v>
      </c>
      <c r="ES26" s="63" t="str">
        <f t="shared" si="65"/>
        <v>560,12758.00</v>
      </c>
      <c r="ET26" s="63" t="str">
        <f t="shared" ca="1" si="66"/>
        <v>560,00.00</v>
      </c>
      <c r="EU26" s="67">
        <v>563.17999999999995</v>
      </c>
      <c r="EV26" s="67" t="s">
        <v>228</v>
      </c>
      <c r="EW26" s="67">
        <v>485.74</v>
      </c>
      <c r="EX26" s="67" t="s">
        <v>229</v>
      </c>
      <c r="EY26" s="67">
        <v>5645.25</v>
      </c>
      <c r="EZ26" s="67" t="s">
        <v>230</v>
      </c>
      <c r="FA26" s="67">
        <v>19953.5</v>
      </c>
      <c r="FB26" s="67" t="s">
        <v>231</v>
      </c>
      <c r="FC26" s="67" t="s">
        <v>232</v>
      </c>
      <c r="FD26" s="67" t="s">
        <v>233</v>
      </c>
      <c r="FE26" s="67" t="s">
        <v>234</v>
      </c>
      <c r="FF26" s="67" t="s">
        <v>235</v>
      </c>
    </row>
    <row r="27" spans="1:162" s="63" customFormat="1" ht="13.5" thickBot="1" x14ac:dyDescent="0.25">
      <c r="A27" s="2">
        <f t="shared" si="67"/>
        <v>559</v>
      </c>
      <c r="B27" s="3">
        <f t="shared" si="140"/>
        <v>8697</v>
      </c>
      <c r="C27" s="3">
        <f t="shared" si="141"/>
        <v>3841</v>
      </c>
      <c r="D27" s="3">
        <f t="shared" si="142"/>
        <v>5418</v>
      </c>
      <c r="E27" s="3">
        <f t="shared" si="143"/>
        <v>17956</v>
      </c>
      <c r="F27" s="4">
        <f t="shared" si="144"/>
        <v>5626.3533747984329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>
        <v>-2549</v>
      </c>
      <c r="AN27" s="1">
        <v>27655</v>
      </c>
      <c r="AO27" s="1">
        <v>559</v>
      </c>
      <c r="AP27" s="1">
        <v>140224</v>
      </c>
      <c r="AQ27" s="1">
        <v>-237178</v>
      </c>
      <c r="AR27" s="1"/>
      <c r="AS27" s="6">
        <f>IF(RTD("tos.rtd",,AS$2,"."&amp;$A$2&amp;$AS$1&amp;"C"&amp;$A27)="N/A",0,RTD("tos.rtd",,AS$2,"."&amp;$A$2&amp;$AS$1&amp;"C"&amp;$A27))</f>
        <v>3264</v>
      </c>
      <c r="AT27" s="7">
        <f>-IF(RTD("tos.rtd",,AT$2,"."&amp;$A$2&amp;$AS$1&amp;"P"&amp;$A27)="N/A",0,RTD("tos.rtd",,AT$2,"."&amp;$A$2&amp;$AS$1&amp;"P"&amp;$A27))</f>
        <v>-5433</v>
      </c>
      <c r="AU27" s="6">
        <f>IF(RTD("tos.rtd",,AU$2,"."&amp;$A$2&amp;$AU$1&amp;"C"&amp;$A27)="N/A",0,RTD("tos.rtd",,AU$2,"."&amp;$A$2&amp;$AU$1&amp;"C"&amp;$A27))</f>
        <v>1765</v>
      </c>
      <c r="AV27" s="7">
        <f>-IF(RTD("tos.rtd",,AV$2,"."&amp;$A$2&amp;$AU$1&amp;"P"&amp;$A27)="N/A",0,RTD("tos.rtd",,AV$2,"."&amp;$A$2&amp;$AU$1&amp;"P"&amp;$A27))</f>
        <v>-2076</v>
      </c>
      <c r="AW27" s="6">
        <f>IF(RTD("tos.rtd",,AW$2,"."&amp;$A$2&amp;$AW$1&amp;"C"&amp;$A27)="N/A",0,RTD("tos.rtd",,AW$2,"."&amp;$A$2&amp;$AW$1&amp;"C"&amp;$A27))</f>
        <v>3428</v>
      </c>
      <c r="AX27" s="7">
        <f>-IF(RTD("tos.rtd",,AX$2,"."&amp;$A$2&amp;$AW$1&amp;"P"&amp;$A27)="N/A",0,RTD("tos.rtd",,AX$2,"."&amp;$A$2&amp;$AW$1&amp;"P"&amp;$A27))</f>
        <v>-1990</v>
      </c>
      <c r="AY27" s="1">
        <f t="shared" si="145"/>
        <v>-1042</v>
      </c>
      <c r="AZ27" s="8">
        <f t="shared" si="35"/>
        <v>559</v>
      </c>
      <c r="BA27" s="6">
        <f>IF(RTD("tos.rtd",,BA$2,"."&amp;$A$2&amp;$AS$1&amp;"C"&amp;$A27)="N/A",0,RTD("tos.rtd",,BA$2,"."&amp;$A$2&amp;$AS$1&amp;"C"&amp;$A27))</f>
        <v>140227</v>
      </c>
      <c r="BB27" s="7">
        <f>-IF(RTD("tos.rtd",,BB$2,"."&amp;$A$2&amp;$AS$1&amp;"P"&amp;$A27)="N/A",0,RTD("tos.rtd",,BB$2,"."&amp;$A$2&amp;$AS$1&amp;"P"&amp;$A27))</f>
        <v>-237203</v>
      </c>
      <c r="BC27" s="6">
        <f>IF(RTD("tos.rtd",,BC$2,"."&amp;$A$2&amp;$AU$1&amp;"C"&amp;$A27)="N/A",0,RTD("tos.rtd",,BC$2,"."&amp;$A$2&amp;$AU$1&amp;"C"&amp;$A27))</f>
        <v>22771</v>
      </c>
      <c r="BD27" s="7">
        <f>-IF(RTD("tos.rtd",,BD$2,"."&amp;$A$2&amp;$AU$1&amp;"P"&amp;$A27)="N/A",0,RTD("tos.rtd",,BD$2,"."&amp;$A$2&amp;$AU$1&amp;"P"&amp;$A27))</f>
        <v>-18116</v>
      </c>
      <c r="BE27" s="6">
        <f>IF(RTD("tos.rtd",,BE$2,"."&amp;$A$2&amp;$AW$1&amp;"C"&amp;$A27)="N/A",0,RTD("tos.rtd",,BE$2,"."&amp;$A$2&amp;$AW$1&amp;"C"&amp;$A27))</f>
        <v>3761</v>
      </c>
      <c r="BF27" s="83">
        <f>-IF(RTD("tos.rtd",,BF$2,"."&amp;$A$2&amp;$AW$1&amp;"P"&amp;$A27)="N/A",0,RTD("tos.rtd",,BF$2,"."&amp;$A$2&amp;$AW$1&amp;"P"&amp;$A27))</f>
        <v>-2616</v>
      </c>
      <c r="BG27" s="32">
        <f ca="1">+Hoja2!Y28</f>
        <v>-2430</v>
      </c>
      <c r="BH27" s="7">
        <f t="shared" ca="1" si="36"/>
        <v>-93606</v>
      </c>
      <c r="BI27" s="8" t="str">
        <f t="shared" ref="BI27" ca="1" si="179">IF(AND(BH27&lt;0,BH26&gt;0), "Cruce -", IF(AND(BH27&gt;0,BH26&lt;0),"Cruce +", ""))</f>
        <v>Cruce -</v>
      </c>
      <c r="BJ27" s="3" t="e">
        <f ca="1">IF($BP$1=1,DX27,IF(RTD("tos.rtd",,BJ$2,"."&amp;$A$2&amp;$AS$1&amp;"C"&amp;$A27)="N/A",0,RTD("tos.rtd",,BJ$2,"."&amp;$A$2&amp;$AS$1&amp;"C"&amp;$A27)))</f>
        <v>#NUM!</v>
      </c>
      <c r="BK27" s="3" t="e">
        <f ca="1">IF($BP$1=1,DY27,-IF(RTD("tos.rtd",,BK$2,"."&amp;$A$2&amp;$AS$1&amp;"P"&amp;$A27)="N/A",0,RTD("tos.rtd",,BK$2,"."&amp;$A$2&amp;$AS$1&amp;"P"&amp;$A27)))</f>
        <v>#NUM!</v>
      </c>
      <c r="BL27" s="3">
        <f ca="1">IF($BP$1=1,DZ27,IF(RTD("tos.rtd",,BL$2,"."&amp;$A$2&amp;$AU$1&amp;"C"&amp;$A27)="N/A",0,RTD("tos.rtd",,BL$2,"."&amp;$A$2&amp;$AU$1&amp;"C"&amp;$A27)))</f>
        <v>0</v>
      </c>
      <c r="BM27" s="3">
        <f ca="1">IF($BP$1=1,EA27,-IF(RTD("tos.rtd",,BM$2,"."&amp;$A$2&amp;$AU$1&amp;"P"&amp;$A27)="N/A",0,RTD("tos.rtd",,BM$2,"."&amp;$A$2&amp;$AU$1&amp;"P"&amp;$A27)))</f>
        <v>-2.4846661965739123E-2</v>
      </c>
      <c r="BN27" s="3">
        <f ca="1">IF($BP$1=1,EB27,IF(RTD("tos.rtd",,BN$2,"."&amp;$A$2&amp;$AW$1&amp;"C"&amp;$A27)="N/A",0,RTD("tos.rtd",,BN$2,"."&amp;$A$2&amp;$AW$1&amp;"C"&amp;$A27)))</f>
        <v>3.9645828779750758E-2</v>
      </c>
      <c r="BO27" s="3">
        <f ca="1">IF($BP$1=1,EC27,-IF(RTD("tos.rtd",,BO$2,"."&amp;$A$2&amp;$AW$1&amp;"P"&amp;$A27)="N/A",0,RTD("tos.rtd",,BO$2,"."&amp;$A$2&amp;$AW$1&amp;"P"&amp;$A27)))</f>
        <v>-3.0556225955720533E-2</v>
      </c>
      <c r="BQ27" s="3" t="e">
        <f t="shared" ca="1" si="147"/>
        <v>#NUM!</v>
      </c>
      <c r="BR27" s="3" t="e">
        <f t="shared" ca="1" si="70"/>
        <v>#NUM!</v>
      </c>
      <c r="BS27" s="3">
        <f t="shared" ca="1" si="148"/>
        <v>-16427129.355115542</v>
      </c>
      <c r="BT27" s="3" t="str">
        <f t="shared" ca="1" si="70"/>
        <v>Cruce -</v>
      </c>
      <c r="BU27" s="3">
        <f t="shared" ca="1" si="149"/>
        <v>23916658.166205019</v>
      </c>
      <c r="BV27" s="3" t="str">
        <f t="shared" ref="BV27" ca="1" si="180">IF(AND(BU27&lt;0,BU26&gt;0), "Cruce -", IF(AND(BU27&gt;0,BU26&lt;0),"Cruce +", ""))</f>
        <v>Cruce +</v>
      </c>
      <c r="BX27" s="3" t="e">
        <f t="shared" ca="1" si="151"/>
        <v>#NUM!</v>
      </c>
      <c r="BY27" s="3" t="e">
        <f t="shared" ca="1" si="72"/>
        <v>#NUM!</v>
      </c>
      <c r="BZ27" s="3">
        <f t="shared" ca="1" si="152"/>
        <v>-143349650.96207765</v>
      </c>
      <c r="CA27" s="3" t="str">
        <f t="shared" ca="1" si="73"/>
        <v>Cruce -</v>
      </c>
      <c r="CB27" s="3">
        <f t="shared" ca="1" si="153"/>
        <v>22029371.270960119</v>
      </c>
      <c r="CC27" s="3" t="str">
        <f t="shared" ca="1" si="74"/>
        <v>Cruce +</v>
      </c>
      <c r="CD27" s="3">
        <f>IF(RTD("tos.rtd",,CD$2,"."&amp;$A$2&amp;$AS$1&amp;"C"&amp;$A27)="N/A",0,RTD("tos.rtd",,CD$2,"."&amp;$A$2&amp;$AS$1&amp;"C"&amp;$A27))</f>
        <v>1</v>
      </c>
      <c r="CE27" s="3">
        <f>-IF(RTD("tos.rtd",,CE$2,"."&amp;$A$2&amp;$AS$1&amp;"P"&amp;$A27)="N/A",0,RTD("tos.rtd",,CE$2,"."&amp;$A$2&amp;$AS$1&amp;"P"&amp;$A27))</f>
        <v>0.01</v>
      </c>
      <c r="CF27" s="3">
        <f>IF(RTD("tos.rtd",,CF$2,"."&amp;$A$2&amp;$AU$1&amp;"C"&amp;$A27)="N/A",0,RTD("tos.rtd",,CF$2,"."&amp;$A$2&amp;$AU$1&amp;"C"&amp;$A27))</f>
        <v>1</v>
      </c>
      <c r="CG27" s="3">
        <f>-IF(RTD("tos.rtd",,CG$2,"."&amp;$A$2&amp;$AU$1&amp;"P"&amp;$A27)="N/A",0,RTD("tos.rtd",,CG$2,"."&amp;$A$2&amp;$AU$1&amp;"P"&amp;$A27))</f>
        <v>0.33</v>
      </c>
      <c r="CH27" s="3">
        <f>IF(RTD("tos.rtd",,CH$2,"."&amp;$A$2&amp;$AW$1&amp;"C"&amp;$A27)="N/A",0,RTD("tos.rtd",,CH$2,"."&amp;$A$2&amp;$AW$1&amp;"C"&amp;$A27))</f>
        <v>0.66</v>
      </c>
      <c r="CI27" s="3">
        <f>-IF(RTD("tos.rtd",,CI$2,"."&amp;$A$2&amp;$AW$1&amp;"P"&amp;$A27)="N/A",0,RTD("tos.rtd",,CI$2,"."&amp;$A$2&amp;$AW$1&amp;"P"&amp;$A27))</f>
        <v>0.39</v>
      </c>
      <c r="CK27" s="3">
        <f t="shared" si="154"/>
        <v>320967</v>
      </c>
      <c r="CL27" s="3"/>
      <c r="CM27" s="3">
        <f t="shared" si="155"/>
        <v>107992</v>
      </c>
      <c r="CN27" s="3"/>
      <c r="CO27" s="3">
        <f t="shared" si="156"/>
        <v>148638</v>
      </c>
      <c r="CP27" s="3">
        <f t="shared" si="157"/>
        <v>577597</v>
      </c>
      <c r="CQ27" s="3">
        <f t="shared" si="158"/>
        <v>-96976</v>
      </c>
      <c r="CR27" s="3"/>
      <c r="CS27" s="3">
        <f t="shared" si="159"/>
        <v>4655</v>
      </c>
      <c r="CT27" s="3"/>
      <c r="CU27" s="3">
        <f t="shared" si="160"/>
        <v>1145</v>
      </c>
      <c r="CV27" s="3">
        <f t="shared" si="161"/>
        <v>-91176</v>
      </c>
      <c r="CW27" s="3" t="e">
        <f t="shared" ca="1" si="162"/>
        <v>#NUM!</v>
      </c>
      <c r="CX27" s="85" t="e">
        <f t="shared" ca="1" si="75"/>
        <v>#NUM!</v>
      </c>
      <c r="CY27" s="3" t="e">
        <f t="shared" ca="1" si="163"/>
        <v>#NUM!</v>
      </c>
      <c r="CZ27" s="85" t="e">
        <f t="shared" ca="1" si="76"/>
        <v>#NUM!</v>
      </c>
      <c r="DA27" s="3">
        <f>IF(RTD("tos.rtd",,DA$2,"."&amp;$A$2&amp;$AS$1&amp;"C"&amp;$A27)="N/A",0,RTD("tos.rtd",,DA$2,"."&amp;$A$2&amp;$AS$1&amp;"C"&amp;$A27))</f>
        <v>2.2400000000000002</v>
      </c>
      <c r="DB27" s="3">
        <f>IF(RTD("tos.rtd",,DB$2,"."&amp;$A$2&amp;$AS$1&amp;"P"&amp;$A27)="N/A",0,RTD("tos.rtd",,DB$2,"."&amp;$A$2&amp;$AS$1&amp;"P"&amp;$A27))</f>
        <v>0.01</v>
      </c>
      <c r="DC27" s="3">
        <f>IF(RTD("tos.rtd",,DC$2,"."&amp;$A$2&amp;$AS$1&amp;"C"&amp;$A27)="N/A",0,RTD("tos.rtd",,DC$2,"."&amp;$A$2&amp;$AS$1&amp;"C"&amp;$A27))</f>
        <v>2.5099999999999998</v>
      </c>
      <c r="DD27" s="3">
        <f>IF(RTD("tos.rtd",,DD$2,"."&amp;$A$2&amp;$AS$1&amp;"P"&amp;$A27)="N/A",0,RTD("tos.rtd",,DD$2,"."&amp;$A$2&amp;$AS$1&amp;"P"&amp;$A27))</f>
        <v>0.01</v>
      </c>
      <c r="DE27" s="3">
        <f>IF(RTD("tos.rtd",,DE$2,"."&amp;$A$2&amp;$AS$1&amp;"C"&amp;$A27)="N/A",0,RTD("tos.rtd",,DE$2,"."&amp;$A$2&amp;$AS$1&amp;"C"&amp;$A27))</f>
        <v>2.36</v>
      </c>
      <c r="DF27" s="3">
        <f>IF(RTD("tos.rtd",,DF$2,"."&amp;$A$2&amp;$AS$1&amp;"P"&amp;$A27)="N/A",0,RTD("tos.rtd",,DF$2,"."&amp;$A$2&amp;$AS$1&amp;"P"&amp;$A27))</f>
        <v>0</v>
      </c>
      <c r="DG27" s="86">
        <f t="shared" si="48"/>
        <v>-5.3300000000000409</v>
      </c>
      <c r="DH27" s="3">
        <f t="shared" si="164"/>
        <v>-2.399999999999995</v>
      </c>
      <c r="DI27" s="3">
        <f t="shared" si="165"/>
        <v>-25</v>
      </c>
      <c r="DJ27" s="3">
        <f t="shared" si="166"/>
        <v>-3</v>
      </c>
      <c r="DK27" s="3">
        <f t="shared" si="51"/>
        <v>-25</v>
      </c>
      <c r="DL27" s="3">
        <f t="shared" si="52"/>
        <v>-27.399999999999995</v>
      </c>
      <c r="DM27" s="3">
        <f t="shared" si="53"/>
        <v>-28</v>
      </c>
      <c r="DN27" s="63" t="str">
        <f t="shared" si="54"/>
        <v>SELL</v>
      </c>
      <c r="DO27" s="63" t="str">
        <f t="shared" si="55"/>
        <v>BUY</v>
      </c>
      <c r="DP27" s="3">
        <f t="shared" si="56"/>
        <v>-5.6259999999999897</v>
      </c>
      <c r="DQ27" s="3">
        <f t="shared" si="57"/>
        <v>-6.9700000000000006</v>
      </c>
      <c r="DR27" s="3" t="e">
        <f t="shared" ca="1" si="58"/>
        <v>#NUM!</v>
      </c>
      <c r="DS27" s="3">
        <f t="shared" si="59"/>
        <v>-3.25</v>
      </c>
      <c r="DT27" s="3">
        <f t="shared" si="60"/>
        <v>3</v>
      </c>
      <c r="DU27" s="3">
        <f t="shared" si="61"/>
        <v>-25</v>
      </c>
      <c r="DV27" s="3">
        <f t="shared" si="62"/>
        <v>-2552</v>
      </c>
      <c r="DW27" s="3">
        <f t="shared" si="23"/>
        <v>27630</v>
      </c>
      <c r="DX27" s="3" t="e">
        <f t="shared" ca="1" si="24"/>
        <v>#NUM!</v>
      </c>
      <c r="DY27" s="3" t="e">
        <f t="shared" ca="1" si="25"/>
        <v>#NUM!</v>
      </c>
      <c r="DZ27" s="3">
        <f t="shared" ca="1" si="26"/>
        <v>0</v>
      </c>
      <c r="EA27" s="3">
        <f t="shared" ca="1" si="27"/>
        <v>-2.4846661965739123E-2</v>
      </c>
      <c r="EB27" s="3">
        <f t="shared" ca="1" si="28"/>
        <v>3.9645828779750758E-2</v>
      </c>
      <c r="EC27" s="3">
        <f t="shared" ca="1" si="29"/>
        <v>-3.0556225955720533E-2</v>
      </c>
      <c r="ED27" s="63">
        <f t="shared" si="63"/>
        <v>25078</v>
      </c>
      <c r="EE27" s="59">
        <f t="shared" si="167"/>
        <v>0.25</v>
      </c>
      <c r="EF27" s="59">
        <f t="shared" si="168"/>
        <v>0.51190000000000002</v>
      </c>
      <c r="EG27" s="59">
        <f t="shared" si="169"/>
        <v>1.4E-3</v>
      </c>
      <c r="EH27" s="59">
        <f t="shared" si="170"/>
        <v>0.32390000000000002</v>
      </c>
      <c r="EI27" s="59">
        <f t="shared" si="171"/>
        <v>0.16930000000000001</v>
      </c>
      <c r="EJ27" s="59">
        <f t="shared" si="172"/>
        <v>0.25190000000000001</v>
      </c>
      <c r="EL27" s="3" t="str">
        <f>RTD("tos.rtd",,EL$2,"."&amp;$A$2&amp;$AS$1&amp;"C"&amp;$A27)</f>
        <v>--</v>
      </c>
      <c r="EM27" s="3" t="str">
        <f>RTD("tos.rtd",,EM$2,"."&amp;$A$2&amp;$AS$1&amp;"P"&amp;$A27)</f>
        <v>51.19%</v>
      </c>
      <c r="EN27" s="3" t="str">
        <f>RTD("tos.rtd",,EN$2,"."&amp;$A$2&amp;$AU$1&amp;"C"&amp;$A27)</f>
        <v>0.14%</v>
      </c>
      <c r="EO27" s="3" t="str">
        <f>RTD("tos.rtd",,EO$2,"."&amp;$A$2&amp;$AU$1&amp;"P"&amp;$A27)</f>
        <v>32.39%</v>
      </c>
      <c r="EP27" s="3" t="str">
        <f>RTD("tos.rtd",,EP$2,"."&amp;$A$2&amp;$AW$1&amp;"C"&amp;$A27)</f>
        <v>16.93%</v>
      </c>
      <c r="EQ27" s="3" t="str">
        <f>RTD("tos.rtd",,EQ$2,"."&amp;$A$2&amp;$AW$1&amp;"P"&amp;$A27)</f>
        <v>25.19%</v>
      </c>
      <c r="ES27" s="63" t="str">
        <f t="shared" si="65"/>
        <v>559,25078.00</v>
      </c>
      <c r="ET27" s="63" t="str">
        <f t="shared" ca="1" si="66"/>
        <v>559,00.00</v>
      </c>
      <c r="EU27" s="67">
        <v>562.91999999999996</v>
      </c>
      <c r="EV27" s="67" t="s">
        <v>236</v>
      </c>
      <c r="EW27" s="67">
        <v>485.47</v>
      </c>
      <c r="EX27" s="67" t="s">
        <v>237</v>
      </c>
      <c r="EY27" s="67">
        <v>5642.75</v>
      </c>
      <c r="EZ27" s="67" t="s">
        <v>238</v>
      </c>
      <c r="FA27" s="67">
        <v>19942.5</v>
      </c>
      <c r="FB27" s="67" t="s">
        <v>239</v>
      </c>
      <c r="FC27" s="67" t="s">
        <v>240</v>
      </c>
      <c r="FD27" s="67" t="s">
        <v>241</v>
      </c>
      <c r="FE27" s="67" t="s">
        <v>242</v>
      </c>
      <c r="FF27" s="67" t="s">
        <v>243</v>
      </c>
    </row>
    <row r="28" spans="1:162" s="63" customFormat="1" ht="13.5" thickBot="1" x14ac:dyDescent="0.25">
      <c r="A28" s="2">
        <f t="shared" si="67"/>
        <v>558</v>
      </c>
      <c r="B28" s="3">
        <f t="shared" si="140"/>
        <v>10169</v>
      </c>
      <c r="C28" s="3">
        <f t="shared" si="141"/>
        <v>4847</v>
      </c>
      <c r="D28" s="3">
        <f t="shared" si="142"/>
        <v>14460</v>
      </c>
      <c r="E28" s="3">
        <f t="shared" si="143"/>
        <v>29476</v>
      </c>
      <c r="F28" s="4">
        <f t="shared" si="144"/>
        <v>5616.288341927595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>
        <v>-5743</v>
      </c>
      <c r="AN28" s="1">
        <v>-482</v>
      </c>
      <c r="AO28" s="1">
        <v>558</v>
      </c>
      <c r="AP28" s="1">
        <v>82401</v>
      </c>
      <c r="AQ28" s="1">
        <v>-252952</v>
      </c>
      <c r="AR28" s="1"/>
      <c r="AS28" s="6">
        <f>IF(RTD("tos.rtd",,AS$2,"."&amp;$A$2&amp;$AS$1&amp;"C"&amp;$A28)="N/A",0,RTD("tos.rtd",,AS$2,"."&amp;$A$2&amp;$AS$1&amp;"C"&amp;$A28))</f>
        <v>5359</v>
      </c>
      <c r="AT28" s="7">
        <f>-IF(RTD("tos.rtd",,AT$2,"."&amp;$A$2&amp;$AS$1&amp;"P"&amp;$A28)="N/A",0,RTD("tos.rtd",,AT$2,"."&amp;$A$2&amp;$AS$1&amp;"P"&amp;$A28))</f>
        <v>-4810</v>
      </c>
      <c r="AU28" s="6">
        <f>IF(RTD("tos.rtd",,AU$2,"."&amp;$A$2&amp;$AU$1&amp;"C"&amp;$A28)="N/A",0,RTD("tos.rtd",,AU$2,"."&amp;$A$2&amp;$AU$1&amp;"C"&amp;$A28))</f>
        <v>1532</v>
      </c>
      <c r="AV28" s="7">
        <f>-IF(RTD("tos.rtd",,AV$2,"."&amp;$A$2&amp;$AU$1&amp;"P"&amp;$A28)="N/A",0,RTD("tos.rtd",,AV$2,"."&amp;$A$2&amp;$AU$1&amp;"P"&amp;$A28))</f>
        <v>-3315</v>
      </c>
      <c r="AW28" s="6">
        <f>IF(RTD("tos.rtd",,AW$2,"."&amp;$A$2&amp;$AW$1&amp;"C"&amp;$A28)="N/A",0,RTD("tos.rtd",,AW$2,"."&amp;$A$2&amp;$AW$1&amp;"C"&amp;$A28))</f>
        <v>11385</v>
      </c>
      <c r="AX28" s="7">
        <f>-IF(RTD("tos.rtd",,AX$2,"."&amp;$A$2&amp;$AW$1&amp;"P"&amp;$A28)="N/A",0,RTD("tos.rtd",,AX$2,"."&amp;$A$2&amp;$AW$1&amp;"P"&amp;$A28))</f>
        <v>-3075</v>
      </c>
      <c r="AY28" s="1">
        <f t="shared" si="145"/>
        <v>7076</v>
      </c>
      <c r="AZ28" s="8">
        <f t="shared" si="35"/>
        <v>558</v>
      </c>
      <c r="BA28" s="6">
        <f>IF(RTD("tos.rtd",,BA$2,"."&amp;$A$2&amp;$AS$1&amp;"C"&amp;$A28)="N/A",0,RTD("tos.rtd",,BA$2,"."&amp;$A$2&amp;$AS$1&amp;"C"&amp;$A28))</f>
        <v>82402</v>
      </c>
      <c r="BB28" s="7">
        <f>-IF(RTD("tos.rtd",,BB$2,"."&amp;$A$2&amp;$AS$1&amp;"P"&amp;$A28)="N/A",0,RTD("tos.rtd",,BB$2,"."&amp;$A$2&amp;$AS$1&amp;"P"&amp;$A28))</f>
        <v>-253310</v>
      </c>
      <c r="BC28" s="6">
        <f>IF(RTD("tos.rtd",,BC$2,"."&amp;$A$2&amp;$AU$1&amp;"C"&amp;$A28)="N/A",0,RTD("tos.rtd",,BC$2,"."&amp;$A$2&amp;$AU$1&amp;"C"&amp;$A28))</f>
        <v>6794</v>
      </c>
      <c r="BD28" s="7">
        <f>-IF(RTD("tos.rtd",,BD$2,"."&amp;$A$2&amp;$AU$1&amp;"P"&amp;$A28)="N/A",0,RTD("tos.rtd",,BD$2,"."&amp;$A$2&amp;$AU$1&amp;"P"&amp;$A28))</f>
        <v>-16081</v>
      </c>
      <c r="BE28" s="6">
        <f>IF(RTD("tos.rtd",,BE$2,"."&amp;$A$2&amp;$AW$1&amp;"C"&amp;$A28)="N/A",0,RTD("tos.rtd",,BE$2,"."&amp;$A$2&amp;$AW$1&amp;"C"&amp;$A28))</f>
        <v>3340</v>
      </c>
      <c r="BF28" s="83">
        <f>-IF(RTD("tos.rtd",,BF$2,"."&amp;$A$2&amp;$AW$1&amp;"P"&amp;$A28)="N/A",0,RTD("tos.rtd",,BF$2,"."&amp;$A$2&amp;$AW$1&amp;"P"&amp;$A28))</f>
        <v>-3079</v>
      </c>
      <c r="BG28" s="32">
        <f ca="1">+Hoja2!Y29</f>
        <v>-1035</v>
      </c>
      <c r="BH28" s="7">
        <f t="shared" ca="1" si="36"/>
        <v>-180969</v>
      </c>
      <c r="BI28" s="8" t="str">
        <f t="shared" ref="BI28" ca="1" si="181">IF(AND(BH28&lt;0,BH27&gt;0), "Cruce -", IF(AND(BH28&gt;0,BH27&lt;0),"Cruce +", ""))</f>
        <v/>
      </c>
      <c r="BJ28" s="3" t="e">
        <f ca="1">IF($BP$1=1,DX28,IF(RTD("tos.rtd",,BJ$2,"."&amp;$A$2&amp;$AS$1&amp;"C"&amp;$A28)="N/A",0,RTD("tos.rtd",,BJ$2,"."&amp;$A$2&amp;$AS$1&amp;"C"&amp;$A28)))</f>
        <v>#NUM!</v>
      </c>
      <c r="BK28" s="3" t="e">
        <f ca="1">IF($BP$1=1,DY28,-IF(RTD("tos.rtd",,BK$2,"."&amp;$A$2&amp;$AS$1&amp;"P"&amp;$A28)="N/A",0,RTD("tos.rtd",,BK$2,"."&amp;$A$2&amp;$AS$1&amp;"P"&amp;$A28)))</f>
        <v>#NUM!</v>
      </c>
      <c r="BL28" s="3">
        <f ca="1">IF($BP$1=1,DZ28,IF(RTD("tos.rtd",,BL$2,"."&amp;$A$2&amp;$AU$1&amp;"C"&amp;$A28)="N/A",0,RTD("tos.rtd",,BL$2,"."&amp;$A$2&amp;$AU$1&amp;"C"&amp;$A28)))</f>
        <v>2.933208696844896E-2</v>
      </c>
      <c r="BM28" s="3">
        <f ca="1">IF($BP$1=1,EA28,-IF(RTD("tos.rtd",,BM$2,"."&amp;$A$2&amp;$AU$1&amp;"P"&amp;$A28)="N/A",0,RTD("tos.rtd",,BM$2,"."&amp;$A$2&amp;$AU$1&amp;"P"&amp;$A28)))</f>
        <v>-2.4210058147111361E-2</v>
      </c>
      <c r="BN28" s="3">
        <f ca="1">IF($BP$1=1,EB28,IF(RTD("tos.rtd",,BN$2,"."&amp;$A$2&amp;$AW$1&amp;"C"&amp;$A28)="N/A",0,RTD("tos.rtd",,BN$2,"."&amp;$A$2&amp;$AW$1&amp;"C"&amp;$A28)))</f>
        <v>3.5880315399729128E-2</v>
      </c>
      <c r="BO28" s="3">
        <f ca="1">IF($BP$1=1,EC28,-IF(RTD("tos.rtd",,BO$2,"."&amp;$A$2&amp;$AW$1&amp;"P"&amp;$A28)="N/A",0,RTD("tos.rtd",,BO$2,"."&amp;$A$2&amp;$AW$1&amp;"P"&amp;$A28)))</f>
        <v>-2.9094052217309693E-2</v>
      </c>
      <c r="BQ28" s="3" t="e">
        <f t="shared" ca="1" si="147"/>
        <v>#NUM!</v>
      </c>
      <c r="BR28" s="3" t="e">
        <f t="shared" ca="1" si="70"/>
        <v>#NUM!</v>
      </c>
      <c r="BS28" s="3">
        <f t="shared" ca="1" si="148"/>
        <v>-11248170.085026983</v>
      </c>
      <c r="BT28" s="3" t="str">
        <f t="shared" ca="1" si="70"/>
        <v/>
      </c>
      <c r="BU28" s="3">
        <f t="shared" ca="1" si="149"/>
        <v>101601970.16098225</v>
      </c>
      <c r="BV28" s="3" t="str">
        <f t="shared" ref="BV28" ca="1" si="182">IF(AND(BU28&lt;0,BU27&gt;0), "Cruce -", IF(AND(BU28&gt;0,BU27&lt;0),"Cruce +", ""))</f>
        <v/>
      </c>
      <c r="BX28" s="3" t="e">
        <f t="shared" ca="1" si="151"/>
        <v>#NUM!</v>
      </c>
      <c r="BY28" s="3" t="e">
        <f t="shared" ca="1" si="72"/>
        <v>#NUM!</v>
      </c>
      <c r="BZ28" s="3">
        <f t="shared" ca="1" si="152"/>
        <v>-60521644.197706759</v>
      </c>
      <c r="CA28" s="3" t="str">
        <f t="shared" ca="1" si="73"/>
        <v/>
      </c>
      <c r="CB28" s="3">
        <f t="shared" ca="1" si="153"/>
        <v>9636746.0788372383</v>
      </c>
      <c r="CC28" s="3" t="str">
        <f t="shared" ca="1" si="74"/>
        <v/>
      </c>
      <c r="CD28" s="3">
        <f>IF(RTD("tos.rtd",,CD$2,"."&amp;$A$2&amp;$AS$1&amp;"C"&amp;$A28)="N/A",0,RTD("tos.rtd",,CD$2,"."&amp;$A$2&amp;$AS$1&amp;"C"&amp;$A28))</f>
        <v>1</v>
      </c>
      <c r="CE28" s="3">
        <f>-IF(RTD("tos.rtd",,CE$2,"."&amp;$A$2&amp;$AS$1&amp;"P"&amp;$A28)="N/A",0,RTD("tos.rtd",,CE$2,"."&amp;$A$2&amp;$AS$1&amp;"P"&amp;$A28))</f>
        <v>0.01</v>
      </c>
      <c r="CF28" s="3">
        <f>IF(RTD("tos.rtd",,CF$2,"."&amp;$A$2&amp;$AU$1&amp;"C"&amp;$A28)="N/A",0,RTD("tos.rtd",,CF$2,"."&amp;$A$2&amp;$AU$1&amp;"C"&amp;$A28))</f>
        <v>1</v>
      </c>
      <c r="CG28" s="3">
        <f>-IF(RTD("tos.rtd",,CG$2,"."&amp;$A$2&amp;$AU$1&amp;"P"&amp;$A28)="N/A",0,RTD("tos.rtd",,CG$2,"."&amp;$A$2&amp;$AU$1&amp;"P"&amp;$A28))</f>
        <v>0.3</v>
      </c>
      <c r="CH28" s="3">
        <f>IF(RTD("tos.rtd",,CH$2,"."&amp;$A$2&amp;$AW$1&amp;"C"&amp;$A28)="N/A",0,RTD("tos.rtd",,CH$2,"."&amp;$A$2&amp;$AW$1&amp;"C"&amp;$A28))</f>
        <v>0.68</v>
      </c>
      <c r="CI28" s="3">
        <f>-IF(RTD("tos.rtd",,CI$2,"."&amp;$A$2&amp;$AW$1&amp;"P"&amp;$A28)="N/A",0,RTD("tos.rtd",,CI$2,"."&amp;$A$2&amp;$AW$1&amp;"P"&amp;$A28))</f>
        <v>0.37</v>
      </c>
      <c r="CK28" s="3">
        <f t="shared" si="154"/>
        <v>531090</v>
      </c>
      <c r="CL28" s="3"/>
      <c r="CM28" s="3">
        <f t="shared" si="155"/>
        <v>53750</v>
      </c>
      <c r="CN28" s="3"/>
      <c r="CO28" s="3">
        <f t="shared" si="156"/>
        <v>660405</v>
      </c>
      <c r="CP28" s="3">
        <f t="shared" si="157"/>
        <v>1245245</v>
      </c>
      <c r="CQ28" s="3">
        <f t="shared" si="158"/>
        <v>-170908</v>
      </c>
      <c r="CR28" s="3"/>
      <c r="CS28" s="3">
        <f t="shared" si="159"/>
        <v>-9287</v>
      </c>
      <c r="CT28" s="3"/>
      <c r="CU28" s="3">
        <f t="shared" si="160"/>
        <v>261</v>
      </c>
      <c r="CV28" s="3">
        <f t="shared" si="161"/>
        <v>-179934</v>
      </c>
      <c r="CW28" s="3" t="e">
        <f t="shared" ca="1" si="162"/>
        <v>#NUM!</v>
      </c>
      <c r="CX28" s="85" t="e">
        <f t="shared" ca="1" si="75"/>
        <v>#NUM!</v>
      </c>
      <c r="CY28" s="3" t="e">
        <f t="shared" ca="1" si="163"/>
        <v>#NUM!</v>
      </c>
      <c r="CZ28" s="85" t="e">
        <f t="shared" ca="1" si="76"/>
        <v>#NUM!</v>
      </c>
      <c r="DA28" s="3">
        <f>IF(RTD("tos.rtd",,DA$2,"."&amp;$A$2&amp;$AS$1&amp;"C"&amp;$A28)="N/A",0,RTD("tos.rtd",,DA$2,"."&amp;$A$2&amp;$AS$1&amp;"C"&amp;$A28))</f>
        <v>3.23</v>
      </c>
      <c r="DB28" s="3">
        <f>IF(RTD("tos.rtd",,DB$2,"."&amp;$A$2&amp;$AS$1&amp;"P"&amp;$A28)="N/A",0,RTD("tos.rtd",,DB$2,"."&amp;$A$2&amp;$AS$1&amp;"P"&amp;$A28))</f>
        <v>0.01</v>
      </c>
      <c r="DC28" s="3">
        <f>IF(RTD("tos.rtd",,DC$2,"."&amp;$A$2&amp;$AS$1&amp;"C"&amp;$A28)="N/A",0,RTD("tos.rtd",,DC$2,"."&amp;$A$2&amp;$AS$1&amp;"C"&amp;$A28))</f>
        <v>4.12</v>
      </c>
      <c r="DD28" s="3">
        <f>IF(RTD("tos.rtd",,DD$2,"."&amp;$A$2&amp;$AS$1&amp;"P"&amp;$A28)="N/A",0,RTD("tos.rtd",,DD$2,"."&amp;$A$2&amp;$AS$1&amp;"P"&amp;$A28))</f>
        <v>0.02</v>
      </c>
      <c r="DE28" s="3">
        <f>IF(RTD("tos.rtd",,DE$2,"."&amp;$A$2&amp;$AS$1&amp;"C"&amp;$A28)="N/A",0,RTD("tos.rtd",,DE$2,"."&amp;$A$2&amp;$AS$1&amp;"C"&amp;$A28))</f>
        <v>2.57</v>
      </c>
      <c r="DF28" s="3">
        <f>IF(RTD("tos.rtd",,DF$2,"."&amp;$A$2&amp;$AS$1&amp;"P"&amp;$A28)="N/A",0,RTD("tos.rtd",,DF$2,"."&amp;$A$2&amp;$AS$1&amp;"P"&amp;$A28))</f>
        <v>0.01</v>
      </c>
      <c r="DG28" s="86">
        <f t="shared" si="48"/>
        <v>-6.3300000000000409</v>
      </c>
      <c r="DH28" s="3">
        <f t="shared" si="164"/>
        <v>0.42580645161290326</v>
      </c>
      <c r="DI28" s="3">
        <f t="shared" si="165"/>
        <v>0</v>
      </c>
      <c r="DJ28" s="3">
        <f t="shared" si="166"/>
        <v>0</v>
      </c>
      <c r="DK28" s="3">
        <f t="shared" si="51"/>
        <v>358</v>
      </c>
      <c r="DL28" s="3">
        <f t="shared" si="52"/>
        <v>0.42580645161290326</v>
      </c>
      <c r="DM28" s="3">
        <f t="shared" si="53"/>
        <v>358</v>
      </c>
      <c r="DN28" s="63" t="str">
        <f t="shared" si="54"/>
        <v>UNKNOWN</v>
      </c>
      <c r="DO28" s="63" t="str">
        <f t="shared" si="55"/>
        <v>SELL</v>
      </c>
      <c r="DP28" s="3">
        <f t="shared" si="56"/>
        <v>1.3753548387096775</v>
      </c>
      <c r="DQ28" s="3">
        <f t="shared" si="57"/>
        <v>3.58</v>
      </c>
      <c r="DR28" s="3" t="e">
        <f t="shared" ca="1" si="58"/>
        <v>#NUM!</v>
      </c>
      <c r="DS28" s="3">
        <f t="shared" si="59"/>
        <v>3.58</v>
      </c>
      <c r="DT28" s="3">
        <f t="shared" si="60"/>
        <v>1</v>
      </c>
      <c r="DU28" s="3">
        <f t="shared" si="61"/>
        <v>-358</v>
      </c>
      <c r="DV28" s="3">
        <f t="shared" si="62"/>
        <v>-5743</v>
      </c>
      <c r="DW28" s="3">
        <f t="shared" si="23"/>
        <v>-124</v>
      </c>
      <c r="DX28" s="3" t="e">
        <f t="shared" ca="1" si="24"/>
        <v>#NUM!</v>
      </c>
      <c r="DY28" s="3" t="e">
        <f t="shared" ca="1" si="25"/>
        <v>#NUM!</v>
      </c>
      <c r="DZ28" s="3">
        <f t="shared" ca="1" si="26"/>
        <v>2.933208696844896E-2</v>
      </c>
      <c r="EA28" s="3">
        <f t="shared" ca="1" si="27"/>
        <v>-2.4210058147111361E-2</v>
      </c>
      <c r="EB28" s="3">
        <f t="shared" ca="1" si="28"/>
        <v>3.5880315399729128E-2</v>
      </c>
      <c r="EC28" s="3">
        <f t="shared" ca="1" si="29"/>
        <v>-2.9094052217309693E-2</v>
      </c>
      <c r="ED28" s="63">
        <f t="shared" si="63"/>
        <v>-5867</v>
      </c>
      <c r="EE28" s="59">
        <f t="shared" si="167"/>
        <v>0.25</v>
      </c>
      <c r="EF28" s="59">
        <f t="shared" si="168"/>
        <v>0.68410000000000004</v>
      </c>
      <c r="EG28" s="59">
        <f t="shared" si="169"/>
        <v>0.25</v>
      </c>
      <c r="EH28" s="59">
        <f t="shared" si="170"/>
        <v>0.32300000000000001</v>
      </c>
      <c r="EI28" s="59">
        <f t="shared" si="171"/>
        <v>0.16869999999999999</v>
      </c>
      <c r="EJ28" s="59">
        <f t="shared" si="172"/>
        <v>0.253</v>
      </c>
      <c r="EL28" s="3" t="str">
        <f>RTD("tos.rtd",,EL$2,"."&amp;$A$2&amp;$AS$1&amp;"C"&amp;$A28)</f>
        <v>--</v>
      </c>
      <c r="EM28" s="3" t="str">
        <f>RTD("tos.rtd",,EM$2,"."&amp;$A$2&amp;$AS$1&amp;"P"&amp;$A28)</f>
        <v>68.41%</v>
      </c>
      <c r="EN28" s="3" t="str">
        <f>RTD("tos.rtd",,EN$2,"."&amp;$A$2&amp;$AU$1&amp;"C"&amp;$A28)</f>
        <v>--</v>
      </c>
      <c r="EO28" s="3" t="str">
        <f>RTD("tos.rtd",,EO$2,"."&amp;$A$2&amp;$AU$1&amp;"P"&amp;$A28)</f>
        <v>32.30%</v>
      </c>
      <c r="EP28" s="3" t="str">
        <f>RTD("tos.rtd",,EP$2,"."&amp;$A$2&amp;$AW$1&amp;"C"&amp;$A28)</f>
        <v>16.87%</v>
      </c>
      <c r="EQ28" s="3" t="str">
        <f>RTD("tos.rtd",,EQ$2,"."&amp;$A$2&amp;$AW$1&amp;"P"&amp;$A28)</f>
        <v>25.30%</v>
      </c>
      <c r="ES28" s="63" t="str">
        <f t="shared" si="65"/>
        <v>558,-5867.00</v>
      </c>
      <c r="ET28" s="63" t="str">
        <f t="shared" ca="1" si="66"/>
        <v>558,00.00</v>
      </c>
      <c r="EU28" s="67">
        <v>562.91</v>
      </c>
      <c r="EV28" s="67" t="s">
        <v>244</v>
      </c>
      <c r="EW28" s="67">
        <v>485.6</v>
      </c>
      <c r="EX28" s="67" t="s">
        <v>245</v>
      </c>
      <c r="EY28" s="67">
        <v>5643</v>
      </c>
      <c r="EZ28" s="67" t="s">
        <v>246</v>
      </c>
      <c r="FA28" s="67">
        <v>19943.25</v>
      </c>
      <c r="FB28" s="67" t="s">
        <v>247</v>
      </c>
      <c r="FC28" s="67" t="s">
        <v>248</v>
      </c>
      <c r="FD28" s="67" t="s">
        <v>249</v>
      </c>
      <c r="FE28" s="67" t="s">
        <v>250</v>
      </c>
      <c r="FF28" s="67" t="s">
        <v>251</v>
      </c>
    </row>
    <row r="29" spans="1:162" s="63" customFormat="1" ht="13.5" thickBot="1" x14ac:dyDescent="0.25">
      <c r="A29" s="2">
        <f t="shared" si="67"/>
        <v>557</v>
      </c>
      <c r="B29" s="3">
        <f t="shared" si="140"/>
        <v>9513</v>
      </c>
      <c r="C29" s="3">
        <f t="shared" si="141"/>
        <v>6362</v>
      </c>
      <c r="D29" s="3">
        <f t="shared" si="142"/>
        <v>11735</v>
      </c>
      <c r="E29" s="3">
        <f t="shared" si="143"/>
        <v>27610</v>
      </c>
      <c r="F29" s="4">
        <f t="shared" si="144"/>
        <v>5606.223309056757</v>
      </c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>
        <v>10750</v>
      </c>
      <c r="AN29" s="1">
        <v>20947</v>
      </c>
      <c r="AO29" s="1">
        <v>557</v>
      </c>
      <c r="AP29" s="1">
        <v>42757</v>
      </c>
      <c r="AQ29" s="1">
        <v>-199130</v>
      </c>
      <c r="AR29" s="1"/>
      <c r="AS29" s="6">
        <f>IF(RTD("tos.rtd",,AS$2,"."&amp;$A$2&amp;$AS$1&amp;"C"&amp;$A29)="N/A",0,RTD("tos.rtd",,AS$2,"."&amp;$A$2&amp;$AS$1&amp;"C"&amp;$A29))</f>
        <v>4419</v>
      </c>
      <c r="AT29" s="7">
        <f>-IF(RTD("tos.rtd",,AT$2,"."&amp;$A$2&amp;$AS$1&amp;"P"&amp;$A29)="N/A",0,RTD("tos.rtd",,AT$2,"."&amp;$A$2&amp;$AS$1&amp;"P"&amp;$A29))</f>
        <v>-5094</v>
      </c>
      <c r="AU29" s="6">
        <f>IF(RTD("tos.rtd",,AU$2,"."&amp;$A$2&amp;$AU$1&amp;"C"&amp;$A29)="N/A",0,RTD("tos.rtd",,AU$2,"."&amp;$A$2&amp;$AU$1&amp;"C"&amp;$A29))</f>
        <v>1502</v>
      </c>
      <c r="AV29" s="7">
        <f>-IF(RTD("tos.rtd",,AV$2,"."&amp;$A$2&amp;$AU$1&amp;"P"&amp;$A29)="N/A",0,RTD("tos.rtd",,AV$2,"."&amp;$A$2&amp;$AU$1&amp;"P"&amp;$A29))</f>
        <v>-4860</v>
      </c>
      <c r="AW29" s="6">
        <f>IF(RTD("tos.rtd",,AW$2,"."&amp;$A$2&amp;$AW$1&amp;"C"&amp;$A29)="N/A",0,RTD("tos.rtd",,AW$2,"."&amp;$A$2&amp;$AW$1&amp;"C"&amp;$A29))</f>
        <v>2126</v>
      </c>
      <c r="AX29" s="7">
        <f>-IF(RTD("tos.rtd",,AX$2,"."&amp;$A$2&amp;$AW$1&amp;"P"&amp;$A29)="N/A",0,RTD("tos.rtd",,AX$2,"."&amp;$A$2&amp;$AW$1&amp;"P"&amp;$A29))</f>
        <v>-9609</v>
      </c>
      <c r="AY29" s="1">
        <f t="shared" si="145"/>
        <v>-11516</v>
      </c>
      <c r="AZ29" s="8">
        <f t="shared" si="35"/>
        <v>557</v>
      </c>
      <c r="BA29" s="6">
        <f>IF(RTD("tos.rtd",,BA$2,"."&amp;$A$2&amp;$AS$1&amp;"C"&amp;$A29)="N/A",0,RTD("tos.rtd",,BA$2,"."&amp;$A$2&amp;$AS$1&amp;"C"&amp;$A29))</f>
        <v>42757</v>
      </c>
      <c r="BB29" s="7">
        <f>-IF(RTD("tos.rtd",,BB$2,"."&amp;$A$2&amp;$AS$1&amp;"P"&amp;$A29)="N/A",0,RTD("tos.rtd",,BB$2,"."&amp;$A$2&amp;$AS$1&amp;"P"&amp;$A29))</f>
        <v>-199130</v>
      </c>
      <c r="BC29" s="6">
        <f>IF(RTD("tos.rtd",,BC$2,"."&amp;$A$2&amp;$AU$1&amp;"C"&amp;$A29)="N/A",0,RTD("tos.rtd",,BC$2,"."&amp;$A$2&amp;$AU$1&amp;"C"&amp;$A29))</f>
        <v>3398</v>
      </c>
      <c r="BD29" s="7">
        <f>-IF(RTD("tos.rtd",,BD$2,"."&amp;$A$2&amp;$AU$1&amp;"P"&amp;$A29)="N/A",0,RTD("tos.rtd",,BD$2,"."&amp;$A$2&amp;$AU$1&amp;"P"&amp;$A29))</f>
        <v>-15791</v>
      </c>
      <c r="BE29" s="6">
        <f>IF(RTD("tos.rtd",,BE$2,"."&amp;$A$2&amp;$AW$1&amp;"C"&amp;$A29)="N/A",0,RTD("tos.rtd",,BE$2,"."&amp;$A$2&amp;$AW$1&amp;"C"&amp;$A29))</f>
        <v>1658</v>
      </c>
      <c r="BF29" s="83">
        <f>-IF(RTD("tos.rtd",,BF$2,"."&amp;$A$2&amp;$AW$1&amp;"P"&amp;$A29)="N/A",0,RTD("tos.rtd",,BF$2,"."&amp;$A$2&amp;$AW$1&amp;"P"&amp;$A29))</f>
        <v>-1181</v>
      </c>
      <c r="BG29" s="32">
        <f ca="1">+Hoja2!Y30</f>
        <v>-874</v>
      </c>
      <c r="BH29" s="7">
        <f t="shared" ca="1" si="36"/>
        <v>-169163</v>
      </c>
      <c r="BI29" s="8" t="str">
        <f t="shared" ref="BI29" ca="1" si="183">IF(AND(BH29&lt;0,BH28&gt;0), "Cruce -", IF(AND(BH29&gt;0,BH28&lt;0),"Cruce +", ""))</f>
        <v/>
      </c>
      <c r="BJ29" s="3" t="e">
        <f ca="1">IF($BP$1=1,DX29,IF(RTD("tos.rtd",,BJ$2,"."&amp;$A$2&amp;$AS$1&amp;"C"&amp;$A29)="N/A",0,RTD("tos.rtd",,BJ$2,"."&amp;$A$2&amp;$AS$1&amp;"C"&amp;$A29)))</f>
        <v>#NUM!</v>
      </c>
      <c r="BK29" s="3" t="e">
        <f ca="1">IF($BP$1=1,DY29,-IF(RTD("tos.rtd",,BK$2,"."&amp;$A$2&amp;$AS$1&amp;"P"&amp;$A29)="N/A",0,RTD("tos.rtd",,BK$2,"."&amp;$A$2&amp;$AS$1&amp;"P"&amp;$A29)))</f>
        <v>#NUM!</v>
      </c>
      <c r="BL29" s="3">
        <f ca="1">IF($BP$1=1,DZ29,IF(RTD("tos.rtd",,BL$2,"."&amp;$A$2&amp;$AU$1&amp;"C"&amp;$A29)="N/A",0,RTD("tos.rtd",,BL$2,"."&amp;$A$2&amp;$AU$1&amp;"C"&amp;$A29)))</f>
        <v>2.7775226375826041E-2</v>
      </c>
      <c r="BM29" s="3">
        <f ca="1">IF($BP$1=1,EA29,-IF(RTD("tos.rtd",,BM$2,"."&amp;$A$2&amp;$AU$1&amp;"P"&amp;$A29)="N/A",0,RTD("tos.rtd",,BM$2,"."&amp;$A$2&amp;$AU$1&amp;"P"&amp;$A29)))</f>
        <v>-2.3434224203342392E-2</v>
      </c>
      <c r="BN29" s="3">
        <f ca="1">IF($BP$1=1,EB29,IF(RTD("tos.rtd",,BN$2,"."&amp;$A$2&amp;$AW$1&amp;"C"&amp;$A29)="N/A",0,RTD("tos.rtd",,BN$2,"."&amp;$A$2&amp;$AW$1&amp;"C"&amp;$A29)))</f>
        <v>3.1871910918703852E-2</v>
      </c>
      <c r="BO29" s="3">
        <f ca="1">IF($BP$1=1,EC29,-IF(RTD("tos.rtd",,BO$2,"."&amp;$A$2&amp;$AW$1&amp;"P"&amp;$A29)="N/A",0,RTD("tos.rtd",,BO$2,"."&amp;$A$2&amp;$AW$1&amp;"P"&amp;$A29)))</f>
        <v>-2.7514896050368259E-2</v>
      </c>
      <c r="BQ29" s="3" t="e">
        <f t="shared" ca="1" si="147"/>
        <v>#NUM!</v>
      </c>
      <c r="BR29" s="3" t="e">
        <f t="shared" ca="1" si="70"/>
        <v>#NUM!</v>
      </c>
      <c r="BS29" s="3">
        <f t="shared" ca="1" si="148"/>
        <v>-22984478.445065588</v>
      </c>
      <c r="BT29" s="3" t="str">
        <f t="shared" ca="1" si="70"/>
        <v/>
      </c>
      <c r="BU29" s="3">
        <f t="shared" ca="1" si="149"/>
        <v>-62620735.11486809</v>
      </c>
      <c r="BV29" s="3" t="str">
        <f t="shared" ref="BV29" ca="1" si="184">IF(AND(BU29&lt;0,BU28&gt;0), "Cruce -", IF(AND(BU29&gt;0,BU28&lt;0),"Cruce +", ""))</f>
        <v>Cruce -</v>
      </c>
      <c r="BX29" s="3" t="e">
        <f t="shared" ca="1" si="151"/>
        <v>#NUM!</v>
      </c>
      <c r="BY29" s="3" t="e">
        <f t="shared" ca="1" si="72"/>
        <v>#NUM!</v>
      </c>
      <c r="BZ29" s="3">
        <f t="shared" ca="1" si="152"/>
        <v>-87792047.18506372</v>
      </c>
      <c r="CA29" s="3" t="str">
        <f t="shared" ca="1" si="73"/>
        <v/>
      </c>
      <c r="CB29" s="3">
        <f t="shared" ca="1" si="153"/>
        <v>6480364.684020821</v>
      </c>
      <c r="CC29" s="3" t="str">
        <f t="shared" ca="1" si="74"/>
        <v/>
      </c>
      <c r="CD29" s="3">
        <f>IF(RTD("tos.rtd",,CD$2,"."&amp;$A$2&amp;$AS$1&amp;"C"&amp;$A29)="N/A",0,RTD("tos.rtd",,CD$2,"."&amp;$A$2&amp;$AS$1&amp;"C"&amp;$A29))</f>
        <v>1</v>
      </c>
      <c r="CE29" s="3">
        <f>-IF(RTD("tos.rtd",,CE$2,"."&amp;$A$2&amp;$AS$1&amp;"P"&amp;$A29)="N/A",0,RTD("tos.rtd",,CE$2,"."&amp;$A$2&amp;$AS$1&amp;"P"&amp;$A29))</f>
        <v>0.01</v>
      </c>
      <c r="CF29" s="3">
        <f>IF(RTD("tos.rtd",,CF$2,"."&amp;$A$2&amp;$AU$1&amp;"C"&amp;$A29)="N/A",0,RTD("tos.rtd",,CF$2,"."&amp;$A$2&amp;$AU$1&amp;"C"&amp;$A29))</f>
        <v>1</v>
      </c>
      <c r="CG29" s="3">
        <f>-IF(RTD("tos.rtd",,CG$2,"."&amp;$A$2&amp;$AU$1&amp;"P"&amp;$A29)="N/A",0,RTD("tos.rtd",,CG$2,"."&amp;$A$2&amp;$AU$1&amp;"P"&amp;$A29))</f>
        <v>0.27</v>
      </c>
      <c r="CH29" s="3">
        <f>IF(RTD("tos.rtd",,CH$2,"."&amp;$A$2&amp;$AW$1&amp;"C"&amp;$A29)="N/A",0,RTD("tos.rtd",,CH$2,"."&amp;$A$2&amp;$AW$1&amp;"C"&amp;$A29))</f>
        <v>0.71</v>
      </c>
      <c r="CI29" s="3">
        <f>-IF(RTD("tos.rtd",,CI$2,"."&amp;$A$2&amp;$AW$1&amp;"P"&amp;$A29)="N/A",0,RTD("tos.rtd",,CI$2,"."&amp;$A$2&amp;$AW$1&amp;"P"&amp;$A29))</f>
        <v>0.36</v>
      </c>
      <c r="CK29" s="3">
        <f t="shared" si="154"/>
        <v>436806</v>
      </c>
      <c r="CL29" s="3"/>
      <c r="CM29" s="3">
        <f t="shared" si="155"/>
        <v>18980</v>
      </c>
      <c r="CN29" s="3"/>
      <c r="CO29" s="3">
        <f t="shared" si="156"/>
        <v>-194978</v>
      </c>
      <c r="CP29" s="3">
        <f t="shared" si="157"/>
        <v>260808</v>
      </c>
      <c r="CQ29" s="3">
        <f t="shared" si="158"/>
        <v>-156373</v>
      </c>
      <c r="CR29" s="3"/>
      <c r="CS29" s="3">
        <f t="shared" si="159"/>
        <v>-12393</v>
      </c>
      <c r="CT29" s="3"/>
      <c r="CU29" s="3">
        <f t="shared" si="160"/>
        <v>477</v>
      </c>
      <c r="CV29" s="3">
        <f t="shared" si="161"/>
        <v>-168289</v>
      </c>
      <c r="CW29" s="3" t="e">
        <f t="shared" ca="1" si="162"/>
        <v>#NUM!</v>
      </c>
      <c r="CX29" s="85" t="e">
        <f t="shared" ca="1" si="75"/>
        <v>#NUM!</v>
      </c>
      <c r="CY29" s="3" t="e">
        <f t="shared" ca="1" si="163"/>
        <v>#NUM!</v>
      </c>
      <c r="CZ29" s="85" t="e">
        <f t="shared" ca="1" si="76"/>
        <v>#NUM!</v>
      </c>
      <c r="DA29" s="3">
        <f>IF(RTD("tos.rtd",,DA$2,"."&amp;$A$2&amp;$AS$1&amp;"C"&amp;$A29)="N/A",0,RTD("tos.rtd",,DA$2,"."&amp;$A$2&amp;$AS$1&amp;"C"&amp;$A29))</f>
        <v>4.09</v>
      </c>
      <c r="DB29" s="3">
        <f>IF(RTD("tos.rtd",,DB$2,"."&amp;$A$2&amp;$AS$1&amp;"P"&amp;$A29)="N/A",0,RTD("tos.rtd",,DB$2,"."&amp;$A$2&amp;$AS$1&amp;"P"&amp;$A29))</f>
        <v>0.01</v>
      </c>
      <c r="DC29" s="3">
        <f>IF(RTD("tos.rtd",,DC$2,"."&amp;$A$2&amp;$AS$1&amp;"C"&amp;$A29)="N/A",0,RTD("tos.rtd",,DC$2,"."&amp;$A$2&amp;$AS$1&amp;"C"&amp;$A29))</f>
        <v>5.09</v>
      </c>
      <c r="DD29" s="3">
        <f>IF(RTD("tos.rtd",,DD$2,"."&amp;$A$2&amp;$AS$1&amp;"P"&amp;$A29)="N/A",0,RTD("tos.rtd",,DD$2,"."&amp;$A$2&amp;$AS$1&amp;"P"&amp;$A29))</f>
        <v>0.01</v>
      </c>
      <c r="DE29" s="3">
        <f>IF(RTD("tos.rtd",,DE$2,"."&amp;$A$2&amp;$AS$1&amp;"C"&amp;$A29)="N/A",0,RTD("tos.rtd",,DE$2,"."&amp;$A$2&amp;$AS$1&amp;"C"&amp;$A29))</f>
        <v>3.6</v>
      </c>
      <c r="DF29" s="3">
        <f>IF(RTD("tos.rtd",,DF$2,"."&amp;$A$2&amp;$AS$1&amp;"P"&amp;$A29)="N/A",0,RTD("tos.rtd",,DF$2,"."&amp;$A$2&amp;$AS$1&amp;"P"&amp;$A29))</f>
        <v>0</v>
      </c>
      <c r="DG29" s="86">
        <f t="shared" si="48"/>
        <v>-7.3300000000000409</v>
      </c>
      <c r="DH29" s="3">
        <f t="shared" si="164"/>
        <v>0</v>
      </c>
      <c r="DI29" s="3">
        <f t="shared" si="165"/>
        <v>0</v>
      </c>
      <c r="DJ29" s="3">
        <f t="shared" si="166"/>
        <v>0</v>
      </c>
      <c r="DK29" s="3">
        <f t="shared" si="51"/>
        <v>0</v>
      </c>
      <c r="DL29" s="3">
        <f t="shared" si="52"/>
        <v>0</v>
      </c>
      <c r="DM29" s="3">
        <f t="shared" si="53"/>
        <v>0</v>
      </c>
      <c r="DN29" s="63" t="str">
        <f t="shared" si="54"/>
        <v>UNKNOWN</v>
      </c>
      <c r="DO29" s="63" t="str">
        <f t="shared" si="55"/>
        <v>UNKNOWN</v>
      </c>
      <c r="DP29" s="3">
        <f t="shared" si="56"/>
        <v>0</v>
      </c>
      <c r="DQ29" s="3">
        <f t="shared" si="57"/>
        <v>0</v>
      </c>
      <c r="DR29" s="3" t="e">
        <f t="shared" ca="1" si="58"/>
        <v>#NUM!</v>
      </c>
      <c r="DS29" s="3">
        <f t="shared" si="59"/>
        <v>0</v>
      </c>
      <c r="DT29" s="3">
        <f t="shared" si="60"/>
        <v>0</v>
      </c>
      <c r="DU29" s="3">
        <f t="shared" si="61"/>
        <v>0</v>
      </c>
      <c r="DV29" s="3">
        <f t="shared" si="62"/>
        <v>10750</v>
      </c>
      <c r="DW29" s="3">
        <f t="shared" si="23"/>
        <v>20947</v>
      </c>
      <c r="DX29" s="3" t="e">
        <f t="shared" ca="1" si="24"/>
        <v>#NUM!</v>
      </c>
      <c r="DY29" s="3" t="e">
        <f t="shared" ca="1" si="25"/>
        <v>#NUM!</v>
      </c>
      <c r="DZ29" s="3">
        <f t="shared" ca="1" si="26"/>
        <v>2.7775226375826041E-2</v>
      </c>
      <c r="EA29" s="3">
        <f t="shared" ca="1" si="27"/>
        <v>-2.3434224203342392E-2</v>
      </c>
      <c r="EB29" s="3">
        <f t="shared" ca="1" si="28"/>
        <v>3.1871910918703852E-2</v>
      </c>
      <c r="EC29" s="3">
        <f t="shared" ca="1" si="29"/>
        <v>-2.7514896050368259E-2</v>
      </c>
      <c r="ED29" s="63">
        <f t="shared" si="63"/>
        <v>31697</v>
      </c>
      <c r="EE29" s="59">
        <f t="shared" si="167"/>
        <v>0.25</v>
      </c>
      <c r="EF29" s="59">
        <f t="shared" si="168"/>
        <v>0.68</v>
      </c>
      <c r="EG29" s="59">
        <f t="shared" si="169"/>
        <v>0.25</v>
      </c>
      <c r="EH29" s="59">
        <f t="shared" si="170"/>
        <v>0.32279999999999998</v>
      </c>
      <c r="EI29" s="59">
        <f t="shared" si="171"/>
        <v>0.16800000000000001</v>
      </c>
      <c r="EJ29" s="59">
        <f t="shared" si="172"/>
        <v>0.25409999999999999</v>
      </c>
      <c r="EL29" s="3" t="str">
        <f>RTD("tos.rtd",,EL$2,"."&amp;$A$2&amp;$AS$1&amp;"C"&amp;$A29)</f>
        <v>--</v>
      </c>
      <c r="EM29" s="3" t="str">
        <f>RTD("tos.rtd",,EM$2,"."&amp;$A$2&amp;$AS$1&amp;"P"&amp;$A29)</f>
        <v>68.00%</v>
      </c>
      <c r="EN29" s="3" t="str">
        <f>RTD("tos.rtd",,EN$2,"."&amp;$A$2&amp;$AU$1&amp;"C"&amp;$A29)</f>
        <v>--</v>
      </c>
      <c r="EO29" s="3" t="str">
        <f>RTD("tos.rtd",,EO$2,"."&amp;$A$2&amp;$AU$1&amp;"P"&amp;$A29)</f>
        <v>32.28%</v>
      </c>
      <c r="EP29" s="3" t="str">
        <f>RTD("tos.rtd",,EP$2,"."&amp;$A$2&amp;$AW$1&amp;"C"&amp;$A29)</f>
        <v>16.80%</v>
      </c>
      <c r="EQ29" s="3" t="str">
        <f>RTD("tos.rtd",,EQ$2,"."&amp;$A$2&amp;$AW$1&amp;"P"&amp;$A29)</f>
        <v>25.41%</v>
      </c>
      <c r="ES29" s="63" t="str">
        <f t="shared" si="65"/>
        <v>557,31697.00</v>
      </c>
      <c r="ET29" s="63" t="str">
        <f t="shared" ca="1" si="66"/>
        <v>557,00.00</v>
      </c>
      <c r="EU29" s="67">
        <v>562.66</v>
      </c>
      <c r="EV29" s="67" t="s">
        <v>252</v>
      </c>
      <c r="EW29" s="67">
        <v>485.21</v>
      </c>
      <c r="EX29" s="67" t="s">
        <v>253</v>
      </c>
      <c r="EY29" s="67">
        <v>5639.25</v>
      </c>
      <c r="EZ29" s="67" t="s">
        <v>254</v>
      </c>
      <c r="FA29" s="67">
        <v>19928.75</v>
      </c>
      <c r="FB29" s="67" t="s">
        <v>255</v>
      </c>
      <c r="FC29" s="67" t="s">
        <v>256</v>
      </c>
      <c r="FD29" s="67" t="s">
        <v>257</v>
      </c>
      <c r="FE29" s="67" t="s">
        <v>258</v>
      </c>
      <c r="FF29" s="67" t="s">
        <v>259</v>
      </c>
    </row>
    <row r="30" spans="1:162" s="63" customFormat="1" ht="13.5" thickBot="1" x14ac:dyDescent="0.25">
      <c r="A30" s="2">
        <f t="shared" si="67"/>
        <v>556</v>
      </c>
      <c r="B30" s="3">
        <f t="shared" si="9"/>
        <v>4516</v>
      </c>
      <c r="C30" s="3">
        <f t="shared" si="10"/>
        <v>3577</v>
      </c>
      <c r="D30" s="3">
        <f t="shared" si="11"/>
        <v>3733</v>
      </c>
      <c r="E30" s="3">
        <f t="shared" si="12"/>
        <v>11826</v>
      </c>
      <c r="F30" s="4">
        <f t="shared" si="13"/>
        <v>5596.158276185919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>
        <v>476</v>
      </c>
      <c r="AN30" s="1">
        <v>-12409</v>
      </c>
      <c r="AO30" s="1">
        <v>556</v>
      </c>
      <c r="AP30" s="1">
        <v>11306</v>
      </c>
      <c r="AQ30" s="1">
        <v>-170416</v>
      </c>
      <c r="AR30" s="1"/>
      <c r="AS30" s="6">
        <f>IF(RTD("tos.rtd",,AS$2,"."&amp;$A$2&amp;$AS$1&amp;"C"&amp;$A30)="N/A",0,RTD("tos.rtd",,AS$2,"."&amp;$A$2&amp;$AS$1&amp;"C"&amp;$A30))</f>
        <v>733</v>
      </c>
      <c r="AT30" s="7">
        <f>-IF(RTD("tos.rtd",,AT$2,"."&amp;$A$2&amp;$AS$1&amp;"P"&amp;$A30)="N/A",0,RTD("tos.rtd",,AT$2,"."&amp;$A$2&amp;$AS$1&amp;"P"&amp;$A30))</f>
        <v>-3783</v>
      </c>
      <c r="AU30" s="6">
        <f>IF(RTD("tos.rtd",,AU$2,"."&amp;$A$2&amp;$AU$1&amp;"C"&amp;$A30)="N/A",0,RTD("tos.rtd",,AU$2,"."&amp;$A$2&amp;$AU$1&amp;"C"&amp;$A30))</f>
        <v>1583</v>
      </c>
      <c r="AV30" s="7">
        <f>-IF(RTD("tos.rtd",,AV$2,"."&amp;$A$2&amp;$AU$1&amp;"P"&amp;$A30)="N/A",0,RTD("tos.rtd",,AV$2,"."&amp;$A$2&amp;$AU$1&amp;"P"&amp;$A30))</f>
        <v>-1994</v>
      </c>
      <c r="AW30" s="6">
        <f>IF(RTD("tos.rtd",,AW$2,"."&amp;$A$2&amp;$AW$1&amp;"C"&amp;$A30)="N/A",0,RTD("tos.rtd",,AW$2,"."&amp;$A$2&amp;$AW$1&amp;"C"&amp;$A30))</f>
        <v>1607</v>
      </c>
      <c r="AX30" s="7">
        <f>-IF(RTD("tos.rtd",,AX$2,"."&amp;$A$2&amp;$AW$1&amp;"P"&amp;$A30)="N/A",0,RTD("tos.rtd",,AX$2,"."&amp;$A$2&amp;$AW$1&amp;"P"&amp;$A30))</f>
        <v>-2126</v>
      </c>
      <c r="AY30" s="1">
        <f t="shared" si="68"/>
        <v>-3980</v>
      </c>
      <c r="AZ30" s="8">
        <f t="shared" si="35"/>
        <v>556</v>
      </c>
      <c r="BA30" s="6">
        <f>IF(RTD("tos.rtd",,BA$2,"."&amp;$A$2&amp;$AS$1&amp;"C"&amp;$A30)="N/A",0,RTD("tos.rtd",,BA$2,"."&amp;$A$2&amp;$AS$1&amp;"C"&amp;$A30))</f>
        <v>11306</v>
      </c>
      <c r="BB30" s="7">
        <f>-IF(RTD("tos.rtd",,BB$2,"."&amp;$A$2&amp;$AS$1&amp;"P"&amp;$A30)="N/A",0,RTD("tos.rtd",,BB$2,"."&amp;$A$2&amp;$AS$1&amp;"P"&amp;$A30))</f>
        <v>-170416</v>
      </c>
      <c r="BC30" s="6">
        <f>IF(RTD("tos.rtd",,BC$2,"."&amp;$A$2&amp;$AU$1&amp;"C"&amp;$A30)="N/A",0,RTD("tos.rtd",,BC$2,"."&amp;$A$2&amp;$AU$1&amp;"C"&amp;$A30))</f>
        <v>1649</v>
      </c>
      <c r="BD30" s="7">
        <f>-IF(RTD("tos.rtd",,BD$2,"."&amp;$A$2&amp;$AU$1&amp;"P"&amp;$A30)="N/A",0,RTD("tos.rtd",,BD$2,"."&amp;$A$2&amp;$AU$1&amp;"P"&amp;$A30))</f>
        <v>-6453</v>
      </c>
      <c r="BE30" s="6">
        <f>IF(RTD("tos.rtd",,BE$2,"."&amp;$A$2&amp;$AW$1&amp;"C"&amp;$A30)="N/A",0,RTD("tos.rtd",,BE$2,"."&amp;$A$2&amp;$AW$1&amp;"C"&amp;$A30))</f>
        <v>506</v>
      </c>
      <c r="BF30" s="83">
        <f>-IF(RTD("tos.rtd",,BF$2,"."&amp;$A$2&amp;$AW$1&amp;"P"&amp;$A30)="N/A",0,RTD("tos.rtd",,BF$2,"."&amp;$A$2&amp;$AW$1&amp;"P"&amp;$A30))</f>
        <v>-714</v>
      </c>
      <c r="BG30" s="32">
        <f ca="1">+Hoja2!Y31</f>
        <v>-1847</v>
      </c>
      <c r="BH30" s="7">
        <f t="shared" ca="1" si="36"/>
        <v>-165969</v>
      </c>
      <c r="BI30" s="8" t="str">
        <f t="shared" ref="BI30" ca="1" si="185">IF(AND(BH30&lt;0,BH29&gt;0), "Cruce -", IF(AND(BH30&gt;0,BH29&lt;0),"Cruce +", ""))</f>
        <v/>
      </c>
      <c r="BJ30" s="3" t="e">
        <f ca="1">IF($BP$1=1,DX30,IF(RTD("tos.rtd",,BJ$2,"."&amp;$A$2&amp;$AS$1&amp;"C"&amp;$A30)="N/A",0,RTD("tos.rtd",,BJ$2,"."&amp;$A$2&amp;$AS$1&amp;"C"&amp;$A30)))</f>
        <v>#NUM!</v>
      </c>
      <c r="BK30" s="3" t="e">
        <f ca="1">IF($BP$1=1,DY30,-IF(RTD("tos.rtd",,BK$2,"."&amp;$A$2&amp;$AS$1&amp;"P"&amp;$A30)="N/A",0,RTD("tos.rtd",,BK$2,"."&amp;$A$2&amp;$AS$1&amp;"P"&amp;$A30)))</f>
        <v>#NUM!</v>
      </c>
      <c r="BL30" s="3">
        <f ca="1">IF($BP$1=1,DZ30,IF(RTD("tos.rtd",,BL$2,"."&amp;$A$2&amp;$AU$1&amp;"C"&amp;$A30)="N/A",0,RTD("tos.rtd",,BL$2,"."&amp;$A$2&amp;$AU$1&amp;"C"&amp;$A30)))</f>
        <v>2.6095534837660094E-2</v>
      </c>
      <c r="BM30" s="3">
        <f ca="1">IF($BP$1=1,EA30,-IF(RTD("tos.rtd",,BM$2,"."&amp;$A$2&amp;$AU$1&amp;"P"&amp;$A30)="N/A",0,RTD("tos.rtd",,BM$2,"."&amp;$A$2&amp;$AU$1&amp;"P"&amp;$A30)))</f>
        <v>-2.2560808738862365E-2</v>
      </c>
      <c r="BN30" s="3">
        <f ca="1">IF($BP$1=1,EB30,IF(RTD("tos.rtd",,BN$2,"."&amp;$A$2&amp;$AW$1&amp;"C"&amp;$A30)="N/A",0,RTD("tos.rtd",,BN$2,"."&amp;$A$2&amp;$AW$1&amp;"C"&amp;$A30)))</f>
        <v>2.7744507991196155E-2</v>
      </c>
      <c r="BO30" s="3">
        <f ca="1">IF($BP$1=1,EC30,-IF(RTD("tos.rtd",,BO$2,"."&amp;$A$2&amp;$AW$1&amp;"P"&amp;$A30)="N/A",0,RTD("tos.rtd",,BO$2,"."&amp;$A$2&amp;$AW$1&amp;"P"&amp;$A30)))</f>
        <v>-2.5854226401061182E-2</v>
      </c>
      <c r="BQ30" s="3" t="e">
        <f t="shared" ca="1" si="37"/>
        <v>#NUM!</v>
      </c>
      <c r="BR30" s="3" t="e">
        <f t="shared" ca="1" si="70"/>
        <v>#NUM!</v>
      </c>
      <c r="BS30" s="3">
        <f t="shared" ca="1" si="38"/>
        <v>-1171014.7995036338</v>
      </c>
      <c r="BT30" s="3" t="str">
        <f t="shared" ca="1" si="70"/>
        <v/>
      </c>
      <c r="BU30" s="3">
        <f t="shared" ca="1" si="39"/>
        <v>-3305911.9649580661</v>
      </c>
      <c r="BV30" s="3" t="str">
        <f t="shared" ref="BV30" ca="1" si="186">IF(AND(BU30&lt;0,BU29&gt;0), "Cruce -", IF(AND(BU30&gt;0,BU29&lt;0),"Cruce +", ""))</f>
        <v/>
      </c>
      <c r="BX30" s="3" t="e">
        <f t="shared" ca="1" si="40"/>
        <v>#NUM!</v>
      </c>
      <c r="BY30" s="3" t="e">
        <f t="shared" ca="1" si="72"/>
        <v>#NUM!</v>
      </c>
      <c r="BZ30" s="3">
        <f t="shared" ca="1" si="41"/>
        <v>-32659999.820786808</v>
      </c>
      <c r="CA30" s="3" t="str">
        <f t="shared" ca="1" si="73"/>
        <v/>
      </c>
      <c r="CB30" s="3">
        <f t="shared" ca="1" si="42"/>
        <v>-1408011.183533838</v>
      </c>
      <c r="CC30" s="3" t="str">
        <f t="shared" ca="1" si="74"/>
        <v>Cruce -</v>
      </c>
      <c r="CD30" s="3">
        <f>IF(RTD("tos.rtd",,CD$2,"."&amp;$A$2&amp;$AS$1&amp;"C"&amp;$A30)="N/A",0,RTD("tos.rtd",,CD$2,"."&amp;$A$2&amp;$AS$1&amp;"C"&amp;$A30))</f>
        <v>1</v>
      </c>
      <c r="CE30" s="3">
        <f>-IF(RTD("tos.rtd",,CE$2,"."&amp;$A$2&amp;$AS$1&amp;"P"&amp;$A30)="N/A",0,RTD("tos.rtd",,CE$2,"."&amp;$A$2&amp;$AS$1&amp;"P"&amp;$A30))</f>
        <v>0</v>
      </c>
      <c r="CF30" s="3">
        <f>IF(RTD("tos.rtd",,CF$2,"."&amp;$A$2&amp;$AU$1&amp;"C"&amp;$A30)="N/A",0,RTD("tos.rtd",,CF$2,"."&amp;$A$2&amp;$AU$1&amp;"C"&amp;$A30))</f>
        <v>1</v>
      </c>
      <c r="CG30" s="3">
        <f>-IF(RTD("tos.rtd",,CG$2,"."&amp;$A$2&amp;$AU$1&amp;"P"&amp;$A30)="N/A",0,RTD("tos.rtd",,CG$2,"."&amp;$A$2&amp;$AU$1&amp;"P"&amp;$A30))</f>
        <v>0.25</v>
      </c>
      <c r="CH30" s="3">
        <f>IF(RTD("tos.rtd",,CH$2,"."&amp;$A$2&amp;$AW$1&amp;"C"&amp;$A30)="N/A",0,RTD("tos.rtd",,CH$2,"."&amp;$A$2&amp;$AW$1&amp;"C"&amp;$A30))</f>
        <v>0.73</v>
      </c>
      <c r="CI30" s="3">
        <f>-IF(RTD("tos.rtd",,CI$2,"."&amp;$A$2&amp;$AW$1&amp;"P"&amp;$A30)="N/A",0,RTD("tos.rtd",,CI$2,"."&amp;$A$2&amp;$AW$1&amp;"P"&amp;$A30))</f>
        <v>0.34</v>
      </c>
      <c r="CK30" s="3">
        <f t="shared" si="17"/>
        <v>73300</v>
      </c>
      <c r="CL30" s="3"/>
      <c r="CM30" s="3">
        <f t="shared" si="18"/>
        <v>108450</v>
      </c>
      <c r="CN30" s="3"/>
      <c r="CO30" s="3">
        <f t="shared" si="19"/>
        <v>45026.999999999985</v>
      </c>
      <c r="CP30" s="3">
        <f t="shared" si="43"/>
        <v>226777</v>
      </c>
      <c r="CQ30" s="3">
        <f t="shared" si="44"/>
        <v>-159110</v>
      </c>
      <c r="CR30" s="3"/>
      <c r="CS30" s="3">
        <f t="shared" si="20"/>
        <v>-4804</v>
      </c>
      <c r="CT30" s="3"/>
      <c r="CU30" s="3">
        <f t="shared" si="21"/>
        <v>-208</v>
      </c>
      <c r="CV30" s="3">
        <f t="shared" si="45"/>
        <v>-164122</v>
      </c>
      <c r="CW30" s="3" t="e">
        <f t="shared" ca="1" si="46"/>
        <v>#NUM!</v>
      </c>
      <c r="CX30" s="85" t="e">
        <f t="shared" ca="1" si="75"/>
        <v>#NUM!</v>
      </c>
      <c r="CY30" s="3" t="e">
        <f t="shared" ca="1" si="47"/>
        <v>#NUM!</v>
      </c>
      <c r="CZ30" s="85" t="e">
        <f t="shared" ca="1" si="76"/>
        <v>#NUM!</v>
      </c>
      <c r="DA30" s="3">
        <f>IF(RTD("tos.rtd",,DA$2,"."&amp;$A$2&amp;$AS$1&amp;"C"&amp;$A30)="N/A",0,RTD("tos.rtd",,DA$2,"."&amp;$A$2&amp;$AS$1&amp;"C"&amp;$A30))</f>
        <v>5.62</v>
      </c>
      <c r="DB30" s="3">
        <f>IF(RTD("tos.rtd",,DB$2,"."&amp;$A$2&amp;$AS$1&amp;"P"&amp;$A30)="N/A",0,RTD("tos.rtd",,DB$2,"."&amp;$A$2&amp;$AS$1&amp;"P"&amp;$A30))</f>
        <v>0.01</v>
      </c>
      <c r="DC30" s="3">
        <f>IF(RTD("tos.rtd",,DC$2,"."&amp;$A$2&amp;$AS$1&amp;"C"&amp;$A30)="N/A",0,RTD("tos.rtd",,DC$2,"."&amp;$A$2&amp;$AS$1&amp;"C"&amp;$A30))</f>
        <v>6.18</v>
      </c>
      <c r="DD30" s="3">
        <f>IF(RTD("tos.rtd",,DD$2,"."&amp;$A$2&amp;$AS$1&amp;"P"&amp;$A30)="N/A",0,RTD("tos.rtd",,DD$2,"."&amp;$A$2&amp;$AS$1&amp;"P"&amp;$A30))</f>
        <v>0.01</v>
      </c>
      <c r="DE30" s="3">
        <f>IF(RTD("tos.rtd",,DE$2,"."&amp;$A$2&amp;$AS$1&amp;"C"&amp;$A30)="N/A",0,RTD("tos.rtd",,DE$2,"."&amp;$A$2&amp;$AS$1&amp;"C"&amp;$A30))</f>
        <v>4.75</v>
      </c>
      <c r="DF30" s="3">
        <f>IF(RTD("tos.rtd",,DF$2,"."&amp;$A$2&amp;$AS$1&amp;"P"&amp;$A30)="N/A",0,RTD("tos.rtd",,DF$2,"."&amp;$A$2&amp;$AS$1&amp;"P"&amp;$A30))</f>
        <v>0</v>
      </c>
      <c r="DG30" s="86">
        <f t="shared" si="48"/>
        <v>-8.3300000000000409</v>
      </c>
      <c r="DH30" s="3">
        <f t="shared" si="22"/>
        <v>0</v>
      </c>
      <c r="DI30" s="3">
        <f t="shared" si="49"/>
        <v>0</v>
      </c>
      <c r="DJ30" s="3">
        <f t="shared" si="50"/>
        <v>0</v>
      </c>
      <c r="DK30" s="3">
        <f t="shared" si="51"/>
        <v>0</v>
      </c>
      <c r="DL30" s="3">
        <f t="shared" si="52"/>
        <v>0</v>
      </c>
      <c r="DM30" s="3">
        <f t="shared" si="53"/>
        <v>0</v>
      </c>
      <c r="DN30" s="63" t="str">
        <f t="shared" si="54"/>
        <v>UNKNOWN</v>
      </c>
      <c r="DO30" s="63" t="str">
        <f t="shared" si="55"/>
        <v>UNKNOWN</v>
      </c>
      <c r="DP30" s="3">
        <f t="shared" si="56"/>
        <v>0</v>
      </c>
      <c r="DQ30" s="3">
        <f t="shared" si="57"/>
        <v>0</v>
      </c>
      <c r="DR30" s="3" t="e">
        <f t="shared" ca="1" si="58"/>
        <v>#NUM!</v>
      </c>
      <c r="DS30" s="3">
        <f t="shared" si="59"/>
        <v>0</v>
      </c>
      <c r="DT30" s="3">
        <f t="shared" si="60"/>
        <v>0</v>
      </c>
      <c r="DU30" s="3">
        <f t="shared" si="61"/>
        <v>0</v>
      </c>
      <c r="DV30" s="3">
        <f t="shared" si="62"/>
        <v>476</v>
      </c>
      <c r="DW30" s="3">
        <f t="shared" si="23"/>
        <v>-12409</v>
      </c>
      <c r="DX30" s="3" t="e">
        <f t="shared" ca="1" si="24"/>
        <v>#NUM!</v>
      </c>
      <c r="DY30" s="3" t="e">
        <f t="shared" ca="1" si="25"/>
        <v>#NUM!</v>
      </c>
      <c r="DZ30" s="3">
        <f t="shared" ca="1" si="26"/>
        <v>2.6095534837660094E-2</v>
      </c>
      <c r="EA30" s="3">
        <f t="shared" ca="1" si="27"/>
        <v>-2.2560808738862365E-2</v>
      </c>
      <c r="EB30" s="3">
        <f t="shared" ca="1" si="28"/>
        <v>2.7744507991196155E-2</v>
      </c>
      <c r="EC30" s="3">
        <f t="shared" ca="1" si="29"/>
        <v>-2.5854226401061182E-2</v>
      </c>
      <c r="ED30" s="63">
        <f t="shared" si="63"/>
        <v>-11933</v>
      </c>
      <c r="EE30" s="59">
        <f t="shared" si="64"/>
        <v>0.25</v>
      </c>
      <c r="EF30" s="59">
        <f t="shared" si="30"/>
        <v>0.76259999999999994</v>
      </c>
      <c r="EG30" s="59">
        <f t="shared" si="31"/>
        <v>0.25</v>
      </c>
      <c r="EH30" s="59">
        <f t="shared" si="32"/>
        <v>0.32290000000000002</v>
      </c>
      <c r="EI30" s="59">
        <f t="shared" si="33"/>
        <v>0.1668</v>
      </c>
      <c r="EJ30" s="59">
        <f t="shared" si="34"/>
        <v>0.25509999999999999</v>
      </c>
      <c r="EL30" s="3" t="str">
        <f>RTD("tos.rtd",,EL$2,"."&amp;$A$2&amp;$AS$1&amp;"C"&amp;$A30)</f>
        <v>--</v>
      </c>
      <c r="EM30" s="3" t="str">
        <f>RTD("tos.rtd",,EM$2,"."&amp;$A$2&amp;$AS$1&amp;"P"&amp;$A30)</f>
        <v>76.26%</v>
      </c>
      <c r="EN30" s="3" t="str">
        <f>RTD("tos.rtd",,EN$2,"."&amp;$A$2&amp;$AU$1&amp;"C"&amp;$A30)</f>
        <v>--</v>
      </c>
      <c r="EO30" s="3" t="str">
        <f>RTD("tos.rtd",,EO$2,"."&amp;$A$2&amp;$AU$1&amp;"P"&amp;$A30)</f>
        <v>32.29%</v>
      </c>
      <c r="EP30" s="3" t="str">
        <f>RTD("tos.rtd",,EP$2,"."&amp;$A$2&amp;$AW$1&amp;"C"&amp;$A30)</f>
        <v>16.68%</v>
      </c>
      <c r="EQ30" s="3" t="str">
        <f>RTD("tos.rtd",,EQ$2,"."&amp;$A$2&amp;$AW$1&amp;"P"&amp;$A30)</f>
        <v>25.51%</v>
      </c>
      <c r="ES30" s="63" t="str">
        <f t="shared" si="65"/>
        <v>556,-11933.00</v>
      </c>
      <c r="ET30" s="63" t="str">
        <f t="shared" ca="1" si="66"/>
        <v>556,00.00</v>
      </c>
      <c r="EU30" s="67">
        <v>562.6</v>
      </c>
      <c r="EV30" s="67" t="s">
        <v>260</v>
      </c>
      <c r="EW30" s="67">
        <v>485.12</v>
      </c>
      <c r="EX30" s="67" t="s">
        <v>261</v>
      </c>
      <c r="EY30" s="67">
        <v>5639</v>
      </c>
      <c r="EZ30" s="67" t="s">
        <v>262</v>
      </c>
      <c r="FA30" s="67">
        <v>19924.75</v>
      </c>
      <c r="FB30" s="67" t="s">
        <v>263</v>
      </c>
      <c r="FC30" s="67" t="s">
        <v>264</v>
      </c>
      <c r="FD30" s="67" t="s">
        <v>265</v>
      </c>
      <c r="FE30" s="67" t="s">
        <v>266</v>
      </c>
      <c r="FF30" s="67" t="s">
        <v>267</v>
      </c>
    </row>
    <row r="31" spans="1:162" s="63" customFormat="1" ht="13.5" thickBot="1" x14ac:dyDescent="0.25">
      <c r="A31" s="2">
        <f t="shared" si="67"/>
        <v>555</v>
      </c>
      <c r="B31" s="3">
        <f t="shared" si="9"/>
        <v>13532</v>
      </c>
      <c r="C31" s="3">
        <f t="shared" si="10"/>
        <v>26215</v>
      </c>
      <c r="D31" s="3">
        <f t="shared" si="11"/>
        <v>62420</v>
      </c>
      <c r="E31" s="3">
        <f t="shared" si="12"/>
        <v>102167</v>
      </c>
      <c r="F31" s="4">
        <f t="shared" si="13"/>
        <v>5586.0932433150811</v>
      </c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>
        <v>148</v>
      </c>
      <c r="AN31" s="1">
        <v>-7581</v>
      </c>
      <c r="AO31" s="1">
        <v>555</v>
      </c>
      <c r="AP31" s="1">
        <v>7839</v>
      </c>
      <c r="AQ31" s="1">
        <v>-236448</v>
      </c>
      <c r="AR31" s="1"/>
      <c r="AS31" s="6">
        <f>IF(RTD("tos.rtd",,AS$2,"."&amp;$A$2&amp;$AS$1&amp;"C"&amp;$A31)="N/A",0,RTD("tos.rtd",,AS$2,"."&amp;$A$2&amp;$AS$1&amp;"C"&amp;$A31))</f>
        <v>1230</v>
      </c>
      <c r="AT31" s="7">
        <f>-IF(RTD("tos.rtd",,AT$2,"."&amp;$A$2&amp;$AS$1&amp;"P"&amp;$A31)="N/A",0,RTD("tos.rtd",,AT$2,"."&amp;$A$2&amp;$AS$1&amp;"P"&amp;$A31))</f>
        <v>-12302</v>
      </c>
      <c r="AU31" s="6">
        <f>IF(RTD("tos.rtd",,AU$2,"."&amp;$A$2&amp;$AU$1&amp;"C"&amp;$A31)="N/A",0,RTD("tos.rtd",,AU$2,"."&amp;$A$2&amp;$AU$1&amp;"C"&amp;$A31))</f>
        <v>10135</v>
      </c>
      <c r="AV31" s="7">
        <f>-IF(RTD("tos.rtd",,AV$2,"."&amp;$A$2&amp;$AU$1&amp;"P"&amp;$A31)="N/A",0,RTD("tos.rtd",,AV$2,"."&amp;$A$2&amp;$AU$1&amp;"P"&amp;$A31))</f>
        <v>-16080</v>
      </c>
      <c r="AW31" s="6">
        <f>IF(RTD("tos.rtd",,AW$2,"."&amp;$A$2&amp;$AW$1&amp;"C"&amp;$A31)="N/A",0,RTD("tos.rtd",,AW$2,"."&amp;$A$2&amp;$AW$1&amp;"C"&amp;$A31))</f>
        <v>9156</v>
      </c>
      <c r="AX31" s="7">
        <f>-IF(RTD("tos.rtd",,AX$2,"."&amp;$A$2&amp;$AW$1&amp;"P"&amp;$A31)="N/A",0,RTD("tos.rtd",,AX$2,"."&amp;$A$2&amp;$AW$1&amp;"P"&amp;$A31))</f>
        <v>-53264</v>
      </c>
      <c r="AY31" s="1">
        <f t="shared" si="68"/>
        <v>-61125</v>
      </c>
      <c r="AZ31" s="8">
        <f t="shared" si="35"/>
        <v>555</v>
      </c>
      <c r="BA31" s="6">
        <f>IF(RTD("tos.rtd",,BA$2,"."&amp;$A$2&amp;$AS$1&amp;"C"&amp;$A31)="N/A",0,RTD("tos.rtd",,BA$2,"."&amp;$A$2&amp;$AS$1&amp;"C"&amp;$A31))</f>
        <v>7839</v>
      </c>
      <c r="BB31" s="7">
        <f>-IF(RTD("tos.rtd",,BB$2,"."&amp;$A$2&amp;$AS$1&amp;"P"&amp;$A31)="N/A",0,RTD("tos.rtd",,BB$2,"."&amp;$A$2&amp;$AS$1&amp;"P"&amp;$A31))</f>
        <v>-236448</v>
      </c>
      <c r="BC31" s="6">
        <f>IF(RTD("tos.rtd",,BC$2,"."&amp;$A$2&amp;$AU$1&amp;"C"&amp;$A31)="N/A",0,RTD("tos.rtd",,BC$2,"."&amp;$A$2&amp;$AU$1&amp;"C"&amp;$A31))</f>
        <v>2753</v>
      </c>
      <c r="BD31" s="7">
        <f>-IF(RTD("tos.rtd",,BD$2,"."&amp;$A$2&amp;$AU$1&amp;"P"&amp;$A31)="N/A",0,RTD("tos.rtd",,BD$2,"."&amp;$A$2&amp;$AU$1&amp;"P"&amp;$A31))</f>
        <v>-32508</v>
      </c>
      <c r="BE31" s="6">
        <f>IF(RTD("tos.rtd",,BE$2,"."&amp;$A$2&amp;$AW$1&amp;"C"&amp;$A31)="N/A",0,RTD("tos.rtd",,BE$2,"."&amp;$A$2&amp;$AW$1&amp;"C"&amp;$A31))</f>
        <v>1291</v>
      </c>
      <c r="BF31" s="83">
        <f>-IF(RTD("tos.rtd",,BF$2,"."&amp;$A$2&amp;$AW$1&amp;"P"&amp;$A31)="N/A",0,RTD("tos.rtd",,BF$2,"."&amp;$A$2&amp;$AW$1&amp;"P"&amp;$A31))</f>
        <v>-12547</v>
      </c>
      <c r="BG31" s="32">
        <f ca="1">+Hoja2!Y32</f>
        <v>-16834</v>
      </c>
      <c r="BH31" s="7">
        <f t="shared" ca="1" si="36"/>
        <v>-286454</v>
      </c>
      <c r="BI31" s="8" t="str">
        <f t="shared" ref="BI31" ca="1" si="187">IF(AND(BH31&lt;0,BH30&gt;0), "Cruce -", IF(AND(BH31&gt;0,BH30&lt;0),"Cruce +", ""))</f>
        <v/>
      </c>
      <c r="BJ31" s="3" t="e">
        <f ca="1">IF($BP$1=1,DX31,IF(RTD("tos.rtd",,BJ$2,"."&amp;$A$2&amp;$AS$1&amp;"C"&amp;$A31)="N/A",0,RTD("tos.rtd",,BJ$2,"."&amp;$A$2&amp;$AS$1&amp;"C"&amp;$A31)))</f>
        <v>#NUM!</v>
      </c>
      <c r="BK31" s="3" t="e">
        <f ca="1">IF($BP$1=1,DY31,-IF(RTD("tos.rtd",,BK$2,"."&amp;$A$2&amp;$AS$1&amp;"P"&amp;$A31)="N/A",0,RTD("tos.rtd",,BK$2,"."&amp;$A$2&amp;$AS$1&amp;"P"&amp;$A31)))</f>
        <v>#NUM!</v>
      </c>
      <c r="BL31" s="3">
        <f ca="1">IF($BP$1=1,DZ31,IF(RTD("tos.rtd",,BL$2,"."&amp;$A$2&amp;$AU$1&amp;"C"&amp;$A31)="N/A",0,RTD("tos.rtd",,BL$2,"."&amp;$A$2&amp;$AU$1&amp;"C"&amp;$A31)))</f>
        <v>2.4324864280878655E-2</v>
      </c>
      <c r="BM31" s="3">
        <f ca="1">IF($BP$1=1,EA31,-IF(RTD("tos.rtd",,BM$2,"."&amp;$A$2&amp;$AU$1&amp;"P"&amp;$A31)="N/A",0,RTD("tos.rtd",,BM$2,"."&amp;$A$2&amp;$AU$1&amp;"P"&amp;$A31)))</f>
        <v>-2.1587144691824236E-2</v>
      </c>
      <c r="BN31" s="3">
        <f ca="1">IF($BP$1=1,EB31,IF(RTD("tos.rtd",,BN$2,"."&amp;$A$2&amp;$AW$1&amp;"C"&amp;$A31)="N/A",0,RTD("tos.rtd",,BN$2,"."&amp;$A$2&amp;$AW$1&amp;"C"&amp;$A31)))</f>
        <v>2.3624093976085562E-2</v>
      </c>
      <c r="BO31" s="3">
        <f ca="1">IF($BP$1=1,EC31,-IF(RTD("tos.rtd",,BO$2,"."&amp;$A$2&amp;$AW$1&amp;"P"&amp;$A31)="N/A",0,RTD("tos.rtd",,BO$2,"."&amp;$A$2&amp;$AW$1&amp;"P"&amp;$A31)))</f>
        <v>-2.4114610947479867E-2</v>
      </c>
      <c r="BQ31" s="3" t="e">
        <f t="shared" ca="1" si="37"/>
        <v>#NUM!</v>
      </c>
      <c r="BR31" s="3" t="e">
        <f t="shared" ca="1" si="70"/>
        <v>#NUM!</v>
      </c>
      <c r="BS31" s="3">
        <f t="shared" ca="1" si="38"/>
        <v>-32034344.964007184</v>
      </c>
      <c r="BT31" s="3" t="str">
        <f t="shared" ca="1" si="70"/>
        <v/>
      </c>
      <c r="BU31" s="3">
        <f t="shared" ca="1" si="39"/>
        <v>-340168283.17373812</v>
      </c>
      <c r="BV31" s="3" t="str">
        <f t="shared" ref="BV31" ca="1" si="188">IF(AND(BU31&lt;0,BU30&gt;0), "Cruce -", IF(AND(BU31&gt;0,BU30&lt;0),"Cruce +", ""))</f>
        <v/>
      </c>
      <c r="BX31" s="3" t="e">
        <f t="shared" ca="1" si="40"/>
        <v>#NUM!</v>
      </c>
      <c r="BY31" s="3" t="e">
        <f t="shared" ca="1" si="72"/>
        <v>#NUM!</v>
      </c>
      <c r="BZ31" s="3">
        <f t="shared" ca="1" si="41"/>
        <v>-202160060.87026507</v>
      </c>
      <c r="CA31" s="3" t="str">
        <f t="shared" ca="1" si="73"/>
        <v/>
      </c>
      <c r="CB31" s="3">
        <f t="shared" ca="1" si="42"/>
        <v>-86644829.627920568</v>
      </c>
      <c r="CC31" s="3" t="str">
        <f t="shared" ca="1" si="74"/>
        <v/>
      </c>
      <c r="CD31" s="3">
        <f>IF(RTD("tos.rtd",,CD$2,"."&amp;$A$2&amp;$AS$1&amp;"C"&amp;$A31)="N/A",0,RTD("tos.rtd",,CD$2,"."&amp;$A$2&amp;$AS$1&amp;"C"&amp;$A31))</f>
        <v>1</v>
      </c>
      <c r="CE31" s="3">
        <f>-IF(RTD("tos.rtd",,CE$2,"."&amp;$A$2&amp;$AS$1&amp;"P"&amp;$A31)="N/A",0,RTD("tos.rtd",,CE$2,"."&amp;$A$2&amp;$AS$1&amp;"P"&amp;$A31))</f>
        <v>0</v>
      </c>
      <c r="CF31" s="3">
        <f>IF(RTD("tos.rtd",,CF$2,"."&amp;$A$2&amp;$AU$1&amp;"C"&amp;$A31)="N/A",0,RTD("tos.rtd",,CF$2,"."&amp;$A$2&amp;$AU$1&amp;"C"&amp;$A31))</f>
        <v>1</v>
      </c>
      <c r="CG31" s="3">
        <f>-IF(RTD("tos.rtd",,CG$2,"."&amp;$A$2&amp;$AU$1&amp;"P"&amp;$A31)="N/A",0,RTD("tos.rtd",,CG$2,"."&amp;$A$2&amp;$AU$1&amp;"P"&amp;$A31))</f>
        <v>0.22</v>
      </c>
      <c r="CH31" s="3">
        <f>IF(RTD("tos.rtd",,CH$2,"."&amp;$A$2&amp;$AW$1&amp;"C"&amp;$A31)="N/A",0,RTD("tos.rtd",,CH$2,"."&amp;$A$2&amp;$AW$1&amp;"C"&amp;$A31))</f>
        <v>0.76</v>
      </c>
      <c r="CI31" s="3">
        <f>-IF(RTD("tos.rtd",,CI$2,"."&amp;$A$2&amp;$AW$1&amp;"P"&amp;$A31)="N/A",0,RTD("tos.rtd",,CI$2,"."&amp;$A$2&amp;$AW$1&amp;"P"&amp;$A31))</f>
        <v>0.32</v>
      </c>
      <c r="CK31" s="3">
        <f t="shared" si="17"/>
        <v>123000</v>
      </c>
      <c r="CL31" s="3"/>
      <c r="CM31" s="3">
        <f t="shared" si="18"/>
        <v>659740</v>
      </c>
      <c r="CN31" s="3"/>
      <c r="CO31" s="3">
        <f t="shared" si="19"/>
        <v>-1008592</v>
      </c>
      <c r="CP31" s="3">
        <f t="shared" si="43"/>
        <v>-225852</v>
      </c>
      <c r="CQ31" s="3">
        <f t="shared" si="44"/>
        <v>-228609</v>
      </c>
      <c r="CR31" s="3"/>
      <c r="CS31" s="3">
        <f t="shared" si="20"/>
        <v>-29755</v>
      </c>
      <c r="CT31" s="3"/>
      <c r="CU31" s="3">
        <f t="shared" si="21"/>
        <v>-11256</v>
      </c>
      <c r="CV31" s="3">
        <f t="shared" si="45"/>
        <v>-269620</v>
      </c>
      <c r="CW31" s="3" t="e">
        <f t="shared" ca="1" si="46"/>
        <v>#NUM!</v>
      </c>
      <c r="CX31" s="85" t="e">
        <f t="shared" ca="1" si="75"/>
        <v>#NUM!</v>
      </c>
      <c r="CY31" s="3" t="e">
        <f t="shared" ca="1" si="47"/>
        <v>#NUM!</v>
      </c>
      <c r="CZ31" s="85" t="e">
        <f t="shared" ca="1" si="76"/>
        <v>#NUM!</v>
      </c>
      <c r="DA31" s="3">
        <f>IF(RTD("tos.rtd",,DA$2,"."&amp;$A$2&amp;$AS$1&amp;"C"&amp;$A31)="N/A",0,RTD("tos.rtd",,DA$2,"."&amp;$A$2&amp;$AS$1&amp;"C"&amp;$A31))</f>
        <v>6.3</v>
      </c>
      <c r="DB31" s="3">
        <f>IF(RTD("tos.rtd",,DB$2,"."&amp;$A$2&amp;$AS$1&amp;"P"&amp;$A31)="N/A",0,RTD("tos.rtd",,DB$2,"."&amp;$A$2&amp;$AS$1&amp;"P"&amp;$A31))</f>
        <v>0.01</v>
      </c>
      <c r="DC31" s="3">
        <f>IF(RTD("tos.rtd",,DC$2,"."&amp;$A$2&amp;$AS$1&amp;"C"&amp;$A31)="N/A",0,RTD("tos.rtd",,DC$2,"."&amp;$A$2&amp;$AS$1&amp;"C"&amp;$A31))</f>
        <v>7.3</v>
      </c>
      <c r="DD31" s="3">
        <f>IF(RTD("tos.rtd",,DD$2,"."&amp;$A$2&amp;$AS$1&amp;"P"&amp;$A31)="N/A",0,RTD("tos.rtd",,DD$2,"."&amp;$A$2&amp;$AS$1&amp;"P"&amp;$A31))</f>
        <v>0.01</v>
      </c>
      <c r="DE31" s="3">
        <f>IF(RTD("tos.rtd",,DE$2,"."&amp;$A$2&amp;$AS$1&amp;"C"&amp;$A31)="N/A",0,RTD("tos.rtd",,DE$2,"."&amp;$A$2&amp;$AS$1&amp;"C"&amp;$A31))</f>
        <v>5.64</v>
      </c>
      <c r="DF31" s="3">
        <f>IF(RTD("tos.rtd",,DF$2,"."&amp;$A$2&amp;$AS$1&amp;"P"&amp;$A31)="N/A",0,RTD("tos.rtd",,DF$2,"."&amp;$A$2&amp;$AS$1&amp;"P"&amp;$A31))</f>
        <v>0</v>
      </c>
      <c r="DG31" s="86">
        <f t="shared" si="48"/>
        <v>-9.3300000000000409</v>
      </c>
      <c r="DH31" s="3">
        <f t="shared" si="22"/>
        <v>0</v>
      </c>
      <c r="DI31" s="3">
        <f t="shared" si="49"/>
        <v>0</v>
      </c>
      <c r="DJ31" s="3">
        <f t="shared" si="50"/>
        <v>0</v>
      </c>
      <c r="DK31" s="3">
        <f t="shared" si="51"/>
        <v>0</v>
      </c>
      <c r="DL31" s="3">
        <f t="shared" si="52"/>
        <v>0</v>
      </c>
      <c r="DM31" s="3">
        <f t="shared" si="53"/>
        <v>0</v>
      </c>
      <c r="DN31" s="63" t="str">
        <f t="shared" si="54"/>
        <v>UNKNOWN</v>
      </c>
      <c r="DO31" s="63" t="str">
        <f t="shared" si="55"/>
        <v>UNKNOWN</v>
      </c>
      <c r="DP31" s="3">
        <f t="shared" si="56"/>
        <v>0</v>
      </c>
      <c r="DQ31" s="3">
        <f t="shared" si="57"/>
        <v>0</v>
      </c>
      <c r="DR31" s="3" t="e">
        <f t="shared" ca="1" si="58"/>
        <v>#NUM!</v>
      </c>
      <c r="DS31" s="3">
        <f t="shared" si="59"/>
        <v>0</v>
      </c>
      <c r="DT31" s="3">
        <f t="shared" si="60"/>
        <v>0</v>
      </c>
      <c r="DU31" s="3">
        <f t="shared" si="61"/>
        <v>0</v>
      </c>
      <c r="DV31" s="3">
        <f t="shared" si="62"/>
        <v>148</v>
      </c>
      <c r="DW31" s="3">
        <f t="shared" si="23"/>
        <v>-7581</v>
      </c>
      <c r="DX31" s="3" t="e">
        <f t="shared" ca="1" si="24"/>
        <v>#NUM!</v>
      </c>
      <c r="DY31" s="3" t="e">
        <f t="shared" ca="1" si="25"/>
        <v>#NUM!</v>
      </c>
      <c r="DZ31" s="3">
        <f t="shared" ca="1" si="26"/>
        <v>2.4324864280878655E-2</v>
      </c>
      <c r="EA31" s="3">
        <f t="shared" ca="1" si="27"/>
        <v>-2.1587144691824236E-2</v>
      </c>
      <c r="EB31" s="3">
        <f t="shared" ca="1" si="28"/>
        <v>2.3624093976085562E-2</v>
      </c>
      <c r="EC31" s="3">
        <f t="shared" ca="1" si="29"/>
        <v>-2.4114610947479867E-2</v>
      </c>
      <c r="ED31" s="63">
        <f t="shared" si="63"/>
        <v>-7433</v>
      </c>
      <c r="EE31" s="59">
        <f t="shared" si="64"/>
        <v>0.25</v>
      </c>
      <c r="EF31" s="59">
        <f t="shared" si="30"/>
        <v>0.84450000000000003</v>
      </c>
      <c r="EG31" s="59">
        <f t="shared" si="31"/>
        <v>0.25</v>
      </c>
      <c r="EH31" s="59">
        <f t="shared" si="32"/>
        <v>0.32379999999999998</v>
      </c>
      <c r="EI31" s="59">
        <f t="shared" si="33"/>
        <v>0.1656</v>
      </c>
      <c r="EJ31" s="59">
        <f t="shared" si="34"/>
        <v>0.25669999999999998</v>
      </c>
      <c r="EL31" s="3" t="str">
        <f>RTD("tos.rtd",,EL$2,"."&amp;$A$2&amp;$AS$1&amp;"C"&amp;$A31)</f>
        <v>--</v>
      </c>
      <c r="EM31" s="3" t="str">
        <f>RTD("tos.rtd",,EM$2,"."&amp;$A$2&amp;$AS$1&amp;"P"&amp;$A31)</f>
        <v>84.45%</v>
      </c>
      <c r="EN31" s="3" t="str">
        <f>RTD("tos.rtd",,EN$2,"."&amp;$A$2&amp;$AU$1&amp;"C"&amp;$A31)</f>
        <v>--</v>
      </c>
      <c r="EO31" s="3" t="str">
        <f>RTD("tos.rtd",,EO$2,"."&amp;$A$2&amp;$AU$1&amp;"P"&amp;$A31)</f>
        <v>32.38%</v>
      </c>
      <c r="EP31" s="3" t="str">
        <f>RTD("tos.rtd",,EP$2,"."&amp;$A$2&amp;$AW$1&amp;"C"&amp;$A31)</f>
        <v>16.56%</v>
      </c>
      <c r="EQ31" s="3" t="str">
        <f>RTD("tos.rtd",,EQ$2,"."&amp;$A$2&amp;$AW$1&amp;"P"&amp;$A31)</f>
        <v>25.67%</v>
      </c>
      <c r="ES31" s="63" t="str">
        <f t="shared" si="65"/>
        <v>555,-7433.00</v>
      </c>
      <c r="ET31" s="63" t="str">
        <f t="shared" ca="1" si="66"/>
        <v>555,00.00</v>
      </c>
      <c r="EU31" s="67">
        <v>562.57000000000005</v>
      </c>
      <c r="EV31" s="67" t="s">
        <v>268</v>
      </c>
      <c r="EW31" s="67">
        <v>485.01</v>
      </c>
      <c r="EX31" s="67" t="s">
        <v>269</v>
      </c>
      <c r="EY31" s="67">
        <v>5638</v>
      </c>
      <c r="EZ31" s="67" t="s">
        <v>270</v>
      </c>
      <c r="FA31" s="67">
        <v>19922.5</v>
      </c>
      <c r="FB31" s="67" t="s">
        <v>271</v>
      </c>
      <c r="FC31" s="67" t="s">
        <v>272</v>
      </c>
      <c r="FD31" s="67" t="s">
        <v>273</v>
      </c>
      <c r="FE31" s="67" t="s">
        <v>274</v>
      </c>
      <c r="FF31" s="67" t="s">
        <v>275</v>
      </c>
    </row>
    <row r="32" spans="1:162" s="63" customFormat="1" ht="13.5" thickBot="1" x14ac:dyDescent="0.25">
      <c r="A32" s="2">
        <f t="shared" si="67"/>
        <v>554</v>
      </c>
      <c r="B32" s="3">
        <f t="shared" si="9"/>
        <v>6518</v>
      </c>
      <c r="C32" s="3">
        <f t="shared" si="10"/>
        <v>2845</v>
      </c>
      <c r="D32" s="3">
        <f t="shared" si="11"/>
        <v>4346</v>
      </c>
      <c r="E32" s="3">
        <f t="shared" si="12"/>
        <v>13709</v>
      </c>
      <c r="F32" s="4">
        <f t="shared" si="13"/>
        <v>5576.0282104442431</v>
      </c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>
        <v>39</v>
      </c>
      <c r="AN32" s="1">
        <v>-10089</v>
      </c>
      <c r="AO32" s="1">
        <v>554</v>
      </c>
      <c r="AP32" s="1">
        <v>1921</v>
      </c>
      <c r="AQ32" s="1">
        <v>-104766</v>
      </c>
      <c r="AR32" s="1"/>
      <c r="AS32" s="6">
        <f>IF(RTD("tos.rtd",,AS$2,"."&amp;$A$2&amp;$AS$1&amp;"C"&amp;$A32)="N/A",0,RTD("tos.rtd",,AS$2,"."&amp;$A$2&amp;$AS$1&amp;"C"&amp;$A32))</f>
        <v>440</v>
      </c>
      <c r="AT32" s="7">
        <f>-IF(RTD("tos.rtd",,AT$2,"."&amp;$A$2&amp;$AS$1&amp;"P"&amp;$A32)="N/A",0,RTD("tos.rtd",,AT$2,"."&amp;$A$2&amp;$AS$1&amp;"P"&amp;$A32))</f>
        <v>-6078</v>
      </c>
      <c r="AU32" s="6">
        <f>IF(RTD("tos.rtd",,AU$2,"."&amp;$A$2&amp;$AU$1&amp;"C"&amp;$A32)="N/A",0,RTD("tos.rtd",,AU$2,"."&amp;$A$2&amp;$AU$1&amp;"C"&amp;$A32))</f>
        <v>776</v>
      </c>
      <c r="AV32" s="7">
        <f>-IF(RTD("tos.rtd",,AV$2,"."&amp;$A$2&amp;$AU$1&amp;"P"&amp;$A32)="N/A",0,RTD("tos.rtd",,AV$2,"."&amp;$A$2&amp;$AU$1&amp;"P"&amp;$A32))</f>
        <v>-2069</v>
      </c>
      <c r="AW32" s="6">
        <f>IF(RTD("tos.rtd",,AW$2,"."&amp;$A$2&amp;$AW$1&amp;"C"&amp;$A32)="N/A",0,RTD("tos.rtd",,AW$2,"."&amp;$A$2&amp;$AW$1&amp;"C"&amp;$A32))</f>
        <v>2056</v>
      </c>
      <c r="AX32" s="7">
        <f>-IF(RTD("tos.rtd",,AX$2,"."&amp;$A$2&amp;$AW$1&amp;"P"&amp;$A32)="N/A",0,RTD("tos.rtd",,AX$2,"."&amp;$A$2&amp;$AW$1&amp;"P"&amp;$A32))</f>
        <v>-2290</v>
      </c>
      <c r="AY32" s="1">
        <f t="shared" si="68"/>
        <v>-7165</v>
      </c>
      <c r="AZ32" s="8">
        <f t="shared" si="35"/>
        <v>554</v>
      </c>
      <c r="BA32" s="6">
        <f>IF(RTD("tos.rtd",,BA$2,"."&amp;$A$2&amp;$AS$1&amp;"C"&amp;$A32)="N/A",0,RTD("tos.rtd",,BA$2,"."&amp;$A$2&amp;$AS$1&amp;"C"&amp;$A32))</f>
        <v>1921</v>
      </c>
      <c r="BB32" s="7">
        <f>-IF(RTD("tos.rtd",,BB$2,"."&amp;$A$2&amp;$AS$1&amp;"P"&amp;$A32)="N/A",0,RTD("tos.rtd",,BB$2,"."&amp;$A$2&amp;$AS$1&amp;"P"&amp;$A32))</f>
        <v>-104766</v>
      </c>
      <c r="BC32" s="6">
        <f>IF(RTD("tos.rtd",,BC$2,"."&amp;$A$2&amp;$AU$1&amp;"C"&amp;$A32)="N/A",0,RTD("tos.rtd",,BC$2,"."&amp;$A$2&amp;$AU$1&amp;"C"&amp;$A32))</f>
        <v>433</v>
      </c>
      <c r="BD32" s="7">
        <f>-IF(RTD("tos.rtd",,BD$2,"."&amp;$A$2&amp;$AU$1&amp;"P"&amp;$A32)="N/A",0,RTD("tos.rtd",,BD$2,"."&amp;$A$2&amp;$AU$1&amp;"P"&amp;$A32))</f>
        <v>-15519</v>
      </c>
      <c r="BE32" s="6">
        <f>IF(RTD("tos.rtd",,BE$2,"."&amp;$A$2&amp;$AW$1&amp;"C"&amp;$A32)="N/A",0,RTD("tos.rtd",,BE$2,"."&amp;$A$2&amp;$AW$1&amp;"C"&amp;$A32))</f>
        <v>235</v>
      </c>
      <c r="BF32" s="83">
        <f>-IF(RTD("tos.rtd",,BF$2,"."&amp;$A$2&amp;$AW$1&amp;"P"&amp;$A32)="N/A",0,RTD("tos.rtd",,BF$2,"."&amp;$A$2&amp;$AW$1&amp;"P"&amp;$A32))</f>
        <v>-957</v>
      </c>
      <c r="BG32" s="32">
        <f ca="1">+Hoja2!Y33</f>
        <v>-695</v>
      </c>
      <c r="BH32" s="7">
        <f t="shared" ca="1" si="36"/>
        <v>-119348</v>
      </c>
      <c r="BI32" s="8" t="str">
        <f t="shared" ref="BI32" ca="1" si="189">IF(AND(BH32&lt;0,BH31&gt;0), "Cruce -", IF(AND(BH32&gt;0,BH31&lt;0),"Cruce +", ""))</f>
        <v/>
      </c>
      <c r="BJ32" s="3" t="e">
        <f ca="1">IF($BP$1=1,DX32,IF(RTD("tos.rtd",,BJ$2,"."&amp;$A$2&amp;$AS$1&amp;"C"&amp;$A32)="N/A",0,RTD("tos.rtd",,BJ$2,"."&amp;$A$2&amp;$AS$1&amp;"C"&amp;$A32)))</f>
        <v>#NUM!</v>
      </c>
      <c r="BK32" s="3" t="e">
        <f ca="1">IF($BP$1=1,DY32,-IF(RTD("tos.rtd",,BK$2,"."&amp;$A$2&amp;$AS$1&amp;"P"&amp;$A32)="N/A",0,RTD("tos.rtd",,BK$2,"."&amp;$A$2&amp;$AS$1&amp;"P"&amp;$A32)))</f>
        <v>#NUM!</v>
      </c>
      <c r="BL32" s="3">
        <f ca="1">IF($BP$1=1,DZ32,IF(RTD("tos.rtd",,BL$2,"."&amp;$A$2&amp;$AU$1&amp;"C"&amp;$A32)="N/A",0,RTD("tos.rtd",,BL$2,"."&amp;$A$2&amp;$AU$1&amp;"C"&amp;$A32)))</f>
        <v>2.2495302284250184E-2</v>
      </c>
      <c r="BM32" s="3">
        <f ca="1">IF($BP$1=1,EA32,-IF(RTD("tos.rtd",,BM$2,"."&amp;$A$2&amp;$AU$1&amp;"P"&amp;$A32)="N/A",0,RTD("tos.rtd",,BM$2,"."&amp;$A$2&amp;$AU$1&amp;"P"&amp;$A32)))</f>
        <v>-2.0580718364993533E-2</v>
      </c>
      <c r="BN32" s="3">
        <f ca="1">IF($BP$1=1,EB32,IF(RTD("tos.rtd",,BN$2,"."&amp;$A$2&amp;$AW$1&amp;"C"&amp;$A32)="N/A",0,RTD("tos.rtd",,BN$2,"."&amp;$A$2&amp;$AW$1&amp;"C"&amp;$A32)))</f>
        <v>1.95524522672289E-2</v>
      </c>
      <c r="BO32" s="3">
        <f ca="1">IF($BP$1=1,EC32,-IF(RTD("tos.rtd",,BO$2,"."&amp;$A$2&amp;$AW$1&amp;"P"&amp;$A32)="N/A",0,RTD("tos.rtd",,BO$2,"."&amp;$A$2&amp;$AW$1&amp;"P"&amp;$A32)))</f>
        <v>-2.2370448334384018E-2</v>
      </c>
      <c r="BQ32" s="3" t="e">
        <f t="shared" ca="1" si="37"/>
        <v>#NUM!</v>
      </c>
      <c r="BR32" s="3" t="e">
        <f t="shared" ca="1" si="70"/>
        <v>#NUM!</v>
      </c>
      <c r="BS32" s="3">
        <f t="shared" ca="1" si="38"/>
        <v>-8001565.5855932739</v>
      </c>
      <c r="BT32" s="3" t="str">
        <f t="shared" ca="1" si="70"/>
        <v/>
      </c>
      <c r="BU32" s="3">
        <f t="shared" ca="1" si="39"/>
        <v>-3512223.3528688718</v>
      </c>
      <c r="BV32" s="3" t="str">
        <f t="shared" ref="BV32" ca="1" si="190">IF(AND(BU32&lt;0,BU31&gt;0), "Cruce -", IF(AND(BU32&gt;0,BU31&lt;0),"Cruce +", ""))</f>
        <v/>
      </c>
      <c r="BX32" s="3" t="e">
        <f t="shared" ca="1" si="40"/>
        <v>#NUM!</v>
      </c>
      <c r="BY32" s="3" t="e">
        <f t="shared" ca="1" si="72"/>
        <v>#NUM!</v>
      </c>
      <c r="BZ32" s="3">
        <f t="shared" ca="1" si="41"/>
        <v>-98614266.402897134</v>
      </c>
      <c r="CA32" s="3" t="str">
        <f t="shared" ca="1" si="73"/>
        <v/>
      </c>
      <c r="CB32" s="3">
        <f t="shared" ca="1" si="42"/>
        <v>-5354628.9763950054</v>
      </c>
      <c r="CC32" s="3" t="str">
        <f t="shared" ca="1" si="74"/>
        <v/>
      </c>
      <c r="CD32" s="3">
        <f>IF(RTD("tos.rtd",,CD$2,"."&amp;$A$2&amp;$AS$1&amp;"C"&amp;$A32)="N/A",0,RTD("tos.rtd",,CD$2,"."&amp;$A$2&amp;$AS$1&amp;"C"&amp;$A32))</f>
        <v>1</v>
      </c>
      <c r="CE32" s="3">
        <f>-IF(RTD("tos.rtd",,CE$2,"."&amp;$A$2&amp;$AS$1&amp;"P"&amp;$A32)="N/A",0,RTD("tos.rtd",,CE$2,"."&amp;$A$2&amp;$AS$1&amp;"P"&amp;$A32))</f>
        <v>0</v>
      </c>
      <c r="CF32" s="3">
        <f>IF(RTD("tos.rtd",,CF$2,"."&amp;$A$2&amp;$AU$1&amp;"C"&amp;$A32)="N/A",0,RTD("tos.rtd",,CF$2,"."&amp;$A$2&amp;$AU$1&amp;"C"&amp;$A32))</f>
        <v>1</v>
      </c>
      <c r="CG32" s="3">
        <f>-IF(RTD("tos.rtd",,CG$2,"."&amp;$A$2&amp;$AU$1&amp;"P"&amp;$A32)="N/A",0,RTD("tos.rtd",,CG$2,"."&amp;$A$2&amp;$AU$1&amp;"P"&amp;$A32))</f>
        <v>0.2</v>
      </c>
      <c r="CH32" s="3">
        <f>IF(RTD("tos.rtd",,CH$2,"."&amp;$A$2&amp;$AW$1&amp;"C"&amp;$A32)="N/A",0,RTD("tos.rtd",,CH$2,"."&amp;$A$2&amp;$AW$1&amp;"C"&amp;$A32))</f>
        <v>0.78</v>
      </c>
      <c r="CI32" s="3">
        <f>-IF(RTD("tos.rtd",,CI$2,"."&amp;$A$2&amp;$AW$1&amp;"P"&amp;$A32)="N/A",0,RTD("tos.rtd",,CI$2,"."&amp;$A$2&amp;$AW$1&amp;"P"&amp;$A32))</f>
        <v>0.31</v>
      </c>
      <c r="CK32" s="3">
        <f t="shared" si="17"/>
        <v>44000</v>
      </c>
      <c r="CL32" s="3"/>
      <c r="CM32" s="3">
        <f t="shared" si="18"/>
        <v>36220</v>
      </c>
      <c r="CN32" s="3"/>
      <c r="CO32" s="3">
        <f t="shared" si="19"/>
        <v>89378</v>
      </c>
      <c r="CP32" s="3">
        <f t="shared" si="43"/>
        <v>169598</v>
      </c>
      <c r="CQ32" s="3">
        <f t="shared" si="44"/>
        <v>-102845</v>
      </c>
      <c r="CR32" s="3"/>
      <c r="CS32" s="3">
        <f t="shared" si="20"/>
        <v>-15086</v>
      </c>
      <c r="CT32" s="3"/>
      <c r="CU32" s="3">
        <f t="shared" si="21"/>
        <v>-722</v>
      </c>
      <c r="CV32" s="3">
        <f t="shared" si="45"/>
        <v>-118653</v>
      </c>
      <c r="CW32" s="3" t="e">
        <f t="shared" ca="1" si="46"/>
        <v>#NUM!</v>
      </c>
      <c r="CX32" s="85" t="e">
        <f t="shared" ca="1" si="75"/>
        <v>#NUM!</v>
      </c>
      <c r="CY32" s="3" t="e">
        <f t="shared" ca="1" si="47"/>
        <v>#NUM!</v>
      </c>
      <c r="CZ32" s="85" t="e">
        <f t="shared" ca="1" si="76"/>
        <v>#NUM!</v>
      </c>
      <c r="DA32" s="3">
        <f>IF(RTD("tos.rtd",,DA$2,"."&amp;$A$2&amp;$AS$1&amp;"C"&amp;$A32)="N/A",0,RTD("tos.rtd",,DA$2,"."&amp;$A$2&amp;$AS$1&amp;"C"&amp;$A32))</f>
        <v>6.83</v>
      </c>
      <c r="DB32" s="3">
        <f>IF(RTD("tos.rtd",,DB$2,"."&amp;$A$2&amp;$AS$1&amp;"P"&amp;$A32)="N/A",0,RTD("tos.rtd",,DB$2,"."&amp;$A$2&amp;$AS$1&amp;"P"&amp;$A32))</f>
        <v>0.01</v>
      </c>
      <c r="DC32" s="3">
        <f>IF(RTD("tos.rtd",,DC$2,"."&amp;$A$2&amp;$AS$1&amp;"C"&amp;$A32)="N/A",0,RTD("tos.rtd",,DC$2,"."&amp;$A$2&amp;$AS$1&amp;"C"&amp;$A32))</f>
        <v>8.09</v>
      </c>
      <c r="DD32" s="3">
        <f>IF(RTD("tos.rtd",,DD$2,"."&amp;$A$2&amp;$AS$1&amp;"P"&amp;$A32)="N/A",0,RTD("tos.rtd",,DD$2,"."&amp;$A$2&amp;$AS$1&amp;"P"&amp;$A32))</f>
        <v>0.01</v>
      </c>
      <c r="DE32" s="3">
        <f>IF(RTD("tos.rtd",,DE$2,"."&amp;$A$2&amp;$AS$1&amp;"C"&amp;$A32)="N/A",0,RTD("tos.rtd",,DE$2,"."&amp;$A$2&amp;$AS$1&amp;"C"&amp;$A32))</f>
        <v>7.32</v>
      </c>
      <c r="DF32" s="3">
        <f>IF(RTD("tos.rtd",,DF$2,"."&amp;$A$2&amp;$AS$1&amp;"P"&amp;$A32)="N/A",0,RTD("tos.rtd",,DF$2,"."&amp;$A$2&amp;$AS$1&amp;"P"&amp;$A32))</f>
        <v>0</v>
      </c>
      <c r="DG32" s="86">
        <f t="shared" si="48"/>
        <v>-10.330000000000041</v>
      </c>
      <c r="DH32" s="3">
        <f t="shared" si="22"/>
        <v>0</v>
      </c>
      <c r="DI32" s="3">
        <f t="shared" si="49"/>
        <v>0</v>
      </c>
      <c r="DJ32" s="3">
        <f t="shared" si="50"/>
        <v>0</v>
      </c>
      <c r="DK32" s="3">
        <f t="shared" si="51"/>
        <v>0</v>
      </c>
      <c r="DL32" s="3">
        <f t="shared" si="52"/>
        <v>0</v>
      </c>
      <c r="DM32" s="3">
        <f t="shared" si="53"/>
        <v>0</v>
      </c>
      <c r="DN32" s="63" t="str">
        <f t="shared" si="54"/>
        <v>UNKNOWN</v>
      </c>
      <c r="DO32" s="63" t="str">
        <f t="shared" si="55"/>
        <v>UNKNOWN</v>
      </c>
      <c r="DP32" s="3">
        <f t="shared" si="56"/>
        <v>0</v>
      </c>
      <c r="DQ32" s="3">
        <f t="shared" si="57"/>
        <v>0</v>
      </c>
      <c r="DR32" s="3" t="e">
        <f t="shared" ca="1" si="58"/>
        <v>#NUM!</v>
      </c>
      <c r="DS32" s="3">
        <f t="shared" si="59"/>
        <v>0</v>
      </c>
      <c r="DT32" s="3">
        <f t="shared" si="60"/>
        <v>0</v>
      </c>
      <c r="DU32" s="3">
        <f t="shared" si="61"/>
        <v>0</v>
      </c>
      <c r="DV32" s="3">
        <f t="shared" si="62"/>
        <v>39</v>
      </c>
      <c r="DW32" s="3">
        <f t="shared" si="23"/>
        <v>-10089</v>
      </c>
      <c r="DX32" s="3" t="e">
        <f t="shared" ca="1" si="24"/>
        <v>#NUM!</v>
      </c>
      <c r="DY32" s="3" t="e">
        <f t="shared" ca="1" si="25"/>
        <v>#NUM!</v>
      </c>
      <c r="DZ32" s="3">
        <f t="shared" ca="1" si="26"/>
        <v>2.2495302284250184E-2</v>
      </c>
      <c r="EA32" s="3">
        <f t="shared" ca="1" si="27"/>
        <v>-2.0580718364993533E-2</v>
      </c>
      <c r="EB32" s="3">
        <f t="shared" ca="1" si="28"/>
        <v>1.95524522672289E-2</v>
      </c>
      <c r="EC32" s="3">
        <f t="shared" ca="1" si="29"/>
        <v>-2.2370448334384018E-2</v>
      </c>
      <c r="ED32" s="63">
        <f t="shared" si="63"/>
        <v>-10050</v>
      </c>
      <c r="EE32" s="59">
        <f t="shared" si="64"/>
        <v>0.25</v>
      </c>
      <c r="EF32" s="59">
        <f t="shared" si="30"/>
        <v>0.92579999999999996</v>
      </c>
      <c r="EG32" s="59">
        <f t="shared" si="31"/>
        <v>0.25</v>
      </c>
      <c r="EH32" s="59">
        <f t="shared" si="32"/>
        <v>0.32429999999999998</v>
      </c>
      <c r="EI32" s="59">
        <f t="shared" si="33"/>
        <v>0.16350000000000001</v>
      </c>
      <c r="EJ32" s="59">
        <f t="shared" si="34"/>
        <v>0.25779999999999997</v>
      </c>
      <c r="EL32" s="3" t="str">
        <f>RTD("tos.rtd",,EL$2,"."&amp;$A$2&amp;$AS$1&amp;"C"&amp;$A32)</f>
        <v>--</v>
      </c>
      <c r="EM32" s="3" t="str">
        <f>RTD("tos.rtd",,EM$2,"."&amp;$A$2&amp;$AS$1&amp;"P"&amp;$A32)</f>
        <v>92.58%</v>
      </c>
      <c r="EN32" s="3" t="str">
        <f>RTD("tos.rtd",,EN$2,"."&amp;$A$2&amp;$AU$1&amp;"C"&amp;$A32)</f>
        <v>--</v>
      </c>
      <c r="EO32" s="3" t="str">
        <f>RTD("tos.rtd",,EO$2,"."&amp;$A$2&amp;$AU$1&amp;"P"&amp;$A32)</f>
        <v>32.43%</v>
      </c>
      <c r="EP32" s="3" t="str">
        <f>RTD("tos.rtd",,EP$2,"."&amp;$A$2&amp;$AW$1&amp;"C"&amp;$A32)</f>
        <v>16.35%</v>
      </c>
      <c r="EQ32" s="3" t="str">
        <f>RTD("tos.rtd",,EQ$2,"."&amp;$A$2&amp;$AW$1&amp;"P"&amp;$A32)</f>
        <v>25.78%</v>
      </c>
      <c r="ES32" s="63" t="str">
        <f t="shared" si="65"/>
        <v>554,-10050.00</v>
      </c>
      <c r="ET32" s="63" t="str">
        <f t="shared" ca="1" si="66"/>
        <v>554,00.00</v>
      </c>
      <c r="EU32" s="67">
        <v>562.58000000000004</v>
      </c>
      <c r="EV32" s="67" t="s">
        <v>276</v>
      </c>
      <c r="EW32" s="67">
        <v>485.11</v>
      </c>
      <c r="EX32" s="67" t="s">
        <v>277</v>
      </c>
      <c r="EY32" s="67">
        <v>5639.5</v>
      </c>
      <c r="EZ32" s="67" t="s">
        <v>278</v>
      </c>
      <c r="FA32" s="67">
        <v>19927.25</v>
      </c>
      <c r="FB32" s="67" t="s">
        <v>279</v>
      </c>
      <c r="FC32" s="67" t="s">
        <v>280</v>
      </c>
      <c r="FD32" s="67" t="s">
        <v>281</v>
      </c>
      <c r="FE32" s="67" t="s">
        <v>282</v>
      </c>
      <c r="FF32" s="67" t="s">
        <v>283</v>
      </c>
    </row>
    <row r="33" spans="1:162" s="63" customFormat="1" ht="13.5" thickBot="1" x14ac:dyDescent="0.25">
      <c r="A33" s="2">
        <f t="shared" si="67"/>
        <v>553</v>
      </c>
      <c r="B33" s="3">
        <f t="shared" si="9"/>
        <v>4328</v>
      </c>
      <c r="C33" s="3">
        <f t="shared" si="10"/>
        <v>2597</v>
      </c>
      <c r="D33" s="3">
        <f t="shared" si="11"/>
        <v>4096</v>
      </c>
      <c r="E33" s="3">
        <f t="shared" si="12"/>
        <v>11021</v>
      </c>
      <c r="F33" s="4">
        <f t="shared" si="13"/>
        <v>5565.9631775734051</v>
      </c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>
        <v>-122</v>
      </c>
      <c r="AN33" s="1">
        <v>3053</v>
      </c>
      <c r="AO33" s="1">
        <v>553</v>
      </c>
      <c r="AP33" s="1">
        <v>1755</v>
      </c>
      <c r="AQ33" s="1">
        <v>-88053</v>
      </c>
      <c r="AR33" s="1"/>
      <c r="AS33" s="6">
        <f>IF(RTD("tos.rtd",,AS$2,"."&amp;$A$2&amp;$AS$1&amp;"C"&amp;$A33)="N/A",0,RTD("tos.rtd",,AS$2,"."&amp;$A$2&amp;$AS$1&amp;"C"&amp;$A33))</f>
        <v>692</v>
      </c>
      <c r="AT33" s="7">
        <f>-IF(RTD("tos.rtd",,AT$2,"."&amp;$A$2&amp;$AS$1&amp;"P"&amp;$A33)="N/A",0,RTD("tos.rtd",,AT$2,"."&amp;$A$2&amp;$AS$1&amp;"P"&amp;$A33))</f>
        <v>-3636</v>
      </c>
      <c r="AU33" s="6">
        <f>IF(RTD("tos.rtd",,AU$2,"."&amp;$A$2&amp;$AU$1&amp;"C"&amp;$A33)="N/A",0,RTD("tos.rtd",,AU$2,"."&amp;$A$2&amp;$AU$1&amp;"C"&amp;$A33))</f>
        <v>853</v>
      </c>
      <c r="AV33" s="7">
        <f>-IF(RTD("tos.rtd",,AV$2,"."&amp;$A$2&amp;$AU$1&amp;"P"&amp;$A33)="N/A",0,RTD("tos.rtd",,AV$2,"."&amp;$A$2&amp;$AU$1&amp;"P"&amp;$A33))</f>
        <v>-1744</v>
      </c>
      <c r="AW33" s="6">
        <f>IF(RTD("tos.rtd",,AW$2,"."&amp;$A$2&amp;$AW$1&amp;"C"&amp;$A33)="N/A",0,RTD("tos.rtd",,AW$2,"."&amp;$A$2&amp;$AW$1&amp;"C"&amp;$A33))</f>
        <v>2530</v>
      </c>
      <c r="AX33" s="7">
        <f>-IF(RTD("tos.rtd",,AX$2,"."&amp;$A$2&amp;$AW$1&amp;"P"&amp;$A33)="N/A",0,RTD("tos.rtd",,AX$2,"."&amp;$A$2&amp;$AW$1&amp;"P"&amp;$A33))</f>
        <v>-1566</v>
      </c>
      <c r="AY33" s="1">
        <f t="shared" si="68"/>
        <v>-2871</v>
      </c>
      <c r="AZ33" s="8">
        <f t="shared" si="35"/>
        <v>553</v>
      </c>
      <c r="BA33" s="6">
        <f>IF(RTD("tos.rtd",,BA$2,"."&amp;$A$2&amp;$AS$1&amp;"C"&amp;$A33)="N/A",0,RTD("tos.rtd",,BA$2,"."&amp;$A$2&amp;$AS$1&amp;"C"&amp;$A33))</f>
        <v>1755</v>
      </c>
      <c r="BB33" s="7">
        <f>-IF(RTD("tos.rtd",,BB$2,"."&amp;$A$2&amp;$AS$1&amp;"P"&amp;$A33)="N/A",0,RTD("tos.rtd",,BB$2,"."&amp;$A$2&amp;$AS$1&amp;"P"&amp;$A33))</f>
        <v>-88053</v>
      </c>
      <c r="BC33" s="6">
        <f>IF(RTD("tos.rtd",,BC$2,"."&amp;$A$2&amp;$AU$1&amp;"C"&amp;$A33)="N/A",0,RTD("tos.rtd",,BC$2,"."&amp;$A$2&amp;$AU$1&amp;"C"&amp;$A33))</f>
        <v>164</v>
      </c>
      <c r="BD33" s="7">
        <f>-IF(RTD("tos.rtd",,BD$2,"."&amp;$A$2&amp;$AU$1&amp;"P"&amp;$A33)="N/A",0,RTD("tos.rtd",,BD$2,"."&amp;$A$2&amp;$AU$1&amp;"P"&amp;$A33))</f>
        <v>-4410</v>
      </c>
      <c r="BE33" s="6">
        <f>IF(RTD("tos.rtd",,BE$2,"."&amp;$A$2&amp;$AW$1&amp;"C"&amp;$A33)="N/A",0,RTD("tos.rtd",,BE$2,"."&amp;$A$2&amp;$AW$1&amp;"C"&amp;$A33))</f>
        <v>90</v>
      </c>
      <c r="BF33" s="83">
        <f>-IF(RTD("tos.rtd",,BF$2,"."&amp;$A$2&amp;$AW$1&amp;"P"&amp;$A33)="N/A",0,RTD("tos.rtd",,BF$2,"."&amp;$A$2&amp;$AW$1&amp;"P"&amp;$A33))</f>
        <v>-851</v>
      </c>
      <c r="BG33" s="32">
        <f ca="1">+Hoja2!Y34</f>
        <v>-1016</v>
      </c>
      <c r="BH33" s="7">
        <f t="shared" ca="1" si="36"/>
        <v>-92321</v>
      </c>
      <c r="BI33" s="8" t="str">
        <f t="shared" ref="BI33" ca="1" si="191">IF(AND(BH33&lt;0,BH32&gt;0), "Cruce -", IF(AND(BH33&gt;0,BH32&lt;0),"Cruce +", ""))</f>
        <v/>
      </c>
      <c r="BJ33" s="3" t="e">
        <f ca="1">IF($BP$1=1,DX33,IF(RTD("tos.rtd",,BJ$2,"."&amp;$A$2&amp;$AS$1&amp;"C"&amp;$A33)="N/A",0,RTD("tos.rtd",,BJ$2,"."&amp;$A$2&amp;$AS$1&amp;"C"&amp;$A33)))</f>
        <v>#NUM!</v>
      </c>
      <c r="BK33" s="3" t="e">
        <f ca="1">IF($BP$1=1,DY33,-IF(RTD("tos.rtd",,BK$2,"."&amp;$A$2&amp;$AS$1&amp;"P"&amp;$A33)="N/A",0,RTD("tos.rtd",,BK$2,"."&amp;$A$2&amp;$AS$1&amp;"P"&amp;$A33)))</f>
        <v>#NUM!</v>
      </c>
      <c r="BL33" s="3">
        <f ca="1">IF($BP$1=1,DZ33,IF(RTD("tos.rtd",,BL$2,"."&amp;$A$2&amp;$AU$1&amp;"C"&amp;$A33)="N/A",0,RTD("tos.rtd",,BL$2,"."&amp;$A$2&amp;$AU$1&amp;"C"&amp;$A33)))</f>
        <v>2.0638201996169645E-2</v>
      </c>
      <c r="BM33" s="3">
        <f ca="1">IF($BP$1=1,EA33,-IF(RTD("tos.rtd",,BM$2,"."&amp;$A$2&amp;$AU$1&amp;"P"&amp;$A33)="N/A",0,RTD("tos.rtd",,BM$2,"."&amp;$A$2&amp;$AU$1&amp;"P"&amp;$A33)))</f>
        <v>-1.9512638946849889E-2</v>
      </c>
      <c r="BN33" s="3">
        <f ca="1">IF($BP$1=1,EB33,IF(RTD("tos.rtd",,BN$2,"."&amp;$A$2&amp;$AW$1&amp;"C"&amp;$A33)="N/A",0,RTD("tos.rtd",,BN$2,"."&amp;$A$2&amp;$AW$1&amp;"C"&amp;$A33)))</f>
        <v>1.5702575872996682E-2</v>
      </c>
      <c r="BO33" s="3">
        <f ca="1">IF($BP$1=1,EC33,-IF(RTD("tos.rtd",,BO$2,"."&amp;$A$2&amp;$AW$1&amp;"P"&amp;$A33)="N/A",0,RTD("tos.rtd",,BO$2,"."&amp;$A$2&amp;$AW$1&amp;"P"&amp;$A33)))</f>
        <v>-2.062296657702305E-2</v>
      </c>
      <c r="BQ33" s="3" t="e">
        <f t="shared" ca="1" si="37"/>
        <v>#NUM!</v>
      </c>
      <c r="BR33" s="3" t="e">
        <f t="shared" ca="1" si="70"/>
        <v>#NUM!</v>
      </c>
      <c r="BS33" s="3">
        <f t="shared" ca="1" si="38"/>
        <v>-5231051.5524713863</v>
      </c>
      <c r="BT33" s="3" t="str">
        <f t="shared" ca="1" si="70"/>
        <v/>
      </c>
      <c r="BU33" s="3">
        <f t="shared" ca="1" si="39"/>
        <v>2366841.2593179662</v>
      </c>
      <c r="BV33" s="3" t="str">
        <f t="shared" ref="BV33" ca="1" si="192">IF(AND(BU33&lt;0,BU32&gt;0), "Cruce -", IF(AND(BU33&gt;0,BU32&lt;0),"Cruce +", ""))</f>
        <v>Cruce +</v>
      </c>
      <c r="BX33" s="3" t="e">
        <f t="shared" ca="1" si="40"/>
        <v>#NUM!</v>
      </c>
      <c r="BY33" s="3" t="e">
        <f t="shared" ca="1" si="72"/>
        <v>#NUM!</v>
      </c>
      <c r="BZ33" s="3">
        <f t="shared" ca="1" si="41"/>
        <v>-26326527.659961864</v>
      </c>
      <c r="CA33" s="3" t="str">
        <f t="shared" ca="1" si="73"/>
        <v/>
      </c>
      <c r="CB33" s="3">
        <f t="shared" ca="1" si="42"/>
        <v>-5139095.9529814366</v>
      </c>
      <c r="CC33" s="3" t="str">
        <f t="shared" ca="1" si="74"/>
        <v/>
      </c>
      <c r="CD33" s="3">
        <f>IF(RTD("tos.rtd",,CD$2,"."&amp;$A$2&amp;$AS$1&amp;"C"&amp;$A33)="N/A",0,RTD("tos.rtd",,CD$2,"."&amp;$A$2&amp;$AS$1&amp;"C"&amp;$A33))</f>
        <v>1</v>
      </c>
      <c r="CE33" s="3">
        <f>-IF(RTD("tos.rtd",,CE$2,"."&amp;$A$2&amp;$AS$1&amp;"P"&amp;$A33)="N/A",0,RTD("tos.rtd",,CE$2,"."&amp;$A$2&amp;$AS$1&amp;"P"&amp;$A33))</f>
        <v>0</v>
      </c>
      <c r="CF33" s="3">
        <f>IF(RTD("tos.rtd",,CF$2,"."&amp;$A$2&amp;$AU$1&amp;"C"&amp;$A33)="N/A",0,RTD("tos.rtd",,CF$2,"."&amp;$A$2&amp;$AU$1&amp;"C"&amp;$A33))</f>
        <v>1</v>
      </c>
      <c r="CG33" s="3">
        <f>-IF(RTD("tos.rtd",,CG$2,"."&amp;$A$2&amp;$AU$1&amp;"P"&amp;$A33)="N/A",0,RTD("tos.rtd",,CG$2,"."&amp;$A$2&amp;$AU$1&amp;"P"&amp;$A33))</f>
        <v>0.18</v>
      </c>
      <c r="CH33" s="3">
        <f>IF(RTD("tos.rtd",,CH$2,"."&amp;$A$2&amp;$AW$1&amp;"C"&amp;$A33)="N/A",0,RTD("tos.rtd",,CH$2,"."&amp;$A$2&amp;$AW$1&amp;"C"&amp;$A33))</f>
        <v>0.8</v>
      </c>
      <c r="CI33" s="3">
        <f>-IF(RTD("tos.rtd",,CI$2,"."&amp;$A$2&amp;$AW$1&amp;"P"&amp;$A33)="N/A",0,RTD("tos.rtd",,CI$2,"."&amp;$A$2&amp;$AW$1&amp;"P"&amp;$A33))</f>
        <v>0.28999999999999998</v>
      </c>
      <c r="CK33" s="3">
        <f t="shared" si="17"/>
        <v>69200</v>
      </c>
      <c r="CL33" s="3"/>
      <c r="CM33" s="3">
        <f t="shared" si="18"/>
        <v>53908</v>
      </c>
      <c r="CN33" s="3"/>
      <c r="CO33" s="3">
        <f t="shared" si="19"/>
        <v>156986</v>
      </c>
      <c r="CP33" s="3">
        <f t="shared" si="43"/>
        <v>280094</v>
      </c>
      <c r="CQ33" s="3">
        <f t="shared" si="44"/>
        <v>-86298</v>
      </c>
      <c r="CR33" s="3"/>
      <c r="CS33" s="3">
        <f t="shared" si="20"/>
        <v>-4246</v>
      </c>
      <c r="CT33" s="3"/>
      <c r="CU33" s="3">
        <f t="shared" si="21"/>
        <v>-761</v>
      </c>
      <c r="CV33" s="3">
        <f t="shared" si="45"/>
        <v>-91305</v>
      </c>
      <c r="CW33" s="3" t="e">
        <f t="shared" ca="1" si="46"/>
        <v>#NUM!</v>
      </c>
      <c r="CX33" s="85" t="e">
        <f t="shared" ca="1" si="75"/>
        <v>#NUM!</v>
      </c>
      <c r="CY33" s="3" t="e">
        <f t="shared" ca="1" si="47"/>
        <v>#NUM!</v>
      </c>
      <c r="CZ33" s="85" t="e">
        <f t="shared" ca="1" si="76"/>
        <v>#NUM!</v>
      </c>
      <c r="DA33" s="3">
        <f>IF(RTD("tos.rtd",,DA$2,"."&amp;$A$2&amp;$AS$1&amp;"C"&amp;$A33)="N/A",0,RTD("tos.rtd",,DA$2,"."&amp;$A$2&amp;$AS$1&amp;"C"&amp;$A33))</f>
        <v>8.07</v>
      </c>
      <c r="DB33" s="3">
        <f>IF(RTD("tos.rtd",,DB$2,"."&amp;$A$2&amp;$AS$1&amp;"P"&amp;$A33)="N/A",0,RTD("tos.rtd",,DB$2,"."&amp;$A$2&amp;$AS$1&amp;"P"&amp;$A33))</f>
        <v>0.01</v>
      </c>
      <c r="DC33" s="3">
        <f>IF(RTD("tos.rtd",,DC$2,"."&amp;$A$2&amp;$AS$1&amp;"C"&amp;$A33)="N/A",0,RTD("tos.rtd",,DC$2,"."&amp;$A$2&amp;$AS$1&amp;"C"&amp;$A33))</f>
        <v>9.3000000000000007</v>
      </c>
      <c r="DD33" s="3">
        <f>IF(RTD("tos.rtd",,DD$2,"."&amp;$A$2&amp;$AS$1&amp;"P"&amp;$A33)="N/A",0,RTD("tos.rtd",,DD$2,"."&amp;$A$2&amp;$AS$1&amp;"P"&amp;$A33))</f>
        <v>0.01</v>
      </c>
      <c r="DE33" s="3">
        <f>IF(RTD("tos.rtd",,DE$2,"."&amp;$A$2&amp;$AS$1&amp;"C"&amp;$A33)="N/A",0,RTD("tos.rtd",,DE$2,"."&amp;$A$2&amp;$AS$1&amp;"C"&amp;$A33))</f>
        <v>7.46</v>
      </c>
      <c r="DF33" s="3">
        <f>IF(RTD("tos.rtd",,DF$2,"."&amp;$A$2&amp;$AS$1&amp;"P"&amp;$A33)="N/A",0,RTD("tos.rtd",,DF$2,"."&amp;$A$2&amp;$AS$1&amp;"P"&amp;$A33))</f>
        <v>0</v>
      </c>
      <c r="DG33" s="86">
        <f t="shared" si="48"/>
        <v>-11.330000000000041</v>
      </c>
      <c r="DH33" s="3">
        <f t="shared" si="22"/>
        <v>0</v>
      </c>
      <c r="DI33" s="3">
        <f t="shared" si="49"/>
        <v>0</v>
      </c>
      <c r="DJ33" s="3">
        <f t="shared" si="50"/>
        <v>0</v>
      </c>
      <c r="DK33" s="3">
        <f t="shared" si="51"/>
        <v>0</v>
      </c>
      <c r="DL33" s="3">
        <f t="shared" si="52"/>
        <v>0</v>
      </c>
      <c r="DM33" s="3">
        <f t="shared" si="53"/>
        <v>0</v>
      </c>
      <c r="DN33" s="63" t="str">
        <f t="shared" si="54"/>
        <v>UNKNOWN</v>
      </c>
      <c r="DO33" s="63" t="str">
        <f t="shared" si="55"/>
        <v>UNKNOWN</v>
      </c>
      <c r="DP33" s="3">
        <f t="shared" si="56"/>
        <v>0</v>
      </c>
      <c r="DQ33" s="3">
        <f t="shared" si="57"/>
        <v>0</v>
      </c>
      <c r="DR33" s="3" t="e">
        <f t="shared" ca="1" si="58"/>
        <v>#NUM!</v>
      </c>
      <c r="DS33" s="3">
        <f t="shared" si="59"/>
        <v>0</v>
      </c>
      <c r="DT33" s="3">
        <f t="shared" si="60"/>
        <v>0</v>
      </c>
      <c r="DU33" s="3">
        <f t="shared" si="61"/>
        <v>0</v>
      </c>
      <c r="DV33" s="3">
        <f t="shared" si="62"/>
        <v>-122</v>
      </c>
      <c r="DW33" s="3">
        <f t="shared" si="23"/>
        <v>3053</v>
      </c>
      <c r="DX33" s="3" t="e">
        <f t="shared" ca="1" si="24"/>
        <v>#NUM!</v>
      </c>
      <c r="DY33" s="3" t="e">
        <f t="shared" ca="1" si="25"/>
        <v>#NUM!</v>
      </c>
      <c r="DZ33" s="3">
        <f t="shared" ca="1" si="26"/>
        <v>2.0638201996169645E-2</v>
      </c>
      <c r="EA33" s="3">
        <f t="shared" ca="1" si="27"/>
        <v>-1.9512638946849889E-2</v>
      </c>
      <c r="EB33" s="3">
        <f t="shared" ca="1" si="28"/>
        <v>1.5702575872996682E-2</v>
      </c>
      <c r="EC33" s="3">
        <f t="shared" ca="1" si="29"/>
        <v>-2.062296657702305E-2</v>
      </c>
      <c r="ED33" s="63">
        <f t="shared" si="63"/>
        <v>2931</v>
      </c>
      <c r="EE33" s="59">
        <f t="shared" si="64"/>
        <v>0.25</v>
      </c>
      <c r="EF33" s="59">
        <f t="shared" si="30"/>
        <v>1.0065999999999999</v>
      </c>
      <c r="EG33" s="59">
        <f t="shared" si="31"/>
        <v>0.25</v>
      </c>
      <c r="EH33" s="59">
        <f t="shared" si="32"/>
        <v>0.32569999999999999</v>
      </c>
      <c r="EI33" s="59">
        <f t="shared" si="33"/>
        <v>0.1613</v>
      </c>
      <c r="EJ33" s="59">
        <f t="shared" si="34"/>
        <v>0.2591</v>
      </c>
      <c r="EL33" s="3" t="str">
        <f>RTD("tos.rtd",,EL$2,"."&amp;$A$2&amp;$AS$1&amp;"C"&amp;$A33)</f>
        <v>--</v>
      </c>
      <c r="EM33" s="3" t="str">
        <f>RTD("tos.rtd",,EM$2,"."&amp;$A$2&amp;$AS$1&amp;"P"&amp;$A33)</f>
        <v>100.66%</v>
      </c>
      <c r="EN33" s="3" t="str">
        <f>RTD("tos.rtd",,EN$2,"."&amp;$A$2&amp;$AU$1&amp;"C"&amp;$A33)</f>
        <v>--</v>
      </c>
      <c r="EO33" s="3" t="str">
        <f>RTD("tos.rtd",,EO$2,"."&amp;$A$2&amp;$AU$1&amp;"P"&amp;$A33)</f>
        <v>32.57%</v>
      </c>
      <c r="EP33" s="3" t="str">
        <f>RTD("tos.rtd",,EP$2,"."&amp;$A$2&amp;$AW$1&amp;"C"&amp;$A33)</f>
        <v>16.13%</v>
      </c>
      <c r="EQ33" s="3" t="str">
        <f>RTD("tos.rtd",,EQ$2,"."&amp;$A$2&amp;$AW$1&amp;"P"&amp;$A33)</f>
        <v>25.91%</v>
      </c>
      <c r="ES33" s="63" t="str">
        <f t="shared" si="65"/>
        <v>553,2931.00</v>
      </c>
      <c r="ET33" s="63" t="str">
        <f t="shared" ca="1" si="66"/>
        <v>553,00.00</v>
      </c>
      <c r="EU33" s="67">
        <v>562.59</v>
      </c>
      <c r="EV33" s="67" t="s">
        <v>284</v>
      </c>
      <c r="EW33" s="67">
        <v>485.09</v>
      </c>
      <c r="EX33" s="67" t="s">
        <v>285</v>
      </c>
      <c r="EY33" s="67">
        <v>5639.5</v>
      </c>
      <c r="EZ33" s="67" t="s">
        <v>286</v>
      </c>
      <c r="FA33" s="67">
        <v>19926.5</v>
      </c>
      <c r="FB33" s="67" t="s">
        <v>287</v>
      </c>
      <c r="FC33" s="67" t="s">
        <v>288</v>
      </c>
      <c r="FD33" s="67" t="s">
        <v>289</v>
      </c>
      <c r="FE33" s="67" t="s">
        <v>290</v>
      </c>
      <c r="FF33" s="67" t="s">
        <v>291</v>
      </c>
    </row>
    <row r="34" spans="1:162" s="63" customFormat="1" ht="13.5" thickBot="1" x14ac:dyDescent="0.25">
      <c r="A34" s="2">
        <f t="shared" si="67"/>
        <v>552</v>
      </c>
      <c r="B34" s="3">
        <f t="shared" si="9"/>
        <v>3385</v>
      </c>
      <c r="C34" s="3">
        <f t="shared" si="10"/>
        <v>7515</v>
      </c>
      <c r="D34" s="3">
        <f t="shared" si="11"/>
        <v>6562</v>
      </c>
      <c r="E34" s="3">
        <f t="shared" si="12"/>
        <v>17462</v>
      </c>
      <c r="F34" s="4">
        <f t="shared" si="13"/>
        <v>5555.8981447025672</v>
      </c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>
        <v>192</v>
      </c>
      <c r="AN34" s="1">
        <v>10211</v>
      </c>
      <c r="AO34" s="1">
        <v>552</v>
      </c>
      <c r="AP34" s="1">
        <v>864</v>
      </c>
      <c r="AQ34" s="1">
        <v>-66673</v>
      </c>
      <c r="AR34" s="1"/>
      <c r="AS34" s="6">
        <f>IF(RTD("tos.rtd",,AS$2,"."&amp;$A$2&amp;$AS$1&amp;"C"&amp;$A34)="N/A",0,RTD("tos.rtd",,AS$2,"."&amp;$A$2&amp;$AS$1&amp;"C"&amp;$A34))</f>
        <v>589</v>
      </c>
      <c r="AT34" s="7">
        <f>-IF(RTD("tos.rtd",,AT$2,"."&amp;$A$2&amp;$AS$1&amp;"P"&amp;$A34)="N/A",0,RTD("tos.rtd",,AT$2,"."&amp;$A$2&amp;$AS$1&amp;"P"&amp;$A34))</f>
        <v>-2796</v>
      </c>
      <c r="AU34" s="6">
        <f>IF(RTD("tos.rtd",,AU$2,"."&amp;$A$2&amp;$AU$1&amp;"C"&amp;$A34)="N/A",0,RTD("tos.rtd",,AU$2,"."&amp;$A$2&amp;$AU$1&amp;"C"&amp;$A34))</f>
        <v>536</v>
      </c>
      <c r="AV34" s="7">
        <f>-IF(RTD("tos.rtd",,AV$2,"."&amp;$A$2&amp;$AU$1&amp;"P"&amp;$A34)="N/A",0,RTD("tos.rtd",,AV$2,"."&amp;$A$2&amp;$AU$1&amp;"P"&amp;$A34))</f>
        <v>-6979</v>
      </c>
      <c r="AW34" s="6">
        <f>IF(RTD("tos.rtd",,AW$2,"."&amp;$A$2&amp;$AW$1&amp;"C"&amp;$A34)="N/A",0,RTD("tos.rtd",,AW$2,"."&amp;$A$2&amp;$AW$1&amp;"C"&amp;$A34))</f>
        <v>2010</v>
      </c>
      <c r="AX34" s="7">
        <f>-IF(RTD("tos.rtd",,AX$2,"."&amp;$A$2&amp;$AW$1&amp;"P"&amp;$A34)="N/A",0,RTD("tos.rtd",,AX$2,"."&amp;$A$2&amp;$AW$1&amp;"P"&amp;$A34))</f>
        <v>-4552</v>
      </c>
      <c r="AY34" s="1">
        <f t="shared" si="68"/>
        <v>-11192</v>
      </c>
      <c r="AZ34" s="8">
        <f t="shared" si="35"/>
        <v>552</v>
      </c>
      <c r="BA34" s="6">
        <f>IF(RTD("tos.rtd",,BA$2,"."&amp;$A$2&amp;$AS$1&amp;"C"&amp;$A34)="N/A",0,RTD("tos.rtd",,BA$2,"."&amp;$A$2&amp;$AS$1&amp;"C"&amp;$A34))</f>
        <v>865</v>
      </c>
      <c r="BB34" s="7">
        <f>-IF(RTD("tos.rtd",,BB$2,"."&amp;$A$2&amp;$AS$1&amp;"P"&amp;$A34)="N/A",0,RTD("tos.rtd",,BB$2,"."&amp;$A$2&amp;$AS$1&amp;"P"&amp;$A34))</f>
        <v>-66673</v>
      </c>
      <c r="BC34" s="6">
        <f>IF(RTD("tos.rtd",,BC$2,"."&amp;$A$2&amp;$AU$1&amp;"C"&amp;$A34)="N/A",0,RTD("tos.rtd",,BC$2,"."&amp;$A$2&amp;$AU$1&amp;"C"&amp;$A34))</f>
        <v>472</v>
      </c>
      <c r="BD34" s="7">
        <f>-IF(RTD("tos.rtd",,BD$2,"."&amp;$A$2&amp;$AU$1&amp;"P"&amp;$A34)="N/A",0,RTD("tos.rtd",,BD$2,"."&amp;$A$2&amp;$AU$1&amp;"P"&amp;$A34))</f>
        <v>-6762</v>
      </c>
      <c r="BE34" s="6">
        <f>IF(RTD("tos.rtd",,BE$2,"."&amp;$A$2&amp;$AW$1&amp;"C"&amp;$A34)="N/A",0,RTD("tos.rtd",,BE$2,"."&amp;$A$2&amp;$AW$1&amp;"C"&amp;$A34))</f>
        <v>68</v>
      </c>
      <c r="BF34" s="83">
        <f>-IF(RTD("tos.rtd",,BF$2,"."&amp;$A$2&amp;$AW$1&amp;"P"&amp;$A34)="N/A",0,RTD("tos.rtd",,BF$2,"."&amp;$A$2&amp;$AW$1&amp;"P"&amp;$A34))</f>
        <v>-1248</v>
      </c>
      <c r="BG34" s="32">
        <f ca="1">+Hoja2!Y35</f>
        <v>-1635</v>
      </c>
      <c r="BH34" s="7">
        <f t="shared" ca="1" si="36"/>
        <v>-74913</v>
      </c>
      <c r="BI34" s="8" t="str">
        <f t="shared" ref="BI34" ca="1" si="193">IF(AND(BH34&lt;0,BH33&gt;0), "Cruce -", IF(AND(BH34&gt;0,BH33&lt;0),"Cruce +", ""))</f>
        <v/>
      </c>
      <c r="BJ34" s="3" t="e">
        <f ca="1">IF($BP$1=1,DX34,IF(RTD("tos.rtd",,BJ$2,"."&amp;$A$2&amp;$AS$1&amp;"C"&amp;$A34)="N/A",0,RTD("tos.rtd",,BJ$2,"."&amp;$A$2&amp;$AS$1&amp;"C"&amp;$A34)))</f>
        <v>#NUM!</v>
      </c>
      <c r="BK34" s="3" t="e">
        <f ca="1">IF($BP$1=1,DY34,-IF(RTD("tos.rtd",,BK$2,"."&amp;$A$2&amp;$AS$1&amp;"P"&amp;$A34)="N/A",0,RTD("tos.rtd",,BK$2,"."&amp;$A$2&amp;$AS$1&amp;"P"&amp;$A34)))</f>
        <v>#NUM!</v>
      </c>
      <c r="BL34" s="3">
        <f ca="1">IF($BP$1=1,DZ34,IF(RTD("tos.rtd",,BL$2,"."&amp;$A$2&amp;$AU$1&amp;"C"&amp;$A34)="N/A",0,RTD("tos.rtd",,BL$2,"."&amp;$A$2&amp;$AU$1&amp;"C"&amp;$A34)))</f>
        <v>1.8783296433705448E-2</v>
      </c>
      <c r="BM34" s="3">
        <f ca="1">IF($BP$1=1,EA34,-IF(RTD("tos.rtd",,BM$2,"."&amp;$A$2&amp;$AU$1&amp;"P"&amp;$A34)="N/A",0,RTD("tos.rtd",,BM$2,"."&amp;$A$2&amp;$AU$1&amp;"P"&amp;$A34)))</f>
        <v>-1.8437608283488192E-2</v>
      </c>
      <c r="BN34" s="3">
        <f ca="1">IF($BP$1=1,EB34,IF(RTD("tos.rtd",,BN$2,"."&amp;$A$2&amp;$AW$1&amp;"C"&amp;$A34)="N/A",0,RTD("tos.rtd",,BN$2,"."&amp;$A$2&amp;$AW$1&amp;"C"&amp;$A34)))</f>
        <v>1.2136214724902913E-2</v>
      </c>
      <c r="BO34" s="3">
        <f ca="1">IF($BP$1=1,EC34,-IF(RTD("tos.rtd",,BO$2,"."&amp;$A$2&amp;$AW$1&amp;"P"&amp;$A34)="N/A",0,RTD("tos.rtd",,BO$2,"."&amp;$A$2&amp;$AW$1&amp;"P"&amp;$A34)))</f>
        <v>-1.8901301327401608E-2</v>
      </c>
      <c r="BQ34" s="3" t="e">
        <f t="shared" ca="1" si="37"/>
        <v>#NUM!</v>
      </c>
      <c r="BR34" s="3" t="e">
        <f t="shared" ca="1" si="70"/>
        <v>#NUM!</v>
      </c>
      <c r="BS34" s="3">
        <f t="shared" ca="1" si="38"/>
        <v>-37772964.410382472</v>
      </c>
      <c r="BT34" s="3" t="str">
        <f t="shared" ca="1" si="70"/>
        <v/>
      </c>
      <c r="BU34" s="3">
        <f t="shared" ca="1" si="39"/>
        <v>-19631959.726512156</v>
      </c>
      <c r="BV34" s="3" t="str">
        <f t="shared" ref="BV34" ca="1" si="194">IF(AND(BU34&lt;0,BU33&gt;0), "Cruce -", IF(AND(BU34&gt;0,BU33&lt;0),"Cruce +", ""))</f>
        <v>Cruce -</v>
      </c>
      <c r="BX34" s="3" t="e">
        <f t="shared" ca="1" si="40"/>
        <v>#NUM!</v>
      </c>
      <c r="BY34" s="3" t="e">
        <f t="shared" ca="1" si="72"/>
        <v>#NUM!</v>
      </c>
      <c r="BZ34" s="3">
        <f t="shared" ca="1" si="41"/>
        <v>-36881625.633227006</v>
      </c>
      <c r="CA34" s="3" t="str">
        <f t="shared" ca="1" si="73"/>
        <v/>
      </c>
      <c r="CB34" s="3">
        <f t="shared" ca="1" si="42"/>
        <v>-7249473.8317542858</v>
      </c>
      <c r="CC34" s="3" t="str">
        <f t="shared" ca="1" si="74"/>
        <v/>
      </c>
      <c r="CD34" s="3">
        <f>IF(RTD("tos.rtd",,CD$2,"."&amp;$A$2&amp;$AS$1&amp;"C"&amp;$A34)="N/A",0,RTD("tos.rtd",,CD$2,"."&amp;$A$2&amp;$AS$1&amp;"C"&amp;$A34))</f>
        <v>1</v>
      </c>
      <c r="CE34" s="3">
        <f>-IF(RTD("tos.rtd",,CE$2,"."&amp;$A$2&amp;$AS$1&amp;"P"&amp;$A34)="N/A",0,RTD("tos.rtd",,CE$2,"."&amp;$A$2&amp;$AS$1&amp;"P"&amp;$A34))</f>
        <v>0</v>
      </c>
      <c r="CF34" s="3">
        <f>IF(RTD("tos.rtd",,CF$2,"."&amp;$A$2&amp;$AU$1&amp;"C"&amp;$A34)="N/A",0,RTD("tos.rtd",,CF$2,"."&amp;$A$2&amp;$AU$1&amp;"C"&amp;$A34))</f>
        <v>1</v>
      </c>
      <c r="CG34" s="3">
        <f>-IF(RTD("tos.rtd",,CG$2,"."&amp;$A$2&amp;$AU$1&amp;"P"&amp;$A34)="N/A",0,RTD("tos.rtd",,CG$2,"."&amp;$A$2&amp;$AU$1&amp;"P"&amp;$A34))</f>
        <v>0.16</v>
      </c>
      <c r="CH34" s="3">
        <f>IF(RTD("tos.rtd",,CH$2,"."&amp;$A$2&amp;$AW$1&amp;"C"&amp;$A34)="N/A",0,RTD("tos.rtd",,CH$2,"."&amp;$A$2&amp;$AW$1&amp;"C"&amp;$A34))</f>
        <v>0.83</v>
      </c>
      <c r="CI34" s="3">
        <f>-IF(RTD("tos.rtd",,CI$2,"."&amp;$A$2&amp;$AW$1&amp;"P"&amp;$A34)="N/A",0,RTD("tos.rtd",,CI$2,"."&amp;$A$2&amp;$AW$1&amp;"P"&amp;$A34))</f>
        <v>0.28000000000000003</v>
      </c>
      <c r="CK34" s="3">
        <f t="shared" si="17"/>
        <v>58900</v>
      </c>
      <c r="CL34" s="3"/>
      <c r="CM34" s="3">
        <f t="shared" si="18"/>
        <v>-58064.000000000015</v>
      </c>
      <c r="CN34" s="3"/>
      <c r="CO34" s="3">
        <f t="shared" si="19"/>
        <v>39373.999999999985</v>
      </c>
      <c r="CP34" s="3">
        <f t="shared" si="43"/>
        <v>40209.999999999971</v>
      </c>
      <c r="CQ34" s="3">
        <f t="shared" si="44"/>
        <v>-65808</v>
      </c>
      <c r="CR34" s="3"/>
      <c r="CS34" s="3">
        <f t="shared" si="20"/>
        <v>-6290</v>
      </c>
      <c r="CT34" s="3"/>
      <c r="CU34" s="3">
        <f t="shared" si="21"/>
        <v>-1180</v>
      </c>
      <c r="CV34" s="3">
        <f t="shared" si="45"/>
        <v>-73278</v>
      </c>
      <c r="CW34" s="3" t="e">
        <f t="shared" ca="1" si="46"/>
        <v>#NUM!</v>
      </c>
      <c r="CX34" s="85" t="e">
        <f t="shared" ca="1" si="75"/>
        <v>#NUM!</v>
      </c>
      <c r="CY34" s="3" t="e">
        <f t="shared" ca="1" si="47"/>
        <v>#NUM!</v>
      </c>
      <c r="CZ34" s="85" t="e">
        <f t="shared" ca="1" si="76"/>
        <v>#NUM!</v>
      </c>
      <c r="DA34" s="3">
        <f>IF(RTD("tos.rtd",,DA$2,"."&amp;$A$2&amp;$AS$1&amp;"C"&amp;$A34)="N/A",0,RTD("tos.rtd",,DA$2,"."&amp;$A$2&amp;$AS$1&amp;"C"&amp;$A34))</f>
        <v>9.4600000000000009</v>
      </c>
      <c r="DB34" s="3">
        <f>IF(RTD("tos.rtd",,DB$2,"."&amp;$A$2&amp;$AS$1&amp;"P"&amp;$A34)="N/A",0,RTD("tos.rtd",,DB$2,"."&amp;$A$2&amp;$AS$1&amp;"P"&amp;$A34))</f>
        <v>0.01</v>
      </c>
      <c r="DC34" s="3">
        <f>IF(RTD("tos.rtd",,DC$2,"."&amp;$A$2&amp;$AS$1&amp;"C"&amp;$A34)="N/A",0,RTD("tos.rtd",,DC$2,"."&amp;$A$2&amp;$AS$1&amp;"C"&amp;$A34))</f>
        <v>9.9499999999999993</v>
      </c>
      <c r="DD34" s="3">
        <f>IF(RTD("tos.rtd",,DD$2,"."&amp;$A$2&amp;$AS$1&amp;"P"&amp;$A34)="N/A",0,RTD("tos.rtd",,DD$2,"."&amp;$A$2&amp;$AS$1&amp;"P"&amp;$A34))</f>
        <v>0.01</v>
      </c>
      <c r="DE34" s="3">
        <f>IF(RTD("tos.rtd",,DE$2,"."&amp;$A$2&amp;$AS$1&amp;"C"&amp;$A34)="N/A",0,RTD("tos.rtd",,DE$2,"."&amp;$A$2&amp;$AS$1&amp;"C"&amp;$A34))</f>
        <v>8.3699999999999992</v>
      </c>
      <c r="DF34" s="3">
        <f>IF(RTD("tos.rtd",,DF$2,"."&amp;$A$2&amp;$AS$1&amp;"P"&amp;$A34)="N/A",0,RTD("tos.rtd",,DF$2,"."&amp;$A$2&amp;$AS$1&amp;"P"&amp;$A34))</f>
        <v>0</v>
      </c>
      <c r="DG34" s="86">
        <f t="shared" si="48"/>
        <v>-12.330000000000041</v>
      </c>
      <c r="DH34" s="3">
        <f t="shared" si="22"/>
        <v>0.68987341772152</v>
      </c>
      <c r="DI34" s="3">
        <f t="shared" si="49"/>
        <v>0</v>
      </c>
      <c r="DJ34" s="3">
        <f t="shared" si="50"/>
        <v>1</v>
      </c>
      <c r="DK34" s="3">
        <f t="shared" si="51"/>
        <v>0</v>
      </c>
      <c r="DL34" s="3">
        <f t="shared" si="52"/>
        <v>0.68987341772152</v>
      </c>
      <c r="DM34" s="3">
        <f t="shared" si="53"/>
        <v>1</v>
      </c>
      <c r="DN34" s="63" t="str">
        <f t="shared" si="54"/>
        <v>BUY</v>
      </c>
      <c r="DO34" s="63" t="str">
        <f t="shared" si="55"/>
        <v>UNKNOWN</v>
      </c>
      <c r="DP34" s="3">
        <f t="shared" si="56"/>
        <v>6.5262025316455796</v>
      </c>
      <c r="DQ34" s="3">
        <f t="shared" si="57"/>
        <v>9.4600000000000009</v>
      </c>
      <c r="DR34" s="3" t="e">
        <f t="shared" ca="1" si="58"/>
        <v>#NUM!</v>
      </c>
      <c r="DS34" s="3">
        <f t="shared" si="59"/>
        <v>1</v>
      </c>
      <c r="DT34" s="3">
        <f t="shared" si="60"/>
        <v>1</v>
      </c>
      <c r="DU34" s="3">
        <f t="shared" si="61"/>
        <v>0</v>
      </c>
      <c r="DV34" s="3">
        <f t="shared" si="62"/>
        <v>193</v>
      </c>
      <c r="DW34" s="3">
        <f t="shared" si="23"/>
        <v>10211</v>
      </c>
      <c r="DX34" s="3" t="e">
        <f t="shared" ca="1" si="24"/>
        <v>#NUM!</v>
      </c>
      <c r="DY34" s="3" t="e">
        <f t="shared" ca="1" si="25"/>
        <v>#NUM!</v>
      </c>
      <c r="DZ34" s="3">
        <f t="shared" ca="1" si="26"/>
        <v>1.8783296433705448E-2</v>
      </c>
      <c r="EA34" s="3">
        <f t="shared" ca="1" si="27"/>
        <v>-1.8437608283488192E-2</v>
      </c>
      <c r="EB34" s="3">
        <f t="shared" ca="1" si="28"/>
        <v>1.2136214724902913E-2</v>
      </c>
      <c r="EC34" s="3">
        <f t="shared" ca="1" si="29"/>
        <v>-1.8901301327401608E-2</v>
      </c>
      <c r="ED34" s="63">
        <f t="shared" si="63"/>
        <v>10404</v>
      </c>
      <c r="EE34" s="59">
        <f t="shared" si="64"/>
        <v>0.25</v>
      </c>
      <c r="EF34" s="59">
        <f t="shared" si="30"/>
        <v>1.087</v>
      </c>
      <c r="EG34" s="59">
        <f t="shared" si="31"/>
        <v>0.25</v>
      </c>
      <c r="EH34" s="59">
        <f t="shared" si="32"/>
        <v>0.3266</v>
      </c>
      <c r="EI34" s="59">
        <f t="shared" si="33"/>
        <v>0.15859999999999999</v>
      </c>
      <c r="EJ34" s="59">
        <f t="shared" si="34"/>
        <v>0.26040000000000002</v>
      </c>
      <c r="EL34" s="3" t="str">
        <f>RTD("tos.rtd",,EL$2,"."&amp;$A$2&amp;$AS$1&amp;"C"&amp;$A34)</f>
        <v>--</v>
      </c>
      <c r="EM34" s="3" t="str">
        <f>RTD("tos.rtd",,EM$2,"."&amp;$A$2&amp;$AS$1&amp;"P"&amp;$A34)</f>
        <v>108.70%</v>
      </c>
      <c r="EN34" s="3" t="str">
        <f>RTD("tos.rtd",,EN$2,"."&amp;$A$2&amp;$AU$1&amp;"C"&amp;$A34)</f>
        <v>--</v>
      </c>
      <c r="EO34" s="3" t="str">
        <f>RTD("tos.rtd",,EO$2,"."&amp;$A$2&amp;$AU$1&amp;"P"&amp;$A34)</f>
        <v>32.66%</v>
      </c>
      <c r="EP34" s="3" t="str">
        <f>RTD("tos.rtd",,EP$2,"."&amp;$A$2&amp;$AW$1&amp;"C"&amp;$A34)</f>
        <v>15.86%</v>
      </c>
      <c r="EQ34" s="3" t="str">
        <f>RTD("tos.rtd",,EQ$2,"."&amp;$A$2&amp;$AW$1&amp;"P"&amp;$A34)</f>
        <v>26.04%</v>
      </c>
      <c r="ES34" s="63" t="str">
        <f t="shared" si="65"/>
        <v>552,10404.00</v>
      </c>
      <c r="ET34" s="63" t="str">
        <f t="shared" ca="1" si="66"/>
        <v>552,00.00</v>
      </c>
      <c r="EU34" s="67">
        <v>562.73</v>
      </c>
      <c r="EV34" s="67" t="s">
        <v>292</v>
      </c>
      <c r="EW34" s="67">
        <v>485.26</v>
      </c>
      <c r="EX34" s="67" t="s">
        <v>293</v>
      </c>
      <c r="EY34" s="67">
        <v>5641.25</v>
      </c>
      <c r="EZ34" s="67" t="s">
        <v>294</v>
      </c>
      <c r="FA34" s="67">
        <v>19934.25</v>
      </c>
      <c r="FB34" s="67" t="s">
        <v>295</v>
      </c>
      <c r="FC34" s="67" t="s">
        <v>296</v>
      </c>
      <c r="FD34" s="67" t="s">
        <v>297</v>
      </c>
      <c r="FE34" s="67" t="s">
        <v>298</v>
      </c>
      <c r="FF34" s="67" t="s">
        <v>299</v>
      </c>
    </row>
    <row r="35" spans="1:162" s="63" customFormat="1" ht="13.5" thickBot="1" x14ac:dyDescent="0.25">
      <c r="A35" s="2">
        <f t="shared" si="67"/>
        <v>551</v>
      </c>
      <c r="B35" s="3">
        <f t="shared" si="9"/>
        <v>3062</v>
      </c>
      <c r="C35" s="3">
        <f t="shared" si="10"/>
        <v>4443</v>
      </c>
      <c r="D35" s="3">
        <f t="shared" si="11"/>
        <v>10204</v>
      </c>
      <c r="E35" s="3">
        <f t="shared" si="12"/>
        <v>17709</v>
      </c>
      <c r="F35" s="4">
        <f t="shared" si="13"/>
        <v>5545.8331118317292</v>
      </c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>
        <v>-216</v>
      </c>
      <c r="AN35" s="1">
        <v>-2742</v>
      </c>
      <c r="AO35" s="1">
        <v>551</v>
      </c>
      <c r="AP35" s="1">
        <v>938</v>
      </c>
      <c r="AQ35" s="1">
        <v>-57609</v>
      </c>
      <c r="AR35" s="1"/>
      <c r="AS35" s="6">
        <f>IF(RTD("tos.rtd",,AS$2,"."&amp;$A$2&amp;$AS$1&amp;"C"&amp;$A35)="N/A",0,RTD("tos.rtd",,AS$2,"."&amp;$A$2&amp;$AS$1&amp;"C"&amp;$A35))</f>
        <v>555</v>
      </c>
      <c r="AT35" s="7">
        <f>-IF(RTD("tos.rtd",,AT$2,"."&amp;$A$2&amp;$AS$1&amp;"P"&amp;$A35)="N/A",0,RTD("tos.rtd",,AT$2,"."&amp;$A$2&amp;$AS$1&amp;"P"&amp;$A35))</f>
        <v>-2507</v>
      </c>
      <c r="AU35" s="6">
        <f>IF(RTD("tos.rtd",,AU$2,"."&amp;$A$2&amp;$AU$1&amp;"C"&amp;$A35)="N/A",0,RTD("tos.rtd",,AU$2,"."&amp;$A$2&amp;$AU$1&amp;"C"&amp;$A35))</f>
        <v>1298</v>
      </c>
      <c r="AV35" s="7">
        <f>-IF(RTD("tos.rtd",,AV$2,"."&amp;$A$2&amp;$AU$1&amp;"P"&amp;$A35)="N/A",0,RTD("tos.rtd",,AV$2,"."&amp;$A$2&amp;$AU$1&amp;"P"&amp;$A35))</f>
        <v>-3145</v>
      </c>
      <c r="AW35" s="6">
        <f>IF(RTD("tos.rtd",,AW$2,"."&amp;$A$2&amp;$AW$1&amp;"C"&amp;$A35)="N/A",0,RTD("tos.rtd",,AW$2,"."&amp;$A$2&amp;$AW$1&amp;"C"&amp;$A35))</f>
        <v>7386</v>
      </c>
      <c r="AX35" s="7">
        <f>-IF(RTD("tos.rtd",,AX$2,"."&amp;$A$2&amp;$AW$1&amp;"P"&amp;$A35)="N/A",0,RTD("tos.rtd",,AX$2,"."&amp;$A$2&amp;$AW$1&amp;"P"&amp;$A35))</f>
        <v>-2818</v>
      </c>
      <c r="AY35" s="1">
        <f t="shared" si="68"/>
        <v>769</v>
      </c>
      <c r="AZ35" s="8">
        <f t="shared" si="35"/>
        <v>551</v>
      </c>
      <c r="BA35" s="6">
        <f>IF(RTD("tos.rtd",,BA$2,"."&amp;$A$2&amp;$AS$1&amp;"C"&amp;$A35)="N/A",0,RTD("tos.rtd",,BA$2,"."&amp;$A$2&amp;$AS$1&amp;"C"&amp;$A35))</f>
        <v>938</v>
      </c>
      <c r="BB35" s="7">
        <f>-IF(RTD("tos.rtd",,BB$2,"."&amp;$A$2&amp;$AS$1&amp;"P"&amp;$A35)="N/A",0,RTD("tos.rtd",,BB$2,"."&amp;$A$2&amp;$AS$1&amp;"P"&amp;$A35))</f>
        <v>-57639</v>
      </c>
      <c r="BC35" s="6">
        <f>IF(RTD("tos.rtd",,BC$2,"."&amp;$A$2&amp;$AU$1&amp;"C"&amp;$A35)="N/A",0,RTD("tos.rtd",,BC$2,"."&amp;$A$2&amp;$AU$1&amp;"C"&amp;$A35))</f>
        <v>388</v>
      </c>
      <c r="BD35" s="7">
        <f>-IF(RTD("tos.rtd",,BD$2,"."&amp;$A$2&amp;$AU$1&amp;"P"&amp;$A35)="N/A",0,RTD("tos.rtd",,BD$2,"."&amp;$A$2&amp;$AU$1&amp;"P"&amp;$A35))</f>
        <v>-7345</v>
      </c>
      <c r="BE35" s="6">
        <f>IF(RTD("tos.rtd",,BE$2,"."&amp;$A$2&amp;$AW$1&amp;"C"&amp;$A35)="N/A",0,RTD("tos.rtd",,BE$2,"."&amp;$A$2&amp;$AW$1&amp;"C"&amp;$A35))</f>
        <v>113</v>
      </c>
      <c r="BF35" s="83">
        <f>-IF(RTD("tos.rtd",,BF$2,"."&amp;$A$2&amp;$AW$1&amp;"P"&amp;$A35)="N/A",0,RTD("tos.rtd",,BF$2,"."&amp;$A$2&amp;$AW$1&amp;"P"&amp;$A35))</f>
        <v>-1820</v>
      </c>
      <c r="BG35" s="32">
        <f ca="1">+Hoja2!Y36</f>
        <v>-1398</v>
      </c>
      <c r="BH35" s="7">
        <f t="shared" ca="1" si="36"/>
        <v>-66763</v>
      </c>
      <c r="BI35" s="8" t="str">
        <f t="shared" ref="BI35" ca="1" si="195">IF(AND(BH35&lt;0,BH34&gt;0), "Cruce -", IF(AND(BH35&gt;0,BH34&lt;0),"Cruce +", ""))</f>
        <v/>
      </c>
      <c r="BJ35" s="3" t="e">
        <f ca="1">IF($BP$1=1,DX35,IF(RTD("tos.rtd",,BJ$2,"."&amp;$A$2&amp;$AS$1&amp;"C"&amp;$A35)="N/A",0,RTD("tos.rtd",,BJ$2,"."&amp;$A$2&amp;$AS$1&amp;"C"&amp;$A35)))</f>
        <v>#NUM!</v>
      </c>
      <c r="BK35" s="3" t="e">
        <f ca="1">IF($BP$1=1,DY35,-IF(RTD("tos.rtd",,BK$2,"."&amp;$A$2&amp;$AS$1&amp;"P"&amp;$A35)="N/A",0,RTD("tos.rtd",,BK$2,"."&amp;$A$2&amp;$AS$1&amp;"P"&amp;$A35)))</f>
        <v>#NUM!</v>
      </c>
      <c r="BL35" s="3">
        <f ca="1">IF($BP$1=1,DZ35,IF(RTD("tos.rtd",,BL$2,"."&amp;$A$2&amp;$AU$1&amp;"C"&amp;$A35)="N/A",0,RTD("tos.rtd",,BL$2,"."&amp;$A$2&amp;$AU$1&amp;"C"&amp;$A35)))</f>
        <v>1.6957931676492347E-2</v>
      </c>
      <c r="BM35" s="3">
        <f ca="1">IF($BP$1=1,EA35,-IF(RTD("tos.rtd",,BM$2,"."&amp;$A$2&amp;$AU$1&amp;"P"&amp;$A35)="N/A",0,RTD("tos.rtd",,BM$2,"."&amp;$A$2&amp;$AU$1&amp;"P"&amp;$A35)))</f>
        <v>-1.734467203981176E-2</v>
      </c>
      <c r="BN35" s="3">
        <f ca="1">IF($BP$1=1,EB35,IF(RTD("tos.rtd",,BN$2,"."&amp;$A$2&amp;$AW$1&amp;"C"&amp;$A35)="N/A",0,RTD("tos.rtd",,BN$2,"."&amp;$A$2&amp;$AW$1&amp;"C"&amp;$A35)))</f>
        <v>8.8254237758256492E-3</v>
      </c>
      <c r="BO35" s="3">
        <f ca="1">IF($BP$1=1,EC35,-IF(RTD("tos.rtd",,BO$2,"."&amp;$A$2&amp;$AW$1&amp;"P"&amp;$A35)="N/A",0,RTD("tos.rtd",,BO$2,"."&amp;$A$2&amp;$AW$1&amp;"P"&amp;$A35)))</f>
        <v>-1.7228705217229561E-2</v>
      </c>
      <c r="BQ35" s="3" t="e">
        <f t="shared" ca="1" si="37"/>
        <v>#NUM!</v>
      </c>
      <c r="BR35" s="3" t="e">
        <f t="shared" ca="1" si="70"/>
        <v>#NUM!</v>
      </c>
      <c r="BS35" s="3">
        <f t="shared" ca="1" si="38"/>
        <v>-10362195.191569071</v>
      </c>
      <c r="BT35" s="3" t="str">
        <f t="shared" ca="1" si="70"/>
        <v/>
      </c>
      <c r="BU35" s="3">
        <f t="shared" ca="1" si="39"/>
        <v>5297430.7656863257</v>
      </c>
      <c r="BV35" s="3" t="str">
        <f t="shared" ref="BV35" ca="1" si="196">IF(AND(BU35&lt;0,BU34&gt;0), "Cruce -", IF(AND(BU35&gt;0,BU34&lt;0),"Cruce +", ""))</f>
        <v>Cruce +</v>
      </c>
      <c r="BX35" s="3" t="e">
        <f t="shared" ca="1" si="40"/>
        <v>#NUM!</v>
      </c>
      <c r="BY35" s="3" t="e">
        <f t="shared" ca="1" si="72"/>
        <v>#NUM!</v>
      </c>
      <c r="BZ35" s="3">
        <f t="shared" ca="1" si="41"/>
        <v>-38476370.968450718</v>
      </c>
      <c r="CA35" s="3" t="str">
        <f t="shared" ca="1" si="73"/>
        <v/>
      </c>
      <c r="CB35" s="3">
        <f t="shared" ca="1" si="42"/>
        <v>-9668371.2440529745</v>
      </c>
      <c r="CC35" s="3" t="str">
        <f t="shared" ca="1" si="74"/>
        <v/>
      </c>
      <c r="CD35" s="3">
        <f>IF(RTD("tos.rtd",,CD$2,"."&amp;$A$2&amp;$AS$1&amp;"C"&amp;$A35)="N/A",0,RTD("tos.rtd",,CD$2,"."&amp;$A$2&amp;$AS$1&amp;"C"&amp;$A35))</f>
        <v>1</v>
      </c>
      <c r="CE35" s="3">
        <f>-IF(RTD("tos.rtd",,CE$2,"."&amp;$A$2&amp;$AS$1&amp;"P"&amp;$A35)="N/A",0,RTD("tos.rtd",,CE$2,"."&amp;$A$2&amp;$AS$1&amp;"P"&amp;$A35))</f>
        <v>0</v>
      </c>
      <c r="CF35" s="3">
        <f>IF(RTD("tos.rtd",,CF$2,"."&amp;$A$2&amp;$AU$1&amp;"C"&amp;$A35)="N/A",0,RTD("tos.rtd",,CF$2,"."&amp;$A$2&amp;$AU$1&amp;"C"&amp;$A35))</f>
        <v>1</v>
      </c>
      <c r="CG35" s="3">
        <f>-IF(RTD("tos.rtd",,CG$2,"."&amp;$A$2&amp;$AU$1&amp;"P"&amp;$A35)="N/A",0,RTD("tos.rtd",,CG$2,"."&amp;$A$2&amp;$AU$1&amp;"P"&amp;$A35))</f>
        <v>0.14000000000000001</v>
      </c>
      <c r="CH35" s="3">
        <f>IF(RTD("tos.rtd",,CH$2,"."&amp;$A$2&amp;$AW$1&amp;"C"&amp;$A35)="N/A",0,RTD("tos.rtd",,CH$2,"."&amp;$A$2&amp;$AW$1&amp;"C"&amp;$A35))</f>
        <v>0.85</v>
      </c>
      <c r="CI35" s="3">
        <f>-IF(RTD("tos.rtd",,CI$2,"."&amp;$A$2&amp;$AW$1&amp;"P"&amp;$A35)="N/A",0,RTD("tos.rtd",,CI$2,"."&amp;$A$2&amp;$AW$1&amp;"P"&amp;$A35))</f>
        <v>0.26</v>
      </c>
      <c r="CK35" s="3">
        <f t="shared" si="17"/>
        <v>55500</v>
      </c>
      <c r="CL35" s="3"/>
      <c r="CM35" s="3">
        <f t="shared" si="18"/>
        <v>85770</v>
      </c>
      <c r="CN35" s="3"/>
      <c r="CO35" s="3">
        <f t="shared" si="19"/>
        <v>554542</v>
      </c>
      <c r="CP35" s="3">
        <f t="shared" si="43"/>
        <v>695812</v>
      </c>
      <c r="CQ35" s="3">
        <f t="shared" si="44"/>
        <v>-56701</v>
      </c>
      <c r="CR35" s="3"/>
      <c r="CS35" s="3">
        <f t="shared" si="20"/>
        <v>-6957</v>
      </c>
      <c r="CT35" s="3"/>
      <c r="CU35" s="3">
        <f t="shared" si="21"/>
        <v>-1707</v>
      </c>
      <c r="CV35" s="3">
        <f t="shared" si="45"/>
        <v>-65365</v>
      </c>
      <c r="CW35" s="3" t="e">
        <f t="shared" ca="1" si="46"/>
        <v>#NUM!</v>
      </c>
      <c r="CX35" s="85" t="e">
        <f t="shared" ca="1" si="75"/>
        <v>#NUM!</v>
      </c>
      <c r="CY35" s="3" t="e">
        <f t="shared" ca="1" si="47"/>
        <v>#NUM!</v>
      </c>
      <c r="CZ35" s="85" t="e">
        <f t="shared" ca="1" si="76"/>
        <v>#NUM!</v>
      </c>
      <c r="DA35" s="3">
        <f>IF(RTD("tos.rtd",,DA$2,"."&amp;$A$2&amp;$AS$1&amp;"C"&amp;$A35)="N/A",0,RTD("tos.rtd",,DA$2,"."&amp;$A$2&amp;$AS$1&amp;"C"&amp;$A35))</f>
        <v>10.49</v>
      </c>
      <c r="DB35" s="3">
        <f>IF(RTD("tos.rtd",,DB$2,"."&amp;$A$2&amp;$AS$1&amp;"P"&amp;$A35)="N/A",0,RTD("tos.rtd",,DB$2,"."&amp;$A$2&amp;$AS$1&amp;"P"&amp;$A35))</f>
        <v>0.01</v>
      </c>
      <c r="DC35" s="3">
        <f>IF(RTD("tos.rtd",,DC$2,"."&amp;$A$2&amp;$AS$1&amp;"C"&amp;$A35)="N/A",0,RTD("tos.rtd",,DC$2,"."&amp;$A$2&amp;$AS$1&amp;"C"&amp;$A35))</f>
        <v>11</v>
      </c>
      <c r="DD35" s="3">
        <f>IF(RTD("tos.rtd",,DD$2,"."&amp;$A$2&amp;$AS$1&amp;"P"&amp;$A35)="N/A",0,RTD("tos.rtd",,DD$2,"."&amp;$A$2&amp;$AS$1&amp;"P"&amp;$A35))</f>
        <v>0.01</v>
      </c>
      <c r="DE35" s="3">
        <f>IF(RTD("tos.rtd",,DE$2,"."&amp;$A$2&amp;$AS$1&amp;"C"&amp;$A35)="N/A",0,RTD("tos.rtd",,DE$2,"."&amp;$A$2&amp;$AS$1&amp;"C"&amp;$A35))</f>
        <v>9.4499999999999993</v>
      </c>
      <c r="DF35" s="3">
        <f>IF(RTD("tos.rtd",,DF$2,"."&amp;$A$2&amp;$AS$1&amp;"P"&amp;$A35)="N/A",0,RTD("tos.rtd",,DF$2,"."&amp;$A$2&amp;$AS$1&amp;"P"&amp;$A35))</f>
        <v>0</v>
      </c>
      <c r="DG35" s="86">
        <f t="shared" si="48"/>
        <v>-13.330000000000041</v>
      </c>
      <c r="DH35" s="3">
        <f t="shared" si="22"/>
        <v>0</v>
      </c>
      <c r="DI35" s="3">
        <f t="shared" si="49"/>
        <v>-30</v>
      </c>
      <c r="DJ35" s="3">
        <f t="shared" si="50"/>
        <v>0</v>
      </c>
      <c r="DK35" s="3">
        <f t="shared" si="51"/>
        <v>-30</v>
      </c>
      <c r="DL35" s="3">
        <f t="shared" si="52"/>
        <v>-30</v>
      </c>
      <c r="DM35" s="3">
        <f t="shared" si="53"/>
        <v>-30</v>
      </c>
      <c r="DN35" s="63" t="str">
        <f t="shared" si="54"/>
        <v>UNKNOWN</v>
      </c>
      <c r="DO35" s="63" t="str">
        <f t="shared" si="55"/>
        <v>BUY</v>
      </c>
      <c r="DP35" s="3">
        <f t="shared" si="56"/>
        <v>-0.3</v>
      </c>
      <c r="DQ35" s="3">
        <f t="shared" si="57"/>
        <v>-0.3</v>
      </c>
      <c r="DR35" s="3" t="e">
        <f t="shared" ca="1" si="58"/>
        <v>#NUM!</v>
      </c>
      <c r="DS35" s="3">
        <f t="shared" si="59"/>
        <v>0</v>
      </c>
      <c r="DT35" s="3">
        <f t="shared" si="60"/>
        <v>0</v>
      </c>
      <c r="DU35" s="3">
        <f t="shared" si="61"/>
        <v>-30</v>
      </c>
      <c r="DV35" s="3">
        <f t="shared" si="62"/>
        <v>-216</v>
      </c>
      <c r="DW35" s="3">
        <f t="shared" si="23"/>
        <v>-2772</v>
      </c>
      <c r="DX35" s="3" t="e">
        <f t="shared" ca="1" si="24"/>
        <v>#NUM!</v>
      </c>
      <c r="DY35" s="3" t="e">
        <f t="shared" ca="1" si="25"/>
        <v>#NUM!</v>
      </c>
      <c r="DZ35" s="3">
        <f t="shared" ca="1" si="26"/>
        <v>1.6957931676492347E-2</v>
      </c>
      <c r="EA35" s="3">
        <f t="shared" ca="1" si="27"/>
        <v>-1.734467203981176E-2</v>
      </c>
      <c r="EB35" s="3">
        <f t="shared" ca="1" si="28"/>
        <v>8.8254237758256492E-3</v>
      </c>
      <c r="EC35" s="3">
        <f t="shared" ca="1" si="29"/>
        <v>-1.7228705217229561E-2</v>
      </c>
      <c r="ED35" s="63">
        <f t="shared" si="63"/>
        <v>-2988</v>
      </c>
      <c r="EE35" s="59">
        <f t="shared" si="64"/>
        <v>0.25</v>
      </c>
      <c r="EF35" s="59">
        <f t="shared" si="30"/>
        <v>1.1669</v>
      </c>
      <c r="EG35" s="59">
        <f t="shared" si="31"/>
        <v>0.25</v>
      </c>
      <c r="EH35" s="59">
        <f t="shared" si="32"/>
        <v>0.3281</v>
      </c>
      <c r="EI35" s="59">
        <f t="shared" si="33"/>
        <v>0.15459999999999999</v>
      </c>
      <c r="EJ35" s="59">
        <f t="shared" si="34"/>
        <v>0.26190000000000002</v>
      </c>
      <c r="EL35" s="3" t="str">
        <f>RTD("tos.rtd",,EL$2,"."&amp;$A$2&amp;$AS$1&amp;"C"&amp;$A35)</f>
        <v>--</v>
      </c>
      <c r="EM35" s="3" t="str">
        <f>RTD("tos.rtd",,EM$2,"."&amp;$A$2&amp;$AS$1&amp;"P"&amp;$A35)</f>
        <v>116.69%</v>
      </c>
      <c r="EN35" s="3" t="str">
        <f>RTD("tos.rtd",,EN$2,"."&amp;$A$2&amp;$AU$1&amp;"C"&amp;$A35)</f>
        <v>--</v>
      </c>
      <c r="EO35" s="3" t="str">
        <f>RTD("tos.rtd",,EO$2,"."&amp;$A$2&amp;$AU$1&amp;"P"&amp;$A35)</f>
        <v>32.81%</v>
      </c>
      <c r="EP35" s="3" t="str">
        <f>RTD("tos.rtd",,EP$2,"."&amp;$A$2&amp;$AW$1&amp;"C"&amp;$A35)</f>
        <v>15.46%</v>
      </c>
      <c r="EQ35" s="3" t="str">
        <f>RTD("tos.rtd",,EQ$2,"."&amp;$A$2&amp;$AW$1&amp;"P"&amp;$A35)</f>
        <v>26.19%</v>
      </c>
      <c r="ES35" s="63" t="str">
        <f t="shared" si="65"/>
        <v>551,-2988.00</v>
      </c>
      <c r="ET35" s="63" t="str">
        <f t="shared" ca="1" si="66"/>
        <v>551,00.00</v>
      </c>
      <c r="EU35" s="67">
        <v>562.58000000000004</v>
      </c>
      <c r="EV35" s="67" t="s">
        <v>300</v>
      </c>
      <c r="EW35" s="67">
        <v>485.1</v>
      </c>
      <c r="EX35" s="67" t="s">
        <v>301</v>
      </c>
      <c r="EY35" s="67">
        <v>5639.25</v>
      </c>
      <c r="EZ35" s="67" t="s">
        <v>302</v>
      </c>
      <c r="FA35" s="67">
        <v>19925.75</v>
      </c>
      <c r="FB35" s="67" t="s">
        <v>303</v>
      </c>
      <c r="FC35" s="67" t="s">
        <v>304</v>
      </c>
      <c r="FD35" s="67" t="s">
        <v>305</v>
      </c>
      <c r="FE35" s="67" t="s">
        <v>306</v>
      </c>
      <c r="FF35" s="67" t="s">
        <v>307</v>
      </c>
    </row>
    <row r="36" spans="1:162" s="63" customFormat="1" ht="13.5" thickBot="1" x14ac:dyDescent="0.25">
      <c r="A36" s="2">
        <f t="shared" si="67"/>
        <v>550</v>
      </c>
      <c r="B36" s="3">
        <f t="shared" si="9"/>
        <v>15539</v>
      </c>
      <c r="C36" s="3">
        <f t="shared" si="10"/>
        <v>35887</v>
      </c>
      <c r="D36" s="3">
        <f t="shared" si="11"/>
        <v>82039</v>
      </c>
      <c r="E36" s="3">
        <f t="shared" si="12"/>
        <v>133465</v>
      </c>
      <c r="F36" s="4">
        <f t="shared" si="13"/>
        <v>5535.7680789608912</v>
      </c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>
        <v>-503</v>
      </c>
      <c r="AN36" s="1">
        <v>-1355</v>
      </c>
      <c r="AO36" s="1">
        <v>550</v>
      </c>
      <c r="AP36" s="1">
        <v>2365</v>
      </c>
      <c r="AQ36" s="1">
        <v>-128581</v>
      </c>
      <c r="AR36" s="1"/>
      <c r="AS36" s="6">
        <f>IF(RTD("tos.rtd",,AS$2,"."&amp;$A$2&amp;$AS$1&amp;"C"&amp;$A36)="N/A",0,RTD("tos.rtd",,AS$2,"."&amp;$A$2&amp;$AS$1&amp;"C"&amp;$A36))</f>
        <v>942</v>
      </c>
      <c r="AT36" s="7">
        <f>-IF(RTD("tos.rtd",,AT$2,"."&amp;$A$2&amp;$AS$1&amp;"P"&amp;$A36)="N/A",0,RTD("tos.rtd",,AT$2,"."&amp;$A$2&amp;$AS$1&amp;"P"&amp;$A36))</f>
        <v>-14597</v>
      </c>
      <c r="AU36" s="6">
        <f>IF(RTD("tos.rtd",,AU$2,"."&amp;$A$2&amp;$AU$1&amp;"C"&amp;$A36)="N/A",0,RTD("tos.rtd",,AU$2,"."&amp;$A$2&amp;$AU$1&amp;"C"&amp;$A36))</f>
        <v>9487</v>
      </c>
      <c r="AV36" s="7">
        <f>-IF(RTD("tos.rtd",,AV$2,"."&amp;$A$2&amp;$AU$1&amp;"P"&amp;$A36)="N/A",0,RTD("tos.rtd",,AV$2,"."&amp;$A$2&amp;$AU$1&amp;"P"&amp;$A36))</f>
        <v>-26400</v>
      </c>
      <c r="AW36" s="6">
        <f>IF(RTD("tos.rtd",,AW$2,"."&amp;$A$2&amp;$AW$1&amp;"C"&amp;$A36)="N/A",0,RTD("tos.rtd",,AW$2,"."&amp;$A$2&amp;$AW$1&amp;"C"&amp;$A36))</f>
        <v>23850</v>
      </c>
      <c r="AX36" s="7">
        <f>-IF(RTD("tos.rtd",,AX$2,"."&amp;$A$2&amp;$AW$1&amp;"P"&amp;$A36)="N/A",0,RTD("tos.rtd",,AX$2,"."&amp;$A$2&amp;$AW$1&amp;"P"&amp;$A36))</f>
        <v>-58189</v>
      </c>
      <c r="AY36" s="1">
        <f t="shared" si="68"/>
        <v>-64907</v>
      </c>
      <c r="AZ36" s="8">
        <f t="shared" si="35"/>
        <v>550</v>
      </c>
      <c r="BA36" s="6">
        <f>IF(RTD("tos.rtd",,BA$2,"."&amp;$A$2&amp;$AS$1&amp;"C"&amp;$A36)="N/A",0,RTD("tos.rtd",,BA$2,"."&amp;$A$2&amp;$AS$1&amp;"C"&amp;$A36))</f>
        <v>2365</v>
      </c>
      <c r="BB36" s="7">
        <f>-IF(RTD("tos.rtd",,BB$2,"."&amp;$A$2&amp;$AS$1&amp;"P"&amp;$A36)="N/A",0,RTD("tos.rtd",,BB$2,"."&amp;$A$2&amp;$AS$1&amp;"P"&amp;$A36))</f>
        <v>-128581</v>
      </c>
      <c r="BC36" s="6">
        <f>IF(RTD("tos.rtd",,BC$2,"."&amp;$A$2&amp;$AU$1&amp;"C"&amp;$A36)="N/A",0,RTD("tos.rtd",,BC$2,"."&amp;$A$2&amp;$AU$1&amp;"C"&amp;$A36))</f>
        <v>4773</v>
      </c>
      <c r="BD36" s="7">
        <f>-IF(RTD("tos.rtd",,BD$2,"."&amp;$A$2&amp;$AU$1&amp;"P"&amp;$A36)="N/A",0,RTD("tos.rtd",,BD$2,"."&amp;$A$2&amp;$AU$1&amp;"P"&amp;$A36))</f>
        <v>-51516</v>
      </c>
      <c r="BE36" s="6">
        <f>IF(RTD("tos.rtd",,BE$2,"."&amp;$A$2&amp;$AW$1&amp;"C"&amp;$A36)="N/A",0,RTD("tos.rtd",,BE$2,"."&amp;$A$2&amp;$AW$1&amp;"C"&amp;$A36))</f>
        <v>4484</v>
      </c>
      <c r="BF36" s="83">
        <f>-IF(RTD("tos.rtd",,BF$2,"."&amp;$A$2&amp;$AW$1&amp;"P"&amp;$A36)="N/A",0,RTD("tos.rtd",,BF$2,"."&amp;$A$2&amp;$AW$1&amp;"P"&amp;$A36))</f>
        <v>-16728</v>
      </c>
      <c r="BG36" s="32">
        <f ca="1">+Hoja2!Y37</f>
        <v>-16715</v>
      </c>
      <c r="BH36" s="7">
        <f t="shared" ca="1" si="36"/>
        <v>-201918</v>
      </c>
      <c r="BI36" s="8" t="str">
        <f t="shared" ref="BI36" ca="1" si="197">IF(AND(BH36&lt;0,BH35&gt;0), "Cruce -", IF(AND(BH36&gt;0,BH35&lt;0),"Cruce +", ""))</f>
        <v/>
      </c>
      <c r="BJ36" s="3" t="e">
        <f ca="1">IF($BP$1=1,DX36,IF(RTD("tos.rtd",,BJ$2,"."&amp;$A$2&amp;$AS$1&amp;"C"&amp;$A36)="N/A",0,RTD("tos.rtd",,BJ$2,"."&amp;$A$2&amp;$AS$1&amp;"C"&amp;$A36)))</f>
        <v>#NUM!</v>
      </c>
      <c r="BK36" s="3" t="e">
        <f ca="1">IF($BP$1=1,DY36,-IF(RTD("tos.rtd",,BK$2,"."&amp;$A$2&amp;$AS$1&amp;"P"&amp;$A36)="N/A",0,RTD("tos.rtd",,BK$2,"."&amp;$A$2&amp;$AS$1&amp;"P"&amp;$A36)))</f>
        <v>#NUM!</v>
      </c>
      <c r="BL36" s="3">
        <f ca="1">IF($BP$1=1,DZ36,IF(RTD("tos.rtd",,BL$2,"."&amp;$A$2&amp;$AU$1&amp;"C"&amp;$A36)="N/A",0,RTD("tos.rtd",,BL$2,"."&amp;$A$2&amp;$AU$1&amp;"C"&amp;$A36)))</f>
        <v>1.5186445165111011E-2</v>
      </c>
      <c r="BM36" s="3">
        <f ca="1">IF($BP$1=1,EA36,-IF(RTD("tos.rtd",,BM$2,"."&amp;$A$2&amp;$AU$1&amp;"P"&amp;$A36)="N/A",0,RTD("tos.rtd",,BM$2,"."&amp;$A$2&amp;$AU$1&amp;"P"&amp;$A36)))</f>
        <v>-1.6257641815188229E-2</v>
      </c>
      <c r="BN36" s="3">
        <f ca="1">IF($BP$1=1,EB36,IF(RTD("tos.rtd",,BN$2,"."&amp;$A$2&amp;$AW$1&amp;"C"&amp;$A36)="N/A",0,RTD("tos.rtd",,BN$2,"."&amp;$A$2&amp;$AW$1&amp;"C"&amp;$A36)))</f>
        <v>6.0233823264748184E-3</v>
      </c>
      <c r="BO36" s="3">
        <f ca="1">IF($BP$1=1,EC36,-IF(RTD("tos.rtd",,BO$2,"."&amp;$A$2&amp;$AW$1&amp;"P"&amp;$A36)="N/A",0,RTD("tos.rtd",,BO$2,"."&amp;$A$2&amp;$AW$1&amp;"P"&amp;$A36)))</f>
        <v>-1.5616006937195488E-2</v>
      </c>
      <c r="BQ36" s="3" t="e">
        <f t="shared" ca="1" si="37"/>
        <v>#NUM!</v>
      </c>
      <c r="BR36" s="3" t="e">
        <f t="shared" ca="1" si="70"/>
        <v>#NUM!</v>
      </c>
      <c r="BS36" s="3">
        <f t="shared" ca="1" si="38"/>
        <v>-90804223.843801558</v>
      </c>
      <c r="BT36" s="3" t="str">
        <f t="shared" ca="1" si="70"/>
        <v/>
      </c>
      <c r="BU36" s="3">
        <f t="shared" ca="1" si="39"/>
        <v>-243635343.90661851</v>
      </c>
      <c r="BV36" s="3" t="str">
        <f t="shared" ref="BV36" ca="1" si="198">IF(AND(BU36&lt;0,BU35&gt;0), "Cruce -", IF(AND(BU36&gt;0,BU35&lt;0),"Cruce +", ""))</f>
        <v>Cruce -</v>
      </c>
      <c r="BX36" s="3" t="e">
        <f t="shared" ca="1" si="40"/>
        <v>#NUM!</v>
      </c>
      <c r="BY36" s="3" t="e">
        <f t="shared" ca="1" si="72"/>
        <v>#NUM!</v>
      </c>
      <c r="BZ36" s="3">
        <f t="shared" ca="1" si="41"/>
        <v>-243642227.2165817</v>
      </c>
      <c r="CA36" s="3" t="str">
        <f t="shared" ca="1" si="73"/>
        <v/>
      </c>
      <c r="CB36" s="3">
        <f t="shared" ca="1" si="42"/>
        <v>-74590292.90027526</v>
      </c>
      <c r="CC36" s="3" t="str">
        <f t="shared" ca="1" si="74"/>
        <v/>
      </c>
      <c r="CD36" s="3">
        <f>IF(RTD("tos.rtd",,CD$2,"."&amp;$A$2&amp;$AS$1&amp;"C"&amp;$A36)="N/A",0,RTD("tos.rtd",,CD$2,"."&amp;$A$2&amp;$AS$1&amp;"C"&amp;$A36))</f>
        <v>1</v>
      </c>
      <c r="CE36" s="3">
        <f>-IF(RTD("tos.rtd",,CE$2,"."&amp;$A$2&amp;$AS$1&amp;"P"&amp;$A36)="N/A",0,RTD("tos.rtd",,CE$2,"."&amp;$A$2&amp;$AS$1&amp;"P"&amp;$A36))</f>
        <v>0</v>
      </c>
      <c r="CF36" s="3">
        <f>IF(RTD("tos.rtd",,CF$2,"."&amp;$A$2&amp;$AU$1&amp;"C"&amp;$A36)="N/A",0,RTD("tos.rtd",,CF$2,"."&amp;$A$2&amp;$AU$1&amp;"C"&amp;$A36))</f>
        <v>1</v>
      </c>
      <c r="CG36" s="3">
        <f>-IF(RTD("tos.rtd",,CG$2,"."&amp;$A$2&amp;$AU$1&amp;"P"&amp;$A36)="N/A",0,RTD("tos.rtd",,CG$2,"."&amp;$A$2&amp;$AU$1&amp;"P"&amp;$A36))</f>
        <v>0.12</v>
      </c>
      <c r="CH36" s="3">
        <f>IF(RTD("tos.rtd",,CH$2,"."&amp;$A$2&amp;$AW$1&amp;"C"&amp;$A36)="N/A",0,RTD("tos.rtd",,CH$2,"."&amp;$A$2&amp;$AW$1&amp;"C"&amp;$A36))</f>
        <v>0.88</v>
      </c>
      <c r="CI36" s="3">
        <f>-IF(RTD("tos.rtd",,CI$2,"."&amp;$A$2&amp;$AW$1&amp;"P"&amp;$A36)="N/A",0,RTD("tos.rtd",,CI$2,"."&amp;$A$2&amp;$AW$1&amp;"P"&amp;$A36))</f>
        <v>0.25</v>
      </c>
      <c r="CK36" s="3">
        <f t="shared" si="17"/>
        <v>94200</v>
      </c>
      <c r="CL36" s="3"/>
      <c r="CM36" s="3">
        <f t="shared" si="18"/>
        <v>631900</v>
      </c>
      <c r="CN36" s="3"/>
      <c r="CO36" s="3">
        <f t="shared" si="19"/>
        <v>644075</v>
      </c>
      <c r="CP36" s="3">
        <f t="shared" si="43"/>
        <v>1370175</v>
      </c>
      <c r="CQ36" s="3">
        <f t="shared" si="44"/>
        <v>-126216</v>
      </c>
      <c r="CR36" s="3"/>
      <c r="CS36" s="3">
        <f t="shared" si="20"/>
        <v>-46743</v>
      </c>
      <c r="CT36" s="3"/>
      <c r="CU36" s="3">
        <f t="shared" si="21"/>
        <v>-12244</v>
      </c>
      <c r="CV36" s="3">
        <f t="shared" si="45"/>
        <v>-185203</v>
      </c>
      <c r="CW36" s="3" t="e">
        <f t="shared" ca="1" si="46"/>
        <v>#NUM!</v>
      </c>
      <c r="CX36" s="85" t="e">
        <f t="shared" ca="1" si="75"/>
        <v>#NUM!</v>
      </c>
      <c r="CY36" s="3" t="e">
        <f t="shared" ca="1" si="47"/>
        <v>#NUM!</v>
      </c>
      <c r="CZ36" s="85" t="e">
        <f t="shared" ca="1" si="76"/>
        <v>#NUM!</v>
      </c>
      <c r="DA36" s="3">
        <f>IF(RTD("tos.rtd",,DA$2,"."&amp;$A$2&amp;$AS$1&amp;"C"&amp;$A36)="N/A",0,RTD("tos.rtd",,DA$2,"."&amp;$A$2&amp;$AS$1&amp;"C"&amp;$A36))</f>
        <v>10.78</v>
      </c>
      <c r="DB36" s="3">
        <f>IF(RTD("tos.rtd",,DB$2,"."&amp;$A$2&amp;$AS$1&amp;"P"&amp;$A36)="N/A",0,RTD("tos.rtd",,DB$2,"."&amp;$A$2&amp;$AS$1&amp;"P"&amp;$A36))</f>
        <v>0.01</v>
      </c>
      <c r="DC36" s="3">
        <f>IF(RTD("tos.rtd",,DC$2,"."&amp;$A$2&amp;$AS$1&amp;"C"&amp;$A36)="N/A",0,RTD("tos.rtd",,DC$2,"."&amp;$A$2&amp;$AS$1&amp;"C"&amp;$A36))</f>
        <v>11.95</v>
      </c>
      <c r="DD36" s="3">
        <f>IF(RTD("tos.rtd",,DD$2,"."&amp;$A$2&amp;$AS$1&amp;"P"&amp;$A36)="N/A",0,RTD("tos.rtd",,DD$2,"."&amp;$A$2&amp;$AS$1&amp;"P"&amp;$A36))</f>
        <v>0.01</v>
      </c>
      <c r="DE36" s="3">
        <f>IF(RTD("tos.rtd",,DE$2,"."&amp;$A$2&amp;$AS$1&amp;"C"&amp;$A36)="N/A",0,RTD("tos.rtd",,DE$2,"."&amp;$A$2&amp;$AS$1&amp;"C"&amp;$A36))</f>
        <v>10.64</v>
      </c>
      <c r="DF36" s="3">
        <f>IF(RTD("tos.rtd",,DF$2,"."&amp;$A$2&amp;$AS$1&amp;"P"&amp;$A36)="N/A",0,RTD("tos.rtd",,DF$2,"."&amp;$A$2&amp;$AS$1&amp;"P"&amp;$A36))</f>
        <v>0</v>
      </c>
      <c r="DG36" s="86">
        <f t="shared" si="48"/>
        <v>-14.330000000000041</v>
      </c>
      <c r="DH36" s="3">
        <f t="shared" si="22"/>
        <v>0</v>
      </c>
      <c r="DI36" s="3">
        <f t="shared" si="49"/>
        <v>0</v>
      </c>
      <c r="DJ36" s="3">
        <f t="shared" si="50"/>
        <v>0</v>
      </c>
      <c r="DK36" s="3">
        <f t="shared" si="51"/>
        <v>0</v>
      </c>
      <c r="DL36" s="3">
        <f t="shared" si="52"/>
        <v>0</v>
      </c>
      <c r="DM36" s="3">
        <f t="shared" si="53"/>
        <v>0</v>
      </c>
      <c r="DN36" s="63" t="str">
        <f t="shared" si="54"/>
        <v>UNKNOWN</v>
      </c>
      <c r="DO36" s="63" t="str">
        <f t="shared" si="55"/>
        <v>UNKNOWN</v>
      </c>
      <c r="DP36" s="3">
        <f t="shared" si="56"/>
        <v>0</v>
      </c>
      <c r="DQ36" s="3">
        <f t="shared" si="57"/>
        <v>0</v>
      </c>
      <c r="DR36" s="3" t="e">
        <f t="shared" ca="1" si="58"/>
        <v>#NUM!</v>
      </c>
      <c r="DS36" s="3">
        <f t="shared" si="59"/>
        <v>0</v>
      </c>
      <c r="DT36" s="3">
        <f t="shared" si="60"/>
        <v>0</v>
      </c>
      <c r="DU36" s="3">
        <f t="shared" si="61"/>
        <v>0</v>
      </c>
      <c r="DV36" s="3">
        <f t="shared" si="62"/>
        <v>-503</v>
      </c>
      <c r="DW36" s="3">
        <f t="shared" si="23"/>
        <v>-1355</v>
      </c>
      <c r="DX36" s="3" t="e">
        <f t="shared" ca="1" si="24"/>
        <v>#NUM!</v>
      </c>
      <c r="DY36" s="3" t="e">
        <f t="shared" ca="1" si="25"/>
        <v>#NUM!</v>
      </c>
      <c r="DZ36" s="3">
        <f t="shared" ca="1" si="26"/>
        <v>1.5186445165111011E-2</v>
      </c>
      <c r="EA36" s="3">
        <f t="shared" ca="1" si="27"/>
        <v>-1.6257641815188229E-2</v>
      </c>
      <c r="EB36" s="3">
        <f t="shared" ca="1" si="28"/>
        <v>6.0233823264748184E-3</v>
      </c>
      <c r="EC36" s="3">
        <f t="shared" ca="1" si="29"/>
        <v>-1.5616006937195488E-2</v>
      </c>
      <c r="ED36" s="63">
        <f t="shared" si="63"/>
        <v>-1858</v>
      </c>
      <c r="EE36" s="59">
        <f t="shared" si="64"/>
        <v>0.25</v>
      </c>
      <c r="EF36" s="59">
        <f t="shared" si="30"/>
        <v>1.2464999999999999</v>
      </c>
      <c r="EG36" s="59">
        <f t="shared" si="31"/>
        <v>0.25</v>
      </c>
      <c r="EH36" s="59">
        <f t="shared" si="32"/>
        <v>0.3296</v>
      </c>
      <c r="EI36" s="59">
        <f t="shared" si="33"/>
        <v>0.15029999999999999</v>
      </c>
      <c r="EJ36" s="59">
        <f t="shared" si="34"/>
        <v>0.26319999999999999</v>
      </c>
      <c r="EL36" s="3" t="str">
        <f>RTD("tos.rtd",,EL$2,"."&amp;$A$2&amp;$AS$1&amp;"C"&amp;$A36)</f>
        <v>--</v>
      </c>
      <c r="EM36" s="3" t="str">
        <f>RTD("tos.rtd",,EM$2,"."&amp;$A$2&amp;$AS$1&amp;"P"&amp;$A36)</f>
        <v>124.65%</v>
      </c>
      <c r="EN36" s="3" t="str">
        <f>RTD("tos.rtd",,EN$2,"."&amp;$A$2&amp;$AU$1&amp;"C"&amp;$A36)</f>
        <v>--</v>
      </c>
      <c r="EO36" s="3" t="str">
        <f>RTD("tos.rtd",,EO$2,"."&amp;$A$2&amp;$AU$1&amp;"P"&amp;$A36)</f>
        <v>32.96%</v>
      </c>
      <c r="EP36" s="3" t="str">
        <f>RTD("tos.rtd",,EP$2,"."&amp;$A$2&amp;$AW$1&amp;"C"&amp;$A36)</f>
        <v>15.03%</v>
      </c>
      <c r="EQ36" s="3" t="str">
        <f>RTD("tos.rtd",,EQ$2,"."&amp;$A$2&amp;$AW$1&amp;"P"&amp;$A36)</f>
        <v>26.32%</v>
      </c>
      <c r="ES36" s="63" t="str">
        <f t="shared" si="65"/>
        <v>550,-1858.00</v>
      </c>
      <c r="ET36" s="63" t="str">
        <f t="shared" ca="1" si="66"/>
        <v>550,00.00</v>
      </c>
      <c r="EU36" s="67">
        <v>562.4</v>
      </c>
      <c r="EV36" s="67" t="s">
        <v>308</v>
      </c>
      <c r="EW36" s="67">
        <v>484.88</v>
      </c>
      <c r="EX36" s="67" t="s">
        <v>309</v>
      </c>
      <c r="EY36" s="67">
        <v>5637.5</v>
      </c>
      <c r="EZ36" s="67" t="s">
        <v>310</v>
      </c>
      <c r="FA36" s="67">
        <v>19917.75</v>
      </c>
      <c r="FB36" s="67" t="s">
        <v>311</v>
      </c>
      <c r="FC36" s="67" t="s">
        <v>312</v>
      </c>
      <c r="FD36" s="67" t="s">
        <v>313</v>
      </c>
      <c r="FE36" s="67" t="s">
        <v>314</v>
      </c>
      <c r="FF36" s="67" t="s">
        <v>315</v>
      </c>
    </row>
    <row r="37" spans="1:162" s="63" customFormat="1" ht="13.5" thickBot="1" x14ac:dyDescent="0.25">
      <c r="A37" s="2">
        <f t="shared" si="67"/>
        <v>549</v>
      </c>
      <c r="B37" s="3">
        <f t="shared" si="9"/>
        <v>5437</v>
      </c>
      <c r="C37" s="3">
        <f t="shared" si="10"/>
        <v>3752</v>
      </c>
      <c r="D37" s="3">
        <f t="shared" si="11"/>
        <v>7973</v>
      </c>
      <c r="E37" s="3">
        <f t="shared" si="12"/>
        <v>17162</v>
      </c>
      <c r="F37" s="4">
        <f t="shared" si="13"/>
        <v>5525.7030460900532</v>
      </c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>
        <v>-44</v>
      </c>
      <c r="AN37" s="1">
        <v>-5615</v>
      </c>
      <c r="AO37" s="1">
        <v>549</v>
      </c>
      <c r="AP37" s="1">
        <v>329</v>
      </c>
      <c r="AQ37" s="1">
        <v>-84411</v>
      </c>
      <c r="AR37" s="1"/>
      <c r="AS37" s="6">
        <f>IF(RTD("tos.rtd",,AS$2,"."&amp;$A$2&amp;$AS$1&amp;"C"&amp;$A37)="N/A",0,RTD("tos.rtd",,AS$2,"."&amp;$A$2&amp;$AS$1&amp;"C"&amp;$A37))</f>
        <v>1133</v>
      </c>
      <c r="AT37" s="7">
        <f>-IF(RTD("tos.rtd",,AT$2,"."&amp;$A$2&amp;$AS$1&amp;"P"&amp;$A37)="N/A",0,RTD("tos.rtd",,AT$2,"."&amp;$A$2&amp;$AS$1&amp;"P"&amp;$A37))</f>
        <v>-4304</v>
      </c>
      <c r="AU37" s="6">
        <f>IF(RTD("tos.rtd",,AU$2,"."&amp;$A$2&amp;$AU$1&amp;"C"&amp;$A37)="N/A",0,RTD("tos.rtd",,AU$2,"."&amp;$A$2&amp;$AU$1&amp;"C"&amp;$A37))</f>
        <v>775</v>
      </c>
      <c r="AV37" s="7">
        <f>-IF(RTD("tos.rtd",,AV$2,"."&amp;$A$2&amp;$AU$1&amp;"P"&amp;$A37)="N/A",0,RTD("tos.rtd",,AV$2,"."&amp;$A$2&amp;$AU$1&amp;"P"&amp;$A37))</f>
        <v>-2977</v>
      </c>
      <c r="AW37" s="6">
        <f>IF(RTD("tos.rtd",,AW$2,"."&amp;$A$2&amp;$AW$1&amp;"C"&amp;$A37)="N/A",0,RTD("tos.rtd",,AW$2,"."&amp;$A$2&amp;$AW$1&amp;"C"&amp;$A37))</f>
        <v>4393</v>
      </c>
      <c r="AX37" s="7">
        <f>-IF(RTD("tos.rtd",,AX$2,"."&amp;$A$2&amp;$AW$1&amp;"P"&amp;$A37)="N/A",0,RTD("tos.rtd",,AX$2,"."&amp;$A$2&amp;$AW$1&amp;"P"&amp;$A37))</f>
        <v>-3580</v>
      </c>
      <c r="AY37" s="1">
        <f t="shared" si="68"/>
        <v>-4560</v>
      </c>
      <c r="AZ37" s="8">
        <f t="shared" si="35"/>
        <v>549</v>
      </c>
      <c r="BA37" s="6">
        <f>IF(RTD("tos.rtd",,BA$2,"."&amp;$A$2&amp;$AS$1&amp;"C"&amp;$A37)="N/A",0,RTD("tos.rtd",,BA$2,"."&amp;$A$2&amp;$AS$1&amp;"C"&amp;$A37))</f>
        <v>329</v>
      </c>
      <c r="BB37" s="7">
        <f>-IF(RTD("tos.rtd",,BB$2,"."&amp;$A$2&amp;$AS$1&amp;"P"&amp;$A37)="N/A",0,RTD("tos.rtd",,BB$2,"."&amp;$A$2&amp;$AS$1&amp;"P"&amp;$A37))</f>
        <v>-84411</v>
      </c>
      <c r="BC37" s="6">
        <f>IF(RTD("tos.rtd",,BC$2,"."&amp;$A$2&amp;$AU$1&amp;"C"&amp;$A37)="N/A",0,RTD("tos.rtd",,BC$2,"."&amp;$A$2&amp;$AU$1&amp;"C"&amp;$A37))</f>
        <v>52</v>
      </c>
      <c r="BD37" s="7">
        <f>-IF(RTD("tos.rtd",,BD$2,"."&amp;$A$2&amp;$AU$1&amp;"P"&amp;$A37)="N/A",0,RTD("tos.rtd",,BD$2,"."&amp;$A$2&amp;$AU$1&amp;"P"&amp;$A37))</f>
        <v>-4297</v>
      </c>
      <c r="BE37" s="6">
        <f>IF(RTD("tos.rtd",,BE$2,"."&amp;$A$2&amp;$AW$1&amp;"C"&amp;$A37)="N/A",0,RTD("tos.rtd",,BE$2,"."&amp;$A$2&amp;$AW$1&amp;"C"&amp;$A37))</f>
        <v>55</v>
      </c>
      <c r="BF37" s="83">
        <f>-IF(RTD("tos.rtd",,BF$2,"."&amp;$A$2&amp;$AW$1&amp;"P"&amp;$A37)="N/A",0,RTD("tos.rtd",,BF$2,"."&amp;$A$2&amp;$AW$1&amp;"P"&amp;$A37))</f>
        <v>-787</v>
      </c>
      <c r="BG37" s="32">
        <f ca="1">+Hoja2!Y38</f>
        <v>-1477</v>
      </c>
      <c r="BH37" s="7">
        <f t="shared" ca="1" si="36"/>
        <v>-90536</v>
      </c>
      <c r="BI37" s="8" t="str">
        <f t="shared" ref="BI37" ca="1" si="199">IF(AND(BH37&lt;0,BH36&gt;0), "Cruce -", IF(AND(BH37&gt;0,BH36&lt;0),"Cruce +", ""))</f>
        <v/>
      </c>
      <c r="BJ37" s="3" t="e">
        <f ca="1">IF($BP$1=1,DX37,IF(RTD("tos.rtd",,BJ$2,"."&amp;$A$2&amp;$AS$1&amp;"C"&amp;$A37)="N/A",0,RTD("tos.rtd",,BJ$2,"."&amp;$A$2&amp;$AS$1&amp;"C"&amp;$A37)))</f>
        <v>#NUM!</v>
      </c>
      <c r="BK37" s="3" t="e">
        <f ca="1">IF($BP$1=1,DY37,-IF(RTD("tos.rtd",,BK$2,"."&amp;$A$2&amp;$AS$1&amp;"P"&amp;$A37)="N/A",0,RTD("tos.rtd",,BK$2,"."&amp;$A$2&amp;$AS$1&amp;"P"&amp;$A37)))</f>
        <v>#NUM!</v>
      </c>
      <c r="BL37" s="3">
        <f ca="1">IF($BP$1=1,DZ37,IF(RTD("tos.rtd",,BL$2,"."&amp;$A$2&amp;$AU$1&amp;"C"&amp;$A37)="N/A",0,RTD("tos.rtd",,BL$2,"."&amp;$A$2&amp;$AU$1&amp;"C"&amp;$A37)))</f>
        <v>1.3489705966726832E-2</v>
      </c>
      <c r="BM37" s="3">
        <f ca="1">IF($BP$1=1,EA37,-IF(RTD("tos.rtd",,BM$2,"."&amp;$A$2&amp;$AU$1&amp;"P"&amp;$A37)="N/A",0,RTD("tos.rtd",,BM$2,"."&amp;$A$2&amp;$AU$1&amp;"P"&amp;$A37)))</f>
        <v>-1.5184964784060132E-2</v>
      </c>
      <c r="BN37" s="3">
        <f ca="1">IF($BP$1=1,EB37,IF(RTD("tos.rtd",,BN$2,"."&amp;$A$2&amp;$AW$1&amp;"C"&amp;$A37)="N/A",0,RTD("tos.rtd",,BN$2,"."&amp;$A$2&amp;$AW$1&amp;"C"&amp;$A37)))</f>
        <v>3.6170353519144219E-3</v>
      </c>
      <c r="BO37" s="3">
        <f ca="1">IF($BP$1=1,EC37,-IF(RTD("tos.rtd",,BO$2,"."&amp;$A$2&amp;$AW$1&amp;"P"&amp;$A37)="N/A",0,RTD("tos.rtd",,BO$2,"."&amp;$A$2&amp;$AW$1&amp;"P"&amp;$A37)))</f>
        <v>-1.4084936434178949E-2</v>
      </c>
      <c r="BQ37" s="3" t="e">
        <f t="shared" ca="1" si="37"/>
        <v>#NUM!</v>
      </c>
      <c r="BR37" s="3" t="e">
        <f t="shared" ca="1" si="70"/>
        <v>#NUM!</v>
      </c>
      <c r="BS37" s="3">
        <f t="shared" ca="1" si="38"/>
        <v>-11067131.18396976</v>
      </c>
      <c r="BT37" s="3" t="str">
        <f t="shared" ca="1" si="70"/>
        <v/>
      </c>
      <c r="BU37" s="3">
        <f t="shared" ca="1" si="39"/>
        <v>-10998124.855596583</v>
      </c>
      <c r="BV37" s="3" t="str">
        <f t="shared" ref="BV37" ca="1" si="200">IF(AND(BU37&lt;0,BU36&gt;0), "Cruce -", IF(AND(BU37&gt;0,BU36&lt;0),"Cruce +", ""))</f>
        <v/>
      </c>
      <c r="BX37" s="3" t="e">
        <f t="shared" ca="1" si="40"/>
        <v>#NUM!</v>
      </c>
      <c r="BY37" s="3" t="e">
        <f t="shared" ca="1" si="72"/>
        <v>#NUM!</v>
      </c>
      <c r="BZ37" s="3">
        <f t="shared" ca="1" si="41"/>
        <v>-20556599.750322495</v>
      </c>
      <c r="CA37" s="3" t="str">
        <f t="shared" ca="1" si="73"/>
        <v/>
      </c>
      <c r="CB37" s="3">
        <f t="shared" ca="1" si="42"/>
        <v>-3466817.1563822906</v>
      </c>
      <c r="CC37" s="3" t="str">
        <f t="shared" ca="1" si="74"/>
        <v/>
      </c>
      <c r="CD37" s="3">
        <f>IF(RTD("tos.rtd",,CD$2,"."&amp;$A$2&amp;$AS$1&amp;"C"&amp;$A37)="N/A",0,RTD("tos.rtd",,CD$2,"."&amp;$A$2&amp;$AS$1&amp;"C"&amp;$A37))</f>
        <v>1</v>
      </c>
      <c r="CE37" s="3">
        <f>-IF(RTD("tos.rtd",,CE$2,"."&amp;$A$2&amp;$AS$1&amp;"P"&amp;$A37)="N/A",0,RTD("tos.rtd",,CE$2,"."&amp;$A$2&amp;$AS$1&amp;"P"&amp;$A37))</f>
        <v>0</v>
      </c>
      <c r="CF37" s="3">
        <f>IF(RTD("tos.rtd",,CF$2,"."&amp;$A$2&amp;$AU$1&amp;"C"&amp;$A37)="N/A",0,RTD("tos.rtd",,CF$2,"."&amp;$A$2&amp;$AU$1&amp;"C"&amp;$A37))</f>
        <v>1</v>
      </c>
      <c r="CG37" s="3">
        <f>-IF(RTD("tos.rtd",,CG$2,"."&amp;$A$2&amp;$AU$1&amp;"P"&amp;$A37)="N/A",0,RTD("tos.rtd",,CG$2,"."&amp;$A$2&amp;$AU$1&amp;"P"&amp;$A37))</f>
        <v>0.11</v>
      </c>
      <c r="CH37" s="3">
        <f>IF(RTD("tos.rtd",,CH$2,"."&amp;$A$2&amp;$AW$1&amp;"C"&amp;$A37)="N/A",0,RTD("tos.rtd",,CH$2,"."&amp;$A$2&amp;$AW$1&amp;"C"&amp;$A37))</f>
        <v>0.9</v>
      </c>
      <c r="CI37" s="3">
        <f>-IF(RTD("tos.rtd",,CI$2,"."&amp;$A$2&amp;$AW$1&amp;"P"&amp;$A37)="N/A",0,RTD("tos.rtd",,CI$2,"."&amp;$A$2&amp;$AW$1&amp;"P"&amp;$A37))</f>
        <v>0.24</v>
      </c>
      <c r="CK37" s="3">
        <f t="shared" si="17"/>
        <v>113300</v>
      </c>
      <c r="CL37" s="3"/>
      <c r="CM37" s="3">
        <f t="shared" si="18"/>
        <v>44753</v>
      </c>
      <c r="CN37" s="3"/>
      <c r="CO37" s="3">
        <f t="shared" si="19"/>
        <v>309450</v>
      </c>
      <c r="CP37" s="3">
        <f t="shared" si="43"/>
        <v>467503</v>
      </c>
      <c r="CQ37" s="3">
        <f t="shared" si="44"/>
        <v>-84082</v>
      </c>
      <c r="CR37" s="3"/>
      <c r="CS37" s="3">
        <f t="shared" si="20"/>
        <v>-4245</v>
      </c>
      <c r="CT37" s="3"/>
      <c r="CU37" s="3">
        <f t="shared" si="21"/>
        <v>-732</v>
      </c>
      <c r="CV37" s="3">
        <f t="shared" si="45"/>
        <v>-89059</v>
      </c>
      <c r="CW37" s="3" t="e">
        <f t="shared" ca="1" si="46"/>
        <v>#NUM!</v>
      </c>
      <c r="CX37" s="85" t="e">
        <f t="shared" ca="1" si="75"/>
        <v>#NUM!</v>
      </c>
      <c r="CY37" s="3" t="e">
        <f t="shared" ca="1" si="47"/>
        <v>#NUM!</v>
      </c>
      <c r="CZ37" s="85" t="e">
        <f t="shared" ca="1" si="76"/>
        <v>#NUM!</v>
      </c>
      <c r="DA37" s="3">
        <f>IF(RTD("tos.rtd",,DA$2,"."&amp;$A$2&amp;$AS$1&amp;"C"&amp;$A37)="N/A",0,RTD("tos.rtd",,DA$2,"."&amp;$A$2&amp;$AS$1&amp;"C"&amp;$A37))</f>
        <v>12.7</v>
      </c>
      <c r="DB37" s="3">
        <f>IF(RTD("tos.rtd",,DB$2,"."&amp;$A$2&amp;$AS$1&amp;"P"&amp;$A37)="N/A",0,RTD("tos.rtd",,DB$2,"."&amp;$A$2&amp;$AS$1&amp;"P"&amp;$A37))</f>
        <v>0.01</v>
      </c>
      <c r="DC37" s="3">
        <f>IF(RTD("tos.rtd",,DC$2,"."&amp;$A$2&amp;$AS$1&amp;"C"&amp;$A37)="N/A",0,RTD("tos.rtd",,DC$2,"."&amp;$A$2&amp;$AS$1&amp;"C"&amp;$A37))</f>
        <v>12.99</v>
      </c>
      <c r="DD37" s="3">
        <f>IF(RTD("tos.rtd",,DD$2,"."&amp;$A$2&amp;$AS$1&amp;"P"&amp;$A37)="N/A",0,RTD("tos.rtd",,DD$2,"."&amp;$A$2&amp;$AS$1&amp;"P"&amp;$A37))</f>
        <v>0.01</v>
      </c>
      <c r="DE37" s="3">
        <f>IF(RTD("tos.rtd",,DE$2,"."&amp;$A$2&amp;$AS$1&amp;"C"&amp;$A37)="N/A",0,RTD("tos.rtd",,DE$2,"."&amp;$A$2&amp;$AS$1&amp;"C"&amp;$A37))</f>
        <v>11.43</v>
      </c>
      <c r="DF37" s="3">
        <f>IF(RTD("tos.rtd",,DF$2,"."&amp;$A$2&amp;$AS$1&amp;"P"&amp;$A37)="N/A",0,RTD("tos.rtd",,DF$2,"."&amp;$A$2&amp;$AS$1&amp;"P"&amp;$A37))</f>
        <v>0</v>
      </c>
      <c r="DG37" s="86">
        <f t="shared" si="48"/>
        <v>-15.330000000000041</v>
      </c>
      <c r="DH37" s="3">
        <f t="shared" si="22"/>
        <v>0</v>
      </c>
      <c r="DI37" s="3">
        <f t="shared" si="49"/>
        <v>0</v>
      </c>
      <c r="DJ37" s="3">
        <f t="shared" si="50"/>
        <v>0</v>
      </c>
      <c r="DK37" s="3">
        <f t="shared" si="51"/>
        <v>0</v>
      </c>
      <c r="DL37" s="3">
        <f t="shared" si="52"/>
        <v>0</v>
      </c>
      <c r="DM37" s="3">
        <f t="shared" si="53"/>
        <v>0</v>
      </c>
      <c r="DN37" s="63" t="str">
        <f t="shared" si="54"/>
        <v>UNKNOWN</v>
      </c>
      <c r="DO37" s="63" t="str">
        <f t="shared" si="55"/>
        <v>UNKNOWN</v>
      </c>
      <c r="DP37" s="3">
        <f t="shared" si="56"/>
        <v>0</v>
      </c>
      <c r="DQ37" s="3">
        <f t="shared" si="57"/>
        <v>0</v>
      </c>
      <c r="DR37" s="3" t="e">
        <f t="shared" ca="1" si="58"/>
        <v>#NUM!</v>
      </c>
      <c r="DS37" s="3">
        <f t="shared" si="59"/>
        <v>0</v>
      </c>
      <c r="DT37" s="3">
        <f t="shared" si="60"/>
        <v>0</v>
      </c>
      <c r="DU37" s="3">
        <f t="shared" si="61"/>
        <v>0</v>
      </c>
      <c r="DV37" s="3">
        <f t="shared" si="62"/>
        <v>-44</v>
      </c>
      <c r="DW37" s="3">
        <f t="shared" si="23"/>
        <v>-5615</v>
      </c>
      <c r="DX37" s="3" t="e">
        <f t="shared" ca="1" si="24"/>
        <v>#NUM!</v>
      </c>
      <c r="DY37" s="3" t="e">
        <f t="shared" ca="1" si="25"/>
        <v>#NUM!</v>
      </c>
      <c r="DZ37" s="3">
        <f t="shared" ca="1" si="26"/>
        <v>1.3489705966726832E-2</v>
      </c>
      <c r="EA37" s="3">
        <f t="shared" ca="1" si="27"/>
        <v>-1.5184964784060132E-2</v>
      </c>
      <c r="EB37" s="3">
        <f t="shared" ca="1" si="28"/>
        <v>3.6170353519144219E-3</v>
      </c>
      <c r="EC37" s="3">
        <f t="shared" ca="1" si="29"/>
        <v>-1.4084936434178949E-2</v>
      </c>
      <c r="ED37" s="63">
        <f t="shared" si="63"/>
        <v>-5659</v>
      </c>
      <c r="EE37" s="59">
        <f t="shared" si="64"/>
        <v>0.25</v>
      </c>
      <c r="EF37" s="59">
        <f t="shared" si="30"/>
        <v>1.3257000000000001</v>
      </c>
      <c r="EG37" s="59">
        <f t="shared" si="31"/>
        <v>0.25</v>
      </c>
      <c r="EH37" s="59">
        <f t="shared" si="32"/>
        <v>0.33110000000000001</v>
      </c>
      <c r="EI37" s="59">
        <f t="shared" si="33"/>
        <v>0.14410000000000001</v>
      </c>
      <c r="EJ37" s="59">
        <f t="shared" si="34"/>
        <v>0.26469999999999999</v>
      </c>
      <c r="EL37" s="3" t="str">
        <f>RTD("tos.rtd",,EL$2,"."&amp;$A$2&amp;$AS$1&amp;"C"&amp;$A37)</f>
        <v>--</v>
      </c>
      <c r="EM37" s="3" t="str">
        <f>RTD("tos.rtd",,EM$2,"."&amp;$A$2&amp;$AS$1&amp;"P"&amp;$A37)</f>
        <v>132.57%</v>
      </c>
      <c r="EN37" s="3" t="str">
        <f>RTD("tos.rtd",,EN$2,"."&amp;$A$2&amp;$AU$1&amp;"C"&amp;$A37)</f>
        <v>--</v>
      </c>
      <c r="EO37" s="3" t="str">
        <f>RTD("tos.rtd",,EO$2,"."&amp;$A$2&amp;$AU$1&amp;"P"&amp;$A37)</f>
        <v>33.11%</v>
      </c>
      <c r="EP37" s="3" t="str">
        <f>RTD("tos.rtd",,EP$2,"."&amp;$A$2&amp;$AW$1&amp;"C"&amp;$A37)</f>
        <v>14.41%</v>
      </c>
      <c r="EQ37" s="3" t="str">
        <f>RTD("tos.rtd",,EQ$2,"."&amp;$A$2&amp;$AW$1&amp;"P"&amp;$A37)</f>
        <v>26.47%</v>
      </c>
      <c r="ES37" s="63" t="str">
        <f t="shared" si="65"/>
        <v>549,-5659.00</v>
      </c>
      <c r="ET37" s="63" t="str">
        <f t="shared" ca="1" si="66"/>
        <v>549,00.00</v>
      </c>
      <c r="EU37" s="67">
        <v>562.41</v>
      </c>
      <c r="EV37" s="67" t="s">
        <v>316</v>
      </c>
      <c r="EW37" s="67">
        <v>484.95</v>
      </c>
      <c r="EX37" s="67" t="s">
        <v>317</v>
      </c>
      <c r="EY37" s="67">
        <v>5638</v>
      </c>
      <c r="EZ37" s="67" t="s">
        <v>318</v>
      </c>
      <c r="FA37" s="67">
        <v>19920</v>
      </c>
      <c r="FB37" s="67" t="s">
        <v>319</v>
      </c>
      <c r="FC37" s="67" t="s">
        <v>320</v>
      </c>
      <c r="FD37" s="67" t="s">
        <v>321</v>
      </c>
      <c r="FE37" s="67" t="s">
        <v>322</v>
      </c>
      <c r="FF37" s="67" t="s">
        <v>323</v>
      </c>
    </row>
    <row r="38" spans="1:162" s="63" customFormat="1" ht="13.5" thickBot="1" x14ac:dyDescent="0.25">
      <c r="A38" s="2">
        <f t="shared" si="67"/>
        <v>548</v>
      </c>
      <c r="B38" s="35">
        <f t="shared" si="9"/>
        <v>5741</v>
      </c>
      <c r="C38" s="35">
        <f t="shared" si="10"/>
        <v>2951</v>
      </c>
      <c r="D38" s="35">
        <f t="shared" si="11"/>
        <v>10115</v>
      </c>
      <c r="E38" s="35">
        <f t="shared" si="12"/>
        <v>18807</v>
      </c>
      <c r="F38" s="11">
        <f t="shared" si="13"/>
        <v>5515.6380132192153</v>
      </c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>
        <v>42</v>
      </c>
      <c r="AN38" s="1">
        <v>4892</v>
      </c>
      <c r="AO38" s="1">
        <v>548</v>
      </c>
      <c r="AP38" s="1">
        <v>353</v>
      </c>
      <c r="AQ38" s="1">
        <v>-87554</v>
      </c>
      <c r="AR38" s="1"/>
      <c r="AS38" s="15">
        <f>IF(RTD("tos.rtd",,AS$2,"."&amp;$A$2&amp;$AS$1&amp;"C"&amp;$A38)="N/A",0,RTD("tos.rtd",,AS$2,"."&amp;$A$2&amp;$AS$1&amp;"C"&amp;$A38))</f>
        <v>856</v>
      </c>
      <c r="AT38" s="36">
        <f>-IF(RTD("tos.rtd",,AT$2,"."&amp;$A$2&amp;$AS$1&amp;"P"&amp;$A38)="N/A",0,RTD("tos.rtd",,AT$2,"."&amp;$A$2&amp;$AS$1&amp;"P"&amp;$A38))</f>
        <v>-4885</v>
      </c>
      <c r="AU38" s="15">
        <f>IF(RTD("tos.rtd",,AU$2,"."&amp;$A$2&amp;$AU$1&amp;"C"&amp;$A38)="N/A",0,RTD("tos.rtd",,AU$2,"."&amp;$A$2&amp;$AU$1&amp;"C"&amp;$A38))</f>
        <v>979</v>
      </c>
      <c r="AV38" s="36">
        <f>-IF(RTD("tos.rtd",,AV$2,"."&amp;$A$2&amp;$AU$1&amp;"P"&amp;$A38)="N/A",0,RTD("tos.rtd",,AV$2,"."&amp;$A$2&amp;$AU$1&amp;"P"&amp;$A38))</f>
        <v>-1972</v>
      </c>
      <c r="AW38" s="15">
        <f>IF(RTD("tos.rtd",,AW$2,"."&amp;$A$2&amp;$AW$1&amp;"C"&amp;$A38)="N/A",0,RTD("tos.rtd",,AW$2,"."&amp;$A$2&amp;$AW$1&amp;"C"&amp;$A38))</f>
        <v>5709</v>
      </c>
      <c r="AX38" s="36">
        <f>-IF(RTD("tos.rtd",,AX$2,"."&amp;$A$2&amp;$AW$1&amp;"P"&amp;$A38)="N/A",0,RTD("tos.rtd",,AX$2,"."&amp;$A$2&amp;$AW$1&amp;"P"&amp;$A38))</f>
        <v>-4406</v>
      </c>
      <c r="AY38" s="1">
        <f t="shared" si="68"/>
        <v>-3719</v>
      </c>
      <c r="AZ38" s="8">
        <f t="shared" si="35"/>
        <v>548</v>
      </c>
      <c r="BA38" s="15">
        <f>IF(RTD("tos.rtd",,BA$2,"."&amp;$A$2&amp;$AS$1&amp;"C"&amp;$A38)="N/A",0,RTD("tos.rtd",,BA$2,"."&amp;$A$2&amp;$AS$1&amp;"C"&amp;$A38))</f>
        <v>354</v>
      </c>
      <c r="BB38" s="36">
        <f>-IF(RTD("tos.rtd",,BB$2,"."&amp;$A$2&amp;$AS$1&amp;"P"&amp;$A38)="N/A",0,RTD("tos.rtd",,BB$2,"."&amp;$A$2&amp;$AS$1&amp;"P"&amp;$A38))</f>
        <v>-87554</v>
      </c>
      <c r="BC38" s="15">
        <f>IF(RTD("tos.rtd",,BC$2,"."&amp;$A$2&amp;$AU$1&amp;"C"&amp;$A38)="N/A",0,RTD("tos.rtd",,BC$2,"."&amp;$A$2&amp;$AU$1&amp;"C"&amp;$A38))</f>
        <v>94</v>
      </c>
      <c r="BD38" s="36">
        <f>-IF(RTD("tos.rtd",,BD$2,"."&amp;$A$2&amp;$AU$1&amp;"P"&amp;$A38)="N/A",0,RTD("tos.rtd",,BD$2,"."&amp;$A$2&amp;$AU$1&amp;"P"&amp;$A38))</f>
        <v>-9567</v>
      </c>
      <c r="BE38" s="15">
        <f>IF(RTD("tos.rtd",,BE$2,"."&amp;$A$2&amp;$AW$1&amp;"C"&amp;$A38)="N/A",0,RTD("tos.rtd",,BE$2,"."&amp;$A$2&amp;$AW$1&amp;"C"&amp;$A38))</f>
        <v>136</v>
      </c>
      <c r="BF38" s="16">
        <f>-IF(RTD("tos.rtd",,BF$2,"."&amp;$A$2&amp;$AW$1&amp;"P"&amp;$A38)="N/A",0,RTD("tos.rtd",,BF$2,"."&amp;$A$2&amp;$AW$1&amp;"P"&amp;$A38))</f>
        <v>-940</v>
      </c>
      <c r="BG38" s="32">
        <f ca="1">+Hoja2!Y39</f>
        <v>-756</v>
      </c>
      <c r="BH38" s="36">
        <f t="shared" ca="1" si="36"/>
        <v>-98233</v>
      </c>
      <c r="BI38" s="8" t="str">
        <f t="shared" ref="BI38" ca="1" si="201">IF(AND(BH38&lt;0,BH37&gt;0), "Cruce -", IF(AND(BH38&gt;0,BH37&lt;0),"Cruce +", ""))</f>
        <v/>
      </c>
      <c r="BJ38" s="3" t="e">
        <f ca="1">IF($BP$1=1,DX38,IF(RTD("tos.rtd",,BJ$2,"."&amp;$A$2&amp;$AS$1&amp;"C"&amp;$A38)="N/A",0,RTD("tos.rtd",,BJ$2,"."&amp;$A$2&amp;$AS$1&amp;"C"&amp;$A38)))</f>
        <v>#NUM!</v>
      </c>
      <c r="BK38" s="3" t="e">
        <f ca="1">IF($BP$1=1,DY38,-IF(RTD("tos.rtd",,BK$2,"."&amp;$A$2&amp;$AS$1&amp;"P"&amp;$A38)="N/A",0,RTD("tos.rtd",,BK$2,"."&amp;$A$2&amp;$AS$1&amp;"P"&amp;$A38)))</f>
        <v>#NUM!</v>
      </c>
      <c r="BL38" s="3">
        <f ca="1">IF($BP$1=1,DZ38,IF(RTD("tos.rtd",,BL$2,"."&amp;$A$2&amp;$AU$1&amp;"C"&amp;$A38)="N/A",0,RTD("tos.rtd",,BL$2,"."&amp;$A$2&amp;$AU$1&amp;"C"&amp;$A38)))</f>
        <v>1.1884824172804636E-2</v>
      </c>
      <c r="BM38" s="3">
        <f ca="1">IF($BP$1=1,EA38,-IF(RTD("tos.rtd",,BM$2,"."&amp;$A$2&amp;$AU$1&amp;"P"&amp;$A38)="N/A",0,RTD("tos.rtd",,BM$2,"."&amp;$A$2&amp;$AU$1&amp;"P"&amp;$A38)))</f>
        <v>-1.4135740069820905E-2</v>
      </c>
      <c r="BN38" s="3">
        <f ca="1">IF($BP$1=1,EB38,IF(RTD("tos.rtd",,BN$2,"."&amp;$A$2&amp;$AW$1&amp;"C"&amp;$A38)="N/A",0,RTD("tos.rtd",,BN$2,"."&amp;$A$2&amp;$AW$1&amp;"C"&amp;$A38)))</f>
        <v>1.7605447019196556E-3</v>
      </c>
      <c r="BO38" s="3">
        <f ca="1">IF($BP$1=1,EC38,-IF(RTD("tos.rtd",,BO$2,"."&amp;$A$2&amp;$AW$1&amp;"P"&amp;$A38)="N/A",0,RTD("tos.rtd",,BO$2,"."&amp;$A$2&amp;$AW$1&amp;"P"&amp;$A38)))</f>
        <v>-1.2640967454494365E-2</v>
      </c>
      <c r="BQ38" s="3" t="e">
        <f t="shared" ca="1" si="37"/>
        <v>#NUM!</v>
      </c>
      <c r="BR38" s="3" t="e">
        <f t="shared" ca="1" si="70"/>
        <v>#NUM!</v>
      </c>
      <c r="BS38" s="3">
        <f t="shared" ca="1" si="38"/>
        <v>-5172065.0142934155</v>
      </c>
      <c r="BT38" s="3" t="str">
        <f t="shared" ca="1" si="70"/>
        <v/>
      </c>
      <c r="BU38" s="3">
        <f t="shared" ca="1" si="39"/>
        <v>-14536536.479746858</v>
      </c>
      <c r="BV38" s="3" t="str">
        <f t="shared" ref="BV38" ca="1" si="202">IF(AND(BU38&lt;0,BU37&gt;0), "Cruce -", IF(AND(BU38&gt;0,BU37&lt;0),"Cruce +", ""))</f>
        <v/>
      </c>
      <c r="BX38" s="3" t="e">
        <f t="shared" ca="1" si="40"/>
        <v>#NUM!</v>
      </c>
      <c r="BY38" s="3" t="e">
        <f t="shared" ca="1" si="72"/>
        <v>#NUM!</v>
      </c>
      <c r="BZ38" s="3">
        <f t="shared" ca="1" si="41"/>
        <v>-42712800.362390853</v>
      </c>
      <c r="CA38" s="3" t="str">
        <f t="shared" ca="1" si="73"/>
        <v/>
      </c>
      <c r="CB38" s="3">
        <f t="shared" ca="1" si="42"/>
        <v>-3707950.9757512095</v>
      </c>
      <c r="CC38" s="3" t="str">
        <f t="shared" ca="1" si="74"/>
        <v/>
      </c>
      <c r="CD38" s="3">
        <f>IF(RTD("tos.rtd",,CD$2,"."&amp;$A$2&amp;$AS$1&amp;"C"&amp;$A38)="N/A",0,RTD("tos.rtd",,CD$2,"."&amp;$A$2&amp;$AS$1&amp;"C"&amp;$A38))</f>
        <v>1</v>
      </c>
      <c r="CE38" s="3">
        <f>-IF(RTD("tos.rtd",,CE$2,"."&amp;$A$2&amp;$AS$1&amp;"P"&amp;$A38)="N/A",0,RTD("tos.rtd",,CE$2,"."&amp;$A$2&amp;$AS$1&amp;"P"&amp;$A38))</f>
        <v>0</v>
      </c>
      <c r="CF38" s="3">
        <f>IF(RTD("tos.rtd",,CF$2,"."&amp;$A$2&amp;$AU$1&amp;"C"&amp;$A38)="N/A",0,RTD("tos.rtd",,CF$2,"."&amp;$A$2&amp;$AU$1&amp;"C"&amp;$A38))</f>
        <v>1</v>
      </c>
      <c r="CG38" s="3">
        <f>-IF(RTD("tos.rtd",,CG$2,"."&amp;$A$2&amp;$AU$1&amp;"P"&amp;$A38)="N/A",0,RTD("tos.rtd",,CG$2,"."&amp;$A$2&amp;$AU$1&amp;"P"&amp;$A38))</f>
        <v>0.1</v>
      </c>
      <c r="CH38" s="3">
        <f>IF(RTD("tos.rtd",,CH$2,"."&amp;$A$2&amp;$AW$1&amp;"C"&amp;$A38)="N/A",0,RTD("tos.rtd",,CH$2,"."&amp;$A$2&amp;$AW$1&amp;"C"&amp;$A38))</f>
        <v>0.93</v>
      </c>
      <c r="CI38" s="3">
        <f>-IF(RTD("tos.rtd",,CI$2,"."&amp;$A$2&amp;$AW$1&amp;"P"&amp;$A38)="N/A",0,RTD("tos.rtd",,CI$2,"."&amp;$A$2&amp;$AW$1&amp;"P"&amp;$A38))</f>
        <v>0.23</v>
      </c>
      <c r="CK38" s="3">
        <f t="shared" si="17"/>
        <v>85600</v>
      </c>
      <c r="CL38" s="3"/>
      <c r="CM38" s="3">
        <f t="shared" si="18"/>
        <v>78180</v>
      </c>
      <c r="CN38" s="3"/>
      <c r="CO38" s="3">
        <f t="shared" si="19"/>
        <v>429599</v>
      </c>
      <c r="CP38" s="3">
        <f t="shared" si="43"/>
        <v>593379</v>
      </c>
      <c r="CQ38" s="3">
        <f t="shared" si="44"/>
        <v>-87200</v>
      </c>
      <c r="CR38" s="3"/>
      <c r="CS38" s="3">
        <f t="shared" si="20"/>
        <v>-9473</v>
      </c>
      <c r="CT38" s="3"/>
      <c r="CU38" s="3">
        <f t="shared" si="21"/>
        <v>-804</v>
      </c>
      <c r="CV38" s="3">
        <f t="shared" si="45"/>
        <v>-97477</v>
      </c>
      <c r="CW38" s="3" t="e">
        <f t="shared" ca="1" si="46"/>
        <v>#NUM!</v>
      </c>
      <c r="CX38" s="85" t="e">
        <f t="shared" ca="1" si="75"/>
        <v>#NUM!</v>
      </c>
      <c r="CY38" s="3" t="e">
        <f t="shared" ca="1" si="47"/>
        <v>#NUM!</v>
      </c>
      <c r="CZ38" s="85" t="e">
        <f t="shared" ca="1" si="76"/>
        <v>#NUM!</v>
      </c>
      <c r="DA38" s="3">
        <f>IF(RTD("tos.rtd",,DA$2,"."&amp;$A$2&amp;$AS$1&amp;"C"&amp;$A38)="N/A",0,RTD("tos.rtd",,DA$2,"."&amp;$A$2&amp;$AS$1&amp;"C"&amp;$A38))</f>
        <v>13.2</v>
      </c>
      <c r="DB38" s="3">
        <f>IF(RTD("tos.rtd",,DB$2,"."&amp;$A$2&amp;$AS$1&amp;"P"&amp;$A38)="N/A",0,RTD("tos.rtd",,DB$2,"."&amp;$A$2&amp;$AS$1&amp;"P"&amp;$A38))</f>
        <v>0.01</v>
      </c>
      <c r="DC38" s="3">
        <f>IF(RTD("tos.rtd",,DC$2,"."&amp;$A$2&amp;$AS$1&amp;"C"&amp;$A38)="N/A",0,RTD("tos.rtd",,DC$2,"."&amp;$A$2&amp;$AS$1&amp;"C"&amp;$A38))</f>
        <v>13.98</v>
      </c>
      <c r="DD38" s="3">
        <f>IF(RTD("tos.rtd",,DD$2,"."&amp;$A$2&amp;$AS$1&amp;"P"&amp;$A38)="N/A",0,RTD("tos.rtd",,DD$2,"."&amp;$A$2&amp;$AS$1&amp;"P"&amp;$A38))</f>
        <v>0.01</v>
      </c>
      <c r="DE38" s="3">
        <f>IF(RTD("tos.rtd",,DE$2,"."&amp;$A$2&amp;$AS$1&amp;"C"&amp;$A38)="N/A",0,RTD("tos.rtd",,DE$2,"."&amp;$A$2&amp;$AS$1&amp;"C"&amp;$A38))</f>
        <v>12.46</v>
      </c>
      <c r="DF38" s="3">
        <f>IF(RTD("tos.rtd",,DF$2,"."&amp;$A$2&amp;$AS$1&amp;"P"&amp;$A38)="N/A",0,RTD("tos.rtd",,DF$2,"."&amp;$A$2&amp;$AS$1&amp;"P"&amp;$A38))</f>
        <v>0</v>
      </c>
      <c r="DG38" s="86">
        <f t="shared" si="48"/>
        <v>-16.330000000000041</v>
      </c>
      <c r="DH38" s="3">
        <f t="shared" si="22"/>
        <v>0.48684210526315702</v>
      </c>
      <c r="DI38" s="3">
        <f t="shared" si="49"/>
        <v>0</v>
      </c>
      <c r="DJ38" s="3">
        <f t="shared" si="50"/>
        <v>0</v>
      </c>
      <c r="DK38" s="3">
        <f t="shared" si="51"/>
        <v>0</v>
      </c>
      <c r="DL38" s="3">
        <f t="shared" si="52"/>
        <v>0.48684210526315702</v>
      </c>
      <c r="DM38" s="3">
        <f t="shared" si="53"/>
        <v>0</v>
      </c>
      <c r="DN38" s="63" t="str">
        <f t="shared" si="54"/>
        <v>UNKNOWN</v>
      </c>
      <c r="DO38" s="63" t="str">
        <f t="shared" si="55"/>
        <v>UNKNOWN</v>
      </c>
      <c r="DP38" s="3">
        <f t="shared" si="56"/>
        <v>6.426315789473672</v>
      </c>
      <c r="DQ38" s="3">
        <f t="shared" si="57"/>
        <v>0</v>
      </c>
      <c r="DR38" s="3" t="e">
        <f t="shared" ca="1" si="58"/>
        <v>#NUM!</v>
      </c>
      <c r="DS38" s="3">
        <f t="shared" si="59"/>
        <v>0</v>
      </c>
      <c r="DT38" s="3">
        <f t="shared" si="60"/>
        <v>1</v>
      </c>
      <c r="DU38" s="3">
        <f t="shared" si="61"/>
        <v>0</v>
      </c>
      <c r="DV38" s="3">
        <f t="shared" si="62"/>
        <v>42</v>
      </c>
      <c r="DW38" s="3">
        <f t="shared" si="23"/>
        <v>4892</v>
      </c>
      <c r="DX38" s="3" t="e">
        <f t="shared" ca="1" si="24"/>
        <v>#NUM!</v>
      </c>
      <c r="DY38" s="3" t="e">
        <f t="shared" ca="1" si="25"/>
        <v>#NUM!</v>
      </c>
      <c r="DZ38" s="3">
        <f t="shared" ca="1" si="26"/>
        <v>1.1884824172804636E-2</v>
      </c>
      <c r="EA38" s="3">
        <f t="shared" ca="1" si="27"/>
        <v>-1.4135740069820905E-2</v>
      </c>
      <c r="EB38" s="3">
        <f t="shared" ca="1" si="28"/>
        <v>1.7605447019196556E-3</v>
      </c>
      <c r="EC38" s="3">
        <f t="shared" ca="1" si="29"/>
        <v>-1.2640967454494365E-2</v>
      </c>
      <c r="ED38" s="63">
        <f t="shared" si="63"/>
        <v>4934</v>
      </c>
      <c r="EE38" s="59">
        <f t="shared" si="64"/>
        <v>0.25</v>
      </c>
      <c r="EF38" s="59">
        <f t="shared" si="30"/>
        <v>1.4047000000000001</v>
      </c>
      <c r="EG38" s="59">
        <f t="shared" si="31"/>
        <v>0.25</v>
      </c>
      <c r="EH38" s="59">
        <f t="shared" si="32"/>
        <v>0.33279999999999998</v>
      </c>
      <c r="EI38" s="59">
        <f t="shared" si="33"/>
        <v>0.1358</v>
      </c>
      <c r="EJ38" s="59">
        <f t="shared" si="34"/>
        <v>0.26619999999999999</v>
      </c>
      <c r="EL38" s="3" t="str">
        <f>RTD("tos.rtd",,EL$2,"."&amp;$A$2&amp;$AS$1&amp;"C"&amp;$A38)</f>
        <v>--</v>
      </c>
      <c r="EM38" s="3" t="str">
        <f>RTD("tos.rtd",,EM$2,"."&amp;$A$2&amp;$AS$1&amp;"P"&amp;$A38)</f>
        <v>140.47%</v>
      </c>
      <c r="EN38" s="3" t="str">
        <f>RTD("tos.rtd",,EN$2,"."&amp;$A$2&amp;$AU$1&amp;"C"&amp;$A38)</f>
        <v>--</v>
      </c>
      <c r="EO38" s="3" t="str">
        <f>RTD("tos.rtd",,EO$2,"."&amp;$A$2&amp;$AU$1&amp;"P"&amp;$A38)</f>
        <v>33.28%</v>
      </c>
      <c r="EP38" s="3" t="str">
        <f>RTD("tos.rtd",,EP$2,"."&amp;$A$2&amp;$AW$1&amp;"C"&amp;$A38)</f>
        <v>13.58%</v>
      </c>
      <c r="EQ38" s="3" t="str">
        <f>RTD("tos.rtd",,EQ$2,"."&amp;$A$2&amp;$AW$1&amp;"P"&amp;$A38)</f>
        <v>26.62%</v>
      </c>
      <c r="ES38" s="63" t="str">
        <f t="shared" si="65"/>
        <v>548,4934.00</v>
      </c>
      <c r="ET38" s="63" t="str">
        <f t="shared" ca="1" si="66"/>
        <v>548,00.00</v>
      </c>
      <c r="EU38" s="67">
        <v>562.45000000000005</v>
      </c>
      <c r="EV38" s="67" t="s">
        <v>324</v>
      </c>
      <c r="EW38" s="67">
        <v>484.97</v>
      </c>
      <c r="EX38" s="67" t="s">
        <v>325</v>
      </c>
      <c r="EY38" s="67">
        <v>5638.25</v>
      </c>
      <c r="EZ38" s="67" t="s">
        <v>326</v>
      </c>
      <c r="FA38" s="67">
        <v>19923</v>
      </c>
      <c r="FB38" s="67" t="s">
        <v>327</v>
      </c>
      <c r="FC38" s="67" t="s">
        <v>328</v>
      </c>
      <c r="FD38" s="67" t="s">
        <v>329</v>
      </c>
      <c r="FE38" s="67" t="s">
        <v>330</v>
      </c>
      <c r="FF38" s="67" t="s">
        <v>331</v>
      </c>
    </row>
    <row r="39" spans="1:162" ht="14.25" customHeight="1" x14ac:dyDescent="0.2">
      <c r="A39" s="37">
        <v>1</v>
      </c>
      <c r="B39" s="38"/>
      <c r="C39" s="39"/>
      <c r="D39" s="40"/>
      <c r="E39" s="40"/>
      <c r="F39" s="40"/>
      <c r="G39" s="41"/>
      <c r="AP39" s="1" t="s">
        <v>17</v>
      </c>
      <c r="AQ39" s="1" t="s">
        <v>18</v>
      </c>
      <c r="AS39" s="25" t="s">
        <v>17</v>
      </c>
      <c r="AT39" s="25" t="s">
        <v>18</v>
      </c>
      <c r="AU39" s="25" t="s">
        <v>17</v>
      </c>
      <c r="AV39" s="25" t="s">
        <v>18</v>
      </c>
      <c r="AW39" s="25" t="s">
        <v>17</v>
      </c>
      <c r="AX39" s="25" t="s">
        <v>18</v>
      </c>
      <c r="AY39" s="25"/>
      <c r="BA39" s="25" t="s">
        <v>17</v>
      </c>
      <c r="BB39" s="25" t="s">
        <v>18</v>
      </c>
      <c r="BC39" s="25" t="s">
        <v>17</v>
      </c>
      <c r="BD39" s="25" t="s">
        <v>18</v>
      </c>
      <c r="BE39" s="25" t="s">
        <v>17</v>
      </c>
      <c r="BF39" s="25" t="s">
        <v>18</v>
      </c>
      <c r="BG39" s="23"/>
      <c r="BH39" s="25">
        <f ca="1">MIN(BH4:BH38)</f>
        <v>-286454</v>
      </c>
      <c r="BI39" s="1">
        <f ca="1">IFERROR(IF(MIN(BH4:BH38)&lt;&gt;0,INDEX(A4:A38,MATCH(MIN(BH4:BH38),BH4:BH38,0)),""),"")</f>
        <v>555</v>
      </c>
      <c r="BJ39" s="23"/>
      <c r="BK39" s="23"/>
      <c r="BL39" s="23"/>
      <c r="BM39" s="23"/>
      <c r="BN39" s="23"/>
      <c r="BO39" s="23"/>
      <c r="BP39" s="64" t="e">
        <f ca="1">INDEX(BQ39:BU39,MATCH(MAX(BQ3:BU3),BQ3:BU3,0))</f>
        <v>#NUM!</v>
      </c>
      <c r="BQ39" s="23" t="e">
        <f ca="1">IF(AND(BQ3&gt;0,ABS(MAX(BQ4:BQ38))&gt;ABS(MIN(BQ4:BQ38))),IF(MAX(BQ4:BQ38)&lt;&gt;0,INDEX($A4:$A38,MATCH(MAX(BQ4:BQ38),BQ4:BQ38,0)),""),"")</f>
        <v>#NUM!</v>
      </c>
      <c r="BR39" s="23"/>
      <c r="BS39" s="23">
        <f ca="1">IF(AND(BS3&gt;0,ABS(MAX(BS4:BS38))&gt;ABS(MIN(BS4:BS38))),IF(MAX(BS4:BS38)&lt;&gt;0,INDEX($A4:$A38,MATCH(MAX(BS4:BS38),BS4:BS38,0)),""),"")</f>
        <v>570</v>
      </c>
      <c r="BT39" s="23"/>
      <c r="BU39" s="23" t="str">
        <f ca="1">IF(AND(BU3&gt;0,ABS(MAX(BU4:BU38))&gt;ABS(MIN(BU4:BU38))),IF(MAX(BU4:BU38)&lt;&gt;0,INDEX($A4:$A38,MATCH(MAX(BU4:BU38),BU4:BU38,0)),""),"")</f>
        <v/>
      </c>
      <c r="BV39" s="23"/>
      <c r="BW39" s="64" t="e">
        <f ca="1">INDEX(BX39:CB39,MATCH(MAX(BX3:CB3),BX3:CB3,0))</f>
        <v>#NUM!</v>
      </c>
      <c r="BX39" s="23" t="e">
        <f ca="1">IF(AND(BX3&gt;0,ABS(MAX(BX4:BX38))&gt;ABS(MIN(BX4:BX38))),IF(MAX(BX4:BX38)&lt;&gt;0,INDEX($A4:$A38,MATCH(MAX(BX4:BX38),BX4:BX38,0)),""),"")</f>
        <v>#NUM!</v>
      </c>
      <c r="BY39" s="23" t="e">
        <f ca="1">INDEX($A$4:$A$38,1+MATCH("Cruce -",BY4:BY38,))</f>
        <v>#N/A</v>
      </c>
      <c r="BZ39" s="23">
        <f ca="1">IF(AND(BZ3&gt;0,ABS(MAX(BZ4:BZ38))&gt;ABS(MIN(BZ4:BZ38))),IF(MAX(BZ4:BZ38)&lt;&gt;0,INDEX($A4:$A38,MATCH(MAX(BZ4:BZ38),BZ4:BZ38,0)),""),"")</f>
        <v>565</v>
      </c>
      <c r="CA39" s="23"/>
      <c r="CB39" s="23">
        <f ca="1">IF(AND(CB3&gt;0,ABS(MAX(CB4:CB38))&gt;ABS(MIN(CB4:CB38))),IF(MAX(CB4:CB38)&lt;&gt;0,INDEX($A4:$A38,MATCH(MAX(CB4:CB38),CB4:CB38,0)),""),"")</f>
        <v>570</v>
      </c>
      <c r="CC39" s="23"/>
      <c r="CD39" s="23"/>
      <c r="CE39" s="23"/>
      <c r="CF39" s="23"/>
      <c r="CG39" s="23"/>
      <c r="CH39" s="23"/>
      <c r="CI39" s="23"/>
      <c r="CJ39" s="64">
        <f>IFERROR(INDEX(CK39:CO39,MATCH(MAX(CK3:CO3),CK3:CO3,0)),"")</f>
        <v>575</v>
      </c>
      <c r="CK39" s="23">
        <f>IF(AND(CK3&gt;0,ABS(MAX(CK4:CK38))&gt;ABS(MIN(CK4:CK38))),IF(MAX(CK4:CK38)&lt;&gt;0,INDEX($A4:$A38,MATCH(MAX(CK4:CK38),CK4:CK38,0)),""),"")</f>
        <v>558</v>
      </c>
      <c r="CL39" s="23"/>
      <c r="CM39" s="23">
        <f>IF(AND(CM3&gt;0,ABS(MAX(CM4:CM38))&gt;ABS(MIN(CM4:CM38))),IF(MAX(CM4:CM38)&lt;&gt;0,INDEX($A4:$A38,MATCH(MAX(CM4:CM38),CM4:CM38,0)),""),"")</f>
        <v>555</v>
      </c>
      <c r="CN39" s="23"/>
      <c r="CO39" s="23">
        <f>IF(AND(CO3&gt;0,ABS(MAX(CO4:CO38))&gt;ABS(MIN(CO4:CO38))),IF(MAX(CO4:CO38)&lt;&gt;0,INDEX($A4:$A38,MATCH(MAX(CO4:CO38),CO4:CO38,0)),""),"")</f>
        <v>575</v>
      </c>
      <c r="CP39" s="23">
        <f>IF(ABS(MAX(CP4:CP38))&gt;ABS(MIN(CP4:CP38)),IF(MAX(CP4:CP38)&lt;&gt;0,INDEX($A4:$A38,MATCH(MAX(CP4:CP38),CP4:CP38,0)),""),"")</f>
        <v>550</v>
      </c>
      <c r="CQ39" s="23"/>
      <c r="CR39" s="23"/>
      <c r="CS39" s="23"/>
      <c r="CT39" s="23"/>
      <c r="CU39" s="23"/>
      <c r="CV39" s="23"/>
      <c r="CW39" s="23" t="e">
        <f ca="1">IF(AND(CW3&gt;0,ABS(MAX(CW4:CW38))&gt;ABS(MIN(CW4:CW38))),IF(MAX(CW4:CW38)&lt;&gt;0,INDEX($A4:$A38,MATCH(MAX(CW4:CW38),CW4:CW38,0)),""),"")</f>
        <v>#NUM!</v>
      </c>
      <c r="CY39" s="23" t="e">
        <f ca="1">IF(AND(CY3&gt;0,ABS(MAX(CY4:CY38))&gt;ABS(MIN(CY4:CY38))),IF(MAX(CY4:CY38)&lt;&gt;0,INDEX($A4:$A38,MATCH(MAX(CY4:CY38),CY4:CY38,0)),""),"")</f>
        <v>#NUM!</v>
      </c>
      <c r="DA39" s="23" t="s">
        <v>17</v>
      </c>
      <c r="DB39" s="23" t="s">
        <v>18</v>
      </c>
      <c r="DC39" s="23" t="s">
        <v>17</v>
      </c>
      <c r="DD39" s="23" t="s">
        <v>18</v>
      </c>
      <c r="DE39" s="23" t="s">
        <v>17</v>
      </c>
      <c r="DF39" s="23" t="s">
        <v>18</v>
      </c>
      <c r="DG39" s="71" t="s">
        <v>24</v>
      </c>
      <c r="DH39" s="23">
        <f t="shared" ref="DH39:DM39" si="203">IF(AND(DH3&gt;0,ABS(MAX(DH4:DH38))&gt;ABS(MIN(DH4:DH38))),IF(MAX(DH4:DH38)&lt;&gt;0,INDEX($A4:$A38,MATCH(MAX(DH4:DH38),DH4:DH38,0)),""),"")</f>
        <v>560</v>
      </c>
      <c r="DI39" s="23" t="str">
        <f t="shared" si="203"/>
        <v/>
      </c>
      <c r="DJ39" s="89" t="str">
        <f>IFERROR(IF(AND(ABS(MAX(DJ4:DJ38))&gt;$DG$2,ABS(INDEX($DG$4:$DG$38,MATCH(MAX(DJ4:DJ38),DJ4:DJ38,0)))&lt;0.5,1),IF(MAX(DJ4:DJ38)&lt;&gt;0,INDEX($A4:$A38,MATCH(MAX(DJ4:DJ38),DJ4:DJ38,0)),""),""),"")</f>
        <v/>
      </c>
      <c r="DK39" s="89" t="str">
        <f>IFERROR(IF(AND(ABS(MAX(DK4:DK38))&gt;$DG$2,ABS(INDEX($DG$4:$DG$38,MATCH(MAX(DK4:DK38),DK4:DK38,0)))&lt;0.5,1),IF(MAX(DK4:DK38)&lt;&gt;0,INDEX($A4:$A38,MATCH(MAX(DK4:DK38),DK4:DK38,0)),""),""),"")</f>
        <v/>
      </c>
      <c r="DL39" s="23" t="str">
        <f t="shared" si="203"/>
        <v/>
      </c>
      <c r="DM39" s="23" t="str">
        <f t="shared" si="203"/>
        <v/>
      </c>
      <c r="DN39" s="64" t="str">
        <f>DJ39&amp;","&amp;DJ40&amp;","&amp;DK39&amp;","&amp;DK40</f>
        <v>,,,</v>
      </c>
      <c r="DP39" s="23" t="str">
        <f t="shared" ref="DP39:DS39" si="204">IF(AND(DP3&gt;0,ABS(MAX(DP4:DP38))&gt;ABS(MIN(DP4:DP38))),IF(MAX(DP4:DP38)&lt;&gt;0,INDEX($A4:$A38,MATCH(MAX(DP4:DP38),DP4:DP38,0)),""),"")</f>
        <v/>
      </c>
      <c r="DQ39" s="23" t="str">
        <f t="shared" si="204"/>
        <v/>
      </c>
      <c r="DR39" s="23" t="e">
        <f t="shared" ca="1" si="204"/>
        <v>#NUM!</v>
      </c>
      <c r="DS39" s="23" t="str">
        <f t="shared" si="204"/>
        <v/>
      </c>
      <c r="DT39" s="23"/>
      <c r="DU39" s="23"/>
      <c r="DV39" s="23"/>
      <c r="DW39" s="23"/>
      <c r="DX39" s="23"/>
      <c r="DY39" s="23"/>
      <c r="DZ39" s="23"/>
      <c r="EA39" s="23"/>
      <c r="EB39" s="23"/>
      <c r="EC39" s="23"/>
      <c r="ED39" s="103">
        <f>IFERROR(IF(MAX(ED4:ED38)&lt;&gt;0,INDEX($A4:$A38,MATCH(MAX(ED4:ED38),ED4:ED38,0)),""),"")</f>
        <v>557</v>
      </c>
      <c r="EE39" s="23"/>
      <c r="EF39" s="23"/>
      <c r="EG39" s="23"/>
      <c r="EH39" s="23"/>
      <c r="EI39" s="23"/>
      <c r="EJ39" s="23"/>
      <c r="EL39" s="23"/>
      <c r="EM39" s="23"/>
      <c r="EN39" s="23"/>
      <c r="EO39" s="23"/>
      <c r="EP39" s="23"/>
      <c r="EQ39" s="23"/>
      <c r="EU39" s="67">
        <v>562.46</v>
      </c>
      <c r="EV39" s="67" t="s">
        <v>332</v>
      </c>
      <c r="EW39" s="67">
        <v>484.95</v>
      </c>
      <c r="EX39" s="67" t="s">
        <v>333</v>
      </c>
      <c r="EY39" s="67">
        <v>5638</v>
      </c>
      <c r="EZ39" s="67" t="s">
        <v>334</v>
      </c>
      <c r="FA39" s="67">
        <v>19921</v>
      </c>
      <c r="FB39" s="67" t="s">
        <v>335</v>
      </c>
      <c r="FC39" s="67" t="s">
        <v>336</v>
      </c>
      <c r="FD39" s="67" t="s">
        <v>337</v>
      </c>
      <c r="FE39" s="68" t="s">
        <v>338</v>
      </c>
      <c r="FF39" s="68" t="s">
        <v>339</v>
      </c>
    </row>
    <row r="40" spans="1:162" x14ac:dyDescent="0.2">
      <c r="A40" s="40"/>
      <c r="B40" s="38"/>
      <c r="C40" s="39"/>
      <c r="D40" s="40"/>
      <c r="E40" s="40"/>
      <c r="F40" s="40"/>
      <c r="G40" s="41"/>
      <c r="BP40" s="64" t="e">
        <f ca="1">INDEX(BQ40:BU40,MATCH(MIN(BQ3:BU3),BQ3:BU3,0))</f>
        <v>#NUM!</v>
      </c>
      <c r="BQ40" s="1" t="e">
        <f ca="1">IF(AND(BQ3&lt;0,ABS(MIN(BQ4:BQ38))&gt;ABS(MAX(BQ4:BQ38))),IF(MIN(BQ4:BQ38)&lt;&gt;0,INDEX($A4:$A38,MATCH(MIN(BQ4:BQ38),BQ4:BQ38,0)),""),"")</f>
        <v>#NUM!</v>
      </c>
      <c r="BS40" s="1" t="str">
        <f ca="1">IF(AND(BS3&lt;0,ABS(MIN(BS4:BS38))&gt;ABS(MAX(BS4:BS38))),IF(MIN(BS4:BS38)&lt;&gt;0,INDEX($A4:$A38,MATCH(MIN(BS4:BS38),BS4:BS38,0)),""),"")</f>
        <v/>
      </c>
      <c r="BU40" s="1" t="str">
        <f ca="1">IF(AND(BU3&lt;0,ABS(MIN(BU4:BU38))&gt;ABS(MAX(BU4:BU38))),IF(MIN(BU4:BU38)&lt;&gt;0,INDEX($A4:$A38,MATCH(MIN(BU4:BU38),BU4:BU38,0)),""),"")</f>
        <v/>
      </c>
      <c r="BW40" s="64" t="e">
        <f ca="1">INDEX(BX40:CB40,MATCH(MIN(BX3:CB3),BX3:CB3,0))</f>
        <v>#NUM!</v>
      </c>
      <c r="BX40" s="1" t="e">
        <f ca="1">IF(AND(BX3&lt;0,ABS(MIN(BX4:BX38))&gt;ABS(MAX(BX4:BX38))),IF(MIN(BX4:BX38)&lt;&gt;0,INDEX($A4:$A38,MATCH(MIN(BX4:BX38),BX4:BX38,0)),""),"")</f>
        <v>#NUM!</v>
      </c>
      <c r="BY40" s="1" t="e">
        <f ca="1">INDEX($A$4:$A$38,1+MATCH("Cruce -",BY4:BY38,)-1)</f>
        <v>#N/A</v>
      </c>
      <c r="BZ40" s="1" t="str">
        <f ca="1">IF(AND(BZ3&lt;0,ABS(MIN(BZ4:BZ38))&gt;ABS(MAX(BZ4:BZ38))),IF(MIN(BZ4:BZ38)&lt;&gt;0,INDEX($A4:$A38,MATCH(MIN(BZ4:BZ38),BZ4:BZ38,0)),""),"")</f>
        <v/>
      </c>
      <c r="CB40" s="1" t="str">
        <f ca="1">IF(AND(CB3&lt;0,ABS(MIN(CB4:CB38))&gt;ABS(MAX(CB4:CB38))),IF(MIN(CB4:CB38)&lt;&gt;0,INDEX($A4:$A38,MATCH(MIN(CB4:CB38),CB4:CB38,0)),""),"")</f>
        <v/>
      </c>
      <c r="CJ40" s="64" t="str">
        <f>IFERROR(INDEX(CK40:CO40,MATCH(MIN(CK3:CO3),CK3:CO3,0)),"")</f>
        <v/>
      </c>
      <c r="CK40" s="1" t="str">
        <f>IF(AND(CK3&lt;0,ABS(MIN(CK4:CK38))&gt;ABS(MAX(CK4:CK38))),IF(MIN(CK4:CK38)&lt;&gt;0,INDEX($A4:$A38,MATCH(MIN(CK4:CK38),CK4:CK38,0)),""),"")</f>
        <v/>
      </c>
      <c r="CM40" s="1" t="str">
        <f>IF(AND(CM3&lt;0,ABS(MIN(CM4:CM38))&gt;ABS(MAX(CM4:CM38))),IF(MIN(CM4:CM38)&lt;&gt;0,INDEX($A4:$A38,MATCH(MIN(CM4:CM38),CM4:CM38,0)),""),"")</f>
        <v/>
      </c>
      <c r="CO40" s="1" t="str">
        <f>IF(AND(CO3&lt;0,ABS(MIN(CO4:CO38))&gt;ABS(MAX(CO4:CO38))),IF(MIN(CO4:CO38)&lt;&gt;0,INDEX($A4:$A38,MATCH(MIN(CO4:CO38),CO4:CO38,0)),""),"")</f>
        <v/>
      </c>
      <c r="CP40" s="1" t="str">
        <f>IF(ABS(MIN(CP4:CP38))&gt;ABS(MAX(CP4:CP38)),IF(MIN(CP4:CP38)&lt;&gt;0,INDEX($A4:$A38,MATCH(MIN(CP4:CP38),CP4:CP38,0)),""),"")</f>
        <v/>
      </c>
      <c r="CW40" s="1" t="e">
        <f ca="1">IF(AND(CW3&lt;0,ABS(MIN(CW4:CW38))&gt;ABS(MAX(CW4:CW38))),IF(MIN(CW4:CW38)&lt;&gt;0,INDEX($A4:$A38,MATCH(MIN(CW4:CW38),CW4:CW38,0)),""),"")</f>
        <v>#NUM!</v>
      </c>
      <c r="CY40" s="1" t="e">
        <f ca="1">IF(AND(CY3&lt;0,ABS(MIN(CY4:CY38))&gt;ABS(MAX(CY4:CY38))),IF(MIN(CY4:CY38)&lt;&gt;0,INDEX($A4:$A38,MATCH(MIN(CY4:CY38),CY4:CY38,0)),""),"")</f>
        <v>#NUM!</v>
      </c>
      <c r="DG40" s="72" t="s">
        <v>23</v>
      </c>
      <c r="DH40" s="23" t="str">
        <f t="shared" ref="DH40:DM40" si="205">IF(AND(DH3&lt;0,ABS(MIN(DH4:DH38))&gt;ABS(MAX(DH4:DH38))),IF(MIN(DH4:DH38)&lt;&gt;0,INDEX($A4:$A38,MATCH(MIN(DH4:DH38),DH4:DH38,0)),""),"")</f>
        <v/>
      </c>
      <c r="DI40" s="23">
        <f t="shared" si="205"/>
        <v>561</v>
      </c>
      <c r="DJ40" s="89" t="str">
        <f>IFERROR(IF(AND(ABS(MIN(DJ4:DJ38))&gt;$DG$2,ABS(INDEX($DG$4:$DG$38,MATCH(MIN(DJ4:DJ38),DJ4:DJ38,0)))&lt;0.5,1),IF(MIN(DJ4:DJ38)&lt;&gt;0,INDEX($A4:$A38,MATCH(MIN(DJ4:DJ38),DJ4:DJ38,0)),""),""),"")</f>
        <v/>
      </c>
      <c r="DK40" s="89" t="str">
        <f>IFERROR(IF(AND(ABS(MIN(DK4:DK38))&gt;$DG$2,ABS(INDEX($DG$4:$DG$38,MATCH(MIN(DK4:DK38),DK4:DK38,0)))&lt;0.5,1),IF(MIN(DK4:DK38)&lt;&gt;0,INDEX($A4:$A38,MATCH(MIN(DK4:DK38),DK4:DK38,0)),""),""),"")</f>
        <v/>
      </c>
      <c r="DL40" s="23">
        <f t="shared" si="205"/>
        <v>561</v>
      </c>
      <c r="DM40" s="23">
        <f t="shared" si="205"/>
        <v>562</v>
      </c>
      <c r="DN40" s="64" t="str">
        <f ca="1">BI1&amp;","&amp;BI39&amp;","&amp;ED39&amp;","&amp;ED40</f>
        <v>562,555,557,562</v>
      </c>
      <c r="DP40" s="23">
        <f t="shared" ref="DP40:DS40" si="206">IF(AND(DP3&lt;0,ABS(MIN(DP4:DP38))&gt;ABS(MAX(DP4:DP38))),IF(MIN(DP4:DP38)&lt;&gt;0,INDEX($A4:$A38,MATCH(MIN(DP4:DP38),DP4:DP38,0)),""),"")</f>
        <v>564</v>
      </c>
      <c r="DQ40" s="23">
        <f t="shared" si="206"/>
        <v>561</v>
      </c>
      <c r="DR40" s="23" t="e">
        <f t="shared" ca="1" si="206"/>
        <v>#NUM!</v>
      </c>
      <c r="DS40" s="23">
        <f t="shared" si="206"/>
        <v>562</v>
      </c>
      <c r="ED40" s="103">
        <f>IFERROR(IF(MIN(ED4:ED38)&lt;&gt;0,INDEX($A4:$A38,MATCH(MIN(ED4:ED38),ED4:ED38,0)),""),"")</f>
        <v>562</v>
      </c>
      <c r="EU40" s="67">
        <v>562.46</v>
      </c>
      <c r="EV40" s="67" t="s">
        <v>340</v>
      </c>
      <c r="EW40" s="67">
        <v>484.94</v>
      </c>
      <c r="EX40" s="67" t="s">
        <v>341</v>
      </c>
      <c r="EY40" s="67">
        <v>5638.25</v>
      </c>
      <c r="EZ40" s="67" t="s">
        <v>342</v>
      </c>
      <c r="FA40" s="67">
        <v>19920.25</v>
      </c>
      <c r="FB40" s="67" t="s">
        <v>343</v>
      </c>
      <c r="FC40" s="67" t="s">
        <v>344</v>
      </c>
      <c r="FD40" s="67" t="s">
        <v>345</v>
      </c>
      <c r="FE40" s="68" t="s">
        <v>346</v>
      </c>
      <c r="FF40" s="68" t="s">
        <v>347</v>
      </c>
    </row>
    <row r="41" spans="1:162" ht="13.5" thickBot="1" x14ac:dyDescent="0.25">
      <c r="A41" s="40"/>
      <c r="C41" s="39"/>
      <c r="D41" s="40"/>
      <c r="E41" s="40"/>
      <c r="F41" s="40"/>
      <c r="G41" s="41"/>
      <c r="EU41" s="67">
        <v>562.46</v>
      </c>
      <c r="EV41" s="67" t="s">
        <v>348</v>
      </c>
      <c r="EW41" s="67">
        <v>484.95</v>
      </c>
      <c r="EX41" s="67" t="s">
        <v>349</v>
      </c>
      <c r="EY41" s="67">
        <v>5638</v>
      </c>
      <c r="EZ41" s="67" t="s">
        <v>350</v>
      </c>
      <c r="FA41" s="67">
        <v>19920</v>
      </c>
      <c r="FB41" s="67" t="s">
        <v>351</v>
      </c>
      <c r="FC41" s="67" t="s">
        <v>352</v>
      </c>
      <c r="FD41" s="67" t="s">
        <v>353</v>
      </c>
      <c r="FE41" s="68" t="s">
        <v>354</v>
      </c>
      <c r="FF41" s="68" t="s">
        <v>355</v>
      </c>
    </row>
    <row r="42" spans="1:162" ht="13.5" thickBot="1" x14ac:dyDescent="0.25">
      <c r="A42" s="40"/>
      <c r="B42" s="43">
        <v>45784</v>
      </c>
      <c r="C42" s="44">
        <v>45786</v>
      </c>
      <c r="D42" s="44">
        <v>45793</v>
      </c>
      <c r="E42" s="40"/>
      <c r="F42" s="40">
        <f>+[2]Sheet1!$AD$2</f>
        <v>469.81373794456613</v>
      </c>
      <c r="G42" s="41"/>
      <c r="AP42" s="1">
        <v>250507</v>
      </c>
      <c r="AQ42" s="1">
        <v>0</v>
      </c>
      <c r="AS42" s="22" t="str">
        <f>+B43</f>
        <v>250507</v>
      </c>
      <c r="AT42" s="22"/>
      <c r="AU42" s="22" t="str">
        <f>+C43</f>
        <v>250509</v>
      </c>
      <c r="AV42" s="22"/>
      <c r="AW42" s="22" t="str">
        <f>+D43</f>
        <v>250516</v>
      </c>
      <c r="AX42" s="22"/>
      <c r="BA42" s="22" t="str">
        <f>+AS42</f>
        <v>250507</v>
      </c>
      <c r="BB42" s="22">
        <f t="shared" ref="BB42" si="207">+AT42</f>
        <v>0</v>
      </c>
      <c r="BC42" s="22" t="str">
        <f t="shared" ref="BC42" si="208">+AU42</f>
        <v>250509</v>
      </c>
      <c r="BD42" s="22">
        <f t="shared" ref="BD42" si="209">+AV42</f>
        <v>0</v>
      </c>
      <c r="BE42" s="22" t="str">
        <f t="shared" ref="BE42" si="210">+AW42</f>
        <v>250516</v>
      </c>
      <c r="BF42" s="22">
        <f t="shared" ref="BF42" si="211">+AX42</f>
        <v>0</v>
      </c>
      <c r="BG42" s="96"/>
      <c r="BH42" s="1">
        <f ca="1">MAX(BH45:BH79)</f>
        <v>144526</v>
      </c>
      <c r="BI42" s="1">
        <f ca="1">IFERROR(IF(MAX(BH45:BH79)&lt;&gt;0,INDEX(A45:A79,MATCH(MAX(BH45:BH79),BH45:BH79,0)),""),"")</f>
        <v>485</v>
      </c>
      <c r="BJ42" s="22" t="str">
        <f>+AS42</f>
        <v>250507</v>
      </c>
      <c r="BK42" s="22">
        <f t="shared" ref="BK42" si="212">+AT42</f>
        <v>0</v>
      </c>
      <c r="BL42" s="22" t="str">
        <f t="shared" ref="BL42" si="213">+AU42</f>
        <v>250509</v>
      </c>
      <c r="BM42" s="22">
        <f t="shared" ref="BM42" si="214">+AV42</f>
        <v>0</v>
      </c>
      <c r="BN42" s="22" t="str">
        <f t="shared" ref="BN42" si="215">+AW42</f>
        <v>250516</v>
      </c>
      <c r="BO42" s="22">
        <f t="shared" ref="BO42" si="216">+AX42</f>
        <v>0</v>
      </c>
      <c r="BQ42" s="22" t="e">
        <f ca="1">IF(BR42&gt;BR43,IF(MAX(BQ45:BQ79)&lt;&gt;0,INDEX(A45:A79,MATCH(MAX(BQ45:BQ79),BQ45:BQ79,0)),A44),IF(MIN(BQ45:BQ79)&lt;&gt;0,INDEX(A45:A79,MATCH(MIN(BQ45:BQ79),BQ45:BQ79,0))))</f>
        <v>#NUM!</v>
      </c>
      <c r="BR42" s="22" t="e">
        <f ca="1">+MAX(BQ45:BQ79)</f>
        <v>#NUM!</v>
      </c>
      <c r="BS42" s="22">
        <f ca="1">IF(BT42&gt;BT43,IF(MAX(BS45:BS79)&lt;&gt;0,INDEX(A45:A79,MATCH(MAX(BS45:BS79),BS45:BS79,0)),A44),IF(MIN(BS45:BS79)&lt;&gt;0,INDEX(A45:A79,MATCH(MIN(BS45:BS79),BS45:BS79,0))))</f>
        <v>485</v>
      </c>
      <c r="BT42" s="22">
        <f ca="1">+MAX(BS45:BS79)</f>
        <v>120078069.73477794</v>
      </c>
      <c r="BU42" s="22">
        <f ca="1">IF(BV42&gt;BV43,IF(MAX(BU45:BU79)&lt;&gt;0,INDEX(A45:A79,MATCH(MAX(BU45:BU79),BU45:BU79,0)),A44),IF(MIN(BU45:BU79)&lt;&gt;0,INDEX(A45:A79,MATCH(MIN(BU45:BU79),BU45:BU79,0))))</f>
        <v>490</v>
      </c>
      <c r="BV42" s="22">
        <f ca="1">+MAX(BU45:BU79)</f>
        <v>591486644.03121018</v>
      </c>
      <c r="BX42" s="22" t="e">
        <f ca="1">IF(BY42&gt;BZ42,IF(MAX(BX45:BX79)&lt;&gt;0,INDEX(G45:G79,MATCH(MAX(BX45:BX79),BX45:BX79,0)),G44),IF(MIN(BX45:BX79)&lt;&gt;0,INDEX(G45:G79,MATCH(MIN(BX45:BX79),BX45:BX79,0))))</f>
        <v>#NUM!</v>
      </c>
      <c r="BY42" s="22" t="e">
        <f ca="1">+MAX(BX45:BX79)</f>
        <v>#NUM!</v>
      </c>
      <c r="BZ42" s="22" t="e">
        <f ca="1">ABS(+MIN(BX45:BX79))</f>
        <v>#NUM!</v>
      </c>
      <c r="CA42" s="22"/>
      <c r="CB42" s="22"/>
      <c r="CC42" s="22" t="e">
        <f ca="1">+AVERAGE(BY80:BY81,CA80:CA81,CC80:CC81)</f>
        <v>#N/A</v>
      </c>
      <c r="CD42" s="22"/>
      <c r="CE42" s="22"/>
      <c r="CF42" s="22"/>
      <c r="CG42" s="22"/>
      <c r="CH42" s="22"/>
      <c r="CI42" s="22"/>
      <c r="CK42" s="22">
        <f>IF(CL42&gt;CM42,IF(MAX(CK45:CK79)&lt;&gt;0,INDEX(N45:N79,MATCH(MAX(CK45:CK79),CK45:CK79,0)),N44),IF(MIN(CK45:CK79)&lt;&gt;0,INDEX(N45:N79,MATCH(MIN(CK45:CK79),CK45:CK79,0))))</f>
        <v>0</v>
      </c>
      <c r="CL42" s="22">
        <f>+MAX(CK45:CK79)</f>
        <v>534174</v>
      </c>
      <c r="CM42" s="22">
        <f>ABS(+MIN(CK45:CK79))</f>
        <v>108136.00000000001</v>
      </c>
      <c r="CN42" s="22"/>
      <c r="CO42" s="22"/>
      <c r="CP42" s="22"/>
      <c r="CQ42" s="22">
        <f>IF(CR42&gt;CS42,IF(MAX(CQ45:CQ79)&lt;&gt;0,INDEX(A45:A79,MATCH(MAX(CQ45:CQ79),CQ45:CQ79,0)),A44),IF(MIN(CQ45:CQ79)&lt;&gt;0,INDEX(A45:A79,MATCH(MIN(CQ45:CQ79),CQ45:CQ79,0))))</f>
        <v>475</v>
      </c>
      <c r="CR42" s="22">
        <f>+MAX(CQ45:CQ79)</f>
        <v>121926</v>
      </c>
      <c r="CS42" s="22">
        <f>ABS(+MIN(CQ45:CQ79))</f>
        <v>126895</v>
      </c>
      <c r="CT42" s="22"/>
      <c r="CU42" s="22"/>
      <c r="CV42" s="22"/>
      <c r="CW42" s="22" t="e">
        <f ca="1">IF(CX42&gt;CY42,IF(MAX(CW45:CW79)&lt;&gt;0,INDEX(A45:A79,MATCH(MAX(CW45:CW79),CW45:CW79,0)),M44),IF(MIN(CW45:CW79)&lt;&gt;0,INDEX(A45:A79,MATCH(MIN(CW45:CW79),CW45:CW79,0))))</f>
        <v>#NUM!</v>
      </c>
      <c r="CX42" s="61" t="e">
        <f ca="1">+MAX(CW45:CW79)</f>
        <v>#NUM!</v>
      </c>
      <c r="CY42" s="22" t="e">
        <f ca="1">ABS(+MIN(CW45:CW79))</f>
        <v>#NUM!</v>
      </c>
      <c r="DA42" s="22"/>
      <c r="DB42" s="22"/>
      <c r="DC42" s="22"/>
      <c r="DD42" s="22"/>
      <c r="DE42" s="22"/>
      <c r="DF42" s="22"/>
      <c r="DG42" s="22">
        <v>2500</v>
      </c>
      <c r="DH42" s="22"/>
      <c r="DI42" s="22"/>
      <c r="DJ42" s="22"/>
      <c r="DK42" s="22"/>
      <c r="DL42" s="22"/>
      <c r="DM42" s="22"/>
      <c r="DP42" s="22"/>
      <c r="DQ42" s="22"/>
      <c r="DR42" s="22"/>
      <c r="DS42" s="22"/>
      <c r="DT42" s="22"/>
      <c r="DU42" s="22"/>
      <c r="DV42" s="22"/>
      <c r="DW42" s="22"/>
      <c r="DX42" s="22"/>
      <c r="DY42" s="22"/>
      <c r="DZ42" s="22"/>
      <c r="EA42" s="22"/>
      <c r="EB42" s="22"/>
      <c r="EC42" s="22"/>
      <c r="EE42" s="22">
        <f>+DA42</f>
        <v>0</v>
      </c>
      <c r="EF42" s="22">
        <f t="shared" ref="EF42" si="217">+DB42</f>
        <v>0</v>
      </c>
      <c r="EG42" s="22">
        <f t="shared" ref="EG42" si="218">+DC42</f>
        <v>0</v>
      </c>
      <c r="EH42" s="22">
        <f t="shared" ref="EH42" si="219">+DD42</f>
        <v>0</v>
      </c>
      <c r="EI42" s="22">
        <f t="shared" ref="EI42" si="220">+DE42</f>
        <v>0</v>
      </c>
      <c r="EJ42" s="22">
        <f t="shared" ref="EJ42" si="221">+DF42</f>
        <v>0</v>
      </c>
      <c r="EL42" s="22">
        <f>+DH42</f>
        <v>0</v>
      </c>
      <c r="EM42" s="22">
        <f t="shared" ref="EM42" si="222">+DI42</f>
        <v>0</v>
      </c>
      <c r="EN42" s="22">
        <f>+DJ42</f>
        <v>0</v>
      </c>
      <c r="EO42" s="22">
        <f t="shared" ref="EO42" si="223">+DK42</f>
        <v>0</v>
      </c>
      <c r="EP42" s="22">
        <f t="shared" ref="EP42" si="224">+DL42</f>
        <v>0</v>
      </c>
      <c r="EQ42" s="22">
        <f t="shared" ref="EQ42" si="225">+DM42</f>
        <v>0</v>
      </c>
      <c r="EU42" s="67">
        <v>562.4</v>
      </c>
      <c r="EV42" s="67" t="s">
        <v>356</v>
      </c>
      <c r="EW42" s="67">
        <v>484.94</v>
      </c>
      <c r="EX42" s="67" t="s">
        <v>357</v>
      </c>
      <c r="EY42" s="67">
        <v>5637.5</v>
      </c>
      <c r="EZ42" s="67" t="s">
        <v>358</v>
      </c>
      <c r="FA42" s="67">
        <v>19919.75</v>
      </c>
      <c r="FB42" s="67" t="s">
        <v>359</v>
      </c>
      <c r="FC42" s="67" t="s">
        <v>360</v>
      </c>
      <c r="FD42" s="67" t="s">
        <v>361</v>
      </c>
      <c r="FE42" s="68" t="s">
        <v>362</v>
      </c>
      <c r="FF42" s="68" t="s">
        <v>363</v>
      </c>
    </row>
    <row r="43" spans="1:162" ht="13.5" thickBot="1" x14ac:dyDescent="0.25">
      <c r="A43" s="45" t="s">
        <v>2</v>
      </c>
      <c r="B43" s="45" t="str">
        <f>+B$2</f>
        <v>250507</v>
      </c>
      <c r="C43" s="45" t="str">
        <f>+C2</f>
        <v>250509</v>
      </c>
      <c r="D43" s="45" t="str">
        <f>+D2</f>
        <v>250516</v>
      </c>
      <c r="E43" s="45"/>
      <c r="F43" s="18" t="s">
        <v>3</v>
      </c>
      <c r="AP43" s="1" t="s">
        <v>7</v>
      </c>
      <c r="AQ43" s="1" t="s">
        <v>7</v>
      </c>
      <c r="AS43" s="22" t="s">
        <v>1</v>
      </c>
      <c r="AT43" s="22" t="s">
        <v>1</v>
      </c>
      <c r="AU43" s="22" t="s">
        <v>1</v>
      </c>
      <c r="AV43" s="22" t="s">
        <v>1</v>
      </c>
      <c r="AW43" s="22" t="s">
        <v>1</v>
      </c>
      <c r="AX43" s="25" t="s">
        <v>1</v>
      </c>
      <c r="AY43" s="23" t="s">
        <v>12</v>
      </c>
      <c r="BA43" s="22" t="s">
        <v>7</v>
      </c>
      <c r="BB43" s="22" t="s">
        <v>7</v>
      </c>
      <c r="BC43" s="22" t="s">
        <v>7</v>
      </c>
      <c r="BD43" s="22" t="s">
        <v>7</v>
      </c>
      <c r="BE43" s="22" t="s">
        <v>7</v>
      </c>
      <c r="BF43" s="25" t="s">
        <v>7</v>
      </c>
      <c r="BG43" s="23"/>
      <c r="BH43" s="23" t="s">
        <v>15</v>
      </c>
      <c r="BJ43" s="22" t="str">
        <f t="shared" ref="BJ43:BO43" si="226">+BJ2</f>
        <v>GAMMA</v>
      </c>
      <c r="BK43" s="22" t="str">
        <f t="shared" si="226"/>
        <v>GAMMA</v>
      </c>
      <c r="BL43" s="22" t="str">
        <f t="shared" si="226"/>
        <v>GAMMA</v>
      </c>
      <c r="BM43" s="22" t="str">
        <f t="shared" si="226"/>
        <v>GAMMA</v>
      </c>
      <c r="BN43" s="22" t="str">
        <f t="shared" si="226"/>
        <v>GAMMA</v>
      </c>
      <c r="BO43" s="25" t="str">
        <f t="shared" si="226"/>
        <v>GAMMA</v>
      </c>
      <c r="BQ43" s="22" t="s">
        <v>11</v>
      </c>
      <c r="BR43" s="22" t="e">
        <f ca="1">ABS(+MIN(BQ45:BQ79))</f>
        <v>#NUM!</v>
      </c>
      <c r="BS43" s="22" t="s">
        <v>11</v>
      </c>
      <c r="BT43" s="22">
        <f ca="1">ABS(+MIN(BS45:BS79))</f>
        <v>27336120.598981846</v>
      </c>
      <c r="BU43" s="22" t="s">
        <v>11</v>
      </c>
      <c r="BV43" s="25">
        <f ca="1">ABS(+MIN(BU45:BU79))</f>
        <v>68003231.600880161</v>
      </c>
      <c r="BX43" s="22" t="s">
        <v>11</v>
      </c>
      <c r="BY43" s="22"/>
      <c r="BZ43" s="22" t="s">
        <v>11</v>
      </c>
      <c r="CA43" s="22"/>
      <c r="CB43" s="22" t="s">
        <v>11</v>
      </c>
      <c r="CC43" s="25"/>
      <c r="CD43" s="22" t="str">
        <f t="shared" ref="CD43:CI43" si="227">+CD2</f>
        <v>DELTA</v>
      </c>
      <c r="CE43" s="22" t="str">
        <f t="shared" si="227"/>
        <v>DELTA</v>
      </c>
      <c r="CF43" s="22" t="str">
        <f t="shared" si="227"/>
        <v>DELTA</v>
      </c>
      <c r="CG43" s="22" t="str">
        <f t="shared" si="227"/>
        <v>DELTA</v>
      </c>
      <c r="CH43" s="22" t="str">
        <f t="shared" si="227"/>
        <v>DELTA</v>
      </c>
      <c r="CI43" s="25" t="str">
        <f t="shared" si="227"/>
        <v>DELTA</v>
      </c>
      <c r="CK43" s="22" t="s">
        <v>20</v>
      </c>
      <c r="CL43" s="22"/>
      <c r="CM43" s="22" t="s">
        <v>20</v>
      </c>
      <c r="CN43" s="22"/>
      <c r="CO43" s="22" t="s">
        <v>20</v>
      </c>
      <c r="CP43" s="25"/>
      <c r="CQ43" s="22" t="s">
        <v>16</v>
      </c>
      <c r="CR43" s="22"/>
      <c r="CS43" s="22" t="s">
        <v>16</v>
      </c>
      <c r="CT43" s="22"/>
      <c r="CU43" s="22" t="s">
        <v>16</v>
      </c>
      <c r="CV43" s="25"/>
      <c r="CW43" s="25" t="s">
        <v>11</v>
      </c>
      <c r="CX43" s="60"/>
      <c r="CY43" s="25" t="s">
        <v>11</v>
      </c>
      <c r="DA43" s="22" t="s">
        <v>25</v>
      </c>
      <c r="DB43" s="22" t="s">
        <v>25</v>
      </c>
      <c r="DC43" s="22" t="s">
        <v>27</v>
      </c>
      <c r="DD43" s="22" t="s">
        <v>27</v>
      </c>
      <c r="DE43" s="22" t="s">
        <v>26</v>
      </c>
      <c r="DF43" s="22" t="s">
        <v>26</v>
      </c>
      <c r="DH43" s="22"/>
      <c r="DI43" s="22"/>
      <c r="DJ43" s="22"/>
      <c r="DK43" s="22"/>
      <c r="DL43" s="22"/>
      <c r="DM43" s="22"/>
      <c r="DN43" s="60"/>
      <c r="DP43" s="22"/>
      <c r="DQ43" s="22"/>
      <c r="DR43" s="22"/>
      <c r="DS43" s="22"/>
      <c r="DT43" s="22"/>
      <c r="DU43" s="22"/>
      <c r="DV43" s="22"/>
      <c r="DW43" s="22"/>
      <c r="DX43" s="22"/>
      <c r="DY43" s="22"/>
      <c r="DZ43" s="22"/>
      <c r="EA43" s="22"/>
      <c r="EB43" s="22"/>
      <c r="EC43" s="22"/>
      <c r="EE43" s="22" t="str">
        <f t="shared" ref="EE43:EJ43" si="228">+EE2</f>
        <v>IMPL_VOL</v>
      </c>
      <c r="EF43" s="22" t="str">
        <f t="shared" si="228"/>
        <v>IMPL_VOL</v>
      </c>
      <c r="EG43" s="22" t="str">
        <f t="shared" si="228"/>
        <v>IMPL_VOL</v>
      </c>
      <c r="EH43" s="22" t="str">
        <f t="shared" si="228"/>
        <v>IMPL_VOL</v>
      </c>
      <c r="EI43" s="22" t="str">
        <f t="shared" si="228"/>
        <v>IMPL_VOL</v>
      </c>
      <c r="EJ43" s="22" t="str">
        <f t="shared" si="228"/>
        <v>IMPL_VOL</v>
      </c>
      <c r="EL43" s="22" t="str">
        <f t="shared" ref="EL43:EQ43" si="229">+EL2</f>
        <v>IMPL_VOL</v>
      </c>
      <c r="EM43" s="22" t="str">
        <f t="shared" si="229"/>
        <v>IMPL_VOL</v>
      </c>
      <c r="EN43" s="22" t="str">
        <f t="shared" si="229"/>
        <v>IMPL_VOL</v>
      </c>
      <c r="EO43" s="22" t="str">
        <f t="shared" si="229"/>
        <v>IMPL_VOL</v>
      </c>
      <c r="EP43" s="22" t="str">
        <f t="shared" si="229"/>
        <v>IMPL_VOL</v>
      </c>
      <c r="EQ43" s="22" t="str">
        <f t="shared" si="229"/>
        <v>IMPL_VOL</v>
      </c>
      <c r="EU43" s="67">
        <v>562.38</v>
      </c>
      <c r="EV43" s="67" t="s">
        <v>364</v>
      </c>
      <c r="EW43" s="67">
        <v>484.91</v>
      </c>
      <c r="EX43" s="67" t="s">
        <v>365</v>
      </c>
      <c r="EY43" s="67">
        <v>5637.75</v>
      </c>
      <c r="EZ43" s="67" t="s">
        <v>366</v>
      </c>
      <c r="FA43" s="67">
        <v>19918.5</v>
      </c>
      <c r="FB43" s="67" t="s">
        <v>367</v>
      </c>
      <c r="FC43" s="67" t="s">
        <v>368</v>
      </c>
      <c r="FD43" s="67" t="s">
        <v>369</v>
      </c>
      <c r="FE43" s="68" t="s">
        <v>370</v>
      </c>
      <c r="FF43" s="68" t="s">
        <v>371</v>
      </c>
    </row>
    <row r="44" spans="1:162" ht="13.5" thickBot="1" x14ac:dyDescent="0.25">
      <c r="A44" s="46">
        <f>RTD("tos.rtd", ,"MARK", A43)</f>
        <v>486.85</v>
      </c>
      <c r="B44" s="27">
        <f>+AS44/AT44</f>
        <v>-1.3268778725046486</v>
      </c>
      <c r="C44" s="27">
        <f>+AU44/AV44</f>
        <v>-1.2182254196642686</v>
      </c>
      <c r="D44" s="27">
        <f>+AW44/AX44</f>
        <v>-2.6019223633761506</v>
      </c>
      <c r="E44" s="28">
        <v>0</v>
      </c>
      <c r="F44" s="47">
        <f>RTD("tos.rtd", ,"MARK", F43)</f>
        <v>20096</v>
      </c>
      <c r="G44" s="48" t="e">
        <f>RTD("tos.rtd", ,"MARK", G43)</f>
        <v>#N/A</v>
      </c>
      <c r="AO44" s="1">
        <v>0</v>
      </c>
      <c r="AP44" s="1">
        <v>1175670</v>
      </c>
      <c r="AQ44" s="1">
        <v>-1061766</v>
      </c>
      <c r="AS44" s="13">
        <f t="shared" ref="AS44:AY44" si="230">SUM(AS45:AS79)</f>
        <v>75640</v>
      </c>
      <c r="AT44" s="29">
        <f t="shared" si="230"/>
        <v>-57006</v>
      </c>
      <c r="AU44" s="13">
        <f t="shared" si="230"/>
        <v>78740</v>
      </c>
      <c r="AV44" s="29">
        <f t="shared" si="230"/>
        <v>-64635</v>
      </c>
      <c r="AW44" s="13">
        <f t="shared" si="230"/>
        <v>294522</v>
      </c>
      <c r="AX44" s="29">
        <f t="shared" si="230"/>
        <v>-113194</v>
      </c>
      <c r="AY44" s="29">
        <f t="shared" si="230"/>
        <v>214067</v>
      </c>
      <c r="AZ44" s="1">
        <v>0</v>
      </c>
      <c r="BA44" s="13">
        <f t="shared" ref="BA44:BH44" si="231">SUM(BA45:BA79)</f>
        <v>1176770</v>
      </c>
      <c r="BB44" s="29">
        <f t="shared" si="231"/>
        <v>-1062014</v>
      </c>
      <c r="BC44" s="13">
        <f t="shared" si="231"/>
        <v>148242</v>
      </c>
      <c r="BD44" s="29">
        <f t="shared" si="231"/>
        <v>-126288</v>
      </c>
      <c r="BE44" s="13">
        <f t="shared" si="231"/>
        <v>45078</v>
      </c>
      <c r="BF44" s="29">
        <f t="shared" si="231"/>
        <v>-58153</v>
      </c>
      <c r="BG44" s="29"/>
      <c r="BH44" s="29">
        <f t="shared" ca="1" si="231"/>
        <v>124164</v>
      </c>
      <c r="BJ44" s="30" t="e">
        <f t="shared" ref="BJ44:BO44" ca="1" si="232">SUM(BJ45:BJ79)</f>
        <v>#NUM!</v>
      </c>
      <c r="BK44" s="31" t="e">
        <f t="shared" ca="1" si="232"/>
        <v>#NUM!</v>
      </c>
      <c r="BL44" s="30">
        <f t="shared" ca="1" si="232"/>
        <v>1.0389298758880383</v>
      </c>
      <c r="BM44" s="31">
        <f t="shared" ca="1" si="232"/>
        <v>-0.69288269041246164</v>
      </c>
      <c r="BN44" s="30">
        <f t="shared" ca="1" si="232"/>
        <v>0.93101881576569523</v>
      </c>
      <c r="BO44" s="31">
        <f t="shared" ca="1" si="232"/>
        <v>-0.85092333243543394</v>
      </c>
      <c r="BQ44" s="30" t="e">
        <f ca="1">SUM(BQ45:BQ79)</f>
        <v>#NUM!</v>
      </c>
      <c r="BR44" s="31"/>
      <c r="BS44" s="30">
        <f ca="1">SUM(BS45:BS79)</f>
        <v>316502024.39543283</v>
      </c>
      <c r="BT44" s="31"/>
      <c r="BU44" s="30">
        <f ca="1">SUM(BU45:BU79)</f>
        <v>1265050064.0361927</v>
      </c>
      <c r="BV44" s="31"/>
      <c r="BW44" s="69"/>
      <c r="BX44" s="30" t="e">
        <f ca="1">SUM(BX45:BX79)</f>
        <v>#NUM!</v>
      </c>
      <c r="BY44" s="31"/>
      <c r="BZ44" s="30">
        <f ca="1">SUM(BZ45:BZ79)</f>
        <v>898773027.69139814</v>
      </c>
      <c r="CA44" s="31"/>
      <c r="CB44" s="30">
        <f ca="1">SUM(CB45:CB79)</f>
        <v>32407644.019337613</v>
      </c>
      <c r="CC44" s="31"/>
      <c r="CD44" s="30">
        <f t="shared" ref="CD44:CI44" si="233">SUM(CD45:CD79)</f>
        <v>19.18</v>
      </c>
      <c r="CE44" s="31">
        <f t="shared" si="233"/>
        <v>11.659999999999998</v>
      </c>
      <c r="CF44" s="30">
        <f t="shared" si="233"/>
        <v>20.7</v>
      </c>
      <c r="CG44" s="31">
        <f t="shared" si="233"/>
        <v>14.850000000000001</v>
      </c>
      <c r="CH44" s="30">
        <f t="shared" si="233"/>
        <v>19.98</v>
      </c>
      <c r="CI44" s="31">
        <f t="shared" si="233"/>
        <v>15.82</v>
      </c>
      <c r="CK44" s="30">
        <f>SUM(CK45:CK79)</f>
        <v>2139933</v>
      </c>
      <c r="CL44" s="31"/>
      <c r="CM44" s="30">
        <f>SUM(CM45:CM79)</f>
        <v>2341870</v>
      </c>
      <c r="CN44" s="31"/>
      <c r="CO44" s="30">
        <f>SUM(CO45:CO79)</f>
        <v>11247094</v>
      </c>
      <c r="CP44" s="31">
        <f t="shared" ref="CP44:CP79" si="234">+CK44+CM44+CO44</f>
        <v>15728897</v>
      </c>
      <c r="CQ44" s="30">
        <f>SUM(CQ45:CQ79)</f>
        <v>114756</v>
      </c>
      <c r="CR44" s="31"/>
      <c r="CS44" s="30">
        <f>SUM(CS45:CS79)</f>
        <v>21954</v>
      </c>
      <c r="CT44" s="31"/>
      <c r="CU44" s="30">
        <f>SUM(CU45:CU79)</f>
        <v>-13075</v>
      </c>
      <c r="CV44" s="31"/>
      <c r="CW44" s="31" t="e">
        <f ca="1">SUM(CW45:CW79)</f>
        <v>#NUM!</v>
      </c>
      <c r="CY44" s="31" t="e">
        <f ca="1">SUM(CY45:CY79)</f>
        <v>#NUM!</v>
      </c>
      <c r="DA44" s="30">
        <f t="shared" ref="DA44:DB44" si="235">SUM(DA45:DA79)</f>
        <v>116.92999999999999</v>
      </c>
      <c r="DB44" s="31">
        <f t="shared" si="235"/>
        <v>205.56999999999991</v>
      </c>
      <c r="DC44" s="30">
        <f t="shared" ref="DC44:DF44" si="236">SUM(DC45:DC79)</f>
        <v>158.76</v>
      </c>
      <c r="DD44" s="31">
        <f t="shared" si="236"/>
        <v>207.92999999999986</v>
      </c>
      <c r="DE44" s="30">
        <f t="shared" si="236"/>
        <v>115.44999999999997</v>
      </c>
      <c r="DF44" s="30">
        <f t="shared" si="236"/>
        <v>146.54000000000002</v>
      </c>
      <c r="DG44" s="64">
        <v>750</v>
      </c>
      <c r="DH44" s="30">
        <f t="shared" ref="DH44:DM44" si="237">SUM(DH45:DH79)</f>
        <v>-36.166158061656816</v>
      </c>
      <c r="DI44" s="31">
        <f t="shared" si="237"/>
        <v>-152.93442622950818</v>
      </c>
      <c r="DJ44" s="30">
        <f t="shared" si="237"/>
        <v>-1040</v>
      </c>
      <c r="DK44" s="31">
        <f t="shared" si="237"/>
        <v>-70</v>
      </c>
      <c r="DL44" s="30">
        <f t="shared" si="237"/>
        <v>-189.10058429116498</v>
      </c>
      <c r="DM44" s="30">
        <f t="shared" si="237"/>
        <v>-1110</v>
      </c>
      <c r="DP44" s="30">
        <f>SUM(DP45:DP79)</f>
        <v>8.012499829824252</v>
      </c>
      <c r="DQ44" s="31">
        <f>SUM(DQ45:DQ79)</f>
        <v>-197.65</v>
      </c>
      <c r="DR44" s="30" t="e">
        <f ca="1">SUM(DR45:DR79)</f>
        <v>#NUM!</v>
      </c>
      <c r="DS44" s="31">
        <f>SUM(DS45:DS79)</f>
        <v>-1051.8699999999999</v>
      </c>
      <c r="DT44" s="30"/>
      <c r="DU44" s="30"/>
      <c r="DV44" s="30"/>
      <c r="DW44" s="31"/>
      <c r="DX44" s="30"/>
      <c r="DY44" s="31"/>
      <c r="DZ44" s="30"/>
      <c r="EA44" s="31"/>
      <c r="EB44" s="30"/>
      <c r="EC44" s="30"/>
      <c r="EE44" s="30">
        <f t="shared" ref="EE44:EJ44" si="238">SUM(EE45:EE79)</f>
        <v>17.386099999999999</v>
      </c>
      <c r="EF44" s="31">
        <f t="shared" si="238"/>
        <v>89.745900000000006</v>
      </c>
      <c r="EG44" s="30">
        <f t="shared" si="238"/>
        <v>7.8109000000000002</v>
      </c>
      <c r="EH44" s="31">
        <f t="shared" si="238"/>
        <v>15.192299999999998</v>
      </c>
      <c r="EI44" s="30">
        <f t="shared" si="238"/>
        <v>6.3969999999999994</v>
      </c>
      <c r="EJ44" s="30">
        <f t="shared" si="238"/>
        <v>10.702600000000002</v>
      </c>
      <c r="EL44" s="30">
        <f t="shared" ref="EL44:EQ44" si="239">SUM(EL45:EL79)</f>
        <v>0</v>
      </c>
      <c r="EM44" s="31">
        <f t="shared" si="239"/>
        <v>0</v>
      </c>
      <c r="EN44" s="30">
        <f t="shared" si="239"/>
        <v>0</v>
      </c>
      <c r="EO44" s="31">
        <f t="shared" si="239"/>
        <v>0</v>
      </c>
      <c r="EP44" s="30">
        <f t="shared" si="239"/>
        <v>0</v>
      </c>
      <c r="EQ44" s="30">
        <f t="shared" si="239"/>
        <v>0</v>
      </c>
      <c r="EU44" s="67">
        <v>562.41</v>
      </c>
      <c r="EV44" s="67" t="s">
        <v>372</v>
      </c>
      <c r="EW44" s="67">
        <v>484.9</v>
      </c>
      <c r="EX44" s="67" t="s">
        <v>373</v>
      </c>
      <c r="EY44" s="67">
        <v>5637.75</v>
      </c>
      <c r="EZ44" s="67" t="s">
        <v>374</v>
      </c>
      <c r="FA44" s="67">
        <v>19918.75</v>
      </c>
      <c r="FB44" s="67" t="s">
        <v>375</v>
      </c>
      <c r="FC44" s="67" t="s">
        <v>376</v>
      </c>
      <c r="FD44" s="67" t="s">
        <v>377</v>
      </c>
      <c r="FE44" s="68" t="s">
        <v>378</v>
      </c>
      <c r="FF44" s="68" t="s">
        <v>379</v>
      </c>
    </row>
    <row r="45" spans="1:162" ht="13.5" thickBot="1" x14ac:dyDescent="0.25">
      <c r="A45" s="2">
        <f>ROUND(485/$A$39,0)*$A$39+17*$A$39</f>
        <v>502</v>
      </c>
      <c r="B45" s="3">
        <f t="shared" ref="B45:B79" si="240">+IF($A$1="ABS",AS45-AT45,AS45+AT45)</f>
        <v>555</v>
      </c>
      <c r="C45" s="3">
        <f t="shared" ref="C45:C71" si="241">+IF($A$1="ABS",AU45-AV45,AU45+AV45)</f>
        <v>864</v>
      </c>
      <c r="D45" s="3">
        <f t="shared" ref="D45:D79" si="242">+IF($A$1="ABS",AW45-AX45,AW45+AX45)</f>
        <v>3181</v>
      </c>
      <c r="E45" s="3">
        <f t="shared" ref="E45:E79" si="243">SUM(B45:D45)</f>
        <v>4600</v>
      </c>
      <c r="F45" s="4">
        <f>+$F$44/$A$44*A45</f>
        <v>20721.355653692102</v>
      </c>
      <c r="AM45" s="1">
        <v>1688</v>
      </c>
      <c r="AN45" s="1">
        <v>-66</v>
      </c>
      <c r="AO45" s="1">
        <v>502</v>
      </c>
      <c r="AP45" s="1">
        <v>4614</v>
      </c>
      <c r="AQ45" s="1">
        <v>-68</v>
      </c>
      <c r="AS45" s="30">
        <f>IF(RTD("tos.rtd",,AS$43,"."&amp;$A$43&amp;$AS$42&amp;"C"&amp;$A45)="N/A",0,RTD("tos.rtd",,AS$43,"."&amp;$A$43&amp;$AS$42&amp;"C"&amp;$A45))</f>
        <v>545</v>
      </c>
      <c r="AT45" s="31">
        <f>-IF(RTD("tos.rtd",,AT$43,"."&amp;$A$43&amp;$AS$42&amp;"P"&amp;$A45)="N/A",0,RTD("tos.rtd",,AT$43,"."&amp;$A$43&amp;$AS$42&amp;"P"&amp;$A45))</f>
        <v>-10</v>
      </c>
      <c r="AU45" s="30">
        <f>IF(RTD("tos.rtd",,AU$2,"."&amp;$A$43&amp;$AU$1&amp;"C"&amp;$A45)="N/A",0,RTD("tos.rtd",,AU$2,"."&amp;$A$43&amp;$AU$1&amp;"C"&amp;$A45))</f>
        <v>861</v>
      </c>
      <c r="AV45" s="31">
        <f>-IF(RTD("tos.rtd",,AV$2,"."&amp;$A$43&amp;$AU$1&amp;"P"&amp;$A45)="N/A",0,RTD("tos.rtd",,AV$2,"."&amp;$A$43&amp;$AU$1&amp;"P"&amp;$A45))</f>
        <v>-3</v>
      </c>
      <c r="AW45" s="30">
        <f>IF(RTD("tos.rtd",,AW$2,"."&amp;$A$43&amp;$AW$1&amp;"C"&amp;$A45)="N/A",0,RTD("tos.rtd",,AW$2,"."&amp;$A$43&amp;$AW$1&amp;"C"&amp;$A45))</f>
        <v>3079</v>
      </c>
      <c r="AX45" s="31">
        <f>-IF(RTD("tos.rtd",,AX$2,"."&amp;$A$43&amp;$AW$1&amp;"P"&amp;$A45)="N/A",0,RTD("tos.rtd",,AX$2,"."&amp;$A$43&amp;$AW$1&amp;"P"&amp;$A45))</f>
        <v>-102</v>
      </c>
      <c r="AY45" s="31">
        <f>SUM(AS45:AX45)</f>
        <v>4370</v>
      </c>
      <c r="AZ45" s="8">
        <f t="shared" ref="AZ45:AZ79" si="244">+A45</f>
        <v>502</v>
      </c>
      <c r="BA45" s="30">
        <f>IF(RTD("tos.rtd",,BA$43,"."&amp;$A$43&amp;$AS$42&amp;"C"&amp;$A45)="N/A",0,RTD("tos.rtd",,BA$43,"."&amp;$A$43&amp;$AS$42&amp;"C"&amp;$A45))</f>
        <v>4614</v>
      </c>
      <c r="BB45" s="31">
        <f>-IF(RTD("tos.rtd",,BB$43,"."&amp;$A$43&amp;$AS$42&amp;"P"&amp;$A45)="N/A",0,RTD("tos.rtd",,BB$43,"."&amp;$A$43&amp;$AS$42&amp;"P"&amp;$A45))</f>
        <v>-68</v>
      </c>
      <c r="BC45" s="30">
        <f>IF(RTD("tos.rtd",,BC$2,"."&amp;$A$43&amp;$AU$1&amp;"C"&amp;$A45)="N/A",0,RTD("tos.rtd",,BC$2,"."&amp;$A$43&amp;$AU$1&amp;"C"&amp;$A45))</f>
        <v>344</v>
      </c>
      <c r="BD45" s="31">
        <f>-IF(RTD("tos.rtd",,BD$2,"."&amp;$A$43&amp;$AU$1&amp;"P"&amp;$A45)="N/A",0,RTD("tos.rtd",,BD$2,"."&amp;$A$43&amp;$AU$1&amp;"P"&amp;$A45))</f>
        <v>0</v>
      </c>
      <c r="BE45" s="30">
        <f>IF(RTD("tos.rtd",,BE$2,"."&amp;$A$43&amp;$AW$1&amp;"C"&amp;$A45)="N/A",0,RTD("tos.rtd",,BE$2,"."&amp;$A$43&amp;$AW$1&amp;"C"&amp;$A45))</f>
        <v>366</v>
      </c>
      <c r="BF45" s="31">
        <f>-IF(RTD("tos.rtd",,BF$2,"."&amp;$A$43&amp;$AW$1&amp;"P"&amp;$A45)="N/A",0,RTD("tos.rtd",,BF$2,"."&amp;$A$43&amp;$AW$1&amp;"P"&amp;$A45))</f>
        <v>-24</v>
      </c>
      <c r="BG45" s="32">
        <f ca="1">+Hoja2!Y46</f>
        <v>174</v>
      </c>
      <c r="BH45" s="31">
        <f ca="1">SUM(BA45:BG45)</f>
        <v>5406</v>
      </c>
      <c r="BI45" s="8"/>
      <c r="BJ45" s="83" t="e">
        <f ca="1">IF($BP$1=1,DX45,IF(RTD("tos.rtd",,BJ$43,"."&amp;$A$43&amp;$AS$42&amp;"C"&amp;$A45)="N/A",0,RTD("tos.rtd",,BJ$43,"."&amp;$A$43&amp;$AS$42&amp;"C"&amp;$A45)))</f>
        <v>#NUM!</v>
      </c>
      <c r="BK45" s="83" t="e">
        <f ca="1">IF($BP$1=1,DY45,-IF(RTD("tos.rtd",,BK$43,"."&amp;$A$43&amp;$AS$42&amp;"P"&amp;$A45)="N/A",0,RTD("tos.rtd",,BK$43,"."&amp;$A$43&amp;$AS$42&amp;"P"&amp;$A45)))</f>
        <v>#NUM!</v>
      </c>
      <c r="BL45" s="83">
        <f ca="1">IF($BP$1=1,DZ45,IF(RTD("tos.rtd",,BL$2,"."&amp;$A$43&amp;$AU$1&amp;"C"&amp;$A45)="N/A",0,RTD("tos.rtd",,BL$2,"."&amp;$A$43&amp;$AU$1&amp;"C"&amp;$A45)))</f>
        <v>1.3484652693382618E-2</v>
      </c>
      <c r="BM45" s="83">
        <f ca="1">IF($BP$1=1,EA45,-IF(RTD("tos.rtd",,BM$2,"."&amp;$A$43&amp;$AU$1&amp;"P"&amp;$A45)="N/A",0,RTD("tos.rtd",,BM$2,"."&amp;$A$43&amp;$AU$1&amp;"P"&amp;$A45)))</f>
        <v>-1.3676165885335344E-2</v>
      </c>
      <c r="BN45" s="83">
        <f ca="1">IF($BP$1=1,EB45,IF(RTD("tos.rtd",,BN$2,"."&amp;$A$43&amp;$AW$1&amp;"C"&amp;$A45)="N/A",0,RTD("tos.rtd",,BN$2,"."&amp;$A$43&amp;$AW$1&amp;"C"&amp;$A45)))</f>
        <v>8.9849833708399544E-3</v>
      </c>
      <c r="BO45" s="83">
        <f ca="1">IF($BP$1=1,EC45,-IF(RTD("tos.rtd",,BO$2,"."&amp;$A$43&amp;$AW$1&amp;"P"&amp;$A45)="N/A",0,RTD("tos.rtd",,BO$2,"."&amp;$A$43&amp;$AW$1&amp;"P"&amp;$A45)))</f>
        <v>-1.6378453235680983E-2</v>
      </c>
      <c r="BQ45" s="83" t="e">
        <f ca="1">+$A$44*$A$44*AS45*BJ45-$A$44*$A$44*AT45*BK45</f>
        <v>#NUM!</v>
      </c>
      <c r="BR45" s="83"/>
      <c r="BS45" s="83">
        <f ca="1">+$A$44*$A$44*AU45*BL45-$A$44*$A$44*AV45*BM45</f>
        <v>2742179.2170134904</v>
      </c>
      <c r="BT45" s="83"/>
      <c r="BU45" s="83">
        <f ca="1">+$A$44*$A$44*AW45*BN45-$A$44*$A$44*AX45*BO45</f>
        <v>6161212.1429686528</v>
      </c>
      <c r="BV45" s="83"/>
      <c r="BX45" s="83" t="e">
        <f t="shared" ref="BX45" ca="1" si="245">+$A$44*$A$44*BA45*BJ45-$A$44*$A$44*BB45*BK45</f>
        <v>#NUM!</v>
      </c>
      <c r="BY45" s="83"/>
      <c r="BZ45" s="83">
        <f t="shared" ref="BZ45" ca="1" si="246">+$A$44*$A$44*BC45*BL45-$A$44*$A$44*BD45*BM45</f>
        <v>1099483.0958573674</v>
      </c>
      <c r="CA45" s="83"/>
      <c r="CB45" s="83">
        <f t="shared" ref="CB45" ca="1" si="247">+$A$44*$A$44*BE45*BN45-$A$44*$A$44*BF45*BO45</f>
        <v>686281.15583754529</v>
      </c>
      <c r="CC45" s="83"/>
      <c r="CD45" s="83">
        <f>IF(RTD("tos.rtd",,CD$43,"."&amp;$A$43&amp;$AS$42&amp;"C"&amp;$A45)="N/A",0,RTD("tos.rtd",,CD$43,"."&amp;$A$43&amp;$AS$42&amp;"C"&amp;$A45))</f>
        <v>0</v>
      </c>
      <c r="CE45" s="83">
        <f>-IF(RTD("tos.rtd",,CE$43,"."&amp;$A$43&amp;$AS$42&amp;"P"&amp;$A45)="N/A",0,RTD("tos.rtd",,CE$43,"."&amp;$A$43&amp;$AS$42&amp;"P"&amp;$A45))</f>
        <v>0.75</v>
      </c>
      <c r="CF45" s="83">
        <f>IF(RTD("tos.rtd",,CF$2,"."&amp;$A$43&amp;$AU$1&amp;"C"&amp;$A45)="N/A",0,RTD("tos.rtd",,CF$2,"."&amp;$A$43&amp;$AU$1&amp;"C"&amp;$A45))</f>
        <v>0.04</v>
      </c>
      <c r="CG45" s="83">
        <f>-IF(RTD("tos.rtd",,CG$2,"."&amp;$A$43&amp;$AU$1&amp;"P"&amp;$A45)="N/A",0,RTD("tos.rtd",,CG$2,"."&amp;$A$43&amp;$AU$1&amp;"P"&amp;$A45))</f>
        <v>0.75</v>
      </c>
      <c r="CH45" s="83">
        <f>IF(RTD("tos.rtd",,CH$2,"."&amp;$A$43&amp;$AW$1&amp;"C"&amp;$A45)="N/A",0,RTD("tos.rtd",,CH$2,"."&amp;$A$43&amp;$AW$1&amp;"C"&amp;$A45))</f>
        <v>0.17</v>
      </c>
      <c r="CI45" s="83">
        <f>-IF(RTD("tos.rtd",,CI$2,"."&amp;$A$43&amp;$AW$1&amp;"P"&amp;$A45)="N/A",0,RTD("tos.rtd",,CI$2,"."&amp;$A$43&amp;$AW$1&amp;"P"&amp;$A45))</f>
        <v>0.71</v>
      </c>
      <c r="CK45" s="83">
        <f>+AS45*CD45*100+AT45*CE45*100</f>
        <v>-750</v>
      </c>
      <c r="CL45" s="83"/>
      <c r="CM45" s="83">
        <f>+AU45*CF45*100+AV45*CG45*100</f>
        <v>3219</v>
      </c>
      <c r="CN45" s="83"/>
      <c r="CO45" s="83">
        <f>+AW45*CH45*100+AX45*CI45*100</f>
        <v>45101.000000000007</v>
      </c>
      <c r="CP45" s="83">
        <f t="shared" si="234"/>
        <v>47570.000000000007</v>
      </c>
      <c r="CQ45" s="83">
        <f t="shared" ref="CQ45:CQ79" si="248">+BA45+BB45</f>
        <v>4546</v>
      </c>
      <c r="CR45" s="83"/>
      <c r="CS45" s="83">
        <f t="shared" ref="CS45:CS79" si="249">+BC45+BD45</f>
        <v>344</v>
      </c>
      <c r="CT45" s="83"/>
      <c r="CU45" s="83">
        <f t="shared" ref="CU45:CU79" si="250">+BE45+BF45</f>
        <v>342</v>
      </c>
      <c r="CV45" s="83"/>
      <c r="CW45" s="83" t="e">
        <f t="shared" ref="CW45:CW79" ca="1" si="251">+BQ45+BS45+BU45</f>
        <v>#NUM!</v>
      </c>
      <c r="CY45" s="83" t="e">
        <f t="shared" ref="CY45:CY79" ca="1" si="252">+BX45+BZ45+CB45</f>
        <v>#NUM!</v>
      </c>
      <c r="CZ45" s="70"/>
      <c r="DA45" s="83">
        <f>IF(RTD("tos.rtd",,DA$43,"."&amp;$A$43&amp;$AS$42&amp;"C"&amp;$A45)="N/A",0,RTD("tos.rtd",,DA$43,"."&amp;$A$43&amp;$AS$42&amp;"C"&amp;$A45))</f>
        <v>0.01</v>
      </c>
      <c r="DB45" s="83">
        <f>IF(RTD("tos.rtd",,DB$43,"."&amp;$A$43&amp;$AS$42&amp;"P"&amp;$A45)="N/A",0,RTD("tos.rtd",,DB$43,"."&amp;$A$43&amp;$AS$42&amp;"P"&amp;$A45))</f>
        <v>23.75</v>
      </c>
      <c r="DC45" s="83">
        <f>IF(RTD("tos.rtd",,DC$43,"."&amp;$A$43&amp;$AS$42&amp;"C"&amp;$A45)="N/A",0,RTD("tos.rtd",,DC$43,"."&amp;$A$43&amp;$AS$42&amp;"C"&amp;$A45))</f>
        <v>0.01</v>
      </c>
      <c r="DD45" s="83">
        <f>IF(RTD("tos.rtd",,DD$43,"."&amp;$A$43&amp;$AS$42&amp;"P"&amp;$A45)="N/A",0,RTD("tos.rtd",,DD$43,"."&amp;$A$43&amp;$AS$42&amp;"P"&amp;$A45))</f>
        <v>20.100000000000001</v>
      </c>
      <c r="DE45" s="83">
        <f>IF(RTD("tos.rtd",,DE$43,"."&amp;$A$43&amp;$AS$42&amp;"C"&amp;$A45)="N/A",0,RTD("tos.rtd",,DE$43,"."&amp;$A$43&amp;$AS$42&amp;"C"&amp;$A45))</f>
        <v>0</v>
      </c>
      <c r="DF45" s="83">
        <f>IF(RTD("tos.rtd",,DF$43,"."&amp;$A$43&amp;$AS$42&amp;"P"&amp;$A45)="N/A",0,RTD("tos.rtd",,DF$43,"."&amp;$A$43&amp;$AS$42&amp;"P"&amp;$A45))</f>
        <v>16.440000000000001</v>
      </c>
      <c r="DG45" s="86">
        <f>+$A45-$A$44</f>
        <v>15.149999999999977</v>
      </c>
      <c r="DH45" s="83">
        <f t="shared" ref="DH45:DH79" si="253">((DA45-DE45)/(DC45-DE45))*(BA45-AP45)</f>
        <v>0</v>
      </c>
      <c r="DI45" s="83">
        <f t="shared" ref="DI45:DI79" si="254">((DB45-DF45)/(DD45-DF45))*(BB45-AQ45)</f>
        <v>0</v>
      </c>
      <c r="DJ45" s="83">
        <f t="shared" ref="DJ45:DJ79" si="255">IF(DA45&gt;=(DE45+(DC45-DE45)*0.6),(BA45-AP45),IF(DA45&lt;=(DE45+(DC45-DE45)*0.4),-(BA45-AP45),0))</f>
        <v>0</v>
      </c>
      <c r="DK45" s="83">
        <f t="shared" ref="DK45:DK79" si="256">IF(DB45&lt;=(DF45+(DD45-DF45)*0.4),-(BB45-AQ45),IF(DB45&gt;=(DF45+(DD45-DF45)*0.6),(BB45-AQ45),0))</f>
        <v>0</v>
      </c>
      <c r="DL45" s="83">
        <f t="shared" ref="DL45:DL79" si="257">+DH45+DI45</f>
        <v>0</v>
      </c>
      <c r="DM45" s="83">
        <f t="shared" ref="DM45:DM79" si="258">+DJ45+DK45</f>
        <v>0</v>
      </c>
      <c r="DN45" s="64" t="str">
        <f t="shared" ref="DN45:DN79" si="259">IF(AND(DA45&gt;=(DE45+(DC45-DE45)*0.6),BA45&gt;AP45),"BUY",IF(AND(DA45&lt;=(DE45+(DC45-DE45)*0.4),BA45&gt;AP45),"SELL","UNKNOWN"))</f>
        <v>UNKNOWN</v>
      </c>
      <c r="DO45" s="64" t="str">
        <f t="shared" ref="DO45:DO79" si="260">IF(AND(DB45&gt;=(DF45+(DD45-DF45)*0.6),ABS(BB45)&gt;ABS(AQ45)),"BUY",IF(AND(DB45&lt;=(DF45+(DD45-DF45)*0.4),ABS(BB45)&gt;ABS(AQ45)),"SELL","UNKNOWN"))</f>
        <v>UNKNOWN</v>
      </c>
      <c r="DP45" s="83">
        <f t="shared" ref="DP45:DP79" si="261">+DH45*DA45+DI45*DB45</f>
        <v>0</v>
      </c>
      <c r="DQ45" s="83">
        <f t="shared" ref="DQ45:DQ79" si="262">+DA45*DJ45+DB45*DK45</f>
        <v>0</v>
      </c>
      <c r="DR45" s="83" t="e">
        <f t="shared" ref="DR45:DR79" ca="1" si="263">+BJ45*DJ45+BK45*DK45</f>
        <v>#NUM!</v>
      </c>
      <c r="DS45" s="83">
        <f t="shared" ref="DS45:DS79" si="264">+CD45*DJ45+CE45*DK45</f>
        <v>0</v>
      </c>
      <c r="DT45" s="83">
        <f>BA45-VLOOKUP(AZ45,$AO$45:$AQ$79,2,FALSE)</f>
        <v>0</v>
      </c>
      <c r="DU45" s="83">
        <f>BB45-VLOOKUP(AZ45,$AO$45:$AQ$79,3,FALSE)</f>
        <v>0</v>
      </c>
      <c r="DV45" s="83">
        <f t="shared" ref="DV45:DV79" si="265">AM45+IF(DN45="BUY",DT45,IF(DN45="SELL",-DT45,0))</f>
        <v>1688</v>
      </c>
      <c r="DW45" s="83">
        <f t="shared" ref="DW45:DW79" si="266">AN45+IF(DO45="BUY",DU45,IF(DO45="SELL",-DU45,0))</f>
        <v>-66</v>
      </c>
      <c r="DX45" s="83" t="e">
        <f ca="1">(EXP(-POWER((LN($A$44/$A45)+($EC$1+POWER($EE45,2)/2)*($EM$1/$DY$1))/($EE45*SQRT($EM$1/$DY$1)),2)/2)/SQRT(2*PI())/($A$44*$EE45*SQRT($EM$1/$DY$1)))</f>
        <v>#NUM!</v>
      </c>
      <c r="DY45" s="83" t="e">
        <f ca="1">-(EXP(-POWER((LN($A$44/$A45)+($EC$1+POWER($EF45,2)/2)*($EM$1/$DY$1))/($EF45*SQRT($EM$1/$DY$1)),2)/2)/SQRT(2*PI())/($A$44*$EF45*SQRT($EM$1/$DY$1)))</f>
        <v>#NUM!</v>
      </c>
      <c r="DZ45" s="83">
        <f ca="1">(EXP(-POWER((LN($A$44/$A45)+($EC$1+POWER($EG45,2)/2)*($EO$1/$DY$1))/($EG45*SQRT($EO$1/$DY$1)),2)/2)/SQRT(2*PI())/($A$44*$EG45*SQRT($EO$1/$DY$1)))</f>
        <v>1.3484652693382618E-2</v>
      </c>
      <c r="EA45" s="83">
        <f ca="1">-(EXP(-POWER((LN($A$44/$A45)+($EC$1+POWER($EH45,2)/2)*($EO$1/$DY$1))/($EH45*SQRT($EO$1/$DY$1)),2)/2)/SQRT(2*PI())/($A$44*$EH45*SQRT($EO$1/$DY$1)))</f>
        <v>-1.3676165885335344E-2</v>
      </c>
      <c r="EB45" s="83">
        <f ca="1">(EXP(-POWER((LN($A$44/$A45)+($EC$1+POWER($EI45,2)/2)*($EO$1/$DY$1))/($EI45*SQRT($EO$1/$DY$1)),2)/2)/SQRT(2*PI())/($A$44*$EI45*SQRT($EO$1/$DY$1)))</f>
        <v>8.9849833708399544E-3</v>
      </c>
      <c r="EC45" s="83">
        <f ca="1">-(EXP(-POWER((LN($A$44/$A45)+($EC$1+POWER($EJ45,2)/2)*($EO$1/$DY$1))/($EJ45*SQRT($EO$1/$DY$1)),2)/2)/SQRT(2*PI())/($A$44*$EJ45*SQRT($EO$1/$DY$1)))</f>
        <v>-1.6378453235680983E-2</v>
      </c>
      <c r="ED45" s="63">
        <f>+DV45+DW45</f>
        <v>1622</v>
      </c>
      <c r="EE45" s="84">
        <f t="shared" ref="EE45:EE79" si="267">IFERROR(VALUE(IF(OR(EL45="--",EL45="0.00%"),$EE$1,EL45)),$EE$1)</f>
        <v>1.4766999999999999</v>
      </c>
      <c r="EF45" s="84">
        <f t="shared" ref="EF45:EF79" si="268">IFERROR(VALUE(IF(OR(EM45="--",EM45="0.00%"),$EE$1,EM45)),$EE$1)</f>
        <v>5.8257000000000003</v>
      </c>
      <c r="EG45" s="84">
        <f t="shared" ref="EG45:EG79" si="269">IFERROR(VALUE(IF(OR(EN45="--",EN45="0.00%"),$EE$1,EN45)),$EE$1)</f>
        <v>0.25009999999999999</v>
      </c>
      <c r="EH45" s="84">
        <f t="shared" ref="EH45:EH79" si="270">IFERROR(VALUE(IF(OR(EO45="--",EO45="0.00%"),$EE$1,EO45)),$EE$1)</f>
        <v>0.62350000000000005</v>
      </c>
      <c r="EI45" s="84">
        <f t="shared" ref="EI45:EI79" si="271">IFERROR(VALUE(IF(OR(EP45="--",EP45="0.00%"),$EE$1,EP45)),$EE$1)</f>
        <v>0.19950000000000001</v>
      </c>
      <c r="EJ45" s="84">
        <f t="shared" ref="EJ45:EJ79" si="272">IFERROR(VALUE(IF(OR(EQ45="--",EQ45="0.00%"),$EE$1,EQ45)),$EE$1)</f>
        <v>0.33129999999999998</v>
      </c>
      <c r="EL45" s="83" t="str">
        <f>RTD("tos.rtd",,EL$43,"."&amp;$A$43&amp;$AS$42&amp;"C"&amp;$A45)</f>
        <v>147.67%</v>
      </c>
      <c r="EM45" s="83" t="str">
        <f>RTD("tos.rtd",,EM$43,"."&amp;$A$43&amp;$AS$42&amp;"P"&amp;$A45)</f>
        <v>582.57%</v>
      </c>
      <c r="EN45" s="83" t="str">
        <f>RTD("tos.rtd",,EN$2,"."&amp;$A$43&amp;$AU$1&amp;"C"&amp;$A45)</f>
        <v>25.01%</v>
      </c>
      <c r="EO45" s="83" t="str">
        <f>RTD("tos.rtd",,EO$2,"."&amp;$A$43&amp;$AU$1&amp;"P"&amp;$A45)</f>
        <v>62.35%</v>
      </c>
      <c r="EP45" s="83" t="str">
        <f>RTD("tos.rtd",,EP$2,"."&amp;$A$43&amp;$AW$1&amp;"C"&amp;$A45)</f>
        <v>19.95%</v>
      </c>
      <c r="EQ45" s="83" t="str">
        <f>RTD("tos.rtd",,EQ$2,"."&amp;$A$43&amp;$AW$1&amp;"P"&amp;$A45)</f>
        <v>33.13%</v>
      </c>
      <c r="ES45" s="63" t="str">
        <f t="shared" ref="ES45:ES79" si="273">IFERROR(
    A45 &amp; "," &amp; TEXT(IF(ISNUMBER(DV45+DW45), DV45+DW45, 0), "00.00"),    "Error"
)</f>
        <v>502,1622.00</v>
      </c>
      <c r="ET45" s="64" t="str">
        <f t="shared" ref="ET45:ET79" ca="1" si="274">IF(ISERROR(
    A45 &amp; "," &amp; TEXT(
        IF($E$1="GEX-VOL", IF(ISNUMBER(BX45+BZ45+CB45), (BX45+BZ45+CB45)/1000, 0),
           IF($E$1="GEX-OI", IF(ISNUMBER(BQ45+BS45+BU45), (BQ45+BS45+BU45)/1000, 0),
               IF($E$1="DEX",IF(ISNUMBER(CK45+CM45+CO45), (CK45+CM45+CO45)/1000, 0),
                  IF($E$1="VOLPRES",IF(ISNUMBER(DJ45+DK45), (DJ45+DK45), 0),
                     IF(ISNUMBER(DV45+DW45), (DV45+DW45), 0)
        )))),
    "00.00")
), "Error",
A45 &amp; "," &amp; TEXT(
        IF($E$1="GEX-VOL", IF(ISNUMBER(BX45+BZ45+CB45), (BX45+BZ45+CB45)/1000, 0),
           IF($E$1="GEX-OI", IF(ISNUMBER(BQ45+BS45+BU45), (BQ45+BS45+BU45)/1000, 0),
               IF($E$1="DEX", IF(ISNUMBER(CK45+CM45+CO45), (CK45+CM45+CO45)/1000, 0),
                  IF($E$1="VOLPRES",IF(ISNUMBER(DJ45+DK45), (DJ45+DK45), 0),
                    IF(ISNUMBER(DV45+DW45), (DV45+DW45), 0)
        )))),
    "00.00")
)</f>
        <v>502,00.00</v>
      </c>
      <c r="EU45" s="67">
        <v>562.41</v>
      </c>
      <c r="EV45" s="67" t="s">
        <v>380</v>
      </c>
      <c r="EW45" s="67">
        <v>484.91</v>
      </c>
      <c r="EX45" s="67" t="s">
        <v>381</v>
      </c>
      <c r="EY45" s="67">
        <v>5638</v>
      </c>
      <c r="EZ45" s="67" t="s">
        <v>382</v>
      </c>
      <c r="FA45" s="67">
        <v>19918.5</v>
      </c>
      <c r="FB45" s="67" t="s">
        <v>383</v>
      </c>
      <c r="FC45" s="67" t="s">
        <v>384</v>
      </c>
      <c r="FD45" s="67" t="s">
        <v>385</v>
      </c>
      <c r="FE45" s="68" t="s">
        <v>386</v>
      </c>
      <c r="FF45" s="68" t="s">
        <v>387</v>
      </c>
    </row>
    <row r="46" spans="1:162" ht="13.5" thickBot="1" x14ac:dyDescent="0.25">
      <c r="A46" s="2">
        <f>+A45-$A$39</f>
        <v>501</v>
      </c>
      <c r="B46" s="3">
        <f t="shared" si="240"/>
        <v>737</v>
      </c>
      <c r="C46" s="3">
        <f t="shared" si="241"/>
        <v>1243</v>
      </c>
      <c r="D46" s="3">
        <f t="shared" si="242"/>
        <v>2292</v>
      </c>
      <c r="E46" s="3">
        <f>SUM(B46:D46)</f>
        <v>4272</v>
      </c>
      <c r="F46" s="4">
        <f>+$F$44/$A$44*A46</f>
        <v>20680.078052788333</v>
      </c>
      <c r="AM46" s="1">
        <v>9277</v>
      </c>
      <c r="AN46" s="1">
        <v>9</v>
      </c>
      <c r="AO46" s="1">
        <v>501</v>
      </c>
      <c r="AP46" s="1">
        <v>10231</v>
      </c>
      <c r="AQ46" s="1">
        <v>-9</v>
      </c>
      <c r="AS46" s="6">
        <f>IF(RTD("tos.rtd",,AS$43,"."&amp;$A$43&amp;$AS$42&amp;"C"&amp;$A46)="N/A",0,RTD("tos.rtd",,AS$43,"."&amp;$A$43&amp;$AS$42&amp;"C"&amp;$A46))</f>
        <v>728</v>
      </c>
      <c r="AT46" s="7">
        <f>-IF(RTD("tos.rtd",,AT$43,"."&amp;$A$43&amp;$AS$42&amp;"P"&amp;$A46)="N/A",0,RTD("tos.rtd",,AT$43,"."&amp;$A$43&amp;$AS$42&amp;"P"&amp;$A46))</f>
        <v>-9</v>
      </c>
      <c r="AU46" s="6">
        <f>IF(RTD("tos.rtd",,AU$2,"."&amp;$A$43&amp;$AU$1&amp;"C"&amp;$A46)="N/A",0,RTD("tos.rtd",,AU$2,"."&amp;$A$43&amp;$AU$1&amp;"C"&amp;$A46))</f>
        <v>1230</v>
      </c>
      <c r="AV46" s="7">
        <f>-IF(RTD("tos.rtd",,AV$2,"."&amp;$A$43&amp;$AU$1&amp;"P"&amp;$A46)="N/A",0,RTD("tos.rtd",,AV$2,"."&amp;$A$43&amp;$AU$1&amp;"P"&amp;$A46))</f>
        <v>-13</v>
      </c>
      <c r="AW46" s="6">
        <f>IF(RTD("tos.rtd",,AW$2,"."&amp;$A$43&amp;$AW$1&amp;"C"&amp;$A46)="N/A",0,RTD("tos.rtd",,AW$2,"."&amp;$A$43&amp;$AW$1&amp;"C"&amp;$A46))</f>
        <v>2273</v>
      </c>
      <c r="AX46" s="7">
        <f>-IF(RTD("tos.rtd",,AX$2,"."&amp;$A$43&amp;$AW$1&amp;"P"&amp;$A46)="N/A",0,RTD("tos.rtd",,AX$2,"."&amp;$A$43&amp;$AW$1&amp;"P"&amp;$A46))</f>
        <v>-19</v>
      </c>
      <c r="AY46" s="7">
        <f t="shared" ref="AY46:AY79" si="275">SUM(AS46:AX46)</f>
        <v>4190</v>
      </c>
      <c r="AZ46" s="8">
        <f t="shared" si="244"/>
        <v>501</v>
      </c>
      <c r="BA46" s="6">
        <f>IF(RTD("tos.rtd",,BA$43,"."&amp;$A$43&amp;$AS$42&amp;"C"&amp;$A46)="N/A",0,RTD("tos.rtd",,BA$43,"."&amp;$A$43&amp;$AS$42&amp;"C"&amp;$A46))</f>
        <v>10231</v>
      </c>
      <c r="BB46" s="7">
        <f>-IF(RTD("tos.rtd",,BB$43,"."&amp;$A$43&amp;$AS$42&amp;"P"&amp;$A46)="N/A",0,RTD("tos.rtd",,BB$43,"."&amp;$A$43&amp;$AS$42&amp;"P"&amp;$A46))</f>
        <v>-9</v>
      </c>
      <c r="BC46" s="6">
        <f>IF(RTD("tos.rtd",,BC$2,"."&amp;$A$43&amp;$AU$1&amp;"C"&amp;$A46)="N/A",0,RTD("tos.rtd",,BC$2,"."&amp;$A$43&amp;$AU$1&amp;"C"&amp;$A46))</f>
        <v>1804</v>
      </c>
      <c r="BD46" s="7">
        <f>-IF(RTD("tos.rtd",,BD$2,"."&amp;$A$43&amp;$AU$1&amp;"P"&amp;$A46)="N/A",0,RTD("tos.rtd",,BD$2,"."&amp;$A$43&amp;$AU$1&amp;"P"&amp;$A46))</f>
        <v>0</v>
      </c>
      <c r="BE46" s="6">
        <f>IF(RTD("tos.rtd",,BE$2,"."&amp;$A$43&amp;$AW$1&amp;"C"&amp;$A46)="N/A",0,RTD("tos.rtd",,BE$2,"."&amp;$A$43&amp;$AW$1&amp;"C"&amp;$A46))</f>
        <v>288</v>
      </c>
      <c r="BF46" s="7">
        <f>-IF(RTD("tos.rtd",,BF$2,"."&amp;$A$43&amp;$AW$1&amp;"P"&amp;$A46)="N/A",0,RTD("tos.rtd",,BF$2,"."&amp;$A$43&amp;$AW$1&amp;"P"&amp;$A46))</f>
        <v>-1</v>
      </c>
      <c r="BG46" s="32">
        <f ca="1">+Hoja2!Y47</f>
        <v>26</v>
      </c>
      <c r="BH46" s="7">
        <f t="shared" ref="BH46:BH79" ca="1" si="276">SUM(BA46:BG46)</f>
        <v>12339</v>
      </c>
      <c r="BI46" s="8" t="str">
        <f ca="1">IF(AND(BH46&lt;0,BH45&gt;0), "Cruce -", IF(AND(BH46&gt;0,BH45&lt;0),"Cruce +", ""))</f>
        <v/>
      </c>
      <c r="BJ46" s="83" t="e">
        <f ca="1">IF($BP$1=1,DX46,IF(RTD("tos.rtd",,BJ$43,"."&amp;$A$43&amp;$AS$42&amp;"C"&amp;$A46)="N/A",0,RTD("tos.rtd",,BJ$43,"."&amp;$A$43&amp;$AS$42&amp;"C"&amp;$A46)))</f>
        <v>#NUM!</v>
      </c>
      <c r="BK46" s="83" t="e">
        <f ca="1">IF($BP$1=1,DY46,-IF(RTD("tos.rtd",,BK$43,"."&amp;$A$43&amp;$AS$42&amp;"P"&amp;$A46)="N/A",0,RTD("tos.rtd",,BK$43,"."&amp;$A$43&amp;$AS$42&amp;"P"&amp;$A46)))</f>
        <v>#NUM!</v>
      </c>
      <c r="BL46" s="83">
        <f ca="1">IF($BP$1=1,DZ46,IF(RTD("tos.rtd",,BL$2,"."&amp;$A$43&amp;$AU$1&amp;"C"&amp;$A46)="N/A",0,RTD("tos.rtd",,BL$2,"."&amp;$A$43&amp;$AU$1&amp;"C"&amp;$A46)))</f>
        <v>1.5081176625802941E-2</v>
      </c>
      <c r="BM46" s="83">
        <f ca="1">IF($BP$1=1,EA46,-IF(RTD("tos.rtd",,BM$2,"."&amp;$A$43&amp;$AU$1&amp;"P"&amp;$A46)="N/A",0,RTD("tos.rtd",,BM$2,"."&amp;$A$43&amp;$AU$1&amp;"P"&amp;$A46)))</f>
        <v>-1.4153963205498221E-2</v>
      </c>
      <c r="BN46" s="83">
        <f ca="1">IF($BP$1=1,EB46,IF(RTD("tos.rtd",,BN$2,"."&amp;$A$43&amp;$AW$1&amp;"C"&amp;$A46)="N/A",0,RTD("tos.rtd",,BN$2,"."&amp;$A$43&amp;$AW$1&amp;"C"&amp;$A46)))</f>
        <v>1.1216069143895906E-2</v>
      </c>
      <c r="BO46" s="83">
        <f ca="1">IF($BP$1=1,EC46,-IF(RTD("tos.rtd",,BO$2,"."&amp;$A$43&amp;$AW$1&amp;"P"&amp;$A46)="N/A",0,RTD("tos.rtd",,BO$2,"."&amp;$A$43&amp;$AW$1&amp;"P"&amp;$A46)))</f>
        <v>-1.7695692340884445E-2</v>
      </c>
      <c r="BQ46" s="83" t="e">
        <f t="shared" ref="BQ46:BQ79" ca="1" si="277">+$A$44*$A$44*AS46*BJ46-$A$44*$A$44*AT46*BK46</f>
        <v>#NUM!</v>
      </c>
      <c r="BR46" s="3" t="e">
        <f t="shared" ref="BR46:BR79" ca="1" si="278">IF(AND(BQ46&lt;0,BQ45&gt;0), "Cruce -", IF(AND(BQ46&gt;0,BQ45&lt;0),"Cruce +", ""))</f>
        <v>#NUM!</v>
      </c>
      <c r="BS46" s="83">
        <f t="shared" ref="BS46:BS79" ca="1" si="279">+$A$44*$A$44*AU46*BL46-$A$44*$A$44*AV46*BM46</f>
        <v>4353126.4286503773</v>
      </c>
      <c r="BT46" s="3" t="str">
        <f t="shared" ref="BT46:BT79" ca="1" si="280">IF(AND(BS46&lt;0,BS45&gt;0), "Cruce -", IF(AND(BS46&gt;0,BS45&lt;0),"Cruce +", ""))</f>
        <v/>
      </c>
      <c r="BU46" s="83">
        <f t="shared" ref="BU46:BU79" ca="1" si="281">+$A$44*$A$44*AW46*BN46-$A$44*$A$44*AX46*BO46</f>
        <v>5963000.6433982942</v>
      </c>
      <c r="BV46" s="83"/>
      <c r="BX46" s="83" t="e">
        <f t="shared" ref="BX46:BX79" ca="1" si="282">+$A$44*$A$44*BA46*BJ46-$A$44*$A$44*BB46*BK46</f>
        <v>#NUM!</v>
      </c>
      <c r="BY46" s="83" t="e">
        <f ca="1">IF(AND(BX46&lt;0,BX45&gt;0), "Cruce -", IF(AND(BX46&gt;0,BX45&lt;0),"Cruce +", ""))</f>
        <v>#NUM!</v>
      </c>
      <c r="BZ46" s="83">
        <f t="shared" ref="BZ46:BZ79" ca="1" si="283">+$A$44*$A$44*BC46*BL46-$A$44*$A$44*BD46*BM46</f>
        <v>6448550.5436900491</v>
      </c>
      <c r="CA46" s="83" t="str">
        <f ca="1">IF(AND(BZ46&lt;0,BZ45&gt;0), "Cruce -", IF(AND(BZ46&gt;0,BZ45&lt;0),"Cruce +", ""))</f>
        <v/>
      </c>
      <c r="CB46" s="83">
        <f t="shared" ref="CB46:CB79" ca="1" si="284">+$A$44*$A$44*BE46*BN46-$A$44*$A$44*BF46*BO46</f>
        <v>761443.77567080769</v>
      </c>
      <c r="CC46" s="83" t="str">
        <f ca="1">IF(AND(CB46&lt;0,CB45&gt;0), "Cruce -", IF(AND(CB46&gt;0,CB45&lt;0),"Cruce +", ""))</f>
        <v/>
      </c>
      <c r="CD46" s="83">
        <f>IF(RTD("tos.rtd",,CD$43,"."&amp;$A$43&amp;$AS$42&amp;"C"&amp;$A46)="N/A",0,RTD("tos.rtd",,CD$43,"."&amp;$A$43&amp;$AS$42&amp;"C"&amp;$A46))</f>
        <v>0</v>
      </c>
      <c r="CE46" s="83">
        <f>-IF(RTD("tos.rtd",,CE$43,"."&amp;$A$43&amp;$AS$42&amp;"P"&amp;$A46)="N/A",0,RTD("tos.rtd",,CE$43,"."&amp;$A$43&amp;$AS$42&amp;"P"&amp;$A46))</f>
        <v>0.74</v>
      </c>
      <c r="CF46" s="83">
        <f>IF(RTD("tos.rtd",,CF$2,"."&amp;$A$43&amp;$AU$1&amp;"C"&amp;$A46)="N/A",0,RTD("tos.rtd",,CF$2,"."&amp;$A$43&amp;$AU$1&amp;"C"&amp;$A46))</f>
        <v>0.05</v>
      </c>
      <c r="CG46" s="83">
        <f>-IF(RTD("tos.rtd",,CG$2,"."&amp;$A$43&amp;$AU$1&amp;"P"&amp;$A46)="N/A",0,RTD("tos.rtd",,CG$2,"."&amp;$A$43&amp;$AU$1&amp;"P"&amp;$A46))</f>
        <v>0.74</v>
      </c>
      <c r="CH46" s="83">
        <f>IF(RTD("tos.rtd",,CH$2,"."&amp;$A$43&amp;$AW$1&amp;"C"&amp;$A46)="N/A",0,RTD("tos.rtd",,CH$2,"."&amp;$A$43&amp;$AW$1&amp;"C"&amp;$A46))</f>
        <v>0.19</v>
      </c>
      <c r="CI46" s="83">
        <f>-IF(RTD("tos.rtd",,CI$2,"."&amp;$A$43&amp;$AW$1&amp;"P"&amp;$A46)="N/A",0,RTD("tos.rtd",,CI$2,"."&amp;$A$43&amp;$AW$1&amp;"P"&amp;$A46))</f>
        <v>0.7</v>
      </c>
      <c r="CK46" s="83">
        <f t="shared" ref="CK46:CK79" si="285">+AS46*CD46*100+AT46*CE46*100</f>
        <v>-666</v>
      </c>
      <c r="CL46" s="83"/>
      <c r="CM46" s="83">
        <f t="shared" ref="CM46:CM79" si="286">+AU46*CF46*100+AV46*CG46*100</f>
        <v>5188</v>
      </c>
      <c r="CN46" s="83"/>
      <c r="CO46" s="83">
        <f t="shared" ref="CO46:CO79" si="287">+AW46*CH46*100+AX46*CI46*100</f>
        <v>41857</v>
      </c>
      <c r="CP46" s="83">
        <f t="shared" si="234"/>
        <v>46379</v>
      </c>
      <c r="CQ46" s="83">
        <f t="shared" si="248"/>
        <v>10222</v>
      </c>
      <c r="CR46" s="83"/>
      <c r="CS46" s="83">
        <f t="shared" si="249"/>
        <v>1804</v>
      </c>
      <c r="CT46" s="83"/>
      <c r="CU46" s="83">
        <f t="shared" si="250"/>
        <v>287</v>
      </c>
      <c r="CV46" s="83"/>
      <c r="CW46" s="83" t="e">
        <f t="shared" ca="1" si="251"/>
        <v>#NUM!</v>
      </c>
      <c r="CY46" s="83" t="e">
        <f t="shared" ca="1" si="252"/>
        <v>#NUM!</v>
      </c>
      <c r="CZ46" s="70" t="e">
        <f ca="1">IF(AND(CY46&lt;0,CY45&gt;0), "Cruce -", IF(AND(CY46&gt;0,CY45&lt;0),"Cruce +", ""))</f>
        <v>#NUM!</v>
      </c>
      <c r="DA46" s="83">
        <f>IF(RTD("tos.rtd",,DA$43,"."&amp;$A$43&amp;$AS$42&amp;"C"&amp;$A46)="N/A",0,RTD("tos.rtd",,DA$43,"."&amp;$A$43&amp;$AS$42&amp;"C"&amp;$A46))</f>
        <v>0.01</v>
      </c>
      <c r="DB46" s="83">
        <f>IF(RTD("tos.rtd",,DB$43,"."&amp;$A$43&amp;$AS$42&amp;"P"&amp;$A46)="N/A",0,RTD("tos.rtd",,DB$43,"."&amp;$A$43&amp;$AS$42&amp;"P"&amp;$A46))</f>
        <v>17.64</v>
      </c>
      <c r="DC46" s="83">
        <f>IF(RTD("tos.rtd",,DC$43,"."&amp;$A$43&amp;$AS$42&amp;"C"&amp;$A46)="N/A",0,RTD("tos.rtd",,DC$43,"."&amp;$A$43&amp;$AS$42&amp;"C"&amp;$A46))</f>
        <v>0.01</v>
      </c>
      <c r="DD46" s="83">
        <f>IF(RTD("tos.rtd",,DD$43,"."&amp;$A$43&amp;$AS$42&amp;"P"&amp;$A46)="N/A",0,RTD("tos.rtd",,DD$43,"."&amp;$A$43&amp;$AS$42&amp;"P"&amp;$A46))</f>
        <v>19.100000000000001</v>
      </c>
      <c r="DE46" s="83">
        <f>IF(RTD("tos.rtd",,DE$43,"."&amp;$A$43&amp;$AS$42&amp;"C"&amp;$A46)="N/A",0,RTD("tos.rtd",,DE$43,"."&amp;$A$43&amp;$AS$42&amp;"C"&amp;$A46))</f>
        <v>0</v>
      </c>
      <c r="DF46" s="83">
        <f>IF(RTD("tos.rtd",,DF$43,"."&amp;$A$43&amp;$AS$42&amp;"P"&amp;$A46)="N/A",0,RTD("tos.rtd",,DF$43,"."&amp;$A$43&amp;$AS$42&amp;"P"&amp;$A46))</f>
        <v>15.44</v>
      </c>
      <c r="DG46" s="86">
        <f t="shared" ref="DG46:DG79" si="288">+$A46-$A$44</f>
        <v>14.149999999999977</v>
      </c>
      <c r="DH46" s="83">
        <f t="shared" si="253"/>
        <v>0</v>
      </c>
      <c r="DI46" s="83">
        <f t="shared" si="254"/>
        <v>0</v>
      </c>
      <c r="DJ46" s="83">
        <f t="shared" si="255"/>
        <v>0</v>
      </c>
      <c r="DK46" s="83">
        <f t="shared" si="256"/>
        <v>0</v>
      </c>
      <c r="DL46" s="83">
        <f t="shared" si="257"/>
        <v>0</v>
      </c>
      <c r="DM46" s="83">
        <f t="shared" si="258"/>
        <v>0</v>
      </c>
      <c r="DN46" s="64" t="str">
        <f t="shared" si="259"/>
        <v>UNKNOWN</v>
      </c>
      <c r="DO46" s="64" t="str">
        <f t="shared" si="260"/>
        <v>UNKNOWN</v>
      </c>
      <c r="DP46" s="83">
        <f t="shared" si="261"/>
        <v>0</v>
      </c>
      <c r="DQ46" s="83">
        <f t="shared" si="262"/>
        <v>0</v>
      </c>
      <c r="DR46" s="83" t="e">
        <f t="shared" ca="1" si="263"/>
        <v>#NUM!</v>
      </c>
      <c r="DS46" s="83">
        <f t="shared" si="264"/>
        <v>0</v>
      </c>
      <c r="DT46" s="83">
        <f t="shared" ref="DT46:DT79" si="289">BA46-VLOOKUP(AZ46,$AO$45:$AQ$79,2,FALSE)</f>
        <v>0</v>
      </c>
      <c r="DU46" s="83">
        <f t="shared" ref="DU46:DU79" si="290">BB46-VLOOKUP(AZ46,$AO$45:$AQ$79,3,FALSE)</f>
        <v>0</v>
      </c>
      <c r="DV46" s="83">
        <f t="shared" si="265"/>
        <v>9277</v>
      </c>
      <c r="DW46" s="83">
        <f t="shared" si="266"/>
        <v>9</v>
      </c>
      <c r="DX46" s="83" t="e">
        <f ca="1">(EXP(-POWER((LN($A$44/$A46)+($EC$1+POWER($EE46,2)/2)*($EM$1/$DY$1))/($EE46*SQRT($EM$1/$DY$1)),2)/2)/SQRT(2*PI())/($A$44*$EE46*SQRT($EM$1/$DY$1)))</f>
        <v>#NUM!</v>
      </c>
      <c r="DY46" s="83" t="e">
        <f ca="1">-(EXP(-POWER((LN($A$44/$A46)+($EC$1+POWER($EF46,2)/2)*($EM$1/$DY$1))/($EF46*SQRT($EM$1/$DY$1)),2)/2)/SQRT(2*PI())/($A$44*$EF46*SQRT($EM$1/$DY$1)))</f>
        <v>#NUM!</v>
      </c>
      <c r="DZ46" s="83">
        <f ca="1">(EXP(-POWER((LN($A$44/$A46)+($EC$1+POWER($EG46,2)/2)*($EO$1/$DY$1))/($EG46*SQRT($EO$1/$DY$1)),2)/2)/SQRT(2*PI())/($A$44*$EG46*SQRT($EO$1/$DY$1)))</f>
        <v>1.5081176625802941E-2</v>
      </c>
      <c r="EA46" s="83">
        <f ca="1">-(EXP(-POWER((LN($A$44/$A46)+($EC$1+POWER($EH46,2)/2)*($EO$1/$DY$1))/($EH46*SQRT($EO$1/$DY$1)),2)/2)/SQRT(2*PI())/($A$44*$EH46*SQRT($EO$1/$DY$1)))</f>
        <v>-1.4153963205498221E-2</v>
      </c>
      <c r="EB46" s="83">
        <f ca="1">(EXP(-POWER((LN($A$44/$A46)+($EC$1+POWER($EI46,2)/2)*($EO$1/$DY$1))/($EI46*SQRT($EO$1/$DY$1)),2)/2)/SQRT(2*PI())/($A$44*$EI46*SQRT($EO$1/$DY$1)))</f>
        <v>1.1216069143895906E-2</v>
      </c>
      <c r="EC46" s="83">
        <f ca="1">-(EXP(-POWER((LN($A$44/$A46)+($EC$1+POWER($EJ46,2)/2)*($EO$1/$DY$1))/($EJ46*SQRT($EO$1/$DY$1)),2)/2)/SQRT(2*PI())/($A$44*$EJ46*SQRT($EO$1/$DY$1)))</f>
        <v>-1.7695692340884445E-2</v>
      </c>
      <c r="ED46" s="63">
        <f t="shared" ref="ED46:ED79" si="291">+DV46+DW46</f>
        <v>9286</v>
      </c>
      <c r="EE46" s="84">
        <f t="shared" si="267"/>
        <v>1.39</v>
      </c>
      <c r="EF46" s="84">
        <f t="shared" si="268"/>
        <v>5.6214000000000004</v>
      </c>
      <c r="EG46" s="84">
        <f t="shared" si="269"/>
        <v>0.2432</v>
      </c>
      <c r="EH46" s="84">
        <f t="shared" si="270"/>
        <v>0.61199999999999999</v>
      </c>
      <c r="EI46" s="84">
        <f t="shared" si="271"/>
        <v>0.19969999999999999</v>
      </c>
      <c r="EJ46" s="84">
        <f t="shared" si="272"/>
        <v>0.32650000000000001</v>
      </c>
      <c r="EL46" s="83" t="str">
        <f>RTD("tos.rtd",,EL$43,"."&amp;$A$43&amp;$AS$42&amp;"C"&amp;$A46)</f>
        <v>139.00%</v>
      </c>
      <c r="EM46" s="83" t="str">
        <f>RTD("tos.rtd",,EM$43,"."&amp;$A$43&amp;$AS$42&amp;"P"&amp;$A46)</f>
        <v>562.14%</v>
      </c>
      <c r="EN46" s="83" t="str">
        <f>RTD("tos.rtd",,EN$2,"."&amp;$A$43&amp;$AU$1&amp;"C"&amp;$A46)</f>
        <v>24.32%</v>
      </c>
      <c r="EO46" s="83" t="str">
        <f>RTD("tos.rtd",,EO$2,"."&amp;$A$43&amp;$AU$1&amp;"P"&amp;$A46)</f>
        <v>61.20%</v>
      </c>
      <c r="EP46" s="83" t="str">
        <f>RTD("tos.rtd",,EP$2,"."&amp;$A$43&amp;$AW$1&amp;"C"&amp;$A46)</f>
        <v>19.97%</v>
      </c>
      <c r="EQ46" s="83" t="str">
        <f>RTD("tos.rtd",,EQ$2,"."&amp;$A$43&amp;$AW$1&amp;"P"&amp;$A46)</f>
        <v>32.65%</v>
      </c>
      <c r="ES46" s="63" t="str">
        <f t="shared" si="273"/>
        <v>501,9286.00</v>
      </c>
      <c r="ET46" s="64" t="str">
        <f t="shared" ca="1" si="274"/>
        <v>501,00.00</v>
      </c>
      <c r="EU46" s="67">
        <v>562.35</v>
      </c>
      <c r="EV46" s="67" t="s">
        <v>388</v>
      </c>
      <c r="EW46" s="67">
        <v>484.88</v>
      </c>
      <c r="EX46" s="67" t="s">
        <v>389</v>
      </c>
      <c r="EY46" s="67">
        <v>5637.25</v>
      </c>
      <c r="EZ46" s="67" t="s">
        <v>390</v>
      </c>
      <c r="FA46" s="67">
        <v>19917.25</v>
      </c>
      <c r="FB46" s="67" t="s">
        <v>391</v>
      </c>
      <c r="FC46" s="67" t="s">
        <v>392</v>
      </c>
      <c r="FD46" s="67" t="s">
        <v>393</v>
      </c>
      <c r="FE46" s="68" t="s">
        <v>394</v>
      </c>
      <c r="FF46" s="68" t="s">
        <v>395</v>
      </c>
    </row>
    <row r="47" spans="1:162" ht="13.5" thickBot="1" x14ac:dyDescent="0.25">
      <c r="A47" s="2">
        <f t="shared" ref="A47:A79" si="292">+A46-$A$39</f>
        <v>500</v>
      </c>
      <c r="B47" s="3">
        <f t="shared" si="240"/>
        <v>3030</v>
      </c>
      <c r="C47" s="3">
        <f t="shared" si="241"/>
        <v>9499</v>
      </c>
      <c r="D47" s="3">
        <f t="shared" si="242"/>
        <v>58768</v>
      </c>
      <c r="E47" s="3">
        <f>SUM(B47:D47)</f>
        <v>71297</v>
      </c>
      <c r="F47" s="4">
        <f>+$F$44/$A$44*A47</f>
        <v>20638.800451884563</v>
      </c>
      <c r="AM47" s="1">
        <v>6326</v>
      </c>
      <c r="AN47" s="1">
        <v>27</v>
      </c>
      <c r="AO47" s="1">
        <v>500</v>
      </c>
      <c r="AP47" s="1">
        <v>8640</v>
      </c>
      <c r="AQ47" s="1">
        <v>-252</v>
      </c>
      <c r="AS47" s="6">
        <f>IF(RTD("tos.rtd",,AS$43,"."&amp;$A$43&amp;$AS$42&amp;"C"&amp;$A47)="N/A",0,RTD("tos.rtd",,AS$43,"."&amp;$A$43&amp;$AS$42&amp;"C"&amp;$A47))</f>
        <v>3010</v>
      </c>
      <c r="AT47" s="7">
        <f>-IF(RTD("tos.rtd",,AT$43,"."&amp;$A$43&amp;$AS$42&amp;"P"&amp;$A47)="N/A",0,RTD("tos.rtd",,AT$43,"."&amp;$A$43&amp;$AS$42&amp;"P"&amp;$A47))</f>
        <v>-20</v>
      </c>
      <c r="AU47" s="6">
        <f>IF(RTD("tos.rtd",,AU$2,"."&amp;$A$43&amp;$AU$1&amp;"C"&amp;$A47)="N/A",0,RTD("tos.rtd",,AU$2,"."&amp;$A$43&amp;$AU$1&amp;"C"&amp;$A47))</f>
        <v>9383</v>
      </c>
      <c r="AV47" s="7">
        <f>-IF(RTD("tos.rtd",,AV$2,"."&amp;$A$43&amp;$AU$1&amp;"P"&amp;$A47)="N/A",0,RTD("tos.rtd",,AV$2,"."&amp;$A$43&amp;$AU$1&amp;"P"&amp;$A47))</f>
        <v>-116</v>
      </c>
      <c r="AW47" s="6">
        <f>IF(RTD("tos.rtd",,AW$2,"."&amp;$A$43&amp;$AW$1&amp;"C"&amp;$A47)="N/A",0,RTD("tos.rtd",,AW$2,"."&amp;$A$43&amp;$AW$1&amp;"C"&amp;$A47))</f>
        <v>55915</v>
      </c>
      <c r="AX47" s="7">
        <f>-IF(RTD("tos.rtd",,AX$2,"."&amp;$A$43&amp;$AW$1&amp;"P"&amp;$A47)="N/A",0,RTD("tos.rtd",,AX$2,"."&amp;$A$43&amp;$AW$1&amp;"P"&amp;$A47))</f>
        <v>-2853</v>
      </c>
      <c r="AY47" s="7">
        <f t="shared" si="275"/>
        <v>65319</v>
      </c>
      <c r="AZ47" s="8">
        <f t="shared" si="244"/>
        <v>500</v>
      </c>
      <c r="BA47" s="6">
        <f>IF(RTD("tos.rtd",,BA$43,"."&amp;$A$43&amp;$AS$42&amp;"C"&amp;$A47)="N/A",0,RTD("tos.rtd",,BA$43,"."&amp;$A$43&amp;$AS$42&amp;"C"&amp;$A47))</f>
        <v>8640</v>
      </c>
      <c r="BB47" s="7">
        <f>-IF(RTD("tos.rtd",,BB$43,"."&amp;$A$43&amp;$AS$42&amp;"P"&amp;$A47)="N/A",0,RTD("tos.rtd",,BB$43,"."&amp;$A$43&amp;$AS$42&amp;"P"&amp;$A47))</f>
        <v>-252</v>
      </c>
      <c r="BC47" s="6">
        <f>IF(RTD("tos.rtd",,BC$2,"."&amp;$A$43&amp;$AU$1&amp;"C"&amp;$A47)="N/A",0,RTD("tos.rtd",,BC$2,"."&amp;$A$43&amp;$AU$1&amp;"C"&amp;$A47))</f>
        <v>5260</v>
      </c>
      <c r="BD47" s="7">
        <f>-IF(RTD("tos.rtd",,BD$2,"."&amp;$A$43&amp;$AU$1&amp;"P"&amp;$A47)="N/A",0,RTD("tos.rtd",,BD$2,"."&amp;$A$43&amp;$AU$1&amp;"P"&amp;$A47))</f>
        <v>-12</v>
      </c>
      <c r="BE47" s="6">
        <f>IF(RTD("tos.rtd",,BE$2,"."&amp;$A$43&amp;$AW$1&amp;"C"&amp;$A47)="N/A",0,RTD("tos.rtd",,BE$2,"."&amp;$A$43&amp;$AW$1&amp;"C"&amp;$A47))</f>
        <v>7416</v>
      </c>
      <c r="BF47" s="7">
        <f>-IF(RTD("tos.rtd",,BF$2,"."&amp;$A$43&amp;$AW$1&amp;"P"&amp;$A47)="N/A",0,RTD("tos.rtd",,BF$2,"."&amp;$A$43&amp;$AW$1&amp;"P"&amp;$A47))</f>
        <v>-116</v>
      </c>
      <c r="BG47" s="32">
        <f ca="1">+Hoja2!Y48</f>
        <v>22734</v>
      </c>
      <c r="BH47" s="7">
        <f t="shared" ca="1" si="276"/>
        <v>43670</v>
      </c>
      <c r="BI47" s="8" t="str">
        <f t="shared" ref="BI47:BI79" ca="1" si="293">IF(AND(BH47&lt;0,BH46&gt;0), "Cruce -", IF(AND(BH47&gt;0,BH46&lt;0),"Cruce +", ""))</f>
        <v/>
      </c>
      <c r="BJ47" s="83" t="e">
        <f ca="1">IF($BP$1=1,DX47,IF(RTD("tos.rtd",,BJ$43,"."&amp;$A$43&amp;$AS$42&amp;"C"&amp;$A47)="N/A",0,RTD("tos.rtd",,BJ$43,"."&amp;$A$43&amp;$AS$42&amp;"C"&amp;$A47)))</f>
        <v>#NUM!</v>
      </c>
      <c r="BK47" s="83" t="e">
        <f ca="1">IF($BP$1=1,DY47,-IF(RTD("tos.rtd",,BK$43,"."&amp;$A$43&amp;$AS$42&amp;"P"&amp;$A47)="N/A",0,RTD("tos.rtd",,BK$43,"."&amp;$A$43&amp;$AS$42&amp;"P"&amp;$A47)))</f>
        <v>#NUM!</v>
      </c>
      <c r="BL47" s="83">
        <f ca="1">IF($BP$1=1,DZ47,IF(RTD("tos.rtd",,BL$2,"."&amp;$A$43&amp;$AU$1&amp;"C"&amp;$A47)="N/A",0,RTD("tos.rtd",,BL$2,"."&amp;$A$43&amp;$AU$1&amp;"C"&amp;$A47)))</f>
        <v>1.7022403987592836E-2</v>
      </c>
      <c r="BM47" s="83">
        <f ca="1">IF($BP$1=1,EA47,-IF(RTD("tos.rtd",,BM$2,"."&amp;$A$43&amp;$AU$1&amp;"P"&amp;$A47)="N/A",0,RTD("tos.rtd",,BM$2,"."&amp;$A$43&amp;$AU$1&amp;"P"&amp;$A47)))</f>
        <v>-1.498691336598953E-2</v>
      </c>
      <c r="BN47" s="83">
        <f ca="1">IF($BP$1=1,EB47,IF(RTD("tos.rtd",,BN$2,"."&amp;$A$43&amp;$AW$1&amp;"C"&amp;$A47)="N/A",0,RTD("tos.rtd",,BN$2,"."&amp;$A$43&amp;$AW$1&amp;"C"&amp;$A47)))</f>
        <v>1.3820091171388792E-2</v>
      </c>
      <c r="BO47" s="83">
        <f ca="1">IF($BP$1=1,EC47,-IF(RTD("tos.rtd",,BO$2,"."&amp;$A$43&amp;$AW$1&amp;"P"&amp;$A47)="N/A",0,RTD("tos.rtd",,BO$2,"."&amp;$A$43&amp;$AW$1&amp;"P"&amp;$A47)))</f>
        <v>-1.9093242180965277E-2</v>
      </c>
      <c r="BQ47" s="83" t="e">
        <f t="shared" ca="1" si="277"/>
        <v>#NUM!</v>
      </c>
      <c r="BR47" s="3" t="e">
        <f t="shared" ca="1" si="278"/>
        <v>#NUM!</v>
      </c>
      <c r="BS47" s="83">
        <f t="shared" ca="1" si="279"/>
        <v>37445529.474870883</v>
      </c>
      <c r="BT47" s="3" t="str">
        <f t="shared" ca="1" si="280"/>
        <v/>
      </c>
      <c r="BU47" s="83">
        <f t="shared" ca="1" si="281"/>
        <v>170248203.27689582</v>
      </c>
      <c r="BV47" s="83"/>
      <c r="BX47" s="83" t="e">
        <f t="shared" ca="1" si="282"/>
        <v>#NUM!</v>
      </c>
      <c r="BY47" s="83" t="e">
        <f t="shared" ref="BY47:CC79" ca="1" si="294">IF(AND(BX47&lt;0,BX46&gt;0), "Cruce -", IF(AND(BX47&gt;0,BX46&lt;0),"Cruce +", ""))</f>
        <v>#NUM!</v>
      </c>
      <c r="BZ47" s="83">
        <f t="shared" ca="1" si="283"/>
        <v>21179894.786201283</v>
      </c>
      <c r="CA47" s="83" t="str">
        <f t="shared" ca="1" si="294"/>
        <v/>
      </c>
      <c r="CB47" s="83">
        <f t="shared" ca="1" si="284"/>
        <v>23767468.821294304</v>
      </c>
      <c r="CC47" s="83" t="str">
        <f t="shared" ca="1" si="294"/>
        <v/>
      </c>
      <c r="CD47" s="83">
        <f>IF(RTD("tos.rtd",,CD$43,"."&amp;$A$43&amp;$AS$42&amp;"C"&amp;$A47)="N/A",0,RTD("tos.rtd",,CD$43,"."&amp;$A$43&amp;$AS$42&amp;"C"&amp;$A47))</f>
        <v>0</v>
      </c>
      <c r="CE47" s="83">
        <f>-IF(RTD("tos.rtd",,CE$43,"."&amp;$A$43&amp;$AS$42&amp;"P"&amp;$A47)="N/A",0,RTD("tos.rtd",,CE$43,"."&amp;$A$43&amp;$AS$42&amp;"P"&amp;$A47))</f>
        <v>0.73</v>
      </c>
      <c r="CF47" s="83">
        <f>IF(RTD("tos.rtd",,CF$2,"."&amp;$A$43&amp;$AU$1&amp;"C"&amp;$A47)="N/A",0,RTD("tos.rtd",,CF$2,"."&amp;$A$43&amp;$AU$1&amp;"C"&amp;$A47))</f>
        <v>0.05</v>
      </c>
      <c r="CG47" s="83">
        <f>-IF(RTD("tos.rtd",,CG$2,"."&amp;$A$43&amp;$AU$1&amp;"P"&amp;$A47)="N/A",0,RTD("tos.rtd",,CG$2,"."&amp;$A$43&amp;$AU$1&amp;"P"&amp;$A47))</f>
        <v>0.74</v>
      </c>
      <c r="CH47" s="83">
        <f>IF(RTD("tos.rtd",,CH$2,"."&amp;$A$43&amp;$AW$1&amp;"C"&amp;$A47)="N/A",0,RTD("tos.rtd",,CH$2,"."&amp;$A$43&amp;$AW$1&amp;"C"&amp;$A47))</f>
        <v>0.21</v>
      </c>
      <c r="CI47" s="83">
        <f>-IF(RTD("tos.rtd",,CI$2,"."&amp;$A$43&amp;$AW$1&amp;"P"&amp;$A47)="N/A",0,RTD("tos.rtd",,CI$2,"."&amp;$A$43&amp;$AW$1&amp;"P"&amp;$A47))</f>
        <v>0.69</v>
      </c>
      <c r="CK47" s="83">
        <f t="shared" si="285"/>
        <v>-1460</v>
      </c>
      <c r="CL47" s="83"/>
      <c r="CM47" s="83">
        <f t="shared" si="286"/>
        <v>38331</v>
      </c>
      <c r="CN47" s="83"/>
      <c r="CO47" s="83">
        <f t="shared" si="287"/>
        <v>977358</v>
      </c>
      <c r="CP47" s="83">
        <f t="shared" si="234"/>
        <v>1014229</v>
      </c>
      <c r="CQ47" s="83">
        <f t="shared" si="248"/>
        <v>8388</v>
      </c>
      <c r="CR47" s="83"/>
      <c r="CS47" s="83">
        <f t="shared" si="249"/>
        <v>5248</v>
      </c>
      <c r="CT47" s="83"/>
      <c r="CU47" s="83">
        <f t="shared" si="250"/>
        <v>7300</v>
      </c>
      <c r="CV47" s="83"/>
      <c r="CW47" s="83" t="e">
        <f t="shared" ca="1" si="251"/>
        <v>#NUM!</v>
      </c>
      <c r="CY47" s="83" t="e">
        <f t="shared" ca="1" si="252"/>
        <v>#NUM!</v>
      </c>
      <c r="CZ47" s="70" t="e">
        <f t="shared" ref="CZ47:CZ79" ca="1" si="295">IF(AND(CY47&lt;0,CY46&gt;0), "Cruce -", IF(AND(CY47&gt;0,CY46&lt;0),"Cruce +", ""))</f>
        <v>#NUM!</v>
      </c>
      <c r="DA47" s="83">
        <f>IF(RTD("tos.rtd",,DA$43,"."&amp;$A$43&amp;$AS$42&amp;"C"&amp;$A47)="N/A",0,RTD("tos.rtd",,DA$43,"."&amp;$A$43&amp;$AS$42&amp;"C"&amp;$A47))</f>
        <v>0.01</v>
      </c>
      <c r="DB47" s="83">
        <f>IF(RTD("tos.rtd",,DB$43,"."&amp;$A$43&amp;$AS$42&amp;"P"&amp;$A47)="N/A",0,RTD("tos.rtd",,DB$43,"."&amp;$A$43&amp;$AS$42&amp;"P"&amp;$A47))</f>
        <v>19.989999999999998</v>
      </c>
      <c r="DC47" s="83">
        <f>IF(RTD("tos.rtd",,DC$43,"."&amp;$A$43&amp;$AS$42&amp;"C"&amp;$A47)="N/A",0,RTD("tos.rtd",,DC$43,"."&amp;$A$43&amp;$AS$42&amp;"C"&amp;$A47))</f>
        <v>0.01</v>
      </c>
      <c r="DD47" s="83">
        <f>IF(RTD("tos.rtd",,DD$43,"."&amp;$A$43&amp;$AS$42&amp;"P"&amp;$A47)="N/A",0,RTD("tos.rtd",,DD$43,"."&amp;$A$43&amp;$AS$42&amp;"P"&amp;$A47))</f>
        <v>18.14</v>
      </c>
      <c r="DE47" s="83">
        <f>IF(RTD("tos.rtd",,DE$43,"."&amp;$A$43&amp;$AS$42&amp;"C"&amp;$A47)="N/A",0,RTD("tos.rtd",,DE$43,"."&amp;$A$43&amp;$AS$42&amp;"C"&amp;$A47))</f>
        <v>0</v>
      </c>
      <c r="DF47" s="83">
        <f>IF(RTD("tos.rtd",,DF$43,"."&amp;$A$43&amp;$AS$42&amp;"P"&amp;$A47)="N/A",0,RTD("tos.rtd",,DF$43,"."&amp;$A$43&amp;$AS$42&amp;"P"&amp;$A47))</f>
        <v>14.44</v>
      </c>
      <c r="DG47" s="86">
        <f t="shared" si="288"/>
        <v>13.149999999999977</v>
      </c>
      <c r="DH47" s="83">
        <f t="shared" si="253"/>
        <v>0</v>
      </c>
      <c r="DI47" s="83">
        <f t="shared" si="254"/>
        <v>0</v>
      </c>
      <c r="DJ47" s="83">
        <f t="shared" si="255"/>
        <v>0</v>
      </c>
      <c r="DK47" s="83">
        <f t="shared" si="256"/>
        <v>0</v>
      </c>
      <c r="DL47" s="83">
        <f t="shared" si="257"/>
        <v>0</v>
      </c>
      <c r="DM47" s="83">
        <f t="shared" si="258"/>
        <v>0</v>
      </c>
      <c r="DN47" s="64" t="str">
        <f t="shared" si="259"/>
        <v>UNKNOWN</v>
      </c>
      <c r="DO47" s="64" t="str">
        <f t="shared" si="260"/>
        <v>UNKNOWN</v>
      </c>
      <c r="DP47" s="83">
        <f t="shared" si="261"/>
        <v>0</v>
      </c>
      <c r="DQ47" s="83">
        <f t="shared" si="262"/>
        <v>0</v>
      </c>
      <c r="DR47" s="83" t="e">
        <f t="shared" ca="1" si="263"/>
        <v>#NUM!</v>
      </c>
      <c r="DS47" s="83">
        <f t="shared" si="264"/>
        <v>0</v>
      </c>
      <c r="DT47" s="83">
        <f t="shared" si="289"/>
        <v>0</v>
      </c>
      <c r="DU47" s="83">
        <f t="shared" si="290"/>
        <v>0</v>
      </c>
      <c r="DV47" s="83">
        <f t="shared" si="265"/>
        <v>6326</v>
      </c>
      <c r="DW47" s="83">
        <f t="shared" si="266"/>
        <v>27</v>
      </c>
      <c r="DX47" s="83" t="e">
        <f ca="1">(EXP(-POWER((LN($A$44/$A47)+($EC$1+POWER($EE47,2)/2)*($EM$1/$DY$1))/($EE47*SQRT($EM$1/$DY$1)),2)/2)/SQRT(2*PI())/($A$44*$EE47*SQRT($EM$1/$DY$1)))</f>
        <v>#NUM!</v>
      </c>
      <c r="DY47" s="83" t="e">
        <f ca="1">-(EXP(-POWER((LN($A$44/$A47)+($EC$1+POWER($EF47,2)/2)*($EM$1/$DY$1))/($EF47*SQRT($EM$1/$DY$1)),2)/2)/SQRT(2*PI())/($A$44*$EF47*SQRT($EM$1/$DY$1)))</f>
        <v>#NUM!</v>
      </c>
      <c r="DZ47" s="83">
        <f ca="1">(EXP(-POWER((LN($A$44/$A47)+($EC$1+POWER($EG47,2)/2)*($EO$1/$DY$1))/($EG47*SQRT($EO$1/$DY$1)),2)/2)/SQRT(2*PI())/($A$44*$EG47*SQRT($EO$1/$DY$1)))</f>
        <v>1.7022403987592836E-2</v>
      </c>
      <c r="EA47" s="83">
        <f ca="1">-(EXP(-POWER((LN($A$44/$A47)+($EC$1+POWER($EH47,2)/2)*($EO$1/$DY$1))/($EH47*SQRT($EO$1/$DY$1)),2)/2)/SQRT(2*PI())/($A$44*$EH47*SQRT($EO$1/$DY$1)))</f>
        <v>-1.498691336598953E-2</v>
      </c>
      <c r="EB47" s="83">
        <f ca="1">(EXP(-POWER((LN($A$44/$A47)+($EC$1+POWER($EI47,2)/2)*($EO$1/$DY$1))/($EI47*SQRT($EO$1/$DY$1)),2)/2)/SQRT(2*PI())/($A$44*$EI47*SQRT($EO$1/$DY$1)))</f>
        <v>1.3820091171388792E-2</v>
      </c>
      <c r="EC47" s="83">
        <f ca="1">-(EXP(-POWER((LN($A$44/$A47)+($EC$1+POWER($EJ47,2)/2)*($EO$1/$DY$1))/($EJ47*SQRT($EO$1/$DY$1)),2)/2)/SQRT(2*PI())/($A$44*$EJ47*SQRT($EO$1/$DY$1)))</f>
        <v>-1.9093242180965277E-2</v>
      </c>
      <c r="ED47" s="63">
        <f t="shared" si="291"/>
        <v>6353</v>
      </c>
      <c r="EE47" s="84">
        <f t="shared" si="267"/>
        <v>1.3026</v>
      </c>
      <c r="EF47" s="84">
        <f t="shared" si="268"/>
        <v>5.4306000000000001</v>
      </c>
      <c r="EG47" s="84">
        <f t="shared" si="269"/>
        <v>0.2382</v>
      </c>
      <c r="EH47" s="84">
        <f t="shared" si="270"/>
        <v>0.58140000000000003</v>
      </c>
      <c r="EI47" s="84">
        <f t="shared" si="271"/>
        <v>0.20019999999999999</v>
      </c>
      <c r="EJ47" s="84">
        <f t="shared" si="272"/>
        <v>0.32579999999999998</v>
      </c>
      <c r="EL47" s="83" t="str">
        <f>RTD("tos.rtd",,EL$43,"."&amp;$A$43&amp;$AS$42&amp;"C"&amp;$A47)</f>
        <v>130.26%</v>
      </c>
      <c r="EM47" s="83" t="str">
        <f>RTD("tos.rtd",,EM$43,"."&amp;$A$43&amp;$AS$42&amp;"P"&amp;$A47)</f>
        <v>543.06%</v>
      </c>
      <c r="EN47" s="83" t="str">
        <f>RTD("tos.rtd",,EN$2,"."&amp;$A$43&amp;$AU$1&amp;"C"&amp;$A47)</f>
        <v>23.82%</v>
      </c>
      <c r="EO47" s="83" t="str">
        <f>RTD("tos.rtd",,EO$2,"."&amp;$A$43&amp;$AU$1&amp;"P"&amp;$A47)</f>
        <v>58.14%</v>
      </c>
      <c r="EP47" s="83" t="str">
        <f>RTD("tos.rtd",,EP$2,"."&amp;$A$43&amp;$AW$1&amp;"C"&amp;$A47)</f>
        <v>20.02%</v>
      </c>
      <c r="EQ47" s="83" t="str">
        <f>RTD("tos.rtd",,EQ$2,"."&amp;$A$43&amp;$AW$1&amp;"P"&amp;$A47)</f>
        <v>32.58%</v>
      </c>
      <c r="ES47" s="63" t="str">
        <f t="shared" si="273"/>
        <v>500,6353.00</v>
      </c>
      <c r="ET47" s="64" t="str">
        <f t="shared" ca="1" si="274"/>
        <v>500,00.00</v>
      </c>
      <c r="EU47" s="67">
        <v>562.41</v>
      </c>
      <c r="EV47" s="67" t="s">
        <v>396</v>
      </c>
      <c r="EW47" s="67">
        <v>484.92</v>
      </c>
      <c r="EX47" s="67" t="s">
        <v>397</v>
      </c>
      <c r="EY47" s="67">
        <v>5637.75</v>
      </c>
      <c r="EZ47" s="67" t="s">
        <v>398</v>
      </c>
      <c r="FA47" s="67">
        <v>19919.25</v>
      </c>
      <c r="FB47" s="67" t="s">
        <v>399</v>
      </c>
      <c r="FC47" s="67" t="s">
        <v>400</v>
      </c>
      <c r="FD47" s="67" t="s">
        <v>401</v>
      </c>
      <c r="FE47" s="68" t="s">
        <v>402</v>
      </c>
      <c r="FF47" s="68" t="s">
        <v>403</v>
      </c>
    </row>
    <row r="48" spans="1:162" ht="13.5" thickBot="1" x14ac:dyDescent="0.25">
      <c r="A48" s="2">
        <f t="shared" si="292"/>
        <v>499</v>
      </c>
      <c r="B48" s="3">
        <f t="shared" si="240"/>
        <v>756</v>
      </c>
      <c r="C48" s="3">
        <f t="shared" si="241"/>
        <v>898</v>
      </c>
      <c r="D48" s="3">
        <f t="shared" si="242"/>
        <v>356</v>
      </c>
      <c r="E48" s="3">
        <f t="shared" si="243"/>
        <v>2010</v>
      </c>
      <c r="F48" s="4">
        <f t="shared" ref="F48:F79" si="296">+$F$44/$A$44*A48</f>
        <v>20597.522850980793</v>
      </c>
      <c r="AM48" s="1">
        <v>707</v>
      </c>
      <c r="AN48" s="1">
        <v>0</v>
      </c>
      <c r="AO48" s="1">
        <v>499</v>
      </c>
      <c r="AP48" s="1">
        <v>1787</v>
      </c>
      <c r="AQ48" s="1">
        <v>-2</v>
      </c>
      <c r="AS48" s="6">
        <f>IF(RTD("tos.rtd",,AS$43,"."&amp;$A$43&amp;$AS$42&amp;"C"&amp;$A48)="N/A",0,RTD("tos.rtd",,AS$43,"."&amp;$A$43&amp;$AS$42&amp;"C"&amp;$A48))</f>
        <v>755</v>
      </c>
      <c r="AT48" s="7">
        <f>-IF(RTD("tos.rtd",,AT$43,"."&amp;$A$43&amp;$AS$42&amp;"P"&amp;$A48)="N/A",0,RTD("tos.rtd",,AT$43,"."&amp;$A$43&amp;$AS$42&amp;"P"&amp;$A48))</f>
        <v>-1</v>
      </c>
      <c r="AU48" s="6">
        <f>IF(RTD("tos.rtd",,AU$2,"."&amp;$A$43&amp;$AU$1&amp;"C"&amp;$A48)="N/A",0,RTD("tos.rtd",,AU$2,"."&amp;$A$43&amp;$AU$1&amp;"C"&amp;$A48))</f>
        <v>893</v>
      </c>
      <c r="AV48" s="7">
        <f>-IF(RTD("tos.rtd",,AV$2,"."&amp;$A$43&amp;$AU$1&amp;"P"&amp;$A48)="N/A",0,RTD("tos.rtd",,AV$2,"."&amp;$A$43&amp;$AU$1&amp;"P"&amp;$A48))</f>
        <v>-5</v>
      </c>
      <c r="AW48" s="6">
        <f>IF(RTD("tos.rtd",,AW$2,"."&amp;$A$43&amp;$AW$1&amp;"C"&amp;$A48)="N/A",0,RTD("tos.rtd",,AW$2,"."&amp;$A$43&amp;$AW$1&amp;"C"&amp;$A48))</f>
        <v>355</v>
      </c>
      <c r="AX48" s="7">
        <f>-IF(RTD("tos.rtd",,AX$2,"."&amp;$A$43&amp;$AW$1&amp;"P"&amp;$A48)="N/A",0,RTD("tos.rtd",,AX$2,"."&amp;$A$43&amp;$AW$1&amp;"P"&amp;$A48))</f>
        <v>-1</v>
      </c>
      <c r="AY48" s="7">
        <f t="shared" si="275"/>
        <v>1996</v>
      </c>
      <c r="AZ48" s="8">
        <f t="shared" si="244"/>
        <v>499</v>
      </c>
      <c r="BA48" s="6">
        <f>IF(RTD("tos.rtd",,BA$43,"."&amp;$A$43&amp;$AS$42&amp;"C"&amp;$A48)="N/A",0,RTD("tos.rtd",,BA$43,"."&amp;$A$43&amp;$AS$42&amp;"C"&amp;$A48))</f>
        <v>1787</v>
      </c>
      <c r="BB48" s="7">
        <f>-IF(RTD("tos.rtd",,BB$43,"."&amp;$A$43&amp;$AS$42&amp;"P"&amp;$A48)="N/A",0,RTD("tos.rtd",,BB$43,"."&amp;$A$43&amp;$AS$42&amp;"P"&amp;$A48))</f>
        <v>-2</v>
      </c>
      <c r="BC48" s="6">
        <f>IF(RTD("tos.rtd",,BC$2,"."&amp;$A$43&amp;$AU$1&amp;"C"&amp;$A48)="N/A",0,RTD("tos.rtd",,BC$2,"."&amp;$A$43&amp;$AU$1&amp;"C"&amp;$A48))</f>
        <v>299</v>
      </c>
      <c r="BD48" s="7">
        <f>-IF(RTD("tos.rtd",,BD$2,"."&amp;$A$43&amp;$AU$1&amp;"P"&amp;$A48)="N/A",0,RTD("tos.rtd",,BD$2,"."&amp;$A$43&amp;$AU$1&amp;"P"&amp;$A48))</f>
        <v>0</v>
      </c>
      <c r="BE48" s="6">
        <f>IF(RTD("tos.rtd",,BE$2,"."&amp;$A$43&amp;$AW$1&amp;"C"&amp;$A48)="N/A",0,RTD("tos.rtd",,BE$2,"."&amp;$A$43&amp;$AW$1&amp;"C"&amp;$A48))</f>
        <v>920</v>
      </c>
      <c r="BF48" s="7">
        <f>-IF(RTD("tos.rtd",,BF$2,"."&amp;$A$43&amp;$AW$1&amp;"P"&amp;$A48)="N/A",0,RTD("tos.rtd",,BF$2,"."&amp;$A$43&amp;$AW$1&amp;"P"&amp;$A48))</f>
        <v>-1</v>
      </c>
      <c r="BG48" s="32">
        <f ca="1">+Hoja2!Y49</f>
        <v>-229</v>
      </c>
      <c r="BH48" s="7">
        <f t="shared" ca="1" si="276"/>
        <v>2774</v>
      </c>
      <c r="BI48" s="8" t="str">
        <f t="shared" ca="1" si="293"/>
        <v/>
      </c>
      <c r="BJ48" s="83" t="e">
        <f ca="1">IF($BP$1=1,DX48,IF(RTD("tos.rtd",,BJ$43,"."&amp;$A$43&amp;$AS$42&amp;"C"&amp;$A48)="N/A",0,RTD("tos.rtd",,BJ$43,"."&amp;$A$43&amp;$AS$42&amp;"C"&amp;$A48)))</f>
        <v>#NUM!</v>
      </c>
      <c r="BK48" s="83" t="e">
        <f ca="1">IF($BP$1=1,DY48,-IF(RTD("tos.rtd",,BK$43,"."&amp;$A$43&amp;$AS$42&amp;"P"&amp;$A48)="N/A",0,RTD("tos.rtd",,BK$43,"."&amp;$A$43&amp;$AS$42&amp;"P"&amp;$A48)))</f>
        <v>#NUM!</v>
      </c>
      <c r="BL48" s="83">
        <f ca="1">IF($BP$1=1,DZ48,IF(RTD("tos.rtd",,BL$2,"."&amp;$A$43&amp;$AU$1&amp;"C"&amp;$A48)="N/A",0,RTD("tos.rtd",,BL$2,"."&amp;$A$43&amp;$AU$1&amp;"C"&amp;$A48)))</f>
        <v>1.9233566839464464E-2</v>
      </c>
      <c r="BM48" s="83">
        <f ca="1">IF($BP$1=1,EA48,-IF(RTD("tos.rtd",,BM$2,"."&amp;$A$43&amp;$AU$1&amp;"P"&amp;$A48)="N/A",0,RTD("tos.rtd",,BM$2,"."&amp;$A$43&amp;$AU$1&amp;"P"&amp;$A48)))</f>
        <v>-1.5668172122093767E-2</v>
      </c>
      <c r="BN48" s="83">
        <f ca="1">IF($BP$1=1,EB48,IF(RTD("tos.rtd",,BN$2,"."&amp;$A$43&amp;$AW$1&amp;"C"&amp;$A48)="N/A",0,RTD("tos.rtd",,BN$2,"."&amp;$A$43&amp;$AW$1&amp;"C"&amp;$A48)))</f>
        <v>1.6687401621437396E-2</v>
      </c>
      <c r="BO48" s="83">
        <f ca="1">IF($BP$1=1,EC48,-IF(RTD("tos.rtd",,BO$2,"."&amp;$A$43&amp;$AW$1&amp;"P"&amp;$A48)="N/A",0,RTD("tos.rtd",,BO$2,"."&amp;$A$43&amp;$AW$1&amp;"P"&amp;$A48)))</f>
        <v>-2.056129029405598E-2</v>
      </c>
      <c r="BQ48" s="83" t="e">
        <f t="shared" ca="1" si="277"/>
        <v>#NUM!</v>
      </c>
      <c r="BR48" s="3" t="e">
        <f t="shared" ca="1" si="278"/>
        <v>#NUM!</v>
      </c>
      <c r="BS48" s="83">
        <f t="shared" ca="1" si="279"/>
        <v>4052436.4468602794</v>
      </c>
      <c r="BT48" s="3" t="str">
        <f t="shared" ca="1" si="280"/>
        <v/>
      </c>
      <c r="BU48" s="83">
        <f t="shared" ca="1" si="281"/>
        <v>1399256.8318258692</v>
      </c>
      <c r="BV48" s="83"/>
      <c r="BX48" s="83" t="e">
        <f t="shared" ca="1" si="282"/>
        <v>#NUM!</v>
      </c>
      <c r="BY48" s="83" t="e">
        <f t="shared" ca="1" si="294"/>
        <v>#NUM!</v>
      </c>
      <c r="BZ48" s="83">
        <f t="shared" ca="1" si="283"/>
        <v>1363080.0704942977</v>
      </c>
      <c r="CA48" s="83" t="str">
        <f t="shared" ca="1" si="294"/>
        <v/>
      </c>
      <c r="CB48" s="83">
        <f t="shared" ca="1" si="284"/>
        <v>3633999.468028916</v>
      </c>
      <c r="CC48" s="83" t="str">
        <f t="shared" ca="1" si="294"/>
        <v/>
      </c>
      <c r="CD48" s="83">
        <f>IF(RTD("tos.rtd",,CD$43,"."&amp;$A$43&amp;$AS$42&amp;"C"&amp;$A48)="N/A",0,RTD("tos.rtd",,CD$43,"."&amp;$A$43&amp;$AS$42&amp;"C"&amp;$A48))</f>
        <v>0</v>
      </c>
      <c r="CE48" s="83">
        <f>-IF(RTD("tos.rtd",,CE$43,"."&amp;$A$43&amp;$AS$42&amp;"P"&amp;$A48)="N/A",0,RTD("tos.rtd",,CE$43,"."&amp;$A$43&amp;$AS$42&amp;"P"&amp;$A48))</f>
        <v>0.73</v>
      </c>
      <c r="CF48" s="83">
        <f>IF(RTD("tos.rtd",,CF$2,"."&amp;$A$43&amp;$AU$1&amp;"C"&amp;$A48)="N/A",0,RTD("tos.rtd",,CF$2,"."&amp;$A$43&amp;$AU$1&amp;"C"&amp;$A48))</f>
        <v>0.06</v>
      </c>
      <c r="CG48" s="83">
        <f>-IF(RTD("tos.rtd",,CG$2,"."&amp;$A$43&amp;$AU$1&amp;"P"&amp;$A48)="N/A",0,RTD("tos.rtd",,CG$2,"."&amp;$A$43&amp;$AU$1&amp;"P"&amp;$A48))</f>
        <v>0.73</v>
      </c>
      <c r="CH48" s="83">
        <f>IF(RTD("tos.rtd",,CH$2,"."&amp;$A$43&amp;$AW$1&amp;"C"&amp;$A48)="N/A",0,RTD("tos.rtd",,CH$2,"."&amp;$A$43&amp;$AW$1&amp;"C"&amp;$A48))</f>
        <v>0.23</v>
      </c>
      <c r="CI48" s="83">
        <f>-IF(RTD("tos.rtd",,CI$2,"."&amp;$A$43&amp;$AW$1&amp;"P"&amp;$A48)="N/A",0,RTD("tos.rtd",,CI$2,"."&amp;$A$43&amp;$AW$1&amp;"P"&amp;$A48))</f>
        <v>0.68</v>
      </c>
      <c r="CK48" s="83">
        <f t="shared" si="285"/>
        <v>-73</v>
      </c>
      <c r="CL48" s="83"/>
      <c r="CM48" s="83">
        <f t="shared" si="286"/>
        <v>4993</v>
      </c>
      <c r="CN48" s="83"/>
      <c r="CO48" s="83">
        <f t="shared" si="287"/>
        <v>8097.0000000000009</v>
      </c>
      <c r="CP48" s="83">
        <f t="shared" si="234"/>
        <v>13017</v>
      </c>
      <c r="CQ48" s="83">
        <f t="shared" si="248"/>
        <v>1785</v>
      </c>
      <c r="CR48" s="83"/>
      <c r="CS48" s="83">
        <f t="shared" si="249"/>
        <v>299</v>
      </c>
      <c r="CT48" s="83"/>
      <c r="CU48" s="83">
        <f t="shared" si="250"/>
        <v>919</v>
      </c>
      <c r="CV48" s="83"/>
      <c r="CW48" s="83" t="e">
        <f t="shared" ca="1" si="251"/>
        <v>#NUM!</v>
      </c>
      <c r="CY48" s="83" t="e">
        <f t="shared" ca="1" si="252"/>
        <v>#NUM!</v>
      </c>
      <c r="CZ48" s="70" t="e">
        <f t="shared" ca="1" si="295"/>
        <v>#NUM!</v>
      </c>
      <c r="DA48" s="83">
        <f>IF(RTD("tos.rtd",,DA$43,"."&amp;$A$43&amp;$AS$42&amp;"C"&amp;$A48)="N/A",0,RTD("tos.rtd",,DA$43,"."&amp;$A$43&amp;$AS$42&amp;"C"&amp;$A48))</f>
        <v>0.01</v>
      </c>
      <c r="DB48" s="83">
        <f>IF(RTD("tos.rtd",,DB$43,"."&amp;$A$43&amp;$AS$42&amp;"P"&amp;$A48)="N/A",0,RTD("tos.rtd",,DB$43,"."&amp;$A$43&amp;$AS$42&amp;"P"&amp;$A48))</f>
        <v>17.670000000000002</v>
      </c>
      <c r="DC48" s="83">
        <f>IF(RTD("tos.rtd",,DC$43,"."&amp;$A$43&amp;$AS$42&amp;"C"&amp;$A48)="N/A",0,RTD("tos.rtd",,DC$43,"."&amp;$A$43&amp;$AS$42&amp;"C"&amp;$A48))</f>
        <v>0.01</v>
      </c>
      <c r="DD48" s="83">
        <f>IF(RTD("tos.rtd",,DD$43,"."&amp;$A$43&amp;$AS$42&amp;"P"&amp;$A48)="N/A",0,RTD("tos.rtd",,DD$43,"."&amp;$A$43&amp;$AS$42&amp;"P"&amp;$A48))</f>
        <v>17.14</v>
      </c>
      <c r="DE48" s="83">
        <f>IF(RTD("tos.rtd",,DE$43,"."&amp;$A$43&amp;$AS$42&amp;"C"&amp;$A48)="N/A",0,RTD("tos.rtd",,DE$43,"."&amp;$A$43&amp;$AS$42&amp;"C"&amp;$A48))</f>
        <v>0</v>
      </c>
      <c r="DF48" s="83">
        <f>IF(RTD("tos.rtd",,DF$43,"."&amp;$A$43&amp;$AS$42&amp;"P"&amp;$A48)="N/A",0,RTD("tos.rtd",,DF$43,"."&amp;$A$43&amp;$AS$42&amp;"P"&amp;$A48))</f>
        <v>13.44</v>
      </c>
      <c r="DG48" s="86">
        <f t="shared" si="288"/>
        <v>12.149999999999977</v>
      </c>
      <c r="DH48" s="83">
        <f t="shared" si="253"/>
        <v>0</v>
      </c>
      <c r="DI48" s="83">
        <f t="shared" si="254"/>
        <v>0</v>
      </c>
      <c r="DJ48" s="83">
        <f t="shared" si="255"/>
        <v>0</v>
      </c>
      <c r="DK48" s="83">
        <f t="shared" si="256"/>
        <v>0</v>
      </c>
      <c r="DL48" s="83">
        <f t="shared" si="257"/>
        <v>0</v>
      </c>
      <c r="DM48" s="83">
        <f t="shared" si="258"/>
        <v>0</v>
      </c>
      <c r="DN48" s="64" t="str">
        <f t="shared" si="259"/>
        <v>UNKNOWN</v>
      </c>
      <c r="DO48" s="64" t="str">
        <f t="shared" si="260"/>
        <v>UNKNOWN</v>
      </c>
      <c r="DP48" s="83">
        <f t="shared" si="261"/>
        <v>0</v>
      </c>
      <c r="DQ48" s="83">
        <f t="shared" si="262"/>
        <v>0</v>
      </c>
      <c r="DR48" s="83" t="e">
        <f t="shared" ca="1" si="263"/>
        <v>#NUM!</v>
      </c>
      <c r="DS48" s="83">
        <f t="shared" si="264"/>
        <v>0</v>
      </c>
      <c r="DT48" s="83">
        <f t="shared" si="289"/>
        <v>0</v>
      </c>
      <c r="DU48" s="83">
        <f t="shared" si="290"/>
        <v>0</v>
      </c>
      <c r="DV48" s="83">
        <f t="shared" si="265"/>
        <v>707</v>
      </c>
      <c r="DW48" s="83">
        <f t="shared" si="266"/>
        <v>0</v>
      </c>
      <c r="DX48" s="83" t="e">
        <f ca="1">(EXP(-POWER((LN($A$44/$A48)+($EC$1+POWER($EE48,2)/2)*($EM$1/$DY$1))/($EE48*SQRT($EM$1/$DY$1)),2)/2)/SQRT(2*PI())/($A$44*$EE48*SQRT($EM$1/$DY$1)))</f>
        <v>#NUM!</v>
      </c>
      <c r="DY48" s="83" t="e">
        <f ca="1">-(EXP(-POWER((LN($A$44/$A48)+($EC$1+POWER($EF48,2)/2)*($EM$1/$DY$1))/($EF48*SQRT($EM$1/$DY$1)),2)/2)/SQRT(2*PI())/($A$44*$EF48*SQRT($EM$1/$DY$1)))</f>
        <v>#NUM!</v>
      </c>
      <c r="DZ48" s="83">
        <f ca="1">(EXP(-POWER((LN($A$44/$A48)+($EC$1+POWER($EG48,2)/2)*($EO$1/$DY$1))/($EG48*SQRT($EO$1/$DY$1)),2)/2)/SQRT(2*PI())/($A$44*$EG48*SQRT($EO$1/$DY$1)))</f>
        <v>1.9233566839464464E-2</v>
      </c>
      <c r="EA48" s="83">
        <f ca="1">-(EXP(-POWER((LN($A$44/$A48)+($EC$1+POWER($EH48,2)/2)*($EO$1/$DY$1))/($EH48*SQRT($EO$1/$DY$1)),2)/2)/SQRT(2*PI())/($A$44*$EH48*SQRT($EO$1/$DY$1)))</f>
        <v>-1.5668172122093767E-2</v>
      </c>
      <c r="EB48" s="83">
        <f ca="1">(EXP(-POWER((LN($A$44/$A48)+($EC$1+POWER($EI48,2)/2)*($EO$1/$DY$1))/($EI48*SQRT($EO$1/$DY$1)),2)/2)/SQRT(2*PI())/($A$44*$EI48*SQRT($EO$1/$DY$1)))</f>
        <v>1.6687401621437396E-2</v>
      </c>
      <c r="EC48" s="83">
        <f ca="1">-(EXP(-POWER((LN($A$44/$A48)+($EC$1+POWER($EJ48,2)/2)*($EO$1/$DY$1))/($EJ48*SQRT($EO$1/$DY$1)),2)/2)/SQRT(2*PI())/($A$44*$EJ48*SQRT($EO$1/$DY$1)))</f>
        <v>-2.056129029405598E-2</v>
      </c>
      <c r="ED48" s="63">
        <f t="shared" si="291"/>
        <v>707</v>
      </c>
      <c r="EE48" s="84">
        <f t="shared" si="267"/>
        <v>1.2144999999999999</v>
      </c>
      <c r="EF48" s="84">
        <f t="shared" si="268"/>
        <v>5.2195</v>
      </c>
      <c r="EG48" s="84">
        <f t="shared" si="269"/>
        <v>0.23380000000000001</v>
      </c>
      <c r="EH48" s="84">
        <f t="shared" si="270"/>
        <v>0.56340000000000001</v>
      </c>
      <c r="EI48" s="84">
        <f t="shared" si="271"/>
        <v>0.2001</v>
      </c>
      <c r="EJ48" s="84">
        <f t="shared" si="272"/>
        <v>0.31830000000000003</v>
      </c>
      <c r="EL48" s="83" t="str">
        <f>RTD("tos.rtd",,EL$43,"."&amp;$A$43&amp;$AS$42&amp;"C"&amp;$A48)</f>
        <v>121.45%</v>
      </c>
      <c r="EM48" s="83" t="str">
        <f>RTD("tos.rtd",,EM$43,"."&amp;$A$43&amp;$AS$42&amp;"P"&amp;$A48)</f>
        <v>521.95%</v>
      </c>
      <c r="EN48" s="83" t="str">
        <f>RTD("tos.rtd",,EN$2,"."&amp;$A$43&amp;$AU$1&amp;"C"&amp;$A48)</f>
        <v>23.38%</v>
      </c>
      <c r="EO48" s="83" t="str">
        <f>RTD("tos.rtd",,EO$2,"."&amp;$A$43&amp;$AU$1&amp;"P"&amp;$A48)</f>
        <v>56.34%</v>
      </c>
      <c r="EP48" s="83" t="str">
        <f>RTD("tos.rtd",,EP$2,"."&amp;$A$43&amp;$AW$1&amp;"C"&amp;$A48)</f>
        <v>20.01%</v>
      </c>
      <c r="EQ48" s="83" t="str">
        <f>RTD("tos.rtd",,EQ$2,"."&amp;$A$43&amp;$AW$1&amp;"P"&amp;$A48)</f>
        <v>31.83%</v>
      </c>
      <c r="ES48" s="63" t="str">
        <f t="shared" si="273"/>
        <v>499,707.00</v>
      </c>
      <c r="ET48" s="64" t="str">
        <f t="shared" ca="1" si="274"/>
        <v>499,00.00</v>
      </c>
      <c r="EU48" s="67">
        <v>562.51</v>
      </c>
      <c r="EV48" s="67" t="s">
        <v>404</v>
      </c>
      <c r="EW48" s="67">
        <v>484.93</v>
      </c>
      <c r="EX48" s="67" t="s">
        <v>405</v>
      </c>
      <c r="EY48" s="67">
        <v>5637.5</v>
      </c>
      <c r="EZ48" s="67" t="s">
        <v>406</v>
      </c>
      <c r="FA48" s="67">
        <v>19917.75</v>
      </c>
      <c r="FB48" s="67" t="s">
        <v>407</v>
      </c>
      <c r="FC48" s="67" t="s">
        <v>408</v>
      </c>
      <c r="FD48" s="67" t="s">
        <v>409</v>
      </c>
      <c r="FE48" s="68" t="s">
        <v>410</v>
      </c>
      <c r="FF48" s="68" t="s">
        <v>411</v>
      </c>
    </row>
    <row r="49" spans="1:162" ht="13.5" thickBot="1" x14ac:dyDescent="0.25">
      <c r="A49" s="2">
        <f t="shared" si="292"/>
        <v>498</v>
      </c>
      <c r="B49" s="3">
        <f t="shared" ref="B49:B56" si="297">+IF($A$1="ABS",AS49-AT49,AS49+AT49)</f>
        <v>883</v>
      </c>
      <c r="C49" s="3">
        <f t="shared" ref="C49:C56" si="298">+IF($A$1="ABS",AU49-AV49,AU49+AV49)</f>
        <v>909</v>
      </c>
      <c r="D49" s="3">
        <f t="shared" ref="D49:D56" si="299">+IF($A$1="ABS",AW49-AX49,AW49+AX49)</f>
        <v>871</v>
      </c>
      <c r="E49" s="3">
        <f t="shared" ref="E49:E56" si="300">SUM(B49:D49)</f>
        <v>2663</v>
      </c>
      <c r="F49" s="4">
        <f t="shared" ref="F49:F56" si="301">+$F$44/$A$44*A49</f>
        <v>20556.245250077027</v>
      </c>
      <c r="AM49" s="1">
        <v>-801</v>
      </c>
      <c r="AN49" s="1">
        <v>-7</v>
      </c>
      <c r="AO49" s="1">
        <v>498</v>
      </c>
      <c r="AP49" s="1">
        <v>2585</v>
      </c>
      <c r="AQ49" s="1">
        <v>-9</v>
      </c>
      <c r="AS49" s="6">
        <f>IF(RTD("tos.rtd",,AS$43,"."&amp;$A$43&amp;$AS$42&amp;"C"&amp;$A49)="N/A",0,RTD("tos.rtd",,AS$43,"."&amp;$A$43&amp;$AS$42&amp;"C"&amp;$A49))</f>
        <v>873</v>
      </c>
      <c r="AT49" s="7">
        <f>-IF(RTD("tos.rtd",,AT$43,"."&amp;$A$43&amp;$AS$42&amp;"P"&amp;$A49)="N/A",0,RTD("tos.rtd",,AT$43,"."&amp;$A$43&amp;$AS$42&amp;"P"&amp;$A49))</f>
        <v>-10</v>
      </c>
      <c r="AU49" s="6">
        <f>IF(RTD("tos.rtd",,AU$2,"."&amp;$A$43&amp;$AU$1&amp;"C"&amp;$A49)="N/A",0,RTD("tos.rtd",,AU$2,"."&amp;$A$43&amp;$AU$1&amp;"C"&amp;$A49))</f>
        <v>895</v>
      </c>
      <c r="AV49" s="7">
        <f>-IF(RTD("tos.rtd",,AV$2,"."&amp;$A$43&amp;$AU$1&amp;"P"&amp;$A49)="N/A",0,RTD("tos.rtd",,AV$2,"."&amp;$A$43&amp;$AU$1&amp;"P"&amp;$A49))</f>
        <v>-14</v>
      </c>
      <c r="AW49" s="6">
        <f>IF(RTD("tos.rtd",,AW$2,"."&amp;$A$43&amp;$AW$1&amp;"C"&amp;$A49)="N/A",0,RTD("tos.rtd",,AW$2,"."&amp;$A$43&amp;$AW$1&amp;"C"&amp;$A49))</f>
        <v>856</v>
      </c>
      <c r="AX49" s="7">
        <f>-IF(RTD("tos.rtd",,AX$2,"."&amp;$A$43&amp;$AW$1&amp;"P"&amp;$A49)="N/A",0,RTD("tos.rtd",,AX$2,"."&amp;$A$43&amp;$AW$1&amp;"P"&amp;$A49))</f>
        <v>-15</v>
      </c>
      <c r="AY49" s="7">
        <f t="shared" ref="AY49:AY56" si="302">SUM(AS49:AX49)</f>
        <v>2585</v>
      </c>
      <c r="AZ49" s="8">
        <f t="shared" si="244"/>
        <v>498</v>
      </c>
      <c r="BA49" s="6">
        <f>IF(RTD("tos.rtd",,BA$43,"."&amp;$A$43&amp;$AS$42&amp;"C"&amp;$A49)="N/A",0,RTD("tos.rtd",,BA$43,"."&amp;$A$43&amp;$AS$42&amp;"C"&amp;$A49))</f>
        <v>2585</v>
      </c>
      <c r="BB49" s="7">
        <f>-IF(RTD("tos.rtd",,BB$43,"."&amp;$A$43&amp;$AS$42&amp;"P"&amp;$A49)="N/A",0,RTD("tos.rtd",,BB$43,"."&amp;$A$43&amp;$AS$42&amp;"P"&amp;$A49))</f>
        <v>-9</v>
      </c>
      <c r="BC49" s="6">
        <f>IF(RTD("tos.rtd",,BC$2,"."&amp;$A$43&amp;$AU$1&amp;"C"&amp;$A49)="N/A",0,RTD("tos.rtd",,BC$2,"."&amp;$A$43&amp;$AU$1&amp;"C"&amp;$A49))</f>
        <v>956</v>
      </c>
      <c r="BD49" s="7">
        <f>-IF(RTD("tos.rtd",,BD$2,"."&amp;$A$43&amp;$AU$1&amp;"P"&amp;$A49)="N/A",0,RTD("tos.rtd",,BD$2,"."&amp;$A$43&amp;$AU$1&amp;"P"&amp;$A49))</f>
        <v>-5</v>
      </c>
      <c r="BE49" s="6">
        <f>IF(RTD("tos.rtd",,BE$2,"."&amp;$A$43&amp;$AW$1&amp;"C"&amp;$A49)="N/A",0,RTD("tos.rtd",,BE$2,"."&amp;$A$43&amp;$AW$1&amp;"C"&amp;$A49))</f>
        <v>891</v>
      </c>
      <c r="BF49" s="7">
        <f>-IF(RTD("tos.rtd",,BF$2,"."&amp;$A$43&amp;$AW$1&amp;"P"&amp;$A49)="N/A",0,RTD("tos.rtd",,BF$2,"."&amp;$A$43&amp;$AW$1&amp;"P"&amp;$A49))</f>
        <v>-10</v>
      </c>
      <c r="BG49" s="32">
        <f ca="1">+Hoja2!Y50</f>
        <v>1532</v>
      </c>
      <c r="BH49" s="7">
        <f t="shared" ca="1" si="276"/>
        <v>5940</v>
      </c>
      <c r="BI49" s="8" t="str">
        <f t="shared" ca="1" si="293"/>
        <v/>
      </c>
      <c r="BJ49" s="83" t="e">
        <f ca="1">IF($BP$1=1,DX49,IF(RTD("tos.rtd",,BJ$43,"."&amp;$A$43&amp;$AS$42&amp;"C"&amp;$A49)="N/A",0,RTD("tos.rtd",,BJ$43,"."&amp;$A$43&amp;$AS$42&amp;"C"&amp;$A49)))</f>
        <v>#NUM!</v>
      </c>
      <c r="BK49" s="83" t="e">
        <f ca="1">IF($BP$1=1,DY49,-IF(RTD("tos.rtd",,BK$43,"."&amp;$A$43&amp;$AS$42&amp;"P"&amp;$A49)="N/A",0,RTD("tos.rtd",,BK$43,"."&amp;$A$43&amp;$AS$42&amp;"P"&amp;$A49)))</f>
        <v>#NUM!</v>
      </c>
      <c r="BL49" s="83">
        <f ca="1">IF($BP$1=1,DZ49,IF(RTD("tos.rtd",,BL$2,"."&amp;$A$43&amp;$AU$1&amp;"C"&amp;$A49)="N/A",0,RTD("tos.rtd",,BL$2,"."&amp;$A$43&amp;$AU$1&amp;"C"&amp;$A49)))</f>
        <v>2.1691476848014118E-2</v>
      </c>
      <c r="BM49" s="83">
        <f ca="1">IF($BP$1=1,EA49,-IF(RTD("tos.rtd",,BM$2,"."&amp;$A$43&amp;$AU$1&amp;"P"&amp;$A49)="N/A",0,RTD("tos.rtd",,BM$2,"."&amp;$A$43&amp;$AU$1&amp;"P"&amp;$A49)))</f>
        <v>-1.6374013813238698E-2</v>
      </c>
      <c r="BN49" s="83">
        <f ca="1">IF($BP$1=1,EB49,IF(RTD("tos.rtd",,BN$2,"."&amp;$A$43&amp;$AW$1&amp;"C"&amp;$A49)="N/A",0,RTD("tos.rtd",,BN$2,"."&amp;$A$43&amp;$AW$1&amp;"C"&amp;$A49)))</f>
        <v>1.9880479678523622E-2</v>
      </c>
      <c r="BO49" s="83">
        <f ca="1">IF($BP$1=1,EC49,-IF(RTD("tos.rtd",,BO$2,"."&amp;$A$43&amp;$AW$1&amp;"P"&amp;$A49)="N/A",0,RTD("tos.rtd",,BO$2,"."&amp;$A$43&amp;$AW$1&amp;"P"&amp;$A49)))</f>
        <v>-2.2083568781288435E-2</v>
      </c>
      <c r="BQ49" s="83" t="e">
        <f t="shared" ref="BQ49:BQ56" ca="1" si="303">+$A$44*$A$44*AS49*BJ49-$A$44*$A$44*AT49*BK49</f>
        <v>#NUM!</v>
      </c>
      <c r="BR49" s="3" t="e">
        <f t="shared" ca="1" si="278"/>
        <v>#NUM!</v>
      </c>
      <c r="BS49" s="83">
        <f t="shared" ref="BS49:BS56" ca="1" si="304">+$A$44*$A$44*AU49*BL49-$A$44*$A$44*AV49*BM49</f>
        <v>4547198.3935933998</v>
      </c>
      <c r="BT49" s="3" t="str">
        <f t="shared" ca="1" si="280"/>
        <v/>
      </c>
      <c r="BU49" s="83">
        <f t="shared" ref="BU49:BU56" ca="1" si="305">+$A$44*$A$44*AW49*BN49-$A$44*$A$44*AX49*BO49</f>
        <v>3955068.0811777725</v>
      </c>
      <c r="BV49" s="83"/>
      <c r="BX49" s="83" t="e">
        <f t="shared" ref="BX49:BX56" ca="1" si="306">+$A$44*$A$44*BA49*BJ49-$A$44*$A$44*BB49*BK49</f>
        <v>#NUM!</v>
      </c>
      <c r="BY49" s="83" t="e">
        <f t="shared" ca="1" si="294"/>
        <v>#NUM!</v>
      </c>
      <c r="BZ49" s="83">
        <f t="shared" ref="BZ49:BZ56" ca="1" si="307">+$A$44*$A$44*BC49*BL49-$A$44*$A$44*BD49*BM49</f>
        <v>4895751.5544443242</v>
      </c>
      <c r="CA49" s="83" t="str">
        <f t="shared" ca="1" si="294"/>
        <v/>
      </c>
      <c r="CB49" s="83">
        <f t="shared" ref="CB49:CB56" ca="1" si="308">+$A$44*$A$44*BE49*BN49-$A$44*$A$44*BF49*BO49</f>
        <v>4146164.1700303196</v>
      </c>
      <c r="CC49" s="83" t="str">
        <f t="shared" ca="1" si="294"/>
        <v/>
      </c>
      <c r="CD49" s="83">
        <f>IF(RTD("tos.rtd",,CD$43,"."&amp;$A$43&amp;$AS$42&amp;"C"&amp;$A49)="N/A",0,RTD("tos.rtd",,CD$43,"."&amp;$A$43&amp;$AS$42&amp;"C"&amp;$A49))</f>
        <v>0</v>
      </c>
      <c r="CE49" s="83">
        <f>-IF(RTD("tos.rtd",,CE$43,"."&amp;$A$43&amp;$AS$42&amp;"P"&amp;$A49)="N/A",0,RTD("tos.rtd",,CE$43,"."&amp;$A$43&amp;$AS$42&amp;"P"&amp;$A49))</f>
        <v>0.72</v>
      </c>
      <c r="CF49" s="83">
        <f>IF(RTD("tos.rtd",,CF$2,"."&amp;$A$43&amp;$AU$1&amp;"C"&amp;$A49)="N/A",0,RTD("tos.rtd",,CF$2,"."&amp;$A$43&amp;$AU$1&amp;"C"&amp;$A49))</f>
        <v>0.08</v>
      </c>
      <c r="CG49" s="83">
        <f>-IF(RTD("tos.rtd",,CG$2,"."&amp;$A$43&amp;$AU$1&amp;"P"&amp;$A49)="N/A",0,RTD("tos.rtd",,CG$2,"."&amp;$A$43&amp;$AU$1&amp;"P"&amp;$A49))</f>
        <v>0.72</v>
      </c>
      <c r="CH49" s="83">
        <f>IF(RTD("tos.rtd",,CH$2,"."&amp;$A$43&amp;$AW$1&amp;"C"&amp;$A49)="N/A",0,RTD("tos.rtd",,CH$2,"."&amp;$A$43&amp;$AW$1&amp;"C"&amp;$A49))</f>
        <v>0.25</v>
      </c>
      <c r="CI49" s="83">
        <f>-IF(RTD("tos.rtd",,CI$2,"."&amp;$A$43&amp;$AW$1&amp;"P"&amp;$A49)="N/A",0,RTD("tos.rtd",,CI$2,"."&amp;$A$43&amp;$AW$1&amp;"P"&amp;$A49))</f>
        <v>0.67</v>
      </c>
      <c r="CK49" s="83">
        <f t="shared" ref="CK49:CK56" si="309">+AS49*CD49*100+AT49*CE49*100</f>
        <v>-719.99999999999989</v>
      </c>
      <c r="CL49" s="83"/>
      <c r="CM49" s="83">
        <f t="shared" ref="CM49:CM56" si="310">+AU49*CF49*100+AV49*CG49*100</f>
        <v>6152.0000000000009</v>
      </c>
      <c r="CN49" s="83"/>
      <c r="CO49" s="83">
        <f t="shared" ref="CO49:CO56" si="311">+AW49*CH49*100+AX49*CI49*100</f>
        <v>20395</v>
      </c>
      <c r="CP49" s="83">
        <f t="shared" ref="CP49:CP56" si="312">+CK49+CM49+CO49</f>
        <v>25827</v>
      </c>
      <c r="CQ49" s="83">
        <f t="shared" ref="CQ49:CQ56" si="313">+BA49+BB49</f>
        <v>2576</v>
      </c>
      <c r="CR49" s="83"/>
      <c r="CS49" s="83">
        <f t="shared" ref="CS49:CS56" si="314">+BC49+BD49</f>
        <v>951</v>
      </c>
      <c r="CT49" s="83"/>
      <c r="CU49" s="83">
        <f t="shared" ref="CU49:CU56" si="315">+BE49+BF49</f>
        <v>881</v>
      </c>
      <c r="CV49" s="83"/>
      <c r="CW49" s="83" t="e">
        <f t="shared" ref="CW49:CW56" ca="1" si="316">+BQ49+BS49+BU49</f>
        <v>#NUM!</v>
      </c>
      <c r="CY49" s="83" t="e">
        <f t="shared" ref="CY49:CY56" ca="1" si="317">+BX49+BZ49+CB49</f>
        <v>#NUM!</v>
      </c>
      <c r="CZ49" s="70" t="e">
        <f t="shared" ca="1" si="295"/>
        <v>#NUM!</v>
      </c>
      <c r="DA49" s="83">
        <f>IF(RTD("tos.rtd",,DA$43,"."&amp;$A$43&amp;$AS$42&amp;"C"&amp;$A49)="N/A",0,RTD("tos.rtd",,DA$43,"."&amp;$A$43&amp;$AS$42&amp;"C"&amp;$A49))</f>
        <v>0.01</v>
      </c>
      <c r="DB49" s="83">
        <f>IF(RTD("tos.rtd",,DB$43,"."&amp;$A$43&amp;$AS$42&amp;"P"&amp;$A49)="N/A",0,RTD("tos.rtd",,DB$43,"."&amp;$A$43&amp;$AS$42&amp;"P"&amp;$A49))</f>
        <v>16.48</v>
      </c>
      <c r="DC49" s="83">
        <f>IF(RTD("tos.rtd",,DC$43,"."&amp;$A$43&amp;$AS$42&amp;"C"&amp;$A49)="N/A",0,RTD("tos.rtd",,DC$43,"."&amp;$A$43&amp;$AS$42&amp;"C"&amp;$A49))</f>
        <v>0.01</v>
      </c>
      <c r="DD49" s="83">
        <f>IF(RTD("tos.rtd",,DD$43,"."&amp;$A$43&amp;$AS$42&amp;"P"&amp;$A49)="N/A",0,RTD("tos.rtd",,DD$43,"."&amp;$A$43&amp;$AS$42&amp;"P"&amp;$A49))</f>
        <v>16.14</v>
      </c>
      <c r="DE49" s="83">
        <f>IF(RTD("tos.rtd",,DE$43,"."&amp;$A$43&amp;$AS$42&amp;"C"&amp;$A49)="N/A",0,RTD("tos.rtd",,DE$43,"."&amp;$A$43&amp;$AS$42&amp;"C"&amp;$A49))</f>
        <v>0</v>
      </c>
      <c r="DF49" s="83">
        <f>IF(RTD("tos.rtd",,DF$43,"."&amp;$A$43&amp;$AS$42&amp;"P"&amp;$A49)="N/A",0,RTD("tos.rtd",,DF$43,"."&amp;$A$43&amp;$AS$42&amp;"P"&amp;$A49))</f>
        <v>12.52</v>
      </c>
      <c r="DG49" s="86">
        <f t="shared" si="288"/>
        <v>11.149999999999977</v>
      </c>
      <c r="DH49" s="83">
        <f t="shared" ref="DH49:DH56" si="318">((DA49-DE49)/(DC49-DE49))*(BA49-AP49)</f>
        <v>0</v>
      </c>
      <c r="DI49" s="83">
        <f t="shared" ref="DI49:DI56" si="319">((DB49-DF49)/(DD49-DF49))*(BB49-AQ49)</f>
        <v>0</v>
      </c>
      <c r="DJ49" s="83">
        <f t="shared" ref="DJ49:DJ56" si="320">IF(DA49&gt;=(DE49+(DC49-DE49)*0.6),(BA49-AP49),IF(DA49&lt;=(DE49+(DC49-DE49)*0.4),-(BA49-AP49),0))</f>
        <v>0</v>
      </c>
      <c r="DK49" s="83">
        <f t="shared" si="256"/>
        <v>0</v>
      </c>
      <c r="DL49" s="83">
        <f t="shared" si="257"/>
        <v>0</v>
      </c>
      <c r="DM49" s="83">
        <f t="shared" si="258"/>
        <v>0</v>
      </c>
      <c r="DN49" s="64" t="str">
        <f t="shared" si="259"/>
        <v>UNKNOWN</v>
      </c>
      <c r="DO49" s="64" t="str">
        <f t="shared" si="260"/>
        <v>UNKNOWN</v>
      </c>
      <c r="DP49" s="83">
        <f t="shared" si="261"/>
        <v>0</v>
      </c>
      <c r="DQ49" s="83">
        <f t="shared" si="262"/>
        <v>0</v>
      </c>
      <c r="DR49" s="83" t="e">
        <f t="shared" ca="1" si="263"/>
        <v>#NUM!</v>
      </c>
      <c r="DS49" s="83">
        <f t="shared" si="264"/>
        <v>0</v>
      </c>
      <c r="DT49" s="83">
        <f t="shared" si="289"/>
        <v>0</v>
      </c>
      <c r="DU49" s="83">
        <f t="shared" si="290"/>
        <v>0</v>
      </c>
      <c r="DV49" s="83">
        <f t="shared" si="265"/>
        <v>-801</v>
      </c>
      <c r="DW49" s="83">
        <f t="shared" si="266"/>
        <v>-7</v>
      </c>
      <c r="DX49" s="83" t="e">
        <f t="shared" ref="DX49:DX56" ca="1" si="321">(EXP(-POWER((LN($A$44/$A49)+($EC$1+POWER($EE49,2)/2)*($EM$1/$DY$1))/($EE49*SQRT($EM$1/$DY$1)),2)/2)/SQRT(2*PI())/($A$44*$EE49*SQRT($EM$1/$DY$1)))</f>
        <v>#NUM!</v>
      </c>
      <c r="DY49" s="83" t="e">
        <f t="shared" ref="DY49:DY56" ca="1" si="322">-(EXP(-POWER((LN($A$44/$A49)+($EC$1+POWER($EF49,2)/2)*($EM$1/$DY$1))/($EF49*SQRT($EM$1/$DY$1)),2)/2)/SQRT(2*PI())/($A$44*$EF49*SQRT($EM$1/$DY$1)))</f>
        <v>#NUM!</v>
      </c>
      <c r="DZ49" s="83">
        <f t="shared" ref="DZ49:DZ56" ca="1" si="323">(EXP(-POWER((LN($A$44/$A49)+($EC$1+POWER($EG49,2)/2)*($EO$1/$DY$1))/($EG49*SQRT($EO$1/$DY$1)),2)/2)/SQRT(2*PI())/($A$44*$EG49*SQRT($EO$1/$DY$1)))</f>
        <v>2.1691476848014118E-2</v>
      </c>
      <c r="EA49" s="83">
        <f t="shared" ref="EA49:EA56" ca="1" si="324">-(EXP(-POWER((LN($A$44/$A49)+($EC$1+POWER($EH49,2)/2)*($EO$1/$DY$1))/($EH49*SQRT($EO$1/$DY$1)),2)/2)/SQRT(2*PI())/($A$44*$EH49*SQRT($EO$1/$DY$1)))</f>
        <v>-1.6374013813238698E-2</v>
      </c>
      <c r="EB49" s="83">
        <f t="shared" ref="EB49:EB56" ca="1" si="325">(EXP(-POWER((LN($A$44/$A49)+($EC$1+POWER($EI49,2)/2)*($EO$1/$DY$1))/($EI49*SQRT($EO$1/$DY$1)),2)/2)/SQRT(2*PI())/($A$44*$EI49*SQRT($EO$1/$DY$1)))</f>
        <v>1.9880479678523622E-2</v>
      </c>
      <c r="EC49" s="83">
        <f t="shared" ref="EC49:EC56" ca="1" si="326">-(EXP(-POWER((LN($A$44/$A49)+($EC$1+POWER($EJ49,2)/2)*($EO$1/$DY$1))/($EJ49*SQRT($EO$1/$DY$1)),2)/2)/SQRT(2*PI())/($A$44*$EJ49*SQRT($EO$1/$DY$1)))</f>
        <v>-2.2083568781288435E-2</v>
      </c>
      <c r="ED49" s="63">
        <f t="shared" si="291"/>
        <v>-808</v>
      </c>
      <c r="EE49" s="84">
        <f t="shared" ref="EE49:EE56" si="327">IFERROR(VALUE(IF(OR(EL49="--",EL49="0.00%"),$EE$1,EL49)),$EE$1)</f>
        <v>1.1255999999999999</v>
      </c>
      <c r="EF49" s="84">
        <f t="shared" ref="EF49:EF56" si="328">IFERROR(VALUE(IF(OR(EM49="--",EM49="0.00%"),$EE$1,EM49)),$EE$1)</f>
        <v>5.0369000000000002</v>
      </c>
      <c r="EG49" s="84">
        <f t="shared" ref="EG49:EG56" si="329">IFERROR(VALUE(IF(OR(EN49="--",EN49="0.00%"),$EE$1,EN49)),$EE$1)</f>
        <v>0.22950000000000001</v>
      </c>
      <c r="EH49" s="84">
        <f t="shared" ref="EH49:EH56" si="330">IFERROR(VALUE(IF(OR(EO49="--",EO49="0.00%"),$EE$1,EO49)),$EE$1)</f>
        <v>0.54659999999999997</v>
      </c>
      <c r="EI49" s="84">
        <f t="shared" ref="EI49:EI56" si="331">IFERROR(VALUE(IF(OR(EP49="--",EP49="0.00%"),$EE$1,EP49)),$EE$1)</f>
        <v>0.20019999999999999</v>
      </c>
      <c r="EJ49" s="84">
        <f t="shared" ref="EJ49:EJ56" si="332">IFERROR(VALUE(IF(OR(EQ49="--",EQ49="0.00%"),$EE$1,EQ49)),$EE$1)</f>
        <v>0.3145</v>
      </c>
      <c r="EL49" s="83" t="str">
        <f>RTD("tos.rtd",,EL$43,"."&amp;$A$43&amp;$AS$42&amp;"C"&amp;$A49)</f>
        <v>112.56%</v>
      </c>
      <c r="EM49" s="83" t="str">
        <f>RTD("tos.rtd",,EM$43,"."&amp;$A$43&amp;$AS$42&amp;"P"&amp;$A49)</f>
        <v>503.69%</v>
      </c>
      <c r="EN49" s="83" t="str">
        <f>RTD("tos.rtd",,EN$2,"."&amp;$A$43&amp;$AU$1&amp;"C"&amp;$A49)</f>
        <v>22.95%</v>
      </c>
      <c r="EO49" s="83" t="str">
        <f>RTD("tos.rtd",,EO$2,"."&amp;$A$43&amp;$AU$1&amp;"P"&amp;$A49)</f>
        <v>54.66%</v>
      </c>
      <c r="EP49" s="83" t="str">
        <f>RTD("tos.rtd",,EP$2,"."&amp;$A$43&amp;$AW$1&amp;"C"&amp;$A49)</f>
        <v>20.02%</v>
      </c>
      <c r="EQ49" s="83" t="str">
        <f>RTD("tos.rtd",,EQ$2,"."&amp;$A$43&amp;$AW$1&amp;"P"&amp;$A49)</f>
        <v>31.45%</v>
      </c>
      <c r="ES49" s="63" t="str">
        <f t="shared" si="273"/>
        <v>498,-808.00</v>
      </c>
      <c r="ET49" s="64" t="str">
        <f t="shared" ca="1" si="274"/>
        <v>498,00.00</v>
      </c>
      <c r="EU49" s="68">
        <v>562.52</v>
      </c>
      <c r="EV49" s="68" t="s">
        <v>412</v>
      </c>
      <c r="EW49" s="68">
        <v>484.95</v>
      </c>
      <c r="EX49" s="68" t="s">
        <v>413</v>
      </c>
      <c r="EY49" s="68">
        <v>5637.75</v>
      </c>
      <c r="EZ49" s="68" t="s">
        <v>414</v>
      </c>
      <c r="FA49" s="68">
        <v>19917.5</v>
      </c>
      <c r="FB49" s="68" t="s">
        <v>415</v>
      </c>
      <c r="FC49" s="68" t="s">
        <v>416</v>
      </c>
      <c r="FD49" s="68" t="s">
        <v>417</v>
      </c>
      <c r="FE49" s="68" t="s">
        <v>418</v>
      </c>
      <c r="FF49" s="68" t="s">
        <v>419</v>
      </c>
    </row>
    <row r="50" spans="1:162" ht="13.5" thickBot="1" x14ac:dyDescent="0.25">
      <c r="A50" s="2">
        <f t="shared" si="292"/>
        <v>497</v>
      </c>
      <c r="B50" s="3">
        <f t="shared" si="297"/>
        <v>962</v>
      </c>
      <c r="C50" s="3">
        <f t="shared" si="298"/>
        <v>1074</v>
      </c>
      <c r="D50" s="3">
        <f t="shared" si="299"/>
        <v>332</v>
      </c>
      <c r="E50" s="3">
        <f t="shared" si="300"/>
        <v>2368</v>
      </c>
      <c r="F50" s="4">
        <f t="shared" si="301"/>
        <v>20514.967649173257</v>
      </c>
      <c r="AM50" s="1">
        <v>165</v>
      </c>
      <c r="AN50" s="1">
        <v>0</v>
      </c>
      <c r="AO50" s="1">
        <v>497</v>
      </c>
      <c r="AP50" s="1">
        <v>1223</v>
      </c>
      <c r="AQ50" s="1">
        <v>-8</v>
      </c>
      <c r="AS50" s="6">
        <f>IF(RTD("tos.rtd",,AS$43,"."&amp;$A$43&amp;$AS$42&amp;"C"&amp;$A50)="N/A",0,RTD("tos.rtd",,AS$43,"."&amp;$A$43&amp;$AS$42&amp;"C"&amp;$A50))</f>
        <v>952</v>
      </c>
      <c r="AT50" s="7">
        <f>-IF(RTD("tos.rtd",,AT$43,"."&amp;$A$43&amp;$AS$42&amp;"P"&amp;$A50)="N/A",0,RTD("tos.rtd",,AT$43,"."&amp;$A$43&amp;$AS$42&amp;"P"&amp;$A50))</f>
        <v>-10</v>
      </c>
      <c r="AU50" s="6">
        <f>IF(RTD("tos.rtd",,AU$2,"."&amp;$A$43&amp;$AU$1&amp;"C"&amp;$A50)="N/A",0,RTD("tos.rtd",,AU$2,"."&amp;$A$43&amp;$AU$1&amp;"C"&amp;$A50))</f>
        <v>1062</v>
      </c>
      <c r="AV50" s="7">
        <f>-IF(RTD("tos.rtd",,AV$2,"."&amp;$A$43&amp;$AU$1&amp;"P"&amp;$A50)="N/A",0,RTD("tos.rtd",,AV$2,"."&amp;$A$43&amp;$AU$1&amp;"P"&amp;$A50))</f>
        <v>-12</v>
      </c>
      <c r="AW50" s="6">
        <f>IF(RTD("tos.rtd",,AW$2,"."&amp;$A$43&amp;$AW$1&amp;"C"&amp;$A50)="N/A",0,RTD("tos.rtd",,AW$2,"."&amp;$A$43&amp;$AW$1&amp;"C"&amp;$A50))</f>
        <v>330</v>
      </c>
      <c r="AX50" s="7">
        <f>-IF(RTD("tos.rtd",,AX$2,"."&amp;$A$43&amp;$AW$1&amp;"P"&amp;$A50)="N/A",0,RTD("tos.rtd",,AX$2,"."&amp;$A$43&amp;$AW$1&amp;"P"&amp;$A50))</f>
        <v>-2</v>
      </c>
      <c r="AY50" s="7">
        <f t="shared" si="302"/>
        <v>2320</v>
      </c>
      <c r="AZ50" s="8">
        <f t="shared" si="244"/>
        <v>497</v>
      </c>
      <c r="BA50" s="6">
        <f>IF(RTD("tos.rtd",,BA$43,"."&amp;$A$43&amp;$AS$42&amp;"C"&amp;$A50)="N/A",0,RTD("tos.rtd",,BA$43,"."&amp;$A$43&amp;$AS$42&amp;"C"&amp;$A50))</f>
        <v>1223</v>
      </c>
      <c r="BB50" s="7">
        <f>-IF(RTD("tos.rtd",,BB$43,"."&amp;$A$43&amp;$AS$42&amp;"P"&amp;$A50)="N/A",0,RTD("tos.rtd",,BB$43,"."&amp;$A$43&amp;$AS$42&amp;"P"&amp;$A50))</f>
        <v>-8</v>
      </c>
      <c r="BC50" s="6">
        <f>IF(RTD("tos.rtd",,BC$2,"."&amp;$A$43&amp;$AU$1&amp;"C"&amp;$A50)="N/A",0,RTD("tos.rtd",,BC$2,"."&amp;$A$43&amp;$AU$1&amp;"C"&amp;$A50))</f>
        <v>2029</v>
      </c>
      <c r="BD50" s="7">
        <f>-IF(RTD("tos.rtd",,BD$2,"."&amp;$A$43&amp;$AU$1&amp;"P"&amp;$A50)="N/A",0,RTD("tos.rtd",,BD$2,"."&amp;$A$43&amp;$AU$1&amp;"P"&amp;$A50))</f>
        <v>-200</v>
      </c>
      <c r="BE50" s="6">
        <f>IF(RTD("tos.rtd",,BE$2,"."&amp;$A$43&amp;$AW$1&amp;"C"&amp;$A50)="N/A",0,RTD("tos.rtd",,BE$2,"."&amp;$A$43&amp;$AW$1&amp;"C"&amp;$A50))</f>
        <v>1020</v>
      </c>
      <c r="BF50" s="7">
        <f>-IF(RTD("tos.rtd",,BF$2,"."&amp;$A$43&amp;$AW$1&amp;"P"&amp;$A50)="N/A",0,RTD("tos.rtd",,BF$2,"."&amp;$A$43&amp;$AW$1&amp;"P"&amp;$A50))</f>
        <v>-7</v>
      </c>
      <c r="BG50" s="32">
        <f ca="1">+Hoja2!Y51</f>
        <v>-22</v>
      </c>
      <c r="BH50" s="7">
        <f t="shared" ca="1" si="276"/>
        <v>4035</v>
      </c>
      <c r="BI50" s="8" t="str">
        <f t="shared" ca="1" si="293"/>
        <v/>
      </c>
      <c r="BJ50" s="83" t="e">
        <f ca="1">IF($BP$1=1,DX50,IF(RTD("tos.rtd",,BJ$43,"."&amp;$A$43&amp;$AS$42&amp;"C"&amp;$A50)="N/A",0,RTD("tos.rtd",,BJ$43,"."&amp;$A$43&amp;$AS$42&amp;"C"&amp;$A50)))</f>
        <v>#NUM!</v>
      </c>
      <c r="BK50" s="83" t="e">
        <f ca="1">IF($BP$1=1,DY50,-IF(RTD("tos.rtd",,BK$43,"."&amp;$A$43&amp;$AS$42&amp;"P"&amp;$A50)="N/A",0,RTD("tos.rtd",,BK$43,"."&amp;$A$43&amp;$AS$42&amp;"P"&amp;$A50)))</f>
        <v>#NUM!</v>
      </c>
      <c r="BL50" s="83">
        <f ca="1">IF($BP$1=1,DZ50,IF(RTD("tos.rtd",,BL$2,"."&amp;$A$43&amp;$AU$1&amp;"C"&amp;$A50)="N/A",0,RTD("tos.rtd",,BL$2,"."&amp;$A$43&amp;$AU$1&amp;"C"&amp;$A50)))</f>
        <v>2.4390170597647781E-2</v>
      </c>
      <c r="BM50" s="83">
        <f ca="1">IF($BP$1=1,EA50,-IF(RTD("tos.rtd",,BM$2,"."&amp;$A$43&amp;$AU$1&amp;"P"&amp;$A50)="N/A",0,RTD("tos.rtd",,BM$2,"."&amp;$A$43&amp;$AU$1&amp;"P"&amp;$A50)))</f>
        <v>-1.7271099072495778E-2</v>
      </c>
      <c r="BN50" s="83">
        <f ca="1">IF($BP$1=1,EB50,IF(RTD("tos.rtd",,BN$2,"."&amp;$A$43&amp;$AW$1&amp;"C"&amp;$A50)="N/A",0,RTD("tos.rtd",,BN$2,"."&amp;$A$43&amp;$AW$1&amp;"C"&amp;$A50)))</f>
        <v>2.3336073410631292E-2</v>
      </c>
      <c r="BO50" s="83">
        <f ca="1">IF($BP$1=1,EC50,-IF(RTD("tos.rtd",,BO$2,"."&amp;$A$43&amp;$AW$1&amp;"P"&amp;$A50)="N/A",0,RTD("tos.rtd",,BO$2,"."&amp;$A$43&amp;$AW$1&amp;"P"&amp;$A50)))</f>
        <v>-2.3595769692332177E-2</v>
      </c>
      <c r="BQ50" s="83" t="e">
        <f t="shared" ca="1" si="303"/>
        <v>#NUM!</v>
      </c>
      <c r="BR50" s="3" t="e">
        <f t="shared" ca="1" si="278"/>
        <v>#NUM!</v>
      </c>
      <c r="BS50" s="83">
        <f t="shared" ca="1" si="304"/>
        <v>6090329.5887549883</v>
      </c>
      <c r="BT50" s="3" t="str">
        <f t="shared" ca="1" si="280"/>
        <v/>
      </c>
      <c r="BU50" s="83">
        <f t="shared" ca="1" si="305"/>
        <v>1814105.3488403559</v>
      </c>
      <c r="BV50" s="83"/>
      <c r="BX50" s="83" t="e">
        <f t="shared" ca="1" si="306"/>
        <v>#NUM!</v>
      </c>
      <c r="BY50" s="83" t="e">
        <f t="shared" ca="1" si="294"/>
        <v>#NUM!</v>
      </c>
      <c r="BZ50" s="83">
        <f t="shared" ca="1" si="307"/>
        <v>10910979.611210614</v>
      </c>
      <c r="CA50" s="83" t="str">
        <f t="shared" ca="1" si="294"/>
        <v/>
      </c>
      <c r="CB50" s="83">
        <f t="shared" ca="1" si="308"/>
        <v>5602658.8378138244</v>
      </c>
      <c r="CC50" s="83" t="str">
        <f t="shared" ca="1" si="294"/>
        <v/>
      </c>
      <c r="CD50" s="83">
        <f>IF(RTD("tos.rtd",,CD$43,"."&amp;$A$43&amp;$AS$42&amp;"C"&amp;$A50)="N/A",0,RTD("tos.rtd",,CD$43,"."&amp;$A$43&amp;$AS$42&amp;"C"&amp;$A50))</f>
        <v>0</v>
      </c>
      <c r="CE50" s="83">
        <f>-IF(RTD("tos.rtd",,CE$43,"."&amp;$A$43&amp;$AS$42&amp;"P"&amp;$A50)="N/A",0,RTD("tos.rtd",,CE$43,"."&amp;$A$43&amp;$AS$42&amp;"P"&amp;$A50))</f>
        <v>0.71</v>
      </c>
      <c r="CF50" s="83">
        <f>IF(RTD("tos.rtd",,CF$2,"."&amp;$A$43&amp;$AU$1&amp;"C"&amp;$A50)="N/A",0,RTD("tos.rtd",,CF$2,"."&amp;$A$43&amp;$AU$1&amp;"C"&amp;$A50))</f>
        <v>0.09</v>
      </c>
      <c r="CG50" s="83">
        <f>-IF(RTD("tos.rtd",,CG$2,"."&amp;$A$43&amp;$AU$1&amp;"P"&amp;$A50)="N/A",0,RTD("tos.rtd",,CG$2,"."&amp;$A$43&amp;$AU$1&amp;"P"&amp;$A50))</f>
        <v>0.71</v>
      </c>
      <c r="CH50" s="83">
        <f>IF(RTD("tos.rtd",,CH$2,"."&amp;$A$43&amp;$AW$1&amp;"C"&amp;$A50)="N/A",0,RTD("tos.rtd",,CH$2,"."&amp;$A$43&amp;$AW$1&amp;"C"&amp;$A50))</f>
        <v>0.27</v>
      </c>
      <c r="CI50" s="83">
        <f>-IF(RTD("tos.rtd",,CI$2,"."&amp;$A$43&amp;$AW$1&amp;"P"&amp;$A50)="N/A",0,RTD("tos.rtd",,CI$2,"."&amp;$A$43&amp;$AW$1&amp;"P"&amp;$A50))</f>
        <v>0.65</v>
      </c>
      <c r="CK50" s="83">
        <f t="shared" si="309"/>
        <v>-710</v>
      </c>
      <c r="CL50" s="83"/>
      <c r="CM50" s="83">
        <f t="shared" si="310"/>
        <v>8706</v>
      </c>
      <c r="CN50" s="83"/>
      <c r="CO50" s="83">
        <f t="shared" si="311"/>
        <v>8780</v>
      </c>
      <c r="CP50" s="83">
        <f t="shared" si="312"/>
        <v>16776</v>
      </c>
      <c r="CQ50" s="83">
        <f t="shared" si="313"/>
        <v>1215</v>
      </c>
      <c r="CR50" s="83"/>
      <c r="CS50" s="83">
        <f t="shared" si="314"/>
        <v>1829</v>
      </c>
      <c r="CT50" s="83"/>
      <c r="CU50" s="83">
        <f t="shared" si="315"/>
        <v>1013</v>
      </c>
      <c r="CV50" s="83"/>
      <c r="CW50" s="83" t="e">
        <f t="shared" ca="1" si="316"/>
        <v>#NUM!</v>
      </c>
      <c r="CY50" s="83" t="e">
        <f t="shared" ca="1" si="317"/>
        <v>#NUM!</v>
      </c>
      <c r="CZ50" s="70" t="e">
        <f t="shared" ca="1" si="295"/>
        <v>#NUM!</v>
      </c>
      <c r="DA50" s="83">
        <f>IF(RTD("tos.rtd",,DA$43,"."&amp;$A$43&amp;$AS$42&amp;"C"&amp;$A50)="N/A",0,RTD("tos.rtd",,DA$43,"."&amp;$A$43&amp;$AS$42&amp;"C"&amp;$A50))</f>
        <v>0.01</v>
      </c>
      <c r="DB50" s="83">
        <f>IF(RTD("tos.rtd",,DB$43,"."&amp;$A$43&amp;$AS$42&amp;"P"&amp;$A50)="N/A",0,RTD("tos.rtd",,DB$43,"."&amp;$A$43&amp;$AS$42&amp;"P"&amp;$A50))</f>
        <v>14.77</v>
      </c>
      <c r="DC50" s="83">
        <f>IF(RTD("tos.rtd",,DC$43,"."&amp;$A$43&amp;$AS$42&amp;"C"&amp;$A50)="N/A",0,RTD("tos.rtd",,DC$43,"."&amp;$A$43&amp;$AS$42&amp;"C"&amp;$A50))</f>
        <v>0.01</v>
      </c>
      <c r="DD50" s="83">
        <f>IF(RTD("tos.rtd",,DD$43,"."&amp;$A$43&amp;$AS$42&amp;"P"&amp;$A50)="N/A",0,RTD("tos.rtd",,DD$43,"."&amp;$A$43&amp;$AS$42&amp;"P"&amp;$A50))</f>
        <v>15.14</v>
      </c>
      <c r="DE50" s="83">
        <f>IF(RTD("tos.rtd",,DE$43,"."&amp;$A$43&amp;$AS$42&amp;"C"&amp;$A50)="N/A",0,RTD("tos.rtd",,DE$43,"."&amp;$A$43&amp;$AS$42&amp;"C"&amp;$A50))</f>
        <v>0</v>
      </c>
      <c r="DF50" s="83">
        <f>IF(RTD("tos.rtd",,DF$43,"."&amp;$A$43&amp;$AS$42&amp;"P"&amp;$A50)="N/A",0,RTD("tos.rtd",,DF$43,"."&amp;$A$43&amp;$AS$42&amp;"P"&amp;$A50))</f>
        <v>11.52</v>
      </c>
      <c r="DG50" s="86">
        <f t="shared" si="288"/>
        <v>10.149999999999977</v>
      </c>
      <c r="DH50" s="83">
        <f t="shared" si="318"/>
        <v>0</v>
      </c>
      <c r="DI50" s="83">
        <f t="shared" si="319"/>
        <v>0</v>
      </c>
      <c r="DJ50" s="83">
        <f t="shared" si="320"/>
        <v>0</v>
      </c>
      <c r="DK50" s="83">
        <f t="shared" si="256"/>
        <v>0</v>
      </c>
      <c r="DL50" s="83">
        <f t="shared" si="257"/>
        <v>0</v>
      </c>
      <c r="DM50" s="83">
        <f t="shared" si="258"/>
        <v>0</v>
      </c>
      <c r="DN50" s="64" t="str">
        <f t="shared" si="259"/>
        <v>UNKNOWN</v>
      </c>
      <c r="DO50" s="64" t="str">
        <f t="shared" si="260"/>
        <v>UNKNOWN</v>
      </c>
      <c r="DP50" s="83">
        <f t="shared" si="261"/>
        <v>0</v>
      </c>
      <c r="DQ50" s="83">
        <f t="shared" si="262"/>
        <v>0</v>
      </c>
      <c r="DR50" s="83" t="e">
        <f t="shared" ca="1" si="263"/>
        <v>#NUM!</v>
      </c>
      <c r="DS50" s="83">
        <f t="shared" si="264"/>
        <v>0</v>
      </c>
      <c r="DT50" s="83">
        <f t="shared" si="289"/>
        <v>0</v>
      </c>
      <c r="DU50" s="83">
        <f t="shared" si="290"/>
        <v>0</v>
      </c>
      <c r="DV50" s="83">
        <f t="shared" si="265"/>
        <v>165</v>
      </c>
      <c r="DW50" s="83">
        <f t="shared" si="266"/>
        <v>0</v>
      </c>
      <c r="DX50" s="83" t="e">
        <f t="shared" ca="1" si="321"/>
        <v>#NUM!</v>
      </c>
      <c r="DY50" s="83" t="e">
        <f t="shared" ca="1" si="322"/>
        <v>#NUM!</v>
      </c>
      <c r="DZ50" s="83">
        <f t="shared" ca="1" si="323"/>
        <v>2.4390170597647781E-2</v>
      </c>
      <c r="EA50" s="83">
        <f t="shared" ca="1" si="324"/>
        <v>-1.7271099072495778E-2</v>
      </c>
      <c r="EB50" s="83">
        <f t="shared" ca="1" si="325"/>
        <v>2.3336073410631292E-2</v>
      </c>
      <c r="EC50" s="83">
        <f t="shared" ca="1" si="326"/>
        <v>-2.3595769692332177E-2</v>
      </c>
      <c r="ED50" s="63">
        <f t="shared" si="291"/>
        <v>165</v>
      </c>
      <c r="EE50" s="84">
        <f t="shared" si="327"/>
        <v>1.0358000000000001</v>
      </c>
      <c r="EF50" s="84">
        <f t="shared" si="328"/>
        <v>4.8174999999999999</v>
      </c>
      <c r="EG50" s="84">
        <f t="shared" si="329"/>
        <v>0.22500000000000001</v>
      </c>
      <c r="EH50" s="84">
        <f t="shared" si="330"/>
        <v>0.5242</v>
      </c>
      <c r="EI50" s="84">
        <f t="shared" si="331"/>
        <v>0.20039999999999999</v>
      </c>
      <c r="EJ50" s="84">
        <f t="shared" si="332"/>
        <v>0.31269999999999998</v>
      </c>
      <c r="EL50" s="83" t="str">
        <f>RTD("tos.rtd",,EL$43,"."&amp;$A$43&amp;$AS$42&amp;"C"&amp;$A50)</f>
        <v>103.58%</v>
      </c>
      <c r="EM50" s="83" t="str">
        <f>RTD("tos.rtd",,EM$43,"."&amp;$A$43&amp;$AS$42&amp;"P"&amp;$A50)</f>
        <v>481.75%</v>
      </c>
      <c r="EN50" s="83" t="str">
        <f>RTD("tos.rtd",,EN$2,"."&amp;$A$43&amp;$AU$1&amp;"C"&amp;$A50)</f>
        <v>22.50%</v>
      </c>
      <c r="EO50" s="83" t="str">
        <f>RTD("tos.rtd",,EO$2,"."&amp;$A$43&amp;$AU$1&amp;"P"&amp;$A50)</f>
        <v>52.42%</v>
      </c>
      <c r="EP50" s="83" t="str">
        <f>RTD("tos.rtd",,EP$2,"."&amp;$A$43&amp;$AW$1&amp;"C"&amp;$A50)</f>
        <v>20.04%</v>
      </c>
      <c r="EQ50" s="83" t="str">
        <f>RTD("tos.rtd",,EQ$2,"."&amp;$A$43&amp;$AW$1&amp;"P"&amp;$A50)</f>
        <v>31.27%</v>
      </c>
      <c r="ES50" s="63" t="str">
        <f t="shared" si="273"/>
        <v>497,165.00</v>
      </c>
      <c r="ET50" s="64" t="str">
        <f t="shared" ca="1" si="274"/>
        <v>497,00.00</v>
      </c>
      <c r="EU50" s="68">
        <v>562.32000000000005</v>
      </c>
      <c r="EV50" s="68" t="s">
        <v>420</v>
      </c>
      <c r="EW50" s="68">
        <v>484.84</v>
      </c>
      <c r="EX50" s="68" t="s">
        <v>421</v>
      </c>
      <c r="EY50" s="68">
        <v>5637</v>
      </c>
      <c r="EZ50" s="68" t="s">
        <v>422</v>
      </c>
      <c r="FA50" s="68">
        <v>19914.75</v>
      </c>
      <c r="FB50" s="68" t="s">
        <v>423</v>
      </c>
      <c r="FC50" s="68" t="s">
        <v>424</v>
      </c>
      <c r="FD50" s="68" t="s">
        <v>425</v>
      </c>
      <c r="FE50" s="68" t="s">
        <v>426</v>
      </c>
      <c r="FF50" s="68" t="s">
        <v>427</v>
      </c>
    </row>
    <row r="51" spans="1:162" ht="13.5" thickBot="1" x14ac:dyDescent="0.25">
      <c r="A51" s="2">
        <f t="shared" si="292"/>
        <v>496</v>
      </c>
      <c r="B51" s="3">
        <f t="shared" si="297"/>
        <v>1218</v>
      </c>
      <c r="C51" s="3">
        <f t="shared" si="298"/>
        <v>840</v>
      </c>
      <c r="D51" s="3">
        <f t="shared" si="299"/>
        <v>598</v>
      </c>
      <c r="E51" s="3">
        <f t="shared" si="300"/>
        <v>2656</v>
      </c>
      <c r="F51" s="4">
        <f t="shared" si="301"/>
        <v>20473.690048269487</v>
      </c>
      <c r="AM51" s="1">
        <v>833</v>
      </c>
      <c r="AN51" s="1">
        <v>13</v>
      </c>
      <c r="AO51" s="1">
        <v>496</v>
      </c>
      <c r="AP51" s="1">
        <v>2195</v>
      </c>
      <c r="AQ51" s="1">
        <v>-17</v>
      </c>
      <c r="AS51" s="6">
        <f>IF(RTD("tos.rtd",,AS$43,"."&amp;$A$43&amp;$AS$42&amp;"C"&amp;$A51)="N/A",0,RTD("tos.rtd",,AS$43,"."&amp;$A$43&amp;$AS$42&amp;"C"&amp;$A51))</f>
        <v>1206</v>
      </c>
      <c r="AT51" s="7">
        <f>-IF(RTD("tos.rtd",,AT$43,"."&amp;$A$43&amp;$AS$42&amp;"P"&amp;$A51)="N/A",0,RTD("tos.rtd",,AT$43,"."&amp;$A$43&amp;$AS$42&amp;"P"&amp;$A51))</f>
        <v>-12</v>
      </c>
      <c r="AU51" s="6">
        <f>IF(RTD("tos.rtd",,AU$2,"."&amp;$A$43&amp;$AU$1&amp;"C"&amp;$A51)="N/A",0,RTD("tos.rtd",,AU$2,"."&amp;$A$43&amp;$AU$1&amp;"C"&amp;$A51))</f>
        <v>804</v>
      </c>
      <c r="AV51" s="7">
        <f>-IF(RTD("tos.rtd",,AV$2,"."&amp;$A$43&amp;$AU$1&amp;"P"&amp;$A51)="N/A",0,RTD("tos.rtd",,AV$2,"."&amp;$A$43&amp;$AU$1&amp;"P"&amp;$A51))</f>
        <v>-36</v>
      </c>
      <c r="AW51" s="6">
        <f>IF(RTD("tos.rtd",,AW$2,"."&amp;$A$43&amp;$AW$1&amp;"C"&amp;$A51)="N/A",0,RTD("tos.rtd",,AW$2,"."&amp;$A$43&amp;$AW$1&amp;"C"&amp;$A51))</f>
        <v>597</v>
      </c>
      <c r="AX51" s="7">
        <f>-IF(RTD("tos.rtd",,AX$2,"."&amp;$A$43&amp;$AW$1&amp;"P"&amp;$A51)="N/A",0,RTD("tos.rtd",,AX$2,"."&amp;$A$43&amp;$AW$1&amp;"P"&amp;$A51))</f>
        <v>-1</v>
      </c>
      <c r="AY51" s="7">
        <f t="shared" si="302"/>
        <v>2558</v>
      </c>
      <c r="AZ51" s="8">
        <f t="shared" si="244"/>
        <v>496</v>
      </c>
      <c r="BA51" s="6">
        <f>IF(RTD("tos.rtd",,BA$43,"."&amp;$A$43&amp;$AS$42&amp;"C"&amp;$A51)="N/A",0,RTD("tos.rtd",,BA$43,"."&amp;$A$43&amp;$AS$42&amp;"C"&amp;$A51))</f>
        <v>2195</v>
      </c>
      <c r="BB51" s="7">
        <f>-IF(RTD("tos.rtd",,BB$43,"."&amp;$A$43&amp;$AS$42&amp;"P"&amp;$A51)="N/A",0,RTD("tos.rtd",,BB$43,"."&amp;$A$43&amp;$AS$42&amp;"P"&amp;$A51))</f>
        <v>-17</v>
      </c>
      <c r="BC51" s="6">
        <f>IF(RTD("tos.rtd",,BC$2,"."&amp;$A$43&amp;$AU$1&amp;"C"&amp;$A51)="N/A",0,RTD("tos.rtd",,BC$2,"."&amp;$A$43&amp;$AU$1&amp;"C"&amp;$A51))</f>
        <v>1174</v>
      </c>
      <c r="BD51" s="7">
        <f>-IF(RTD("tos.rtd",,BD$2,"."&amp;$A$43&amp;$AU$1&amp;"P"&amp;$A51)="N/A",0,RTD("tos.rtd",,BD$2,"."&amp;$A$43&amp;$AU$1&amp;"P"&amp;$A51))</f>
        <v>-202</v>
      </c>
      <c r="BE51" s="6">
        <f>IF(RTD("tos.rtd",,BE$2,"."&amp;$A$43&amp;$AW$1&amp;"C"&amp;$A51)="N/A",0,RTD("tos.rtd",,BE$2,"."&amp;$A$43&amp;$AW$1&amp;"C"&amp;$A51))</f>
        <v>396</v>
      </c>
      <c r="BF51" s="7">
        <f>-IF(RTD("tos.rtd",,BF$2,"."&amp;$A$43&amp;$AW$1&amp;"P"&amp;$A51)="N/A",0,RTD("tos.rtd",,BF$2,"."&amp;$A$43&amp;$AW$1&amp;"P"&amp;$A51))</f>
        <v>-15</v>
      </c>
      <c r="BG51" s="32">
        <f ca="1">+Hoja2!Y52</f>
        <v>-29</v>
      </c>
      <c r="BH51" s="7">
        <f t="shared" ca="1" si="276"/>
        <v>3502</v>
      </c>
      <c r="BI51" s="8" t="str">
        <f t="shared" ca="1" si="293"/>
        <v/>
      </c>
      <c r="BJ51" s="83" t="e">
        <f ca="1">IF($BP$1=1,DX51,IF(RTD("tos.rtd",,BJ$43,"."&amp;$A$43&amp;$AS$42&amp;"C"&amp;$A51)="N/A",0,RTD("tos.rtd",,BJ$43,"."&amp;$A$43&amp;$AS$42&amp;"C"&amp;$A51)))</f>
        <v>#NUM!</v>
      </c>
      <c r="BK51" s="83" t="e">
        <f ca="1">IF($BP$1=1,DY51,-IF(RTD("tos.rtd",,BK$43,"."&amp;$A$43&amp;$AS$42&amp;"P"&amp;$A51)="N/A",0,RTD("tos.rtd",,BK$43,"."&amp;$A$43&amp;$AS$42&amp;"P"&amp;$A51)))</f>
        <v>#NUM!</v>
      </c>
      <c r="BL51" s="83">
        <f ca="1">IF($BP$1=1,DZ51,IF(RTD("tos.rtd",,BL$2,"."&amp;$A$43&amp;$AU$1&amp;"C"&amp;$A51)="N/A",0,RTD("tos.rtd",,BL$2,"."&amp;$A$43&amp;$AU$1&amp;"C"&amp;$A51)))</f>
        <v>2.7343422980613773E-2</v>
      </c>
      <c r="BM51" s="83">
        <f ca="1">IF($BP$1=1,EA51,-IF(RTD("tos.rtd",,BM$2,"."&amp;$A$43&amp;$AU$1&amp;"P"&amp;$A51)="N/A",0,RTD("tos.rtd",,BM$2,"."&amp;$A$43&amp;$AU$1&amp;"P"&amp;$A51)))</f>
        <v>-1.7866403693580227E-2</v>
      </c>
      <c r="BN51" s="83">
        <f ca="1">IF($BP$1=1,EB51,IF(RTD("tos.rtd",,BN$2,"."&amp;$A$43&amp;$AW$1&amp;"C"&amp;$A51)="N/A",0,RTD("tos.rtd",,BN$2,"."&amp;$A$43&amp;$AW$1&amp;"C"&amp;$A51)))</f>
        <v>2.6979590092780864E-2</v>
      </c>
      <c r="BO51" s="83">
        <f ca="1">IF($BP$1=1,EC51,-IF(RTD("tos.rtd",,BO$2,"."&amp;$A$43&amp;$AW$1&amp;"P"&amp;$A51)="N/A",0,RTD("tos.rtd",,BO$2,"."&amp;$A$43&amp;$AW$1&amp;"P"&amp;$A51)))</f>
        <v>-2.5078579168690093E-2</v>
      </c>
      <c r="BQ51" s="83" t="e">
        <f t="shared" ca="1" si="303"/>
        <v>#NUM!</v>
      </c>
      <c r="BR51" s="3" t="e">
        <f t="shared" ca="1" si="278"/>
        <v>#NUM!</v>
      </c>
      <c r="BS51" s="83">
        <f t="shared" ca="1" si="304"/>
        <v>5058287.5930704465</v>
      </c>
      <c r="BT51" s="3" t="str">
        <f t="shared" ca="1" si="280"/>
        <v/>
      </c>
      <c r="BU51" s="83">
        <f t="shared" ca="1" si="305"/>
        <v>3811740.232984141</v>
      </c>
      <c r="BV51" s="83"/>
      <c r="BX51" s="83" t="e">
        <f t="shared" ca="1" si="306"/>
        <v>#NUM!</v>
      </c>
      <c r="BY51" s="83" t="e">
        <f t="shared" ca="1" si="294"/>
        <v>#NUM!</v>
      </c>
      <c r="BZ51" s="83">
        <f t="shared" ca="1" si="307"/>
        <v>6753296.2245065281</v>
      </c>
      <c r="CA51" s="83" t="str">
        <f t="shared" ca="1" si="294"/>
        <v/>
      </c>
      <c r="CB51" s="83">
        <f t="shared" ca="1" si="308"/>
        <v>2443170.4195899568</v>
      </c>
      <c r="CC51" s="83" t="str">
        <f t="shared" ca="1" si="294"/>
        <v/>
      </c>
      <c r="CD51" s="83">
        <f>IF(RTD("tos.rtd",,CD$43,"."&amp;$A$43&amp;$AS$42&amp;"C"&amp;$A51)="N/A",0,RTD("tos.rtd",,CD$43,"."&amp;$A$43&amp;$AS$42&amp;"C"&amp;$A51))</f>
        <v>0</v>
      </c>
      <c r="CE51" s="83">
        <f>-IF(RTD("tos.rtd",,CE$43,"."&amp;$A$43&amp;$AS$42&amp;"P"&amp;$A51)="N/A",0,RTD("tos.rtd",,CE$43,"."&amp;$A$43&amp;$AS$42&amp;"P"&amp;$A51))</f>
        <v>0.7</v>
      </c>
      <c r="CF51" s="83">
        <f>IF(RTD("tos.rtd",,CF$2,"."&amp;$A$43&amp;$AU$1&amp;"C"&amp;$A51)="N/A",0,RTD("tos.rtd",,CF$2,"."&amp;$A$43&amp;$AU$1&amp;"C"&amp;$A51))</f>
        <v>0.11</v>
      </c>
      <c r="CG51" s="83">
        <f>-IF(RTD("tos.rtd",,CG$2,"."&amp;$A$43&amp;$AU$1&amp;"P"&amp;$A51)="N/A",0,RTD("tos.rtd",,CG$2,"."&amp;$A$43&amp;$AU$1&amp;"P"&amp;$A51))</f>
        <v>0.69</v>
      </c>
      <c r="CH51" s="83">
        <f>IF(RTD("tos.rtd",,CH$2,"."&amp;$A$43&amp;$AW$1&amp;"C"&amp;$A51)="N/A",0,RTD("tos.rtd",,CH$2,"."&amp;$A$43&amp;$AW$1&amp;"C"&amp;$A51))</f>
        <v>0.28999999999999998</v>
      </c>
      <c r="CI51" s="83">
        <f>-IF(RTD("tos.rtd",,CI$2,"."&amp;$A$43&amp;$AW$1&amp;"P"&amp;$A51)="N/A",0,RTD("tos.rtd",,CI$2,"."&amp;$A$43&amp;$AW$1&amp;"P"&amp;$A51))</f>
        <v>0.64</v>
      </c>
      <c r="CK51" s="83">
        <f t="shared" si="309"/>
        <v>-839.99999999999989</v>
      </c>
      <c r="CL51" s="83"/>
      <c r="CM51" s="83">
        <f t="shared" si="310"/>
        <v>6360</v>
      </c>
      <c r="CN51" s="83"/>
      <c r="CO51" s="83">
        <f t="shared" si="311"/>
        <v>17249</v>
      </c>
      <c r="CP51" s="83">
        <f t="shared" si="312"/>
        <v>22769</v>
      </c>
      <c r="CQ51" s="83">
        <f t="shared" si="313"/>
        <v>2178</v>
      </c>
      <c r="CR51" s="83"/>
      <c r="CS51" s="83">
        <f t="shared" si="314"/>
        <v>972</v>
      </c>
      <c r="CT51" s="83"/>
      <c r="CU51" s="83">
        <f t="shared" si="315"/>
        <v>381</v>
      </c>
      <c r="CV51" s="83"/>
      <c r="CW51" s="83" t="e">
        <f t="shared" ca="1" si="316"/>
        <v>#NUM!</v>
      </c>
      <c r="CY51" s="83" t="e">
        <f t="shared" ca="1" si="317"/>
        <v>#NUM!</v>
      </c>
      <c r="CZ51" s="70" t="e">
        <f t="shared" ca="1" si="295"/>
        <v>#NUM!</v>
      </c>
      <c r="DA51" s="83">
        <f>IF(RTD("tos.rtd",,DA$43,"."&amp;$A$43&amp;$AS$42&amp;"C"&amp;$A51)="N/A",0,RTD("tos.rtd",,DA$43,"."&amp;$A$43&amp;$AS$42&amp;"C"&amp;$A51))</f>
        <v>0.01</v>
      </c>
      <c r="DB51" s="83">
        <f>IF(RTD("tos.rtd",,DB$43,"."&amp;$A$43&amp;$AS$42&amp;"P"&amp;$A51)="N/A",0,RTD("tos.rtd",,DB$43,"."&amp;$A$43&amp;$AS$42&amp;"P"&amp;$A51))</f>
        <v>13.03</v>
      </c>
      <c r="DC51" s="83">
        <f>IF(RTD("tos.rtd",,DC$43,"."&amp;$A$43&amp;$AS$42&amp;"C"&amp;$A51)="N/A",0,RTD("tos.rtd",,DC$43,"."&amp;$A$43&amp;$AS$42&amp;"C"&amp;$A51))</f>
        <v>0.01</v>
      </c>
      <c r="DD51" s="83">
        <f>IF(RTD("tos.rtd",,DD$43,"."&amp;$A$43&amp;$AS$42&amp;"P"&amp;$A51)="N/A",0,RTD("tos.rtd",,DD$43,"."&amp;$A$43&amp;$AS$42&amp;"P"&amp;$A51))</f>
        <v>14.14</v>
      </c>
      <c r="DE51" s="83">
        <f>IF(RTD("tos.rtd",,DE$43,"."&amp;$A$43&amp;$AS$42&amp;"C"&amp;$A51)="N/A",0,RTD("tos.rtd",,DE$43,"."&amp;$A$43&amp;$AS$42&amp;"C"&amp;$A51))</f>
        <v>0</v>
      </c>
      <c r="DF51" s="83">
        <f>IF(RTD("tos.rtd",,DF$43,"."&amp;$A$43&amp;$AS$42&amp;"P"&amp;$A51)="N/A",0,RTD("tos.rtd",,DF$43,"."&amp;$A$43&amp;$AS$42&amp;"P"&amp;$A51))</f>
        <v>10.52</v>
      </c>
      <c r="DG51" s="86">
        <f t="shared" si="288"/>
        <v>9.1499999999999773</v>
      </c>
      <c r="DH51" s="83">
        <f t="shared" si="318"/>
        <v>0</v>
      </c>
      <c r="DI51" s="83">
        <f t="shared" si="319"/>
        <v>0</v>
      </c>
      <c r="DJ51" s="83">
        <f t="shared" si="320"/>
        <v>0</v>
      </c>
      <c r="DK51" s="83">
        <f t="shared" si="256"/>
        <v>0</v>
      </c>
      <c r="DL51" s="83">
        <f t="shared" si="257"/>
        <v>0</v>
      </c>
      <c r="DM51" s="83">
        <f t="shared" si="258"/>
        <v>0</v>
      </c>
      <c r="DN51" s="64" t="str">
        <f t="shared" si="259"/>
        <v>UNKNOWN</v>
      </c>
      <c r="DO51" s="64" t="str">
        <f t="shared" si="260"/>
        <v>UNKNOWN</v>
      </c>
      <c r="DP51" s="83">
        <f t="shared" si="261"/>
        <v>0</v>
      </c>
      <c r="DQ51" s="83">
        <f t="shared" si="262"/>
        <v>0</v>
      </c>
      <c r="DR51" s="83" t="e">
        <f t="shared" ca="1" si="263"/>
        <v>#NUM!</v>
      </c>
      <c r="DS51" s="83">
        <f t="shared" si="264"/>
        <v>0</v>
      </c>
      <c r="DT51" s="83">
        <f t="shared" si="289"/>
        <v>0</v>
      </c>
      <c r="DU51" s="83">
        <f t="shared" si="290"/>
        <v>0</v>
      </c>
      <c r="DV51" s="83">
        <f t="shared" si="265"/>
        <v>833</v>
      </c>
      <c r="DW51" s="83">
        <f t="shared" si="266"/>
        <v>13</v>
      </c>
      <c r="DX51" s="83" t="e">
        <f t="shared" ca="1" si="321"/>
        <v>#NUM!</v>
      </c>
      <c r="DY51" s="83" t="e">
        <f t="shared" ca="1" si="322"/>
        <v>#NUM!</v>
      </c>
      <c r="DZ51" s="83">
        <f t="shared" ca="1" si="323"/>
        <v>2.7343422980613773E-2</v>
      </c>
      <c r="EA51" s="83">
        <f t="shared" ca="1" si="324"/>
        <v>-1.7866403693580227E-2</v>
      </c>
      <c r="EB51" s="83">
        <f t="shared" ca="1" si="325"/>
        <v>2.6979590092780864E-2</v>
      </c>
      <c r="EC51" s="83">
        <f t="shared" ca="1" si="326"/>
        <v>-2.5078579168690093E-2</v>
      </c>
      <c r="ED51" s="63">
        <f t="shared" si="291"/>
        <v>846</v>
      </c>
      <c r="EE51" s="84">
        <f t="shared" si="327"/>
        <v>0.94499999999999995</v>
      </c>
      <c r="EF51" s="84">
        <f t="shared" si="328"/>
        <v>4.5934999999999997</v>
      </c>
      <c r="EG51" s="84">
        <f t="shared" si="329"/>
        <v>0.22159999999999999</v>
      </c>
      <c r="EH51" s="84">
        <f t="shared" si="330"/>
        <v>0.51549999999999996</v>
      </c>
      <c r="EI51" s="84">
        <f t="shared" si="331"/>
        <v>0.20080000000000001</v>
      </c>
      <c r="EJ51" s="84">
        <f t="shared" si="332"/>
        <v>0.31130000000000002</v>
      </c>
      <c r="EL51" s="83" t="str">
        <f>RTD("tos.rtd",,EL$43,"."&amp;$A$43&amp;$AS$42&amp;"C"&amp;$A51)</f>
        <v>94.50%</v>
      </c>
      <c r="EM51" s="83" t="str">
        <f>RTD("tos.rtd",,EM$43,"."&amp;$A$43&amp;$AS$42&amp;"P"&amp;$A51)</f>
        <v>459.35%</v>
      </c>
      <c r="EN51" s="83" t="str">
        <f>RTD("tos.rtd",,EN$2,"."&amp;$A$43&amp;$AU$1&amp;"C"&amp;$A51)</f>
        <v>22.16%</v>
      </c>
      <c r="EO51" s="83" t="str">
        <f>RTD("tos.rtd",,EO$2,"."&amp;$A$43&amp;$AU$1&amp;"P"&amp;$A51)</f>
        <v>51.55%</v>
      </c>
      <c r="EP51" s="83" t="str">
        <f>RTD("tos.rtd",,EP$2,"."&amp;$A$43&amp;$AW$1&amp;"C"&amp;$A51)</f>
        <v>20.08%</v>
      </c>
      <c r="EQ51" s="83" t="str">
        <f>RTD("tos.rtd",,EQ$2,"."&amp;$A$43&amp;$AW$1&amp;"P"&amp;$A51)</f>
        <v>31.13%</v>
      </c>
      <c r="ES51" s="63" t="str">
        <f t="shared" si="273"/>
        <v>496,846.00</v>
      </c>
      <c r="ET51" s="64" t="str">
        <f t="shared" ca="1" si="274"/>
        <v>496,00.00</v>
      </c>
      <c r="EU51" s="68">
        <v>561.92999999999995</v>
      </c>
      <c r="EV51" s="68" t="s">
        <v>428</v>
      </c>
      <c r="EW51" s="68">
        <v>484.4</v>
      </c>
      <c r="EX51" s="68" t="s">
        <v>429</v>
      </c>
      <c r="EY51" s="68">
        <v>5634</v>
      </c>
      <c r="EZ51" s="68" t="s">
        <v>430</v>
      </c>
      <c r="FA51" s="68">
        <v>19897</v>
      </c>
      <c r="FB51" s="68" t="s">
        <v>431</v>
      </c>
      <c r="FC51" s="68" t="s">
        <v>432</v>
      </c>
      <c r="FD51" s="68" t="s">
        <v>433</v>
      </c>
      <c r="FE51" s="68" t="s">
        <v>434</v>
      </c>
      <c r="FF51" s="68" t="s">
        <v>435</v>
      </c>
    </row>
    <row r="52" spans="1:162" ht="13.5" thickBot="1" x14ac:dyDescent="0.25">
      <c r="A52" s="2">
        <f t="shared" si="292"/>
        <v>495</v>
      </c>
      <c r="B52" s="3">
        <f t="shared" si="297"/>
        <v>2248</v>
      </c>
      <c r="C52" s="3">
        <f t="shared" si="298"/>
        <v>6123</v>
      </c>
      <c r="D52" s="3">
        <f t="shared" si="299"/>
        <v>38583</v>
      </c>
      <c r="E52" s="3">
        <f t="shared" si="300"/>
        <v>46954</v>
      </c>
      <c r="F52" s="4">
        <f t="shared" si="301"/>
        <v>20432.412447365718</v>
      </c>
      <c r="AM52" s="1">
        <v>312</v>
      </c>
      <c r="AN52" s="1">
        <v>30</v>
      </c>
      <c r="AO52" s="1">
        <v>495</v>
      </c>
      <c r="AP52" s="1">
        <v>3233</v>
      </c>
      <c r="AQ52" s="1">
        <v>-86</v>
      </c>
      <c r="AS52" s="6">
        <f>IF(RTD("tos.rtd",,AS$43,"."&amp;$A$43&amp;$AS$42&amp;"C"&amp;$A52)="N/A",0,RTD("tos.rtd",,AS$43,"."&amp;$A$43&amp;$AS$42&amp;"C"&amp;$A52))</f>
        <v>2208</v>
      </c>
      <c r="AT52" s="7">
        <f>-IF(RTD("tos.rtd",,AT$43,"."&amp;$A$43&amp;$AS$42&amp;"P"&amp;$A52)="N/A",0,RTD("tos.rtd",,AT$43,"."&amp;$A$43&amp;$AS$42&amp;"P"&amp;$A52))</f>
        <v>-40</v>
      </c>
      <c r="AU52" s="6">
        <f>IF(RTD("tos.rtd",,AU$2,"."&amp;$A$43&amp;$AU$1&amp;"C"&amp;$A52)="N/A",0,RTD("tos.rtd",,AU$2,"."&amp;$A$43&amp;$AU$1&amp;"C"&amp;$A52))</f>
        <v>5540</v>
      </c>
      <c r="AV52" s="7">
        <f>-IF(RTD("tos.rtd",,AV$2,"."&amp;$A$43&amp;$AU$1&amp;"P"&amp;$A52)="N/A",0,RTD("tos.rtd",,AV$2,"."&amp;$A$43&amp;$AU$1&amp;"P"&amp;$A52))</f>
        <v>-583</v>
      </c>
      <c r="AW52" s="6">
        <f>IF(RTD("tos.rtd",,AW$2,"."&amp;$A$43&amp;$AW$1&amp;"C"&amp;$A52)="N/A",0,RTD("tos.rtd",,AW$2,"."&amp;$A$43&amp;$AW$1&amp;"C"&amp;$A52))</f>
        <v>36344</v>
      </c>
      <c r="AX52" s="7">
        <f>-IF(RTD("tos.rtd",,AX$2,"."&amp;$A$43&amp;$AW$1&amp;"P"&amp;$A52)="N/A",0,RTD("tos.rtd",,AX$2,"."&amp;$A$43&amp;$AW$1&amp;"P"&amp;$A52))</f>
        <v>-2239</v>
      </c>
      <c r="AY52" s="7">
        <f t="shared" si="302"/>
        <v>41230</v>
      </c>
      <c r="AZ52" s="8">
        <f t="shared" si="244"/>
        <v>495</v>
      </c>
      <c r="BA52" s="6">
        <f>IF(RTD("tos.rtd",,BA$43,"."&amp;$A$43&amp;$AS$42&amp;"C"&amp;$A52)="N/A",0,RTD("tos.rtd",,BA$43,"."&amp;$A$43&amp;$AS$42&amp;"C"&amp;$A52))</f>
        <v>3233</v>
      </c>
      <c r="BB52" s="7">
        <f>-IF(RTD("tos.rtd",,BB$43,"."&amp;$A$43&amp;$AS$42&amp;"P"&amp;$A52)="N/A",0,RTD("tos.rtd",,BB$43,"."&amp;$A$43&amp;$AS$42&amp;"P"&amp;$A52))</f>
        <v>-86</v>
      </c>
      <c r="BC52" s="6">
        <f>IF(RTD("tos.rtd",,BC$2,"."&amp;$A$43&amp;$AU$1&amp;"C"&amp;$A52)="N/A",0,RTD("tos.rtd",,BC$2,"."&amp;$A$43&amp;$AU$1&amp;"C"&amp;$A52))</f>
        <v>5971</v>
      </c>
      <c r="BD52" s="7">
        <f>-IF(RTD("tos.rtd",,BD$2,"."&amp;$A$43&amp;$AU$1&amp;"P"&amp;$A52)="N/A",0,RTD("tos.rtd",,BD$2,"."&amp;$A$43&amp;$AU$1&amp;"P"&amp;$A52))</f>
        <v>-169</v>
      </c>
      <c r="BE52" s="6">
        <f>IF(RTD("tos.rtd",,BE$2,"."&amp;$A$43&amp;$AW$1&amp;"C"&amp;$A52)="N/A",0,RTD("tos.rtd",,BE$2,"."&amp;$A$43&amp;$AW$1&amp;"C"&amp;$A52))</f>
        <v>3060</v>
      </c>
      <c r="BF52" s="7">
        <f>-IF(RTD("tos.rtd",,BF$2,"."&amp;$A$43&amp;$AW$1&amp;"P"&amp;$A52)="N/A",0,RTD("tos.rtd",,BF$2,"."&amp;$A$43&amp;$AW$1&amp;"P"&amp;$A52))</f>
        <v>-148</v>
      </c>
      <c r="BG52" s="32">
        <f ca="1">+Hoja2!Y53</f>
        <v>1809</v>
      </c>
      <c r="BH52" s="7">
        <f t="shared" ca="1" si="276"/>
        <v>13670</v>
      </c>
      <c r="BI52" s="8" t="str">
        <f t="shared" ca="1" si="293"/>
        <v/>
      </c>
      <c r="BJ52" s="83" t="e">
        <f ca="1">IF($BP$1=1,DX52,IF(RTD("tos.rtd",,BJ$43,"."&amp;$A$43&amp;$AS$42&amp;"C"&amp;$A52)="N/A",0,RTD("tos.rtd",,BJ$43,"."&amp;$A$43&amp;$AS$42&amp;"C"&amp;$A52)))</f>
        <v>#NUM!</v>
      </c>
      <c r="BK52" s="83" t="e">
        <f ca="1">IF($BP$1=1,DY52,-IF(RTD("tos.rtd",,BK$43,"."&amp;$A$43&amp;$AS$42&amp;"P"&amp;$A52)="N/A",0,RTD("tos.rtd",,BK$43,"."&amp;$A$43&amp;$AS$42&amp;"P"&amp;$A52)))</f>
        <v>#NUM!</v>
      </c>
      <c r="BL52" s="83">
        <f ca="1">IF($BP$1=1,DZ52,IF(RTD("tos.rtd",,BL$2,"."&amp;$A$43&amp;$AU$1&amp;"C"&amp;$A52)="N/A",0,RTD("tos.rtd",,BL$2,"."&amp;$A$43&amp;$AU$1&amp;"C"&amp;$A52)))</f>
        <v>3.0506633941501583E-2</v>
      </c>
      <c r="BM52" s="83">
        <f ca="1">IF($BP$1=1,EA52,-IF(RTD("tos.rtd",,BM$2,"."&amp;$A$43&amp;$AU$1&amp;"P"&amp;$A52)="N/A",0,RTD("tos.rtd",,BM$2,"."&amp;$A$43&amp;$AU$1&amp;"P"&amp;$A52)))</f>
        <v>-1.8343366808274232E-2</v>
      </c>
      <c r="BN52" s="83">
        <f ca="1">IF($BP$1=1,EB52,IF(RTD("tos.rtd",,BN$2,"."&amp;$A$43&amp;$AW$1&amp;"C"&amp;$A52)="N/A",0,RTD("tos.rtd",,BN$2,"."&amp;$A$43&amp;$AW$1&amp;"C"&amp;$A52)))</f>
        <v>3.0698175971681126E-2</v>
      </c>
      <c r="BO52" s="83">
        <f ca="1">IF($BP$1=1,EC52,-IF(RTD("tos.rtd",,BO$2,"."&amp;$A$43&amp;$AW$1&amp;"P"&amp;$A52)="N/A",0,RTD("tos.rtd",,BO$2,"."&amp;$A$43&amp;$AW$1&amp;"P"&amp;$A52)))</f>
        <v>-2.6218083443286216E-2</v>
      </c>
      <c r="BQ52" s="83" t="e">
        <f t="shared" ca="1" si="303"/>
        <v>#NUM!</v>
      </c>
      <c r="BR52" s="3" t="e">
        <f t="shared" ca="1" si="278"/>
        <v>#NUM!</v>
      </c>
      <c r="BS52" s="83">
        <f t="shared" ca="1" si="304"/>
        <v>37523707.817113876</v>
      </c>
      <c r="BT52" s="3" t="str">
        <f t="shared" ca="1" si="280"/>
        <v/>
      </c>
      <c r="BU52" s="83">
        <f t="shared" ca="1" si="305"/>
        <v>250531384.73253965</v>
      </c>
      <c r="BV52" s="83"/>
      <c r="BX52" s="83" t="e">
        <f t="shared" ca="1" si="306"/>
        <v>#NUM!</v>
      </c>
      <c r="BY52" s="83" t="e">
        <f t="shared" ca="1" si="294"/>
        <v>#NUM!</v>
      </c>
      <c r="BZ52" s="83">
        <f t="shared" ca="1" si="307"/>
        <v>42440158.889086932</v>
      </c>
      <c r="CA52" s="83" t="str">
        <f t="shared" ca="1" si="294"/>
        <v/>
      </c>
      <c r="CB52" s="83">
        <f t="shared" ca="1" si="308"/>
        <v>21345369.995243713</v>
      </c>
      <c r="CC52" s="83" t="str">
        <f t="shared" ca="1" si="294"/>
        <v/>
      </c>
      <c r="CD52" s="83">
        <f>IF(RTD("tos.rtd",,CD$43,"."&amp;$A$43&amp;$AS$42&amp;"C"&amp;$A52)="N/A",0,RTD("tos.rtd",,CD$43,"."&amp;$A$43&amp;$AS$42&amp;"C"&amp;$A52))</f>
        <v>0.01</v>
      </c>
      <c r="CE52" s="83">
        <f>-IF(RTD("tos.rtd",,CE$43,"."&amp;$A$43&amp;$AS$42&amp;"P"&amp;$A52)="N/A",0,RTD("tos.rtd",,CE$43,"."&amp;$A$43&amp;$AS$42&amp;"P"&amp;$A52))</f>
        <v>0.68</v>
      </c>
      <c r="CF52" s="83">
        <f>IF(RTD("tos.rtd",,CF$2,"."&amp;$A$43&amp;$AU$1&amp;"C"&amp;$A52)="N/A",0,RTD("tos.rtd",,CF$2,"."&amp;$A$43&amp;$AU$1&amp;"C"&amp;$A52))</f>
        <v>0.14000000000000001</v>
      </c>
      <c r="CG52" s="83">
        <f>-IF(RTD("tos.rtd",,CG$2,"."&amp;$A$43&amp;$AU$1&amp;"P"&amp;$A52)="N/A",0,RTD("tos.rtd",,CG$2,"."&amp;$A$43&amp;$AU$1&amp;"P"&amp;$A52))</f>
        <v>0.67</v>
      </c>
      <c r="CH52" s="83">
        <f>IF(RTD("tos.rtd",,CH$2,"."&amp;$A$43&amp;$AW$1&amp;"C"&amp;$A52)="N/A",0,RTD("tos.rtd",,CH$2,"."&amp;$A$43&amp;$AW$1&amp;"C"&amp;$A52))</f>
        <v>0.31</v>
      </c>
      <c r="CI52" s="83">
        <f>-IF(RTD("tos.rtd",,CI$2,"."&amp;$A$43&amp;$AW$1&amp;"P"&amp;$A52)="N/A",0,RTD("tos.rtd",,CI$2,"."&amp;$A$43&amp;$AW$1&amp;"P"&amp;$A52))</f>
        <v>0.62</v>
      </c>
      <c r="CK52" s="83">
        <f t="shared" si="309"/>
        <v>-512.00000000000045</v>
      </c>
      <c r="CL52" s="83"/>
      <c r="CM52" s="83">
        <f t="shared" si="310"/>
        <v>38499</v>
      </c>
      <c r="CN52" s="83"/>
      <c r="CO52" s="83">
        <f t="shared" si="311"/>
        <v>987846</v>
      </c>
      <c r="CP52" s="83">
        <f t="shared" si="312"/>
        <v>1025833</v>
      </c>
      <c r="CQ52" s="83">
        <f t="shared" si="313"/>
        <v>3147</v>
      </c>
      <c r="CR52" s="83"/>
      <c r="CS52" s="83">
        <f t="shared" si="314"/>
        <v>5802</v>
      </c>
      <c r="CT52" s="83"/>
      <c r="CU52" s="83">
        <f t="shared" si="315"/>
        <v>2912</v>
      </c>
      <c r="CV52" s="83"/>
      <c r="CW52" s="83" t="e">
        <f t="shared" ca="1" si="316"/>
        <v>#NUM!</v>
      </c>
      <c r="CY52" s="83" t="e">
        <f t="shared" ca="1" si="317"/>
        <v>#NUM!</v>
      </c>
      <c r="CZ52" s="70" t="e">
        <f t="shared" ca="1" si="295"/>
        <v>#NUM!</v>
      </c>
      <c r="DA52" s="83">
        <f>IF(RTD("tos.rtd",,DA$43,"."&amp;$A$43&amp;$AS$42&amp;"C"&amp;$A52)="N/A",0,RTD("tos.rtd",,DA$43,"."&amp;$A$43&amp;$AS$42&amp;"C"&amp;$A52))</f>
        <v>0.01</v>
      </c>
      <c r="DB52" s="83">
        <f>IF(RTD("tos.rtd",,DB$43,"."&amp;$A$43&amp;$AS$42&amp;"P"&amp;$A52)="N/A",0,RTD("tos.rtd",,DB$43,"."&amp;$A$43&amp;$AS$42&amp;"P"&amp;$A52))</f>
        <v>10.029999999999999</v>
      </c>
      <c r="DC52" s="83">
        <f>IF(RTD("tos.rtd",,DC$43,"."&amp;$A$43&amp;$AS$42&amp;"C"&amp;$A52)="N/A",0,RTD("tos.rtd",,DC$43,"."&amp;$A$43&amp;$AS$42&amp;"C"&amp;$A52))</f>
        <v>0.01</v>
      </c>
      <c r="DD52" s="83">
        <f>IF(RTD("tos.rtd",,DD$43,"."&amp;$A$43&amp;$AS$42&amp;"P"&amp;$A52)="N/A",0,RTD("tos.rtd",,DD$43,"."&amp;$A$43&amp;$AS$42&amp;"P"&amp;$A52))</f>
        <v>13.32</v>
      </c>
      <c r="DE52" s="83">
        <f>IF(RTD("tos.rtd",,DE$43,"."&amp;$A$43&amp;$AS$42&amp;"C"&amp;$A52)="N/A",0,RTD("tos.rtd",,DE$43,"."&amp;$A$43&amp;$AS$42&amp;"C"&amp;$A52))</f>
        <v>0</v>
      </c>
      <c r="DF52" s="83">
        <f>IF(RTD("tos.rtd",,DF$43,"."&amp;$A$43&amp;$AS$42&amp;"P"&amp;$A52)="N/A",0,RTD("tos.rtd",,DF$43,"."&amp;$A$43&amp;$AS$42&amp;"P"&amp;$A52))</f>
        <v>9.52</v>
      </c>
      <c r="DG52" s="86">
        <f t="shared" si="288"/>
        <v>8.1499999999999773</v>
      </c>
      <c r="DH52" s="83">
        <f t="shared" si="318"/>
        <v>0</v>
      </c>
      <c r="DI52" s="83">
        <f t="shared" si="319"/>
        <v>0</v>
      </c>
      <c r="DJ52" s="83">
        <f t="shared" si="320"/>
        <v>0</v>
      </c>
      <c r="DK52" s="83">
        <f t="shared" si="256"/>
        <v>0</v>
      </c>
      <c r="DL52" s="83">
        <f t="shared" si="257"/>
        <v>0</v>
      </c>
      <c r="DM52" s="83">
        <f t="shared" si="258"/>
        <v>0</v>
      </c>
      <c r="DN52" s="64" t="str">
        <f t="shared" si="259"/>
        <v>UNKNOWN</v>
      </c>
      <c r="DO52" s="64" t="str">
        <f t="shared" si="260"/>
        <v>UNKNOWN</v>
      </c>
      <c r="DP52" s="83">
        <f t="shared" si="261"/>
        <v>0</v>
      </c>
      <c r="DQ52" s="83">
        <f t="shared" si="262"/>
        <v>0</v>
      </c>
      <c r="DR52" s="83" t="e">
        <f t="shared" ca="1" si="263"/>
        <v>#NUM!</v>
      </c>
      <c r="DS52" s="83">
        <f t="shared" si="264"/>
        <v>0</v>
      </c>
      <c r="DT52" s="83">
        <f t="shared" si="289"/>
        <v>0</v>
      </c>
      <c r="DU52" s="83">
        <f t="shared" si="290"/>
        <v>0</v>
      </c>
      <c r="DV52" s="83">
        <f t="shared" si="265"/>
        <v>312</v>
      </c>
      <c r="DW52" s="83">
        <f t="shared" si="266"/>
        <v>30</v>
      </c>
      <c r="DX52" s="83" t="e">
        <f t="shared" ca="1" si="321"/>
        <v>#NUM!</v>
      </c>
      <c r="DY52" s="83" t="e">
        <f t="shared" ca="1" si="322"/>
        <v>#NUM!</v>
      </c>
      <c r="DZ52" s="83">
        <f t="shared" ca="1" si="323"/>
        <v>3.0506633941501583E-2</v>
      </c>
      <c r="EA52" s="83">
        <f t="shared" ca="1" si="324"/>
        <v>-1.8343366808274232E-2</v>
      </c>
      <c r="EB52" s="83">
        <f t="shared" ca="1" si="325"/>
        <v>3.0698175971681126E-2</v>
      </c>
      <c r="EC52" s="83">
        <f t="shared" ca="1" si="326"/>
        <v>-2.6218083443286216E-2</v>
      </c>
      <c r="ED52" s="63">
        <f t="shared" si="291"/>
        <v>342</v>
      </c>
      <c r="EE52" s="84">
        <f t="shared" si="327"/>
        <v>0.85319999999999996</v>
      </c>
      <c r="EF52" s="84">
        <f t="shared" si="328"/>
        <v>4.4335000000000004</v>
      </c>
      <c r="EG52" s="84">
        <f t="shared" si="329"/>
        <v>0.21690000000000001</v>
      </c>
      <c r="EH52" s="84">
        <f t="shared" si="330"/>
        <v>0.51090000000000002</v>
      </c>
      <c r="EI52" s="84">
        <f t="shared" si="331"/>
        <v>0.20119999999999999</v>
      </c>
      <c r="EJ52" s="84">
        <f t="shared" si="332"/>
        <v>0.31590000000000001</v>
      </c>
      <c r="EL52" s="83" t="str">
        <f>RTD("tos.rtd",,EL$43,"."&amp;$A$43&amp;$AS$42&amp;"C"&amp;$A52)</f>
        <v>85.32%</v>
      </c>
      <c r="EM52" s="83" t="str">
        <f>RTD("tos.rtd",,EM$43,"."&amp;$A$43&amp;$AS$42&amp;"P"&amp;$A52)</f>
        <v>443.35%</v>
      </c>
      <c r="EN52" s="83" t="str">
        <f>RTD("tos.rtd",,EN$2,"."&amp;$A$43&amp;$AU$1&amp;"C"&amp;$A52)</f>
        <v>21.69%</v>
      </c>
      <c r="EO52" s="83" t="str">
        <f>RTD("tos.rtd",,EO$2,"."&amp;$A$43&amp;$AU$1&amp;"P"&amp;$A52)</f>
        <v>51.09%</v>
      </c>
      <c r="EP52" s="83" t="str">
        <f>RTD("tos.rtd",,EP$2,"."&amp;$A$43&amp;$AW$1&amp;"C"&amp;$A52)</f>
        <v>20.12%</v>
      </c>
      <c r="EQ52" s="83" t="str">
        <f>RTD("tos.rtd",,EQ$2,"."&amp;$A$43&amp;$AW$1&amp;"P"&amp;$A52)</f>
        <v>31.59%</v>
      </c>
      <c r="ES52" s="63" t="str">
        <f t="shared" si="273"/>
        <v>495,342.00</v>
      </c>
      <c r="ET52" s="64" t="str">
        <f t="shared" ca="1" si="274"/>
        <v>495,00.00</v>
      </c>
      <c r="EU52" s="68">
        <v>561.71</v>
      </c>
      <c r="EV52" s="68" t="s">
        <v>436</v>
      </c>
      <c r="EW52" s="68">
        <v>484.22</v>
      </c>
      <c r="EX52" s="68" t="s">
        <v>437</v>
      </c>
      <c r="EY52" s="68">
        <v>5630.75</v>
      </c>
      <c r="EZ52" s="68" t="s">
        <v>438</v>
      </c>
      <c r="FA52" s="68">
        <v>19889.5</v>
      </c>
      <c r="FB52" s="68" t="s">
        <v>439</v>
      </c>
      <c r="FC52" s="68" t="s">
        <v>440</v>
      </c>
      <c r="FD52" s="68" t="s">
        <v>441</v>
      </c>
      <c r="FE52" s="68" t="s">
        <v>442</v>
      </c>
      <c r="FF52" s="68" t="s">
        <v>443</v>
      </c>
    </row>
    <row r="53" spans="1:162" ht="13.5" thickBot="1" x14ac:dyDescent="0.25">
      <c r="A53" s="2">
        <f t="shared" si="292"/>
        <v>494</v>
      </c>
      <c r="B53" s="3">
        <f t="shared" si="297"/>
        <v>5287</v>
      </c>
      <c r="C53" s="3">
        <f t="shared" si="298"/>
        <v>1542</v>
      </c>
      <c r="D53" s="3">
        <f t="shared" si="299"/>
        <v>150</v>
      </c>
      <c r="E53" s="3">
        <f t="shared" si="300"/>
        <v>6979</v>
      </c>
      <c r="F53" s="4">
        <f t="shared" si="301"/>
        <v>20391.134846461948</v>
      </c>
      <c r="AM53" s="1">
        <v>79</v>
      </c>
      <c r="AN53" s="1">
        <v>36</v>
      </c>
      <c r="AO53" s="1">
        <v>494</v>
      </c>
      <c r="AP53" s="1">
        <v>5537</v>
      </c>
      <c r="AQ53" s="1">
        <v>-50</v>
      </c>
      <c r="AS53" s="6">
        <f>IF(RTD("tos.rtd",,AS$43,"."&amp;$A$43&amp;$AS$42&amp;"C"&amp;$A53)="N/A",0,RTD("tos.rtd",,AS$43,"."&amp;$A$43&amp;$AS$42&amp;"C"&amp;$A53))</f>
        <v>5255</v>
      </c>
      <c r="AT53" s="7">
        <f>-IF(RTD("tos.rtd",,AT$43,"."&amp;$A$43&amp;$AS$42&amp;"P"&amp;$A53)="N/A",0,RTD("tos.rtd",,AT$43,"."&amp;$A$43&amp;$AS$42&amp;"P"&amp;$A53))</f>
        <v>-32</v>
      </c>
      <c r="AU53" s="6">
        <f>IF(RTD("tos.rtd",,AU$2,"."&amp;$A$43&amp;$AU$1&amp;"C"&amp;$A53)="N/A",0,RTD("tos.rtd",,AU$2,"."&amp;$A$43&amp;$AU$1&amp;"C"&amp;$A53))</f>
        <v>1433</v>
      </c>
      <c r="AV53" s="7">
        <f>-IF(RTD("tos.rtd",,AV$2,"."&amp;$A$43&amp;$AU$1&amp;"P"&amp;$A53)="N/A",0,RTD("tos.rtd",,AV$2,"."&amp;$A$43&amp;$AU$1&amp;"P"&amp;$A53))</f>
        <v>-109</v>
      </c>
      <c r="AW53" s="6">
        <f>IF(RTD("tos.rtd",,AW$2,"."&amp;$A$43&amp;$AW$1&amp;"C"&amp;$A53)="N/A",0,RTD("tos.rtd",,AW$2,"."&amp;$A$43&amp;$AW$1&amp;"C"&amp;$A53))</f>
        <v>145</v>
      </c>
      <c r="AX53" s="7">
        <f>-IF(RTD("tos.rtd",,AX$2,"."&amp;$A$43&amp;$AW$1&amp;"P"&amp;$A53)="N/A",0,RTD("tos.rtd",,AX$2,"."&amp;$A$43&amp;$AW$1&amp;"P"&amp;$A53))</f>
        <v>-5</v>
      </c>
      <c r="AY53" s="7">
        <f t="shared" si="302"/>
        <v>6687</v>
      </c>
      <c r="AZ53" s="8">
        <f t="shared" si="244"/>
        <v>494</v>
      </c>
      <c r="BA53" s="6">
        <f>IF(RTD("tos.rtd",,BA$43,"."&amp;$A$43&amp;$AS$42&amp;"C"&amp;$A53)="N/A",0,RTD("tos.rtd",,BA$43,"."&amp;$A$43&amp;$AS$42&amp;"C"&amp;$A53))</f>
        <v>5537</v>
      </c>
      <c r="BB53" s="7">
        <f>-IF(RTD("tos.rtd",,BB$43,"."&amp;$A$43&amp;$AS$42&amp;"P"&amp;$A53)="N/A",0,RTD("tos.rtd",,BB$43,"."&amp;$A$43&amp;$AS$42&amp;"P"&amp;$A53))</f>
        <v>-50</v>
      </c>
      <c r="BC53" s="6">
        <f>IF(RTD("tos.rtd",,BC$2,"."&amp;$A$43&amp;$AU$1&amp;"C"&amp;$A53)="N/A",0,RTD("tos.rtd",,BC$2,"."&amp;$A$43&amp;$AU$1&amp;"C"&amp;$A53))</f>
        <v>1545</v>
      </c>
      <c r="BD53" s="7">
        <f>-IF(RTD("tos.rtd",,BD$2,"."&amp;$A$43&amp;$AU$1&amp;"P"&amp;$A53)="N/A",0,RTD("tos.rtd",,BD$2,"."&amp;$A$43&amp;$AU$1&amp;"P"&amp;$A53))</f>
        <v>-8</v>
      </c>
      <c r="BE53" s="6">
        <f>IF(RTD("tos.rtd",,BE$2,"."&amp;$A$43&amp;$AW$1&amp;"C"&amp;$A53)="N/A",0,RTD("tos.rtd",,BE$2,"."&amp;$A$43&amp;$AW$1&amp;"C"&amp;$A53))</f>
        <v>510</v>
      </c>
      <c r="BF53" s="7">
        <f>-IF(RTD("tos.rtd",,BF$2,"."&amp;$A$43&amp;$AW$1&amp;"P"&amp;$A53)="N/A",0,RTD("tos.rtd",,BF$2,"."&amp;$A$43&amp;$AW$1&amp;"P"&amp;$A53))</f>
        <v>-8</v>
      </c>
      <c r="BG53" s="32">
        <f ca="1">+Hoja2!Y54</f>
        <v>29</v>
      </c>
      <c r="BH53" s="7">
        <f t="shared" ca="1" si="276"/>
        <v>7555</v>
      </c>
      <c r="BI53" s="8" t="str">
        <f t="shared" ca="1" si="293"/>
        <v/>
      </c>
      <c r="BJ53" s="83" t="e">
        <f ca="1">IF($BP$1=1,DX53,IF(RTD("tos.rtd",,BJ$43,"."&amp;$A$43&amp;$AS$42&amp;"C"&amp;$A53)="N/A",0,RTD("tos.rtd",,BJ$43,"."&amp;$A$43&amp;$AS$42&amp;"C"&amp;$A53)))</f>
        <v>#NUM!</v>
      </c>
      <c r="BK53" s="83" t="e">
        <f ca="1">IF($BP$1=1,DY53,-IF(RTD("tos.rtd",,BK$43,"."&amp;$A$43&amp;$AS$42&amp;"P"&amp;$A53)="N/A",0,RTD("tos.rtd",,BK$43,"."&amp;$A$43&amp;$AS$42&amp;"P"&amp;$A53)))</f>
        <v>#NUM!</v>
      </c>
      <c r="BL53" s="83">
        <f ca="1">IF($BP$1=1,DZ53,IF(RTD("tos.rtd",,BL$2,"."&amp;$A$43&amp;$AU$1&amp;"C"&amp;$A53)="N/A",0,RTD("tos.rtd",,BL$2,"."&amp;$A$43&amp;$AU$1&amp;"C"&amp;$A53)))</f>
        <v>3.3828937920897029E-2</v>
      </c>
      <c r="BM53" s="83">
        <f ca="1">IF($BP$1=1,EA53,-IF(RTD("tos.rtd",,BM$2,"."&amp;$A$43&amp;$AU$1&amp;"P"&amp;$A53)="N/A",0,RTD("tos.rtd",,BM$2,"."&amp;$A$43&amp;$AU$1&amp;"P"&amp;$A53)))</f>
        <v>-1.9772189753378484E-2</v>
      </c>
      <c r="BN53" s="83">
        <f ca="1">IF($BP$1=1,EB53,IF(RTD("tos.rtd",,BN$2,"."&amp;$A$43&amp;$AW$1&amp;"C"&amp;$A53)="N/A",0,RTD("tos.rtd",,BN$2,"."&amp;$A$43&amp;$AW$1&amp;"C"&amp;$A53)))</f>
        <v>3.4375449586799965E-2</v>
      </c>
      <c r="BO53" s="83">
        <f ca="1">IF($BP$1=1,EC53,-IF(RTD("tos.rtd",,BO$2,"."&amp;$A$43&amp;$AW$1&amp;"P"&amp;$A53)="N/A",0,RTD("tos.rtd",,BO$2,"."&amp;$A$43&amp;$AW$1&amp;"P"&amp;$A53)))</f>
        <v>-2.8024213808852963E-2</v>
      </c>
      <c r="BQ53" s="83" t="e">
        <f t="shared" ca="1" si="303"/>
        <v>#NUM!</v>
      </c>
      <c r="BR53" s="3" t="e">
        <f t="shared" ca="1" si="278"/>
        <v>#NUM!</v>
      </c>
      <c r="BS53" s="83">
        <f t="shared" ca="1" si="304"/>
        <v>10979304.556887466</v>
      </c>
      <c r="BT53" s="3" t="str">
        <f t="shared" ca="1" si="280"/>
        <v/>
      </c>
      <c r="BU53" s="83">
        <f t="shared" ca="1" si="305"/>
        <v>1148214.6755919424</v>
      </c>
      <c r="BV53" s="83"/>
      <c r="BX53" s="83" t="e">
        <f t="shared" ca="1" si="306"/>
        <v>#NUM!</v>
      </c>
      <c r="BY53" s="83" t="e">
        <f t="shared" ca="1" si="294"/>
        <v>#NUM!</v>
      </c>
      <c r="BZ53" s="83">
        <f t="shared" ca="1" si="307"/>
        <v>12350679.416925265</v>
      </c>
      <c r="CA53" s="83" t="str">
        <f t="shared" ca="1" si="294"/>
        <v/>
      </c>
      <c r="CB53" s="83">
        <f t="shared" ca="1" si="308"/>
        <v>4102223.4084286066</v>
      </c>
      <c r="CC53" s="83" t="str">
        <f t="shared" ca="1" si="294"/>
        <v/>
      </c>
      <c r="CD53" s="83">
        <f>IF(RTD("tos.rtd",,CD$43,"."&amp;$A$43&amp;$AS$42&amp;"C"&amp;$A53)="N/A",0,RTD("tos.rtd",,CD$43,"."&amp;$A$43&amp;$AS$42&amp;"C"&amp;$A53))</f>
        <v>0.01</v>
      </c>
      <c r="CE53" s="83">
        <f>-IF(RTD("tos.rtd",,CE$43,"."&amp;$A$43&amp;$AS$42&amp;"P"&amp;$A53)="N/A",0,RTD("tos.rtd",,CE$43,"."&amp;$A$43&amp;$AS$42&amp;"P"&amp;$A53))</f>
        <v>0.67</v>
      </c>
      <c r="CF53" s="83">
        <f>IF(RTD("tos.rtd",,CF$2,"."&amp;$A$43&amp;$AU$1&amp;"C"&amp;$A53)="N/A",0,RTD("tos.rtd",,CF$2,"."&amp;$A$43&amp;$AU$1&amp;"C"&amp;$A53))</f>
        <v>0.16</v>
      </c>
      <c r="CG53" s="83">
        <f>-IF(RTD("tos.rtd",,CG$2,"."&amp;$A$43&amp;$AU$1&amp;"P"&amp;$A53)="N/A",0,RTD("tos.rtd",,CG$2,"."&amp;$A$43&amp;$AU$1&amp;"P"&amp;$A53))</f>
        <v>0.66</v>
      </c>
      <c r="CH53" s="83">
        <f>IF(RTD("tos.rtd",,CH$2,"."&amp;$A$43&amp;$AW$1&amp;"C"&amp;$A53)="N/A",0,RTD("tos.rtd",,CH$2,"."&amp;$A$43&amp;$AW$1&amp;"C"&amp;$A53))</f>
        <v>0.34</v>
      </c>
      <c r="CI53" s="83">
        <f>-IF(RTD("tos.rtd",,CI$2,"."&amp;$A$43&amp;$AW$1&amp;"P"&amp;$A53)="N/A",0,RTD("tos.rtd",,CI$2,"."&amp;$A$43&amp;$AW$1&amp;"P"&amp;$A53))</f>
        <v>0.61</v>
      </c>
      <c r="CK53" s="83">
        <f t="shared" si="309"/>
        <v>3111</v>
      </c>
      <c r="CL53" s="83"/>
      <c r="CM53" s="83">
        <f t="shared" si="310"/>
        <v>15734</v>
      </c>
      <c r="CN53" s="83"/>
      <c r="CO53" s="83">
        <f t="shared" si="311"/>
        <v>4625</v>
      </c>
      <c r="CP53" s="83">
        <f t="shared" si="312"/>
        <v>23470</v>
      </c>
      <c r="CQ53" s="83">
        <f t="shared" si="313"/>
        <v>5487</v>
      </c>
      <c r="CR53" s="83"/>
      <c r="CS53" s="83">
        <f t="shared" si="314"/>
        <v>1537</v>
      </c>
      <c r="CT53" s="83"/>
      <c r="CU53" s="83">
        <f t="shared" si="315"/>
        <v>502</v>
      </c>
      <c r="CV53" s="83"/>
      <c r="CW53" s="83" t="e">
        <f t="shared" ca="1" si="316"/>
        <v>#NUM!</v>
      </c>
      <c r="CY53" s="83" t="e">
        <f t="shared" ca="1" si="317"/>
        <v>#NUM!</v>
      </c>
      <c r="CZ53" s="70" t="e">
        <f t="shared" ca="1" si="295"/>
        <v>#NUM!</v>
      </c>
      <c r="DA53" s="83">
        <f>IF(RTD("tos.rtd",,DA$43,"."&amp;$A$43&amp;$AS$42&amp;"C"&amp;$A53)="N/A",0,RTD("tos.rtd",,DA$43,"."&amp;$A$43&amp;$AS$42&amp;"C"&amp;$A53))</f>
        <v>0.01</v>
      </c>
      <c r="DB53" s="83">
        <f>IF(RTD("tos.rtd",,DB$43,"."&amp;$A$43&amp;$AS$42&amp;"P"&amp;$A53)="N/A",0,RTD("tos.rtd",,DB$43,"."&amp;$A$43&amp;$AS$42&amp;"P"&amp;$A53))</f>
        <v>14.43</v>
      </c>
      <c r="DC53" s="83">
        <f>IF(RTD("tos.rtd",,DC$43,"."&amp;$A$43&amp;$AS$42&amp;"C"&amp;$A53)="N/A",0,RTD("tos.rtd",,DC$43,"."&amp;$A$43&amp;$AS$42&amp;"C"&amp;$A53))</f>
        <v>0.01</v>
      </c>
      <c r="DD53" s="83">
        <f>IF(RTD("tos.rtd",,DD$43,"."&amp;$A$43&amp;$AS$42&amp;"P"&amp;$A53)="N/A",0,RTD("tos.rtd",,DD$43,"."&amp;$A$43&amp;$AS$42&amp;"P"&amp;$A53))</f>
        <v>12.14</v>
      </c>
      <c r="DE53" s="83">
        <f>IF(RTD("tos.rtd",,DE$43,"."&amp;$A$43&amp;$AS$42&amp;"C"&amp;$A53)="N/A",0,RTD("tos.rtd",,DE$43,"."&amp;$A$43&amp;$AS$42&amp;"C"&amp;$A53))</f>
        <v>0</v>
      </c>
      <c r="DF53" s="83">
        <f>IF(RTD("tos.rtd",,DF$43,"."&amp;$A$43&amp;$AS$42&amp;"P"&amp;$A53)="N/A",0,RTD("tos.rtd",,DF$43,"."&amp;$A$43&amp;$AS$42&amp;"P"&amp;$A53))</f>
        <v>8.52</v>
      </c>
      <c r="DG53" s="86">
        <f t="shared" si="288"/>
        <v>7.1499999999999773</v>
      </c>
      <c r="DH53" s="83">
        <f t="shared" si="318"/>
        <v>0</v>
      </c>
      <c r="DI53" s="83">
        <f t="shared" si="319"/>
        <v>0</v>
      </c>
      <c r="DJ53" s="83">
        <f t="shared" si="320"/>
        <v>0</v>
      </c>
      <c r="DK53" s="83">
        <f t="shared" si="256"/>
        <v>0</v>
      </c>
      <c r="DL53" s="83">
        <f t="shared" si="257"/>
        <v>0</v>
      </c>
      <c r="DM53" s="83">
        <f t="shared" si="258"/>
        <v>0</v>
      </c>
      <c r="DN53" s="64" t="str">
        <f t="shared" si="259"/>
        <v>UNKNOWN</v>
      </c>
      <c r="DO53" s="64" t="str">
        <f t="shared" si="260"/>
        <v>UNKNOWN</v>
      </c>
      <c r="DP53" s="83">
        <f t="shared" si="261"/>
        <v>0</v>
      </c>
      <c r="DQ53" s="83">
        <f t="shared" si="262"/>
        <v>0</v>
      </c>
      <c r="DR53" s="83" t="e">
        <f t="shared" ca="1" si="263"/>
        <v>#NUM!</v>
      </c>
      <c r="DS53" s="83">
        <f t="shared" si="264"/>
        <v>0</v>
      </c>
      <c r="DT53" s="83">
        <f t="shared" si="289"/>
        <v>0</v>
      </c>
      <c r="DU53" s="83">
        <f t="shared" si="290"/>
        <v>0</v>
      </c>
      <c r="DV53" s="83">
        <f t="shared" si="265"/>
        <v>79</v>
      </c>
      <c r="DW53" s="83">
        <f t="shared" si="266"/>
        <v>36</v>
      </c>
      <c r="DX53" s="83" t="e">
        <f t="shared" ca="1" si="321"/>
        <v>#NUM!</v>
      </c>
      <c r="DY53" s="83" t="e">
        <f t="shared" ca="1" si="322"/>
        <v>#NUM!</v>
      </c>
      <c r="DZ53" s="83">
        <f t="shared" ca="1" si="323"/>
        <v>3.3828937920897029E-2</v>
      </c>
      <c r="EA53" s="83">
        <f t="shared" ca="1" si="324"/>
        <v>-1.9772189753378484E-2</v>
      </c>
      <c r="EB53" s="83">
        <f t="shared" ca="1" si="325"/>
        <v>3.4375449586799965E-2</v>
      </c>
      <c r="EC53" s="83">
        <f t="shared" ca="1" si="326"/>
        <v>-2.8024213808852963E-2</v>
      </c>
      <c r="ED53" s="63">
        <f t="shared" si="291"/>
        <v>115</v>
      </c>
      <c r="EE53" s="84">
        <f t="shared" si="327"/>
        <v>0.76019999999999999</v>
      </c>
      <c r="EF53" s="84">
        <f t="shared" si="328"/>
        <v>4.1299000000000001</v>
      </c>
      <c r="EG53" s="84">
        <f t="shared" si="329"/>
        <v>0.21329999999999999</v>
      </c>
      <c r="EH53" s="84">
        <f t="shared" si="330"/>
        <v>0.47799999999999998</v>
      </c>
      <c r="EI53" s="84">
        <f t="shared" si="331"/>
        <v>0.20169999999999999</v>
      </c>
      <c r="EJ53" s="84">
        <f t="shared" si="332"/>
        <v>0.30630000000000002</v>
      </c>
      <c r="EL53" s="83" t="str">
        <f>RTD("tos.rtd",,EL$43,"."&amp;$A$43&amp;$AS$42&amp;"C"&amp;$A53)</f>
        <v>76.02%</v>
      </c>
      <c r="EM53" s="83" t="str">
        <f>RTD("tos.rtd",,EM$43,"."&amp;$A$43&amp;$AS$42&amp;"P"&amp;$A53)</f>
        <v>412.99%</v>
      </c>
      <c r="EN53" s="83" t="str">
        <f>RTD("tos.rtd",,EN$2,"."&amp;$A$43&amp;$AU$1&amp;"C"&amp;$A53)</f>
        <v>21.33%</v>
      </c>
      <c r="EO53" s="83" t="str">
        <f>RTD("tos.rtd",,EO$2,"."&amp;$A$43&amp;$AU$1&amp;"P"&amp;$A53)</f>
        <v>47.80%</v>
      </c>
      <c r="EP53" s="83" t="str">
        <f>RTD("tos.rtd",,EP$2,"."&amp;$A$43&amp;$AW$1&amp;"C"&amp;$A53)</f>
        <v>20.17%</v>
      </c>
      <c r="EQ53" s="83" t="str">
        <f>RTD("tos.rtd",,EQ$2,"."&amp;$A$43&amp;$AW$1&amp;"P"&amp;$A53)</f>
        <v>30.63%</v>
      </c>
      <c r="ES53" s="63" t="str">
        <f t="shared" si="273"/>
        <v>494,115.00</v>
      </c>
      <c r="ET53" s="64" t="str">
        <f t="shared" ca="1" si="274"/>
        <v>494,00.00</v>
      </c>
      <c r="EU53" s="68">
        <v>561.84</v>
      </c>
      <c r="EV53" s="68" t="s">
        <v>444</v>
      </c>
      <c r="EW53" s="68">
        <v>484.4</v>
      </c>
      <c r="EX53" s="68" t="s">
        <v>445</v>
      </c>
      <c r="EY53" s="68">
        <v>5632.25</v>
      </c>
      <c r="EZ53" s="68" t="s">
        <v>446</v>
      </c>
      <c r="FA53" s="68">
        <v>19896.75</v>
      </c>
      <c r="FB53" s="68" t="s">
        <v>447</v>
      </c>
      <c r="FC53" s="68" t="s">
        <v>448</v>
      </c>
      <c r="FD53" s="68" t="s">
        <v>449</v>
      </c>
      <c r="FE53" s="68" t="s">
        <v>450</v>
      </c>
      <c r="FF53" s="68" t="s">
        <v>451</v>
      </c>
    </row>
    <row r="54" spans="1:162" ht="13.5" thickBot="1" x14ac:dyDescent="0.25">
      <c r="A54" s="2">
        <f t="shared" si="292"/>
        <v>493</v>
      </c>
      <c r="B54" s="3">
        <f t="shared" si="297"/>
        <v>1724</v>
      </c>
      <c r="C54" s="3">
        <f t="shared" si="298"/>
        <v>1568</v>
      </c>
      <c r="D54" s="3">
        <f t="shared" si="299"/>
        <v>251</v>
      </c>
      <c r="E54" s="3">
        <f t="shared" si="300"/>
        <v>3543</v>
      </c>
      <c r="F54" s="4">
        <f t="shared" si="301"/>
        <v>20349.857245558178</v>
      </c>
      <c r="AM54" s="1">
        <v>49</v>
      </c>
      <c r="AN54" s="1">
        <v>-33</v>
      </c>
      <c r="AO54" s="1">
        <v>493</v>
      </c>
      <c r="AP54" s="1">
        <v>4765</v>
      </c>
      <c r="AQ54" s="1">
        <v>-140</v>
      </c>
      <c r="AS54" s="6">
        <f>IF(RTD("tos.rtd",,AS$43,"."&amp;$A$43&amp;$AS$42&amp;"C"&amp;$A54)="N/A",0,RTD("tos.rtd",,AS$43,"."&amp;$A$43&amp;$AS$42&amp;"C"&amp;$A54))</f>
        <v>1489</v>
      </c>
      <c r="AT54" s="7">
        <f>-IF(RTD("tos.rtd",,AT$43,"."&amp;$A$43&amp;$AS$42&amp;"P"&amp;$A54)="N/A",0,RTD("tos.rtd",,AT$43,"."&amp;$A$43&amp;$AS$42&amp;"P"&amp;$A54))</f>
        <v>-235</v>
      </c>
      <c r="AU54" s="6">
        <f>IF(RTD("tos.rtd",,AU$2,"."&amp;$A$43&amp;$AU$1&amp;"C"&amp;$A54)="N/A",0,RTD("tos.rtd",,AU$2,"."&amp;$A$43&amp;$AU$1&amp;"C"&amp;$A54))</f>
        <v>1392</v>
      </c>
      <c r="AV54" s="7">
        <f>-IF(RTD("tos.rtd",,AV$2,"."&amp;$A$43&amp;$AU$1&amp;"P"&amp;$A54)="N/A",0,RTD("tos.rtd",,AV$2,"."&amp;$A$43&amp;$AU$1&amp;"P"&amp;$A54))</f>
        <v>-176</v>
      </c>
      <c r="AW54" s="6">
        <f>IF(RTD("tos.rtd",,AW$2,"."&amp;$A$43&amp;$AW$1&amp;"C"&amp;$A54)="N/A",0,RTD("tos.rtd",,AW$2,"."&amp;$A$43&amp;$AW$1&amp;"C"&amp;$A54))</f>
        <v>247</v>
      </c>
      <c r="AX54" s="7">
        <f>-IF(RTD("tos.rtd",,AX$2,"."&amp;$A$43&amp;$AW$1&amp;"P"&amp;$A54)="N/A",0,RTD("tos.rtd",,AX$2,"."&amp;$A$43&amp;$AW$1&amp;"P"&amp;$A54))</f>
        <v>-4</v>
      </c>
      <c r="AY54" s="7">
        <f t="shared" si="302"/>
        <v>2713</v>
      </c>
      <c r="AZ54" s="8">
        <f t="shared" si="244"/>
        <v>493</v>
      </c>
      <c r="BA54" s="6">
        <f>IF(RTD("tos.rtd",,BA$43,"."&amp;$A$43&amp;$AS$42&amp;"C"&amp;$A54)="N/A",0,RTD("tos.rtd",,BA$43,"."&amp;$A$43&amp;$AS$42&amp;"C"&amp;$A54))</f>
        <v>4765</v>
      </c>
      <c r="BB54" s="7">
        <f>-IF(RTD("tos.rtd",,BB$43,"."&amp;$A$43&amp;$AS$42&amp;"P"&amp;$A54)="N/A",0,RTD("tos.rtd",,BB$43,"."&amp;$A$43&amp;$AS$42&amp;"P"&amp;$A54))</f>
        <v>-140</v>
      </c>
      <c r="BC54" s="6">
        <f>IF(RTD("tos.rtd",,BC$2,"."&amp;$A$43&amp;$AU$1&amp;"C"&amp;$A54)="N/A",0,RTD("tos.rtd",,BC$2,"."&amp;$A$43&amp;$AU$1&amp;"C"&amp;$A54))</f>
        <v>1611</v>
      </c>
      <c r="BD54" s="7">
        <f>-IF(RTD("tos.rtd",,BD$2,"."&amp;$A$43&amp;$AU$1&amp;"P"&amp;$A54)="N/A",0,RTD("tos.rtd",,BD$2,"."&amp;$A$43&amp;$AU$1&amp;"P"&amp;$A54))</f>
        <v>-50</v>
      </c>
      <c r="BE54" s="6">
        <f>IF(RTD("tos.rtd",,BE$2,"."&amp;$A$43&amp;$AW$1&amp;"C"&amp;$A54)="N/A",0,RTD("tos.rtd",,BE$2,"."&amp;$A$43&amp;$AW$1&amp;"C"&amp;$A54))</f>
        <v>1031</v>
      </c>
      <c r="BF54" s="7">
        <f>-IF(RTD("tos.rtd",,BF$2,"."&amp;$A$43&amp;$AW$1&amp;"P"&amp;$A54)="N/A",0,RTD("tos.rtd",,BF$2,"."&amp;$A$43&amp;$AW$1&amp;"P"&amp;$A54))</f>
        <v>-10</v>
      </c>
      <c r="BG54" s="32">
        <f ca="1">+Hoja2!Y55</f>
        <v>44</v>
      </c>
      <c r="BH54" s="7">
        <f t="shared" ca="1" si="276"/>
        <v>7251</v>
      </c>
      <c r="BI54" s="8" t="str">
        <f t="shared" ca="1" si="293"/>
        <v/>
      </c>
      <c r="BJ54" s="83" t="e">
        <f ca="1">IF($BP$1=1,DX54,IF(RTD("tos.rtd",,BJ$43,"."&amp;$A$43&amp;$AS$42&amp;"C"&amp;$A54)="N/A",0,RTD("tos.rtd",,BJ$43,"."&amp;$A$43&amp;$AS$42&amp;"C"&amp;$A54)))</f>
        <v>#NUM!</v>
      </c>
      <c r="BK54" s="83" t="e">
        <f ca="1">IF($BP$1=1,DY54,-IF(RTD("tos.rtd",,BK$43,"."&amp;$A$43&amp;$AS$42&amp;"P"&amp;$A54)="N/A",0,RTD("tos.rtd",,BK$43,"."&amp;$A$43&amp;$AS$42&amp;"P"&amp;$A54)))</f>
        <v>#NUM!</v>
      </c>
      <c r="BL54" s="83">
        <f ca="1">IF($BP$1=1,DZ54,IF(RTD("tos.rtd",,BL$2,"."&amp;$A$43&amp;$AU$1&amp;"C"&amp;$A54)="N/A",0,RTD("tos.rtd",,BL$2,"."&amp;$A$43&amp;$AU$1&amp;"C"&amp;$A54)))</f>
        <v>3.7192893654008699E-2</v>
      </c>
      <c r="BM54" s="83">
        <f ca="1">IF($BP$1=1,EA54,-IF(RTD("tos.rtd",,BM$2,"."&amp;$A$43&amp;$AU$1&amp;"P"&amp;$A54)="N/A",0,RTD("tos.rtd",,BM$2,"."&amp;$A$43&amp;$AU$1&amp;"P"&amp;$A54)))</f>
        <v>-2.1025480955184847E-2</v>
      </c>
      <c r="BN54" s="83">
        <f ca="1">IF($BP$1=1,EB54,IF(RTD("tos.rtd",,BN$2,"."&amp;$A$43&amp;$AW$1&amp;"C"&amp;$A54)="N/A",0,RTD("tos.rtd",,BN$2,"."&amp;$A$43&amp;$AW$1&amp;"C"&amp;$A54)))</f>
        <v>3.791703588981294E-2</v>
      </c>
      <c r="BO54" s="83">
        <f ca="1">IF($BP$1=1,EC54,-IF(RTD("tos.rtd",,BO$2,"."&amp;$A$43&amp;$AW$1&amp;"P"&amp;$A54)="N/A",0,RTD("tos.rtd",,BO$2,"."&amp;$A$43&amp;$AW$1&amp;"P"&amp;$A54)))</f>
        <v>-2.9372970548164002E-2</v>
      </c>
      <c r="BQ54" s="83" t="e">
        <f t="shared" ca="1" si="303"/>
        <v>#NUM!</v>
      </c>
      <c r="BR54" s="3" t="e">
        <f t="shared" ca="1" si="278"/>
        <v>#NUM!</v>
      </c>
      <c r="BS54" s="83">
        <f t="shared" ca="1" si="304"/>
        <v>11394171.457383927</v>
      </c>
      <c r="BT54" s="3" t="str">
        <f t="shared" ca="1" si="280"/>
        <v/>
      </c>
      <c r="BU54" s="83">
        <f t="shared" ca="1" si="305"/>
        <v>2191991.7755204611</v>
      </c>
      <c r="BV54" s="83"/>
      <c r="BX54" s="83" t="e">
        <f t="shared" ca="1" si="306"/>
        <v>#NUM!</v>
      </c>
      <c r="BY54" s="83" t="e">
        <f t="shared" ca="1" si="294"/>
        <v>#NUM!</v>
      </c>
      <c r="BZ54" s="83">
        <f t="shared" ca="1" si="307"/>
        <v>13952704.564870607</v>
      </c>
      <c r="CA54" s="83" t="str">
        <f t="shared" ca="1" si="294"/>
        <v/>
      </c>
      <c r="CB54" s="83">
        <f t="shared" ca="1" si="308"/>
        <v>9196189.3923558947</v>
      </c>
      <c r="CC54" s="83" t="str">
        <f t="shared" ca="1" si="294"/>
        <v/>
      </c>
      <c r="CD54" s="83">
        <f>IF(RTD("tos.rtd",,CD$43,"."&amp;$A$43&amp;$AS$42&amp;"C"&amp;$A54)="N/A",0,RTD("tos.rtd",,CD$43,"."&amp;$A$43&amp;$AS$42&amp;"C"&amp;$A54))</f>
        <v>0.01</v>
      </c>
      <c r="CE54" s="83">
        <f>-IF(RTD("tos.rtd",,CE$43,"."&amp;$A$43&amp;$AS$42&amp;"P"&amp;$A54)="N/A",0,RTD("tos.rtd",,CE$43,"."&amp;$A$43&amp;$AS$42&amp;"P"&amp;$A54))</f>
        <v>0.66</v>
      </c>
      <c r="CF54" s="83">
        <f>IF(RTD("tos.rtd",,CF$2,"."&amp;$A$43&amp;$AU$1&amp;"C"&amp;$A54)="N/A",0,RTD("tos.rtd",,CF$2,"."&amp;$A$43&amp;$AU$1&amp;"C"&amp;$A54))</f>
        <v>0.2</v>
      </c>
      <c r="CG54" s="83">
        <f>-IF(RTD("tos.rtd",,CG$2,"."&amp;$A$43&amp;$AU$1&amp;"P"&amp;$A54)="N/A",0,RTD("tos.rtd",,CG$2,"."&amp;$A$43&amp;$AU$1&amp;"P"&amp;$A54))</f>
        <v>0.65</v>
      </c>
      <c r="CH54" s="83">
        <f>IF(RTD("tos.rtd",,CH$2,"."&amp;$A$43&amp;$AW$1&amp;"C"&amp;$A54)="N/A",0,RTD("tos.rtd",,CH$2,"."&amp;$A$43&amp;$AW$1&amp;"C"&amp;$A54))</f>
        <v>0.36</v>
      </c>
      <c r="CI54" s="83">
        <f>-IF(RTD("tos.rtd",,CI$2,"."&amp;$A$43&amp;$AW$1&amp;"P"&amp;$A54)="N/A",0,RTD("tos.rtd",,CI$2,"."&amp;$A$43&amp;$AW$1&amp;"P"&amp;$A54))</f>
        <v>0.59</v>
      </c>
      <c r="CK54" s="83">
        <f t="shared" si="309"/>
        <v>-14021</v>
      </c>
      <c r="CL54" s="83"/>
      <c r="CM54" s="83">
        <f t="shared" si="310"/>
        <v>16400.000000000004</v>
      </c>
      <c r="CN54" s="83"/>
      <c r="CO54" s="83">
        <f t="shared" si="311"/>
        <v>8656</v>
      </c>
      <c r="CP54" s="83">
        <f t="shared" si="312"/>
        <v>11035.000000000004</v>
      </c>
      <c r="CQ54" s="83">
        <f t="shared" si="313"/>
        <v>4625</v>
      </c>
      <c r="CR54" s="83"/>
      <c r="CS54" s="83">
        <f t="shared" si="314"/>
        <v>1561</v>
      </c>
      <c r="CT54" s="83"/>
      <c r="CU54" s="83">
        <f t="shared" si="315"/>
        <v>1021</v>
      </c>
      <c r="CV54" s="83"/>
      <c r="CW54" s="83" t="e">
        <f t="shared" ca="1" si="316"/>
        <v>#NUM!</v>
      </c>
      <c r="CY54" s="83" t="e">
        <f t="shared" ca="1" si="317"/>
        <v>#NUM!</v>
      </c>
      <c r="CZ54" s="70" t="e">
        <f t="shared" ca="1" si="295"/>
        <v>#NUM!</v>
      </c>
      <c r="DA54" s="83">
        <f>IF(RTD("tos.rtd",,DA$43,"."&amp;$A$43&amp;$AS$42&amp;"C"&amp;$A54)="N/A",0,RTD("tos.rtd",,DA$43,"."&amp;$A$43&amp;$AS$42&amp;"C"&amp;$A54))</f>
        <v>0.01</v>
      </c>
      <c r="DB54" s="83">
        <f>IF(RTD("tos.rtd",,DB$43,"."&amp;$A$43&amp;$AS$42&amp;"P"&amp;$A54)="N/A",0,RTD("tos.rtd",,DB$43,"."&amp;$A$43&amp;$AS$42&amp;"P"&amp;$A54))</f>
        <v>12.97</v>
      </c>
      <c r="DC54" s="83">
        <f>IF(RTD("tos.rtd",,DC$43,"."&amp;$A$43&amp;$AS$42&amp;"C"&amp;$A54)="N/A",0,RTD("tos.rtd",,DC$43,"."&amp;$A$43&amp;$AS$42&amp;"C"&amp;$A54))</f>
        <v>0.01</v>
      </c>
      <c r="DD54" s="83">
        <f>IF(RTD("tos.rtd",,DD$43,"."&amp;$A$43&amp;$AS$42&amp;"P"&amp;$A54)="N/A",0,RTD("tos.rtd",,DD$43,"."&amp;$A$43&amp;$AS$42&amp;"P"&amp;$A54))</f>
        <v>11.32</v>
      </c>
      <c r="DE54" s="83">
        <f>IF(RTD("tos.rtd",,DE$43,"."&amp;$A$43&amp;$AS$42&amp;"C"&amp;$A54)="N/A",0,RTD("tos.rtd",,DE$43,"."&amp;$A$43&amp;$AS$42&amp;"C"&amp;$A54))</f>
        <v>0</v>
      </c>
      <c r="DF54" s="83">
        <f>IF(RTD("tos.rtd",,DF$43,"."&amp;$A$43&amp;$AS$42&amp;"P"&amp;$A54)="N/A",0,RTD("tos.rtd",,DF$43,"."&amp;$A$43&amp;$AS$42&amp;"P"&amp;$A54))</f>
        <v>7.52</v>
      </c>
      <c r="DG54" s="86">
        <f t="shared" si="288"/>
        <v>6.1499999999999773</v>
      </c>
      <c r="DH54" s="83">
        <f t="shared" si="318"/>
        <v>0</v>
      </c>
      <c r="DI54" s="83">
        <f t="shared" si="319"/>
        <v>0</v>
      </c>
      <c r="DJ54" s="83">
        <f t="shared" si="320"/>
        <v>0</v>
      </c>
      <c r="DK54" s="83">
        <f t="shared" si="256"/>
        <v>0</v>
      </c>
      <c r="DL54" s="83">
        <f t="shared" si="257"/>
        <v>0</v>
      </c>
      <c r="DM54" s="83">
        <f t="shared" si="258"/>
        <v>0</v>
      </c>
      <c r="DN54" s="64" t="str">
        <f t="shared" si="259"/>
        <v>UNKNOWN</v>
      </c>
      <c r="DO54" s="64" t="str">
        <f t="shared" si="260"/>
        <v>UNKNOWN</v>
      </c>
      <c r="DP54" s="83">
        <f t="shared" si="261"/>
        <v>0</v>
      </c>
      <c r="DQ54" s="83">
        <f t="shared" si="262"/>
        <v>0</v>
      </c>
      <c r="DR54" s="83" t="e">
        <f t="shared" ca="1" si="263"/>
        <v>#NUM!</v>
      </c>
      <c r="DS54" s="83">
        <f t="shared" si="264"/>
        <v>0</v>
      </c>
      <c r="DT54" s="83">
        <f t="shared" si="289"/>
        <v>0</v>
      </c>
      <c r="DU54" s="83">
        <f t="shared" si="290"/>
        <v>0</v>
      </c>
      <c r="DV54" s="83">
        <f t="shared" si="265"/>
        <v>49</v>
      </c>
      <c r="DW54" s="83">
        <f t="shared" si="266"/>
        <v>-33</v>
      </c>
      <c r="DX54" s="83" t="e">
        <f t="shared" ca="1" si="321"/>
        <v>#NUM!</v>
      </c>
      <c r="DY54" s="83" t="e">
        <f t="shared" ca="1" si="322"/>
        <v>#NUM!</v>
      </c>
      <c r="DZ54" s="83">
        <f t="shared" ca="1" si="323"/>
        <v>3.7192893654008699E-2</v>
      </c>
      <c r="EA54" s="83">
        <f t="shared" ca="1" si="324"/>
        <v>-2.1025480955184847E-2</v>
      </c>
      <c r="EB54" s="83">
        <f t="shared" ca="1" si="325"/>
        <v>3.791703588981294E-2</v>
      </c>
      <c r="EC54" s="83">
        <f t="shared" ca="1" si="326"/>
        <v>-2.9372970548164002E-2</v>
      </c>
      <c r="ED54" s="63">
        <f t="shared" si="291"/>
        <v>16</v>
      </c>
      <c r="EE54" s="84">
        <f t="shared" si="327"/>
        <v>0.66579999999999995</v>
      </c>
      <c r="EF54" s="84">
        <f t="shared" si="328"/>
        <v>3.9554999999999998</v>
      </c>
      <c r="EG54" s="84">
        <f t="shared" si="329"/>
        <v>0.21029999999999999</v>
      </c>
      <c r="EH54" s="84">
        <f t="shared" si="330"/>
        <v>0.45469999999999999</v>
      </c>
      <c r="EI54" s="84">
        <f t="shared" si="331"/>
        <v>0.20180000000000001</v>
      </c>
      <c r="EJ54" s="84">
        <f t="shared" si="332"/>
        <v>0.30430000000000001</v>
      </c>
      <c r="EL54" s="83" t="str">
        <f>RTD("tos.rtd",,EL$43,"."&amp;$A$43&amp;$AS$42&amp;"C"&amp;$A54)</f>
        <v>66.58%</v>
      </c>
      <c r="EM54" s="83" t="str">
        <f>RTD("tos.rtd",,EM$43,"."&amp;$A$43&amp;$AS$42&amp;"P"&amp;$A54)</f>
        <v>395.55%</v>
      </c>
      <c r="EN54" s="83" t="str">
        <f>RTD("tos.rtd",,EN$2,"."&amp;$A$43&amp;$AU$1&amp;"C"&amp;$A54)</f>
        <v>21.03%</v>
      </c>
      <c r="EO54" s="83" t="str">
        <f>RTD("tos.rtd",,EO$2,"."&amp;$A$43&amp;$AU$1&amp;"P"&amp;$A54)</f>
        <v>45.47%</v>
      </c>
      <c r="EP54" s="83" t="str">
        <f>RTD("tos.rtd",,EP$2,"."&amp;$A$43&amp;$AW$1&amp;"C"&amp;$A54)</f>
        <v>20.18%</v>
      </c>
      <c r="EQ54" s="83" t="str">
        <f>RTD("tos.rtd",,EQ$2,"."&amp;$A$43&amp;$AW$1&amp;"P"&amp;$A54)</f>
        <v>30.43%</v>
      </c>
      <c r="ES54" s="63" t="str">
        <f t="shared" si="273"/>
        <v>493,16.00</v>
      </c>
      <c r="ET54" s="64" t="str">
        <f t="shared" ca="1" si="274"/>
        <v>493,00.00</v>
      </c>
      <c r="EU54" s="68">
        <v>561.79999999999995</v>
      </c>
      <c r="EV54" s="68" t="s">
        <v>452</v>
      </c>
      <c r="EW54" s="68">
        <v>484.27</v>
      </c>
      <c r="EX54" s="68" t="s">
        <v>453</v>
      </c>
      <c r="EY54" s="68">
        <v>5631.75</v>
      </c>
      <c r="EZ54" s="68" t="s">
        <v>454</v>
      </c>
      <c r="FA54" s="68">
        <v>19892.5</v>
      </c>
      <c r="FB54" s="68" t="s">
        <v>455</v>
      </c>
      <c r="FC54" s="68" t="s">
        <v>456</v>
      </c>
      <c r="FD54" s="68" t="s">
        <v>457</v>
      </c>
      <c r="FE54" s="68" t="s">
        <v>458</v>
      </c>
      <c r="FF54" s="68" t="s">
        <v>459</v>
      </c>
    </row>
    <row r="55" spans="1:162" ht="13.5" thickBot="1" x14ac:dyDescent="0.25">
      <c r="A55" s="2">
        <f t="shared" si="292"/>
        <v>492</v>
      </c>
      <c r="B55" s="3">
        <f t="shared" ref="B55" si="333">+IF($A$1="ABS",AS55-AT55,AS55+AT55)</f>
        <v>8262</v>
      </c>
      <c r="C55" s="3">
        <f t="shared" ref="C55" si="334">+IF($A$1="ABS",AU55-AV55,AU55+AV55)</f>
        <v>1287</v>
      </c>
      <c r="D55" s="3">
        <f t="shared" ref="D55" si="335">+IF($A$1="ABS",AW55-AX55,AW55+AX55)</f>
        <v>361</v>
      </c>
      <c r="E55" s="3">
        <f t="shared" ref="E55" si="336">SUM(B55:D55)</f>
        <v>9910</v>
      </c>
      <c r="F55" s="4">
        <f t="shared" ref="F55" si="337">+$F$44/$A$44*A55</f>
        <v>20308.579644654412</v>
      </c>
      <c r="AM55" s="1">
        <v>-4954</v>
      </c>
      <c r="AN55" s="1">
        <v>-3</v>
      </c>
      <c r="AO55" s="1">
        <v>492</v>
      </c>
      <c r="AP55" s="1">
        <v>12845</v>
      </c>
      <c r="AQ55" s="1">
        <v>-72</v>
      </c>
      <c r="AS55" s="6">
        <f>IF(RTD("tos.rtd",,AS$43,"."&amp;$A$43&amp;$AS$42&amp;"C"&amp;$A55)="N/A",0,RTD("tos.rtd",,AS$43,"."&amp;$A$43&amp;$AS$42&amp;"C"&amp;$A55))</f>
        <v>8053</v>
      </c>
      <c r="AT55" s="7">
        <f>-IF(RTD("tos.rtd",,AT$43,"."&amp;$A$43&amp;$AS$42&amp;"P"&amp;$A55)="N/A",0,RTD("tos.rtd",,AT$43,"."&amp;$A$43&amp;$AS$42&amp;"P"&amp;$A55))</f>
        <v>-209</v>
      </c>
      <c r="AU55" s="6">
        <f>IF(RTD("tos.rtd",,AU$2,"."&amp;$A$43&amp;$AU$1&amp;"C"&amp;$A55)="N/A",0,RTD("tos.rtd",,AU$2,"."&amp;$A$43&amp;$AU$1&amp;"C"&amp;$A55))</f>
        <v>1071</v>
      </c>
      <c r="AV55" s="7">
        <f>-IF(RTD("tos.rtd",,AV$2,"."&amp;$A$43&amp;$AU$1&amp;"P"&amp;$A55)="N/A",0,RTD("tos.rtd",,AV$2,"."&amp;$A$43&amp;$AU$1&amp;"P"&amp;$A55))</f>
        <v>-216</v>
      </c>
      <c r="AW55" s="6">
        <f>IF(RTD("tos.rtd",,AW$2,"."&amp;$A$43&amp;$AW$1&amp;"C"&amp;$A55)="N/A",0,RTD("tos.rtd",,AW$2,"."&amp;$A$43&amp;$AW$1&amp;"C"&amp;$A55))</f>
        <v>345</v>
      </c>
      <c r="AX55" s="7">
        <f>-IF(RTD("tos.rtd",,AX$2,"."&amp;$A$43&amp;$AW$1&amp;"P"&amp;$A55)="N/A",0,RTD("tos.rtd",,AX$2,"."&amp;$A$43&amp;$AW$1&amp;"P"&amp;$A55))</f>
        <v>-16</v>
      </c>
      <c r="AY55" s="7">
        <f t="shared" ref="AY55" si="338">SUM(AS55:AX55)</f>
        <v>9028</v>
      </c>
      <c r="AZ55" s="8">
        <f t="shared" si="244"/>
        <v>492</v>
      </c>
      <c r="BA55" s="6">
        <f>IF(RTD("tos.rtd",,BA$43,"."&amp;$A$43&amp;$AS$42&amp;"C"&amp;$A55)="N/A",0,RTD("tos.rtd",,BA$43,"."&amp;$A$43&amp;$AS$42&amp;"C"&amp;$A55))</f>
        <v>12845</v>
      </c>
      <c r="BB55" s="7">
        <f>-IF(RTD("tos.rtd",,BB$43,"."&amp;$A$43&amp;$AS$42&amp;"P"&amp;$A55)="N/A",0,RTD("tos.rtd",,BB$43,"."&amp;$A$43&amp;$AS$42&amp;"P"&amp;$A55))</f>
        <v>-72</v>
      </c>
      <c r="BC55" s="6">
        <f>IF(RTD("tos.rtd",,BC$2,"."&amp;$A$43&amp;$AU$1&amp;"C"&amp;$A55)="N/A",0,RTD("tos.rtd",,BC$2,"."&amp;$A$43&amp;$AU$1&amp;"C"&amp;$A55))</f>
        <v>1968</v>
      </c>
      <c r="BD55" s="7">
        <f>-IF(RTD("tos.rtd",,BD$2,"."&amp;$A$43&amp;$AU$1&amp;"P"&amp;$A55)="N/A",0,RTD("tos.rtd",,BD$2,"."&amp;$A$43&amp;$AU$1&amp;"P"&amp;$A55))</f>
        <v>-157</v>
      </c>
      <c r="BE55" s="6">
        <f>IF(RTD("tos.rtd",,BE$2,"."&amp;$A$43&amp;$AW$1&amp;"C"&amp;$A55)="N/A",0,RTD("tos.rtd",,BE$2,"."&amp;$A$43&amp;$AW$1&amp;"C"&amp;$A55))</f>
        <v>323</v>
      </c>
      <c r="BF55" s="7">
        <f>-IF(RTD("tos.rtd",,BF$2,"."&amp;$A$43&amp;$AW$1&amp;"P"&amp;$A55)="N/A",0,RTD("tos.rtd",,BF$2,"."&amp;$A$43&amp;$AW$1&amp;"P"&amp;$A55))</f>
        <v>-23</v>
      </c>
      <c r="BG55" s="32">
        <f ca="1">+Hoja2!Y56</f>
        <v>-39</v>
      </c>
      <c r="BH55" s="7">
        <f t="shared" ca="1" si="276"/>
        <v>14845</v>
      </c>
      <c r="BI55" s="8" t="str">
        <f t="shared" ca="1" si="293"/>
        <v/>
      </c>
      <c r="BJ55" s="83" t="e">
        <f ca="1">IF($BP$1=1,DX55,IF(RTD("tos.rtd",,BJ$43,"."&amp;$A$43&amp;$AS$42&amp;"C"&amp;$A55)="N/A",0,RTD("tos.rtd",,BJ$43,"."&amp;$A$43&amp;$AS$42&amp;"C"&amp;$A55)))</f>
        <v>#NUM!</v>
      </c>
      <c r="BK55" s="83" t="e">
        <f ca="1">IF($BP$1=1,DY55,-IF(RTD("tos.rtd",,BK$43,"."&amp;$A$43&amp;$AS$42&amp;"P"&amp;$A55)="N/A",0,RTD("tos.rtd",,BK$43,"."&amp;$A$43&amp;$AS$42&amp;"P"&amp;$A55)))</f>
        <v>#NUM!</v>
      </c>
      <c r="BL55" s="83">
        <f ca="1">IF($BP$1=1,DZ55,IF(RTD("tos.rtd",,BL$2,"."&amp;$A$43&amp;$AU$1&amp;"C"&amp;$A55)="N/A",0,RTD("tos.rtd",,BL$2,"."&amp;$A$43&amp;$AU$1&amp;"C"&amp;$A55)))</f>
        <v>4.0434868689213949E-2</v>
      </c>
      <c r="BM55" s="83">
        <f ca="1">IF($BP$1=1,EA55,-IF(RTD("tos.rtd",,BM$2,"."&amp;$A$43&amp;$AU$1&amp;"P"&amp;$A55)="N/A",0,RTD("tos.rtd",,BM$2,"."&amp;$A$43&amp;$AU$1&amp;"P"&amp;$A55)))</f>
        <v>-2.1925162650028591E-2</v>
      </c>
      <c r="BN55" s="83">
        <f ca="1">IF($BP$1=1,EB55,IF(RTD("tos.rtd",,BN$2,"."&amp;$A$43&amp;$AW$1&amp;"C"&amp;$A55)="N/A",0,RTD("tos.rtd",,BN$2,"."&amp;$A$43&amp;$AW$1&amp;"C"&amp;$A55)))</f>
        <v>4.1169315203885087E-2</v>
      </c>
      <c r="BO55" s="83">
        <f ca="1">IF($BP$1=1,EC55,-IF(RTD("tos.rtd",,BO$2,"."&amp;$A$43&amp;$AW$1&amp;"P"&amp;$A55)="N/A",0,RTD("tos.rtd",,BO$2,"."&amp;$A$43&amp;$AW$1&amp;"P"&amp;$A55)))</f>
        <v>-3.0567054561728951E-2</v>
      </c>
      <c r="BQ55" s="83" t="e">
        <f t="shared" ref="BQ55" ca="1" si="339">+$A$44*$A$44*AS55*BJ55-$A$44*$A$44*AT55*BK55</f>
        <v>#NUM!</v>
      </c>
      <c r="BR55" s="3" t="e">
        <f t="shared" ca="1" si="278"/>
        <v>#NUM!</v>
      </c>
      <c r="BS55" s="83">
        <f t="shared" ref="BS55" ca="1" si="340">+$A$44*$A$44*AU55*BL55-$A$44*$A$44*AV55*BM55</f>
        <v>9141952.6071412563</v>
      </c>
      <c r="BT55" s="3" t="str">
        <f t="shared" ca="1" si="280"/>
        <v/>
      </c>
      <c r="BU55" s="83">
        <f t="shared" ref="BU55" ca="1" si="341">+$A$44*$A$44*AW55*BN55-$A$44*$A$44*AX55*BO55</f>
        <v>3250613.1537262346</v>
      </c>
      <c r="BV55" s="83"/>
      <c r="BX55" s="83" t="e">
        <f t="shared" ref="BX55" ca="1" si="342">+$A$44*$A$44*BA55*BJ55-$A$44*$A$44*BB55*BK55</f>
        <v>#NUM!</v>
      </c>
      <c r="BY55" s="83" t="e">
        <f t="shared" ca="1" si="294"/>
        <v>#NUM!</v>
      </c>
      <c r="BZ55" s="83">
        <f t="shared" ref="BZ55" ca="1" si="343">+$A$44*$A$44*BC55*BL55-$A$44*$A$44*BD55*BM55</f>
        <v>18045401.509285767</v>
      </c>
      <c r="CA55" s="83" t="str">
        <f t="shared" ca="1" si="294"/>
        <v/>
      </c>
      <c r="CB55" s="83">
        <f t="shared" ref="CB55" ca="1" si="344">+$A$44*$A$44*BE55*BN55-$A$44*$A$44*BF55*BO55</f>
        <v>2985219.9345423016</v>
      </c>
      <c r="CC55" s="83" t="str">
        <f t="shared" ca="1" si="294"/>
        <v/>
      </c>
      <c r="CD55" s="83">
        <f>IF(RTD("tos.rtd",,CD$43,"."&amp;$A$43&amp;$AS$42&amp;"C"&amp;$A55)="N/A",0,RTD("tos.rtd",,CD$43,"."&amp;$A$43&amp;$AS$42&amp;"C"&amp;$A55))</f>
        <v>0.01</v>
      </c>
      <c r="CE55" s="83">
        <f>-IF(RTD("tos.rtd",,CE$43,"."&amp;$A$43&amp;$AS$42&amp;"P"&amp;$A55)="N/A",0,RTD("tos.rtd",,CE$43,"."&amp;$A$43&amp;$AS$42&amp;"P"&amp;$A55))</f>
        <v>0.64</v>
      </c>
      <c r="CF55" s="83">
        <f>IF(RTD("tos.rtd",,CF$2,"."&amp;$A$43&amp;$AU$1&amp;"C"&amp;$A55)="N/A",0,RTD("tos.rtd",,CF$2,"."&amp;$A$43&amp;$AU$1&amp;"C"&amp;$A55))</f>
        <v>0.24</v>
      </c>
      <c r="CG55" s="83">
        <f>-IF(RTD("tos.rtd",,CG$2,"."&amp;$A$43&amp;$AU$1&amp;"P"&amp;$A55)="N/A",0,RTD("tos.rtd",,CG$2,"."&amp;$A$43&amp;$AU$1&amp;"P"&amp;$A55))</f>
        <v>0.63</v>
      </c>
      <c r="CH55" s="83">
        <f>IF(RTD("tos.rtd",,CH$2,"."&amp;$A$43&amp;$AW$1&amp;"C"&amp;$A55)="N/A",0,RTD("tos.rtd",,CH$2,"."&amp;$A$43&amp;$AW$1&amp;"C"&amp;$A55))</f>
        <v>0.39</v>
      </c>
      <c r="CI55" s="83">
        <f>-IF(RTD("tos.rtd",,CI$2,"."&amp;$A$43&amp;$AW$1&amp;"P"&amp;$A55)="N/A",0,RTD("tos.rtd",,CI$2,"."&amp;$A$43&amp;$AW$1&amp;"P"&amp;$A55))</f>
        <v>0.56999999999999995</v>
      </c>
      <c r="CK55" s="83">
        <f t="shared" ref="CK55" si="345">+AS55*CD55*100+AT55*CE55*100</f>
        <v>-5323</v>
      </c>
      <c r="CL55" s="83"/>
      <c r="CM55" s="83">
        <f t="shared" ref="CM55" si="346">+AU55*CF55*100+AV55*CG55*100</f>
        <v>12095.999999999995</v>
      </c>
      <c r="CN55" s="83"/>
      <c r="CO55" s="83">
        <f t="shared" ref="CO55" si="347">+AW55*CH55*100+AX55*CI55*100</f>
        <v>12543.000000000002</v>
      </c>
      <c r="CP55" s="83">
        <f t="shared" ref="CP55" si="348">+CK55+CM55+CO55</f>
        <v>19315.999999999996</v>
      </c>
      <c r="CQ55" s="83">
        <f t="shared" ref="CQ55" si="349">+BA55+BB55</f>
        <v>12773</v>
      </c>
      <c r="CR55" s="83"/>
      <c r="CS55" s="83">
        <f t="shared" ref="CS55" si="350">+BC55+BD55</f>
        <v>1811</v>
      </c>
      <c r="CT55" s="83"/>
      <c r="CU55" s="83">
        <f t="shared" ref="CU55" si="351">+BE55+BF55</f>
        <v>300</v>
      </c>
      <c r="CV55" s="83"/>
      <c r="CW55" s="83" t="e">
        <f t="shared" ref="CW55" ca="1" si="352">+BQ55+BS55+BU55</f>
        <v>#NUM!</v>
      </c>
      <c r="CY55" s="83" t="e">
        <f t="shared" ref="CY55" ca="1" si="353">+BX55+BZ55+CB55</f>
        <v>#NUM!</v>
      </c>
      <c r="CZ55" s="70" t="e">
        <f t="shared" ca="1" si="295"/>
        <v>#NUM!</v>
      </c>
      <c r="DA55" s="83">
        <f>IF(RTD("tos.rtd",,DA$43,"."&amp;$A$43&amp;$AS$42&amp;"C"&amp;$A55)="N/A",0,RTD("tos.rtd",,DA$43,"."&amp;$A$43&amp;$AS$42&amp;"C"&amp;$A55))</f>
        <v>0.01</v>
      </c>
      <c r="DB55" s="83">
        <f>IF(RTD("tos.rtd",,DB$43,"."&amp;$A$43&amp;$AS$42&amp;"P"&amp;$A55)="N/A",0,RTD("tos.rtd",,DB$43,"."&amp;$A$43&amp;$AS$42&amp;"P"&amp;$A55))</f>
        <v>7.34</v>
      </c>
      <c r="DC55" s="83">
        <f>IF(RTD("tos.rtd",,DC$43,"."&amp;$A$43&amp;$AS$42&amp;"C"&amp;$A55)="N/A",0,RTD("tos.rtd",,DC$43,"."&amp;$A$43&amp;$AS$42&amp;"C"&amp;$A55))</f>
        <v>0.01</v>
      </c>
      <c r="DD55" s="83">
        <f>IF(RTD("tos.rtd",,DD$43,"."&amp;$A$43&amp;$AS$42&amp;"P"&amp;$A55)="N/A",0,RTD("tos.rtd",,DD$43,"."&amp;$A$43&amp;$AS$42&amp;"P"&amp;$A55))</f>
        <v>10.15</v>
      </c>
      <c r="DE55" s="83">
        <f>IF(RTD("tos.rtd",,DE$43,"."&amp;$A$43&amp;$AS$42&amp;"C"&amp;$A55)="N/A",0,RTD("tos.rtd",,DE$43,"."&amp;$A$43&amp;$AS$42&amp;"C"&amp;$A55))</f>
        <v>0</v>
      </c>
      <c r="DF55" s="83">
        <f>IF(RTD("tos.rtd",,DF$43,"."&amp;$A$43&amp;$AS$42&amp;"P"&amp;$A55)="N/A",0,RTD("tos.rtd",,DF$43,"."&amp;$A$43&amp;$AS$42&amp;"P"&amp;$A55))</f>
        <v>6.52</v>
      </c>
      <c r="DG55" s="86">
        <f t="shared" si="288"/>
        <v>5.1499999999999773</v>
      </c>
      <c r="DH55" s="83">
        <f t="shared" ref="DH55" si="354">((DA55-DE55)/(DC55-DE55))*(BA55-AP55)</f>
        <v>0</v>
      </c>
      <c r="DI55" s="83">
        <f t="shared" ref="DI55" si="355">((DB55-DF55)/(DD55-DF55))*(BB55-AQ55)</f>
        <v>0</v>
      </c>
      <c r="DJ55" s="83">
        <f t="shared" ref="DJ55" si="356">IF(DA55&gt;=(DE55+(DC55-DE55)*0.6),(BA55-AP55),IF(DA55&lt;=(DE55+(DC55-DE55)*0.4),-(BA55-AP55),0))</f>
        <v>0</v>
      </c>
      <c r="DK55" s="83">
        <f t="shared" si="256"/>
        <v>0</v>
      </c>
      <c r="DL55" s="83">
        <f t="shared" si="257"/>
        <v>0</v>
      </c>
      <c r="DM55" s="83">
        <f t="shared" si="258"/>
        <v>0</v>
      </c>
      <c r="DN55" s="64" t="str">
        <f t="shared" si="259"/>
        <v>UNKNOWN</v>
      </c>
      <c r="DO55" s="64" t="str">
        <f t="shared" si="260"/>
        <v>UNKNOWN</v>
      </c>
      <c r="DP55" s="83">
        <f t="shared" si="261"/>
        <v>0</v>
      </c>
      <c r="DQ55" s="83">
        <f t="shared" si="262"/>
        <v>0</v>
      </c>
      <c r="DR55" s="83" t="e">
        <f t="shared" ca="1" si="263"/>
        <v>#NUM!</v>
      </c>
      <c r="DS55" s="83">
        <f t="shared" si="264"/>
        <v>0</v>
      </c>
      <c r="DT55" s="83">
        <f t="shared" si="289"/>
        <v>0</v>
      </c>
      <c r="DU55" s="83">
        <f t="shared" si="290"/>
        <v>0</v>
      </c>
      <c r="DV55" s="83">
        <f t="shared" si="265"/>
        <v>-4954</v>
      </c>
      <c r="DW55" s="83">
        <f t="shared" si="266"/>
        <v>-3</v>
      </c>
      <c r="DX55" s="83" t="e">
        <f t="shared" ca="1" si="321"/>
        <v>#NUM!</v>
      </c>
      <c r="DY55" s="83" t="e">
        <f t="shared" ca="1" si="322"/>
        <v>#NUM!</v>
      </c>
      <c r="DZ55" s="83">
        <f t="shared" ca="1" si="323"/>
        <v>4.0434868689213949E-2</v>
      </c>
      <c r="EA55" s="83">
        <f t="shared" ca="1" si="324"/>
        <v>-2.1925162650028591E-2</v>
      </c>
      <c r="EB55" s="83">
        <f t="shared" ca="1" si="325"/>
        <v>4.1169315203885087E-2</v>
      </c>
      <c r="EC55" s="83">
        <f t="shared" ca="1" si="326"/>
        <v>-3.0567054561728951E-2</v>
      </c>
      <c r="ED55" s="63">
        <f t="shared" si="291"/>
        <v>-4957</v>
      </c>
      <c r="EE55" s="84">
        <f t="shared" ref="EE55" si="357">IFERROR(VALUE(IF(OR(EL55="--",EL55="0.00%"),$EE$1,EL55)),$EE$1)</f>
        <v>0.56969999999999998</v>
      </c>
      <c r="EF55" s="84">
        <f t="shared" ref="EF55" si="358">IFERROR(VALUE(IF(OR(EM55="--",EM55="0.00%"),$EE$1,EM55)),$EE$1)</f>
        <v>3.6442999999999999</v>
      </c>
      <c r="EG55" s="84">
        <f t="shared" ref="EG55" si="359">IFERROR(VALUE(IF(OR(EN55="--",EN55="0.00%"),$EE$1,EN55)),$EE$1)</f>
        <v>0.20799999999999999</v>
      </c>
      <c r="EH55" s="84">
        <f t="shared" ref="EH55" si="360">IFERROR(VALUE(IF(OR(EO55="--",EO55="0.00%"),$EE$1,EO55)),$EE$1)</f>
        <v>0.44190000000000002</v>
      </c>
      <c r="EI55" s="84">
        <f t="shared" ref="EI55" si="361">IFERROR(VALUE(IF(OR(EP55="--",EP55="0.00%"),$EE$1,EP55)),$EE$1)</f>
        <v>0.2021</v>
      </c>
      <c r="EJ55" s="84">
        <f t="shared" ref="EJ55" si="362">IFERROR(VALUE(IF(OR(EQ55="--",EQ55="0.00%"),$EE$1,EQ55)),$EE$1)</f>
        <v>0.3029</v>
      </c>
      <c r="EL55" s="83" t="str">
        <f>RTD("tos.rtd",,EL$43,"."&amp;$A$43&amp;$AS$42&amp;"C"&amp;$A55)</f>
        <v>56.97%</v>
      </c>
      <c r="EM55" s="83" t="str">
        <f>RTD("tos.rtd",,EM$43,"."&amp;$A$43&amp;$AS$42&amp;"P"&amp;$A55)</f>
        <v>364.43%</v>
      </c>
      <c r="EN55" s="83" t="str">
        <f>RTD("tos.rtd",,EN$2,"."&amp;$A$43&amp;$AU$1&amp;"C"&amp;$A55)</f>
        <v>20.80%</v>
      </c>
      <c r="EO55" s="83" t="str">
        <f>RTD("tos.rtd",,EO$2,"."&amp;$A$43&amp;$AU$1&amp;"P"&amp;$A55)</f>
        <v>44.19%</v>
      </c>
      <c r="EP55" s="83" t="str">
        <f>RTD("tos.rtd",,EP$2,"."&amp;$A$43&amp;$AW$1&amp;"C"&amp;$A55)</f>
        <v>20.21%</v>
      </c>
      <c r="EQ55" s="83" t="str">
        <f>RTD("tos.rtd",,EQ$2,"."&amp;$A$43&amp;$AW$1&amp;"P"&amp;$A55)</f>
        <v>30.29%</v>
      </c>
      <c r="ES55" s="63" t="str">
        <f t="shared" si="273"/>
        <v>492,-4957.00</v>
      </c>
      <c r="ET55" s="64" t="str">
        <f t="shared" ca="1" si="274"/>
        <v>492,00.00</v>
      </c>
      <c r="EU55" s="68">
        <v>561.77</v>
      </c>
      <c r="EV55" s="68" t="s">
        <v>460</v>
      </c>
      <c r="EW55" s="68">
        <v>484.26</v>
      </c>
      <c r="EX55" s="68" t="s">
        <v>461</v>
      </c>
      <c r="EY55" s="68">
        <v>5631.75</v>
      </c>
      <c r="EZ55" s="68" t="s">
        <v>462</v>
      </c>
      <c r="FA55" s="68">
        <v>19893</v>
      </c>
      <c r="FB55" s="68" t="s">
        <v>463</v>
      </c>
      <c r="FC55" s="68" t="s">
        <v>464</v>
      </c>
      <c r="FD55" s="68" t="s">
        <v>465</v>
      </c>
      <c r="FE55" s="68" t="s">
        <v>466</v>
      </c>
      <c r="FF55" s="68" t="s">
        <v>467</v>
      </c>
    </row>
    <row r="56" spans="1:162" ht="13.5" thickBot="1" x14ac:dyDescent="0.25">
      <c r="A56" s="2">
        <f t="shared" si="292"/>
        <v>491</v>
      </c>
      <c r="B56" s="3">
        <f t="shared" si="297"/>
        <v>2288</v>
      </c>
      <c r="C56" s="3">
        <f t="shared" si="298"/>
        <v>1668</v>
      </c>
      <c r="D56" s="3">
        <f t="shared" si="299"/>
        <v>485</v>
      </c>
      <c r="E56" s="3">
        <f t="shared" si="300"/>
        <v>4441</v>
      </c>
      <c r="F56" s="4">
        <f t="shared" si="301"/>
        <v>20267.302043750642</v>
      </c>
      <c r="AM56" s="1">
        <v>-2409</v>
      </c>
      <c r="AN56" s="1">
        <v>40</v>
      </c>
      <c r="AO56" s="1">
        <v>491</v>
      </c>
      <c r="AP56" s="1">
        <v>14079</v>
      </c>
      <c r="AQ56" s="1">
        <v>-102</v>
      </c>
      <c r="AS56" s="6">
        <f>IF(RTD("tos.rtd",,AS$43,"."&amp;$A$43&amp;$AS$42&amp;"C"&amp;$A56)="N/A",0,RTD("tos.rtd",,AS$43,"."&amp;$A$43&amp;$AS$42&amp;"C"&amp;$A56))</f>
        <v>1821</v>
      </c>
      <c r="AT56" s="7">
        <f>-IF(RTD("tos.rtd",,AT$43,"."&amp;$A$43&amp;$AS$42&amp;"P"&amp;$A56)="N/A",0,RTD("tos.rtd",,AT$43,"."&amp;$A$43&amp;$AS$42&amp;"P"&amp;$A56))</f>
        <v>-467</v>
      </c>
      <c r="AU56" s="6">
        <f>IF(RTD("tos.rtd",,AU$2,"."&amp;$A$43&amp;$AU$1&amp;"C"&amp;$A56)="N/A",0,RTD("tos.rtd",,AU$2,"."&amp;$A$43&amp;$AU$1&amp;"C"&amp;$A56))</f>
        <v>1126</v>
      </c>
      <c r="AV56" s="7">
        <f>-IF(RTD("tos.rtd",,AV$2,"."&amp;$A$43&amp;$AU$1&amp;"P"&amp;$A56)="N/A",0,RTD("tos.rtd",,AV$2,"."&amp;$A$43&amp;$AU$1&amp;"P"&amp;$A56))</f>
        <v>-542</v>
      </c>
      <c r="AW56" s="6">
        <f>IF(RTD("tos.rtd",,AW$2,"."&amp;$A$43&amp;$AW$1&amp;"C"&amp;$A56)="N/A",0,RTD("tos.rtd",,AW$2,"."&amp;$A$43&amp;$AW$1&amp;"C"&amp;$A56))</f>
        <v>476</v>
      </c>
      <c r="AX56" s="7">
        <f>-IF(RTD("tos.rtd",,AX$2,"."&amp;$A$43&amp;$AW$1&amp;"P"&amp;$A56)="N/A",0,RTD("tos.rtd",,AX$2,"."&amp;$A$43&amp;$AW$1&amp;"P"&amp;$A56))</f>
        <v>-9</v>
      </c>
      <c r="AY56" s="7">
        <f t="shared" si="302"/>
        <v>2405</v>
      </c>
      <c r="AZ56" s="8">
        <f t="shared" si="244"/>
        <v>491</v>
      </c>
      <c r="BA56" s="6">
        <f>IF(RTD("tos.rtd",,BA$43,"."&amp;$A$43&amp;$AS$42&amp;"C"&amp;$A56)="N/A",0,RTD("tos.rtd",,BA$43,"."&amp;$A$43&amp;$AS$42&amp;"C"&amp;$A56))</f>
        <v>14079</v>
      </c>
      <c r="BB56" s="7">
        <f>-IF(RTD("tos.rtd",,BB$43,"."&amp;$A$43&amp;$AS$42&amp;"P"&amp;$A56)="N/A",0,RTD("tos.rtd",,BB$43,"."&amp;$A$43&amp;$AS$42&amp;"P"&amp;$A56))</f>
        <v>-102</v>
      </c>
      <c r="BC56" s="6">
        <f>IF(RTD("tos.rtd",,BC$2,"."&amp;$A$43&amp;$AU$1&amp;"C"&amp;$A56)="N/A",0,RTD("tos.rtd",,BC$2,"."&amp;$A$43&amp;$AU$1&amp;"C"&amp;$A56))</f>
        <v>2591</v>
      </c>
      <c r="BD56" s="7">
        <f>-IF(RTD("tos.rtd",,BD$2,"."&amp;$A$43&amp;$AU$1&amp;"P"&amp;$A56)="N/A",0,RTD("tos.rtd",,BD$2,"."&amp;$A$43&amp;$AU$1&amp;"P"&amp;$A56))</f>
        <v>-37</v>
      </c>
      <c r="BE56" s="6">
        <f>IF(RTD("tos.rtd",,BE$2,"."&amp;$A$43&amp;$AW$1&amp;"C"&amp;$A56)="N/A",0,RTD("tos.rtd",,BE$2,"."&amp;$A$43&amp;$AW$1&amp;"C"&amp;$A56))</f>
        <v>492</v>
      </c>
      <c r="BF56" s="7">
        <f>-IF(RTD("tos.rtd",,BF$2,"."&amp;$A$43&amp;$AW$1&amp;"P"&amp;$A56)="N/A",0,RTD("tos.rtd",,BF$2,"."&amp;$A$43&amp;$AW$1&amp;"P"&amp;$A56))</f>
        <v>-25</v>
      </c>
      <c r="BG56" s="32">
        <f ca="1">+Hoja2!Y57</f>
        <v>-185</v>
      </c>
      <c r="BH56" s="7">
        <f t="shared" ca="1" si="276"/>
        <v>16813</v>
      </c>
      <c r="BI56" s="8" t="str">
        <f t="shared" ca="1" si="293"/>
        <v/>
      </c>
      <c r="BJ56" s="83" t="e">
        <f ca="1">IF($BP$1=1,DX56,IF(RTD("tos.rtd",,BJ$43,"."&amp;$A$43&amp;$AS$42&amp;"C"&amp;$A56)="N/A",0,RTD("tos.rtd",,BJ$43,"."&amp;$A$43&amp;$AS$42&amp;"C"&amp;$A56)))</f>
        <v>#NUM!</v>
      </c>
      <c r="BK56" s="83" t="e">
        <f ca="1">IF($BP$1=1,DY56,-IF(RTD("tos.rtd",,BK$43,"."&amp;$A$43&amp;$AS$42&amp;"P"&amp;$A56)="N/A",0,RTD("tos.rtd",,BK$43,"."&amp;$A$43&amp;$AS$42&amp;"P"&amp;$A56)))</f>
        <v>#NUM!</v>
      </c>
      <c r="BL56" s="83">
        <f ca="1">IF($BP$1=1,DZ56,IF(RTD("tos.rtd",,BL$2,"."&amp;$A$43&amp;$AU$1&amp;"C"&amp;$A56)="N/A",0,RTD("tos.rtd",,BL$2,"."&amp;$A$43&amp;$AU$1&amp;"C"&amp;$A56)))</f>
        <v>4.3542738103883726E-2</v>
      </c>
      <c r="BM56" s="83">
        <f ca="1">IF($BP$1=1,EA56,-IF(RTD("tos.rtd",,BM$2,"."&amp;$A$43&amp;$AU$1&amp;"P"&amp;$A56)="N/A",0,RTD("tos.rtd",,BM$2,"."&amp;$A$43&amp;$AU$1&amp;"P"&amp;$A56)))</f>
        <v>-2.5242430639693475E-2</v>
      </c>
      <c r="BN56" s="83">
        <f ca="1">IF($BP$1=1,EB56,IF(RTD("tos.rtd",,BN$2,"."&amp;$A$43&amp;$AW$1&amp;"C"&amp;$A56)="N/A",0,RTD("tos.rtd",,BN$2,"."&amp;$A$43&amp;$AW$1&amp;"C"&amp;$A56)))</f>
        <v>4.3981322034419408E-2</v>
      </c>
      <c r="BO56" s="83">
        <f ca="1">IF($BP$1=1,EC56,-IF(RTD("tos.rtd",,BO$2,"."&amp;$A$43&amp;$AW$1&amp;"P"&amp;$A56)="N/A",0,RTD("tos.rtd",,BO$2,"."&amp;$A$43&amp;$AW$1&amp;"P"&amp;$A56)))</f>
        <v>-3.1276345403133822E-2</v>
      </c>
      <c r="BQ56" s="83" t="e">
        <f t="shared" ca="1" si="303"/>
        <v>#NUM!</v>
      </c>
      <c r="BR56" s="3" t="e">
        <f t="shared" ca="1" si="278"/>
        <v>#NUM!</v>
      </c>
      <c r="BS56" s="83">
        <f t="shared" ca="1" si="304"/>
        <v>8378221.2487297514</v>
      </c>
      <c r="BT56" s="3" t="str">
        <f t="shared" ca="1" si="280"/>
        <v/>
      </c>
      <c r="BU56" s="83">
        <f t="shared" ca="1" si="305"/>
        <v>4895381.8892564531</v>
      </c>
      <c r="BV56" s="83"/>
      <c r="BX56" s="83" t="e">
        <f t="shared" ca="1" si="306"/>
        <v>#NUM!</v>
      </c>
      <c r="BY56" s="83" t="e">
        <f t="shared" ca="1" si="294"/>
        <v>#NUM!</v>
      </c>
      <c r="BZ56" s="83">
        <f t="shared" ca="1" si="307"/>
        <v>26519372.374933444</v>
      </c>
      <c r="CA56" s="83" t="str">
        <f t="shared" ca="1" si="294"/>
        <v/>
      </c>
      <c r="CB56" s="83">
        <f t="shared" ca="1" si="308"/>
        <v>4943563.8203195175</v>
      </c>
      <c r="CC56" s="83" t="str">
        <f t="shared" ca="1" si="294"/>
        <v/>
      </c>
      <c r="CD56" s="83">
        <f>IF(RTD("tos.rtd",,CD$43,"."&amp;$A$43&amp;$AS$42&amp;"C"&amp;$A56)="N/A",0,RTD("tos.rtd",,CD$43,"."&amp;$A$43&amp;$AS$42&amp;"C"&amp;$A56))</f>
        <v>0.01</v>
      </c>
      <c r="CE56" s="83">
        <f>-IF(RTD("tos.rtd",,CE$43,"."&amp;$A$43&amp;$AS$42&amp;"P"&amp;$A56)="N/A",0,RTD("tos.rtd",,CE$43,"."&amp;$A$43&amp;$AS$42&amp;"P"&amp;$A56))</f>
        <v>0.62</v>
      </c>
      <c r="CF56" s="83">
        <f>IF(RTD("tos.rtd",,CF$2,"."&amp;$A$43&amp;$AU$1&amp;"C"&amp;$A56)="N/A",0,RTD("tos.rtd",,CF$2,"."&amp;$A$43&amp;$AU$1&amp;"C"&amp;$A56))</f>
        <v>0.28000000000000003</v>
      </c>
      <c r="CG56" s="83">
        <f>-IF(RTD("tos.rtd",,CG$2,"."&amp;$A$43&amp;$AU$1&amp;"P"&amp;$A56)="N/A",0,RTD("tos.rtd",,CG$2,"."&amp;$A$43&amp;$AU$1&amp;"P"&amp;$A56))</f>
        <v>0.62</v>
      </c>
      <c r="CH56" s="83">
        <f>IF(RTD("tos.rtd",,CH$2,"."&amp;$A$43&amp;$AW$1&amp;"C"&amp;$A56)="N/A",0,RTD("tos.rtd",,CH$2,"."&amp;$A$43&amp;$AW$1&amp;"C"&amp;$A56))</f>
        <v>0.41</v>
      </c>
      <c r="CI56" s="83">
        <f>-IF(RTD("tos.rtd",,CI$2,"."&amp;$A$43&amp;$AW$1&amp;"P"&amp;$A56)="N/A",0,RTD("tos.rtd",,CI$2,"."&amp;$A$43&amp;$AW$1&amp;"P"&amp;$A56))</f>
        <v>0.56000000000000005</v>
      </c>
      <c r="CK56" s="83">
        <f t="shared" si="309"/>
        <v>-27133.000000000004</v>
      </c>
      <c r="CL56" s="83"/>
      <c r="CM56" s="83">
        <f t="shared" si="310"/>
        <v>-2075.9999999999964</v>
      </c>
      <c r="CN56" s="83"/>
      <c r="CO56" s="83">
        <f t="shared" si="311"/>
        <v>19012</v>
      </c>
      <c r="CP56" s="83">
        <f t="shared" si="312"/>
        <v>-10197</v>
      </c>
      <c r="CQ56" s="83">
        <f t="shared" si="313"/>
        <v>13977</v>
      </c>
      <c r="CR56" s="83"/>
      <c r="CS56" s="83">
        <f t="shared" si="314"/>
        <v>2554</v>
      </c>
      <c r="CT56" s="83"/>
      <c r="CU56" s="83">
        <f t="shared" si="315"/>
        <v>467</v>
      </c>
      <c r="CV56" s="83"/>
      <c r="CW56" s="83" t="e">
        <f t="shared" ca="1" si="316"/>
        <v>#NUM!</v>
      </c>
      <c r="CY56" s="83" t="e">
        <f t="shared" ca="1" si="317"/>
        <v>#NUM!</v>
      </c>
      <c r="CZ56" s="70" t="e">
        <f t="shared" ca="1" si="295"/>
        <v>#NUM!</v>
      </c>
      <c r="DA56" s="83">
        <f>IF(RTD("tos.rtd",,DA$43,"."&amp;$A$43&amp;$AS$42&amp;"C"&amp;$A56)="N/A",0,RTD("tos.rtd",,DA$43,"."&amp;$A$43&amp;$AS$42&amp;"C"&amp;$A56))</f>
        <v>0.01</v>
      </c>
      <c r="DB56" s="83">
        <f>IF(RTD("tos.rtd",,DB$43,"."&amp;$A$43&amp;$AS$42&amp;"P"&amp;$A56)="N/A",0,RTD("tos.rtd",,DB$43,"."&amp;$A$43&amp;$AS$42&amp;"P"&amp;$A56))</f>
        <v>10.3</v>
      </c>
      <c r="DC56" s="83">
        <f>IF(RTD("tos.rtd",,DC$43,"."&amp;$A$43&amp;$AS$42&amp;"C"&amp;$A56)="N/A",0,RTD("tos.rtd",,DC$43,"."&amp;$A$43&amp;$AS$42&amp;"C"&amp;$A56))</f>
        <v>0.01</v>
      </c>
      <c r="DD56" s="83">
        <f>IF(RTD("tos.rtd",,DD$43,"."&amp;$A$43&amp;$AS$42&amp;"P"&amp;$A56)="N/A",0,RTD("tos.rtd",,DD$43,"."&amp;$A$43&amp;$AS$42&amp;"P"&amp;$A56))</f>
        <v>9.32</v>
      </c>
      <c r="DE56" s="83">
        <f>IF(RTD("tos.rtd",,DE$43,"."&amp;$A$43&amp;$AS$42&amp;"C"&amp;$A56)="N/A",0,RTD("tos.rtd",,DE$43,"."&amp;$A$43&amp;$AS$42&amp;"C"&amp;$A56))</f>
        <v>0</v>
      </c>
      <c r="DF56" s="83">
        <f>IF(RTD("tos.rtd",,DF$43,"."&amp;$A$43&amp;$AS$42&amp;"P"&amp;$A56)="N/A",0,RTD("tos.rtd",,DF$43,"."&amp;$A$43&amp;$AS$42&amp;"P"&amp;$A56))</f>
        <v>5.52</v>
      </c>
      <c r="DG56" s="86">
        <f t="shared" si="288"/>
        <v>4.1499999999999773</v>
      </c>
      <c r="DH56" s="83">
        <f t="shared" si="318"/>
        <v>0</v>
      </c>
      <c r="DI56" s="83">
        <f t="shared" si="319"/>
        <v>0</v>
      </c>
      <c r="DJ56" s="83">
        <f t="shared" si="320"/>
        <v>0</v>
      </c>
      <c r="DK56" s="83">
        <f t="shared" si="256"/>
        <v>0</v>
      </c>
      <c r="DL56" s="83">
        <f t="shared" si="257"/>
        <v>0</v>
      </c>
      <c r="DM56" s="83">
        <f t="shared" si="258"/>
        <v>0</v>
      </c>
      <c r="DN56" s="64" t="str">
        <f t="shared" si="259"/>
        <v>UNKNOWN</v>
      </c>
      <c r="DO56" s="64" t="str">
        <f t="shared" si="260"/>
        <v>UNKNOWN</v>
      </c>
      <c r="DP56" s="83">
        <f t="shared" si="261"/>
        <v>0</v>
      </c>
      <c r="DQ56" s="83">
        <f t="shared" si="262"/>
        <v>0</v>
      </c>
      <c r="DR56" s="83" t="e">
        <f t="shared" ca="1" si="263"/>
        <v>#NUM!</v>
      </c>
      <c r="DS56" s="83">
        <f t="shared" si="264"/>
        <v>0</v>
      </c>
      <c r="DT56" s="83">
        <f t="shared" si="289"/>
        <v>0</v>
      </c>
      <c r="DU56" s="83">
        <f t="shared" si="290"/>
        <v>0</v>
      </c>
      <c r="DV56" s="83">
        <f t="shared" si="265"/>
        <v>-2409</v>
      </c>
      <c r="DW56" s="83">
        <f t="shared" si="266"/>
        <v>40</v>
      </c>
      <c r="DX56" s="83" t="e">
        <f t="shared" ca="1" si="321"/>
        <v>#NUM!</v>
      </c>
      <c r="DY56" s="83" t="e">
        <f t="shared" ca="1" si="322"/>
        <v>#NUM!</v>
      </c>
      <c r="DZ56" s="83">
        <f t="shared" ca="1" si="323"/>
        <v>4.3542738103883726E-2</v>
      </c>
      <c r="EA56" s="83">
        <f t="shared" ca="1" si="324"/>
        <v>-2.5242430639693475E-2</v>
      </c>
      <c r="EB56" s="83">
        <f t="shared" ca="1" si="325"/>
        <v>4.3981322034419408E-2</v>
      </c>
      <c r="EC56" s="83">
        <f t="shared" ca="1" si="326"/>
        <v>-3.1276345403133822E-2</v>
      </c>
      <c r="ED56" s="63">
        <f t="shared" si="291"/>
        <v>-2369</v>
      </c>
      <c r="EE56" s="84">
        <f t="shared" si="327"/>
        <v>0.47170000000000001</v>
      </c>
      <c r="EF56" s="84">
        <f t="shared" si="328"/>
        <v>3.4478</v>
      </c>
      <c r="EG56" s="84">
        <f t="shared" si="329"/>
        <v>0.20530000000000001</v>
      </c>
      <c r="EH56" s="84">
        <f t="shared" si="330"/>
        <v>0.38590000000000002</v>
      </c>
      <c r="EI56" s="84">
        <f t="shared" si="331"/>
        <v>0.2026</v>
      </c>
      <c r="EJ56" s="84">
        <f t="shared" si="332"/>
        <v>0.30520000000000003</v>
      </c>
      <c r="EL56" s="83" t="str">
        <f>RTD("tos.rtd",,EL$43,"."&amp;$A$43&amp;$AS$42&amp;"C"&amp;$A56)</f>
        <v>47.17%</v>
      </c>
      <c r="EM56" s="83" t="str">
        <f>RTD("tos.rtd",,EM$43,"."&amp;$A$43&amp;$AS$42&amp;"P"&amp;$A56)</f>
        <v>344.78%</v>
      </c>
      <c r="EN56" s="83" t="str">
        <f>RTD("tos.rtd",,EN$2,"."&amp;$A$43&amp;$AU$1&amp;"C"&amp;$A56)</f>
        <v>20.53%</v>
      </c>
      <c r="EO56" s="83" t="str">
        <f>RTD("tos.rtd",,EO$2,"."&amp;$A$43&amp;$AU$1&amp;"P"&amp;$A56)</f>
        <v>38.59%</v>
      </c>
      <c r="EP56" s="83" t="str">
        <f>RTD("tos.rtd",,EP$2,"."&amp;$A$43&amp;$AW$1&amp;"C"&amp;$A56)</f>
        <v>20.26%</v>
      </c>
      <c r="EQ56" s="83" t="str">
        <f>RTD("tos.rtd",,EQ$2,"."&amp;$A$43&amp;$AW$1&amp;"P"&amp;$A56)</f>
        <v>30.52%</v>
      </c>
      <c r="ES56" s="63" t="str">
        <f t="shared" si="273"/>
        <v>491,-2369.00</v>
      </c>
      <c r="ET56" s="64" t="str">
        <f t="shared" ca="1" si="274"/>
        <v>491,00.00</v>
      </c>
      <c r="EU56" s="68">
        <v>561.94000000000005</v>
      </c>
      <c r="EV56" s="68" t="s">
        <v>468</v>
      </c>
      <c r="EW56" s="68">
        <v>484.4</v>
      </c>
      <c r="EX56" s="68" t="s">
        <v>469</v>
      </c>
      <c r="EY56" s="68">
        <v>5633.25</v>
      </c>
      <c r="EZ56" s="68" t="s">
        <v>470</v>
      </c>
      <c r="FA56" s="68">
        <v>19898</v>
      </c>
      <c r="FB56" s="68" t="s">
        <v>471</v>
      </c>
      <c r="FC56" s="68" t="s">
        <v>472</v>
      </c>
      <c r="FD56" s="68" t="s">
        <v>473</v>
      </c>
      <c r="FE56" s="68" t="s">
        <v>474</v>
      </c>
      <c r="FF56" s="68" t="s">
        <v>475</v>
      </c>
    </row>
    <row r="57" spans="1:162" ht="13.5" thickBot="1" x14ac:dyDescent="0.25">
      <c r="A57" s="2">
        <f t="shared" si="292"/>
        <v>490</v>
      </c>
      <c r="B57" s="3">
        <f t="shared" si="240"/>
        <v>6031</v>
      </c>
      <c r="C57" s="3">
        <f t="shared" si="241"/>
        <v>11444</v>
      </c>
      <c r="D57" s="3">
        <f t="shared" si="242"/>
        <v>77554</v>
      </c>
      <c r="E57" s="3">
        <f t="shared" si="243"/>
        <v>95029</v>
      </c>
      <c r="F57" s="4">
        <f t="shared" si="296"/>
        <v>20226.024442846872</v>
      </c>
      <c r="AM57" s="1">
        <v>10271</v>
      </c>
      <c r="AN57" s="1">
        <v>-13</v>
      </c>
      <c r="AO57" s="1">
        <v>490</v>
      </c>
      <c r="AP57" s="1">
        <v>95431</v>
      </c>
      <c r="AQ57" s="1">
        <v>-1150</v>
      </c>
      <c r="AS57" s="6">
        <f>IF(RTD("tos.rtd",,AS$43,"."&amp;$A$43&amp;$AS$42&amp;"C"&amp;$A57)="N/A",0,RTD("tos.rtd",,AS$43,"."&amp;$A$43&amp;$AS$42&amp;"C"&amp;$A57))</f>
        <v>4955</v>
      </c>
      <c r="AT57" s="7">
        <f>-IF(RTD("tos.rtd",,AT$43,"."&amp;$A$43&amp;$AS$42&amp;"P"&amp;$A57)="N/A",0,RTD("tos.rtd",,AT$43,"."&amp;$A$43&amp;$AS$42&amp;"P"&amp;$A57))</f>
        <v>-1076</v>
      </c>
      <c r="AU57" s="6">
        <f>IF(RTD("tos.rtd",,AU$2,"."&amp;$A$43&amp;$AU$1&amp;"C"&amp;$A57)="N/A",0,RTD("tos.rtd",,AU$2,"."&amp;$A$43&amp;$AU$1&amp;"C"&amp;$A57))</f>
        <v>8977</v>
      </c>
      <c r="AV57" s="7">
        <f>-IF(RTD("tos.rtd",,AV$2,"."&amp;$A$43&amp;$AU$1&amp;"P"&amp;$A57)="N/A",0,RTD("tos.rtd",,AV$2,"."&amp;$A$43&amp;$AU$1&amp;"P"&amp;$A57))</f>
        <v>-2467</v>
      </c>
      <c r="AW57" s="6">
        <f>IF(RTD("tos.rtd",,AW$2,"."&amp;$A$43&amp;$AW$1&amp;"C"&amp;$A57)="N/A",0,RTD("tos.rtd",,AW$2,"."&amp;$A$43&amp;$AW$1&amp;"C"&amp;$A57))</f>
        <v>63575</v>
      </c>
      <c r="AX57" s="7">
        <f>-IF(RTD("tos.rtd",,AX$2,"."&amp;$A$43&amp;$AW$1&amp;"P"&amp;$A57)="N/A",0,RTD("tos.rtd",,AX$2,"."&amp;$A$43&amp;$AW$1&amp;"P"&amp;$A57))</f>
        <v>-13979</v>
      </c>
      <c r="AY57" s="7">
        <f t="shared" si="275"/>
        <v>59985</v>
      </c>
      <c r="AZ57" s="8">
        <f t="shared" si="244"/>
        <v>490</v>
      </c>
      <c r="BA57" s="6">
        <f>IF(RTD("tos.rtd",,BA$43,"."&amp;$A$43&amp;$AS$42&amp;"C"&amp;$A57)="N/A",0,RTD("tos.rtd",,BA$43,"."&amp;$A$43&amp;$AS$42&amp;"C"&amp;$A57))</f>
        <v>95431</v>
      </c>
      <c r="BB57" s="7">
        <f>-IF(RTD("tos.rtd",,BB$43,"."&amp;$A$43&amp;$AS$42&amp;"P"&amp;$A57)="N/A",0,RTD("tos.rtd",,BB$43,"."&amp;$A$43&amp;$AS$42&amp;"P"&amp;$A57))</f>
        <v>-1150</v>
      </c>
      <c r="BC57" s="6">
        <f>IF(RTD("tos.rtd",,BC$2,"."&amp;$A$43&amp;$AU$1&amp;"C"&amp;$A57)="N/A",0,RTD("tos.rtd",,BC$2,"."&amp;$A$43&amp;$AU$1&amp;"C"&amp;$A57))</f>
        <v>21906</v>
      </c>
      <c r="BD57" s="7">
        <f>-IF(RTD("tos.rtd",,BD$2,"."&amp;$A$43&amp;$AU$1&amp;"P"&amp;$A57)="N/A",0,RTD("tos.rtd",,BD$2,"."&amp;$A$43&amp;$AU$1&amp;"P"&amp;$A57))</f>
        <v>-998</v>
      </c>
      <c r="BE57" s="6">
        <f>IF(RTD("tos.rtd",,BE$2,"."&amp;$A$43&amp;$AW$1&amp;"C"&amp;$A57)="N/A",0,RTD("tos.rtd",,BE$2,"."&amp;$A$43&amp;$AW$1&amp;"C"&amp;$A57))</f>
        <v>9609</v>
      </c>
      <c r="BF57" s="7">
        <f>-IF(RTD("tos.rtd",,BF$2,"."&amp;$A$43&amp;$AW$1&amp;"P"&amp;$A57)="N/A",0,RTD("tos.rtd",,BF$2,"."&amp;$A$43&amp;$AW$1&amp;"P"&amp;$A57))</f>
        <v>-2346</v>
      </c>
      <c r="BG57" s="32">
        <f ca="1">+Hoja2!Y58</f>
        <v>3117</v>
      </c>
      <c r="BH57" s="7">
        <f t="shared" ca="1" si="276"/>
        <v>125569</v>
      </c>
      <c r="BI57" s="8" t="str">
        <f t="shared" ca="1" si="293"/>
        <v/>
      </c>
      <c r="BJ57" s="83" t="e">
        <f ca="1">IF($BP$1=1,DX57,IF(RTD("tos.rtd",,BJ$43,"."&amp;$A$43&amp;$AS$42&amp;"C"&amp;$A57)="N/A",0,RTD("tos.rtd",,BJ$43,"."&amp;$A$43&amp;$AS$42&amp;"C"&amp;$A57)))</f>
        <v>#NUM!</v>
      </c>
      <c r="BK57" s="83" t="e">
        <f ca="1">IF($BP$1=1,DY57,-IF(RTD("tos.rtd",,BK$43,"."&amp;$A$43&amp;$AS$42&amp;"P"&amp;$A57)="N/A",0,RTD("tos.rtd",,BK$43,"."&amp;$A$43&amp;$AS$42&amp;"P"&amp;$A57)))</f>
        <v>#NUM!</v>
      </c>
      <c r="BL57" s="83">
        <f ca="1">IF($BP$1=1,DZ57,IF(RTD("tos.rtd",,BL$2,"."&amp;$A$43&amp;$AU$1&amp;"C"&amp;$A57)="N/A",0,RTD("tos.rtd",,BL$2,"."&amp;$A$43&amp;$AU$1&amp;"C"&amp;$A57)))</f>
        <v>4.6080174508584697E-2</v>
      </c>
      <c r="BM57" s="83">
        <f ca="1">IF($BP$1=1,EA57,-IF(RTD("tos.rtd",,BM$2,"."&amp;$A$43&amp;$AU$1&amp;"P"&amp;$A57)="N/A",0,RTD("tos.rtd",,BM$2,"."&amp;$A$43&amp;$AU$1&amp;"P"&amp;$A57)))</f>
        <v>-2.0533867601983138E-2</v>
      </c>
      <c r="BN57" s="83">
        <f ca="1">IF($BP$1=1,EB57,IF(RTD("tos.rtd",,BN$2,"."&amp;$A$43&amp;$AW$1&amp;"C"&amp;$A57)="N/A",0,RTD("tos.rtd",,BN$2,"."&amp;$A$43&amp;$AW$1&amp;"C"&amp;$A57)))</f>
        <v>4.6295462840743845E-2</v>
      </c>
      <c r="BO57" s="83">
        <f ca="1">IF($BP$1=1,EC57,-IF(RTD("tos.rtd",,BO$2,"."&amp;$A$43&amp;$AW$1&amp;"P"&amp;$A57)="N/A",0,RTD("tos.rtd",,BO$2,"."&amp;$A$43&amp;$AW$1&amp;"P"&amp;$A57)))</f>
        <v>-3.2030272216267704E-2</v>
      </c>
      <c r="BQ57" s="83" t="e">
        <f t="shared" ca="1" si="277"/>
        <v>#NUM!</v>
      </c>
      <c r="BR57" s="3" t="e">
        <f t="shared" ca="1" si="278"/>
        <v>#NUM!</v>
      </c>
      <c r="BS57" s="83">
        <f t="shared" ca="1" si="279"/>
        <v>86040428.994571984</v>
      </c>
      <c r="BT57" s="3" t="str">
        <f t="shared" ca="1" si="280"/>
        <v/>
      </c>
      <c r="BU57" s="83">
        <f t="shared" ca="1" si="281"/>
        <v>591486644.03121018</v>
      </c>
      <c r="BV57" s="83"/>
      <c r="BX57" s="83" t="e">
        <f t="shared" ca="1" si="282"/>
        <v>#NUM!</v>
      </c>
      <c r="BY57" s="83" t="e">
        <f t="shared" ca="1" si="294"/>
        <v>#NUM!</v>
      </c>
      <c r="BZ57" s="83">
        <f t="shared" ca="1" si="283"/>
        <v>234401331.15738738</v>
      </c>
      <c r="CA57" s="83" t="str">
        <f t="shared" ca="1" si="294"/>
        <v/>
      </c>
      <c r="CB57" s="83">
        <f t="shared" ca="1" si="284"/>
        <v>87629764.544106752</v>
      </c>
      <c r="CC57" s="83" t="str">
        <f t="shared" ca="1" si="294"/>
        <v/>
      </c>
      <c r="CD57" s="83">
        <f>IF(RTD("tos.rtd",,CD$43,"."&amp;$A$43&amp;$AS$42&amp;"C"&amp;$A57)="N/A",0,RTD("tos.rtd",,CD$43,"."&amp;$A$43&amp;$AS$42&amp;"C"&amp;$A57))</f>
        <v>0.01</v>
      </c>
      <c r="CE57" s="83">
        <f>-IF(RTD("tos.rtd",,CE$43,"."&amp;$A$43&amp;$AS$42&amp;"P"&amp;$A57)="N/A",0,RTD("tos.rtd",,CE$43,"."&amp;$A$43&amp;$AS$42&amp;"P"&amp;$A57))</f>
        <v>0.6</v>
      </c>
      <c r="CF57" s="83">
        <f>IF(RTD("tos.rtd",,CF$2,"."&amp;$A$43&amp;$AU$1&amp;"C"&amp;$A57)="N/A",0,RTD("tos.rtd",,CF$2,"."&amp;$A$43&amp;$AU$1&amp;"C"&amp;$A57))</f>
        <v>0.33</v>
      </c>
      <c r="CG57" s="83">
        <f>-IF(RTD("tos.rtd",,CG$2,"."&amp;$A$43&amp;$AU$1&amp;"P"&amp;$A57)="N/A",0,RTD("tos.rtd",,CG$2,"."&amp;$A$43&amp;$AU$1&amp;"P"&amp;$A57))</f>
        <v>0.56999999999999995</v>
      </c>
      <c r="CH57" s="83">
        <f>IF(RTD("tos.rtd",,CH$2,"."&amp;$A$43&amp;$AW$1&amp;"C"&amp;$A57)="N/A",0,RTD("tos.rtd",,CH$2,"."&amp;$A$43&amp;$AW$1&amp;"C"&amp;$A57))</f>
        <v>0.44</v>
      </c>
      <c r="CI57" s="83">
        <f>-IF(RTD("tos.rtd",,CI$2,"."&amp;$A$43&amp;$AW$1&amp;"P"&amp;$A57)="N/A",0,RTD("tos.rtd",,CI$2,"."&amp;$A$43&amp;$AW$1&amp;"P"&amp;$A57))</f>
        <v>0.54</v>
      </c>
      <c r="CK57" s="83">
        <f t="shared" si="285"/>
        <v>-59605</v>
      </c>
      <c r="CL57" s="83"/>
      <c r="CM57" s="83">
        <f t="shared" si="286"/>
        <v>155622.00000000009</v>
      </c>
      <c r="CN57" s="83"/>
      <c r="CO57" s="83">
        <f t="shared" si="287"/>
        <v>2042434</v>
      </c>
      <c r="CP57" s="83">
        <f t="shared" si="234"/>
        <v>2138451</v>
      </c>
      <c r="CQ57" s="83">
        <f t="shared" si="248"/>
        <v>94281</v>
      </c>
      <c r="CR57" s="83"/>
      <c r="CS57" s="83">
        <f t="shared" si="249"/>
        <v>20908</v>
      </c>
      <c r="CT57" s="83"/>
      <c r="CU57" s="83">
        <f t="shared" si="250"/>
        <v>7263</v>
      </c>
      <c r="CV57" s="83"/>
      <c r="CW57" s="83" t="e">
        <f t="shared" ca="1" si="251"/>
        <v>#NUM!</v>
      </c>
      <c r="CY57" s="83" t="e">
        <f t="shared" ca="1" si="252"/>
        <v>#NUM!</v>
      </c>
      <c r="CZ57" s="70" t="e">
        <f t="shared" ca="1" si="295"/>
        <v>#NUM!</v>
      </c>
      <c r="DA57" s="83">
        <f>IF(RTD("tos.rtd",,DA$43,"."&amp;$A$43&amp;$AS$42&amp;"C"&amp;$A57)="N/A",0,RTD("tos.rtd",,DA$43,"."&amp;$A$43&amp;$AS$42&amp;"C"&amp;$A57))</f>
        <v>0.01</v>
      </c>
      <c r="DB57" s="83">
        <f>IF(RTD("tos.rtd",,DB$43,"."&amp;$A$43&amp;$AS$42&amp;"P"&amp;$A57)="N/A",0,RTD("tos.rtd",,DB$43,"."&amp;$A$43&amp;$AS$42&amp;"P"&amp;$A57))</f>
        <v>7.35</v>
      </c>
      <c r="DC57" s="83">
        <f>IF(RTD("tos.rtd",,DC$43,"."&amp;$A$43&amp;$AS$42&amp;"C"&amp;$A57)="N/A",0,RTD("tos.rtd",,DC$43,"."&amp;$A$43&amp;$AS$42&amp;"C"&amp;$A57))</f>
        <v>0.01</v>
      </c>
      <c r="DD57" s="83">
        <f>IF(RTD("tos.rtd",,DD$43,"."&amp;$A$43&amp;$AS$42&amp;"P"&amp;$A57)="N/A",0,RTD("tos.rtd",,DD$43,"."&amp;$A$43&amp;$AS$42&amp;"P"&amp;$A57))</f>
        <v>8.32</v>
      </c>
      <c r="DE57" s="83">
        <f>IF(RTD("tos.rtd",,DE$43,"."&amp;$A$43&amp;$AS$42&amp;"C"&amp;$A57)="N/A",0,RTD("tos.rtd",,DE$43,"."&amp;$A$43&amp;$AS$42&amp;"C"&amp;$A57))</f>
        <v>0</v>
      </c>
      <c r="DF57" s="83">
        <f>IF(RTD("tos.rtd",,DF$43,"."&amp;$A$43&amp;$AS$42&amp;"P"&amp;$A57)="N/A",0,RTD("tos.rtd",,DF$43,"."&amp;$A$43&amp;$AS$42&amp;"P"&amp;$A57))</f>
        <v>4.5199999999999996</v>
      </c>
      <c r="DG57" s="86">
        <f t="shared" si="288"/>
        <v>3.1499999999999773</v>
      </c>
      <c r="DH57" s="83">
        <f t="shared" si="253"/>
        <v>0</v>
      </c>
      <c r="DI57" s="83">
        <f t="shared" si="254"/>
        <v>0</v>
      </c>
      <c r="DJ57" s="83">
        <f t="shared" si="255"/>
        <v>0</v>
      </c>
      <c r="DK57" s="83">
        <f t="shared" si="256"/>
        <v>0</v>
      </c>
      <c r="DL57" s="83">
        <f t="shared" si="257"/>
        <v>0</v>
      </c>
      <c r="DM57" s="83">
        <f t="shared" si="258"/>
        <v>0</v>
      </c>
      <c r="DN57" s="64" t="str">
        <f t="shared" si="259"/>
        <v>UNKNOWN</v>
      </c>
      <c r="DO57" s="64" t="str">
        <f t="shared" si="260"/>
        <v>UNKNOWN</v>
      </c>
      <c r="DP57" s="83">
        <f t="shared" si="261"/>
        <v>0</v>
      </c>
      <c r="DQ57" s="83">
        <f t="shared" si="262"/>
        <v>0</v>
      </c>
      <c r="DR57" s="83" t="e">
        <f t="shared" ca="1" si="263"/>
        <v>#NUM!</v>
      </c>
      <c r="DS57" s="83">
        <f t="shared" si="264"/>
        <v>0</v>
      </c>
      <c r="DT57" s="83">
        <f t="shared" si="289"/>
        <v>0</v>
      </c>
      <c r="DU57" s="83">
        <f t="shared" si="290"/>
        <v>0</v>
      </c>
      <c r="DV57" s="83">
        <f t="shared" si="265"/>
        <v>10271</v>
      </c>
      <c r="DW57" s="83">
        <f t="shared" si="266"/>
        <v>-13</v>
      </c>
      <c r="DX57" s="83" t="e">
        <f t="shared" ref="DX57:DX64" ca="1" si="363">(EXP(-POWER((LN($A$44/$A57)+($EC$1+POWER($EE57,2)/2)*($EM$1/$DY$1))/($EE57*SQRT($EM$1/$DY$1)),2)/2)/SQRT(2*PI())/($A$44*$EE57*SQRT($EM$1/$DY$1)))</f>
        <v>#NUM!</v>
      </c>
      <c r="DY57" s="83" t="e">
        <f t="shared" ref="DY57:DY64" ca="1" si="364">-(EXP(-POWER((LN($A$44/$A57)+($EC$1+POWER($EF57,2)/2)*($EM$1/$DY$1))/($EF57*SQRT($EM$1/$DY$1)),2)/2)/SQRT(2*PI())/($A$44*$EF57*SQRT($EM$1/$DY$1)))</f>
        <v>#NUM!</v>
      </c>
      <c r="DZ57" s="83">
        <f t="shared" ref="DZ57:DZ64" ca="1" si="365">(EXP(-POWER((LN($A$44/$A57)+($EC$1+POWER($EG57,2)/2)*($EO$1/$DY$1))/($EG57*SQRT($EO$1/$DY$1)),2)/2)/SQRT(2*PI())/($A$44*$EG57*SQRT($EO$1/$DY$1)))</f>
        <v>4.6080174508584697E-2</v>
      </c>
      <c r="EA57" s="83">
        <f t="shared" ref="EA57:EA64" ca="1" si="366">-(EXP(-POWER((LN($A$44/$A57)+($EC$1+POWER($EH57,2)/2)*($EO$1/$DY$1))/($EH57*SQRT($EO$1/$DY$1)),2)/2)/SQRT(2*PI())/($A$44*$EH57*SQRT($EO$1/$DY$1)))</f>
        <v>-2.0533867601983138E-2</v>
      </c>
      <c r="EB57" s="83">
        <f t="shared" ref="EB57:EB64" ca="1" si="367">(EXP(-POWER((LN($A$44/$A57)+($EC$1+POWER($EI57,2)/2)*($EO$1/$DY$1))/($EI57*SQRT($EO$1/$DY$1)),2)/2)/SQRT(2*PI())/($A$44*$EI57*SQRT($EO$1/$DY$1)))</f>
        <v>4.6295462840743845E-2</v>
      </c>
      <c r="EC57" s="83">
        <f t="shared" ref="EC57:EC64" ca="1" si="368">-(EXP(-POWER((LN($A$44/$A57)+($EC$1+POWER($EJ57,2)/2)*($EO$1/$DY$1))/($EJ57*SQRT($EO$1/$DY$1)),2)/2)/SQRT(2*PI())/($A$44*$EJ57*SQRT($EO$1/$DY$1)))</f>
        <v>-3.2030272216267704E-2</v>
      </c>
      <c r="ED57" s="63">
        <f t="shared" si="291"/>
        <v>10258</v>
      </c>
      <c r="EE57" s="84">
        <f t="shared" si="267"/>
        <v>0.371</v>
      </c>
      <c r="EF57" s="84">
        <f t="shared" si="268"/>
        <v>3.1793</v>
      </c>
      <c r="EG57" s="84">
        <f t="shared" si="269"/>
        <v>0.20399999999999999</v>
      </c>
      <c r="EH57" s="84">
        <f t="shared" si="270"/>
        <v>0.48430000000000001</v>
      </c>
      <c r="EI57" s="84">
        <f t="shared" si="271"/>
        <v>0.2029</v>
      </c>
      <c r="EJ57" s="84">
        <f t="shared" si="272"/>
        <v>0.30480000000000002</v>
      </c>
      <c r="EL57" s="83" t="str">
        <f>RTD("tos.rtd",,EL$43,"."&amp;$A$43&amp;$AS$42&amp;"C"&amp;$A57)</f>
        <v>37.10%</v>
      </c>
      <c r="EM57" s="83" t="str">
        <f>RTD("tos.rtd",,EM$43,"."&amp;$A$43&amp;$AS$42&amp;"P"&amp;$A57)</f>
        <v>317.93%</v>
      </c>
      <c r="EN57" s="83" t="str">
        <f>RTD("tos.rtd",,EN$2,"."&amp;$A$43&amp;$AU$1&amp;"C"&amp;$A57)</f>
        <v>20.40%</v>
      </c>
      <c r="EO57" s="83" t="str">
        <f>RTD("tos.rtd",,EO$2,"."&amp;$A$43&amp;$AU$1&amp;"P"&amp;$A57)</f>
        <v>48.43%</v>
      </c>
      <c r="EP57" s="83" t="str">
        <f>RTD("tos.rtd",,EP$2,"."&amp;$A$43&amp;$AW$1&amp;"C"&amp;$A57)</f>
        <v>20.29%</v>
      </c>
      <c r="EQ57" s="83" t="str">
        <f>RTD("tos.rtd",,EQ$2,"."&amp;$A$43&amp;$AW$1&amp;"P"&amp;$A57)</f>
        <v>30.48%</v>
      </c>
      <c r="ES57" s="63" t="str">
        <f t="shared" si="273"/>
        <v>490,10258.00</v>
      </c>
      <c r="ET57" s="64" t="str">
        <f t="shared" ca="1" si="274"/>
        <v>490,00.00</v>
      </c>
      <c r="EU57" s="68">
        <v>561.97</v>
      </c>
      <c r="EV57" s="68" t="s">
        <v>476</v>
      </c>
      <c r="EW57" s="68">
        <v>484.38</v>
      </c>
      <c r="EX57" s="68" t="s">
        <v>477</v>
      </c>
      <c r="EY57" s="68">
        <v>5633.5</v>
      </c>
      <c r="EZ57" s="68" t="s">
        <v>478</v>
      </c>
      <c r="FA57" s="68">
        <v>19897.75</v>
      </c>
      <c r="FB57" s="68" t="s">
        <v>479</v>
      </c>
      <c r="FC57" s="68" t="s">
        <v>480</v>
      </c>
      <c r="FD57" s="68" t="s">
        <v>481</v>
      </c>
      <c r="FE57" s="68" t="s">
        <v>482</v>
      </c>
      <c r="FF57" s="68" t="s">
        <v>483</v>
      </c>
    </row>
    <row r="58" spans="1:162" ht="13.5" thickBot="1" x14ac:dyDescent="0.25">
      <c r="A58" s="2">
        <f t="shared" si="292"/>
        <v>489</v>
      </c>
      <c r="B58" s="3">
        <f t="shared" si="240"/>
        <v>7195</v>
      </c>
      <c r="C58" s="3">
        <f t="shared" si="241"/>
        <v>1006</v>
      </c>
      <c r="D58" s="3">
        <f t="shared" si="242"/>
        <v>471</v>
      </c>
      <c r="E58" s="3">
        <f t="shared" si="243"/>
        <v>8672</v>
      </c>
      <c r="F58" s="4">
        <f t="shared" si="296"/>
        <v>20184.746841943102</v>
      </c>
      <c r="AM58" s="1">
        <v>1346</v>
      </c>
      <c r="AN58" s="1">
        <v>-27</v>
      </c>
      <c r="AO58" s="1">
        <v>489</v>
      </c>
      <c r="AP58" s="1">
        <v>20887</v>
      </c>
      <c r="AQ58" s="1">
        <v>-307</v>
      </c>
      <c r="AS58" s="6">
        <f>IF(RTD("tos.rtd",,AS$43,"."&amp;$A$43&amp;$AS$42&amp;"C"&amp;$A58)="N/A",0,RTD("tos.rtd",,AS$43,"."&amp;$A$43&amp;$AS$42&amp;"C"&amp;$A58))</f>
        <v>6246</v>
      </c>
      <c r="AT58" s="7">
        <f>-IF(RTD("tos.rtd",,AT$43,"."&amp;$A$43&amp;$AS$42&amp;"P"&amp;$A58)="N/A",0,RTD("tos.rtd",,AT$43,"."&amp;$A$43&amp;$AS$42&amp;"P"&amp;$A58))</f>
        <v>-949</v>
      </c>
      <c r="AU58" s="6">
        <v>1</v>
      </c>
      <c r="AV58" s="7">
        <f>-IF(RTD("tos.rtd",,AV$2,"."&amp;$A$43&amp;$AU$1&amp;"P"&amp;$A58)="N/A",0,RTD("tos.rtd",,AV$2,"."&amp;$A$43&amp;$AU$1&amp;"P"&amp;$A58))</f>
        <v>-1005</v>
      </c>
      <c r="AW58" s="6">
        <f>IF(RTD("tos.rtd",,AW$2,"."&amp;$A$43&amp;$AW$1&amp;"C"&amp;$A58)="N/A",0,RTD("tos.rtd",,AW$2,"."&amp;$A$43&amp;$AW$1&amp;"C"&amp;$A58))</f>
        <v>364</v>
      </c>
      <c r="AX58" s="7">
        <f>-IF(RTD("tos.rtd",,AX$2,"."&amp;$A$43&amp;$AW$1&amp;"P"&amp;$A58)="N/A",0,RTD("tos.rtd",,AX$2,"."&amp;$A$43&amp;$AW$1&amp;"P"&amp;$A58))</f>
        <v>-107</v>
      </c>
      <c r="AY58" s="7">
        <f t="shared" si="275"/>
        <v>4550</v>
      </c>
      <c r="AZ58" s="8">
        <f t="shared" si="244"/>
        <v>489</v>
      </c>
      <c r="BA58" s="6">
        <f>IF(RTD("tos.rtd",,BA$43,"."&amp;$A$43&amp;$AS$42&amp;"C"&amp;$A58)="N/A",0,RTD("tos.rtd",,BA$43,"."&amp;$A$43&amp;$AS$42&amp;"C"&amp;$A58))</f>
        <v>20887</v>
      </c>
      <c r="BB58" s="7">
        <f>-IF(RTD("tos.rtd",,BB$43,"."&amp;$A$43&amp;$AS$42&amp;"P"&amp;$A58)="N/A",0,RTD("tos.rtd",,BB$43,"."&amp;$A$43&amp;$AS$42&amp;"P"&amp;$A58))</f>
        <v>-307</v>
      </c>
      <c r="BC58" s="6">
        <f>IF(RTD("tos.rtd",,BC$2,"."&amp;$A$43&amp;$AU$1&amp;"C"&amp;$A58)="N/A",0,RTD("tos.rtd",,BC$2,"."&amp;$A$43&amp;$AU$1&amp;"C"&amp;$A58))</f>
        <v>4055</v>
      </c>
      <c r="BD58" s="7">
        <f>-IF(RTD("tos.rtd",,BD$2,"."&amp;$A$43&amp;$AU$1&amp;"P"&amp;$A58)="N/A",0,RTD("tos.rtd",,BD$2,"."&amp;$A$43&amp;$AU$1&amp;"P"&amp;$A58))</f>
        <v>-380</v>
      </c>
      <c r="BE58" s="6">
        <f>IF(RTD("tos.rtd",,BE$2,"."&amp;$A$43&amp;$AW$1&amp;"C"&amp;$A58)="N/A",0,RTD("tos.rtd",,BE$2,"."&amp;$A$43&amp;$AW$1&amp;"C"&amp;$A58))</f>
        <v>406</v>
      </c>
      <c r="BF58" s="7">
        <f>-IF(RTD("tos.rtd",,BF$2,"."&amp;$A$43&amp;$AW$1&amp;"P"&amp;$A58)="N/A",0,RTD("tos.rtd",,BF$2,"."&amp;$A$43&amp;$AW$1&amp;"P"&amp;$A58))</f>
        <v>-16</v>
      </c>
      <c r="BG58" s="32">
        <f ca="1">+Hoja2!Y59</f>
        <v>-54</v>
      </c>
      <c r="BH58" s="7">
        <f t="shared" ca="1" si="276"/>
        <v>24591</v>
      </c>
      <c r="BI58" s="8" t="str">
        <f t="shared" ca="1" si="293"/>
        <v/>
      </c>
      <c r="BJ58" s="83" t="e">
        <f ca="1">IF($BP$1=1,DX58,IF(RTD("tos.rtd",,BJ$43,"."&amp;$A$43&amp;$AS$42&amp;"C"&amp;$A58)="N/A",0,RTD("tos.rtd",,BJ$43,"."&amp;$A$43&amp;$AS$42&amp;"C"&amp;$A58)))</f>
        <v>#NUM!</v>
      </c>
      <c r="BK58" s="83" t="e">
        <f ca="1">IF($BP$1=1,DY58,-IF(RTD("tos.rtd",,BK$43,"."&amp;$A$43&amp;$AS$42&amp;"P"&amp;$A58)="N/A",0,RTD("tos.rtd",,BK$43,"."&amp;$A$43&amp;$AS$42&amp;"P"&amp;$A58)))</f>
        <v>#NUM!</v>
      </c>
      <c r="BL58" s="83">
        <f ca="1">IF($BP$1=1,DZ58,IF(RTD("tos.rtd",,BL$2,"."&amp;$A$43&amp;$AU$1&amp;"C"&amp;$A58)="N/A",0,RTD("tos.rtd",,BL$2,"."&amp;$A$43&amp;$AU$1&amp;"C"&amp;$A58)))</f>
        <v>4.8435784530501749E-2</v>
      </c>
      <c r="BM58" s="83">
        <f ca="1">IF($BP$1=1,EA58,-IF(RTD("tos.rtd",,BM$2,"."&amp;$A$43&amp;$AU$1&amp;"P"&amp;$A58)="N/A",0,RTD("tos.rtd",,BM$2,"."&amp;$A$43&amp;$AU$1&amp;"P"&amp;$A58)))</f>
        <v>-2.3231508348472447E-2</v>
      </c>
      <c r="BN58" s="83">
        <f ca="1">IF($BP$1=1,EB58,IF(RTD("tos.rtd",,BN$2,"."&amp;$A$43&amp;$AW$1&amp;"C"&amp;$A58)="N/A",0,RTD("tos.rtd",,BN$2,"."&amp;$A$43&amp;$AW$1&amp;"C"&amp;$A58)))</f>
        <v>4.7988675849344645E-2</v>
      </c>
      <c r="BO58" s="83">
        <f ca="1">IF($BP$1=1,EC58,-IF(RTD("tos.rtd",,BO$2,"."&amp;$A$43&amp;$AW$1&amp;"P"&amp;$A58)="N/A",0,RTD("tos.rtd",,BO$2,"."&amp;$A$43&amp;$AW$1&amp;"P"&amp;$A58)))</f>
        <v>-3.3863222382160559E-2</v>
      </c>
      <c r="BQ58" s="83" t="e">
        <f t="shared" ca="1" si="277"/>
        <v>#NUM!</v>
      </c>
      <c r="BR58" s="3" t="e">
        <f t="shared" ca="1" si="278"/>
        <v>#NUM!</v>
      </c>
      <c r="BS58" s="83">
        <f t="shared" ca="1" si="279"/>
        <v>-5522451.6116492786</v>
      </c>
      <c r="BT58" s="3" t="str">
        <f t="shared" ca="1" si="280"/>
        <v>Cruce -</v>
      </c>
      <c r="BU58" s="83">
        <f t="shared" ca="1" si="281"/>
        <v>3281466.9826362086</v>
      </c>
      <c r="BV58" s="83"/>
      <c r="BX58" s="83" t="e">
        <f t="shared" ca="1" si="282"/>
        <v>#NUM!</v>
      </c>
      <c r="BY58" s="83" t="e">
        <f t="shared" ca="1" si="294"/>
        <v>#NUM!</v>
      </c>
      <c r="BZ58" s="83">
        <f t="shared" ca="1" si="283"/>
        <v>44460554.327085778</v>
      </c>
      <c r="CA58" s="83" t="str">
        <f t="shared" ca="1" si="294"/>
        <v/>
      </c>
      <c r="CB58" s="83">
        <f t="shared" ca="1" si="284"/>
        <v>4489591.2169184433</v>
      </c>
      <c r="CC58" s="83" t="str">
        <f t="shared" ca="1" si="294"/>
        <v/>
      </c>
      <c r="CD58" s="83">
        <f>IF(RTD("tos.rtd",,CD$43,"."&amp;$A$43&amp;$AS$42&amp;"C"&amp;$A58)="N/A",0,RTD("tos.rtd",,CD$43,"."&amp;$A$43&amp;$AS$42&amp;"C"&amp;$A58))</f>
        <v>0.01</v>
      </c>
      <c r="CE58" s="83">
        <f>-IF(RTD("tos.rtd",,CE$43,"."&amp;$A$43&amp;$AS$42&amp;"P"&amp;$A58)="N/A",0,RTD("tos.rtd",,CE$43,"."&amp;$A$43&amp;$AS$42&amp;"P"&amp;$A58))</f>
        <v>0.57999999999999996</v>
      </c>
      <c r="CF58" s="83">
        <f>IF(RTD("tos.rtd",,CF$2,"."&amp;$A$43&amp;$AU$1&amp;"C"&amp;$A58)="N/A",0,RTD("tos.rtd",,CF$2,"."&amp;$A$43&amp;$AU$1&amp;"C"&amp;$A58))</f>
        <v>0.38</v>
      </c>
      <c r="CG58" s="83">
        <f>-IF(RTD("tos.rtd",,CG$2,"."&amp;$A$43&amp;$AU$1&amp;"P"&amp;$A58)="N/A",0,RTD("tos.rtd",,CG$2,"."&amp;$A$43&amp;$AU$1&amp;"P"&amp;$A58))</f>
        <v>0.55000000000000004</v>
      </c>
      <c r="CH58" s="83">
        <f>IF(RTD("tos.rtd",,CH$2,"."&amp;$A$43&amp;$AW$1&amp;"C"&amp;$A58)="N/A",0,RTD("tos.rtd",,CH$2,"."&amp;$A$43&amp;$AW$1&amp;"C"&amp;$A58))</f>
        <v>0.46</v>
      </c>
      <c r="CI58" s="83">
        <f>-IF(RTD("tos.rtd",,CI$2,"."&amp;$A$43&amp;$AW$1&amp;"P"&amp;$A58)="N/A",0,RTD("tos.rtd",,CI$2,"."&amp;$A$43&amp;$AW$1&amp;"P"&amp;$A58))</f>
        <v>0.52</v>
      </c>
      <c r="CK58" s="83">
        <f t="shared" si="285"/>
        <v>-48795.999999999993</v>
      </c>
      <c r="CL58" s="83"/>
      <c r="CM58" s="83">
        <f t="shared" si="286"/>
        <v>-55237</v>
      </c>
      <c r="CN58" s="83"/>
      <c r="CO58" s="83">
        <f t="shared" si="287"/>
        <v>11180</v>
      </c>
      <c r="CP58" s="83">
        <f t="shared" si="234"/>
        <v>-92853</v>
      </c>
      <c r="CQ58" s="83">
        <f t="shared" si="248"/>
        <v>20580</v>
      </c>
      <c r="CR58" s="83"/>
      <c r="CS58" s="83">
        <f t="shared" si="249"/>
        <v>3675</v>
      </c>
      <c r="CT58" s="83"/>
      <c r="CU58" s="83">
        <f t="shared" si="250"/>
        <v>390</v>
      </c>
      <c r="CV58" s="83"/>
      <c r="CW58" s="83" t="e">
        <f t="shared" ca="1" si="251"/>
        <v>#NUM!</v>
      </c>
      <c r="CY58" s="83" t="e">
        <f t="shared" ca="1" si="252"/>
        <v>#NUM!</v>
      </c>
      <c r="CZ58" s="70" t="e">
        <f t="shared" ca="1" si="295"/>
        <v>#NUM!</v>
      </c>
      <c r="DA58" s="83">
        <f>IF(RTD("tos.rtd",,DA$43,"."&amp;$A$43&amp;$AS$42&amp;"C"&amp;$A58)="N/A",0,RTD("tos.rtd",,DA$43,"."&amp;$A$43&amp;$AS$42&amp;"C"&amp;$A58))</f>
        <v>0.01</v>
      </c>
      <c r="DB58" s="83">
        <f>IF(RTD("tos.rtd",,DB$43,"."&amp;$A$43&amp;$AS$42&amp;"P"&amp;$A58)="N/A",0,RTD("tos.rtd",,DB$43,"."&amp;$A$43&amp;$AS$42&amp;"P"&amp;$A58))</f>
        <v>6.32</v>
      </c>
      <c r="DC58" s="83">
        <f>IF(RTD("tos.rtd",,DC$43,"."&amp;$A$43&amp;$AS$42&amp;"C"&amp;$A58)="N/A",0,RTD("tos.rtd",,DC$43,"."&amp;$A$43&amp;$AS$42&amp;"C"&amp;$A58))</f>
        <v>0.01</v>
      </c>
      <c r="DD58" s="83">
        <f>IF(RTD("tos.rtd",,DD$43,"."&amp;$A$43&amp;$AS$42&amp;"P"&amp;$A58)="N/A",0,RTD("tos.rtd",,DD$43,"."&amp;$A$43&amp;$AS$42&amp;"P"&amp;$A58))</f>
        <v>7.32</v>
      </c>
      <c r="DE58" s="83">
        <f>IF(RTD("tos.rtd",,DE$43,"."&amp;$A$43&amp;$AS$42&amp;"C"&amp;$A58)="N/A",0,RTD("tos.rtd",,DE$43,"."&amp;$A$43&amp;$AS$42&amp;"C"&amp;$A58))</f>
        <v>0</v>
      </c>
      <c r="DF58" s="83">
        <f>IF(RTD("tos.rtd",,DF$43,"."&amp;$A$43&amp;$AS$42&amp;"P"&amp;$A58)="N/A",0,RTD("tos.rtd",,DF$43,"."&amp;$A$43&amp;$AS$42&amp;"P"&amp;$A58))</f>
        <v>3.48</v>
      </c>
      <c r="DG58" s="86">
        <f t="shared" si="288"/>
        <v>2.1499999999999773</v>
      </c>
      <c r="DH58" s="83">
        <f t="shared" si="253"/>
        <v>0</v>
      </c>
      <c r="DI58" s="83">
        <f t="shared" si="254"/>
        <v>0</v>
      </c>
      <c r="DJ58" s="83">
        <f t="shared" si="255"/>
        <v>0</v>
      </c>
      <c r="DK58" s="83">
        <f t="shared" si="256"/>
        <v>0</v>
      </c>
      <c r="DL58" s="83">
        <f t="shared" si="257"/>
        <v>0</v>
      </c>
      <c r="DM58" s="83">
        <f t="shared" si="258"/>
        <v>0</v>
      </c>
      <c r="DN58" s="64" t="str">
        <f t="shared" si="259"/>
        <v>UNKNOWN</v>
      </c>
      <c r="DO58" s="64" t="str">
        <f t="shared" si="260"/>
        <v>UNKNOWN</v>
      </c>
      <c r="DP58" s="83">
        <f t="shared" si="261"/>
        <v>0</v>
      </c>
      <c r="DQ58" s="83">
        <f t="shared" si="262"/>
        <v>0</v>
      </c>
      <c r="DR58" s="83" t="e">
        <f t="shared" ca="1" si="263"/>
        <v>#NUM!</v>
      </c>
      <c r="DS58" s="83">
        <f t="shared" si="264"/>
        <v>0</v>
      </c>
      <c r="DT58" s="83">
        <f t="shared" si="289"/>
        <v>0</v>
      </c>
      <c r="DU58" s="83">
        <f t="shared" si="290"/>
        <v>0</v>
      </c>
      <c r="DV58" s="83">
        <f t="shared" si="265"/>
        <v>1346</v>
      </c>
      <c r="DW58" s="83">
        <f t="shared" si="266"/>
        <v>-27</v>
      </c>
      <c r="DX58" s="83" t="e">
        <f t="shared" ca="1" si="363"/>
        <v>#NUM!</v>
      </c>
      <c r="DY58" s="83" t="e">
        <f t="shared" ca="1" si="364"/>
        <v>#NUM!</v>
      </c>
      <c r="DZ58" s="83">
        <f t="shared" ca="1" si="365"/>
        <v>4.8435784530501749E-2</v>
      </c>
      <c r="EA58" s="83">
        <f t="shared" ca="1" si="366"/>
        <v>-2.3231508348472447E-2</v>
      </c>
      <c r="EB58" s="83">
        <f t="shared" ca="1" si="367"/>
        <v>4.7988675849344645E-2</v>
      </c>
      <c r="EC58" s="83">
        <f t="shared" ca="1" si="368"/>
        <v>-3.3863222382160559E-2</v>
      </c>
      <c r="ED58" s="63">
        <f t="shared" si="291"/>
        <v>1319</v>
      </c>
      <c r="EE58" s="84">
        <f t="shared" si="267"/>
        <v>0.26679999999999998</v>
      </c>
      <c r="EF58" s="84">
        <f t="shared" si="268"/>
        <v>2.8837999999999999</v>
      </c>
      <c r="EG58" s="84">
        <f t="shared" si="269"/>
        <v>0.20119999999999999</v>
      </c>
      <c r="EH58" s="84">
        <f t="shared" si="270"/>
        <v>0.4299</v>
      </c>
      <c r="EI58" s="84">
        <f t="shared" si="271"/>
        <v>0.20319999999999999</v>
      </c>
      <c r="EJ58" s="84">
        <f t="shared" si="272"/>
        <v>0.29260000000000003</v>
      </c>
      <c r="EL58" s="83" t="str">
        <f>RTD("tos.rtd",,EL$43,"."&amp;$A$43&amp;$AS$42&amp;"C"&amp;$A58)</f>
        <v>26.68%</v>
      </c>
      <c r="EM58" s="83" t="str">
        <f>RTD("tos.rtd",,EM$43,"."&amp;$A$43&amp;$AS$42&amp;"P"&amp;$A58)</f>
        <v>288.38%</v>
      </c>
      <c r="EN58" s="83" t="str">
        <f>RTD("tos.rtd",,EN$2,"."&amp;$A$43&amp;$AU$1&amp;"C"&amp;$A58)</f>
        <v>20.12%</v>
      </c>
      <c r="EO58" s="83" t="str">
        <f>RTD("tos.rtd",,EO$2,"."&amp;$A$43&amp;$AU$1&amp;"P"&amp;$A58)</f>
        <v>42.99%</v>
      </c>
      <c r="EP58" s="83" t="str">
        <f>RTD("tos.rtd",,EP$2,"."&amp;$A$43&amp;$AW$1&amp;"C"&amp;$A58)</f>
        <v>20.32%</v>
      </c>
      <c r="EQ58" s="83" t="str">
        <f>RTD("tos.rtd",,EQ$2,"."&amp;$A$43&amp;$AW$1&amp;"P"&amp;$A58)</f>
        <v>29.26%</v>
      </c>
      <c r="ES58" s="63" t="str">
        <f t="shared" si="273"/>
        <v>489,1319.00</v>
      </c>
      <c r="ET58" s="64" t="str">
        <f t="shared" ca="1" si="274"/>
        <v>489,00.00</v>
      </c>
      <c r="EU58" s="68">
        <v>562.09</v>
      </c>
      <c r="EV58" s="68" t="s">
        <v>484</v>
      </c>
      <c r="EW58" s="68">
        <v>484.5</v>
      </c>
      <c r="EX58" s="68" t="s">
        <v>485</v>
      </c>
      <c r="EY58" s="68">
        <v>5633.75</v>
      </c>
      <c r="EZ58" s="68" t="s">
        <v>486</v>
      </c>
      <c r="FA58" s="68">
        <v>19901</v>
      </c>
      <c r="FB58" s="68" t="s">
        <v>487</v>
      </c>
      <c r="FC58" s="68" t="s">
        <v>488</v>
      </c>
      <c r="FD58" s="68" t="s">
        <v>489</v>
      </c>
      <c r="FE58" s="68" t="s">
        <v>490</v>
      </c>
      <c r="FF58" s="68" t="s">
        <v>491</v>
      </c>
    </row>
    <row r="59" spans="1:162" ht="13.5" thickBot="1" x14ac:dyDescent="0.25">
      <c r="A59" s="2">
        <f t="shared" si="292"/>
        <v>488</v>
      </c>
      <c r="B59" s="3">
        <f t="shared" si="240"/>
        <v>5440</v>
      </c>
      <c r="C59" s="3">
        <f t="shared" si="241"/>
        <v>2960</v>
      </c>
      <c r="D59" s="3">
        <f t="shared" si="242"/>
        <v>1197</v>
      </c>
      <c r="E59" s="3">
        <f>SUM(B59:D59)</f>
        <v>9597</v>
      </c>
      <c r="F59" s="4">
        <f>+$F$44/$A$44*A59</f>
        <v>20143.469241039333</v>
      </c>
      <c r="AM59" s="1">
        <v>-4618</v>
      </c>
      <c r="AN59" s="1">
        <v>101</v>
      </c>
      <c r="AO59" s="1">
        <v>488</v>
      </c>
      <c r="AP59" s="1">
        <v>35256</v>
      </c>
      <c r="AQ59" s="1">
        <v>-1615</v>
      </c>
      <c r="AS59" s="6">
        <f>IF(RTD("tos.rtd",,AS$43,"."&amp;$A$43&amp;$AS$42&amp;"C"&amp;$A59)="N/A",0,RTD("tos.rtd",,AS$43,"."&amp;$A$43&amp;$AS$42&amp;"C"&amp;$A59))</f>
        <v>3352</v>
      </c>
      <c r="AT59" s="7">
        <f>-IF(RTD("tos.rtd",,AT$43,"."&amp;$A$43&amp;$AS$42&amp;"P"&amp;$A59)="N/A",0,RTD("tos.rtd",,AT$43,"."&amp;$A$43&amp;$AS$42&amp;"P"&amp;$A59))</f>
        <v>-2088</v>
      </c>
      <c r="AU59" s="6">
        <f>IF(RTD("tos.rtd",,AU$2,"."&amp;$A$43&amp;$AU$1&amp;"C"&amp;$A59)="N/A",0,RTD("tos.rtd",,AU$2,"."&amp;$A$43&amp;$AU$1&amp;"C"&amp;$A59))</f>
        <v>1708</v>
      </c>
      <c r="AV59" s="7">
        <f>-IF(RTD("tos.rtd",,AV$2,"."&amp;$A$43&amp;$AU$1&amp;"P"&amp;$A59)="N/A",0,RTD("tos.rtd",,AV$2,"."&amp;$A$43&amp;$AU$1&amp;"P"&amp;$A59))</f>
        <v>-1252</v>
      </c>
      <c r="AW59" s="6">
        <f>IF(RTD("tos.rtd",,AW$2,"."&amp;$A$43&amp;$AW$1&amp;"C"&amp;$A59)="N/A",0,RTD("tos.rtd",,AW$2,"."&amp;$A$43&amp;$AW$1&amp;"C"&amp;$A59))</f>
        <v>890</v>
      </c>
      <c r="AX59" s="7">
        <f>-IF(RTD("tos.rtd",,AX$2,"."&amp;$A$43&amp;$AW$1&amp;"P"&amp;$A59)="N/A",0,RTD("tos.rtd",,AX$2,"."&amp;$A$43&amp;$AW$1&amp;"P"&amp;$A59))</f>
        <v>-307</v>
      </c>
      <c r="AY59" s="7">
        <f>SUM(AS59:AX59)</f>
        <v>2303</v>
      </c>
      <c r="AZ59" s="8">
        <f t="shared" si="244"/>
        <v>488</v>
      </c>
      <c r="BA59" s="6">
        <f>IF(RTD("tos.rtd",,BA$43,"."&amp;$A$43&amp;$AS$42&amp;"C"&amp;$A59)="N/A",0,RTD("tos.rtd",,BA$43,"."&amp;$A$43&amp;$AS$42&amp;"C"&amp;$A59))</f>
        <v>35257</v>
      </c>
      <c r="BB59" s="7">
        <f>-IF(RTD("tos.rtd",,BB$43,"."&amp;$A$43&amp;$AS$42&amp;"P"&amp;$A59)="N/A",0,RTD("tos.rtd",,BB$43,"."&amp;$A$43&amp;$AS$42&amp;"P"&amp;$A59))</f>
        <v>-1619</v>
      </c>
      <c r="BC59" s="6">
        <f>IF(RTD("tos.rtd",,BC$2,"."&amp;$A$43&amp;$AU$1&amp;"C"&amp;$A59)="N/A",0,RTD("tos.rtd",,BC$2,"."&amp;$A$43&amp;$AU$1&amp;"C"&amp;$A59))</f>
        <v>5473</v>
      </c>
      <c r="BD59" s="7">
        <f>-IF(RTD("tos.rtd",,BD$2,"."&amp;$A$43&amp;$AU$1&amp;"P"&amp;$A59)="N/A",0,RTD("tos.rtd",,BD$2,"."&amp;$A$43&amp;$AU$1&amp;"P"&amp;$A59))</f>
        <v>-411</v>
      </c>
      <c r="BE59" s="6">
        <f>IF(RTD("tos.rtd",,BE$2,"."&amp;$A$43&amp;$AW$1&amp;"C"&amp;$A59)="N/A",0,RTD("tos.rtd",,BE$2,"."&amp;$A$43&amp;$AW$1&amp;"C"&amp;$A59))</f>
        <v>687</v>
      </c>
      <c r="BF59" s="7">
        <f>-IF(RTD("tos.rtd",,BF$2,"."&amp;$A$43&amp;$AW$1&amp;"P"&amp;$A59)="N/A",0,RTD("tos.rtd",,BF$2,"."&amp;$A$43&amp;$AW$1&amp;"P"&amp;$A59))</f>
        <v>-60</v>
      </c>
      <c r="BG59" s="32">
        <f ca="1">+Hoja2!Y60</f>
        <v>110</v>
      </c>
      <c r="BH59" s="7">
        <f t="shared" ca="1" si="276"/>
        <v>39437</v>
      </c>
      <c r="BI59" s="8" t="str">
        <f t="shared" ca="1" si="293"/>
        <v/>
      </c>
      <c r="BJ59" s="83" t="e">
        <f ca="1">IF($BP$1=1,DX59,IF(RTD("tos.rtd",,BJ$43,"."&amp;$A$43&amp;$AS$42&amp;"C"&amp;$A59)="N/A",0,RTD("tos.rtd",,BJ$43,"."&amp;$A$43&amp;$AS$42&amp;"C"&amp;$A59)))</f>
        <v>#NUM!</v>
      </c>
      <c r="BK59" s="83" t="e">
        <f ca="1">IF($BP$1=1,DY59,-IF(RTD("tos.rtd",,BK$43,"."&amp;$A$43&amp;$AS$42&amp;"P"&amp;$A59)="N/A",0,RTD("tos.rtd",,BK$43,"."&amp;$A$43&amp;$AS$42&amp;"P"&amp;$A59)))</f>
        <v>#NUM!</v>
      </c>
      <c r="BL59" s="83">
        <f ca="1">IF($BP$1=1,DZ59,IF(RTD("tos.rtd",,BL$2,"."&amp;$A$43&amp;$AU$1&amp;"C"&amp;$A59)="N/A",0,RTD("tos.rtd",,BL$2,"."&amp;$A$43&amp;$AU$1&amp;"C"&amp;$A59)))</f>
        <v>5.0502036426351121E-2</v>
      </c>
      <c r="BM59" s="83">
        <f ca="1">IF($BP$1=1,EA59,-IF(RTD("tos.rtd",,BM$2,"."&amp;$A$43&amp;$AU$1&amp;"P"&amp;$A59)="N/A",0,RTD("tos.rtd",,BM$2,"."&amp;$A$43&amp;$AU$1&amp;"P"&amp;$A59)))</f>
        <v>-2.4959494269372811E-2</v>
      </c>
      <c r="BN59" s="83">
        <f ca="1">IF($BP$1=1,EB59,IF(RTD("tos.rtd",,BN$2,"."&amp;$A$43&amp;$AW$1&amp;"C"&amp;$A59)="N/A",0,RTD("tos.rtd",,BN$2,"."&amp;$A$43&amp;$AW$1&amp;"C"&amp;$A59)))</f>
        <v>4.8964101326977705E-2</v>
      </c>
      <c r="BO59" s="83">
        <f ca="1">IF($BP$1=1,EC59,-IF(RTD("tos.rtd",,BO$2,"."&amp;$A$43&amp;$AW$1&amp;"P"&amp;$A59)="N/A",0,RTD("tos.rtd",,BO$2,"."&amp;$A$43&amp;$AW$1&amp;"P"&amp;$A59)))</f>
        <v>-3.2987363940617458E-2</v>
      </c>
      <c r="BQ59" s="83" t="e">
        <f t="shared" ca="1" si="277"/>
        <v>#NUM!</v>
      </c>
      <c r="BR59" s="3" t="e">
        <f t="shared" ca="1" si="278"/>
        <v>#NUM!</v>
      </c>
      <c r="BS59" s="83">
        <f t="shared" ca="1" si="279"/>
        <v>13038202.28492301</v>
      </c>
      <c r="BT59" s="3" t="str">
        <f t="shared" ca="1" si="280"/>
        <v>Cruce +</v>
      </c>
      <c r="BU59" s="83">
        <f t="shared" ca="1" si="281"/>
        <v>7928637.0588743668</v>
      </c>
      <c r="BV59" s="83"/>
      <c r="BX59" s="83" t="e">
        <f t="shared" ca="1" si="282"/>
        <v>#NUM!</v>
      </c>
      <c r="BY59" s="83" t="e">
        <f t="shared" ca="1" si="294"/>
        <v>#NUM!</v>
      </c>
      <c r="BZ59" s="83">
        <f t="shared" ca="1" si="283"/>
        <v>63081113.070308425</v>
      </c>
      <c r="CA59" s="83" t="str">
        <f t="shared" ca="1" si="294"/>
        <v/>
      </c>
      <c r="CB59" s="83">
        <f t="shared" ca="1" si="284"/>
        <v>7503931.4043445112</v>
      </c>
      <c r="CC59" s="83" t="str">
        <f t="shared" ca="1" si="294"/>
        <v/>
      </c>
      <c r="CD59" s="83">
        <f>IF(RTD("tos.rtd",,CD$43,"."&amp;$A$43&amp;$AS$42&amp;"C"&amp;$A59)="N/A",0,RTD("tos.rtd",,CD$43,"."&amp;$A$43&amp;$AS$42&amp;"C"&amp;$A59))</f>
        <v>0.02</v>
      </c>
      <c r="CE59" s="83">
        <f>-IF(RTD("tos.rtd",,CE$43,"."&amp;$A$43&amp;$AS$42&amp;"P"&amp;$A59)="N/A",0,RTD("tos.rtd",,CE$43,"."&amp;$A$43&amp;$AS$42&amp;"P"&amp;$A59))</f>
        <v>0.55000000000000004</v>
      </c>
      <c r="CF59" s="83">
        <f>IF(RTD("tos.rtd",,CF$2,"."&amp;$A$43&amp;$AU$1&amp;"C"&amp;$A59)="N/A",0,RTD("tos.rtd",,CF$2,"."&amp;$A$43&amp;$AU$1&amp;"C"&amp;$A59))</f>
        <v>0.44</v>
      </c>
      <c r="CG59" s="83">
        <f>-IF(RTD("tos.rtd",,CG$2,"."&amp;$A$43&amp;$AU$1&amp;"P"&amp;$A59)="N/A",0,RTD("tos.rtd",,CG$2,"."&amp;$A$43&amp;$AU$1&amp;"P"&amp;$A59))</f>
        <v>0.53</v>
      </c>
      <c r="CH59" s="83">
        <f>IF(RTD("tos.rtd",,CH$2,"."&amp;$A$43&amp;$AW$1&amp;"C"&amp;$A59)="N/A",0,RTD("tos.rtd",,CH$2,"."&amp;$A$43&amp;$AW$1&amp;"C"&amp;$A59))</f>
        <v>0.49</v>
      </c>
      <c r="CI59" s="83">
        <f>-IF(RTD("tos.rtd",,CI$2,"."&amp;$A$43&amp;$AW$1&amp;"P"&amp;$A59)="N/A",0,RTD("tos.rtd",,CI$2,"."&amp;$A$43&amp;$AW$1&amp;"P"&amp;$A59))</f>
        <v>0.5</v>
      </c>
      <c r="CK59" s="83">
        <f t="shared" si="285"/>
        <v>-108136.00000000001</v>
      </c>
      <c r="CL59" s="83"/>
      <c r="CM59" s="83">
        <f t="shared" si="286"/>
        <v>8796</v>
      </c>
      <c r="CN59" s="83"/>
      <c r="CO59" s="83">
        <f t="shared" si="287"/>
        <v>28260</v>
      </c>
      <c r="CP59" s="83">
        <f t="shared" si="234"/>
        <v>-71080.000000000015</v>
      </c>
      <c r="CQ59" s="83">
        <f t="shared" si="248"/>
        <v>33638</v>
      </c>
      <c r="CR59" s="83"/>
      <c r="CS59" s="83">
        <f t="shared" si="249"/>
        <v>5062</v>
      </c>
      <c r="CT59" s="83"/>
      <c r="CU59" s="83">
        <f t="shared" si="250"/>
        <v>627</v>
      </c>
      <c r="CV59" s="83"/>
      <c r="CW59" s="83" t="e">
        <f ca="1">+BQ59+BS59+BU59</f>
        <v>#NUM!</v>
      </c>
      <c r="CY59" s="83" t="e">
        <f t="shared" ca="1" si="252"/>
        <v>#NUM!</v>
      </c>
      <c r="CZ59" s="70" t="e">
        <f t="shared" ca="1" si="295"/>
        <v>#NUM!</v>
      </c>
      <c r="DA59" s="83">
        <f>IF(RTD("tos.rtd",,DA$43,"."&amp;$A$43&amp;$AS$42&amp;"C"&amp;$A59)="N/A",0,RTD("tos.rtd",,DA$43,"."&amp;$A$43&amp;$AS$42&amp;"C"&amp;$A59))</f>
        <v>0.01</v>
      </c>
      <c r="DB59" s="83">
        <f>IF(RTD("tos.rtd",,DB$43,"."&amp;$A$43&amp;$AS$42&amp;"P"&amp;$A59)="N/A",0,RTD("tos.rtd",,DB$43,"."&amp;$A$43&amp;$AS$42&amp;"P"&amp;$A59))</f>
        <v>4.3099999999999996</v>
      </c>
      <c r="DC59" s="83">
        <f>IF(RTD("tos.rtd",,DC$43,"."&amp;$A$43&amp;$AS$42&amp;"C"&amp;$A59)="N/A",0,RTD("tos.rtd",,DC$43,"."&amp;$A$43&amp;$AS$42&amp;"C"&amp;$A59))</f>
        <v>0.01</v>
      </c>
      <c r="DD59" s="83">
        <f>IF(RTD("tos.rtd",,DD$43,"."&amp;$A$43&amp;$AS$42&amp;"P"&amp;$A59)="N/A",0,RTD("tos.rtd",,DD$43,"."&amp;$A$43&amp;$AS$42&amp;"P"&amp;$A59))</f>
        <v>4.96</v>
      </c>
      <c r="DE59" s="83">
        <f>IF(RTD("tos.rtd",,DE$43,"."&amp;$A$43&amp;$AS$42&amp;"C"&amp;$A59)="N/A",0,RTD("tos.rtd",,DE$43,"."&amp;$A$43&amp;$AS$42&amp;"C"&amp;$A59))</f>
        <v>0</v>
      </c>
      <c r="DF59" s="83">
        <f>IF(RTD("tos.rtd",,DF$43,"."&amp;$A$43&amp;$AS$42&amp;"P"&amp;$A59)="N/A",0,RTD("tos.rtd",,DF$43,"."&amp;$A$43&amp;$AS$42&amp;"P"&amp;$A59))</f>
        <v>2.52</v>
      </c>
      <c r="DG59" s="86">
        <f t="shared" si="288"/>
        <v>1.1499999999999773</v>
      </c>
      <c r="DH59" s="83">
        <f t="shared" si="253"/>
        <v>1</v>
      </c>
      <c r="DI59" s="83">
        <f t="shared" si="254"/>
        <v>-2.9344262295081962</v>
      </c>
      <c r="DJ59" s="83">
        <f t="shared" si="255"/>
        <v>1</v>
      </c>
      <c r="DK59" s="83">
        <f t="shared" si="256"/>
        <v>-4</v>
      </c>
      <c r="DL59" s="83">
        <f t="shared" si="257"/>
        <v>-1.9344262295081962</v>
      </c>
      <c r="DM59" s="83">
        <f t="shared" si="258"/>
        <v>-3</v>
      </c>
      <c r="DN59" s="64" t="str">
        <f t="shared" si="259"/>
        <v>BUY</v>
      </c>
      <c r="DO59" s="64" t="str">
        <f t="shared" si="260"/>
        <v>BUY</v>
      </c>
      <c r="DP59" s="83">
        <f t="shared" si="261"/>
        <v>-12.637377049180325</v>
      </c>
      <c r="DQ59" s="83">
        <f t="shared" si="262"/>
        <v>-17.229999999999997</v>
      </c>
      <c r="DR59" s="83" t="e">
        <f t="shared" ca="1" si="263"/>
        <v>#NUM!</v>
      </c>
      <c r="DS59" s="83">
        <f t="shared" si="264"/>
        <v>-2.1800000000000002</v>
      </c>
      <c r="DT59" s="83">
        <f t="shared" si="289"/>
        <v>1</v>
      </c>
      <c r="DU59" s="83">
        <f t="shared" si="290"/>
        <v>-4</v>
      </c>
      <c r="DV59" s="83">
        <f t="shared" si="265"/>
        <v>-4617</v>
      </c>
      <c r="DW59" s="83">
        <f t="shared" si="266"/>
        <v>97</v>
      </c>
      <c r="DX59" s="83" t="e">
        <f t="shared" ca="1" si="363"/>
        <v>#NUM!</v>
      </c>
      <c r="DY59" s="83" t="e">
        <f t="shared" ca="1" si="364"/>
        <v>#NUM!</v>
      </c>
      <c r="DZ59" s="83">
        <f t="shared" ca="1" si="365"/>
        <v>5.0502036426351121E-2</v>
      </c>
      <c r="EA59" s="83">
        <f t="shared" ca="1" si="366"/>
        <v>-2.4959494269372811E-2</v>
      </c>
      <c r="EB59" s="83">
        <f t="shared" ca="1" si="367"/>
        <v>4.8964101326977705E-2</v>
      </c>
      <c r="EC59" s="83">
        <f t="shared" ca="1" si="368"/>
        <v>-3.2987363940617458E-2</v>
      </c>
      <c r="ED59" s="63">
        <f t="shared" si="291"/>
        <v>-4520</v>
      </c>
      <c r="EE59" s="84">
        <f t="shared" si="267"/>
        <v>0.15670000000000001</v>
      </c>
      <c r="EF59" s="84">
        <f t="shared" si="268"/>
        <v>2.1328</v>
      </c>
      <c r="EG59" s="84">
        <f t="shared" si="269"/>
        <v>0.1973</v>
      </c>
      <c r="EH59" s="84">
        <f t="shared" si="270"/>
        <v>0.4017</v>
      </c>
      <c r="EI59" s="84">
        <f t="shared" si="271"/>
        <v>0.2036</v>
      </c>
      <c r="EJ59" s="84">
        <f t="shared" si="272"/>
        <v>0.30349999999999999</v>
      </c>
      <c r="EL59" s="83" t="str">
        <f>RTD("tos.rtd",,EL$43,"."&amp;$A$43&amp;$AS$42&amp;"C"&amp;$A59)</f>
        <v>15.67%</v>
      </c>
      <c r="EM59" s="83" t="str">
        <f>RTD("tos.rtd",,EM$43,"."&amp;$A$43&amp;$AS$42&amp;"P"&amp;$A59)</f>
        <v>213.28%</v>
      </c>
      <c r="EN59" s="83" t="str">
        <f>RTD("tos.rtd",,EN$2,"."&amp;$A$43&amp;$AU$1&amp;"C"&amp;$A59)</f>
        <v>19.73%</v>
      </c>
      <c r="EO59" s="83" t="str">
        <f>RTD("tos.rtd",,EO$2,"."&amp;$A$43&amp;$AU$1&amp;"P"&amp;$A59)</f>
        <v>40.17%</v>
      </c>
      <c r="EP59" s="83" t="str">
        <f>RTD("tos.rtd",,EP$2,"."&amp;$A$43&amp;$AW$1&amp;"C"&amp;$A59)</f>
        <v>20.36%</v>
      </c>
      <c r="EQ59" s="83" t="str">
        <f>RTD("tos.rtd",,EQ$2,"."&amp;$A$43&amp;$AW$1&amp;"P"&amp;$A59)</f>
        <v>30.35%</v>
      </c>
      <c r="ES59" s="63" t="str">
        <f t="shared" si="273"/>
        <v>488,-4520.00</v>
      </c>
      <c r="ET59" s="64" t="str">
        <f t="shared" ca="1" si="274"/>
        <v>488,00.00</v>
      </c>
      <c r="EU59" s="68">
        <v>561.79999999999995</v>
      </c>
      <c r="EV59" s="68" t="s">
        <v>492</v>
      </c>
      <c r="EW59" s="68">
        <v>484.24</v>
      </c>
      <c r="EX59" s="68" t="s">
        <v>493</v>
      </c>
      <c r="EY59" s="68">
        <v>5631.75</v>
      </c>
      <c r="EZ59" s="68" t="s">
        <v>494</v>
      </c>
      <c r="FA59" s="68">
        <v>19890</v>
      </c>
      <c r="FB59" s="68" t="s">
        <v>495</v>
      </c>
      <c r="FC59" s="68" t="s">
        <v>496</v>
      </c>
      <c r="FD59" s="68" t="s">
        <v>497</v>
      </c>
      <c r="FE59" s="68" t="s">
        <v>498</v>
      </c>
      <c r="FF59" s="68" t="s">
        <v>499</v>
      </c>
    </row>
    <row r="60" spans="1:162" ht="13.5" thickBot="1" x14ac:dyDescent="0.25">
      <c r="A60" s="2">
        <f t="shared" si="292"/>
        <v>487</v>
      </c>
      <c r="B60" s="3">
        <f t="shared" si="240"/>
        <v>9396</v>
      </c>
      <c r="C60" s="3">
        <f t="shared" si="241"/>
        <v>2265</v>
      </c>
      <c r="D60" s="3">
        <f t="shared" si="242"/>
        <v>809</v>
      </c>
      <c r="E60" s="3">
        <f t="shared" si="243"/>
        <v>12470</v>
      </c>
      <c r="F60" s="4">
        <f t="shared" si="296"/>
        <v>20102.191640135563</v>
      </c>
      <c r="AM60" s="1">
        <v>1930</v>
      </c>
      <c r="AN60" s="1">
        <v>-33</v>
      </c>
      <c r="AO60" s="1">
        <v>487</v>
      </c>
      <c r="AP60" s="1">
        <v>58993</v>
      </c>
      <c r="AQ60" s="1">
        <v>-2133</v>
      </c>
      <c r="AS60" s="6">
        <f>IF(RTD("tos.rtd",,AS$43,"."&amp;$A$43&amp;$AS$42&amp;"C"&amp;$A60)="N/A",0,RTD("tos.rtd",,AS$43,"."&amp;$A$43&amp;$AS$42&amp;"C"&amp;$A60))</f>
        <v>7928</v>
      </c>
      <c r="AT60" s="7">
        <f>-IF(RTD("tos.rtd",,AT$43,"."&amp;$A$43&amp;$AS$42&amp;"P"&amp;$A60)="N/A",0,RTD("tos.rtd",,AT$43,"."&amp;$A$43&amp;$AS$42&amp;"P"&amp;$A60))</f>
        <v>-1468</v>
      </c>
      <c r="AU60" s="6">
        <f>IF(RTD("tos.rtd",,AU$2,"."&amp;$A$43&amp;$AU$1&amp;"C"&amp;$A60)="N/A",0,RTD("tos.rtd",,AU$2,"."&amp;$A$43&amp;$AU$1&amp;"C"&amp;$A60))</f>
        <v>1250</v>
      </c>
      <c r="AV60" s="7">
        <f>-IF(RTD("tos.rtd",,AV$2,"."&amp;$A$43&amp;$AU$1&amp;"P"&amp;$A60)="N/A",0,RTD("tos.rtd",,AV$2,"."&amp;$A$43&amp;$AU$1&amp;"P"&amp;$A60))</f>
        <v>-1015</v>
      </c>
      <c r="AW60" s="6">
        <f>IF(RTD("tos.rtd",,AW$2,"."&amp;$A$43&amp;$AW$1&amp;"C"&amp;$A60)="N/A",0,RTD("tos.rtd",,AW$2,"."&amp;$A$43&amp;$AW$1&amp;"C"&amp;$A60))</f>
        <v>590</v>
      </c>
      <c r="AX60" s="7">
        <f>-IF(RTD("tos.rtd",,AX$2,"."&amp;$A$43&amp;$AW$1&amp;"P"&amp;$A60)="N/A",0,RTD("tos.rtd",,AX$2,"."&amp;$A$43&amp;$AW$1&amp;"P"&amp;$A60))</f>
        <v>-219</v>
      </c>
      <c r="AY60" s="7">
        <f t="shared" si="275"/>
        <v>7066</v>
      </c>
      <c r="AZ60" s="8">
        <f t="shared" si="244"/>
        <v>487</v>
      </c>
      <c r="BA60" s="6">
        <f>IF(RTD("tos.rtd",,BA$43,"."&amp;$A$43&amp;$AS$42&amp;"C"&amp;$A60)="N/A",0,RTD("tos.rtd",,BA$43,"."&amp;$A$43&amp;$AS$42&amp;"C"&amp;$A60))</f>
        <v>59009</v>
      </c>
      <c r="BB60" s="7">
        <f>-IF(RTD("tos.rtd",,BB$43,"."&amp;$A$43&amp;$AS$42&amp;"P"&amp;$A60)="N/A",0,RTD("tos.rtd",,BB$43,"."&amp;$A$43&amp;$AS$42&amp;"P"&amp;$A60))</f>
        <v>-2133</v>
      </c>
      <c r="BC60" s="6">
        <f>IF(RTD("tos.rtd",,BC$2,"."&amp;$A$43&amp;$AU$1&amp;"C"&amp;$A60)="N/A",0,RTD("tos.rtd",,BC$2,"."&amp;$A$43&amp;$AU$1&amp;"C"&amp;$A60))</f>
        <v>4796</v>
      </c>
      <c r="BD60" s="7">
        <f>-IF(RTD("tos.rtd",,BD$2,"."&amp;$A$43&amp;$AU$1&amp;"P"&amp;$A60)="N/A",0,RTD("tos.rtd",,BD$2,"."&amp;$A$43&amp;$AU$1&amp;"P"&amp;$A60))</f>
        <v>-817</v>
      </c>
      <c r="BE60" s="6">
        <f>IF(RTD("tos.rtd",,BE$2,"."&amp;$A$43&amp;$AW$1&amp;"C"&amp;$A60)="N/A",0,RTD("tos.rtd",,BE$2,"."&amp;$A$43&amp;$AW$1&amp;"C"&amp;$A60))</f>
        <v>668</v>
      </c>
      <c r="BF60" s="7">
        <f>-IF(RTD("tos.rtd",,BF$2,"."&amp;$A$43&amp;$AW$1&amp;"P"&amp;$A60)="N/A",0,RTD("tos.rtd",,BF$2,"."&amp;$A$43&amp;$AW$1&amp;"P"&amp;$A60))</f>
        <v>-103</v>
      </c>
      <c r="BG60" s="32">
        <f ca="1">+Hoja2!Y61</f>
        <v>382</v>
      </c>
      <c r="BH60" s="7">
        <f t="shared" ca="1" si="276"/>
        <v>61802</v>
      </c>
      <c r="BI60" s="8" t="str">
        <f t="shared" ca="1" si="293"/>
        <v/>
      </c>
      <c r="BJ60" s="83" t="e">
        <f ca="1">IF($BP$1=1,DX60,IF(RTD("tos.rtd",,BJ$43,"."&amp;$A$43&amp;$AS$42&amp;"C"&amp;$A60)="N/A",0,RTD("tos.rtd",,BJ$43,"."&amp;$A$43&amp;$AS$42&amp;"C"&amp;$A60)))</f>
        <v>#NUM!</v>
      </c>
      <c r="BK60" s="83" t="e">
        <f ca="1">IF($BP$1=1,DY60,-IF(RTD("tos.rtd",,BK$43,"."&amp;$A$43&amp;$AS$42&amp;"P"&amp;$A60)="N/A",0,RTD("tos.rtd",,BK$43,"."&amp;$A$43&amp;$AS$42&amp;"P"&amp;$A60)))</f>
        <v>#NUM!</v>
      </c>
      <c r="BL60" s="83">
        <f ca="1">IF($BP$1=1,DZ60,IF(RTD("tos.rtd",,BL$2,"."&amp;$A$43&amp;$AU$1&amp;"C"&amp;$A60)="N/A",0,RTD("tos.rtd",,BL$2,"."&amp;$A$43&amp;$AU$1&amp;"C"&amp;$A60)))</f>
        <v>5.1925124793987601E-2</v>
      </c>
      <c r="BM60" s="83">
        <f ca="1">IF($BP$1=1,EA60,-IF(RTD("tos.rtd",,BM$2,"."&amp;$A$43&amp;$AU$1&amp;"P"&amp;$A60)="N/A",0,RTD("tos.rtd",,BM$2,"."&amp;$A$43&amp;$AU$1&amp;"P"&amp;$A60)))</f>
        <v>-2.535019100261891E-2</v>
      </c>
      <c r="BN60" s="83">
        <f ca="1">IF($BP$1=1,EB60,IF(RTD("tos.rtd",,BN$2,"."&amp;$A$43&amp;$AW$1&amp;"C"&amp;$A60)="N/A",0,RTD("tos.rtd",,BN$2,"."&amp;$A$43&amp;$AW$1&amp;"C"&amp;$A60)))</f>
        <v>4.9322330893279233E-2</v>
      </c>
      <c r="BO60" s="83">
        <f ca="1">IF($BP$1=1,EC60,-IF(RTD("tos.rtd",,BO$2,"."&amp;$A$43&amp;$AW$1&amp;"P"&amp;$A60)="N/A",0,RTD("tos.rtd",,BO$2,"."&amp;$A$43&amp;$AW$1&amp;"P"&amp;$A60)))</f>
        <v>-3.2127505879695449E-2</v>
      </c>
      <c r="BQ60" s="83" t="e">
        <f t="shared" ca="1" si="277"/>
        <v>#NUM!</v>
      </c>
      <c r="BR60" s="3" t="e">
        <f t="shared" ca="1" si="278"/>
        <v>#NUM!</v>
      </c>
      <c r="BS60" s="83">
        <f t="shared" ca="1" si="279"/>
        <v>9285601.0345756412</v>
      </c>
      <c r="BT60" s="3" t="str">
        <f t="shared" ca="1" si="280"/>
        <v/>
      </c>
      <c r="BU60" s="83">
        <f t="shared" ca="1" si="281"/>
        <v>5229733.3589370213</v>
      </c>
      <c r="BV60" s="83"/>
      <c r="BX60" s="83" t="e">
        <f t="shared" ca="1" si="282"/>
        <v>#NUM!</v>
      </c>
      <c r="BY60" s="83" t="e">
        <f t="shared" ca="1" si="294"/>
        <v>#NUM!</v>
      </c>
      <c r="BZ60" s="83">
        <f t="shared" ca="1" si="283"/>
        <v>54117498.519977234</v>
      </c>
      <c r="CA60" s="83" t="str">
        <f t="shared" ca="1" si="294"/>
        <v/>
      </c>
      <c r="CB60" s="83">
        <f t="shared" ca="1" si="284"/>
        <v>7024928.9729423113</v>
      </c>
      <c r="CC60" s="83" t="str">
        <f t="shared" ca="1" si="294"/>
        <v/>
      </c>
      <c r="CD60" s="83">
        <f>IF(RTD("tos.rtd",,CD$43,"."&amp;$A$43&amp;$AS$42&amp;"C"&amp;$A60)="N/A",0,RTD("tos.rtd",,CD$43,"."&amp;$A$43&amp;$AS$42&amp;"C"&amp;$A60))</f>
        <v>0.09</v>
      </c>
      <c r="CE60" s="83">
        <f>-IF(RTD("tos.rtd",,CE$43,"."&amp;$A$43&amp;$AS$42&amp;"P"&amp;$A60)="N/A",0,RTD("tos.rtd",,CE$43,"."&amp;$A$43&amp;$AS$42&amp;"P"&amp;$A60))</f>
        <v>0.5</v>
      </c>
      <c r="CF60" s="83">
        <f>IF(RTD("tos.rtd",,CF$2,"."&amp;$A$43&amp;$AU$1&amp;"C"&amp;$A60)="N/A",0,RTD("tos.rtd",,CF$2,"."&amp;$A$43&amp;$AU$1&amp;"C"&amp;$A60))</f>
        <v>0.5</v>
      </c>
      <c r="CG60" s="83">
        <f>-IF(RTD("tos.rtd",,CG$2,"."&amp;$A$43&amp;$AU$1&amp;"P"&amp;$A60)="N/A",0,RTD("tos.rtd",,CG$2,"."&amp;$A$43&amp;$AU$1&amp;"P"&amp;$A60))</f>
        <v>0.5</v>
      </c>
      <c r="CH60" s="83">
        <f>IF(RTD("tos.rtd",,CH$2,"."&amp;$A$43&amp;$AW$1&amp;"C"&amp;$A60)="N/A",0,RTD("tos.rtd",,CH$2,"."&amp;$A$43&amp;$AW$1&amp;"C"&amp;$A60))</f>
        <v>0.51</v>
      </c>
      <c r="CI60" s="83">
        <f>-IF(RTD("tos.rtd",,CI$2,"."&amp;$A$43&amp;$AW$1&amp;"P"&amp;$A60)="N/A",0,RTD("tos.rtd",,CI$2,"."&amp;$A$43&amp;$AW$1&amp;"P"&amp;$A60))</f>
        <v>0.49</v>
      </c>
      <c r="CK60" s="83">
        <f t="shared" si="285"/>
        <v>-2048</v>
      </c>
      <c r="CL60" s="83"/>
      <c r="CM60" s="83">
        <f t="shared" si="286"/>
        <v>11750</v>
      </c>
      <c r="CN60" s="83"/>
      <c r="CO60" s="83">
        <f t="shared" si="287"/>
        <v>19358.999999999996</v>
      </c>
      <c r="CP60" s="83">
        <f t="shared" si="234"/>
        <v>29060.999999999996</v>
      </c>
      <c r="CQ60" s="83">
        <f t="shared" si="248"/>
        <v>56876</v>
      </c>
      <c r="CR60" s="83"/>
      <c r="CS60" s="83">
        <f t="shared" si="249"/>
        <v>3979</v>
      </c>
      <c r="CT60" s="83"/>
      <c r="CU60" s="83">
        <f t="shared" si="250"/>
        <v>565</v>
      </c>
      <c r="CV60" s="83"/>
      <c r="CW60" s="83" t="e">
        <f t="shared" ca="1" si="251"/>
        <v>#NUM!</v>
      </c>
      <c r="CY60" s="83" t="e">
        <f t="shared" ca="1" si="252"/>
        <v>#NUM!</v>
      </c>
      <c r="CZ60" s="70" t="e">
        <f t="shared" ca="1" si="295"/>
        <v>#NUM!</v>
      </c>
      <c r="DA60" s="83">
        <f>IF(RTD("tos.rtd",,DA$43,"."&amp;$A$43&amp;$AS$42&amp;"C"&amp;$A60)="N/A",0,RTD("tos.rtd",,DA$43,"."&amp;$A$43&amp;$AS$42&amp;"C"&amp;$A60))</f>
        <v>0.01</v>
      </c>
      <c r="DB60" s="83">
        <f>IF(RTD("tos.rtd",,DB$43,"."&amp;$A$43&amp;$AS$42&amp;"P"&amp;$A60)="N/A",0,RTD("tos.rtd",,DB$43,"."&amp;$A$43&amp;$AS$42&amp;"P"&amp;$A60))</f>
        <v>4.66</v>
      </c>
      <c r="DC60" s="83">
        <f>IF(RTD("tos.rtd",,DC$43,"."&amp;$A$43&amp;$AS$42&amp;"C"&amp;$A60)="N/A",0,RTD("tos.rtd",,DC$43,"."&amp;$A$43&amp;$AS$42&amp;"C"&amp;$A60))</f>
        <v>0.01</v>
      </c>
      <c r="DD60" s="83">
        <f>IF(RTD("tos.rtd",,DD$43,"."&amp;$A$43&amp;$AS$42&amp;"P"&amp;$A60)="N/A",0,RTD("tos.rtd",,DD$43,"."&amp;$A$43&amp;$AS$42&amp;"P"&amp;$A60))</f>
        <v>5</v>
      </c>
      <c r="DE60" s="83">
        <f>IF(RTD("tos.rtd",,DE$43,"."&amp;$A$43&amp;$AS$42&amp;"C"&amp;$A60)="N/A",0,RTD("tos.rtd",,DE$43,"."&amp;$A$43&amp;$AS$42&amp;"C"&amp;$A60))</f>
        <v>0</v>
      </c>
      <c r="DF60" s="83">
        <f>IF(RTD("tos.rtd",,DF$43,"."&amp;$A$43&amp;$AS$42&amp;"P"&amp;$A60)="N/A",0,RTD("tos.rtd",,DF$43,"."&amp;$A$43&amp;$AS$42&amp;"P"&amp;$A60))</f>
        <v>1.56</v>
      </c>
      <c r="DG60" s="86">
        <f t="shared" si="288"/>
        <v>0.14999999999997726</v>
      </c>
      <c r="DH60" s="83">
        <f t="shared" si="253"/>
        <v>16</v>
      </c>
      <c r="DI60" s="83">
        <f t="shared" si="254"/>
        <v>0</v>
      </c>
      <c r="DJ60" s="83">
        <f t="shared" si="255"/>
        <v>16</v>
      </c>
      <c r="DK60" s="83">
        <f t="shared" si="256"/>
        <v>0</v>
      </c>
      <c r="DL60" s="83">
        <f t="shared" si="257"/>
        <v>16</v>
      </c>
      <c r="DM60" s="83">
        <f t="shared" si="258"/>
        <v>16</v>
      </c>
      <c r="DN60" s="64" t="str">
        <f t="shared" si="259"/>
        <v>BUY</v>
      </c>
      <c r="DO60" s="64" t="str">
        <f t="shared" si="260"/>
        <v>UNKNOWN</v>
      </c>
      <c r="DP60" s="83">
        <f t="shared" si="261"/>
        <v>0.16</v>
      </c>
      <c r="DQ60" s="83">
        <f t="shared" si="262"/>
        <v>0.16</v>
      </c>
      <c r="DR60" s="83" t="e">
        <f t="shared" ca="1" si="263"/>
        <v>#NUM!</v>
      </c>
      <c r="DS60" s="83">
        <f t="shared" si="264"/>
        <v>1.44</v>
      </c>
      <c r="DT60" s="83">
        <f t="shared" si="289"/>
        <v>16</v>
      </c>
      <c r="DU60" s="83">
        <f t="shared" si="290"/>
        <v>0</v>
      </c>
      <c r="DV60" s="83">
        <f t="shared" si="265"/>
        <v>1946</v>
      </c>
      <c r="DW60" s="83">
        <f t="shared" si="266"/>
        <v>-33</v>
      </c>
      <c r="DX60" s="83" t="e">
        <f t="shared" ca="1" si="363"/>
        <v>#NUM!</v>
      </c>
      <c r="DY60" s="83" t="e">
        <f t="shared" ca="1" si="364"/>
        <v>#NUM!</v>
      </c>
      <c r="DZ60" s="83">
        <f t="shared" ca="1" si="365"/>
        <v>5.1925124793987601E-2</v>
      </c>
      <c r="EA60" s="83">
        <f t="shared" ca="1" si="366"/>
        <v>-2.535019100261891E-2</v>
      </c>
      <c r="EB60" s="83">
        <f t="shared" ca="1" si="367"/>
        <v>4.9322330893279233E-2</v>
      </c>
      <c r="EC60" s="83">
        <f t="shared" ca="1" si="368"/>
        <v>-3.2127505879695449E-2</v>
      </c>
      <c r="ED60" s="63">
        <f t="shared" si="291"/>
        <v>1913</v>
      </c>
      <c r="EE60" s="84">
        <f t="shared" si="267"/>
        <v>3.0800000000000001E-2</v>
      </c>
      <c r="EF60" s="84">
        <f t="shared" si="268"/>
        <v>2.1846999999999999</v>
      </c>
      <c r="EG60" s="84">
        <f t="shared" si="269"/>
        <v>0.1933</v>
      </c>
      <c r="EH60" s="84">
        <f t="shared" si="270"/>
        <v>0.39589999999999997</v>
      </c>
      <c r="EI60" s="84">
        <f t="shared" si="271"/>
        <v>0.20349999999999999</v>
      </c>
      <c r="EJ60" s="84">
        <f t="shared" si="272"/>
        <v>0.31240000000000001</v>
      </c>
      <c r="EL60" s="83" t="str">
        <f>RTD("tos.rtd",,EL$43,"."&amp;$A$43&amp;$AS$42&amp;"C"&amp;$A60)</f>
        <v>3.08%</v>
      </c>
      <c r="EM60" s="83" t="str">
        <f>RTD("tos.rtd",,EM$43,"."&amp;$A$43&amp;$AS$42&amp;"P"&amp;$A60)</f>
        <v>218.47%</v>
      </c>
      <c r="EN60" s="83" t="str">
        <f>RTD("tos.rtd",,EN$2,"."&amp;$A$43&amp;$AU$1&amp;"C"&amp;$A60)</f>
        <v>19.33%</v>
      </c>
      <c r="EO60" s="83" t="str">
        <f>RTD("tos.rtd",,EO$2,"."&amp;$A$43&amp;$AU$1&amp;"P"&amp;$A60)</f>
        <v>39.59%</v>
      </c>
      <c r="EP60" s="83" t="str">
        <f>RTD("tos.rtd",,EP$2,"."&amp;$A$43&amp;$AW$1&amp;"C"&amp;$A60)</f>
        <v>20.35%</v>
      </c>
      <c r="EQ60" s="83" t="str">
        <f>RTD("tos.rtd",,EQ$2,"."&amp;$A$43&amp;$AW$1&amp;"P"&amp;$A60)</f>
        <v>31.24%</v>
      </c>
      <c r="ES60" s="63" t="str">
        <f t="shared" si="273"/>
        <v>487,1913.00</v>
      </c>
      <c r="ET60" s="64" t="str">
        <f t="shared" ca="1" si="274"/>
        <v>487,00.00</v>
      </c>
      <c r="EU60" s="68">
        <v>562.05999999999995</v>
      </c>
      <c r="EV60" s="68" t="s">
        <v>500</v>
      </c>
      <c r="EW60" s="68">
        <v>484.53</v>
      </c>
      <c r="EX60" s="68" t="s">
        <v>501</v>
      </c>
      <c r="EY60" s="68">
        <v>5634.25</v>
      </c>
      <c r="EZ60" s="68" t="s">
        <v>502</v>
      </c>
      <c r="FA60" s="68">
        <v>19903.75</v>
      </c>
      <c r="FB60" s="68" t="s">
        <v>503</v>
      </c>
      <c r="FC60" s="68" t="s">
        <v>504</v>
      </c>
      <c r="FD60" s="68" t="s">
        <v>505</v>
      </c>
      <c r="FE60" s="68" t="s">
        <v>506</v>
      </c>
      <c r="FF60" s="68" t="s">
        <v>507</v>
      </c>
    </row>
    <row r="61" spans="1:162" ht="13.5" thickBot="1" x14ac:dyDescent="0.25">
      <c r="A61" s="2">
        <f t="shared" si="292"/>
        <v>486</v>
      </c>
      <c r="B61" s="3">
        <f t="shared" si="240"/>
        <v>5104</v>
      </c>
      <c r="C61" s="3">
        <f t="shared" si="241"/>
        <v>2613</v>
      </c>
      <c r="D61" s="3">
        <f t="shared" si="242"/>
        <v>817</v>
      </c>
      <c r="E61" s="3">
        <f t="shared" si="243"/>
        <v>8534</v>
      </c>
      <c r="F61" s="4">
        <f t="shared" si="296"/>
        <v>20060.914039231797</v>
      </c>
      <c r="AM61" s="1">
        <v>-2403</v>
      </c>
      <c r="AN61" s="1">
        <v>-4477</v>
      </c>
      <c r="AO61" s="1">
        <v>486</v>
      </c>
      <c r="AP61" s="1">
        <v>63555</v>
      </c>
      <c r="AQ61" s="1">
        <v>-8936</v>
      </c>
      <c r="AS61" s="6">
        <f>IF(RTD("tos.rtd",,AS$43,"."&amp;$A$43&amp;$AS$42&amp;"C"&amp;$A61)="N/A",0,RTD("tos.rtd",,AS$43,"."&amp;$A$43&amp;$AS$42&amp;"C"&amp;$A61))</f>
        <v>3215</v>
      </c>
      <c r="AT61" s="7">
        <f>-IF(RTD("tos.rtd",,AT$43,"."&amp;$A$43&amp;$AS$42&amp;"P"&amp;$A61)="N/A",0,RTD("tos.rtd",,AT$43,"."&amp;$A$43&amp;$AS$42&amp;"P"&amp;$A61))</f>
        <v>-1889</v>
      </c>
      <c r="AU61" s="6">
        <f>IF(RTD("tos.rtd",,AU$2,"."&amp;$A$43&amp;$AU$1&amp;"C"&amp;$A61)="N/A",0,RTD("tos.rtd",,AU$2,"."&amp;$A$43&amp;$AU$1&amp;"C"&amp;$A61))</f>
        <v>1601</v>
      </c>
      <c r="AV61" s="7">
        <f>-IF(RTD("tos.rtd",,AV$2,"."&amp;$A$43&amp;$AU$1&amp;"P"&amp;$A61)="N/A",0,RTD("tos.rtd",,AV$2,"."&amp;$A$43&amp;$AU$1&amp;"P"&amp;$A61))</f>
        <v>-1012</v>
      </c>
      <c r="AW61" s="6">
        <f>IF(RTD("tos.rtd",,AW$2,"."&amp;$A$43&amp;$AW$1&amp;"C"&amp;$A61)="N/A",0,RTD("tos.rtd",,AW$2,"."&amp;$A$43&amp;$AW$1&amp;"C"&amp;$A61))</f>
        <v>490</v>
      </c>
      <c r="AX61" s="7">
        <f>-IF(RTD("tos.rtd",,AX$2,"."&amp;$A$43&amp;$AW$1&amp;"P"&amp;$A61)="N/A",0,RTD("tos.rtd",,AX$2,"."&amp;$A$43&amp;$AW$1&amp;"P"&amp;$A61))</f>
        <v>-327</v>
      </c>
      <c r="AY61" s="7">
        <f t="shared" si="275"/>
        <v>2078</v>
      </c>
      <c r="AZ61" s="8">
        <f t="shared" si="244"/>
        <v>486</v>
      </c>
      <c r="BA61" s="6">
        <f>IF(RTD("tos.rtd",,BA$43,"."&amp;$A$43&amp;$AS$42&amp;"C"&amp;$A61)="N/A",0,RTD("tos.rtd",,BA$43,"."&amp;$A$43&amp;$AS$42&amp;"C"&amp;$A61))</f>
        <v>63597</v>
      </c>
      <c r="BB61" s="7">
        <f>-IF(RTD("tos.rtd",,BB$43,"."&amp;$A$43&amp;$AS$42&amp;"P"&amp;$A61)="N/A",0,RTD("tos.rtd",,BB$43,"."&amp;$A$43&amp;$AS$42&amp;"P"&amp;$A61))</f>
        <v>-8936</v>
      </c>
      <c r="BC61" s="6">
        <f>IF(RTD("tos.rtd",,BC$2,"."&amp;$A$43&amp;$AU$1&amp;"C"&amp;$A61)="N/A",0,RTD("tos.rtd",,BC$2,"."&amp;$A$43&amp;$AU$1&amp;"C"&amp;$A61))</f>
        <v>5445</v>
      </c>
      <c r="BD61" s="7">
        <f>-IF(RTD("tos.rtd",,BD$2,"."&amp;$A$43&amp;$AU$1&amp;"P"&amp;$A61)="N/A",0,RTD("tos.rtd",,BD$2,"."&amp;$A$43&amp;$AU$1&amp;"P"&amp;$A61))</f>
        <v>-453</v>
      </c>
      <c r="BE61" s="6">
        <f>IF(RTD("tos.rtd",,BE$2,"."&amp;$A$43&amp;$AW$1&amp;"C"&amp;$A61)="N/A",0,RTD("tos.rtd",,BE$2,"."&amp;$A$43&amp;$AW$1&amp;"C"&amp;$A61))</f>
        <v>755</v>
      </c>
      <c r="BF61" s="7">
        <f>-IF(RTD("tos.rtd",,BF$2,"."&amp;$A$43&amp;$AW$1&amp;"P"&amp;$A61)="N/A",0,RTD("tos.rtd",,BF$2,"."&amp;$A$43&amp;$AW$1&amp;"P"&amp;$A61))</f>
        <v>-111</v>
      </c>
      <c r="BG61" s="32">
        <f ca="1">+Hoja2!Y62</f>
        <v>705</v>
      </c>
      <c r="BH61" s="7">
        <f t="shared" ca="1" si="276"/>
        <v>61002</v>
      </c>
      <c r="BI61" s="8" t="str">
        <f t="shared" ca="1" si="293"/>
        <v/>
      </c>
      <c r="BJ61" s="83" t="e">
        <f ca="1">IF($BP$1=1,DX61,IF(RTD("tos.rtd",,BJ$43,"."&amp;$A$43&amp;$AS$42&amp;"C"&amp;$A61)="N/A",0,RTD("tos.rtd",,BJ$43,"."&amp;$A$43&amp;$AS$42&amp;"C"&amp;$A61)))</f>
        <v>#NUM!</v>
      </c>
      <c r="BK61" s="83" t="e">
        <f ca="1">IF($BP$1=1,DY61,-IF(RTD("tos.rtd",,BK$43,"."&amp;$A$43&amp;$AS$42&amp;"P"&amp;$A61)="N/A",0,RTD("tos.rtd",,BK$43,"."&amp;$A$43&amp;$AS$42&amp;"P"&amp;$A61)))</f>
        <v>#NUM!</v>
      </c>
      <c r="BL61" s="83">
        <f ca="1">IF($BP$1=1,DZ61,IF(RTD("tos.rtd",,BL$2,"."&amp;$A$43&amp;$AU$1&amp;"C"&amp;$A61)="N/A",0,RTD("tos.rtd",,BL$2,"."&amp;$A$43&amp;$AU$1&amp;"C"&amp;$A61)))</f>
        <v>5.2871028302399203E-2</v>
      </c>
      <c r="BM61" s="83">
        <f ca="1">IF($BP$1=1,EA61,-IF(RTD("tos.rtd",,BM$2,"."&amp;$A$43&amp;$AU$1&amp;"P"&amp;$A61)="N/A",0,RTD("tos.rtd",,BM$2,"."&amp;$A$43&amp;$AU$1&amp;"P"&amp;$A61)))</f>
        <v>-2.5453746234007459E-2</v>
      </c>
      <c r="BN61" s="83">
        <f ca="1">IF($BP$1=1,EB61,IF(RTD("tos.rtd",,BN$2,"."&amp;$A$43&amp;$AW$1&amp;"C"&amp;$A61)="N/A",0,RTD("tos.rtd",,BN$2,"."&amp;$A$43&amp;$AW$1&amp;"C"&amp;$A61)))</f>
        <v>4.8882565614603364E-2</v>
      </c>
      <c r="BO61" s="83">
        <f ca="1">IF($BP$1=1,EC61,-IF(RTD("tos.rtd",,BO$2,"."&amp;$A$43&amp;$AW$1&amp;"P"&amp;$A61)="N/A",0,RTD("tos.rtd",,BO$2,"."&amp;$A$43&amp;$AW$1&amp;"P"&amp;$A61)))</f>
        <v>-3.3936185482607496E-2</v>
      </c>
      <c r="BQ61" s="83" t="e">
        <f t="shared" ca="1" si="277"/>
        <v>#NUM!</v>
      </c>
      <c r="BR61" s="3" t="e">
        <f t="shared" ca="1" si="278"/>
        <v>#NUM!</v>
      </c>
      <c r="BS61" s="83">
        <f t="shared" ca="1" si="279"/>
        <v>13957645.898938298</v>
      </c>
      <c r="BT61" s="3" t="str">
        <f t="shared" ca="1" si="280"/>
        <v/>
      </c>
      <c r="BU61" s="83">
        <f t="shared" ca="1" si="281"/>
        <v>3047006.5822831038</v>
      </c>
      <c r="BV61" s="83"/>
      <c r="BX61" s="83" t="e">
        <f t="shared" ca="1" si="282"/>
        <v>#NUM!</v>
      </c>
      <c r="BY61" s="83" t="e">
        <f t="shared" ca="1" si="294"/>
        <v>#NUM!</v>
      </c>
      <c r="BZ61" s="83">
        <f t="shared" ca="1" si="283"/>
        <v>65501806.572178088</v>
      </c>
      <c r="CA61" s="83" t="str">
        <f t="shared" ca="1" si="294"/>
        <v/>
      </c>
      <c r="CB61" s="83">
        <f t="shared" ca="1" si="284"/>
        <v>7854802.2851233734</v>
      </c>
      <c r="CC61" s="83" t="str">
        <f t="shared" ca="1" si="294"/>
        <v/>
      </c>
      <c r="CD61" s="83">
        <f>IF(RTD("tos.rtd",,CD$43,"."&amp;$A$43&amp;$AS$42&amp;"C"&amp;$A61)="N/A",0,RTD("tos.rtd",,CD$43,"."&amp;$A$43&amp;$AS$42&amp;"C"&amp;$A61))</f>
        <v>1</v>
      </c>
      <c r="CE61" s="83">
        <f>-IF(RTD("tos.rtd",,CE$43,"."&amp;$A$43&amp;$AS$42&amp;"P"&amp;$A61)="N/A",0,RTD("tos.rtd",,CE$43,"."&amp;$A$43&amp;$AS$42&amp;"P"&amp;$A61))</f>
        <v>0.45</v>
      </c>
      <c r="CF61" s="83">
        <f>IF(RTD("tos.rtd",,CF$2,"."&amp;$A$43&amp;$AU$1&amp;"C"&amp;$A61)="N/A",0,RTD("tos.rtd",,CF$2,"."&amp;$A$43&amp;$AU$1&amp;"C"&amp;$A61))</f>
        <v>0.56000000000000005</v>
      </c>
      <c r="CG61" s="83">
        <f>-IF(RTD("tos.rtd",,CG$2,"."&amp;$A$43&amp;$AU$1&amp;"P"&amp;$A61)="N/A",0,RTD("tos.rtd",,CG$2,"."&amp;$A$43&amp;$AU$1&amp;"P"&amp;$A61))</f>
        <v>0.47</v>
      </c>
      <c r="CH61" s="83">
        <f>IF(RTD("tos.rtd",,CH$2,"."&amp;$A$43&amp;$AW$1&amp;"C"&amp;$A61)="N/A",0,RTD("tos.rtd",,CH$2,"."&amp;$A$43&amp;$AW$1&amp;"C"&amp;$A61))</f>
        <v>0.54</v>
      </c>
      <c r="CI61" s="83">
        <f>-IF(RTD("tos.rtd",,CI$2,"."&amp;$A$43&amp;$AW$1&amp;"P"&amp;$A61)="N/A",0,RTD("tos.rtd",,CI$2,"."&amp;$A$43&amp;$AW$1&amp;"P"&amp;$A61))</f>
        <v>0.47</v>
      </c>
      <c r="CK61" s="83">
        <f t="shared" si="285"/>
        <v>236495</v>
      </c>
      <c r="CL61" s="83"/>
      <c r="CM61" s="83">
        <f t="shared" si="286"/>
        <v>42092</v>
      </c>
      <c r="CN61" s="83"/>
      <c r="CO61" s="83">
        <f t="shared" si="287"/>
        <v>11091.000000000004</v>
      </c>
      <c r="CP61" s="83">
        <f t="shared" si="234"/>
        <v>289678</v>
      </c>
      <c r="CQ61" s="83">
        <f t="shared" si="248"/>
        <v>54661</v>
      </c>
      <c r="CR61" s="83"/>
      <c r="CS61" s="83">
        <f t="shared" si="249"/>
        <v>4992</v>
      </c>
      <c r="CT61" s="83"/>
      <c r="CU61" s="83">
        <f t="shared" si="250"/>
        <v>644</v>
      </c>
      <c r="CV61" s="83"/>
      <c r="CW61" s="83" t="e">
        <f t="shared" ca="1" si="251"/>
        <v>#NUM!</v>
      </c>
      <c r="CY61" s="83" t="e">
        <f t="shared" ca="1" si="252"/>
        <v>#NUM!</v>
      </c>
      <c r="CZ61" s="70" t="e">
        <f t="shared" ca="1" si="295"/>
        <v>#NUM!</v>
      </c>
      <c r="DA61" s="83">
        <f>IF(RTD("tos.rtd",,DA$43,"."&amp;$A$43&amp;$AS$42&amp;"C"&amp;$A61)="N/A",0,RTD("tos.rtd",,DA$43,"."&amp;$A$43&amp;$AS$42&amp;"C"&amp;$A61))</f>
        <v>0.01</v>
      </c>
      <c r="DB61" s="83">
        <f>IF(RTD("tos.rtd",,DB$43,"."&amp;$A$43&amp;$AS$42&amp;"P"&amp;$A61)="N/A",0,RTD("tos.rtd",,DB$43,"."&amp;$A$43&amp;$AS$42&amp;"P"&amp;$A61))</f>
        <v>2.4</v>
      </c>
      <c r="DC61" s="83">
        <f>IF(RTD("tos.rtd",,DC$43,"."&amp;$A$43&amp;$AS$42&amp;"C"&amp;$A61)="N/A",0,RTD("tos.rtd",,DC$43,"."&amp;$A$43&amp;$AS$42&amp;"C"&amp;$A61))</f>
        <v>0.02</v>
      </c>
      <c r="DD61" s="83">
        <f>IF(RTD("tos.rtd",,DD$43,"."&amp;$A$43&amp;$AS$42&amp;"P"&amp;$A61)="N/A",0,RTD("tos.rtd",,DD$43,"."&amp;$A$43&amp;$AS$42&amp;"P"&amp;$A61))</f>
        <v>4.46</v>
      </c>
      <c r="DE61" s="83">
        <f>IF(RTD("tos.rtd",,DE$43,"."&amp;$A$43&amp;$AS$42&amp;"C"&amp;$A61)="N/A",0,RTD("tos.rtd",,DE$43,"."&amp;$A$43&amp;$AS$42&amp;"C"&amp;$A61))</f>
        <v>0.01</v>
      </c>
      <c r="DF61" s="83">
        <f>IF(RTD("tos.rtd",,DF$43,"."&amp;$A$43&amp;$AS$42&amp;"P"&amp;$A61)="N/A",0,RTD("tos.rtd",,DF$43,"."&amp;$A$43&amp;$AS$42&amp;"P"&amp;$A61))</f>
        <v>1.21</v>
      </c>
      <c r="DG61" s="86">
        <f t="shared" si="288"/>
        <v>-0.85000000000002274</v>
      </c>
      <c r="DH61" s="83">
        <f t="shared" si="253"/>
        <v>0</v>
      </c>
      <c r="DI61" s="83">
        <f t="shared" si="254"/>
        <v>0</v>
      </c>
      <c r="DJ61" s="83">
        <f t="shared" si="255"/>
        <v>-42</v>
      </c>
      <c r="DK61" s="83">
        <f t="shared" si="256"/>
        <v>0</v>
      </c>
      <c r="DL61" s="83">
        <f t="shared" si="257"/>
        <v>0</v>
      </c>
      <c r="DM61" s="83">
        <f t="shared" si="258"/>
        <v>-42</v>
      </c>
      <c r="DN61" s="64" t="str">
        <f t="shared" si="259"/>
        <v>SELL</v>
      </c>
      <c r="DO61" s="64" t="str">
        <f t="shared" si="260"/>
        <v>UNKNOWN</v>
      </c>
      <c r="DP61" s="83">
        <f t="shared" si="261"/>
        <v>0</v>
      </c>
      <c r="DQ61" s="83">
        <f t="shared" si="262"/>
        <v>-0.42</v>
      </c>
      <c r="DR61" s="83" t="e">
        <f t="shared" ca="1" si="263"/>
        <v>#NUM!</v>
      </c>
      <c r="DS61" s="83">
        <f t="shared" si="264"/>
        <v>-42</v>
      </c>
      <c r="DT61" s="83">
        <f t="shared" si="289"/>
        <v>42</v>
      </c>
      <c r="DU61" s="83">
        <f t="shared" si="290"/>
        <v>0</v>
      </c>
      <c r="DV61" s="83">
        <f t="shared" si="265"/>
        <v>-2445</v>
      </c>
      <c r="DW61" s="83">
        <f t="shared" si="266"/>
        <v>-4477</v>
      </c>
      <c r="DX61" s="83" t="e">
        <f t="shared" ca="1" si="363"/>
        <v>#NUM!</v>
      </c>
      <c r="DY61" s="83" t="e">
        <f t="shared" ca="1" si="364"/>
        <v>#NUM!</v>
      </c>
      <c r="DZ61" s="83">
        <f t="shared" ca="1" si="365"/>
        <v>5.2871028302399203E-2</v>
      </c>
      <c r="EA61" s="83">
        <f t="shared" ca="1" si="366"/>
        <v>-2.5453746234007459E-2</v>
      </c>
      <c r="EB61" s="83">
        <f t="shared" ca="1" si="367"/>
        <v>4.8882565614603364E-2</v>
      </c>
      <c r="EC61" s="83">
        <f t="shared" ca="1" si="368"/>
        <v>-3.3936185482607496E-2</v>
      </c>
      <c r="ED61" s="63">
        <f t="shared" si="291"/>
        <v>-6922</v>
      </c>
      <c r="EE61" s="84">
        <f t="shared" si="267"/>
        <v>0.25</v>
      </c>
      <c r="EF61" s="84">
        <f t="shared" si="268"/>
        <v>2.2126999999999999</v>
      </c>
      <c r="EG61" s="84">
        <f t="shared" si="269"/>
        <v>0.188</v>
      </c>
      <c r="EH61" s="84">
        <f t="shared" si="270"/>
        <v>0.3931</v>
      </c>
      <c r="EI61" s="84">
        <f t="shared" si="271"/>
        <v>0.2036</v>
      </c>
      <c r="EJ61" s="84">
        <f t="shared" si="272"/>
        <v>0.2944</v>
      </c>
      <c r="EL61" s="83" t="str">
        <f>RTD("tos.rtd",,EL$43,"."&amp;$A$43&amp;$AS$42&amp;"C"&amp;$A61)</f>
        <v>--</v>
      </c>
      <c r="EM61" s="83" t="str">
        <f>RTD("tos.rtd",,EM$43,"."&amp;$A$43&amp;$AS$42&amp;"P"&amp;$A61)</f>
        <v>221.27%</v>
      </c>
      <c r="EN61" s="83" t="str">
        <f>RTD("tos.rtd",,EN$2,"."&amp;$A$43&amp;$AU$1&amp;"C"&amp;$A61)</f>
        <v>18.80%</v>
      </c>
      <c r="EO61" s="83" t="str">
        <f>RTD("tos.rtd",,EO$2,"."&amp;$A$43&amp;$AU$1&amp;"P"&amp;$A61)</f>
        <v>39.31%</v>
      </c>
      <c r="EP61" s="83" t="str">
        <f>RTD("tos.rtd",,EP$2,"."&amp;$A$43&amp;$AW$1&amp;"C"&amp;$A61)</f>
        <v>20.36%</v>
      </c>
      <c r="EQ61" s="83" t="str">
        <f>RTD("tos.rtd",,EQ$2,"."&amp;$A$43&amp;$AW$1&amp;"P"&amp;$A61)</f>
        <v>29.44%</v>
      </c>
      <c r="ES61" s="63" t="str">
        <f t="shared" si="273"/>
        <v>486,-6922.00</v>
      </c>
      <c r="ET61" s="64" t="str">
        <f t="shared" ca="1" si="274"/>
        <v>486,00.00</v>
      </c>
      <c r="EU61" s="68">
        <v>561.88</v>
      </c>
      <c r="EV61" s="68" t="s">
        <v>508</v>
      </c>
      <c r="EW61" s="68">
        <v>484.33</v>
      </c>
      <c r="EX61" s="68" t="s">
        <v>509</v>
      </c>
      <c r="EY61" s="68">
        <v>5632.25</v>
      </c>
      <c r="EZ61" s="68" t="s">
        <v>510</v>
      </c>
      <c r="FA61" s="68">
        <v>19895</v>
      </c>
      <c r="FB61" s="68" t="s">
        <v>511</v>
      </c>
      <c r="FC61" s="68" t="s">
        <v>512</v>
      </c>
      <c r="FD61" s="68" t="s">
        <v>513</v>
      </c>
      <c r="FE61" s="68" t="s">
        <v>514</v>
      </c>
      <c r="FF61" s="68" t="s">
        <v>515</v>
      </c>
    </row>
    <row r="62" spans="1:162" ht="13.5" thickBot="1" x14ac:dyDescent="0.25">
      <c r="A62" s="2">
        <f t="shared" si="292"/>
        <v>485</v>
      </c>
      <c r="B62" s="33">
        <f t="shared" si="240"/>
        <v>8543</v>
      </c>
      <c r="C62" s="33">
        <f t="shared" si="241"/>
        <v>24441</v>
      </c>
      <c r="D62" s="33">
        <f t="shared" si="242"/>
        <v>41768</v>
      </c>
      <c r="E62" s="33">
        <f t="shared" si="243"/>
        <v>74752</v>
      </c>
      <c r="F62" s="4">
        <f t="shared" si="296"/>
        <v>20019.636438328027</v>
      </c>
      <c r="AM62" s="1">
        <v>5565</v>
      </c>
      <c r="AN62" s="1">
        <v>801</v>
      </c>
      <c r="AO62" s="1">
        <v>485</v>
      </c>
      <c r="AP62" s="1">
        <v>129033</v>
      </c>
      <c r="AQ62" s="1">
        <v>-7730</v>
      </c>
      <c r="AS62" s="13">
        <f>IF(RTD("tos.rtd",,AS$43,"."&amp;$A$43&amp;$AS$42&amp;"C"&amp;$A62)="N/A",0,RTD("tos.rtd",,AS$43,"."&amp;$A$43&amp;$AS$42&amp;"C"&amp;$A62))</f>
        <v>6154</v>
      </c>
      <c r="AT62" s="29">
        <f>-IF(RTD("tos.rtd",,AT$43,"."&amp;$A$43&amp;$AS$42&amp;"P"&amp;$A62)="N/A",0,RTD("tos.rtd",,AT$43,"."&amp;$A$43&amp;$AS$42&amp;"P"&amp;$A62))</f>
        <v>-2389</v>
      </c>
      <c r="AU62" s="13">
        <f>IF(RTD("tos.rtd",,AU$2,"."&amp;$A$43&amp;$AU$1&amp;"C"&amp;$A62)="N/A",0,RTD("tos.rtd",,AU$2,"."&amp;$A$43&amp;$AU$1&amp;"C"&amp;$A62))</f>
        <v>14304</v>
      </c>
      <c r="AV62" s="29">
        <f>-IF(RTD("tos.rtd",,AV$2,"."&amp;$A$43&amp;$AU$1&amp;"P"&amp;$A62)="N/A",0,RTD("tos.rtd",,AV$2,"."&amp;$A$43&amp;$AU$1&amp;"P"&amp;$A62))</f>
        <v>-10137</v>
      </c>
      <c r="AW62" s="13">
        <f>IF(RTD("tos.rtd",,AW$2,"."&amp;$A$43&amp;$AW$1&amp;"C"&amp;$A62)="N/A",0,RTD("tos.rtd",,AW$2,"."&amp;$A$43&amp;$AW$1&amp;"C"&amp;$A62))</f>
        <v>27699</v>
      </c>
      <c r="AX62" s="29">
        <f>-IF(RTD("tos.rtd",,AX$2,"."&amp;$A$43&amp;$AW$1&amp;"P"&amp;$A62)="N/A",0,RTD("tos.rtd",,AX$2,"."&amp;$A$43&amp;$AW$1&amp;"P"&amp;$A62))</f>
        <v>-14069</v>
      </c>
      <c r="AY62" s="7">
        <f t="shared" si="275"/>
        <v>21562</v>
      </c>
      <c r="AZ62" s="8">
        <f t="shared" si="244"/>
        <v>485</v>
      </c>
      <c r="BA62" s="13">
        <f>IF(RTD("tos.rtd",,BA$43,"."&amp;$A$43&amp;$AS$42&amp;"C"&amp;$A62)="N/A",0,RTD("tos.rtd",,BA$43,"."&amp;$A$43&amp;$AS$42&amp;"C"&amp;$A62))</f>
        <v>129656</v>
      </c>
      <c r="BB62" s="29">
        <f>-IF(RTD("tos.rtd",,BB$43,"."&amp;$A$43&amp;$AS$42&amp;"P"&amp;$A62)="N/A",0,RTD("tos.rtd",,BB$43,"."&amp;$A$43&amp;$AS$42&amp;"P"&amp;$A62))</f>
        <v>-7730</v>
      </c>
      <c r="BC62" s="13">
        <f>IF(RTD("tos.rtd",,BC$2,"."&amp;$A$43&amp;$AU$1&amp;"C"&amp;$A62)="N/A",0,RTD("tos.rtd",,BC$2,"."&amp;$A$43&amp;$AU$1&amp;"C"&amp;$A62))</f>
        <v>29506</v>
      </c>
      <c r="BD62" s="29">
        <f>-IF(RTD("tos.rtd",,BD$2,"."&amp;$A$43&amp;$AU$1&amp;"P"&amp;$A62)="N/A",0,RTD("tos.rtd",,BD$2,"."&amp;$A$43&amp;$AU$1&amp;"P"&amp;$A62))</f>
        <v>-5241</v>
      </c>
      <c r="BE62" s="13">
        <f>IF(RTD("tos.rtd",,BE$2,"."&amp;$A$43&amp;$AW$1&amp;"C"&amp;$A62)="N/A",0,RTD("tos.rtd",,BE$2,"."&amp;$A$43&amp;$AW$1&amp;"C"&amp;$A62))</f>
        <v>4668</v>
      </c>
      <c r="BF62" s="29">
        <f>-IF(RTD("tos.rtd",,BF$2,"."&amp;$A$43&amp;$AW$1&amp;"P"&amp;$A62)="N/A",0,RTD("tos.rtd",,BF$2,"."&amp;$A$43&amp;$AW$1&amp;"P"&amp;$A62))</f>
        <v>-8081</v>
      </c>
      <c r="BG62" s="100">
        <f ca="1">+Hoja2!Y63</f>
        <v>1748</v>
      </c>
      <c r="BH62" s="7">
        <f t="shared" ca="1" si="276"/>
        <v>144526</v>
      </c>
      <c r="BI62" s="8" t="str">
        <f t="shared" ca="1" si="293"/>
        <v/>
      </c>
      <c r="BJ62" s="83" t="e">
        <f ca="1">IF($BP$1=1,DX62,IF(RTD("tos.rtd",,BJ$43,"."&amp;$A$43&amp;$AS$42&amp;"C"&amp;$A62)="N/A",0,RTD("tos.rtd",,BJ$43,"."&amp;$A$43&amp;$AS$42&amp;"C"&amp;$A62)))</f>
        <v>#NUM!</v>
      </c>
      <c r="BK62" s="83" t="e">
        <f ca="1">IF($BP$1=1,DY62,-IF(RTD("tos.rtd",,BK$43,"."&amp;$A$43&amp;$AS$42&amp;"P"&amp;$A62)="N/A",0,RTD("tos.rtd",,BK$43,"."&amp;$A$43&amp;$AS$42&amp;"P"&amp;$A62)))</f>
        <v>#NUM!</v>
      </c>
      <c r="BL62" s="83">
        <f ca="1">IF($BP$1=1,DZ62,IF(RTD("tos.rtd",,BL$2,"."&amp;$A$43&amp;$AU$1&amp;"C"&amp;$A62)="N/A",0,RTD("tos.rtd",,BL$2,"."&amp;$A$43&amp;$AU$1&amp;"C"&amp;$A62)))</f>
        <v>5.3563741759525184E-2</v>
      </c>
      <c r="BM62" s="83">
        <f ca="1">IF($BP$1=1,EA62,-IF(RTD("tos.rtd",,BM$2,"."&amp;$A$43&amp;$AU$1&amp;"P"&amp;$A62)="N/A",0,RTD("tos.rtd",,BM$2,"."&amp;$A$43&amp;$AU$1&amp;"P"&amp;$A62)))</f>
        <v>-2.5605824111116712E-2</v>
      </c>
      <c r="BN62" s="83">
        <f ca="1">IF($BP$1=1,EB62,IF(RTD("tos.rtd",,BN$2,"."&amp;$A$43&amp;$AW$1&amp;"C"&amp;$A62)="N/A",0,RTD("tos.rtd",,BN$2,"."&amp;$A$43&amp;$AW$1&amp;"C"&amp;$A62)))</f>
        <v>4.7820103443256406E-2</v>
      </c>
      <c r="BO62" s="83">
        <f ca="1">IF($BP$1=1,EC62,-IF(RTD("tos.rtd",,BO$2,"."&amp;$A$43&amp;$AW$1&amp;"P"&amp;$A62)="N/A",0,RTD("tos.rtd",,BO$2,"."&amp;$A$43&amp;$AW$1&amp;"P"&amp;$A62)))</f>
        <v>-3.3511589208081373E-2</v>
      </c>
      <c r="BQ62" s="83" t="e">
        <f t="shared" ca="1" si="277"/>
        <v>#NUM!</v>
      </c>
      <c r="BR62" s="3" t="e">
        <f t="shared" ca="1" si="278"/>
        <v>#NUM!</v>
      </c>
      <c r="BS62" s="83">
        <f t="shared" ca="1" si="279"/>
        <v>120078069.73477794</v>
      </c>
      <c r="BT62" s="3" t="str">
        <f t="shared" ca="1" si="280"/>
        <v/>
      </c>
      <c r="BU62" s="83">
        <f t="shared" ca="1" si="281"/>
        <v>202202950.77798495</v>
      </c>
      <c r="BV62" s="83"/>
      <c r="BX62" s="83" t="e">
        <f t="shared" ca="1" si="282"/>
        <v>#NUM!</v>
      </c>
      <c r="BY62" s="83" t="e">
        <f t="shared" ca="1" si="294"/>
        <v>#NUM!</v>
      </c>
      <c r="BZ62" s="83">
        <f t="shared" ca="1" si="283"/>
        <v>342794790.42829674</v>
      </c>
      <c r="CA62" s="83" t="str">
        <f t="shared" ca="1" si="294"/>
        <v/>
      </c>
      <c r="CB62" s="83">
        <f t="shared" ca="1" si="284"/>
        <v>-11278240.274863578</v>
      </c>
      <c r="CC62" s="83" t="str">
        <f t="shared" ca="1" si="294"/>
        <v>Cruce -</v>
      </c>
      <c r="CD62" s="83">
        <f>IF(RTD("tos.rtd",,CD$43,"."&amp;$A$43&amp;$AS$42&amp;"C"&amp;$A62)="N/A",0,RTD("tos.rtd",,CD$43,"."&amp;$A$43&amp;$AS$42&amp;"C"&amp;$A62))</f>
        <v>1</v>
      </c>
      <c r="CE62" s="83">
        <f>-IF(RTD("tos.rtd",,CE$43,"."&amp;$A$43&amp;$AS$42&amp;"P"&amp;$A62)="N/A",0,RTD("tos.rtd",,CE$43,"."&amp;$A$43&amp;$AS$42&amp;"P"&amp;$A62))</f>
        <v>0.34</v>
      </c>
      <c r="CF62" s="83">
        <f>IF(RTD("tos.rtd",,CF$2,"."&amp;$A$43&amp;$AU$1&amp;"C"&amp;$A62)="N/A",0,RTD("tos.rtd",,CF$2,"."&amp;$A$43&amp;$AU$1&amp;"C"&amp;$A62))</f>
        <v>0.63</v>
      </c>
      <c r="CG62" s="83">
        <f>-IF(RTD("tos.rtd",,CG$2,"."&amp;$A$43&amp;$AU$1&amp;"P"&amp;$A62)="N/A",0,RTD("tos.rtd",,CG$2,"."&amp;$A$43&amp;$AU$1&amp;"P"&amp;$A62))</f>
        <v>0.44</v>
      </c>
      <c r="CH62" s="83">
        <f>IF(RTD("tos.rtd",,CH$2,"."&amp;$A$43&amp;$AW$1&amp;"C"&amp;$A62)="N/A",0,RTD("tos.rtd",,CH$2,"."&amp;$A$43&amp;$AW$1&amp;"C"&amp;$A62))</f>
        <v>0.56999999999999995</v>
      </c>
      <c r="CI62" s="83">
        <f>-IF(RTD("tos.rtd",,CI$2,"."&amp;$A$43&amp;$AW$1&amp;"P"&amp;$A62)="N/A",0,RTD("tos.rtd",,CI$2,"."&amp;$A$43&amp;$AW$1&amp;"P"&amp;$A62))</f>
        <v>0.45</v>
      </c>
      <c r="CK62" s="83">
        <f t="shared" si="285"/>
        <v>534174</v>
      </c>
      <c r="CL62" s="83"/>
      <c r="CM62" s="83">
        <f t="shared" si="286"/>
        <v>455124</v>
      </c>
      <c r="CN62" s="83"/>
      <c r="CO62" s="83">
        <f t="shared" si="287"/>
        <v>945737.99999999977</v>
      </c>
      <c r="CP62" s="83">
        <f t="shared" si="234"/>
        <v>1935035.9999999998</v>
      </c>
      <c r="CQ62" s="83">
        <f t="shared" si="248"/>
        <v>121926</v>
      </c>
      <c r="CR62" s="83"/>
      <c r="CS62" s="83">
        <f t="shared" si="249"/>
        <v>24265</v>
      </c>
      <c r="CT62" s="83"/>
      <c r="CU62" s="83">
        <f t="shared" si="250"/>
        <v>-3413</v>
      </c>
      <c r="CV62" s="83"/>
      <c r="CW62" s="83" t="e">
        <f t="shared" ca="1" si="251"/>
        <v>#NUM!</v>
      </c>
      <c r="CY62" s="83" t="e">
        <f t="shared" ca="1" si="252"/>
        <v>#NUM!</v>
      </c>
      <c r="CZ62" s="70" t="e">
        <f t="shared" ca="1" si="295"/>
        <v>#NUM!</v>
      </c>
      <c r="DA62" s="83">
        <f>IF(RTD("tos.rtd",,DA$43,"."&amp;$A$43&amp;$AS$42&amp;"C"&amp;$A62)="N/A",0,RTD("tos.rtd",,DA$43,"."&amp;$A$43&amp;$AS$42&amp;"C"&amp;$A62))</f>
        <v>0.05</v>
      </c>
      <c r="DB62" s="83">
        <f>IF(RTD("tos.rtd",,DB$43,"."&amp;$A$43&amp;$AS$42&amp;"P"&amp;$A62)="N/A",0,RTD("tos.rtd",,DB$43,"."&amp;$A$43&amp;$AS$42&amp;"P"&amp;$A62))</f>
        <v>1.62</v>
      </c>
      <c r="DC62" s="83">
        <f>IF(RTD("tos.rtd",,DC$43,"."&amp;$A$43&amp;$AS$42&amp;"C"&amp;$A62)="N/A",0,RTD("tos.rtd",,DC$43,"."&amp;$A$43&amp;$AS$42&amp;"C"&amp;$A62))</f>
        <v>0.08</v>
      </c>
      <c r="DD62" s="83">
        <f>IF(RTD("tos.rtd",,DD$43,"."&amp;$A$43&amp;$AS$42&amp;"P"&amp;$A62)="N/A",0,RTD("tos.rtd",,DD$43,"."&amp;$A$43&amp;$AS$42&amp;"P"&amp;$A62))</f>
        <v>1.1200000000000001</v>
      </c>
      <c r="DE62" s="83">
        <f>IF(RTD("tos.rtd",,DE$43,"."&amp;$A$43&amp;$AS$42&amp;"C"&amp;$A62)="N/A",0,RTD("tos.rtd",,DE$43,"."&amp;$A$43&amp;$AS$42&amp;"C"&amp;$A62))</f>
        <v>0.05</v>
      </c>
      <c r="DF62" s="83">
        <f>IF(RTD("tos.rtd",,DF$43,"."&amp;$A$43&amp;$AS$42&amp;"P"&amp;$A62)="N/A",0,RTD("tos.rtd",,DF$43,"."&amp;$A$43&amp;$AS$42&amp;"P"&amp;$A62))</f>
        <v>0.96</v>
      </c>
      <c r="DG62" s="86">
        <f t="shared" si="288"/>
        <v>-1.8500000000000227</v>
      </c>
      <c r="DH62" s="83">
        <f t="shared" si="253"/>
        <v>0</v>
      </c>
      <c r="DI62" s="83">
        <f t="shared" si="254"/>
        <v>0</v>
      </c>
      <c r="DJ62" s="83">
        <f t="shared" si="255"/>
        <v>-623</v>
      </c>
      <c r="DK62" s="83">
        <f t="shared" si="256"/>
        <v>0</v>
      </c>
      <c r="DL62" s="83">
        <f t="shared" si="257"/>
        <v>0</v>
      </c>
      <c r="DM62" s="83">
        <f t="shared" si="258"/>
        <v>-623</v>
      </c>
      <c r="DN62" s="64" t="str">
        <f t="shared" si="259"/>
        <v>SELL</v>
      </c>
      <c r="DO62" s="64" t="str">
        <f t="shared" si="260"/>
        <v>UNKNOWN</v>
      </c>
      <c r="DP62" s="83">
        <f t="shared" si="261"/>
        <v>0</v>
      </c>
      <c r="DQ62" s="83">
        <f t="shared" si="262"/>
        <v>-31.150000000000002</v>
      </c>
      <c r="DR62" s="83" t="e">
        <f t="shared" ca="1" si="263"/>
        <v>#NUM!</v>
      </c>
      <c r="DS62" s="83">
        <f t="shared" si="264"/>
        <v>-623</v>
      </c>
      <c r="DT62" s="83">
        <f t="shared" si="289"/>
        <v>623</v>
      </c>
      <c r="DU62" s="83">
        <f t="shared" si="290"/>
        <v>0</v>
      </c>
      <c r="DV62" s="83">
        <f t="shared" si="265"/>
        <v>4942</v>
      </c>
      <c r="DW62" s="83">
        <f t="shared" si="266"/>
        <v>801</v>
      </c>
      <c r="DX62" s="83" t="e">
        <f t="shared" ca="1" si="363"/>
        <v>#NUM!</v>
      </c>
      <c r="DY62" s="83" t="e">
        <f t="shared" ca="1" si="364"/>
        <v>#NUM!</v>
      </c>
      <c r="DZ62" s="83">
        <f t="shared" ca="1" si="365"/>
        <v>5.3563741759525184E-2</v>
      </c>
      <c r="EA62" s="83">
        <f t="shared" ca="1" si="366"/>
        <v>-2.5605824111116712E-2</v>
      </c>
      <c r="EB62" s="83">
        <f t="shared" ca="1" si="367"/>
        <v>4.7820103443256406E-2</v>
      </c>
      <c r="EC62" s="83">
        <f t="shared" ca="1" si="368"/>
        <v>-3.3511589208081373E-2</v>
      </c>
      <c r="ED62" s="63">
        <f t="shared" si="291"/>
        <v>5743</v>
      </c>
      <c r="EE62" s="84">
        <f t="shared" si="267"/>
        <v>0.25</v>
      </c>
      <c r="EF62" s="84">
        <f t="shared" si="268"/>
        <v>1.2417</v>
      </c>
      <c r="EG62" s="84">
        <f t="shared" si="269"/>
        <v>0.1799</v>
      </c>
      <c r="EH62" s="84">
        <f t="shared" si="270"/>
        <v>0.38790000000000002</v>
      </c>
      <c r="EI62" s="84">
        <f t="shared" si="271"/>
        <v>0.20319999999999999</v>
      </c>
      <c r="EJ62" s="84">
        <f t="shared" si="272"/>
        <v>0.29459999999999997</v>
      </c>
      <c r="EL62" s="83" t="str">
        <f>RTD("tos.rtd",,EL$43,"."&amp;$A$43&amp;$AS$42&amp;"C"&amp;$A62)</f>
        <v>--</v>
      </c>
      <c r="EM62" s="83" t="str">
        <f>RTD("tos.rtd",,EM$43,"."&amp;$A$43&amp;$AS$42&amp;"P"&amp;$A62)</f>
        <v>124.17%</v>
      </c>
      <c r="EN62" s="83" t="str">
        <f>RTD("tos.rtd",,EN$2,"."&amp;$A$43&amp;$AU$1&amp;"C"&amp;$A62)</f>
        <v>17.99%</v>
      </c>
      <c r="EO62" s="83" t="str">
        <f>RTD("tos.rtd",,EO$2,"."&amp;$A$43&amp;$AU$1&amp;"P"&amp;$A62)</f>
        <v>38.79%</v>
      </c>
      <c r="EP62" s="83" t="str">
        <f>RTD("tos.rtd",,EP$2,"."&amp;$A$43&amp;$AW$1&amp;"C"&amp;$A62)</f>
        <v>20.32%</v>
      </c>
      <c r="EQ62" s="83" t="str">
        <f>RTD("tos.rtd",,EQ$2,"."&amp;$A$43&amp;$AW$1&amp;"P"&amp;$A62)</f>
        <v>29.46%</v>
      </c>
      <c r="ES62" s="63" t="str">
        <f t="shared" si="273"/>
        <v>485,5743.00</v>
      </c>
      <c r="ET62" s="64" t="str">
        <f t="shared" ca="1" si="274"/>
        <v>485,00.00</v>
      </c>
      <c r="EU62" s="68">
        <v>561.96</v>
      </c>
      <c r="EV62" s="68" t="s">
        <v>516</v>
      </c>
      <c r="EW62" s="68">
        <v>484.42</v>
      </c>
      <c r="EX62" s="68" t="s">
        <v>517</v>
      </c>
      <c r="EY62" s="68">
        <v>5633</v>
      </c>
      <c r="EZ62" s="68" t="s">
        <v>518</v>
      </c>
      <c r="FA62" s="68">
        <v>19898</v>
      </c>
      <c r="FB62" s="68" t="s">
        <v>519</v>
      </c>
      <c r="FC62" s="68" t="s">
        <v>520</v>
      </c>
      <c r="FD62" s="68" t="s">
        <v>521</v>
      </c>
      <c r="FE62" s="68" t="s">
        <v>522</v>
      </c>
      <c r="FF62" s="68" t="s">
        <v>523</v>
      </c>
    </row>
    <row r="63" spans="1:162" ht="13.5" thickBot="1" x14ac:dyDescent="0.25">
      <c r="A63" s="2">
        <f t="shared" si="292"/>
        <v>484</v>
      </c>
      <c r="B63" s="3">
        <f t="shared" si="240"/>
        <v>5182</v>
      </c>
      <c r="C63" s="3">
        <f t="shared" si="241"/>
        <v>3452</v>
      </c>
      <c r="D63" s="3">
        <f t="shared" si="242"/>
        <v>2061</v>
      </c>
      <c r="E63" s="3">
        <f t="shared" si="243"/>
        <v>10695</v>
      </c>
      <c r="F63" s="4">
        <f>+$F$44/$A$44*A63</f>
        <v>19978.358837424257</v>
      </c>
      <c r="AM63" s="1">
        <v>-4284</v>
      </c>
      <c r="AN63" s="1">
        <v>3224</v>
      </c>
      <c r="AO63" s="1">
        <v>484</v>
      </c>
      <c r="AP63" s="1">
        <v>130847</v>
      </c>
      <c r="AQ63" s="1">
        <v>-22612</v>
      </c>
      <c r="AS63" s="6">
        <f>IF(RTD("tos.rtd",,AS$43,"."&amp;$A$43&amp;$AS$42&amp;"C"&amp;$A63)="N/A",0,RTD("tos.rtd",,AS$43,"."&amp;$A$43&amp;$AS$42&amp;"C"&amp;$A63))</f>
        <v>3590</v>
      </c>
      <c r="AT63" s="7">
        <f>-IF(RTD("tos.rtd",,AT$43,"."&amp;$A$43&amp;$AS$42&amp;"P"&amp;$A63)="N/A",0,RTD("tos.rtd",,AT$43,"."&amp;$A$43&amp;$AS$42&amp;"P"&amp;$A63))</f>
        <v>-1592</v>
      </c>
      <c r="AU63" s="6">
        <f>IF(RTD("tos.rtd",,AU$2,"."&amp;$A$43&amp;$AU$1&amp;"C"&amp;$A63)="N/A",0,RTD("tos.rtd",,AU$2,"."&amp;$A$43&amp;$AU$1&amp;"C"&amp;$A63))</f>
        <v>1253</v>
      </c>
      <c r="AV63" s="7">
        <f>-IF(RTD("tos.rtd",,AV$2,"."&amp;$A$43&amp;$AU$1&amp;"P"&amp;$A63)="N/A",0,RTD("tos.rtd",,AV$2,"."&amp;$A$43&amp;$AU$1&amp;"P"&amp;$A63))</f>
        <v>-2199</v>
      </c>
      <c r="AW63" s="6">
        <f>IF(RTD("tos.rtd",,AW$2,"."&amp;$A$43&amp;$AW$1&amp;"C"&amp;$A63)="N/A",0,RTD("tos.rtd",,AW$2,"."&amp;$A$43&amp;$AW$1&amp;"C"&amp;$A63))</f>
        <v>1371</v>
      </c>
      <c r="AX63" s="7">
        <f>-IF(RTD("tos.rtd",,AX$2,"."&amp;$A$43&amp;$AW$1&amp;"P"&amp;$A63)="N/A",0,RTD("tos.rtd",,AX$2,"."&amp;$A$43&amp;$AW$1&amp;"P"&amp;$A63))</f>
        <v>-690</v>
      </c>
      <c r="AY63" s="7">
        <f t="shared" si="275"/>
        <v>1733</v>
      </c>
      <c r="AZ63" s="8">
        <f t="shared" si="244"/>
        <v>484</v>
      </c>
      <c r="BA63" s="6">
        <f>IF(RTD("tos.rtd",,BA$43,"."&amp;$A$43&amp;$AS$42&amp;"C"&amp;$A63)="N/A",0,RTD("tos.rtd",,BA$43,"."&amp;$A$43&amp;$AS$42&amp;"C"&amp;$A63))</f>
        <v>131210</v>
      </c>
      <c r="BB63" s="7">
        <f>-IF(RTD("tos.rtd",,BB$43,"."&amp;$A$43&amp;$AS$42&amp;"P"&amp;$A63)="N/A",0,RTD("tos.rtd",,BB$43,"."&amp;$A$43&amp;$AS$42&amp;"P"&amp;$A63))</f>
        <v>-22627</v>
      </c>
      <c r="BC63" s="6">
        <f>IF(RTD("tos.rtd",,BC$2,"."&amp;$A$43&amp;$AU$1&amp;"C"&amp;$A63)="N/A",0,RTD("tos.rtd",,BC$2,"."&amp;$A$43&amp;$AU$1&amp;"C"&amp;$A63))</f>
        <v>7302</v>
      </c>
      <c r="BD63" s="7">
        <f>-IF(RTD("tos.rtd",,BD$2,"."&amp;$A$43&amp;$AU$1&amp;"P"&amp;$A63)="N/A",0,RTD("tos.rtd",,BD$2,"."&amp;$A$43&amp;$AU$1&amp;"P"&amp;$A63))</f>
        <v>-3028</v>
      </c>
      <c r="BE63" s="6">
        <f>IF(RTD("tos.rtd",,BE$2,"."&amp;$A$43&amp;$AW$1&amp;"C"&amp;$A63)="N/A",0,RTD("tos.rtd",,BE$2,"."&amp;$A$43&amp;$AW$1&amp;"C"&amp;$A63))</f>
        <v>638</v>
      </c>
      <c r="BF63" s="7">
        <f>-IF(RTD("tos.rtd",,BF$2,"."&amp;$A$43&amp;$AW$1&amp;"P"&amp;$A63)="N/A",0,RTD("tos.rtd",,BF$2,"."&amp;$A$43&amp;$AW$1&amp;"P"&amp;$A63))</f>
        <v>-465</v>
      </c>
      <c r="BG63" s="32">
        <f ca="1">+Hoja2!Y64</f>
        <v>-140</v>
      </c>
      <c r="BH63" s="7">
        <f t="shared" ca="1" si="276"/>
        <v>112890</v>
      </c>
      <c r="BI63" s="8" t="str">
        <f t="shared" ca="1" si="293"/>
        <v/>
      </c>
      <c r="BJ63" s="83" t="e">
        <f ca="1">IF($BP$1=1,DX63,IF(RTD("tos.rtd",,BJ$43,"."&amp;$A$43&amp;$AS$42&amp;"C"&amp;$A63)="N/A",0,RTD("tos.rtd",,BJ$43,"."&amp;$A$43&amp;$AS$42&amp;"C"&amp;$A63)))</f>
        <v>#NUM!</v>
      </c>
      <c r="BK63" s="83" t="e">
        <f ca="1">IF($BP$1=1,DY63,-IF(RTD("tos.rtd",,BK$43,"."&amp;$A$43&amp;$AS$42&amp;"P"&amp;$A63)="N/A",0,RTD("tos.rtd",,BK$43,"."&amp;$A$43&amp;$AS$42&amp;"P"&amp;$A63)))</f>
        <v>#NUM!</v>
      </c>
      <c r="BL63" s="83">
        <f ca="1">IF($BP$1=1,DZ63,IF(RTD("tos.rtd",,BL$2,"."&amp;$A$43&amp;$AU$1&amp;"C"&amp;$A63)="N/A",0,RTD("tos.rtd",,BL$2,"."&amp;$A$43&amp;$AU$1&amp;"C"&amp;$A63)))</f>
        <v>5.3429861080772093E-2</v>
      </c>
      <c r="BM63" s="83">
        <f ca="1">IF($BP$1=1,EA63,-IF(RTD("tos.rtd",,BM$2,"."&amp;$A$43&amp;$AU$1&amp;"P"&amp;$A63)="N/A",0,RTD("tos.rtd",,BM$2,"."&amp;$A$43&amp;$AU$1&amp;"P"&amp;$A63)))</f>
        <v>-2.5482026176279798E-2</v>
      </c>
      <c r="BN63" s="83">
        <f ca="1">IF($BP$1=1,EB63,IF(RTD("tos.rtd",,BN$2,"."&amp;$A$43&amp;$AW$1&amp;"C"&amp;$A63)="N/A",0,RTD("tos.rtd",,BN$2,"."&amp;$A$43&amp;$AW$1&amp;"C"&amp;$A63)))</f>
        <v>4.5971455020255847E-2</v>
      </c>
      <c r="BO63" s="83">
        <f ca="1">IF($BP$1=1,EC63,-IF(RTD("tos.rtd",,BO$2,"."&amp;$A$43&amp;$AW$1&amp;"P"&amp;$A63)="N/A",0,RTD("tos.rtd",,BO$2,"."&amp;$A$43&amp;$AW$1&amp;"P"&amp;$A63)))</f>
        <v>-3.2839828282598856E-2</v>
      </c>
      <c r="BQ63" s="83" t="e">
        <f t="shared" ca="1" si="277"/>
        <v>#NUM!</v>
      </c>
      <c r="BR63" s="3" t="e">
        <f t="shared" ca="1" si="278"/>
        <v>#NUM!</v>
      </c>
      <c r="BS63" s="83">
        <f t="shared" ca="1" si="279"/>
        <v>2586545.9132975955</v>
      </c>
      <c r="BT63" s="3" t="str">
        <f t="shared" ca="1" si="280"/>
        <v/>
      </c>
      <c r="BU63" s="83">
        <f t="shared" ca="1" si="281"/>
        <v>9567995.1676573828</v>
      </c>
      <c r="BV63" s="83"/>
      <c r="BX63" s="83" t="e">
        <f t="shared" ca="1" si="282"/>
        <v>#NUM!</v>
      </c>
      <c r="BY63" s="83" t="e">
        <f t="shared" ca="1" si="294"/>
        <v>#NUM!</v>
      </c>
      <c r="BZ63" s="83">
        <f t="shared" ca="1" si="283"/>
        <v>74184683.477814957</v>
      </c>
      <c r="CA63" s="83" t="str">
        <f t="shared" ca="1" si="294"/>
        <v/>
      </c>
      <c r="CB63" s="83">
        <f t="shared" ca="1" si="284"/>
        <v>3332368.825483202</v>
      </c>
      <c r="CC63" s="83" t="str">
        <f t="shared" ca="1" si="294"/>
        <v>Cruce +</v>
      </c>
      <c r="CD63" s="83">
        <f>IF(RTD("tos.rtd",,CD$43,"."&amp;$A$43&amp;$AS$42&amp;"C"&amp;$A63)="N/A",0,RTD("tos.rtd",,CD$43,"."&amp;$A$43&amp;$AS$42&amp;"C"&amp;$A63))</f>
        <v>1</v>
      </c>
      <c r="CE63" s="83">
        <f>-IF(RTD("tos.rtd",,CE$43,"."&amp;$A$43&amp;$AS$42&amp;"P"&amp;$A63)="N/A",0,RTD("tos.rtd",,CE$43,"."&amp;$A$43&amp;$AS$42&amp;"P"&amp;$A63))</f>
        <v>0.19</v>
      </c>
      <c r="CF63" s="83">
        <f>IF(RTD("tos.rtd",,CF$2,"."&amp;$A$43&amp;$AU$1&amp;"C"&amp;$A63)="N/A",0,RTD("tos.rtd",,CF$2,"."&amp;$A$43&amp;$AU$1&amp;"C"&amp;$A63))</f>
        <v>0.7</v>
      </c>
      <c r="CG63" s="83">
        <f>-IF(RTD("tos.rtd",,CG$2,"."&amp;$A$43&amp;$AU$1&amp;"P"&amp;$A63)="N/A",0,RTD("tos.rtd",,CG$2,"."&amp;$A$43&amp;$AU$1&amp;"P"&amp;$A63))</f>
        <v>0.4</v>
      </c>
      <c r="CH63" s="83">
        <f>IF(RTD("tos.rtd",,CH$2,"."&amp;$A$43&amp;$AW$1&amp;"C"&amp;$A63)="N/A",0,RTD("tos.rtd",,CH$2,"."&amp;$A$43&amp;$AW$1&amp;"C"&amp;$A63))</f>
        <v>0.59</v>
      </c>
      <c r="CI63" s="83">
        <f>-IF(RTD("tos.rtd",,CI$2,"."&amp;$A$43&amp;$AW$1&amp;"P"&amp;$A63)="N/A",0,RTD("tos.rtd",,CI$2,"."&amp;$A$43&amp;$AW$1&amp;"P"&amp;$A63))</f>
        <v>0.43</v>
      </c>
      <c r="CK63" s="83">
        <f t="shared" si="285"/>
        <v>328752</v>
      </c>
      <c r="CL63" s="83"/>
      <c r="CM63" s="83">
        <f t="shared" si="286"/>
        <v>-250.00000000001455</v>
      </c>
      <c r="CN63" s="83"/>
      <c r="CO63" s="83">
        <f t="shared" si="287"/>
        <v>51219</v>
      </c>
      <c r="CP63" s="83">
        <f t="shared" si="234"/>
        <v>379721</v>
      </c>
      <c r="CQ63" s="83">
        <f t="shared" si="248"/>
        <v>108583</v>
      </c>
      <c r="CR63" s="83"/>
      <c r="CS63" s="83">
        <f t="shared" si="249"/>
        <v>4274</v>
      </c>
      <c r="CT63" s="83"/>
      <c r="CU63" s="83">
        <f t="shared" si="250"/>
        <v>173</v>
      </c>
      <c r="CV63" s="83"/>
      <c r="CW63" s="83" t="e">
        <f t="shared" ca="1" si="251"/>
        <v>#NUM!</v>
      </c>
      <c r="CY63" s="83" t="e">
        <f t="shared" ca="1" si="252"/>
        <v>#NUM!</v>
      </c>
      <c r="CZ63" s="70" t="e">
        <f t="shared" ca="1" si="295"/>
        <v>#NUM!</v>
      </c>
      <c r="DA63" s="83">
        <f>IF(RTD("tos.rtd",,DA$43,"."&amp;$A$43&amp;$AS$42&amp;"C"&amp;$A63)="N/A",0,RTD("tos.rtd",,DA$43,"."&amp;$A$43&amp;$AS$42&amp;"C"&amp;$A63))</f>
        <v>0.34</v>
      </c>
      <c r="DB63" s="83">
        <f>IF(RTD("tos.rtd",,DB$43,"."&amp;$A$43&amp;$AS$42&amp;"P"&amp;$A63)="N/A",0,RTD("tos.rtd",,DB$43,"."&amp;$A$43&amp;$AS$42&amp;"P"&amp;$A63))</f>
        <v>0.3</v>
      </c>
      <c r="DC63" s="83">
        <f>IF(RTD("tos.rtd",,DC$43,"."&amp;$A$43&amp;$AS$42&amp;"C"&amp;$A63)="N/A",0,RTD("tos.rtd",,DC$43,"."&amp;$A$43&amp;$AS$42&amp;"C"&amp;$A63))</f>
        <v>0.4</v>
      </c>
      <c r="DD63" s="83">
        <f>IF(RTD("tos.rtd",,DD$43,"."&amp;$A$43&amp;$AS$42&amp;"P"&amp;$A63)="N/A",0,RTD("tos.rtd",,DD$43,"."&amp;$A$43&amp;$AS$42&amp;"P"&amp;$A63))</f>
        <v>0.38</v>
      </c>
      <c r="DE63" s="83">
        <f>IF(RTD("tos.rtd",,DE$43,"."&amp;$A$43&amp;$AS$42&amp;"C"&amp;$A63)="N/A",0,RTD("tos.rtd",,DE$43,"."&amp;$A$43&amp;$AS$42&amp;"C"&amp;$A63))</f>
        <v>0.35</v>
      </c>
      <c r="DF63" s="83">
        <f>IF(RTD("tos.rtd",,DF$43,"."&amp;$A$43&amp;$AS$42&amp;"P"&amp;$A63)="N/A",0,RTD("tos.rtd",,DF$43,"."&amp;$A$43&amp;$AS$42&amp;"P"&amp;$A63))</f>
        <v>0.32</v>
      </c>
      <c r="DG63" s="86">
        <f t="shared" si="288"/>
        <v>-2.8500000000000227</v>
      </c>
      <c r="DH63" s="83">
        <f t="shared" si="253"/>
        <v>-72.599999999999596</v>
      </c>
      <c r="DI63" s="83">
        <f t="shared" si="254"/>
        <v>5.0000000000000044</v>
      </c>
      <c r="DJ63" s="83">
        <f t="shared" si="255"/>
        <v>-363</v>
      </c>
      <c r="DK63" s="83">
        <f t="shared" si="256"/>
        <v>15</v>
      </c>
      <c r="DL63" s="83">
        <f t="shared" si="257"/>
        <v>-67.599999999999596</v>
      </c>
      <c r="DM63" s="83">
        <f t="shared" si="258"/>
        <v>-348</v>
      </c>
      <c r="DN63" s="64" t="str">
        <f t="shared" si="259"/>
        <v>SELL</v>
      </c>
      <c r="DO63" s="64" t="str">
        <f t="shared" si="260"/>
        <v>SELL</v>
      </c>
      <c r="DP63" s="83">
        <f t="shared" si="261"/>
        <v>-23.183999999999866</v>
      </c>
      <c r="DQ63" s="83">
        <f t="shared" si="262"/>
        <v>-118.92000000000002</v>
      </c>
      <c r="DR63" s="83" t="e">
        <f t="shared" ca="1" si="263"/>
        <v>#NUM!</v>
      </c>
      <c r="DS63" s="83">
        <f t="shared" si="264"/>
        <v>-360.15</v>
      </c>
      <c r="DT63" s="83">
        <f t="shared" si="289"/>
        <v>363</v>
      </c>
      <c r="DU63" s="83">
        <f t="shared" si="290"/>
        <v>-15</v>
      </c>
      <c r="DV63" s="83">
        <f t="shared" si="265"/>
        <v>-4647</v>
      </c>
      <c r="DW63" s="83">
        <f t="shared" si="266"/>
        <v>3239</v>
      </c>
      <c r="DX63" s="83" t="e">
        <f t="shared" ca="1" si="363"/>
        <v>#NUM!</v>
      </c>
      <c r="DY63" s="83" t="e">
        <f t="shared" ca="1" si="364"/>
        <v>#NUM!</v>
      </c>
      <c r="DZ63" s="83">
        <f t="shared" ca="1" si="365"/>
        <v>5.3429861080772093E-2</v>
      </c>
      <c r="EA63" s="83">
        <f t="shared" ca="1" si="366"/>
        <v>-2.5482026176279798E-2</v>
      </c>
      <c r="EB63" s="83">
        <f t="shared" ca="1" si="367"/>
        <v>4.5971455020255847E-2</v>
      </c>
      <c r="EC63" s="83">
        <f t="shared" ca="1" si="368"/>
        <v>-3.2839828282598856E-2</v>
      </c>
      <c r="ED63" s="63">
        <f t="shared" si="291"/>
        <v>-1408</v>
      </c>
      <c r="EE63" s="84">
        <f t="shared" si="267"/>
        <v>0.25</v>
      </c>
      <c r="EF63" s="84">
        <f t="shared" si="268"/>
        <v>0.89639999999999997</v>
      </c>
      <c r="EG63" s="84">
        <f t="shared" si="269"/>
        <v>0.16969999999999999</v>
      </c>
      <c r="EH63" s="84">
        <f t="shared" si="270"/>
        <v>0.38519999999999999</v>
      </c>
      <c r="EI63" s="84">
        <f t="shared" si="271"/>
        <v>0.20319999999999999</v>
      </c>
      <c r="EJ63" s="84">
        <f t="shared" si="272"/>
        <v>0.2949</v>
      </c>
      <c r="EL63" s="83" t="str">
        <f>RTD("tos.rtd",,EL$43,"."&amp;$A$43&amp;$AS$42&amp;"C"&amp;$A63)</f>
        <v>--</v>
      </c>
      <c r="EM63" s="83" t="str">
        <f>RTD("tos.rtd",,EM$43,"."&amp;$A$43&amp;$AS$42&amp;"P"&amp;$A63)</f>
        <v>89.64%</v>
      </c>
      <c r="EN63" s="83" t="str">
        <f>RTD("tos.rtd",,EN$2,"."&amp;$A$43&amp;$AU$1&amp;"C"&amp;$A63)</f>
        <v>16.97%</v>
      </c>
      <c r="EO63" s="83" t="str">
        <f>RTD("tos.rtd",,EO$2,"."&amp;$A$43&amp;$AU$1&amp;"P"&amp;$A63)</f>
        <v>38.52%</v>
      </c>
      <c r="EP63" s="83" t="str">
        <f>RTD("tos.rtd",,EP$2,"."&amp;$A$43&amp;$AW$1&amp;"C"&amp;$A63)</f>
        <v>20.32%</v>
      </c>
      <c r="EQ63" s="83" t="str">
        <f>RTD("tos.rtd",,EQ$2,"."&amp;$A$43&amp;$AW$1&amp;"P"&amp;$A63)</f>
        <v>29.49%</v>
      </c>
      <c r="ES63" s="63" t="str">
        <f t="shared" si="273"/>
        <v>484,-1408.00</v>
      </c>
      <c r="ET63" s="64" t="str">
        <f t="shared" ca="1" si="274"/>
        <v>484,00.00</v>
      </c>
      <c r="EU63" s="68">
        <v>562.21</v>
      </c>
      <c r="EV63" s="68" t="s">
        <v>524</v>
      </c>
      <c r="EW63" s="68">
        <v>484.67</v>
      </c>
      <c r="EX63" s="68" t="s">
        <v>525</v>
      </c>
      <c r="EY63" s="68">
        <v>5636</v>
      </c>
      <c r="EZ63" s="68" t="s">
        <v>526</v>
      </c>
      <c r="FA63" s="68">
        <v>19908.75</v>
      </c>
      <c r="FB63" s="68" t="s">
        <v>527</v>
      </c>
      <c r="FC63" s="68" t="s">
        <v>528</v>
      </c>
      <c r="FD63" s="68" t="s">
        <v>529</v>
      </c>
      <c r="FE63" s="68" t="s">
        <v>530</v>
      </c>
      <c r="FF63" s="68" t="s">
        <v>531</v>
      </c>
    </row>
    <row r="64" spans="1:162" ht="13.5" thickBot="1" x14ac:dyDescent="0.25">
      <c r="A64" s="2">
        <f t="shared" si="292"/>
        <v>483</v>
      </c>
      <c r="B64" s="3">
        <f t="shared" si="240"/>
        <v>4371</v>
      </c>
      <c r="C64" s="3">
        <f t="shared" si="241"/>
        <v>2794</v>
      </c>
      <c r="D64" s="3">
        <f t="shared" si="242"/>
        <v>783</v>
      </c>
      <c r="E64" s="3">
        <f t="shared" si="243"/>
        <v>7948</v>
      </c>
      <c r="F64" s="34">
        <f t="shared" si="296"/>
        <v>19937.081236520487</v>
      </c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>
        <v>-25829</v>
      </c>
      <c r="AN64" s="12">
        <v>-4918</v>
      </c>
      <c r="AO64" s="12">
        <v>483</v>
      </c>
      <c r="AP64" s="12">
        <v>139355</v>
      </c>
      <c r="AQ64" s="12">
        <v>-41942</v>
      </c>
      <c r="AR64" s="12"/>
      <c r="AS64" s="6">
        <f>IF(RTD("tos.rtd",,AS$43,"."&amp;$A$43&amp;$AS$42&amp;"C"&amp;$A64)="N/A",0,RTD("tos.rtd",,AS$43,"."&amp;$A$43&amp;$AS$42&amp;"C"&amp;$A64))</f>
        <v>2927</v>
      </c>
      <c r="AT64" s="7">
        <f>-IF(RTD("tos.rtd",,AT$43,"."&amp;$A$43&amp;$AS$42&amp;"P"&amp;$A64)="N/A",0,RTD("tos.rtd",,AT$43,"."&amp;$A$43&amp;$AS$42&amp;"P"&amp;$A64))</f>
        <v>-1444</v>
      </c>
      <c r="AU64" s="6">
        <f>IF(RTD("tos.rtd",,AU$2,"."&amp;$A$43&amp;$AU$1&amp;"C"&amp;$A64)="N/A",0,RTD("tos.rtd",,AU$2,"."&amp;$A$43&amp;$AU$1&amp;"C"&amp;$A64))</f>
        <v>1360</v>
      </c>
      <c r="AV64" s="7">
        <f>-IF(RTD("tos.rtd",,AV$2,"."&amp;$A$43&amp;$AU$1&amp;"P"&amp;$A64)="N/A",0,RTD("tos.rtd",,AV$2,"."&amp;$A$43&amp;$AU$1&amp;"P"&amp;$A64))</f>
        <v>-1434</v>
      </c>
      <c r="AW64" s="6">
        <f>IF(RTD("tos.rtd",,AW$2,"."&amp;$A$43&amp;$AW$1&amp;"C"&amp;$A64)="N/A",0,RTD("tos.rtd",,AW$2,"."&amp;$A$43&amp;$AW$1&amp;"C"&amp;$A64))</f>
        <v>314</v>
      </c>
      <c r="AX64" s="7">
        <f>-IF(RTD("tos.rtd",,AX$2,"."&amp;$A$43&amp;$AW$1&amp;"P"&amp;$A64)="N/A",0,RTD("tos.rtd",,AX$2,"."&amp;$A$43&amp;$AW$1&amp;"P"&amp;$A64))</f>
        <v>-469</v>
      </c>
      <c r="AY64" s="7">
        <f t="shared" si="275"/>
        <v>1254</v>
      </c>
      <c r="AZ64" s="8">
        <f t="shared" si="244"/>
        <v>483</v>
      </c>
      <c r="BA64" s="6">
        <f>IF(RTD("tos.rtd",,BA$43,"."&amp;$A$43&amp;$AS$42&amp;"C"&amp;$A64)="N/A",0,RTD("tos.rtd",,BA$43,"."&amp;$A$43&amp;$AS$42&amp;"C"&amp;$A64))</f>
        <v>139383</v>
      </c>
      <c r="BB64" s="7">
        <f>-IF(RTD("tos.rtd",,BB$43,"."&amp;$A$43&amp;$AS$42&amp;"P"&amp;$A64)="N/A",0,RTD("tos.rtd",,BB$43,"."&amp;$A$43&amp;$AS$42&amp;"P"&amp;$A64))</f>
        <v>-42016</v>
      </c>
      <c r="BC64" s="6">
        <f>IF(RTD("tos.rtd",,BC$2,"."&amp;$A$43&amp;$AU$1&amp;"C"&amp;$A64)="N/A",0,RTD("tos.rtd",,BC$2,"."&amp;$A$43&amp;$AU$1&amp;"C"&amp;$A64))</f>
        <v>5797</v>
      </c>
      <c r="BD64" s="7">
        <f>-IF(RTD("tos.rtd",,BD$2,"."&amp;$A$43&amp;$AU$1&amp;"P"&amp;$A64)="N/A",0,RTD("tos.rtd",,BD$2,"."&amp;$A$43&amp;$AU$1&amp;"P"&amp;$A64))</f>
        <v>-5117</v>
      </c>
      <c r="BE64" s="6">
        <f>IF(RTD("tos.rtd",,BE$2,"."&amp;$A$43&amp;$AW$1&amp;"C"&amp;$A64)="N/A",0,RTD("tos.rtd",,BE$2,"."&amp;$A$43&amp;$AW$1&amp;"C"&amp;$A64))</f>
        <v>997</v>
      </c>
      <c r="BF64" s="7">
        <f>-IF(RTD("tos.rtd",,BF$2,"."&amp;$A$43&amp;$AW$1&amp;"P"&amp;$A64)="N/A",0,RTD("tos.rtd",,BF$2,"."&amp;$A$43&amp;$AW$1&amp;"P"&amp;$A64))</f>
        <v>-1075</v>
      </c>
      <c r="BG64" s="32">
        <f ca="1">+Hoja2!Y65</f>
        <v>-305</v>
      </c>
      <c r="BH64" s="7">
        <f t="shared" ca="1" si="276"/>
        <v>97664</v>
      </c>
      <c r="BI64" s="8" t="str">
        <f t="shared" ca="1" si="293"/>
        <v/>
      </c>
      <c r="BJ64" s="83" t="e">
        <f ca="1">IF($BP$1=1,DX64,IF(RTD("tos.rtd",,BJ$43,"."&amp;$A$43&amp;$AS$42&amp;"C"&amp;$A64)="N/A",0,RTD("tos.rtd",,BJ$43,"."&amp;$A$43&amp;$AS$42&amp;"C"&amp;$A64)))</f>
        <v>#NUM!</v>
      </c>
      <c r="BK64" s="83" t="e">
        <f ca="1">IF($BP$1=1,DY64,-IF(RTD("tos.rtd",,BK$43,"."&amp;$A$43&amp;$AS$42&amp;"P"&amp;$A64)="N/A",0,RTD("tos.rtd",,BK$43,"."&amp;$A$43&amp;$AS$42&amp;"P"&amp;$A64)))</f>
        <v>#NUM!</v>
      </c>
      <c r="BL64" s="83">
        <f ca="1">IF($BP$1=1,DZ64,IF(RTD("tos.rtd",,BL$2,"."&amp;$A$43&amp;$AU$1&amp;"C"&amp;$A64)="N/A",0,RTD("tos.rtd",,BL$2,"."&amp;$A$43&amp;$AU$1&amp;"C"&amp;$A64)))</f>
        <v>5.2263735789772857E-2</v>
      </c>
      <c r="BM64" s="83">
        <f ca="1">IF($BP$1=1,EA64,-IF(RTD("tos.rtd",,BM$2,"."&amp;$A$43&amp;$AU$1&amp;"P"&amp;$A64)="N/A",0,RTD("tos.rtd",,BM$2,"."&amp;$A$43&amp;$AU$1&amp;"P"&amp;$A64)))</f>
        <v>-2.5240855458126932E-2</v>
      </c>
      <c r="BN64" s="83">
        <f ca="1">IF($BP$1=1,EB64,IF(RTD("tos.rtd",,BN$2,"."&amp;$A$43&amp;$AW$1&amp;"C"&amp;$A64)="N/A",0,RTD("tos.rtd",,BN$2,"."&amp;$A$43&amp;$AW$1&amp;"C"&amp;$A64)))</f>
        <v>4.3606876054327309E-2</v>
      </c>
      <c r="BO64" s="83">
        <f ca="1">IF($BP$1=1,EC64,-IF(RTD("tos.rtd",,BO$2,"."&amp;$A$43&amp;$AW$1&amp;"P"&amp;$A64)="N/A",0,RTD("tos.rtd",,BO$2,"."&amp;$A$43&amp;$AW$1&amp;"P"&amp;$A64)))</f>
        <v>-3.1898993259861015E-2</v>
      </c>
      <c r="BQ64" s="83" t="e">
        <f t="shared" ca="1" si="277"/>
        <v>#NUM!</v>
      </c>
      <c r="BR64" s="3" t="e">
        <f t="shared" ca="1" si="278"/>
        <v>#NUM!</v>
      </c>
      <c r="BS64" s="83">
        <f t="shared" ca="1" si="279"/>
        <v>8268140.2777769901</v>
      </c>
      <c r="BT64" s="3" t="str">
        <f t="shared" ca="1" si="280"/>
        <v/>
      </c>
      <c r="BU64" s="83">
        <f t="shared" ca="1" si="281"/>
        <v>-300561.36290850258</v>
      </c>
      <c r="BV64" s="83"/>
      <c r="BX64" s="83" t="e">
        <f t="shared" ca="1" si="282"/>
        <v>#NUM!</v>
      </c>
      <c r="BY64" s="83" t="e">
        <f t="shared" ca="1" si="294"/>
        <v>#NUM!</v>
      </c>
      <c r="BZ64" s="83">
        <f t="shared" ca="1" si="283"/>
        <v>41198238.585538328</v>
      </c>
      <c r="CA64" s="83" t="str">
        <f t="shared" ca="1" si="294"/>
        <v/>
      </c>
      <c r="CB64" s="83">
        <f t="shared" ca="1" si="284"/>
        <v>2176969.6630768869</v>
      </c>
      <c r="CC64" s="83" t="str">
        <f t="shared" ca="1" si="294"/>
        <v/>
      </c>
      <c r="CD64" s="83">
        <f>IF(RTD("tos.rtd",,CD$43,"."&amp;$A$43&amp;$AS$42&amp;"C"&amp;$A64)="N/A",0,RTD("tos.rtd",,CD$43,"."&amp;$A$43&amp;$AS$42&amp;"C"&amp;$A64))</f>
        <v>1</v>
      </c>
      <c r="CE64" s="83">
        <f>-IF(RTD("tos.rtd",,CE$43,"."&amp;$A$43&amp;$AS$42&amp;"P"&amp;$A64)="N/A",0,RTD("tos.rtd",,CE$43,"."&amp;$A$43&amp;$AS$42&amp;"P"&amp;$A64))</f>
        <v>0.06</v>
      </c>
      <c r="CF64" s="83">
        <f>IF(RTD("tos.rtd",,CF$2,"."&amp;$A$43&amp;$AU$1&amp;"C"&amp;$A64)="N/A",0,RTD("tos.rtd",,CF$2,"."&amp;$A$43&amp;$AU$1&amp;"C"&amp;$A64))</f>
        <v>0.78</v>
      </c>
      <c r="CG64" s="83">
        <f>-IF(RTD("tos.rtd",,CG$2,"."&amp;$A$43&amp;$AU$1&amp;"P"&amp;$A64)="N/A",0,RTD("tos.rtd",,CG$2,"."&amp;$A$43&amp;$AU$1&amp;"P"&amp;$A64))</f>
        <v>0.37</v>
      </c>
      <c r="CH64" s="83">
        <f>IF(RTD("tos.rtd",,CH$2,"."&amp;$A$43&amp;$AW$1&amp;"C"&amp;$A64)="N/A",0,RTD("tos.rtd",,CH$2,"."&amp;$A$43&amp;$AW$1&amp;"C"&amp;$A64))</f>
        <v>0.62</v>
      </c>
      <c r="CI64" s="83">
        <f>-IF(RTD("tos.rtd",,CI$2,"."&amp;$A$43&amp;$AW$1&amp;"P"&amp;$A64)="N/A",0,RTD("tos.rtd",,CI$2,"."&amp;$A$43&amp;$AW$1&amp;"P"&amp;$A64))</f>
        <v>0.41</v>
      </c>
      <c r="CK64" s="83">
        <f t="shared" si="285"/>
        <v>284036</v>
      </c>
      <c r="CL64" s="83"/>
      <c r="CM64" s="83">
        <f t="shared" si="286"/>
        <v>53021.999999999993</v>
      </c>
      <c r="CN64" s="83"/>
      <c r="CO64" s="83">
        <f t="shared" si="287"/>
        <v>239</v>
      </c>
      <c r="CP64" s="83">
        <f t="shared" si="234"/>
        <v>337297</v>
      </c>
      <c r="CQ64" s="83">
        <f t="shared" si="248"/>
        <v>97367</v>
      </c>
      <c r="CR64" s="83"/>
      <c r="CS64" s="83">
        <f t="shared" si="249"/>
        <v>680</v>
      </c>
      <c r="CT64" s="83"/>
      <c r="CU64" s="83">
        <f t="shared" si="250"/>
        <v>-78</v>
      </c>
      <c r="CV64" s="83"/>
      <c r="CW64" s="83" t="e">
        <f t="shared" ca="1" si="251"/>
        <v>#NUM!</v>
      </c>
      <c r="CY64" s="83" t="e">
        <f t="shared" ca="1" si="252"/>
        <v>#NUM!</v>
      </c>
      <c r="CZ64" s="70" t="e">
        <f t="shared" ca="1" si="295"/>
        <v>#NUM!</v>
      </c>
      <c r="DA64" s="83">
        <f>IF(RTD("tos.rtd",,DA$43,"."&amp;$A$43&amp;$AS$42&amp;"C"&amp;$A64)="N/A",0,RTD("tos.rtd",,DA$43,"."&amp;$A$43&amp;$AS$42&amp;"C"&amp;$A64))</f>
        <v>1.06</v>
      </c>
      <c r="DB64" s="83">
        <f>IF(RTD("tos.rtd",,DB$43,"."&amp;$A$43&amp;$AS$42&amp;"P"&amp;$A64)="N/A",0,RTD("tos.rtd",,DB$43,"."&amp;$A$43&amp;$AS$42&amp;"P"&amp;$A64))</f>
        <v>0.05</v>
      </c>
      <c r="DC64" s="83">
        <f>IF(RTD("tos.rtd",,DC$43,"."&amp;$A$43&amp;$AS$42&amp;"C"&amp;$A64)="N/A",0,RTD("tos.rtd",,DC$43,"."&amp;$A$43&amp;$AS$42&amp;"C"&amp;$A64))</f>
        <v>1.17</v>
      </c>
      <c r="DD64" s="83">
        <f>IF(RTD("tos.rtd",,DD$43,"."&amp;$A$43&amp;$AS$42&amp;"P"&amp;$A64)="N/A",0,RTD("tos.rtd",,DD$43,"."&amp;$A$43&amp;$AS$42&amp;"P"&amp;$A64))</f>
        <v>7.0000000000000007E-2</v>
      </c>
      <c r="DE64" s="83">
        <f>IF(RTD("tos.rtd",,DE$43,"."&amp;$A$43&amp;$AS$42&amp;"C"&amp;$A64)="N/A",0,RTD("tos.rtd",,DE$43,"."&amp;$A$43&amp;$AS$42&amp;"C"&amp;$A64))</f>
        <v>1.01</v>
      </c>
      <c r="DF64" s="83">
        <f>IF(RTD("tos.rtd",,DF$43,"."&amp;$A$43&amp;$AS$42&amp;"P"&amp;$A64)="N/A",0,RTD("tos.rtd",,DF$43,"."&amp;$A$43&amp;$AS$42&amp;"P"&amp;$A64))</f>
        <v>0.05</v>
      </c>
      <c r="DG64" s="86">
        <f t="shared" si="288"/>
        <v>-3.8500000000000227</v>
      </c>
      <c r="DH64" s="83">
        <f t="shared" si="253"/>
        <v>8.7500000000000124</v>
      </c>
      <c r="DI64" s="83">
        <f t="shared" si="254"/>
        <v>0</v>
      </c>
      <c r="DJ64" s="83">
        <f t="shared" si="255"/>
        <v>-28</v>
      </c>
      <c r="DK64" s="83">
        <f t="shared" si="256"/>
        <v>74</v>
      </c>
      <c r="DL64" s="83">
        <f t="shared" si="257"/>
        <v>8.7500000000000124</v>
      </c>
      <c r="DM64" s="83">
        <f t="shared" si="258"/>
        <v>46</v>
      </c>
      <c r="DN64" s="64" t="str">
        <f t="shared" si="259"/>
        <v>SELL</v>
      </c>
      <c r="DO64" s="64" t="str">
        <f t="shared" si="260"/>
        <v>SELL</v>
      </c>
      <c r="DP64" s="83">
        <f t="shared" si="261"/>
        <v>9.2750000000000128</v>
      </c>
      <c r="DQ64" s="83">
        <f t="shared" si="262"/>
        <v>-25.98</v>
      </c>
      <c r="DR64" s="83" t="e">
        <f t="shared" ca="1" si="263"/>
        <v>#NUM!</v>
      </c>
      <c r="DS64" s="83">
        <f t="shared" si="264"/>
        <v>-23.560000000000002</v>
      </c>
      <c r="DT64" s="83">
        <f t="shared" si="289"/>
        <v>28</v>
      </c>
      <c r="DU64" s="83">
        <f t="shared" si="290"/>
        <v>-74</v>
      </c>
      <c r="DV64" s="83">
        <f t="shared" si="265"/>
        <v>-25857</v>
      </c>
      <c r="DW64" s="83">
        <f t="shared" si="266"/>
        <v>-4844</v>
      </c>
      <c r="DX64" s="83" t="e">
        <f t="shared" ca="1" si="363"/>
        <v>#NUM!</v>
      </c>
      <c r="DY64" s="83" t="e">
        <f t="shared" ca="1" si="364"/>
        <v>#NUM!</v>
      </c>
      <c r="DZ64" s="83">
        <f t="shared" ca="1" si="365"/>
        <v>5.2263735789772857E-2</v>
      </c>
      <c r="EA64" s="83">
        <f t="shared" ca="1" si="366"/>
        <v>-2.5240855458126932E-2</v>
      </c>
      <c r="EB64" s="83">
        <f t="shared" ca="1" si="367"/>
        <v>4.3606876054327309E-2</v>
      </c>
      <c r="EC64" s="83">
        <f t="shared" ca="1" si="368"/>
        <v>-3.1898993259861015E-2</v>
      </c>
      <c r="ED64" s="63">
        <f t="shared" si="291"/>
        <v>-30701</v>
      </c>
      <c r="EE64" s="84">
        <f t="shared" si="267"/>
        <v>0.25</v>
      </c>
      <c r="EF64" s="84">
        <f t="shared" si="268"/>
        <v>0.66790000000000005</v>
      </c>
      <c r="EG64" s="84">
        <f t="shared" si="269"/>
        <v>0.15479999999999999</v>
      </c>
      <c r="EH64" s="84">
        <f t="shared" si="270"/>
        <v>0.38250000000000001</v>
      </c>
      <c r="EI64" s="84">
        <f t="shared" si="271"/>
        <v>0.2026</v>
      </c>
      <c r="EJ64" s="84">
        <f t="shared" si="272"/>
        <v>0.29570000000000002</v>
      </c>
      <c r="EL64" s="83" t="str">
        <f>RTD("tos.rtd",,EL$43,"."&amp;$A$43&amp;$AS$42&amp;"C"&amp;$A64)</f>
        <v>--</v>
      </c>
      <c r="EM64" s="83" t="str">
        <f>RTD("tos.rtd",,EM$43,"."&amp;$A$43&amp;$AS$42&amp;"P"&amp;$A64)</f>
        <v>66.79%</v>
      </c>
      <c r="EN64" s="83" t="str">
        <f>RTD("tos.rtd",,EN$2,"."&amp;$A$43&amp;$AU$1&amp;"C"&amp;$A64)</f>
        <v>15.48%</v>
      </c>
      <c r="EO64" s="83" t="str">
        <f>RTD("tos.rtd",,EO$2,"."&amp;$A$43&amp;$AU$1&amp;"P"&amp;$A64)</f>
        <v>38.25%</v>
      </c>
      <c r="EP64" s="83" t="str">
        <f>RTD("tos.rtd",,EP$2,"."&amp;$A$43&amp;$AW$1&amp;"C"&amp;$A64)</f>
        <v>20.26%</v>
      </c>
      <c r="EQ64" s="83" t="str">
        <f>RTD("tos.rtd",,EQ$2,"."&amp;$A$43&amp;$AW$1&amp;"P"&amp;$A64)</f>
        <v>29.57%</v>
      </c>
      <c r="ES64" s="63" t="str">
        <f t="shared" si="273"/>
        <v>483,-30701.00</v>
      </c>
      <c r="ET64" s="64" t="str">
        <f t="shared" ca="1" si="274"/>
        <v>483,00.00</v>
      </c>
      <c r="EU64" s="68">
        <v>562.16</v>
      </c>
      <c r="EV64" s="68" t="s">
        <v>532</v>
      </c>
      <c r="EW64" s="68">
        <v>484.6</v>
      </c>
      <c r="EX64" s="68" t="s">
        <v>533</v>
      </c>
      <c r="EY64" s="68">
        <v>5635.25</v>
      </c>
      <c r="EZ64" s="68" t="s">
        <v>534</v>
      </c>
      <c r="FA64" s="68">
        <v>19907.75</v>
      </c>
      <c r="FB64" s="68" t="s">
        <v>535</v>
      </c>
      <c r="FC64" s="68" t="s">
        <v>536</v>
      </c>
      <c r="FD64" s="68" t="s">
        <v>537</v>
      </c>
      <c r="FE64" s="68" t="s">
        <v>538</v>
      </c>
      <c r="FF64" s="68" t="s">
        <v>539</v>
      </c>
    </row>
    <row r="65" spans="1:162" ht="13.5" thickBot="1" x14ac:dyDescent="0.25">
      <c r="A65" s="2">
        <f t="shared" si="292"/>
        <v>482</v>
      </c>
      <c r="B65" s="3">
        <f t="shared" ref="B65:B69" si="369">+IF($A$1="ABS",AS65-AT65,AS65+AT65)</f>
        <v>4196</v>
      </c>
      <c r="C65" s="3">
        <f t="shared" si="241"/>
        <v>3447</v>
      </c>
      <c r="D65" s="3">
        <f t="shared" ref="D65:D69" si="370">+IF($A$1="ABS",AW65-AX65,AW65+AX65)</f>
        <v>705</v>
      </c>
      <c r="E65" s="3">
        <f t="shared" ref="E65:E69" si="371">SUM(B65:D65)</f>
        <v>8348</v>
      </c>
      <c r="F65" s="4">
        <f t="shared" ref="F65:F69" si="372">+$F$44/$A$44*A65</f>
        <v>19895.803635616718</v>
      </c>
      <c r="AM65" s="1">
        <v>5833</v>
      </c>
      <c r="AN65" s="1">
        <v>10451</v>
      </c>
      <c r="AO65" s="1">
        <v>482</v>
      </c>
      <c r="AP65" s="1">
        <v>141079</v>
      </c>
      <c r="AQ65" s="1">
        <v>-65472</v>
      </c>
      <c r="AS65" s="6">
        <f>IF(RTD("tos.rtd",,AS$43,"."&amp;$A$43&amp;$AS$42&amp;"C"&amp;$A65)="N/A",0,RTD("tos.rtd",,AS$43,"."&amp;$A$43&amp;$AS$42&amp;"C"&amp;$A65))</f>
        <v>1782</v>
      </c>
      <c r="AT65" s="7">
        <f>-IF(RTD("tos.rtd",,AT$43,"."&amp;$A$43&amp;$AS$42&amp;"P"&amp;$A65)="N/A",0,RTD("tos.rtd",,AT$43,"."&amp;$A$43&amp;$AS$42&amp;"P"&amp;$A65))</f>
        <v>-2414</v>
      </c>
      <c r="AU65" s="6">
        <f>IF(RTD("tos.rtd",,AU$2,"."&amp;$A$43&amp;$AU$1&amp;"C"&amp;$A65)="N/A",0,RTD("tos.rtd",,AU$2,"."&amp;$A$43&amp;$AU$1&amp;"C"&amp;$A65))</f>
        <v>895</v>
      </c>
      <c r="AV65" s="7">
        <f>-IF(RTD("tos.rtd",,AV$2,"."&amp;$A$43&amp;$AU$1&amp;"P"&amp;$A65)="N/A",0,RTD("tos.rtd",,AV$2,"."&amp;$A$43&amp;$AU$1&amp;"P"&amp;$A65))</f>
        <v>-2552</v>
      </c>
      <c r="AW65" s="6">
        <f>IF(RTD("tos.rtd",,AW$2,"."&amp;$A$43&amp;$AW$1&amp;"C"&amp;$A65)="N/A",0,RTD("tos.rtd",,AW$2,"."&amp;$A$43&amp;$AW$1&amp;"C"&amp;$A65))</f>
        <v>242</v>
      </c>
      <c r="AX65" s="7">
        <f>-IF(RTD("tos.rtd",,AX$2,"."&amp;$A$43&amp;$AW$1&amp;"P"&amp;$A65)="N/A",0,RTD("tos.rtd",,AX$2,"."&amp;$A$43&amp;$AW$1&amp;"P"&amp;$A65))</f>
        <v>-463</v>
      </c>
      <c r="AY65" s="7">
        <f t="shared" ref="AY65:AY69" si="373">SUM(AS65:AX65)</f>
        <v>-2510</v>
      </c>
      <c r="AZ65" s="8">
        <f t="shared" si="244"/>
        <v>482</v>
      </c>
      <c r="BA65" s="6">
        <f>IF(RTD("tos.rtd",,BA$43,"."&amp;$A$43&amp;$AS$42&amp;"C"&amp;$A65)="N/A",0,RTD("tos.rtd",,BA$43,"."&amp;$A$43&amp;$AS$42&amp;"C"&amp;$A65))</f>
        <v>141093</v>
      </c>
      <c r="BB65" s="7">
        <f>-IF(RTD("tos.rtd",,BB$43,"."&amp;$A$43&amp;$AS$42&amp;"P"&amp;$A65)="N/A",0,RTD("tos.rtd",,BB$43,"."&amp;$A$43&amp;$AS$42&amp;"P"&amp;$A65))</f>
        <v>-65510</v>
      </c>
      <c r="BC65" s="6">
        <f>IF(RTD("tos.rtd",,BC$2,"."&amp;$A$43&amp;$AU$1&amp;"C"&amp;$A65)="N/A",0,RTD("tos.rtd",,BC$2,"."&amp;$A$43&amp;$AU$1&amp;"C"&amp;$A65))</f>
        <v>12135</v>
      </c>
      <c r="BD65" s="7">
        <f>-IF(RTD("tos.rtd",,BD$2,"."&amp;$A$43&amp;$AU$1&amp;"P"&amp;$A65)="N/A",0,RTD("tos.rtd",,BD$2,"."&amp;$A$43&amp;$AU$1&amp;"P"&amp;$A65))</f>
        <v>-6407</v>
      </c>
      <c r="BE65" s="6">
        <f>IF(RTD("tos.rtd",,BE$2,"."&amp;$A$43&amp;$AW$1&amp;"C"&amp;$A65)="N/A",0,RTD("tos.rtd",,BE$2,"."&amp;$A$43&amp;$AW$1&amp;"C"&amp;$A65))</f>
        <v>1467</v>
      </c>
      <c r="BF65" s="7">
        <f>-IF(RTD("tos.rtd",,BF$2,"."&amp;$A$43&amp;$AW$1&amp;"P"&amp;$A65)="N/A",0,RTD("tos.rtd",,BF$2,"."&amp;$A$43&amp;$AW$1&amp;"P"&amp;$A65))</f>
        <v>-792</v>
      </c>
      <c r="BG65" s="32">
        <f ca="1">+Hoja2!Y66</f>
        <v>-71</v>
      </c>
      <c r="BH65" s="7">
        <f t="shared" ca="1" si="276"/>
        <v>81915</v>
      </c>
      <c r="BI65" s="8" t="str">
        <f t="shared" ca="1" si="293"/>
        <v/>
      </c>
      <c r="BJ65" s="83" t="e">
        <f ca="1">IF($BP$1=1,DX65,IF(RTD("tos.rtd",,BJ$43,"."&amp;$A$43&amp;$AS$42&amp;"C"&amp;$A65)="N/A",0,RTD("tos.rtd",,BJ$43,"."&amp;$A$43&amp;$AS$42&amp;"C"&amp;$A65)))</f>
        <v>#NUM!</v>
      </c>
      <c r="BK65" s="83" t="e">
        <f ca="1">IF($BP$1=1,DY65,-IF(RTD("tos.rtd",,BK$43,"."&amp;$A$43&amp;$AS$42&amp;"P"&amp;$A65)="N/A",0,RTD("tos.rtd",,BK$43,"."&amp;$A$43&amp;$AS$42&amp;"P"&amp;$A65)))</f>
        <v>#NUM!</v>
      </c>
      <c r="BL65" s="83">
        <f ca="1">IF($BP$1=1,DZ65,IF(RTD("tos.rtd",,BL$2,"."&amp;$A$43&amp;$AU$1&amp;"C"&amp;$A65)="N/A",0,RTD("tos.rtd",,BL$2,"."&amp;$A$43&amp;$AU$1&amp;"C"&amp;$A65)))</f>
        <v>4.8037129356453948E-2</v>
      </c>
      <c r="BM65" s="83">
        <f ca="1">IF($BP$1=1,EA65,-IF(RTD("tos.rtd",,BM$2,"."&amp;$A$43&amp;$AU$1&amp;"P"&amp;$A65)="N/A",0,RTD("tos.rtd",,BM$2,"."&amp;$A$43&amp;$AU$1&amp;"P"&amp;$A65)))</f>
        <v>-2.4920924252528016E-2</v>
      </c>
      <c r="BN65" s="83">
        <f ca="1">IF($BP$1=1,EB65,IF(RTD("tos.rtd",,BN$2,"."&amp;$A$43&amp;$AW$1&amp;"C"&amp;$A65)="N/A",0,RTD("tos.rtd",,BN$2,"."&amp;$A$43&amp;$AW$1&amp;"C"&amp;$A65)))</f>
        <v>4.0845637980193319E-2</v>
      </c>
      <c r="BO65" s="83">
        <f ca="1">IF($BP$1=1,EC65,-IF(RTD("tos.rtd",,BO$2,"."&amp;$A$43&amp;$AW$1&amp;"P"&amp;$A65)="N/A",0,RTD("tos.rtd",,BO$2,"."&amp;$A$43&amp;$AW$1&amp;"P"&amp;$A65)))</f>
        <v>-3.0800018340201456E-2</v>
      </c>
      <c r="BQ65" s="83" t="e">
        <f t="shared" ref="BQ65:BQ69" ca="1" si="374">+$A$44*$A$44*AS65*BJ65-$A$44*$A$44*AT65*BK65</f>
        <v>#NUM!</v>
      </c>
      <c r="BR65" s="3" t="e">
        <f t="shared" ca="1" si="278"/>
        <v>#NUM!</v>
      </c>
      <c r="BS65" s="83">
        <f t="shared" ref="BS65:BS69" ca="1" si="375">+$A$44*$A$44*AU65*BL65-$A$44*$A$44*AV65*BM65</f>
        <v>-4883849.7140438873</v>
      </c>
      <c r="BT65" s="3" t="str">
        <f t="shared" ca="1" si="280"/>
        <v>Cruce -</v>
      </c>
      <c r="BU65" s="83">
        <f t="shared" ref="BU65:BU69" ca="1" si="376">+$A$44*$A$44*AW65*BN65-$A$44*$A$44*AX65*BO65</f>
        <v>-1037156.3952252273</v>
      </c>
      <c r="BV65" s="83"/>
      <c r="BX65" s="83" t="e">
        <f t="shared" ref="BX65:BX69" ca="1" si="377">+$A$44*$A$44*BA65*BJ65-$A$44*$A$44*BB65*BK65</f>
        <v>#NUM!</v>
      </c>
      <c r="BY65" s="83" t="e">
        <f t="shared" ca="1" si="294"/>
        <v>#NUM!</v>
      </c>
      <c r="BZ65" s="83">
        <f t="shared" ref="BZ65:BZ69" ca="1" si="378">+$A$44*$A$44*BC65*BL65-$A$44*$A$44*BD65*BM65</f>
        <v>100322844.35179487</v>
      </c>
      <c r="CA65" s="83" t="str">
        <f t="shared" ca="1" si="294"/>
        <v/>
      </c>
      <c r="CB65" s="83">
        <f t="shared" ref="CB65:CB69" ca="1" si="379">+$A$44*$A$44*BE65*BN65-$A$44*$A$44*BF65*BO65</f>
        <v>8420698.2909858935</v>
      </c>
      <c r="CC65" s="83" t="str">
        <f t="shared" ca="1" si="294"/>
        <v/>
      </c>
      <c r="CD65" s="83">
        <f>IF(RTD("tos.rtd",,CD$43,"."&amp;$A$43&amp;$AS$42&amp;"C"&amp;$A65)="N/A",0,RTD("tos.rtd",,CD$43,"."&amp;$A$43&amp;$AS$42&amp;"C"&amp;$A65))</f>
        <v>1</v>
      </c>
      <c r="CE65" s="83">
        <f>-IF(RTD("tos.rtd",,CE$43,"."&amp;$A$43&amp;$AS$42&amp;"P"&amp;$A65)="N/A",0,RTD("tos.rtd",,CE$43,"."&amp;$A$43&amp;$AS$42&amp;"P"&amp;$A65))</f>
        <v>0.01</v>
      </c>
      <c r="CF65" s="83">
        <f>IF(RTD("tos.rtd",,CF$2,"."&amp;$A$43&amp;$AU$1&amp;"C"&amp;$A65)="N/A",0,RTD("tos.rtd",,CF$2,"."&amp;$A$43&amp;$AU$1&amp;"C"&amp;$A65))</f>
        <v>0.88</v>
      </c>
      <c r="CG65" s="83">
        <f>-IF(RTD("tos.rtd",,CG$2,"."&amp;$A$43&amp;$AU$1&amp;"P"&amp;$A65)="N/A",0,RTD("tos.rtd",,CG$2,"."&amp;$A$43&amp;$AU$1&amp;"P"&amp;$A65))</f>
        <v>0.34</v>
      </c>
      <c r="CH65" s="83">
        <f>IF(RTD("tos.rtd",,CH$2,"."&amp;$A$43&amp;$AW$1&amp;"C"&amp;$A65)="N/A",0,RTD("tos.rtd",,CH$2,"."&amp;$A$43&amp;$AW$1&amp;"C"&amp;$A65))</f>
        <v>0.64</v>
      </c>
      <c r="CI65" s="83">
        <f>-IF(RTD("tos.rtd",,CI$2,"."&amp;$A$43&amp;$AW$1&amp;"P"&amp;$A65)="N/A",0,RTD("tos.rtd",,CI$2,"."&amp;$A$43&amp;$AW$1&amp;"P"&amp;$A65))</f>
        <v>0.4</v>
      </c>
      <c r="CK65" s="83">
        <f t="shared" ref="CK65:CK69" si="380">+AS65*CD65*100+AT65*CE65*100</f>
        <v>175786</v>
      </c>
      <c r="CL65" s="83"/>
      <c r="CM65" s="83">
        <f t="shared" ref="CM65:CM69" si="381">+AU65*CF65*100+AV65*CG65*100</f>
        <v>-8008</v>
      </c>
      <c r="CN65" s="83"/>
      <c r="CO65" s="83">
        <f t="shared" ref="CO65:CO69" si="382">+AW65*CH65*100+AX65*CI65*100</f>
        <v>-3032</v>
      </c>
      <c r="CP65" s="83">
        <f t="shared" ref="CP65:CP69" si="383">+CK65+CM65+CO65</f>
        <v>164746</v>
      </c>
      <c r="CQ65" s="83">
        <f t="shared" ref="CQ65:CQ69" si="384">+BA65+BB65</f>
        <v>75583</v>
      </c>
      <c r="CR65" s="83"/>
      <c r="CS65" s="83">
        <f t="shared" ref="CS65:CS69" si="385">+BC65+BD65</f>
        <v>5728</v>
      </c>
      <c r="CT65" s="83"/>
      <c r="CU65" s="83">
        <f t="shared" ref="CU65:CU69" si="386">+BE65+BF65</f>
        <v>675</v>
      </c>
      <c r="CV65" s="83"/>
      <c r="CW65" s="83" t="e">
        <f t="shared" ref="CW65:CW69" ca="1" si="387">+BQ65+BS65+BU65</f>
        <v>#NUM!</v>
      </c>
      <c r="CY65" s="83" t="e">
        <f t="shared" ref="CY65:CY69" ca="1" si="388">+BX65+BZ65+CB65</f>
        <v>#NUM!</v>
      </c>
      <c r="CZ65" s="70" t="e">
        <f t="shared" ca="1" si="295"/>
        <v>#NUM!</v>
      </c>
      <c r="DA65" s="83">
        <f>IF(RTD("tos.rtd",,DA$43,"."&amp;$A$43&amp;$AS$42&amp;"C"&amp;$A65)="N/A",0,RTD("tos.rtd",,DA$43,"."&amp;$A$43&amp;$AS$42&amp;"C"&amp;$A65))</f>
        <v>2</v>
      </c>
      <c r="DB65" s="83">
        <f>IF(RTD("tos.rtd",,DB$43,"."&amp;$A$43&amp;$AS$42&amp;"P"&amp;$A65)="N/A",0,RTD("tos.rtd",,DB$43,"."&amp;$A$43&amp;$AS$42&amp;"P"&amp;$A65))</f>
        <v>0.01</v>
      </c>
      <c r="DC65" s="83">
        <f>IF(RTD("tos.rtd",,DC$43,"."&amp;$A$43&amp;$AS$42&amp;"C"&amp;$A65)="N/A",0,RTD("tos.rtd",,DC$43,"."&amp;$A$43&amp;$AS$42&amp;"C"&amp;$A65))</f>
        <v>2.16</v>
      </c>
      <c r="DD65" s="83">
        <f>IF(RTD("tos.rtd",,DD$43,"."&amp;$A$43&amp;$AS$42&amp;"P"&amp;$A65)="N/A",0,RTD("tos.rtd",,DD$43,"."&amp;$A$43&amp;$AS$42&amp;"P"&amp;$A65))</f>
        <v>0.01</v>
      </c>
      <c r="DE65" s="83">
        <f>IF(RTD("tos.rtd",,DE$43,"."&amp;$A$43&amp;$AS$42&amp;"C"&amp;$A65)="N/A",0,RTD("tos.rtd",,DE$43,"."&amp;$A$43&amp;$AS$42&amp;"C"&amp;$A65))</f>
        <v>1.89</v>
      </c>
      <c r="DF65" s="83">
        <f>IF(RTD("tos.rtd",,DF$43,"."&amp;$A$43&amp;$AS$42&amp;"P"&amp;$A65)="N/A",0,RTD("tos.rtd",,DF$43,"."&amp;$A$43&amp;$AS$42&amp;"P"&amp;$A65))</f>
        <v>0</v>
      </c>
      <c r="DG65" s="86">
        <f t="shared" si="288"/>
        <v>-4.8500000000000227</v>
      </c>
      <c r="DH65" s="83">
        <f t="shared" ref="DH65:DH69" si="389">((DA65-DE65)/(DC65-DE65))*(BA65-AP65)</f>
        <v>5.7037037037037033</v>
      </c>
      <c r="DI65" s="83">
        <f t="shared" ref="DI65:DI69" si="390">((DB65-DF65)/(DD65-DF65))*(BB65-AQ65)</f>
        <v>-38</v>
      </c>
      <c r="DJ65" s="83">
        <f t="shared" ref="DJ65:DJ69" si="391">IF(DA65&gt;=(DE65+(DC65-DE65)*0.6),(BA65-AP65),IF(DA65&lt;=(DE65+(DC65-DE65)*0.4),-(BA65-AP65),0))</f>
        <v>0</v>
      </c>
      <c r="DK65" s="83">
        <f t="shared" si="256"/>
        <v>-38</v>
      </c>
      <c r="DL65" s="83">
        <f t="shared" si="257"/>
        <v>-32.296296296296298</v>
      </c>
      <c r="DM65" s="83">
        <f t="shared" si="258"/>
        <v>-38</v>
      </c>
      <c r="DN65" s="64" t="str">
        <f t="shared" si="259"/>
        <v>UNKNOWN</v>
      </c>
      <c r="DO65" s="64" t="str">
        <f t="shared" si="260"/>
        <v>BUY</v>
      </c>
      <c r="DP65" s="83">
        <f t="shared" si="261"/>
        <v>11.027407407407406</v>
      </c>
      <c r="DQ65" s="83">
        <f t="shared" si="262"/>
        <v>-0.38</v>
      </c>
      <c r="DR65" s="83" t="e">
        <f t="shared" ca="1" si="263"/>
        <v>#NUM!</v>
      </c>
      <c r="DS65" s="83">
        <f t="shared" si="264"/>
        <v>-0.38</v>
      </c>
      <c r="DT65" s="83">
        <f t="shared" si="289"/>
        <v>14</v>
      </c>
      <c r="DU65" s="83">
        <f t="shared" si="290"/>
        <v>-38</v>
      </c>
      <c r="DV65" s="83">
        <f t="shared" si="265"/>
        <v>5833</v>
      </c>
      <c r="DW65" s="83">
        <f t="shared" si="266"/>
        <v>10413</v>
      </c>
      <c r="DX65" s="83" t="e">
        <f t="shared" ref="DX65:DX69" ca="1" si="392">(EXP(-POWER((LN($A$44/$A65)+($EC$1+POWER($EE65,2)/2)*($EM$1/$DY$1))/($EE65*SQRT($EM$1/$DY$1)),2)/2)/SQRT(2*PI())/($A$44*$EE65*SQRT($EM$1/$DY$1)))</f>
        <v>#NUM!</v>
      </c>
      <c r="DY65" s="83" t="e">
        <f t="shared" ref="DY65:DY69" ca="1" si="393">-(EXP(-POWER((LN($A$44/$A65)+($EC$1+POWER($EF65,2)/2)*($EM$1/$DY$1))/($EF65*SQRT($EM$1/$DY$1)),2)/2)/SQRT(2*PI())/($A$44*$EF65*SQRT($EM$1/$DY$1)))</f>
        <v>#NUM!</v>
      </c>
      <c r="DZ65" s="83">
        <f t="shared" ref="DZ65:DZ69" ca="1" si="394">(EXP(-POWER((LN($A$44/$A65)+($EC$1+POWER($EG65,2)/2)*($EO$1/$DY$1))/($EG65*SQRT($EO$1/$DY$1)),2)/2)/SQRT(2*PI())/($A$44*$EG65*SQRT($EO$1/$DY$1)))</f>
        <v>4.8037129356453948E-2</v>
      </c>
      <c r="EA65" s="83">
        <f t="shared" ref="EA65:EA69" ca="1" si="395">-(EXP(-POWER((LN($A$44/$A65)+($EC$1+POWER($EH65,2)/2)*($EO$1/$DY$1))/($EH65*SQRT($EO$1/$DY$1)),2)/2)/SQRT(2*PI())/($A$44*$EH65*SQRT($EO$1/$DY$1)))</f>
        <v>-2.4920924252528016E-2</v>
      </c>
      <c r="EB65" s="83">
        <f t="shared" ref="EB65:EB69" ca="1" si="396">(EXP(-POWER((LN($A$44/$A65)+($EC$1+POWER($EI65,2)/2)*($EO$1/$DY$1))/($EI65*SQRT($EO$1/$DY$1)),2)/2)/SQRT(2*PI())/($A$44*$EI65*SQRT($EO$1/$DY$1)))</f>
        <v>4.0845637980193319E-2</v>
      </c>
      <c r="EC65" s="83">
        <f t="shared" ref="EC65:EC69" ca="1" si="397">-(EXP(-POWER((LN($A$44/$A65)+($EC$1+POWER($EJ65,2)/2)*($EO$1/$DY$1))/($EJ65*SQRT($EO$1/$DY$1)),2)/2)/SQRT(2*PI())/($A$44*$EJ65*SQRT($EO$1/$DY$1)))</f>
        <v>-3.0800018340201456E-2</v>
      </c>
      <c r="ED65" s="63">
        <f t="shared" si="291"/>
        <v>16246</v>
      </c>
      <c r="EE65" s="84">
        <f t="shared" ref="EE65:EE69" si="398">IFERROR(VALUE(IF(OR(EL65="--",EL65="0.00%"),$EE$1,EL65)),$EE$1)</f>
        <v>0.25</v>
      </c>
      <c r="EF65" s="84">
        <f t="shared" ref="EF65:EF69" si="399">IFERROR(VALUE(IF(OR(EM65="--",EM65="0.00%"),$EE$1,EM65)),$EE$1)</f>
        <v>0.54620000000000002</v>
      </c>
      <c r="EG65" s="84">
        <f t="shared" ref="EG65:EG69" si="400">IFERROR(VALUE(IF(OR(EN65="--",EN65="0.00%"),$EE$1,EN65)),$EE$1)</f>
        <v>0.1275</v>
      </c>
      <c r="EH65" s="84">
        <f t="shared" ref="EH65:EH69" si="401">IFERROR(VALUE(IF(OR(EO65="--",EO65="0.00%"),$EE$1,EO65)),$EE$1)</f>
        <v>0.37909999999999999</v>
      </c>
      <c r="EI65" s="84">
        <f t="shared" ref="EI65:EI69" si="402">IFERROR(VALUE(IF(OR(EP65="--",EP65="0.00%"),$EE$1,EP65)),$EE$1)</f>
        <v>0.20069999999999999</v>
      </c>
      <c r="EJ65" s="84">
        <f t="shared" ref="EJ65:EJ69" si="403">IFERROR(VALUE(IF(OR(EQ65="--",EQ65="0.00%"),$EE$1,EQ65)),$EE$1)</f>
        <v>0.29609999999999997</v>
      </c>
      <c r="EL65" s="83" t="str">
        <f>RTD("tos.rtd",,EL$43,"."&amp;$A$43&amp;$AS$42&amp;"C"&amp;$A65)</f>
        <v>--</v>
      </c>
      <c r="EM65" s="83" t="str">
        <f>RTD("tos.rtd",,EM$43,"."&amp;$A$43&amp;$AS$42&amp;"P"&amp;$A65)</f>
        <v>54.62%</v>
      </c>
      <c r="EN65" s="83" t="str">
        <f>RTD("tos.rtd",,EN$2,"."&amp;$A$43&amp;$AU$1&amp;"C"&amp;$A65)</f>
        <v>12.75%</v>
      </c>
      <c r="EO65" s="83" t="str">
        <f>RTD("tos.rtd",,EO$2,"."&amp;$A$43&amp;$AU$1&amp;"P"&amp;$A65)</f>
        <v>37.91%</v>
      </c>
      <c r="EP65" s="83" t="str">
        <f>RTD("tos.rtd",,EP$2,"."&amp;$A$43&amp;$AW$1&amp;"C"&amp;$A65)</f>
        <v>20.07%</v>
      </c>
      <c r="EQ65" s="83" t="str">
        <f>RTD("tos.rtd",,EQ$2,"."&amp;$A$43&amp;$AW$1&amp;"P"&amp;$A65)</f>
        <v>29.61%</v>
      </c>
      <c r="ES65" s="63" t="str">
        <f t="shared" si="273"/>
        <v>482,16246.00</v>
      </c>
      <c r="ET65" s="64" t="str">
        <f t="shared" ca="1" si="274"/>
        <v>482,00.00</v>
      </c>
      <c r="EU65" s="68">
        <v>562.27</v>
      </c>
      <c r="EV65" s="68" t="s">
        <v>540</v>
      </c>
      <c r="EW65" s="68">
        <v>484.77</v>
      </c>
      <c r="EX65" s="68" t="s">
        <v>541</v>
      </c>
      <c r="EY65" s="68">
        <v>5636.5</v>
      </c>
      <c r="EZ65" s="68" t="s">
        <v>542</v>
      </c>
      <c r="FA65" s="68">
        <v>19912.5</v>
      </c>
      <c r="FB65" s="68" t="s">
        <v>543</v>
      </c>
      <c r="FC65" s="68" t="s">
        <v>544</v>
      </c>
      <c r="FD65" s="68" t="s">
        <v>545</v>
      </c>
      <c r="FE65" s="68" t="s">
        <v>546</v>
      </c>
      <c r="FF65" s="68" t="s">
        <v>547</v>
      </c>
    </row>
    <row r="66" spans="1:162" ht="13.5" thickBot="1" x14ac:dyDescent="0.25">
      <c r="A66" s="2">
        <f t="shared" si="292"/>
        <v>481</v>
      </c>
      <c r="B66" s="3">
        <f t="shared" si="369"/>
        <v>3501</v>
      </c>
      <c r="C66" s="3">
        <f t="shared" si="241"/>
        <v>3034</v>
      </c>
      <c r="D66" s="3">
        <f t="shared" si="370"/>
        <v>939</v>
      </c>
      <c r="E66" s="3">
        <f t="shared" si="371"/>
        <v>7474</v>
      </c>
      <c r="F66" s="4">
        <f t="shared" si="372"/>
        <v>19854.526034712952</v>
      </c>
      <c r="AM66" s="1">
        <v>8777</v>
      </c>
      <c r="AN66" s="1">
        <v>3672</v>
      </c>
      <c r="AO66" s="1">
        <v>481</v>
      </c>
      <c r="AP66" s="1">
        <v>113231</v>
      </c>
      <c r="AQ66" s="1">
        <v>-75093</v>
      </c>
      <c r="AS66" s="6">
        <f>IF(RTD("tos.rtd",,AS$43,"."&amp;$A$43&amp;$AS$42&amp;"C"&amp;$A66)="N/A",0,RTD("tos.rtd",,AS$43,"."&amp;$A$43&amp;$AS$42&amp;"C"&amp;$A66))</f>
        <v>1805</v>
      </c>
      <c r="AT66" s="7">
        <f>-IF(RTD("tos.rtd",,AT$43,"."&amp;$A$43&amp;$AS$42&amp;"P"&amp;$A66)="N/A",0,RTD("tos.rtd",,AT$43,"."&amp;$A$43&amp;$AS$42&amp;"P"&amp;$A66))</f>
        <v>-1696</v>
      </c>
      <c r="AU66" s="6">
        <f>IF(RTD("tos.rtd",,AU$2,"."&amp;$A$43&amp;$AU$1&amp;"C"&amp;$A66)="N/A",0,RTD("tos.rtd",,AU$2,"."&amp;$A$43&amp;$AU$1&amp;"C"&amp;$A66))</f>
        <v>1874</v>
      </c>
      <c r="AV66" s="7">
        <f>-IF(RTD("tos.rtd",,AV$2,"."&amp;$A$43&amp;$AU$1&amp;"P"&amp;$A66)="N/A",0,RTD("tos.rtd",,AV$2,"."&amp;$A$43&amp;$AU$1&amp;"P"&amp;$A66))</f>
        <v>-1160</v>
      </c>
      <c r="AW66" s="6">
        <f>IF(RTD("tos.rtd",,AW$2,"."&amp;$A$43&amp;$AW$1&amp;"C"&amp;$A66)="N/A",0,RTD("tos.rtd",,AW$2,"."&amp;$A$43&amp;$AW$1&amp;"C"&amp;$A66))</f>
        <v>331</v>
      </c>
      <c r="AX66" s="7">
        <f>-IF(RTD("tos.rtd",,AX$2,"."&amp;$A$43&amp;$AW$1&amp;"P"&amp;$A66)="N/A",0,RTD("tos.rtd",,AX$2,"."&amp;$A$43&amp;$AW$1&amp;"P"&amp;$A66))</f>
        <v>-608</v>
      </c>
      <c r="AY66" s="7">
        <f t="shared" si="373"/>
        <v>546</v>
      </c>
      <c r="AZ66" s="8">
        <f t="shared" si="244"/>
        <v>481</v>
      </c>
      <c r="BA66" s="6">
        <f>IF(RTD("tos.rtd",,BA$43,"."&amp;$A$43&amp;$AS$42&amp;"C"&amp;$A66)="N/A",0,RTD("tos.rtd",,BA$43,"."&amp;$A$43&amp;$AS$42&amp;"C"&amp;$A66))</f>
        <v>113232</v>
      </c>
      <c r="BB66" s="7">
        <f>-IF(RTD("tos.rtd",,BB$43,"."&amp;$A$43&amp;$AS$42&amp;"P"&amp;$A66)="N/A",0,RTD("tos.rtd",,BB$43,"."&amp;$A$43&amp;$AS$42&amp;"P"&amp;$A66))</f>
        <v>-75197</v>
      </c>
      <c r="BC66" s="6">
        <f>IF(RTD("tos.rtd",,BC$2,"."&amp;$A$43&amp;$AU$1&amp;"C"&amp;$A66)="N/A",0,RTD("tos.rtd",,BC$2,"."&amp;$A$43&amp;$AU$1&amp;"C"&amp;$A66))</f>
        <v>6764</v>
      </c>
      <c r="BD66" s="7">
        <f>-IF(RTD("tos.rtd",,BD$2,"."&amp;$A$43&amp;$AU$1&amp;"P"&amp;$A66)="N/A",0,RTD("tos.rtd",,BD$2,"."&amp;$A$43&amp;$AU$1&amp;"P"&amp;$A66))</f>
        <v>-6291</v>
      </c>
      <c r="BE66" s="6">
        <f>IF(RTD("tos.rtd",,BE$2,"."&amp;$A$43&amp;$AW$1&amp;"C"&amp;$A66)="N/A",0,RTD("tos.rtd",,BE$2,"."&amp;$A$43&amp;$AW$1&amp;"C"&amp;$A66))</f>
        <v>1026</v>
      </c>
      <c r="BF66" s="7">
        <f>-IF(RTD("tos.rtd",,BF$2,"."&amp;$A$43&amp;$AW$1&amp;"P"&amp;$A66)="N/A",0,RTD("tos.rtd",,BF$2,"."&amp;$A$43&amp;$AW$1&amp;"P"&amp;$A66))</f>
        <v>-3377</v>
      </c>
      <c r="BG66" s="32">
        <f ca="1">+Hoja2!Y67</f>
        <v>56</v>
      </c>
      <c r="BH66" s="7">
        <f t="shared" ca="1" si="276"/>
        <v>36213</v>
      </c>
      <c r="BI66" s="8" t="str">
        <f t="shared" ca="1" si="293"/>
        <v/>
      </c>
      <c r="BJ66" s="83" t="e">
        <f ca="1">IF($BP$1=1,DX66,IF(RTD("tos.rtd",,BJ$43,"."&amp;$A$43&amp;$AS$42&amp;"C"&amp;$A66)="N/A",0,RTD("tos.rtd",,BJ$43,"."&amp;$A$43&amp;$AS$42&amp;"C"&amp;$A66)))</f>
        <v>#NUM!</v>
      </c>
      <c r="BK66" s="83" t="e">
        <f ca="1">IF($BP$1=1,DY66,-IF(RTD("tos.rtd",,BK$43,"."&amp;$A$43&amp;$AS$42&amp;"P"&amp;$A66)="N/A",0,RTD("tos.rtd",,BK$43,"."&amp;$A$43&amp;$AS$42&amp;"P"&amp;$A66)))</f>
        <v>#NUM!</v>
      </c>
      <c r="BL66" s="83">
        <f ca="1">IF($BP$1=1,DZ66,IF(RTD("tos.rtd",,BL$2,"."&amp;$A$43&amp;$AU$1&amp;"C"&amp;$A66)="N/A",0,RTD("tos.rtd",,BL$2,"."&amp;$A$43&amp;$AU$1&amp;"C"&amp;$A66)))</f>
        <v>3.320620931960417E-2</v>
      </c>
      <c r="BM66" s="83">
        <f ca="1">IF($BP$1=1,EA66,-IF(RTD("tos.rtd",,BM$2,"."&amp;$A$43&amp;$AU$1&amp;"P"&amp;$A66)="N/A",0,RTD("tos.rtd",,BM$2,"."&amp;$A$43&amp;$AU$1&amp;"P"&amp;$A66)))</f>
        <v>-2.4393629514603953E-2</v>
      </c>
      <c r="BN66" s="83">
        <f ca="1">IF($BP$1=1,EB66,IF(RTD("tos.rtd",,BN$2,"."&amp;$A$43&amp;$AW$1&amp;"C"&amp;$A66)="N/A",0,RTD("tos.rtd",,BN$2,"."&amp;$A$43&amp;$AW$1&amp;"C"&amp;$A66)))</f>
        <v>3.7506625483925971E-2</v>
      </c>
      <c r="BO66" s="83">
        <f ca="1">IF($BP$1=1,EC66,-IF(RTD("tos.rtd",,BO$2,"."&amp;$A$43&amp;$AW$1&amp;"P"&amp;$A66)="N/A",0,RTD("tos.rtd",,BO$2,"."&amp;$A$43&amp;$AW$1&amp;"P"&amp;$A66)))</f>
        <v>-2.9502137207334883E-2</v>
      </c>
      <c r="BQ66" s="83" t="e">
        <f t="shared" ca="1" si="374"/>
        <v>#NUM!</v>
      </c>
      <c r="BR66" s="3" t="e">
        <f t="shared" ca="1" si="278"/>
        <v>#NUM!</v>
      </c>
      <c r="BS66" s="83">
        <f t="shared" ca="1" si="375"/>
        <v>8042620.5709175654</v>
      </c>
      <c r="BT66" s="3" t="str">
        <f t="shared" ca="1" si="280"/>
        <v>Cruce +</v>
      </c>
      <c r="BU66" s="83">
        <f t="shared" ca="1" si="376"/>
        <v>-1308984.3056354891</v>
      </c>
      <c r="BV66" s="83"/>
      <c r="BX66" s="83" t="e">
        <f t="shared" ca="1" si="377"/>
        <v>#NUM!</v>
      </c>
      <c r="BY66" s="83" t="e">
        <f t="shared" ca="1" si="294"/>
        <v>#NUM!</v>
      </c>
      <c r="BZ66" s="83">
        <f t="shared" ca="1" si="378"/>
        <v>16863345.800167687</v>
      </c>
      <c r="CA66" s="83" t="str">
        <f t="shared" ca="1" si="294"/>
        <v/>
      </c>
      <c r="CB66" s="83">
        <f t="shared" ca="1" si="379"/>
        <v>-14493221.586095452</v>
      </c>
      <c r="CC66" s="83" t="str">
        <f t="shared" ca="1" si="294"/>
        <v>Cruce -</v>
      </c>
      <c r="CD66" s="83">
        <f>IF(RTD("tos.rtd",,CD$43,"."&amp;$A$43&amp;$AS$42&amp;"C"&amp;$A66)="N/A",0,RTD("tos.rtd",,CD$43,"."&amp;$A$43&amp;$AS$42&amp;"C"&amp;$A66))</f>
        <v>1</v>
      </c>
      <c r="CE66" s="83">
        <f>-IF(RTD("tos.rtd",,CE$43,"."&amp;$A$43&amp;$AS$42&amp;"P"&amp;$A66)="N/A",0,RTD("tos.rtd",,CE$43,"."&amp;$A$43&amp;$AS$42&amp;"P"&amp;$A66))</f>
        <v>0.01</v>
      </c>
      <c r="CF66" s="83">
        <f>IF(RTD("tos.rtd",,CF$2,"."&amp;$A$43&amp;$AU$1&amp;"C"&amp;$A66)="N/A",0,RTD("tos.rtd",,CF$2,"."&amp;$A$43&amp;$AU$1&amp;"C"&amp;$A66))</f>
        <v>1</v>
      </c>
      <c r="CG66" s="83">
        <f>-IF(RTD("tos.rtd",,CG$2,"."&amp;$A$43&amp;$AU$1&amp;"P"&amp;$A66)="N/A",0,RTD("tos.rtd",,CG$2,"."&amp;$A$43&amp;$AU$1&amp;"P"&amp;$A66))</f>
        <v>0.31</v>
      </c>
      <c r="CH66" s="83">
        <f>IF(RTD("tos.rtd",,CH$2,"."&amp;$A$43&amp;$AW$1&amp;"C"&amp;$A66)="N/A",0,RTD("tos.rtd",,CH$2,"."&amp;$A$43&amp;$AW$1&amp;"C"&amp;$A66))</f>
        <v>0.67</v>
      </c>
      <c r="CI66" s="83">
        <f>-IF(RTD("tos.rtd",,CI$2,"."&amp;$A$43&amp;$AW$1&amp;"P"&amp;$A66)="N/A",0,RTD("tos.rtd",,CI$2,"."&amp;$A$43&amp;$AW$1&amp;"P"&amp;$A66))</f>
        <v>0.38</v>
      </c>
      <c r="CK66" s="83">
        <f t="shared" si="380"/>
        <v>178804</v>
      </c>
      <c r="CL66" s="83"/>
      <c r="CM66" s="83">
        <f t="shared" si="381"/>
        <v>151440</v>
      </c>
      <c r="CN66" s="83"/>
      <c r="CO66" s="83">
        <f t="shared" si="382"/>
        <v>-927</v>
      </c>
      <c r="CP66" s="83">
        <f t="shared" si="383"/>
        <v>329317</v>
      </c>
      <c r="CQ66" s="83">
        <f t="shared" si="384"/>
        <v>38035</v>
      </c>
      <c r="CR66" s="83"/>
      <c r="CS66" s="83">
        <f t="shared" si="385"/>
        <v>473</v>
      </c>
      <c r="CT66" s="83"/>
      <c r="CU66" s="83">
        <f t="shared" si="386"/>
        <v>-2351</v>
      </c>
      <c r="CV66" s="83"/>
      <c r="CW66" s="83" t="e">
        <f t="shared" ca="1" si="387"/>
        <v>#NUM!</v>
      </c>
      <c r="CY66" s="83" t="e">
        <f t="shared" ca="1" si="388"/>
        <v>#NUM!</v>
      </c>
      <c r="CZ66" s="70" t="e">
        <f t="shared" ca="1" si="295"/>
        <v>#NUM!</v>
      </c>
      <c r="DA66" s="83">
        <f>IF(RTD("tos.rtd",,DA$43,"."&amp;$A$43&amp;$AS$42&amp;"C"&amp;$A66)="N/A",0,RTD("tos.rtd",,DA$43,"."&amp;$A$43&amp;$AS$42&amp;"C"&amp;$A66))</f>
        <v>2.56</v>
      </c>
      <c r="DB66" s="83">
        <f>IF(RTD("tos.rtd",,DB$43,"."&amp;$A$43&amp;$AS$42&amp;"P"&amp;$A66)="N/A",0,RTD("tos.rtd",,DB$43,"."&amp;$A$43&amp;$AS$42&amp;"P"&amp;$A66))</f>
        <v>0.01</v>
      </c>
      <c r="DC66" s="83">
        <f>IF(RTD("tos.rtd",,DC$43,"."&amp;$A$43&amp;$AS$42&amp;"C"&amp;$A66)="N/A",0,RTD("tos.rtd",,DC$43,"."&amp;$A$43&amp;$AS$42&amp;"C"&amp;$A66))</f>
        <v>4.59</v>
      </c>
      <c r="DD66" s="83">
        <f>IF(RTD("tos.rtd",,DD$43,"."&amp;$A$43&amp;$AS$42&amp;"P"&amp;$A66)="N/A",0,RTD("tos.rtd",,DD$43,"."&amp;$A$43&amp;$AS$42&amp;"P"&amp;$A66))</f>
        <v>0.01</v>
      </c>
      <c r="DE66" s="83">
        <f>IF(RTD("tos.rtd",,DE$43,"."&amp;$A$43&amp;$AS$42&amp;"C"&amp;$A66)="N/A",0,RTD("tos.rtd",,DE$43,"."&amp;$A$43&amp;$AS$42&amp;"C"&amp;$A66))</f>
        <v>2.95</v>
      </c>
      <c r="DF66" s="83">
        <f>IF(RTD("tos.rtd",,DF$43,"."&amp;$A$43&amp;$AS$42&amp;"P"&amp;$A66)="N/A",0,RTD("tos.rtd",,DF$43,"."&amp;$A$43&amp;$AS$42&amp;"P"&amp;$A66))</f>
        <v>0</v>
      </c>
      <c r="DG66" s="86">
        <f t="shared" si="288"/>
        <v>-5.8500000000000227</v>
      </c>
      <c r="DH66" s="83">
        <f t="shared" si="389"/>
        <v>-0.23780487804878062</v>
      </c>
      <c r="DI66" s="83">
        <f t="shared" si="390"/>
        <v>-104</v>
      </c>
      <c r="DJ66" s="83">
        <f t="shared" si="391"/>
        <v>-1</v>
      </c>
      <c r="DK66" s="83">
        <f t="shared" si="256"/>
        <v>-104</v>
      </c>
      <c r="DL66" s="83">
        <f t="shared" si="257"/>
        <v>-104.23780487804878</v>
      </c>
      <c r="DM66" s="83">
        <f t="shared" si="258"/>
        <v>-105</v>
      </c>
      <c r="DN66" s="64" t="str">
        <f t="shared" si="259"/>
        <v>SELL</v>
      </c>
      <c r="DO66" s="64" t="str">
        <f t="shared" si="260"/>
        <v>BUY</v>
      </c>
      <c r="DP66" s="83">
        <f t="shared" si="261"/>
        <v>-1.6487804878048784</v>
      </c>
      <c r="DQ66" s="83">
        <f t="shared" si="262"/>
        <v>-3.6</v>
      </c>
      <c r="DR66" s="83" t="e">
        <f t="shared" ca="1" si="263"/>
        <v>#NUM!</v>
      </c>
      <c r="DS66" s="83">
        <f t="shared" si="264"/>
        <v>-2.04</v>
      </c>
      <c r="DT66" s="83">
        <f t="shared" si="289"/>
        <v>1</v>
      </c>
      <c r="DU66" s="83">
        <f t="shared" si="290"/>
        <v>-104</v>
      </c>
      <c r="DV66" s="83">
        <f t="shared" si="265"/>
        <v>8776</v>
      </c>
      <c r="DW66" s="83">
        <f t="shared" si="266"/>
        <v>3568</v>
      </c>
      <c r="DX66" s="83" t="e">
        <f t="shared" ca="1" si="392"/>
        <v>#NUM!</v>
      </c>
      <c r="DY66" s="83" t="e">
        <f t="shared" ca="1" si="393"/>
        <v>#NUM!</v>
      </c>
      <c r="DZ66" s="83">
        <f t="shared" ca="1" si="394"/>
        <v>3.320620931960417E-2</v>
      </c>
      <c r="EA66" s="83">
        <f t="shared" ca="1" si="395"/>
        <v>-2.4393629514603953E-2</v>
      </c>
      <c r="EB66" s="83">
        <f t="shared" ca="1" si="396"/>
        <v>3.7506625483925971E-2</v>
      </c>
      <c r="EC66" s="83">
        <f t="shared" ca="1" si="397"/>
        <v>-2.9502137207334883E-2</v>
      </c>
      <c r="ED66" s="63">
        <f t="shared" si="291"/>
        <v>12344</v>
      </c>
      <c r="EE66" s="84">
        <f t="shared" si="398"/>
        <v>0.25</v>
      </c>
      <c r="EF66" s="84">
        <f t="shared" si="399"/>
        <v>0.64510000000000001</v>
      </c>
      <c r="EG66" s="84">
        <f t="shared" si="400"/>
        <v>0.25</v>
      </c>
      <c r="EH66" s="84">
        <f t="shared" si="401"/>
        <v>0.37719999999999998</v>
      </c>
      <c r="EI66" s="84">
        <f t="shared" si="402"/>
        <v>0.1991</v>
      </c>
      <c r="EJ66" s="84">
        <f t="shared" si="403"/>
        <v>0.29680000000000001</v>
      </c>
      <c r="EL66" s="83" t="str">
        <f>RTD("tos.rtd",,EL$43,"."&amp;$A$43&amp;$AS$42&amp;"C"&amp;$A66)</f>
        <v>--</v>
      </c>
      <c r="EM66" s="83" t="str">
        <f>RTD("tos.rtd",,EM$43,"."&amp;$A$43&amp;$AS$42&amp;"P"&amp;$A66)</f>
        <v>64.51%</v>
      </c>
      <c r="EN66" s="83" t="str">
        <f>RTD("tos.rtd",,EN$2,"."&amp;$A$43&amp;$AU$1&amp;"C"&amp;$A66)</f>
        <v>--</v>
      </c>
      <c r="EO66" s="83" t="str">
        <f>RTD("tos.rtd",,EO$2,"."&amp;$A$43&amp;$AU$1&amp;"P"&amp;$A66)</f>
        <v>37.72%</v>
      </c>
      <c r="EP66" s="83" t="str">
        <f>RTD("tos.rtd",,EP$2,"."&amp;$A$43&amp;$AW$1&amp;"C"&amp;$A66)</f>
        <v>19.91%</v>
      </c>
      <c r="EQ66" s="83" t="str">
        <f>RTD("tos.rtd",,EQ$2,"."&amp;$A$43&amp;$AW$1&amp;"P"&amp;$A66)</f>
        <v>29.68%</v>
      </c>
      <c r="ES66" s="63" t="str">
        <f t="shared" si="273"/>
        <v>481,12344.00</v>
      </c>
      <c r="ET66" s="64" t="str">
        <f t="shared" ca="1" si="274"/>
        <v>481,00.00</v>
      </c>
      <c r="EU66" s="68">
        <v>562.27</v>
      </c>
      <c r="EV66" s="68" t="s">
        <v>548</v>
      </c>
      <c r="EW66" s="68">
        <v>484.71</v>
      </c>
      <c r="EX66" s="68" t="s">
        <v>549</v>
      </c>
      <c r="EY66" s="68">
        <v>5636</v>
      </c>
      <c r="EZ66" s="68" t="s">
        <v>550</v>
      </c>
      <c r="FA66" s="68">
        <v>19911.75</v>
      </c>
      <c r="FB66" s="68" t="s">
        <v>551</v>
      </c>
      <c r="FC66" s="68" t="s">
        <v>552</v>
      </c>
      <c r="FD66" s="68" t="s">
        <v>553</v>
      </c>
      <c r="FE66" s="68" t="s">
        <v>554</v>
      </c>
      <c r="FF66" s="68" t="s">
        <v>555</v>
      </c>
    </row>
    <row r="67" spans="1:162" ht="13.5" thickBot="1" x14ac:dyDescent="0.25">
      <c r="A67" s="2">
        <f t="shared" si="292"/>
        <v>480</v>
      </c>
      <c r="B67" s="3">
        <f t="shared" si="369"/>
        <v>8204</v>
      </c>
      <c r="C67" s="3">
        <f t="shared" si="241"/>
        <v>9920</v>
      </c>
      <c r="D67" s="3">
        <f t="shared" si="370"/>
        <v>54340</v>
      </c>
      <c r="E67" s="3">
        <f t="shared" si="371"/>
        <v>72464</v>
      </c>
      <c r="F67" s="4">
        <f t="shared" si="372"/>
        <v>19813.248433809182</v>
      </c>
      <c r="AM67" s="1">
        <v>-2884</v>
      </c>
      <c r="AN67" s="1">
        <v>-4730</v>
      </c>
      <c r="AO67" s="1">
        <v>480</v>
      </c>
      <c r="AP67" s="1">
        <v>94347</v>
      </c>
      <c r="AQ67" s="1">
        <v>-147237</v>
      </c>
      <c r="AS67" s="6">
        <f>IF(RTD("tos.rtd",,AS$43,"."&amp;$A$43&amp;$AS$42&amp;"C"&amp;$A67)="N/A",0,RTD("tos.rtd",,AS$43,"."&amp;$A$43&amp;$AS$42&amp;"C"&amp;$A67))</f>
        <v>1608</v>
      </c>
      <c r="AT67" s="7">
        <f>-IF(RTD("tos.rtd",,AT$43,"."&amp;$A$43&amp;$AS$42&amp;"P"&amp;$A67)="N/A",0,RTD("tos.rtd",,AT$43,"."&amp;$A$43&amp;$AS$42&amp;"P"&amp;$A67))</f>
        <v>-6596</v>
      </c>
      <c r="AU67" s="6">
        <f>IF(RTD("tos.rtd",,AU$2,"."&amp;$A$43&amp;$AU$1&amp;"C"&amp;$A67)="N/A",0,RTD("tos.rtd",,AU$2,"."&amp;$A$43&amp;$AU$1&amp;"C"&amp;$A67))</f>
        <v>3740</v>
      </c>
      <c r="AV67" s="7">
        <f>-IF(RTD("tos.rtd",,AV$2,"."&amp;$A$43&amp;$AU$1&amp;"P"&amp;$A67)="N/A",0,RTD("tos.rtd",,AV$2,"."&amp;$A$43&amp;$AU$1&amp;"P"&amp;$A67))</f>
        <v>-6180</v>
      </c>
      <c r="AW67" s="6">
        <f>IF(RTD("tos.rtd",,AW$2,"."&amp;$A$43&amp;$AW$1&amp;"C"&amp;$A67)="N/A",0,RTD("tos.rtd",,AW$2,"."&amp;$A$43&amp;$AW$1&amp;"C"&amp;$A67))</f>
        <v>29879</v>
      </c>
      <c r="AX67" s="7">
        <f>-IF(RTD("tos.rtd",,AX$2,"."&amp;$A$43&amp;$AW$1&amp;"P"&amp;$A67)="N/A",0,RTD("tos.rtd",,AX$2,"."&amp;$A$43&amp;$AW$1&amp;"P"&amp;$A67))</f>
        <v>-24461</v>
      </c>
      <c r="AY67" s="7">
        <f t="shared" si="373"/>
        <v>-2010</v>
      </c>
      <c r="AZ67" s="8">
        <f t="shared" si="244"/>
        <v>480</v>
      </c>
      <c r="BA67" s="6">
        <f>IF(RTD("tos.rtd",,BA$43,"."&amp;$A$43&amp;$AS$42&amp;"C"&amp;$A67)="N/A",0,RTD("tos.rtd",,BA$43,"."&amp;$A$43&amp;$AS$42&amp;"C"&amp;$A67))</f>
        <v>94357</v>
      </c>
      <c r="BB67" s="7">
        <f>-IF(RTD("tos.rtd",,BB$43,"."&amp;$A$43&amp;$AS$42&amp;"P"&amp;$A67)="N/A",0,RTD("tos.rtd",,BB$43,"."&amp;$A$43&amp;$AS$42&amp;"P"&amp;$A67))</f>
        <v>-147237</v>
      </c>
      <c r="BC67" s="6">
        <f>IF(RTD("tos.rtd",,BC$2,"."&amp;$A$43&amp;$AU$1&amp;"C"&amp;$A67)="N/A",0,RTD("tos.rtd",,BC$2,"."&amp;$A$43&amp;$AU$1&amp;"C"&amp;$A67))</f>
        <v>12039</v>
      </c>
      <c r="BD67" s="7">
        <f>-IF(RTD("tos.rtd",,BD$2,"."&amp;$A$43&amp;$AU$1&amp;"P"&amp;$A67)="N/A",0,RTD("tos.rtd",,BD$2,"."&amp;$A$43&amp;$AU$1&amp;"P"&amp;$A67))</f>
        <v>-20881</v>
      </c>
      <c r="BE67" s="6">
        <f>IF(RTD("tos.rtd",,BE$2,"."&amp;$A$43&amp;$AW$1&amp;"C"&amp;$A67)="N/A",0,RTD("tos.rtd",,BE$2,"."&amp;$A$43&amp;$AW$1&amp;"C"&amp;$A67))</f>
        <v>4903</v>
      </c>
      <c r="BF67" s="7">
        <f>-IF(RTD("tos.rtd",,BF$2,"."&amp;$A$43&amp;$AW$1&amp;"P"&amp;$A67)="N/A",0,RTD("tos.rtd",,BF$2,"."&amp;$A$43&amp;$AW$1&amp;"P"&amp;$A67))</f>
        <v>-15674</v>
      </c>
      <c r="BG67" s="32">
        <f ca="1">+Hoja2!Y68</f>
        <v>-7509</v>
      </c>
      <c r="BH67" s="7">
        <f t="shared" ca="1" si="276"/>
        <v>-80002</v>
      </c>
      <c r="BI67" s="8" t="str">
        <f t="shared" ca="1" si="293"/>
        <v>Cruce -</v>
      </c>
      <c r="BJ67" s="83" t="e">
        <f ca="1">IF($BP$1=1,DX67,IF(RTD("tos.rtd",,BJ$43,"."&amp;$A$43&amp;$AS$42&amp;"C"&amp;$A67)="N/A",0,RTD("tos.rtd",,BJ$43,"."&amp;$A$43&amp;$AS$42&amp;"C"&amp;$A67)))</f>
        <v>#NUM!</v>
      </c>
      <c r="BK67" s="83" t="e">
        <f ca="1">IF($BP$1=1,DY67,-IF(RTD("tos.rtd",,BK$43,"."&amp;$A$43&amp;$AS$42&amp;"P"&amp;$A67)="N/A",0,RTD("tos.rtd",,BK$43,"."&amp;$A$43&amp;$AS$42&amp;"P"&amp;$A67)))</f>
        <v>#NUM!</v>
      </c>
      <c r="BL67" s="83">
        <f ca="1">IF($BP$1=1,DZ67,IF(RTD("tos.rtd",,BL$2,"."&amp;$A$43&amp;$AU$1&amp;"C"&amp;$A67)="N/A",0,RTD("tos.rtd",,BL$2,"."&amp;$A$43&amp;$AU$1&amp;"C"&amp;$A67)))</f>
        <v>3.1022164517221125E-2</v>
      </c>
      <c r="BM67" s="83">
        <f ca="1">IF($BP$1=1,EA67,-IF(RTD("tos.rtd",,BM$2,"."&amp;$A$43&amp;$AU$1&amp;"P"&amp;$A67)="N/A",0,RTD("tos.rtd",,BM$2,"."&amp;$A$43&amp;$AU$1&amp;"P"&amp;$A67)))</f>
        <v>-2.3754831955802809E-2</v>
      </c>
      <c r="BN67" s="83">
        <f ca="1">IF($BP$1=1,EB67,IF(RTD("tos.rtd",,BN$2,"."&amp;$A$43&amp;$AW$1&amp;"C"&amp;$A67)="N/A",0,RTD("tos.rtd",,BN$2,"."&amp;$A$43&amp;$AW$1&amp;"C"&amp;$A67)))</f>
        <v>3.3790496456490043E-2</v>
      </c>
      <c r="BO67" s="83">
        <f ca="1">IF($BP$1=1,EC67,-IF(RTD("tos.rtd",,BO$2,"."&amp;$A$43&amp;$AW$1&amp;"P"&amp;$A67)="N/A",0,RTD("tos.rtd",,BO$2,"."&amp;$A$43&amp;$AW$1&amp;"P"&amp;$A67)))</f>
        <v>-2.8085070786966593E-2</v>
      </c>
      <c r="BQ67" s="83" t="e">
        <f t="shared" ca="1" si="374"/>
        <v>#NUM!</v>
      </c>
      <c r="BR67" s="3" t="e">
        <f t="shared" ca="1" si="278"/>
        <v>#NUM!</v>
      </c>
      <c r="BS67" s="83">
        <f t="shared" ca="1" si="375"/>
        <v>-7296031.5872317329</v>
      </c>
      <c r="BT67" s="3" t="str">
        <f t="shared" ca="1" si="280"/>
        <v>Cruce -</v>
      </c>
      <c r="BU67" s="83">
        <f t="shared" ca="1" si="376"/>
        <v>76472442.177654415</v>
      </c>
      <c r="BV67" s="83"/>
      <c r="BX67" s="83" t="e">
        <f t="shared" ca="1" si="377"/>
        <v>#NUM!</v>
      </c>
      <c r="BY67" s="83" t="e">
        <f t="shared" ca="1" si="294"/>
        <v>#NUM!</v>
      </c>
      <c r="BZ67" s="83">
        <f t="shared" ca="1" si="378"/>
        <v>-29046876.489810199</v>
      </c>
      <c r="CA67" s="83" t="str">
        <f t="shared" ca="1" si="294"/>
        <v>Cruce -</v>
      </c>
      <c r="CB67" s="83">
        <f t="shared" ca="1" si="379"/>
        <v>-65070044.034705058</v>
      </c>
      <c r="CC67" s="83" t="str">
        <f t="shared" ca="1" si="294"/>
        <v/>
      </c>
      <c r="CD67" s="83">
        <f>IF(RTD("tos.rtd",,CD$43,"."&amp;$A$43&amp;$AS$42&amp;"C"&amp;$A67)="N/A",0,RTD("tos.rtd",,CD$43,"."&amp;$A$43&amp;$AS$42&amp;"C"&amp;$A67))</f>
        <v>1</v>
      </c>
      <c r="CE67" s="83">
        <f>-IF(RTD("tos.rtd",,CE$43,"."&amp;$A$43&amp;$AS$42&amp;"P"&amp;$A67)="N/A",0,RTD("tos.rtd",,CE$43,"."&amp;$A$43&amp;$AS$42&amp;"P"&amp;$A67))</f>
        <v>0.01</v>
      </c>
      <c r="CF67" s="83">
        <f>IF(RTD("tos.rtd",,CF$2,"."&amp;$A$43&amp;$AU$1&amp;"C"&amp;$A67)="N/A",0,RTD("tos.rtd",,CF$2,"."&amp;$A$43&amp;$AU$1&amp;"C"&amp;$A67))</f>
        <v>1</v>
      </c>
      <c r="CG67" s="83">
        <f>-IF(RTD("tos.rtd",,CG$2,"."&amp;$A$43&amp;$AU$1&amp;"P"&amp;$A67)="N/A",0,RTD("tos.rtd",,CG$2,"."&amp;$A$43&amp;$AU$1&amp;"P"&amp;$A67))</f>
        <v>0.28000000000000003</v>
      </c>
      <c r="CH67" s="83">
        <f>IF(RTD("tos.rtd",,CH$2,"."&amp;$A$43&amp;$AW$1&amp;"C"&amp;$A67)="N/A",0,RTD("tos.rtd",,CH$2,"."&amp;$A$43&amp;$AW$1&amp;"C"&amp;$A67))</f>
        <v>0.7</v>
      </c>
      <c r="CI67" s="83">
        <f>-IF(RTD("tos.rtd",,CI$2,"."&amp;$A$43&amp;$AW$1&amp;"P"&amp;$A67)="N/A",0,RTD("tos.rtd",,CI$2,"."&amp;$A$43&amp;$AW$1&amp;"P"&amp;$A67))</f>
        <v>0.36</v>
      </c>
      <c r="CK67" s="83">
        <f t="shared" si="380"/>
        <v>154204</v>
      </c>
      <c r="CL67" s="83"/>
      <c r="CM67" s="83">
        <f t="shared" si="381"/>
        <v>200960</v>
      </c>
      <c r="CN67" s="83"/>
      <c r="CO67" s="83">
        <f t="shared" si="382"/>
        <v>1210934</v>
      </c>
      <c r="CP67" s="83">
        <f t="shared" si="383"/>
        <v>1566098</v>
      </c>
      <c r="CQ67" s="83">
        <f t="shared" si="384"/>
        <v>-52880</v>
      </c>
      <c r="CR67" s="83"/>
      <c r="CS67" s="83">
        <f t="shared" si="385"/>
        <v>-8842</v>
      </c>
      <c r="CT67" s="83"/>
      <c r="CU67" s="83">
        <f t="shared" si="386"/>
        <v>-10771</v>
      </c>
      <c r="CV67" s="83"/>
      <c r="CW67" s="83" t="e">
        <f t="shared" ca="1" si="387"/>
        <v>#NUM!</v>
      </c>
      <c r="CY67" s="83" t="e">
        <f t="shared" ca="1" si="388"/>
        <v>#NUM!</v>
      </c>
      <c r="CZ67" s="70" t="e">
        <f t="shared" ca="1" si="295"/>
        <v>#NUM!</v>
      </c>
      <c r="DA67" s="83">
        <f>IF(RTD("tos.rtd",,DA$43,"."&amp;$A$43&amp;$AS$42&amp;"C"&amp;$A67)="N/A",0,RTD("tos.rtd",,DA$43,"."&amp;$A$43&amp;$AS$42&amp;"C"&amp;$A67))</f>
        <v>4</v>
      </c>
      <c r="DB67" s="83">
        <f>IF(RTD("tos.rtd",,DB$43,"."&amp;$A$43&amp;$AS$42&amp;"P"&amp;$A67)="N/A",0,RTD("tos.rtd",,DB$43,"."&amp;$A$43&amp;$AS$42&amp;"P"&amp;$A67))</f>
        <v>0.01</v>
      </c>
      <c r="DC67" s="83">
        <f>IF(RTD("tos.rtd",,DC$43,"."&amp;$A$43&amp;$AS$42&amp;"C"&amp;$A67)="N/A",0,RTD("tos.rtd",,DC$43,"."&amp;$A$43&amp;$AS$42&amp;"C"&amp;$A67))</f>
        <v>5.57</v>
      </c>
      <c r="DD67" s="83">
        <f>IF(RTD("tos.rtd",,DD$43,"."&amp;$A$43&amp;$AS$42&amp;"P"&amp;$A67)="N/A",0,RTD("tos.rtd",,DD$43,"."&amp;$A$43&amp;$AS$42&amp;"P"&amp;$A67))</f>
        <v>0.01</v>
      </c>
      <c r="DE67" s="83">
        <f>IF(RTD("tos.rtd",,DE$43,"."&amp;$A$43&amp;$AS$42&amp;"C"&amp;$A67)="N/A",0,RTD("tos.rtd",,DE$43,"."&amp;$A$43&amp;$AS$42&amp;"C"&amp;$A67))</f>
        <v>2.8</v>
      </c>
      <c r="DF67" s="83">
        <f>IF(RTD("tos.rtd",,DF$43,"."&amp;$A$43&amp;$AS$42&amp;"P"&amp;$A67)="N/A",0,RTD("tos.rtd",,DF$43,"."&amp;$A$43&amp;$AS$42&amp;"P"&amp;$A67))</f>
        <v>0</v>
      </c>
      <c r="DG67" s="86">
        <f t="shared" si="288"/>
        <v>-6.8500000000000227</v>
      </c>
      <c r="DH67" s="83">
        <f t="shared" si="389"/>
        <v>4.3321299638989172</v>
      </c>
      <c r="DI67" s="83">
        <f t="shared" si="390"/>
        <v>0</v>
      </c>
      <c r="DJ67" s="83">
        <f t="shared" si="391"/>
        <v>0</v>
      </c>
      <c r="DK67" s="83">
        <f t="shared" si="256"/>
        <v>0</v>
      </c>
      <c r="DL67" s="83">
        <f t="shared" si="257"/>
        <v>4.3321299638989172</v>
      </c>
      <c r="DM67" s="83">
        <f t="shared" si="258"/>
        <v>0</v>
      </c>
      <c r="DN67" s="64" t="str">
        <f t="shared" si="259"/>
        <v>UNKNOWN</v>
      </c>
      <c r="DO67" s="64" t="str">
        <f t="shared" si="260"/>
        <v>UNKNOWN</v>
      </c>
      <c r="DP67" s="83">
        <f t="shared" si="261"/>
        <v>17.328519855595669</v>
      </c>
      <c r="DQ67" s="83">
        <f t="shared" si="262"/>
        <v>0</v>
      </c>
      <c r="DR67" s="83" t="e">
        <f t="shared" ca="1" si="263"/>
        <v>#NUM!</v>
      </c>
      <c r="DS67" s="83">
        <f t="shared" si="264"/>
        <v>0</v>
      </c>
      <c r="DT67" s="83">
        <f t="shared" si="289"/>
        <v>10</v>
      </c>
      <c r="DU67" s="83">
        <f t="shared" si="290"/>
        <v>0</v>
      </c>
      <c r="DV67" s="83">
        <f t="shared" si="265"/>
        <v>-2884</v>
      </c>
      <c r="DW67" s="83">
        <f t="shared" si="266"/>
        <v>-4730</v>
      </c>
      <c r="DX67" s="83" t="e">
        <f t="shared" ca="1" si="392"/>
        <v>#NUM!</v>
      </c>
      <c r="DY67" s="83" t="e">
        <f t="shared" ca="1" si="393"/>
        <v>#NUM!</v>
      </c>
      <c r="DZ67" s="83">
        <f t="shared" ca="1" si="394"/>
        <v>3.1022164517221125E-2</v>
      </c>
      <c r="EA67" s="83">
        <f t="shared" ca="1" si="395"/>
        <v>-2.3754831955802809E-2</v>
      </c>
      <c r="EB67" s="83">
        <f t="shared" ca="1" si="396"/>
        <v>3.3790496456490043E-2</v>
      </c>
      <c r="EC67" s="83">
        <f t="shared" ca="1" si="397"/>
        <v>-2.8085070786966593E-2</v>
      </c>
      <c r="ED67" s="63">
        <f t="shared" si="291"/>
        <v>-7614</v>
      </c>
      <c r="EE67" s="84">
        <f t="shared" si="398"/>
        <v>0.25</v>
      </c>
      <c r="EF67" s="84">
        <f t="shared" si="399"/>
        <v>0.74260000000000004</v>
      </c>
      <c r="EG67" s="84">
        <f t="shared" si="400"/>
        <v>0.25</v>
      </c>
      <c r="EH67" s="84">
        <f t="shared" si="401"/>
        <v>0.37530000000000002</v>
      </c>
      <c r="EI67" s="84">
        <f t="shared" si="402"/>
        <v>0.1968</v>
      </c>
      <c r="EJ67" s="84">
        <f t="shared" si="403"/>
        <v>0.29709999999999998</v>
      </c>
      <c r="EL67" s="83" t="str">
        <f>RTD("tos.rtd",,EL$43,"."&amp;$A$43&amp;$AS$42&amp;"C"&amp;$A67)</f>
        <v>--</v>
      </c>
      <c r="EM67" s="83" t="str">
        <f>RTD("tos.rtd",,EM$43,"."&amp;$A$43&amp;$AS$42&amp;"P"&amp;$A67)</f>
        <v>74.26%</v>
      </c>
      <c r="EN67" s="83" t="str">
        <f>RTD("tos.rtd",,EN$2,"."&amp;$A$43&amp;$AU$1&amp;"C"&amp;$A67)</f>
        <v>--</v>
      </c>
      <c r="EO67" s="83" t="str">
        <f>RTD("tos.rtd",,EO$2,"."&amp;$A$43&amp;$AU$1&amp;"P"&amp;$A67)</f>
        <v>37.53%</v>
      </c>
      <c r="EP67" s="83" t="str">
        <f>RTD("tos.rtd",,EP$2,"."&amp;$A$43&amp;$AW$1&amp;"C"&amp;$A67)</f>
        <v>19.68%</v>
      </c>
      <c r="EQ67" s="83" t="str">
        <f>RTD("tos.rtd",,EQ$2,"."&amp;$A$43&amp;$AW$1&amp;"P"&amp;$A67)</f>
        <v>29.71%</v>
      </c>
      <c r="ES67" s="63" t="str">
        <f t="shared" si="273"/>
        <v>480,-7614.00</v>
      </c>
      <c r="ET67" s="64" t="str">
        <f t="shared" ca="1" si="274"/>
        <v>480,00.00</v>
      </c>
      <c r="EU67" s="68">
        <v>562.11</v>
      </c>
      <c r="EV67" s="68" t="s">
        <v>556</v>
      </c>
      <c r="EW67" s="68">
        <v>484.61</v>
      </c>
      <c r="EX67" s="68" t="s">
        <v>557</v>
      </c>
      <c r="EY67" s="68">
        <v>5634.5</v>
      </c>
      <c r="EZ67" s="68" t="s">
        <v>558</v>
      </c>
      <c r="FA67" s="68">
        <v>19904.5</v>
      </c>
      <c r="FB67" s="68" t="s">
        <v>559</v>
      </c>
      <c r="FC67" s="68" t="s">
        <v>560</v>
      </c>
      <c r="FD67" s="68" t="s">
        <v>561</v>
      </c>
      <c r="FE67" s="68" t="s">
        <v>562</v>
      </c>
      <c r="FF67" s="68" t="s">
        <v>563</v>
      </c>
    </row>
    <row r="68" spans="1:162" ht="13.5" thickBot="1" x14ac:dyDescent="0.25">
      <c r="A68" s="2">
        <f t="shared" si="292"/>
        <v>479</v>
      </c>
      <c r="B68" s="3">
        <f t="shared" si="369"/>
        <v>3797</v>
      </c>
      <c r="C68" s="3">
        <f t="shared" si="241"/>
        <v>2758</v>
      </c>
      <c r="D68" s="3">
        <f t="shared" si="370"/>
        <v>455</v>
      </c>
      <c r="E68" s="3">
        <f t="shared" si="371"/>
        <v>7010</v>
      </c>
      <c r="F68" s="4">
        <f t="shared" si="372"/>
        <v>19771.970832905412</v>
      </c>
      <c r="AM68" s="1">
        <v>-1993</v>
      </c>
      <c r="AN68" s="1">
        <v>4058</v>
      </c>
      <c r="AO68" s="1">
        <v>479</v>
      </c>
      <c r="AP68" s="1">
        <v>31383</v>
      </c>
      <c r="AQ68" s="1">
        <v>-90797</v>
      </c>
      <c r="AS68" s="6">
        <f>IF(RTD("tos.rtd",,AS$43,"."&amp;$A$43&amp;$AS$42&amp;"C"&amp;$A68)="N/A",0,RTD("tos.rtd",,AS$43,"."&amp;$A$43&amp;$AS$42&amp;"C"&amp;$A68))</f>
        <v>861</v>
      </c>
      <c r="AT68" s="7">
        <f>-IF(RTD("tos.rtd",,AT$43,"."&amp;$A$43&amp;$AS$42&amp;"P"&amp;$A68)="N/A",0,RTD("tos.rtd",,AT$43,"."&amp;$A$43&amp;$AS$42&amp;"P"&amp;$A68))</f>
        <v>-2936</v>
      </c>
      <c r="AU68" s="6">
        <f>IF(RTD("tos.rtd",,AU$2,"."&amp;$A$43&amp;$AU$1&amp;"C"&amp;$A68)="N/A",0,RTD("tos.rtd",,AU$2,"."&amp;$A$43&amp;$AU$1&amp;"C"&amp;$A68))</f>
        <v>688</v>
      </c>
      <c r="AV68" s="7">
        <f>-IF(RTD("tos.rtd",,AV$2,"."&amp;$A$43&amp;$AU$1&amp;"P"&amp;$A68)="N/A",0,RTD("tos.rtd",,AV$2,"."&amp;$A$43&amp;$AU$1&amp;"P"&amp;$A68))</f>
        <v>-2070</v>
      </c>
      <c r="AW68" s="6">
        <f>IF(RTD("tos.rtd",,AW$2,"."&amp;$A$43&amp;$AW$1&amp;"C"&amp;$A68)="N/A",0,RTD("tos.rtd",,AW$2,"."&amp;$A$43&amp;$AW$1&amp;"C"&amp;$A68))</f>
        <v>95</v>
      </c>
      <c r="AX68" s="7">
        <f>-IF(RTD("tos.rtd",,AX$2,"."&amp;$A$43&amp;$AW$1&amp;"P"&amp;$A68)="N/A",0,RTD("tos.rtd",,AX$2,"."&amp;$A$43&amp;$AW$1&amp;"P"&amp;$A68))</f>
        <v>-360</v>
      </c>
      <c r="AY68" s="7">
        <f t="shared" si="373"/>
        <v>-3722</v>
      </c>
      <c r="AZ68" s="8">
        <f t="shared" si="244"/>
        <v>479</v>
      </c>
      <c r="BA68" s="6">
        <f>IF(RTD("tos.rtd",,BA$43,"."&amp;$A$43&amp;$AS$42&amp;"C"&amp;$A68)="N/A",0,RTD("tos.rtd",,BA$43,"."&amp;$A$43&amp;$AS$42&amp;"C"&amp;$A68))</f>
        <v>31383</v>
      </c>
      <c r="BB68" s="7">
        <f>-IF(RTD("tos.rtd",,BB$43,"."&amp;$A$43&amp;$AS$42&amp;"P"&amp;$A68)="N/A",0,RTD("tos.rtd",,BB$43,"."&amp;$A$43&amp;$AS$42&amp;"P"&amp;$A68))</f>
        <v>-90797</v>
      </c>
      <c r="BC68" s="6">
        <f>IF(RTD("tos.rtd",,BC$2,"."&amp;$A$43&amp;$AU$1&amp;"C"&amp;$A68)="N/A",0,RTD("tos.rtd",,BC$2,"."&amp;$A$43&amp;$AU$1&amp;"C"&amp;$A68))</f>
        <v>2028</v>
      </c>
      <c r="BD68" s="7">
        <f>-IF(RTD("tos.rtd",,BD$2,"."&amp;$A$43&amp;$AU$1&amp;"P"&amp;$A68)="N/A",0,RTD("tos.rtd",,BD$2,"."&amp;$A$43&amp;$AU$1&amp;"P"&amp;$A68))</f>
        <v>-6333</v>
      </c>
      <c r="BE68" s="6">
        <f>IF(RTD("tos.rtd",,BE$2,"."&amp;$A$43&amp;$AW$1&amp;"C"&amp;$A68)="N/A",0,RTD("tos.rtd",,BE$2,"."&amp;$A$43&amp;$AW$1&amp;"C"&amp;$A68))</f>
        <v>238</v>
      </c>
      <c r="BF68" s="7">
        <f>-IF(RTD("tos.rtd",,BF$2,"."&amp;$A$43&amp;$AW$1&amp;"P"&amp;$A68)="N/A",0,RTD("tos.rtd",,BF$2,"."&amp;$A$43&amp;$AW$1&amp;"P"&amp;$A68))</f>
        <v>-1095</v>
      </c>
      <c r="BG68" s="32">
        <f ca="1">+Hoja2!Y69</f>
        <v>-320</v>
      </c>
      <c r="BH68" s="7">
        <f t="shared" ca="1" si="276"/>
        <v>-64896</v>
      </c>
      <c r="BI68" s="8" t="str">
        <f t="shared" ca="1" si="293"/>
        <v/>
      </c>
      <c r="BJ68" s="83" t="e">
        <f ca="1">IF($BP$1=1,DX68,IF(RTD("tos.rtd",,BJ$43,"."&amp;$A$43&amp;$AS$42&amp;"C"&amp;$A68)="N/A",0,RTD("tos.rtd",,BJ$43,"."&amp;$A$43&amp;$AS$42&amp;"C"&amp;$A68)))</f>
        <v>#NUM!</v>
      </c>
      <c r="BK68" s="83" t="e">
        <f ca="1">IF($BP$1=1,DY68,-IF(RTD("tos.rtd",,BK$43,"."&amp;$A$43&amp;$AS$42&amp;"P"&amp;$A68)="N/A",0,RTD("tos.rtd",,BK$43,"."&amp;$A$43&amp;$AS$42&amp;"P"&amp;$A68)))</f>
        <v>#NUM!</v>
      </c>
      <c r="BL68" s="83">
        <f ca="1">IF($BP$1=1,DZ68,IF(RTD("tos.rtd",,BL$2,"."&amp;$A$43&amp;$AU$1&amp;"C"&amp;$A68)="N/A",0,RTD("tos.rtd",,BL$2,"."&amp;$A$43&amp;$AU$1&amp;"C"&amp;$A68)))</f>
        <v>2.8676982832025268E-2</v>
      </c>
      <c r="BM68" s="83">
        <f ca="1">IF($BP$1=1,EA68,-IF(RTD("tos.rtd",,BM$2,"."&amp;$A$43&amp;$AU$1&amp;"P"&amp;$A68)="N/A",0,RTD("tos.rtd",,BM$2,"."&amp;$A$43&amp;$AU$1&amp;"P"&amp;$A68)))</f>
        <v>-2.2966250939347066E-2</v>
      </c>
      <c r="BN68" s="83">
        <f ca="1">IF($BP$1=1,EB68,IF(RTD("tos.rtd",,BN$2,"."&amp;$A$43&amp;$AW$1&amp;"C"&amp;$A68)="N/A",0,RTD("tos.rtd",,BN$2,"."&amp;$A$43&amp;$AW$1&amp;"C"&amp;$A68)))</f>
        <v>2.9771978142452752E-2</v>
      </c>
      <c r="BO68" s="83">
        <f ca="1">IF($BP$1=1,EC68,-IF(RTD("tos.rtd",,BO$2,"."&amp;$A$43&amp;$AW$1&amp;"P"&amp;$A68)="N/A",0,RTD("tos.rtd",,BO$2,"."&amp;$A$43&amp;$AW$1&amp;"P"&amp;$A68)))</f>
        <v>-2.6499051705258472E-2</v>
      </c>
      <c r="BQ68" s="83" t="e">
        <f t="shared" ca="1" si="374"/>
        <v>#NUM!</v>
      </c>
      <c r="BR68" s="3" t="e">
        <f t="shared" ca="1" si="278"/>
        <v>#NUM!</v>
      </c>
      <c r="BS68" s="83">
        <f t="shared" ca="1" si="375"/>
        <v>-6591696.4190023718</v>
      </c>
      <c r="BT68" s="3" t="str">
        <f t="shared" ca="1" si="280"/>
        <v/>
      </c>
      <c r="BU68" s="83">
        <f t="shared" ca="1" si="376"/>
        <v>-1590736.8438638537</v>
      </c>
      <c r="BV68" s="83"/>
      <c r="BX68" s="83" t="e">
        <f t="shared" ca="1" si="377"/>
        <v>#NUM!</v>
      </c>
      <c r="BY68" s="83" t="e">
        <f t="shared" ca="1" si="294"/>
        <v>#NUM!</v>
      </c>
      <c r="BZ68" s="83">
        <f t="shared" ca="1" si="378"/>
        <v>-20689338.872793987</v>
      </c>
      <c r="CA68" s="83" t="str">
        <f t="shared" ca="1" si="294"/>
        <v/>
      </c>
      <c r="CB68" s="83">
        <f t="shared" ca="1" si="379"/>
        <v>-5198085.9113641689</v>
      </c>
      <c r="CC68" s="83" t="str">
        <f t="shared" ca="1" si="294"/>
        <v/>
      </c>
      <c r="CD68" s="83">
        <f>IF(RTD("tos.rtd",,CD$43,"."&amp;$A$43&amp;$AS$42&amp;"C"&amp;$A68)="N/A",0,RTD("tos.rtd",,CD$43,"."&amp;$A$43&amp;$AS$42&amp;"C"&amp;$A68))</f>
        <v>1</v>
      </c>
      <c r="CE68" s="83">
        <f>-IF(RTD("tos.rtd",,CE$43,"."&amp;$A$43&amp;$AS$42&amp;"P"&amp;$A68)="N/A",0,RTD("tos.rtd",,CE$43,"."&amp;$A$43&amp;$AS$42&amp;"P"&amp;$A68))</f>
        <v>0.01</v>
      </c>
      <c r="CF68" s="83">
        <f>IF(RTD("tos.rtd",,CF$2,"."&amp;$A$43&amp;$AU$1&amp;"C"&amp;$A68)="N/A",0,RTD("tos.rtd",,CF$2,"."&amp;$A$43&amp;$AU$1&amp;"C"&amp;$A68))</f>
        <v>1</v>
      </c>
      <c r="CG68" s="83">
        <f>-IF(RTD("tos.rtd",,CG$2,"."&amp;$A$43&amp;$AU$1&amp;"P"&amp;$A68)="N/A",0,RTD("tos.rtd",,CG$2,"."&amp;$A$43&amp;$AU$1&amp;"P"&amp;$A68))</f>
        <v>0.26</v>
      </c>
      <c r="CH68" s="83">
        <f>IF(RTD("tos.rtd",,CH$2,"."&amp;$A$43&amp;$AW$1&amp;"C"&amp;$A68)="N/A",0,RTD("tos.rtd",,CH$2,"."&amp;$A$43&amp;$AW$1&amp;"C"&amp;$A68))</f>
        <v>0.72</v>
      </c>
      <c r="CI68" s="83">
        <f>-IF(RTD("tos.rtd",,CI$2,"."&amp;$A$43&amp;$AW$1&amp;"P"&amp;$A68)="N/A",0,RTD("tos.rtd",,CI$2,"."&amp;$A$43&amp;$AW$1&amp;"P"&amp;$A68))</f>
        <v>0.35</v>
      </c>
      <c r="CK68" s="83">
        <f t="shared" si="380"/>
        <v>83164</v>
      </c>
      <c r="CL68" s="83"/>
      <c r="CM68" s="83">
        <f t="shared" si="381"/>
        <v>14979.999999999993</v>
      </c>
      <c r="CN68" s="83"/>
      <c r="CO68" s="83">
        <f t="shared" si="382"/>
        <v>-5759.9999999999991</v>
      </c>
      <c r="CP68" s="83">
        <f t="shared" si="383"/>
        <v>92384</v>
      </c>
      <c r="CQ68" s="83">
        <f t="shared" si="384"/>
        <v>-59414</v>
      </c>
      <c r="CR68" s="83"/>
      <c r="CS68" s="83">
        <f t="shared" si="385"/>
        <v>-4305</v>
      </c>
      <c r="CT68" s="83"/>
      <c r="CU68" s="83">
        <f t="shared" si="386"/>
        <v>-857</v>
      </c>
      <c r="CV68" s="83"/>
      <c r="CW68" s="83" t="e">
        <f t="shared" ca="1" si="387"/>
        <v>#NUM!</v>
      </c>
      <c r="CY68" s="83" t="e">
        <f t="shared" ca="1" si="388"/>
        <v>#NUM!</v>
      </c>
      <c r="CZ68" s="70" t="e">
        <f t="shared" ca="1" si="295"/>
        <v>#NUM!</v>
      </c>
      <c r="DA68" s="83">
        <f>IF(RTD("tos.rtd",,DA$43,"."&amp;$A$43&amp;$AS$42&amp;"C"&amp;$A68)="N/A",0,RTD("tos.rtd",,DA$43,"."&amp;$A$43&amp;$AS$42&amp;"C"&amp;$A68))</f>
        <v>3.56</v>
      </c>
      <c r="DB68" s="83">
        <f>IF(RTD("tos.rtd",,DB$43,"."&amp;$A$43&amp;$AS$42&amp;"P"&amp;$A68)="N/A",0,RTD("tos.rtd",,DB$43,"."&amp;$A$43&amp;$AS$42&amp;"P"&amp;$A68))</f>
        <v>0.01</v>
      </c>
      <c r="DC68" s="83">
        <f>IF(RTD("tos.rtd",,DC$43,"."&amp;$A$43&amp;$AS$42&amp;"C"&amp;$A68)="N/A",0,RTD("tos.rtd",,DC$43,"."&amp;$A$43&amp;$AS$42&amp;"C"&amp;$A68))</f>
        <v>6.64</v>
      </c>
      <c r="DD68" s="83">
        <f>IF(RTD("tos.rtd",,DD$43,"."&amp;$A$43&amp;$AS$42&amp;"P"&amp;$A68)="N/A",0,RTD("tos.rtd",,DD$43,"."&amp;$A$43&amp;$AS$42&amp;"P"&amp;$A68))</f>
        <v>0.01</v>
      </c>
      <c r="DE68" s="83">
        <f>IF(RTD("tos.rtd",,DE$43,"."&amp;$A$43&amp;$AS$42&amp;"C"&amp;$A68)="N/A",0,RTD("tos.rtd",,DE$43,"."&amp;$A$43&amp;$AS$42&amp;"C"&amp;$A68))</f>
        <v>3.54</v>
      </c>
      <c r="DF68" s="83">
        <f>IF(RTD("tos.rtd",,DF$43,"."&amp;$A$43&amp;$AS$42&amp;"P"&amp;$A68)="N/A",0,RTD("tos.rtd",,DF$43,"."&amp;$A$43&amp;$AS$42&amp;"P"&amp;$A68))</f>
        <v>0</v>
      </c>
      <c r="DG68" s="86">
        <f t="shared" si="288"/>
        <v>-7.8500000000000227</v>
      </c>
      <c r="DH68" s="83">
        <f t="shared" si="389"/>
        <v>0</v>
      </c>
      <c r="DI68" s="83">
        <f t="shared" si="390"/>
        <v>0</v>
      </c>
      <c r="DJ68" s="83">
        <f t="shared" si="391"/>
        <v>0</v>
      </c>
      <c r="DK68" s="83">
        <f t="shared" si="256"/>
        <v>0</v>
      </c>
      <c r="DL68" s="83">
        <f t="shared" si="257"/>
        <v>0</v>
      </c>
      <c r="DM68" s="83">
        <f t="shared" si="258"/>
        <v>0</v>
      </c>
      <c r="DN68" s="64" t="str">
        <f t="shared" si="259"/>
        <v>UNKNOWN</v>
      </c>
      <c r="DO68" s="64" t="str">
        <f t="shared" si="260"/>
        <v>UNKNOWN</v>
      </c>
      <c r="DP68" s="83">
        <f t="shared" si="261"/>
        <v>0</v>
      </c>
      <c r="DQ68" s="83">
        <f t="shared" si="262"/>
        <v>0</v>
      </c>
      <c r="DR68" s="83" t="e">
        <f t="shared" ca="1" si="263"/>
        <v>#NUM!</v>
      </c>
      <c r="DS68" s="83">
        <f t="shared" si="264"/>
        <v>0</v>
      </c>
      <c r="DT68" s="83">
        <f t="shared" si="289"/>
        <v>0</v>
      </c>
      <c r="DU68" s="83">
        <f t="shared" si="290"/>
        <v>0</v>
      </c>
      <c r="DV68" s="83">
        <f t="shared" si="265"/>
        <v>-1993</v>
      </c>
      <c r="DW68" s="83">
        <f t="shared" si="266"/>
        <v>4058</v>
      </c>
      <c r="DX68" s="83" t="e">
        <f t="shared" ca="1" si="392"/>
        <v>#NUM!</v>
      </c>
      <c r="DY68" s="83" t="e">
        <f t="shared" ca="1" si="393"/>
        <v>#NUM!</v>
      </c>
      <c r="DZ68" s="83">
        <f t="shared" ca="1" si="394"/>
        <v>2.8676982832025268E-2</v>
      </c>
      <c r="EA68" s="83">
        <f t="shared" ca="1" si="395"/>
        <v>-2.2966250939347066E-2</v>
      </c>
      <c r="EB68" s="83">
        <f t="shared" ca="1" si="396"/>
        <v>2.9771978142452752E-2</v>
      </c>
      <c r="EC68" s="83">
        <f t="shared" ca="1" si="397"/>
        <v>-2.6499051705258472E-2</v>
      </c>
      <c r="ED68" s="63">
        <f t="shared" si="291"/>
        <v>2065</v>
      </c>
      <c r="EE68" s="84">
        <f t="shared" si="398"/>
        <v>0.25</v>
      </c>
      <c r="EF68" s="84">
        <f t="shared" si="399"/>
        <v>0.83909999999999996</v>
      </c>
      <c r="EG68" s="84">
        <f t="shared" si="400"/>
        <v>0.25</v>
      </c>
      <c r="EH68" s="84">
        <f t="shared" si="401"/>
        <v>0.37440000000000001</v>
      </c>
      <c r="EI68" s="84">
        <f t="shared" si="402"/>
        <v>0.1956</v>
      </c>
      <c r="EJ68" s="84">
        <f t="shared" si="403"/>
        <v>0.29830000000000001</v>
      </c>
      <c r="EL68" s="83" t="str">
        <f>RTD("tos.rtd",,EL$43,"."&amp;$A$43&amp;$AS$42&amp;"C"&amp;$A68)</f>
        <v>--</v>
      </c>
      <c r="EM68" s="83" t="str">
        <f>RTD("tos.rtd",,EM$43,"."&amp;$A$43&amp;$AS$42&amp;"P"&amp;$A68)</f>
        <v>83.91%</v>
      </c>
      <c r="EN68" s="83" t="str">
        <f>RTD("tos.rtd",,EN$2,"."&amp;$A$43&amp;$AU$1&amp;"C"&amp;$A68)</f>
        <v>--</v>
      </c>
      <c r="EO68" s="83" t="str">
        <f>RTD("tos.rtd",,EO$2,"."&amp;$A$43&amp;$AU$1&amp;"P"&amp;$A68)</f>
        <v>37.44%</v>
      </c>
      <c r="EP68" s="83" t="str">
        <f>RTD("tos.rtd",,EP$2,"."&amp;$A$43&amp;$AW$1&amp;"C"&amp;$A68)</f>
        <v>19.56%</v>
      </c>
      <c r="EQ68" s="83" t="str">
        <f>RTD("tos.rtd",,EQ$2,"."&amp;$A$43&amp;$AW$1&amp;"P"&amp;$A68)</f>
        <v>29.83%</v>
      </c>
      <c r="ES68" s="63" t="str">
        <f t="shared" si="273"/>
        <v>479,2065.00</v>
      </c>
      <c r="ET68" s="64" t="str">
        <f t="shared" ca="1" si="274"/>
        <v>479,00.00</v>
      </c>
      <c r="EU68" s="68">
        <v>562.01</v>
      </c>
      <c r="EV68" s="68" t="s">
        <v>564</v>
      </c>
      <c r="EW68" s="68">
        <v>484.39</v>
      </c>
      <c r="EX68" s="68" t="s">
        <v>565</v>
      </c>
      <c r="EY68" s="68">
        <v>5633.25</v>
      </c>
      <c r="EZ68" s="68" t="s">
        <v>566</v>
      </c>
      <c r="FA68" s="68">
        <v>19900</v>
      </c>
      <c r="FB68" s="68" t="s">
        <v>567</v>
      </c>
      <c r="FC68" s="68" t="s">
        <v>568</v>
      </c>
      <c r="FD68" s="68" t="s">
        <v>569</v>
      </c>
      <c r="FE68" s="68" t="s">
        <v>570</v>
      </c>
      <c r="FF68" s="68" t="s">
        <v>571</v>
      </c>
    </row>
    <row r="69" spans="1:162" ht="13.5" thickBot="1" x14ac:dyDescent="0.25">
      <c r="A69" s="2">
        <f t="shared" si="292"/>
        <v>478</v>
      </c>
      <c r="B69" s="3">
        <f t="shared" si="369"/>
        <v>5254</v>
      </c>
      <c r="C69" s="3">
        <f t="shared" si="241"/>
        <v>2877</v>
      </c>
      <c r="D69" s="3">
        <f t="shared" si="370"/>
        <v>1188</v>
      </c>
      <c r="E69" s="3">
        <f t="shared" si="371"/>
        <v>9319</v>
      </c>
      <c r="F69" s="4">
        <f t="shared" si="372"/>
        <v>19730.693232001642</v>
      </c>
      <c r="AM69" s="1">
        <v>-5434</v>
      </c>
      <c r="AN69" s="1">
        <v>295</v>
      </c>
      <c r="AO69" s="1">
        <v>478</v>
      </c>
      <c r="AP69" s="1">
        <v>27577</v>
      </c>
      <c r="AQ69" s="1">
        <v>-81844</v>
      </c>
      <c r="AS69" s="6">
        <f>IF(RTD("tos.rtd",,AS$43,"."&amp;$A$43&amp;$AS$42&amp;"C"&amp;$A69)="N/A",0,RTD("tos.rtd",,AS$43,"."&amp;$A$43&amp;$AS$42&amp;"C"&amp;$A69))</f>
        <v>1393</v>
      </c>
      <c r="AT69" s="7">
        <f>-IF(RTD("tos.rtd",,AT$43,"."&amp;$A$43&amp;$AS$42&amp;"P"&amp;$A69)="N/A",0,RTD("tos.rtd",,AT$43,"."&amp;$A$43&amp;$AS$42&amp;"P"&amp;$A69))</f>
        <v>-3861</v>
      </c>
      <c r="AU69" s="6">
        <f>IF(RTD("tos.rtd",,AU$2,"."&amp;$A$43&amp;$AU$1&amp;"C"&amp;$A69)="N/A",0,RTD("tos.rtd",,AU$2,"."&amp;$A$43&amp;$AU$1&amp;"C"&amp;$A69))</f>
        <v>845</v>
      </c>
      <c r="AV69" s="7">
        <f>-IF(RTD("tos.rtd",,AV$2,"."&amp;$A$43&amp;$AU$1&amp;"P"&amp;$A69)="N/A",0,RTD("tos.rtd",,AV$2,"."&amp;$A$43&amp;$AU$1&amp;"P"&amp;$A69))</f>
        <v>-2032</v>
      </c>
      <c r="AW69" s="6">
        <f>IF(RTD("tos.rtd",,AW$2,"."&amp;$A$43&amp;$AW$1&amp;"C"&amp;$A69)="N/A",0,RTD("tos.rtd",,AW$2,"."&amp;$A$43&amp;$AW$1&amp;"C"&amp;$A69))</f>
        <v>541</v>
      </c>
      <c r="AX69" s="7">
        <f>-IF(RTD("tos.rtd",,AX$2,"."&amp;$A$43&amp;$AW$1&amp;"P"&amp;$A69)="N/A",0,RTD("tos.rtd",,AX$2,"."&amp;$A$43&amp;$AW$1&amp;"P"&amp;$A69))</f>
        <v>-647</v>
      </c>
      <c r="AY69" s="7">
        <f t="shared" si="373"/>
        <v>-3761</v>
      </c>
      <c r="AZ69" s="8">
        <f t="shared" si="244"/>
        <v>478</v>
      </c>
      <c r="BA69" s="6">
        <f>IF(RTD("tos.rtd",,BA$43,"."&amp;$A$43&amp;$AS$42&amp;"C"&amp;$A69)="N/A",0,RTD("tos.rtd",,BA$43,"."&amp;$A$43&amp;$AS$42&amp;"C"&amp;$A69))</f>
        <v>27577</v>
      </c>
      <c r="BB69" s="7">
        <f>-IF(RTD("tos.rtd",,BB$43,"."&amp;$A$43&amp;$AS$42&amp;"P"&amp;$A69)="N/A",0,RTD("tos.rtd",,BB$43,"."&amp;$A$43&amp;$AS$42&amp;"P"&amp;$A69))</f>
        <v>-81850</v>
      </c>
      <c r="BC69" s="6">
        <f>IF(RTD("tos.rtd",,BC$2,"."&amp;$A$43&amp;$AU$1&amp;"C"&amp;$A69)="N/A",0,RTD("tos.rtd",,BC$2,"."&amp;$A$43&amp;$AU$1&amp;"C"&amp;$A69))</f>
        <v>1713</v>
      </c>
      <c r="BD69" s="7">
        <f>-IF(RTD("tos.rtd",,BD$2,"."&amp;$A$43&amp;$AU$1&amp;"P"&amp;$A69)="N/A",0,RTD("tos.rtd",,BD$2,"."&amp;$A$43&amp;$AU$1&amp;"P"&amp;$A69))</f>
        <v>-8206</v>
      </c>
      <c r="BE69" s="6">
        <f>IF(RTD("tos.rtd",,BE$2,"."&amp;$A$43&amp;$AW$1&amp;"C"&amp;$A69)="N/A",0,RTD("tos.rtd",,BE$2,"."&amp;$A$43&amp;$AW$1&amp;"C"&amp;$A69))</f>
        <v>242</v>
      </c>
      <c r="BF69" s="7">
        <f>-IF(RTD("tos.rtd",,BF$2,"."&amp;$A$43&amp;$AW$1&amp;"P"&amp;$A69)="N/A",0,RTD("tos.rtd",,BF$2,"."&amp;$A$43&amp;$AW$1&amp;"P"&amp;$A69))</f>
        <v>-663</v>
      </c>
      <c r="BG69" s="32">
        <f ca="1">+Hoja2!Y70</f>
        <v>-133</v>
      </c>
      <c r="BH69" s="7">
        <f t="shared" ca="1" si="276"/>
        <v>-61320</v>
      </c>
      <c r="BI69" s="8" t="str">
        <f t="shared" ca="1" si="293"/>
        <v/>
      </c>
      <c r="BJ69" s="83" t="e">
        <f ca="1">IF($BP$1=1,DX69,IF(RTD("tos.rtd",,BJ$43,"."&amp;$A$43&amp;$AS$42&amp;"C"&amp;$A69)="N/A",0,RTD("tos.rtd",,BJ$43,"."&amp;$A$43&amp;$AS$42&amp;"C"&amp;$A69)))</f>
        <v>#NUM!</v>
      </c>
      <c r="BK69" s="83" t="e">
        <f ca="1">IF($BP$1=1,DY69,-IF(RTD("tos.rtd",,BK$43,"."&amp;$A$43&amp;$AS$42&amp;"P"&amp;$A69)="N/A",0,RTD("tos.rtd",,BK$43,"."&amp;$A$43&amp;$AS$42&amp;"P"&amp;$A69)))</f>
        <v>#NUM!</v>
      </c>
      <c r="BL69" s="83">
        <f ca="1">IF($BP$1=1,DZ69,IF(RTD("tos.rtd",,BL$2,"."&amp;$A$43&amp;$AU$1&amp;"C"&amp;$A69)="N/A",0,RTD("tos.rtd",,BL$2,"."&amp;$A$43&amp;$AU$1&amp;"C"&amp;$A69)))</f>
        <v>2.6228576003425118E-2</v>
      </c>
      <c r="BM69" s="83">
        <f ca="1">IF($BP$1=1,EA69,-IF(RTD("tos.rtd",,BM$2,"."&amp;$A$43&amp;$AU$1&amp;"P"&amp;$A69)="N/A",0,RTD("tos.rtd",,BM$2,"."&amp;$A$43&amp;$AU$1&amp;"P"&amp;$A69)))</f>
        <v>-2.2068667768160893E-2</v>
      </c>
      <c r="BN69" s="83">
        <f ca="1">IF($BP$1=1,EB69,IF(RTD("tos.rtd",,BN$2,"."&amp;$A$43&amp;$AW$1&amp;"C"&amp;$A69)="N/A",0,RTD("tos.rtd",,BN$2,"."&amp;$A$43&amp;$AW$1&amp;"C"&amp;$A69)))</f>
        <v>2.5721307729849159E-2</v>
      </c>
      <c r="BO69" s="83">
        <f ca="1">IF($BP$1=1,EC69,-IF(RTD("tos.rtd",,BO$2,"."&amp;$A$43&amp;$AW$1&amp;"P"&amp;$A69)="N/A",0,RTD("tos.rtd",,BO$2,"."&amp;$A$43&amp;$AW$1&amp;"P"&amp;$A69)))</f>
        <v>-2.4856945438407722E-2</v>
      </c>
      <c r="BQ69" s="83" t="e">
        <f t="shared" ca="1" si="374"/>
        <v>#NUM!</v>
      </c>
      <c r="BR69" s="3" t="e">
        <f t="shared" ca="1" si="278"/>
        <v>#NUM!</v>
      </c>
      <c r="BS69" s="83">
        <f t="shared" ca="1" si="375"/>
        <v>-5375771.4162883228</v>
      </c>
      <c r="BT69" s="3" t="str">
        <f t="shared" ca="1" si="280"/>
        <v/>
      </c>
      <c r="BU69" s="83">
        <f t="shared" ca="1" si="376"/>
        <v>-513679.92139566178</v>
      </c>
      <c r="BV69" s="83"/>
      <c r="BX69" s="83" t="e">
        <f t="shared" ca="1" si="377"/>
        <v>#NUM!</v>
      </c>
      <c r="BY69" s="83" t="e">
        <f t="shared" ca="1" si="294"/>
        <v>#NUM!</v>
      </c>
      <c r="BZ69" s="83">
        <f t="shared" ca="1" si="378"/>
        <v>-32274448.335454822</v>
      </c>
      <c r="CA69" s="83" t="str">
        <f t="shared" ca="1" si="294"/>
        <v/>
      </c>
      <c r="CB69" s="83">
        <f t="shared" ca="1" si="379"/>
        <v>-2430811.8940979689</v>
      </c>
      <c r="CC69" s="83" t="str">
        <f t="shared" ca="1" si="294"/>
        <v/>
      </c>
      <c r="CD69" s="83">
        <f>IF(RTD("tos.rtd",,CD$43,"."&amp;$A$43&amp;$AS$42&amp;"C"&amp;$A69)="N/A",0,RTD("tos.rtd",,CD$43,"."&amp;$A$43&amp;$AS$42&amp;"C"&amp;$A69))</f>
        <v>1</v>
      </c>
      <c r="CE69" s="83">
        <f>-IF(RTD("tos.rtd",,CE$43,"."&amp;$A$43&amp;$AS$42&amp;"P"&amp;$A69)="N/A",0,RTD("tos.rtd",,CE$43,"."&amp;$A$43&amp;$AS$42&amp;"P"&amp;$A69))</f>
        <v>0</v>
      </c>
      <c r="CF69" s="83">
        <f>IF(RTD("tos.rtd",,CF$2,"."&amp;$A$43&amp;$AU$1&amp;"C"&amp;$A69)="N/A",0,RTD("tos.rtd",,CF$2,"."&amp;$A$43&amp;$AU$1&amp;"C"&amp;$A69))</f>
        <v>1</v>
      </c>
      <c r="CG69" s="83">
        <f>-IF(RTD("tos.rtd",,CG$2,"."&amp;$A$43&amp;$AU$1&amp;"P"&amp;$A69)="N/A",0,RTD("tos.rtd",,CG$2,"."&amp;$A$43&amp;$AU$1&amp;"P"&amp;$A69))</f>
        <v>0.23</v>
      </c>
      <c r="CH69" s="83">
        <f>IF(RTD("tos.rtd",,CH$2,"."&amp;$A$43&amp;$AW$1&amp;"C"&amp;$A69)="N/A",0,RTD("tos.rtd",,CH$2,"."&amp;$A$43&amp;$AW$1&amp;"C"&amp;$A69))</f>
        <v>0.74</v>
      </c>
      <c r="CI69" s="83">
        <f>-IF(RTD("tos.rtd",,CI$2,"."&amp;$A$43&amp;$AW$1&amp;"P"&amp;$A69)="N/A",0,RTD("tos.rtd",,CI$2,"."&amp;$A$43&amp;$AW$1&amp;"P"&amp;$A69))</f>
        <v>0.33</v>
      </c>
      <c r="CK69" s="83">
        <f t="shared" si="380"/>
        <v>139300</v>
      </c>
      <c r="CL69" s="83"/>
      <c r="CM69" s="83">
        <f t="shared" si="381"/>
        <v>37764</v>
      </c>
      <c r="CN69" s="83"/>
      <c r="CO69" s="83">
        <f t="shared" si="382"/>
        <v>18682.999999999996</v>
      </c>
      <c r="CP69" s="83">
        <f t="shared" si="383"/>
        <v>195747</v>
      </c>
      <c r="CQ69" s="83">
        <f t="shared" si="384"/>
        <v>-54273</v>
      </c>
      <c r="CR69" s="83"/>
      <c r="CS69" s="83">
        <f t="shared" si="385"/>
        <v>-6493</v>
      </c>
      <c r="CT69" s="83"/>
      <c r="CU69" s="83">
        <f t="shared" si="386"/>
        <v>-421</v>
      </c>
      <c r="CV69" s="83"/>
      <c r="CW69" s="83" t="e">
        <f t="shared" ca="1" si="387"/>
        <v>#NUM!</v>
      </c>
      <c r="CY69" s="83" t="e">
        <f t="shared" ca="1" si="388"/>
        <v>#NUM!</v>
      </c>
      <c r="CZ69" s="70" t="e">
        <f t="shared" ca="1" si="295"/>
        <v>#NUM!</v>
      </c>
      <c r="DA69" s="83">
        <f>IF(RTD("tos.rtd",,DA$43,"."&amp;$A$43&amp;$AS$42&amp;"C"&amp;$A69)="N/A",0,RTD("tos.rtd",,DA$43,"."&amp;$A$43&amp;$AS$42&amp;"C"&amp;$A69))</f>
        <v>4.55</v>
      </c>
      <c r="DB69" s="83">
        <f>IF(RTD("tos.rtd",,DB$43,"."&amp;$A$43&amp;$AS$42&amp;"P"&amp;$A69)="N/A",0,RTD("tos.rtd",,DB$43,"."&amp;$A$43&amp;$AS$42&amp;"P"&amp;$A69))</f>
        <v>0.01</v>
      </c>
      <c r="DC69" s="83">
        <f>IF(RTD("tos.rtd",,DC$43,"."&amp;$A$43&amp;$AS$42&amp;"C"&amp;$A69)="N/A",0,RTD("tos.rtd",,DC$43,"."&amp;$A$43&amp;$AS$42&amp;"C"&amp;$A69))</f>
        <v>7.52</v>
      </c>
      <c r="DD69" s="83">
        <f>IF(RTD("tos.rtd",,DD$43,"."&amp;$A$43&amp;$AS$42&amp;"P"&amp;$A69)="N/A",0,RTD("tos.rtd",,DD$43,"."&amp;$A$43&amp;$AS$42&amp;"P"&amp;$A69))</f>
        <v>0.01</v>
      </c>
      <c r="DE69" s="83">
        <f>IF(RTD("tos.rtd",,DE$43,"."&amp;$A$43&amp;$AS$42&amp;"C"&amp;$A69)="N/A",0,RTD("tos.rtd",,DE$43,"."&amp;$A$43&amp;$AS$42&amp;"C"&amp;$A69))</f>
        <v>4.54</v>
      </c>
      <c r="DF69" s="83">
        <f>IF(RTD("tos.rtd",,DF$43,"."&amp;$A$43&amp;$AS$42&amp;"P"&amp;$A69)="N/A",0,RTD("tos.rtd",,DF$43,"."&amp;$A$43&amp;$AS$42&amp;"P"&amp;$A69))</f>
        <v>0</v>
      </c>
      <c r="DG69" s="86">
        <f t="shared" si="288"/>
        <v>-8.8500000000000227</v>
      </c>
      <c r="DH69" s="83">
        <f t="shared" si="389"/>
        <v>0</v>
      </c>
      <c r="DI69" s="83">
        <f t="shared" si="390"/>
        <v>-6</v>
      </c>
      <c r="DJ69" s="83">
        <f t="shared" si="391"/>
        <v>0</v>
      </c>
      <c r="DK69" s="83">
        <f t="shared" si="256"/>
        <v>-6</v>
      </c>
      <c r="DL69" s="83">
        <f t="shared" si="257"/>
        <v>-6</v>
      </c>
      <c r="DM69" s="83">
        <f t="shared" si="258"/>
        <v>-6</v>
      </c>
      <c r="DN69" s="64" t="str">
        <f t="shared" si="259"/>
        <v>UNKNOWN</v>
      </c>
      <c r="DO69" s="64" t="str">
        <f t="shared" si="260"/>
        <v>BUY</v>
      </c>
      <c r="DP69" s="83">
        <f t="shared" si="261"/>
        <v>-0.06</v>
      </c>
      <c r="DQ69" s="83">
        <f t="shared" si="262"/>
        <v>-0.06</v>
      </c>
      <c r="DR69" s="83" t="e">
        <f t="shared" ca="1" si="263"/>
        <v>#NUM!</v>
      </c>
      <c r="DS69" s="83">
        <f t="shared" si="264"/>
        <v>0</v>
      </c>
      <c r="DT69" s="83">
        <f t="shared" si="289"/>
        <v>0</v>
      </c>
      <c r="DU69" s="83">
        <f t="shared" si="290"/>
        <v>-6</v>
      </c>
      <c r="DV69" s="83">
        <f t="shared" si="265"/>
        <v>-5434</v>
      </c>
      <c r="DW69" s="83">
        <f t="shared" si="266"/>
        <v>289</v>
      </c>
      <c r="DX69" s="83" t="e">
        <f t="shared" ca="1" si="392"/>
        <v>#NUM!</v>
      </c>
      <c r="DY69" s="83" t="e">
        <f t="shared" ca="1" si="393"/>
        <v>#NUM!</v>
      </c>
      <c r="DZ69" s="83">
        <f t="shared" ca="1" si="394"/>
        <v>2.6228576003425118E-2</v>
      </c>
      <c r="EA69" s="83">
        <f t="shared" ca="1" si="395"/>
        <v>-2.2068667768160893E-2</v>
      </c>
      <c r="EB69" s="83">
        <f t="shared" ca="1" si="396"/>
        <v>2.5721307729849159E-2</v>
      </c>
      <c r="EC69" s="83">
        <f t="shared" ca="1" si="397"/>
        <v>-2.4856945438407722E-2</v>
      </c>
      <c r="ED69" s="63">
        <f t="shared" si="291"/>
        <v>-5145</v>
      </c>
      <c r="EE69" s="84">
        <f t="shared" si="398"/>
        <v>0.25</v>
      </c>
      <c r="EF69" s="84">
        <f t="shared" si="399"/>
        <v>0.93459999999999999</v>
      </c>
      <c r="EG69" s="84">
        <f t="shared" si="400"/>
        <v>0.25</v>
      </c>
      <c r="EH69" s="84">
        <f t="shared" si="401"/>
        <v>0.37409999999999999</v>
      </c>
      <c r="EI69" s="84">
        <f t="shared" si="402"/>
        <v>0.19500000000000001</v>
      </c>
      <c r="EJ69" s="84">
        <f t="shared" si="403"/>
        <v>0.29899999999999999</v>
      </c>
      <c r="EL69" s="83" t="str">
        <f>RTD("tos.rtd",,EL$43,"."&amp;$A$43&amp;$AS$42&amp;"C"&amp;$A69)</f>
        <v>--</v>
      </c>
      <c r="EM69" s="83" t="str">
        <f>RTD("tos.rtd",,EM$43,"."&amp;$A$43&amp;$AS$42&amp;"P"&amp;$A69)</f>
        <v>93.46%</v>
      </c>
      <c r="EN69" s="83" t="str">
        <f>RTD("tos.rtd",,EN$2,"."&amp;$A$43&amp;$AU$1&amp;"C"&amp;$A69)</f>
        <v>--</v>
      </c>
      <c r="EO69" s="83" t="str">
        <f>RTD("tos.rtd",,EO$2,"."&amp;$A$43&amp;$AU$1&amp;"P"&amp;$A69)</f>
        <v>37.41%</v>
      </c>
      <c r="EP69" s="83" t="str">
        <f>RTD("tos.rtd",,EP$2,"."&amp;$A$43&amp;$AW$1&amp;"C"&amp;$A69)</f>
        <v>19.50%</v>
      </c>
      <c r="EQ69" s="83" t="str">
        <f>RTD("tos.rtd",,EQ$2,"."&amp;$A$43&amp;$AW$1&amp;"P"&amp;$A69)</f>
        <v>29.90%</v>
      </c>
      <c r="ES69" s="63" t="str">
        <f t="shared" si="273"/>
        <v>478,-5145.00</v>
      </c>
      <c r="ET69" s="64" t="str">
        <f t="shared" ca="1" si="274"/>
        <v>478,00.00</v>
      </c>
      <c r="EU69" s="68">
        <v>562.04</v>
      </c>
      <c r="EV69" s="68" t="s">
        <v>572</v>
      </c>
      <c r="EW69" s="68">
        <v>484.52</v>
      </c>
      <c r="EX69" s="68" t="s">
        <v>573</v>
      </c>
      <c r="EY69" s="68">
        <v>5634.5</v>
      </c>
      <c r="EZ69" s="68" t="s">
        <v>574</v>
      </c>
      <c r="FA69" s="68">
        <v>19901.5</v>
      </c>
      <c r="FB69" s="68" t="s">
        <v>575</v>
      </c>
      <c r="FC69" s="68" t="s">
        <v>576</v>
      </c>
      <c r="FD69" s="68" t="s">
        <v>577</v>
      </c>
      <c r="FE69" s="68" t="s">
        <v>578</v>
      </c>
      <c r="FF69" s="68" t="s">
        <v>579</v>
      </c>
    </row>
    <row r="70" spans="1:162" ht="13.5" thickBot="1" x14ac:dyDescent="0.25">
      <c r="A70" s="2">
        <f t="shared" si="292"/>
        <v>477</v>
      </c>
      <c r="B70" s="3">
        <f t="shared" si="240"/>
        <v>3495</v>
      </c>
      <c r="C70" s="3">
        <f t="shared" si="241"/>
        <v>2085</v>
      </c>
      <c r="D70" s="3">
        <f t="shared" si="242"/>
        <v>669</v>
      </c>
      <c r="E70" s="3">
        <f t="shared" si="243"/>
        <v>6249</v>
      </c>
      <c r="F70" s="4">
        <f t="shared" si="296"/>
        <v>19689.415631097872</v>
      </c>
      <c r="AM70" s="1">
        <v>205</v>
      </c>
      <c r="AN70" s="1">
        <v>1621</v>
      </c>
      <c r="AO70" s="1">
        <v>477</v>
      </c>
      <c r="AP70" s="1">
        <v>9229</v>
      </c>
      <c r="AQ70" s="1">
        <v>-75478</v>
      </c>
      <c r="AS70" s="6">
        <f>IF(RTD("tos.rtd",,AS$43,"."&amp;$A$43&amp;$AS$42&amp;"C"&amp;$A70)="N/A",0,RTD("tos.rtd",,AS$43,"."&amp;$A$43&amp;$AS$42&amp;"C"&amp;$A70))</f>
        <v>264</v>
      </c>
      <c r="AT70" s="7">
        <f>-IF(RTD("tos.rtd",,AT$43,"."&amp;$A$43&amp;$AS$42&amp;"P"&amp;$A70)="N/A",0,RTD("tos.rtd",,AT$43,"."&amp;$A$43&amp;$AS$42&amp;"P"&amp;$A70))</f>
        <v>-3231</v>
      </c>
      <c r="AU70" s="6">
        <f>IF(RTD("tos.rtd",,AU$2,"."&amp;$A$43&amp;$AU$1&amp;"C"&amp;$A70)="N/A",0,RTD("tos.rtd",,AU$2,"."&amp;$A$43&amp;$AU$1&amp;"C"&amp;$A70))</f>
        <v>861</v>
      </c>
      <c r="AV70" s="7">
        <f>-IF(RTD("tos.rtd",,AV$2,"."&amp;$A$43&amp;$AU$1&amp;"P"&amp;$A70)="N/A",0,RTD("tos.rtd",,AV$2,"."&amp;$A$43&amp;$AU$1&amp;"P"&amp;$A70))</f>
        <v>-1224</v>
      </c>
      <c r="AW70" s="6">
        <f>IF(RTD("tos.rtd",,AW$2,"."&amp;$A$43&amp;$AW$1&amp;"C"&amp;$A70)="N/A",0,RTD("tos.rtd",,AW$2,"."&amp;$A$43&amp;$AW$1&amp;"C"&amp;$A70))</f>
        <v>39</v>
      </c>
      <c r="AX70" s="7">
        <f>-IF(RTD("tos.rtd",,AX$2,"."&amp;$A$43&amp;$AW$1&amp;"P"&amp;$A70)="N/A",0,RTD("tos.rtd",,AX$2,"."&amp;$A$43&amp;$AW$1&amp;"P"&amp;$A70))</f>
        <v>-630</v>
      </c>
      <c r="AY70" s="7">
        <f t="shared" si="275"/>
        <v>-3921</v>
      </c>
      <c r="AZ70" s="8">
        <f t="shared" si="244"/>
        <v>477</v>
      </c>
      <c r="BA70" s="6">
        <f>IF(RTD("tos.rtd",,BA$43,"."&amp;$A$43&amp;$AS$42&amp;"C"&amp;$A70)="N/A",0,RTD("tos.rtd",,BA$43,"."&amp;$A$43&amp;$AS$42&amp;"C"&amp;$A70))</f>
        <v>9229</v>
      </c>
      <c r="BB70" s="7">
        <f>-IF(RTD("tos.rtd",,BB$43,"."&amp;$A$43&amp;$AS$42&amp;"P"&amp;$A70)="N/A",0,RTD("tos.rtd",,BB$43,"."&amp;$A$43&amp;$AS$42&amp;"P"&amp;$A70))</f>
        <v>-75478</v>
      </c>
      <c r="BC70" s="6">
        <f>IF(RTD("tos.rtd",,BC$2,"."&amp;$A$43&amp;$AU$1&amp;"C"&amp;$A70)="N/A",0,RTD("tos.rtd",,BC$2,"."&amp;$A$43&amp;$AU$1&amp;"C"&amp;$A70))</f>
        <v>1040</v>
      </c>
      <c r="BD70" s="7">
        <f>-IF(RTD("tos.rtd",,BD$2,"."&amp;$A$43&amp;$AU$1&amp;"P"&amp;$A70)="N/A",0,RTD("tos.rtd",,BD$2,"."&amp;$A$43&amp;$AU$1&amp;"P"&amp;$A70))</f>
        <v>-4666</v>
      </c>
      <c r="BE70" s="6">
        <f>IF(RTD("tos.rtd",,BE$2,"."&amp;$A$43&amp;$AW$1&amp;"C"&amp;$A70)="N/A",0,RTD("tos.rtd",,BE$2,"."&amp;$A$43&amp;$AW$1&amp;"C"&amp;$A70))</f>
        <v>197</v>
      </c>
      <c r="BF70" s="7">
        <f>-IF(RTD("tos.rtd",,BF$2,"."&amp;$A$43&amp;$AW$1&amp;"P"&amp;$A70)="N/A",0,RTD("tos.rtd",,BF$2,"."&amp;$A$43&amp;$AW$1&amp;"P"&amp;$A70))</f>
        <v>-843</v>
      </c>
      <c r="BG70" s="32">
        <f ca="1">+Hoja2!Y71</f>
        <v>-636</v>
      </c>
      <c r="BH70" s="7">
        <f t="shared" ca="1" si="276"/>
        <v>-71157</v>
      </c>
      <c r="BI70" s="8" t="str">
        <f t="shared" ca="1" si="293"/>
        <v/>
      </c>
      <c r="BJ70" s="83" t="e">
        <f ca="1">IF($BP$1=1,DX70,IF(RTD("tos.rtd",,BJ$43,"."&amp;$A$43&amp;$AS$42&amp;"C"&amp;$A70)="N/A",0,RTD("tos.rtd",,BJ$43,"."&amp;$A$43&amp;$AS$42&amp;"C"&amp;$A70)))</f>
        <v>#NUM!</v>
      </c>
      <c r="BK70" s="83" t="e">
        <f ca="1">IF($BP$1=1,DY70,-IF(RTD("tos.rtd",,BK$43,"."&amp;$A$43&amp;$AS$42&amp;"P"&amp;$A70)="N/A",0,RTD("tos.rtd",,BK$43,"."&amp;$A$43&amp;$AS$42&amp;"P"&amp;$A70)))</f>
        <v>#NUM!</v>
      </c>
      <c r="BL70" s="83">
        <f ca="1">IF($BP$1=1,DZ70,IF(RTD("tos.rtd",,BL$2,"."&amp;$A$43&amp;$AU$1&amp;"C"&amp;$A70)="N/A",0,RTD("tos.rtd",,BL$2,"."&amp;$A$43&amp;$AU$1&amp;"C"&amp;$A70)))</f>
        <v>2.3733783591029622E-2</v>
      </c>
      <c r="BM70" s="83">
        <f ca="1">IF($BP$1=1,EA70,-IF(RTD("tos.rtd",,BM$2,"."&amp;$A$43&amp;$AU$1&amp;"P"&amp;$A70)="N/A",0,RTD("tos.rtd",,BM$2,"."&amp;$A$43&amp;$AU$1&amp;"P"&amp;$A70)))</f>
        <v>-2.1086950751371205E-2</v>
      </c>
      <c r="BN70" s="83">
        <f ca="1">IF($BP$1=1,EB70,IF(RTD("tos.rtd",,BN$2,"."&amp;$A$43&amp;$AW$1&amp;"C"&amp;$A70)="N/A",0,RTD("tos.rtd",,BN$2,"."&amp;$A$43&amp;$AW$1&amp;"C"&amp;$A70)))</f>
        <v>2.1537348349237706E-2</v>
      </c>
      <c r="BO70" s="83">
        <f ca="1">IF($BP$1=1,EC70,-IF(RTD("tos.rtd",,BO$2,"."&amp;$A$43&amp;$AW$1&amp;"P"&amp;$A70)="N/A",0,RTD("tos.rtd",,BO$2,"."&amp;$A$43&amp;$AW$1&amp;"P"&amp;$A70)))</f>
        <v>-2.3148052605278576E-2</v>
      </c>
      <c r="BQ70" s="83" t="e">
        <f t="shared" ca="1" si="277"/>
        <v>#NUM!</v>
      </c>
      <c r="BR70" s="3" t="e">
        <f t="shared" ca="1" si="278"/>
        <v>#NUM!</v>
      </c>
      <c r="BS70" s="83">
        <f t="shared" ca="1" si="279"/>
        <v>-1274149.9144380353</v>
      </c>
      <c r="BT70" s="3" t="str">
        <f t="shared" ca="1" si="280"/>
        <v/>
      </c>
      <c r="BU70" s="83">
        <f t="shared" ca="1" si="281"/>
        <v>-3257481.0548758884</v>
      </c>
      <c r="BV70" s="83"/>
      <c r="BX70" s="83" t="e">
        <f t="shared" ca="1" si="282"/>
        <v>#NUM!</v>
      </c>
      <c r="BY70" s="83" t="e">
        <f t="shared" ca="1" si="294"/>
        <v>#NUM!</v>
      </c>
      <c r="BZ70" s="83">
        <f t="shared" ca="1" si="283"/>
        <v>-17470622.398143351</v>
      </c>
      <c r="CA70" s="83" t="str">
        <f t="shared" ca="1" si="294"/>
        <v/>
      </c>
      <c r="CB70" s="83">
        <f t="shared" ca="1" si="284"/>
        <v>-3619565.3693515654</v>
      </c>
      <c r="CC70" s="83" t="str">
        <f t="shared" ca="1" si="294"/>
        <v/>
      </c>
      <c r="CD70" s="83">
        <f>IF(RTD("tos.rtd",,CD$43,"."&amp;$A$43&amp;$AS$42&amp;"C"&amp;$A70)="N/A",0,RTD("tos.rtd",,CD$43,"."&amp;$A$43&amp;$AS$42&amp;"C"&amp;$A70))</f>
        <v>1</v>
      </c>
      <c r="CE70" s="83">
        <f>-IF(RTD("tos.rtd",,CE$43,"."&amp;$A$43&amp;$AS$42&amp;"P"&amp;$A70)="N/A",0,RTD("tos.rtd",,CE$43,"."&amp;$A$43&amp;$AS$42&amp;"P"&amp;$A70))</f>
        <v>0</v>
      </c>
      <c r="CF70" s="83">
        <f>IF(RTD("tos.rtd",,CF$2,"."&amp;$A$43&amp;$AU$1&amp;"C"&amp;$A70)="N/A",0,RTD("tos.rtd",,CF$2,"."&amp;$A$43&amp;$AU$1&amp;"C"&amp;$A70))</f>
        <v>1</v>
      </c>
      <c r="CG70" s="83">
        <f>-IF(RTD("tos.rtd",,CG$2,"."&amp;$A$43&amp;$AU$1&amp;"P"&amp;$A70)="N/A",0,RTD("tos.rtd",,CG$2,"."&amp;$A$43&amp;$AU$1&amp;"P"&amp;$A70))</f>
        <v>0.21</v>
      </c>
      <c r="CH70" s="83">
        <f>IF(RTD("tos.rtd",,CH$2,"."&amp;$A$43&amp;$AW$1&amp;"C"&amp;$A70)="N/A",0,RTD("tos.rtd",,CH$2,"."&amp;$A$43&amp;$AW$1&amp;"C"&amp;$A70))</f>
        <v>0.77</v>
      </c>
      <c r="CI70" s="83">
        <f>-IF(RTD("tos.rtd",,CI$2,"."&amp;$A$43&amp;$AW$1&amp;"P"&amp;$A70)="N/A",0,RTD("tos.rtd",,CI$2,"."&amp;$A$43&amp;$AW$1&amp;"P"&amp;$A70))</f>
        <v>0.31</v>
      </c>
      <c r="CK70" s="83">
        <f t="shared" si="285"/>
        <v>26400</v>
      </c>
      <c r="CL70" s="83"/>
      <c r="CM70" s="83">
        <f t="shared" si="286"/>
        <v>60396</v>
      </c>
      <c r="CN70" s="83"/>
      <c r="CO70" s="83">
        <f t="shared" si="287"/>
        <v>-16527</v>
      </c>
      <c r="CP70" s="83">
        <f t="shared" si="234"/>
        <v>70269</v>
      </c>
      <c r="CQ70" s="83">
        <f t="shared" si="248"/>
        <v>-66249</v>
      </c>
      <c r="CR70" s="83"/>
      <c r="CS70" s="83">
        <f t="shared" si="249"/>
        <v>-3626</v>
      </c>
      <c r="CT70" s="83"/>
      <c r="CU70" s="83">
        <f t="shared" si="250"/>
        <v>-646</v>
      </c>
      <c r="CV70" s="83"/>
      <c r="CW70" s="83" t="e">
        <f t="shared" ca="1" si="251"/>
        <v>#NUM!</v>
      </c>
      <c r="CY70" s="83" t="e">
        <f t="shared" ca="1" si="252"/>
        <v>#NUM!</v>
      </c>
      <c r="CZ70" s="70" t="e">
        <f t="shared" ca="1" si="295"/>
        <v>#NUM!</v>
      </c>
      <c r="DA70" s="83">
        <f>IF(RTD("tos.rtd",,DA$43,"."&amp;$A$43&amp;$AS$42&amp;"C"&amp;$A70)="N/A",0,RTD("tos.rtd",,DA$43,"."&amp;$A$43&amp;$AS$42&amp;"C"&amp;$A70))</f>
        <v>6.31</v>
      </c>
      <c r="DB70" s="83">
        <f>IF(RTD("tos.rtd",,DB$43,"."&amp;$A$43&amp;$AS$42&amp;"P"&amp;$A70)="N/A",0,RTD("tos.rtd",,DB$43,"."&amp;$A$43&amp;$AS$42&amp;"P"&amp;$A70))</f>
        <v>0.01</v>
      </c>
      <c r="DC70" s="83">
        <f>IF(RTD("tos.rtd",,DC$43,"."&amp;$A$43&amp;$AS$42&amp;"C"&amp;$A70)="N/A",0,RTD("tos.rtd",,DC$43,"."&amp;$A$43&amp;$AS$42&amp;"C"&amp;$A70))</f>
        <v>8.5299999999999994</v>
      </c>
      <c r="DD70" s="83">
        <f>IF(RTD("tos.rtd",,DD$43,"."&amp;$A$43&amp;$AS$42&amp;"P"&amp;$A70)="N/A",0,RTD("tos.rtd",,DD$43,"."&amp;$A$43&amp;$AS$42&amp;"P"&amp;$A70))</f>
        <v>0.01</v>
      </c>
      <c r="DE70" s="83">
        <f>IF(RTD("tos.rtd",,DE$43,"."&amp;$A$43&amp;$AS$42&amp;"C"&amp;$A70)="N/A",0,RTD("tos.rtd",,DE$43,"."&amp;$A$43&amp;$AS$42&amp;"C"&amp;$A70))</f>
        <v>5.54</v>
      </c>
      <c r="DF70" s="83">
        <f>IF(RTD("tos.rtd",,DF$43,"."&amp;$A$43&amp;$AS$42&amp;"P"&amp;$A70)="N/A",0,RTD("tos.rtd",,DF$43,"."&amp;$A$43&amp;$AS$42&amp;"P"&amp;$A70))</f>
        <v>0</v>
      </c>
      <c r="DG70" s="86">
        <f t="shared" si="288"/>
        <v>-9.8500000000000227</v>
      </c>
      <c r="DH70" s="83">
        <f t="shared" si="253"/>
        <v>0</v>
      </c>
      <c r="DI70" s="83">
        <f t="shared" si="254"/>
        <v>0</v>
      </c>
      <c r="DJ70" s="83">
        <f t="shared" si="255"/>
        <v>0</v>
      </c>
      <c r="DK70" s="83">
        <f t="shared" si="256"/>
        <v>0</v>
      </c>
      <c r="DL70" s="83">
        <f t="shared" si="257"/>
        <v>0</v>
      </c>
      <c r="DM70" s="83">
        <f t="shared" si="258"/>
        <v>0</v>
      </c>
      <c r="DN70" s="64" t="str">
        <f t="shared" si="259"/>
        <v>UNKNOWN</v>
      </c>
      <c r="DO70" s="64" t="str">
        <f t="shared" si="260"/>
        <v>UNKNOWN</v>
      </c>
      <c r="DP70" s="83">
        <f t="shared" si="261"/>
        <v>0</v>
      </c>
      <c r="DQ70" s="83">
        <f t="shared" si="262"/>
        <v>0</v>
      </c>
      <c r="DR70" s="83" t="e">
        <f t="shared" ca="1" si="263"/>
        <v>#NUM!</v>
      </c>
      <c r="DS70" s="83">
        <f t="shared" si="264"/>
        <v>0</v>
      </c>
      <c r="DT70" s="83">
        <f t="shared" si="289"/>
        <v>0</v>
      </c>
      <c r="DU70" s="83">
        <f t="shared" si="290"/>
        <v>0</v>
      </c>
      <c r="DV70" s="83">
        <f t="shared" si="265"/>
        <v>205</v>
      </c>
      <c r="DW70" s="83">
        <f t="shared" si="266"/>
        <v>1621</v>
      </c>
      <c r="DX70" s="83" t="e">
        <f t="shared" ref="DX70:DX79" ca="1" si="404">(EXP(-POWER((LN($A$44/$A70)+($EC$1+POWER($EE70,2)/2)*($EM$1/$DY$1))/($EE70*SQRT($EM$1/$DY$1)),2)/2)/SQRT(2*PI())/($A$44*$EE70*SQRT($EM$1/$DY$1)))</f>
        <v>#NUM!</v>
      </c>
      <c r="DY70" s="83" t="e">
        <f t="shared" ref="DY70:DY79" ca="1" si="405">-(EXP(-POWER((LN($A$44/$A70)+($EC$1+POWER($EF70,2)/2)*($EM$1/$DY$1))/($EF70*SQRT($EM$1/$DY$1)),2)/2)/SQRT(2*PI())/($A$44*$EF70*SQRT($EM$1/$DY$1)))</f>
        <v>#NUM!</v>
      </c>
      <c r="DZ70" s="83">
        <f t="shared" ref="DZ70:DZ79" ca="1" si="406">(EXP(-POWER((LN($A$44/$A70)+($EC$1+POWER($EG70,2)/2)*($EO$1/$DY$1))/($EG70*SQRT($EO$1/$DY$1)),2)/2)/SQRT(2*PI())/($A$44*$EG70*SQRT($EO$1/$DY$1)))</f>
        <v>2.3733783591029622E-2</v>
      </c>
      <c r="EA70" s="83">
        <f t="shared" ref="EA70:EA79" ca="1" si="407">-(EXP(-POWER((LN($A$44/$A70)+($EC$1+POWER($EH70,2)/2)*($EO$1/$DY$1))/($EH70*SQRT($EO$1/$DY$1)),2)/2)/SQRT(2*PI())/($A$44*$EH70*SQRT($EO$1/$DY$1)))</f>
        <v>-2.1086950751371205E-2</v>
      </c>
      <c r="EB70" s="83">
        <f t="shared" ref="EB70:EB79" ca="1" si="408">(EXP(-POWER((LN($A$44/$A70)+($EC$1+POWER($EI70,2)/2)*($EO$1/$DY$1))/($EI70*SQRT($EO$1/$DY$1)),2)/2)/SQRT(2*PI())/($A$44*$EI70*SQRT($EO$1/$DY$1)))</f>
        <v>2.1537348349237706E-2</v>
      </c>
      <c r="EC70" s="83">
        <f t="shared" ref="EC70:EC79" ca="1" si="409">-(EXP(-POWER((LN($A$44/$A70)+($EC$1+POWER($EJ70,2)/2)*($EO$1/$DY$1))/($EJ70*SQRT($EO$1/$DY$1)),2)/2)/SQRT(2*PI())/($A$44*$EJ70*SQRT($EO$1/$DY$1)))</f>
        <v>-2.3148052605278576E-2</v>
      </c>
      <c r="ED70" s="63">
        <f t="shared" si="291"/>
        <v>1826</v>
      </c>
      <c r="EE70" s="84">
        <f t="shared" si="267"/>
        <v>0.25</v>
      </c>
      <c r="EF70" s="84">
        <f t="shared" si="268"/>
        <v>1.0295000000000001</v>
      </c>
      <c r="EG70" s="84">
        <f t="shared" si="269"/>
        <v>0.25</v>
      </c>
      <c r="EH70" s="84">
        <f t="shared" si="270"/>
        <v>0.37430000000000002</v>
      </c>
      <c r="EI70" s="84">
        <f t="shared" si="271"/>
        <v>0.1913</v>
      </c>
      <c r="EJ70" s="84">
        <f t="shared" si="272"/>
        <v>0.30009999999999998</v>
      </c>
      <c r="EL70" s="83" t="str">
        <f>RTD("tos.rtd",,EL$43,"."&amp;$A$43&amp;$AS$42&amp;"C"&amp;$A70)</f>
        <v>--</v>
      </c>
      <c r="EM70" s="83" t="str">
        <f>RTD("tos.rtd",,EM$43,"."&amp;$A$43&amp;$AS$42&amp;"P"&amp;$A70)</f>
        <v>102.95%</v>
      </c>
      <c r="EN70" s="83" t="str">
        <f>RTD("tos.rtd",,EN$2,"."&amp;$A$43&amp;$AU$1&amp;"C"&amp;$A70)</f>
        <v>--</v>
      </c>
      <c r="EO70" s="83" t="str">
        <f>RTD("tos.rtd",,EO$2,"."&amp;$A$43&amp;$AU$1&amp;"P"&amp;$A70)</f>
        <v>37.43%</v>
      </c>
      <c r="EP70" s="83" t="str">
        <f>RTD("tos.rtd",,EP$2,"."&amp;$A$43&amp;$AW$1&amp;"C"&amp;$A70)</f>
        <v>19.13%</v>
      </c>
      <c r="EQ70" s="83" t="str">
        <f>RTD("tos.rtd",,EQ$2,"."&amp;$A$43&amp;$AW$1&amp;"P"&amp;$A70)</f>
        <v>30.01%</v>
      </c>
      <c r="ES70" s="63" t="str">
        <f t="shared" si="273"/>
        <v>477,1826.00</v>
      </c>
      <c r="ET70" s="64" t="str">
        <f t="shared" ca="1" si="274"/>
        <v>477,00.00</v>
      </c>
      <c r="EU70" s="68">
        <v>561.75</v>
      </c>
      <c r="EV70" s="68" t="s">
        <v>580</v>
      </c>
      <c r="EW70" s="68">
        <v>484.16</v>
      </c>
      <c r="EX70" s="68" t="s">
        <v>581</v>
      </c>
      <c r="EY70" s="68">
        <v>5631.25</v>
      </c>
      <c r="EZ70" s="68" t="s">
        <v>582</v>
      </c>
      <c r="FA70" s="68">
        <v>19889.5</v>
      </c>
      <c r="FB70" s="68" t="s">
        <v>583</v>
      </c>
      <c r="FC70" s="68" t="s">
        <v>584</v>
      </c>
      <c r="FD70" s="68" t="s">
        <v>585</v>
      </c>
      <c r="FE70" s="68" t="s">
        <v>586</v>
      </c>
      <c r="FF70" s="68" t="s">
        <v>587</v>
      </c>
    </row>
    <row r="71" spans="1:162" ht="13.5" thickBot="1" x14ac:dyDescent="0.25">
      <c r="A71" s="2">
        <f t="shared" si="292"/>
        <v>476</v>
      </c>
      <c r="B71" s="3">
        <f t="shared" si="240"/>
        <v>2373</v>
      </c>
      <c r="C71" s="3">
        <f t="shared" si="241"/>
        <v>2327</v>
      </c>
      <c r="D71" s="3">
        <f t="shared" si="242"/>
        <v>298</v>
      </c>
      <c r="E71" s="3">
        <f t="shared" si="243"/>
        <v>4998</v>
      </c>
      <c r="F71" s="4">
        <f t="shared" si="296"/>
        <v>19648.138030194103</v>
      </c>
      <c r="AM71" s="1">
        <v>-1392</v>
      </c>
      <c r="AN71" s="1">
        <v>-12466</v>
      </c>
      <c r="AO71" s="1">
        <v>476</v>
      </c>
      <c r="AP71" s="1">
        <v>5995</v>
      </c>
      <c r="AQ71" s="1">
        <v>-60491</v>
      </c>
      <c r="AS71" s="6">
        <f>IF(RTD("tos.rtd",,AS$43,"."&amp;$A$43&amp;$AS$42&amp;"C"&amp;$A71)="N/A",0,RTD("tos.rtd",,AS$43,"."&amp;$A$43&amp;$AS$42&amp;"C"&amp;$A71))</f>
        <v>459</v>
      </c>
      <c r="AT71" s="7">
        <f>-IF(RTD("tos.rtd",,AT$43,"."&amp;$A$43&amp;$AS$42&amp;"P"&amp;$A71)="N/A",0,RTD("tos.rtd",,AT$43,"."&amp;$A$43&amp;$AS$42&amp;"P"&amp;$A71))</f>
        <v>-1914</v>
      </c>
      <c r="AU71" s="6">
        <f>IF(RTD("tos.rtd",,AU$2,"."&amp;$A$43&amp;$AU$1&amp;"C"&amp;$A71)="N/A",0,RTD("tos.rtd",,AU$2,"."&amp;$A$43&amp;$AU$1&amp;"C"&amp;$A71))</f>
        <v>760</v>
      </c>
      <c r="AV71" s="7">
        <f>-IF(RTD("tos.rtd",,AV$2,"."&amp;$A$43&amp;$AU$1&amp;"P"&amp;$A71)="N/A",0,RTD("tos.rtd",,AV$2,"."&amp;$A$43&amp;$AU$1&amp;"P"&amp;$A71))</f>
        <v>-1567</v>
      </c>
      <c r="AW71" s="6">
        <f>IF(RTD("tos.rtd",,AW$2,"."&amp;$A$43&amp;$AW$1&amp;"C"&amp;$A71)="N/A",0,RTD("tos.rtd",,AW$2,"."&amp;$A$43&amp;$AW$1&amp;"C"&amp;$A71))</f>
        <v>85</v>
      </c>
      <c r="AX71" s="7">
        <f>-IF(RTD("tos.rtd",,AX$2,"."&amp;$A$43&amp;$AW$1&amp;"P"&amp;$A71)="N/A",0,RTD("tos.rtd",,AX$2,"."&amp;$A$43&amp;$AW$1&amp;"P"&amp;$A71))</f>
        <v>-213</v>
      </c>
      <c r="AY71" s="7">
        <f t="shared" si="275"/>
        <v>-2390</v>
      </c>
      <c r="AZ71" s="8">
        <f t="shared" si="244"/>
        <v>476</v>
      </c>
      <c r="BA71" s="6">
        <f>IF(RTD("tos.rtd",,BA$43,"."&amp;$A$43&amp;$AS$42&amp;"C"&amp;$A71)="N/A",0,RTD("tos.rtd",,BA$43,"."&amp;$A$43&amp;$AS$42&amp;"C"&amp;$A71))</f>
        <v>5995</v>
      </c>
      <c r="BB71" s="7">
        <f>-IF(RTD("tos.rtd",,BB$43,"."&amp;$A$43&amp;$AS$42&amp;"P"&amp;$A71)="N/A",0,RTD("tos.rtd",,BB$43,"."&amp;$A$43&amp;$AS$42&amp;"P"&amp;$A71))</f>
        <v>-60493</v>
      </c>
      <c r="BC71" s="6">
        <f>IF(RTD("tos.rtd",,BC$2,"."&amp;$A$43&amp;$AU$1&amp;"C"&amp;$A71)="N/A",0,RTD("tos.rtd",,BC$2,"."&amp;$A$43&amp;$AU$1&amp;"C"&amp;$A71))</f>
        <v>480</v>
      </c>
      <c r="BD71" s="7">
        <f>-IF(RTD("tos.rtd",,BD$2,"."&amp;$A$43&amp;$AU$1&amp;"P"&amp;$A71)="N/A",0,RTD("tos.rtd",,BD$2,"."&amp;$A$43&amp;$AU$1&amp;"P"&amp;$A71))</f>
        <v>-5248</v>
      </c>
      <c r="BE71" s="6">
        <f>IF(RTD("tos.rtd",,BE$2,"."&amp;$A$43&amp;$AW$1&amp;"C"&amp;$A71)="N/A",0,RTD("tos.rtd",,BE$2,"."&amp;$A$43&amp;$AW$1&amp;"C"&amp;$A71))</f>
        <v>145</v>
      </c>
      <c r="BF71" s="7">
        <f>-IF(RTD("tos.rtd",,BF$2,"."&amp;$A$43&amp;$AW$1&amp;"P"&amp;$A71)="N/A",0,RTD("tos.rtd",,BF$2,"."&amp;$A$43&amp;$AW$1&amp;"P"&amp;$A71))</f>
        <v>-719</v>
      </c>
      <c r="BG71" s="32">
        <f ca="1">+Hoja2!Y72</f>
        <v>-181</v>
      </c>
      <c r="BH71" s="7">
        <f t="shared" ca="1" si="276"/>
        <v>-60021</v>
      </c>
      <c r="BI71" s="8" t="str">
        <f t="shared" ca="1" si="293"/>
        <v/>
      </c>
      <c r="BJ71" s="83" t="e">
        <f ca="1">IF($BP$1=1,DX71,IF(RTD("tos.rtd",,BJ$43,"."&amp;$A$43&amp;$AS$42&amp;"C"&amp;$A71)="N/A",0,RTD("tos.rtd",,BJ$43,"."&amp;$A$43&amp;$AS$42&amp;"C"&amp;$A71)))</f>
        <v>#NUM!</v>
      </c>
      <c r="BK71" s="83" t="e">
        <f ca="1">IF($BP$1=1,DY71,-IF(RTD("tos.rtd",,BK$43,"."&amp;$A$43&amp;$AS$42&amp;"P"&amp;$A71)="N/A",0,RTD("tos.rtd",,BK$43,"."&amp;$A$43&amp;$AS$42&amp;"P"&amp;$A71)))</f>
        <v>#NUM!</v>
      </c>
      <c r="BL71" s="83">
        <f ca="1">IF($BP$1=1,DZ71,IF(RTD("tos.rtd",,BL$2,"."&amp;$A$43&amp;$AU$1&amp;"C"&amp;$A71)="N/A",0,RTD("tos.rtd",,BL$2,"."&amp;$A$43&amp;$AU$1&amp;"C"&amp;$A71)))</f>
        <v>2.12461940318735E-2</v>
      </c>
      <c r="BM71" s="83">
        <f ca="1">IF($BP$1=1,EA71,-IF(RTD("tos.rtd",,BM$2,"."&amp;$A$43&amp;$AU$1&amp;"P"&amp;$A71)="N/A",0,RTD("tos.rtd",,BM$2,"."&amp;$A$43&amp;$AU$1&amp;"P"&amp;$A71)))</f>
        <v>-2.0035272910747297E-2</v>
      </c>
      <c r="BN71" s="83">
        <f ca="1">IF($BP$1=1,EB71,IF(RTD("tos.rtd",,BN$2,"."&amp;$A$43&amp;$AW$1&amp;"C"&amp;$A71)="N/A",0,RTD("tos.rtd",,BN$2,"."&amp;$A$43&amp;$AW$1&amp;"C"&amp;$A71)))</f>
        <v>1.7400379518497499E-2</v>
      </c>
      <c r="BO71" s="83">
        <f ca="1">IF($BP$1=1,EC71,-IF(RTD("tos.rtd",,BO$2,"."&amp;$A$43&amp;$AW$1&amp;"P"&amp;$A71)="N/A",0,RTD("tos.rtd",,BO$2,"."&amp;$A$43&amp;$AW$1&amp;"P"&amp;$A71)))</f>
        <v>-2.1421417066727341E-2</v>
      </c>
      <c r="BQ71" s="83" t="e">
        <f t="shared" ca="1" si="277"/>
        <v>#NUM!</v>
      </c>
      <c r="BR71" s="3" t="e">
        <f t="shared" ca="1" si="278"/>
        <v>#NUM!</v>
      </c>
      <c r="BS71" s="83">
        <f t="shared" ca="1" si="279"/>
        <v>-3614164.675365862</v>
      </c>
      <c r="BT71" s="3" t="str">
        <f t="shared" ca="1" si="280"/>
        <v/>
      </c>
      <c r="BU71" s="83">
        <f t="shared" ca="1" si="281"/>
        <v>-730914.59633653983</v>
      </c>
      <c r="BV71" s="83"/>
      <c r="BX71" s="83" t="e">
        <f t="shared" ca="1" si="282"/>
        <v>#NUM!</v>
      </c>
      <c r="BY71" s="83" t="e">
        <f t="shared" ca="1" si="294"/>
        <v>#NUM!</v>
      </c>
      <c r="BZ71" s="83">
        <f t="shared" ca="1" si="283"/>
        <v>-22504600.987983227</v>
      </c>
      <c r="CA71" s="83" t="str">
        <f t="shared" ca="1" si="294"/>
        <v/>
      </c>
      <c r="CB71" s="83">
        <f t="shared" ca="1" si="284"/>
        <v>-3052604.9078585631</v>
      </c>
      <c r="CC71" s="83" t="str">
        <f t="shared" ca="1" si="294"/>
        <v/>
      </c>
      <c r="CD71" s="83">
        <f>IF(RTD("tos.rtd",,CD$43,"."&amp;$A$43&amp;$AS$42&amp;"C"&amp;$A71)="N/A",0,RTD("tos.rtd",,CD$43,"."&amp;$A$43&amp;$AS$42&amp;"C"&amp;$A71))</f>
        <v>1</v>
      </c>
      <c r="CE71" s="83">
        <f>-IF(RTD("tos.rtd",,CE$43,"."&amp;$A$43&amp;$AS$42&amp;"P"&amp;$A71)="N/A",0,RTD("tos.rtd",,CE$43,"."&amp;$A$43&amp;$AS$42&amp;"P"&amp;$A71))</f>
        <v>0</v>
      </c>
      <c r="CF71" s="83">
        <f>IF(RTD("tos.rtd",,CF$2,"."&amp;$A$43&amp;$AU$1&amp;"C"&amp;$A71)="N/A",0,RTD("tos.rtd",,CF$2,"."&amp;$A$43&amp;$AU$1&amp;"C"&amp;$A71))</f>
        <v>1</v>
      </c>
      <c r="CG71" s="83">
        <f>-IF(RTD("tos.rtd",,CG$2,"."&amp;$A$43&amp;$AU$1&amp;"P"&amp;$A71)="N/A",0,RTD("tos.rtd",,CG$2,"."&amp;$A$43&amp;$AU$1&amp;"P"&amp;$A71))</f>
        <v>0.19</v>
      </c>
      <c r="CH71" s="83">
        <f>IF(RTD("tos.rtd",,CH$2,"."&amp;$A$43&amp;$AW$1&amp;"C"&amp;$A71)="N/A",0,RTD("tos.rtd",,CH$2,"."&amp;$A$43&amp;$AW$1&amp;"C"&amp;$A71))</f>
        <v>0.8</v>
      </c>
      <c r="CI71" s="83">
        <f>-IF(RTD("tos.rtd",,CI$2,"."&amp;$A$43&amp;$AW$1&amp;"P"&amp;$A71)="N/A",0,RTD("tos.rtd",,CI$2,"."&amp;$A$43&amp;$AW$1&amp;"P"&amp;$A71))</f>
        <v>0.3</v>
      </c>
      <c r="CK71" s="83">
        <f t="shared" si="285"/>
        <v>45900</v>
      </c>
      <c r="CL71" s="83"/>
      <c r="CM71" s="83">
        <f t="shared" si="286"/>
        <v>46227</v>
      </c>
      <c r="CN71" s="83"/>
      <c r="CO71" s="83">
        <f t="shared" si="287"/>
        <v>410</v>
      </c>
      <c r="CP71" s="83">
        <f t="shared" si="234"/>
        <v>92537</v>
      </c>
      <c r="CQ71" s="83">
        <f t="shared" si="248"/>
        <v>-54498</v>
      </c>
      <c r="CR71" s="83"/>
      <c r="CS71" s="83">
        <f t="shared" si="249"/>
        <v>-4768</v>
      </c>
      <c r="CT71" s="83"/>
      <c r="CU71" s="83">
        <f t="shared" si="250"/>
        <v>-574</v>
      </c>
      <c r="CV71" s="83"/>
      <c r="CW71" s="83" t="e">
        <f t="shared" ca="1" si="251"/>
        <v>#NUM!</v>
      </c>
      <c r="CY71" s="83" t="e">
        <f t="shared" ca="1" si="252"/>
        <v>#NUM!</v>
      </c>
      <c r="CZ71" s="70" t="e">
        <f t="shared" ca="1" si="295"/>
        <v>#NUM!</v>
      </c>
      <c r="DA71" s="83">
        <f>IF(RTD("tos.rtd",,DA$43,"."&amp;$A$43&amp;$AS$42&amp;"C"&amp;$A71)="N/A",0,RTD("tos.rtd",,DA$43,"."&amp;$A$43&amp;$AS$42&amp;"C"&amp;$A71))</f>
        <v>6.91</v>
      </c>
      <c r="DB71" s="83">
        <f>IF(RTD("tos.rtd",,DB$43,"."&amp;$A$43&amp;$AS$42&amp;"P"&amp;$A71)="N/A",0,RTD("tos.rtd",,DB$43,"."&amp;$A$43&amp;$AS$42&amp;"P"&amp;$A71))</f>
        <v>0.01</v>
      </c>
      <c r="DC71" s="83">
        <f>IF(RTD("tos.rtd",,DC$43,"."&amp;$A$43&amp;$AS$42&amp;"C"&amp;$A71)="N/A",0,RTD("tos.rtd",,DC$43,"."&amp;$A$43&amp;$AS$42&amp;"C"&amp;$A71))</f>
        <v>9.56</v>
      </c>
      <c r="DD71" s="83">
        <f>IF(RTD("tos.rtd",,DD$43,"."&amp;$A$43&amp;$AS$42&amp;"P"&amp;$A71)="N/A",0,RTD("tos.rtd",,DD$43,"."&amp;$A$43&amp;$AS$42&amp;"P"&amp;$A71))</f>
        <v>0.01</v>
      </c>
      <c r="DE71" s="83">
        <f>IF(RTD("tos.rtd",,DE$43,"."&amp;$A$43&amp;$AS$42&amp;"C"&amp;$A71)="N/A",0,RTD("tos.rtd",,DE$43,"."&amp;$A$43&amp;$AS$42&amp;"C"&amp;$A71))</f>
        <v>6.54</v>
      </c>
      <c r="DF71" s="83">
        <f>IF(RTD("tos.rtd",,DF$43,"."&amp;$A$43&amp;$AS$42&amp;"P"&amp;$A71)="N/A",0,RTD("tos.rtd",,DF$43,"."&amp;$A$43&amp;$AS$42&amp;"P"&amp;$A71))</f>
        <v>0</v>
      </c>
      <c r="DG71" s="86">
        <f t="shared" si="288"/>
        <v>-10.850000000000023</v>
      </c>
      <c r="DH71" s="83">
        <f t="shared" si="253"/>
        <v>0</v>
      </c>
      <c r="DI71" s="83">
        <f t="shared" si="254"/>
        <v>-2</v>
      </c>
      <c r="DJ71" s="83">
        <f t="shared" si="255"/>
        <v>0</v>
      </c>
      <c r="DK71" s="83">
        <f t="shared" si="256"/>
        <v>-2</v>
      </c>
      <c r="DL71" s="83">
        <f t="shared" si="257"/>
        <v>-2</v>
      </c>
      <c r="DM71" s="83">
        <f t="shared" si="258"/>
        <v>-2</v>
      </c>
      <c r="DN71" s="64" t="str">
        <f t="shared" si="259"/>
        <v>UNKNOWN</v>
      </c>
      <c r="DO71" s="64" t="str">
        <f t="shared" si="260"/>
        <v>BUY</v>
      </c>
      <c r="DP71" s="83">
        <f t="shared" si="261"/>
        <v>-0.02</v>
      </c>
      <c r="DQ71" s="83">
        <f t="shared" si="262"/>
        <v>-0.02</v>
      </c>
      <c r="DR71" s="83" t="e">
        <f t="shared" ca="1" si="263"/>
        <v>#NUM!</v>
      </c>
      <c r="DS71" s="83">
        <f t="shared" si="264"/>
        <v>0</v>
      </c>
      <c r="DT71" s="83">
        <f t="shared" si="289"/>
        <v>0</v>
      </c>
      <c r="DU71" s="83">
        <f t="shared" si="290"/>
        <v>-2</v>
      </c>
      <c r="DV71" s="83">
        <f t="shared" si="265"/>
        <v>-1392</v>
      </c>
      <c r="DW71" s="83">
        <f t="shared" si="266"/>
        <v>-12468</v>
      </c>
      <c r="DX71" s="83" t="e">
        <f t="shared" ca="1" si="404"/>
        <v>#NUM!</v>
      </c>
      <c r="DY71" s="83" t="e">
        <f t="shared" ca="1" si="405"/>
        <v>#NUM!</v>
      </c>
      <c r="DZ71" s="83">
        <f t="shared" ca="1" si="406"/>
        <v>2.12461940318735E-2</v>
      </c>
      <c r="EA71" s="83">
        <f t="shared" ca="1" si="407"/>
        <v>-2.0035272910747297E-2</v>
      </c>
      <c r="EB71" s="83">
        <f t="shared" ca="1" si="408"/>
        <v>1.7400379518497499E-2</v>
      </c>
      <c r="EC71" s="83">
        <f t="shared" ca="1" si="409"/>
        <v>-2.1421417066727341E-2</v>
      </c>
      <c r="ED71" s="63">
        <f t="shared" si="291"/>
        <v>-13860</v>
      </c>
      <c r="EE71" s="84">
        <f t="shared" si="267"/>
        <v>0.25</v>
      </c>
      <c r="EF71" s="84">
        <f t="shared" si="268"/>
        <v>1.1236999999999999</v>
      </c>
      <c r="EG71" s="84">
        <f t="shared" si="269"/>
        <v>0.25</v>
      </c>
      <c r="EH71" s="84">
        <f t="shared" si="270"/>
        <v>0.37530000000000002</v>
      </c>
      <c r="EI71" s="84">
        <f t="shared" si="271"/>
        <v>0.18729999999999999</v>
      </c>
      <c r="EJ71" s="84">
        <f t="shared" si="272"/>
        <v>0.3009</v>
      </c>
      <c r="EL71" s="83" t="str">
        <f>RTD("tos.rtd",,EL$43,"."&amp;$A$43&amp;$AS$42&amp;"C"&amp;$A71)</f>
        <v>--</v>
      </c>
      <c r="EM71" s="83" t="str">
        <f>RTD("tos.rtd",,EM$43,"."&amp;$A$43&amp;$AS$42&amp;"P"&amp;$A71)</f>
        <v>112.37%</v>
      </c>
      <c r="EN71" s="83" t="str">
        <f>RTD("tos.rtd",,EN$2,"."&amp;$A$43&amp;$AU$1&amp;"C"&amp;$A71)</f>
        <v>--</v>
      </c>
      <c r="EO71" s="83" t="str">
        <f>RTD("tos.rtd",,EO$2,"."&amp;$A$43&amp;$AU$1&amp;"P"&amp;$A71)</f>
        <v>37.53%</v>
      </c>
      <c r="EP71" s="83" t="str">
        <f>RTD("tos.rtd",,EP$2,"."&amp;$A$43&amp;$AW$1&amp;"C"&amp;$A71)</f>
        <v>18.73%</v>
      </c>
      <c r="EQ71" s="83" t="str">
        <f>RTD("tos.rtd",,EQ$2,"."&amp;$A$43&amp;$AW$1&amp;"P"&amp;$A71)</f>
        <v>30.09%</v>
      </c>
      <c r="ES71" s="63" t="str">
        <f t="shared" si="273"/>
        <v>476,-13860.00</v>
      </c>
      <c r="ET71" s="64" t="str">
        <f t="shared" ca="1" si="274"/>
        <v>476,00.00</v>
      </c>
      <c r="EU71" s="68">
        <v>561.76</v>
      </c>
      <c r="EV71" s="68" t="s">
        <v>588</v>
      </c>
      <c r="EW71" s="68">
        <v>484.27</v>
      </c>
      <c r="EX71" s="68" t="s">
        <v>589</v>
      </c>
      <c r="EY71" s="68">
        <v>5631</v>
      </c>
      <c r="EZ71" s="68" t="s">
        <v>590</v>
      </c>
      <c r="FA71" s="68">
        <v>19887.75</v>
      </c>
      <c r="FB71" s="68" t="s">
        <v>591</v>
      </c>
      <c r="FC71" s="68" t="s">
        <v>592</v>
      </c>
      <c r="FD71" s="68" t="s">
        <v>593</v>
      </c>
      <c r="FE71" s="68" t="s">
        <v>594</v>
      </c>
      <c r="FF71" s="68" t="s">
        <v>595</v>
      </c>
    </row>
    <row r="72" spans="1:162" ht="13.5" thickBot="1" x14ac:dyDescent="0.25">
      <c r="A72" s="2">
        <f t="shared" si="292"/>
        <v>475</v>
      </c>
      <c r="B72" s="3">
        <f t="shared" si="240"/>
        <v>4977</v>
      </c>
      <c r="C72" s="3">
        <f t="shared" ref="C72:C79" si="410">+IF($A$1="ABS",AU72-AV72,AU72+AV72)</f>
        <v>8839</v>
      </c>
      <c r="D72" s="3">
        <f t="shared" si="242"/>
        <v>48179</v>
      </c>
      <c r="E72" s="3">
        <f t="shared" si="243"/>
        <v>61995</v>
      </c>
      <c r="F72" s="4">
        <f t="shared" si="296"/>
        <v>19606.860429290336</v>
      </c>
      <c r="AM72" s="1">
        <v>-1662</v>
      </c>
      <c r="AN72" s="1">
        <v>-32652</v>
      </c>
      <c r="AO72" s="1">
        <v>475</v>
      </c>
      <c r="AP72" s="1">
        <v>4110</v>
      </c>
      <c r="AQ72" s="1">
        <v>-131004</v>
      </c>
      <c r="AS72" s="6">
        <f>IF(RTD("tos.rtd",,AS$43,"."&amp;$A$43&amp;$AS$42&amp;"C"&amp;$A72)="N/A",0,RTD("tos.rtd",,AS$43,"."&amp;$A$43&amp;$AS$42&amp;"C"&amp;$A72))</f>
        <v>442</v>
      </c>
      <c r="AT72" s="7">
        <f>-IF(RTD("tos.rtd",,AT$43,"."&amp;$A$43&amp;$AS$42&amp;"P"&amp;$A72)="N/A",0,RTD("tos.rtd",,AT$43,"."&amp;$A$43&amp;$AS$42&amp;"P"&amp;$A72))</f>
        <v>-4535</v>
      </c>
      <c r="AU72" s="6">
        <f>IF(RTD("tos.rtd",,AU$2,"."&amp;$A$43&amp;$AU$1&amp;"C"&amp;$A72)="N/A",0,RTD("tos.rtd",,AU$2,"."&amp;$A$43&amp;$AU$1&amp;"C"&amp;$A72))</f>
        <v>3843</v>
      </c>
      <c r="AV72" s="7">
        <f>-IF(RTD("tos.rtd",,AV$2,"."&amp;$A$43&amp;$AU$1&amp;"P"&amp;$A72)="N/A",0,RTD("tos.rtd",,AV$2,"."&amp;$A$43&amp;$AU$1&amp;"P"&amp;$A72))</f>
        <v>-4996</v>
      </c>
      <c r="AW72" s="6">
        <f>IF(RTD("tos.rtd",,AW$2,"."&amp;$A$43&amp;$AW$1&amp;"C"&amp;$A72)="N/A",0,RTD("tos.rtd",,AW$2,"."&amp;$A$43&amp;$AW$1&amp;"C"&amp;$A72))</f>
        <v>28884</v>
      </c>
      <c r="AX72" s="7">
        <f>-IF(RTD("tos.rtd",,AX$2,"."&amp;$A$43&amp;$AW$1&amp;"P"&amp;$A72)="N/A",0,RTD("tos.rtd",,AX$2,"."&amp;$A$43&amp;$AW$1&amp;"P"&amp;$A72))</f>
        <v>-19295</v>
      </c>
      <c r="AY72" s="7">
        <f t="shared" si="275"/>
        <v>4343</v>
      </c>
      <c r="AZ72" s="8">
        <f t="shared" si="244"/>
        <v>475</v>
      </c>
      <c r="BA72" s="6">
        <f>IF(RTD("tos.rtd",,BA$43,"."&amp;$A$43&amp;$AS$42&amp;"C"&amp;$A72)="N/A",0,RTD("tos.rtd",,BA$43,"."&amp;$A$43&amp;$AS$42&amp;"C"&amp;$A72))</f>
        <v>4112</v>
      </c>
      <c r="BB72" s="7">
        <f>-IF(RTD("tos.rtd",,BB$43,"."&amp;$A$43&amp;$AS$42&amp;"P"&amp;$A72)="N/A",0,RTD("tos.rtd",,BB$43,"."&amp;$A$43&amp;$AS$42&amp;"P"&amp;$A72))</f>
        <v>-131007</v>
      </c>
      <c r="BC72" s="6">
        <f>IF(RTD("tos.rtd",,BC$2,"."&amp;$A$43&amp;$AU$1&amp;"C"&amp;$A72)="N/A",0,RTD("tos.rtd",,BC$2,"."&amp;$A$43&amp;$AU$1&amp;"C"&amp;$A72))</f>
        <v>1122</v>
      </c>
      <c r="BD72" s="7">
        <f>-IF(RTD("tos.rtd",,BD$2,"."&amp;$A$43&amp;$AU$1&amp;"P"&amp;$A72)="N/A",0,RTD("tos.rtd",,BD$2,"."&amp;$A$43&amp;$AU$1&amp;"P"&amp;$A72))</f>
        <v>-15034</v>
      </c>
      <c r="BE72" s="6">
        <f>IF(RTD("tos.rtd",,BE$2,"."&amp;$A$43&amp;$AW$1&amp;"C"&amp;$A72)="N/A",0,RTD("tos.rtd",,BE$2,"."&amp;$A$43&amp;$AW$1&amp;"C"&amp;$A72))</f>
        <v>1164</v>
      </c>
      <c r="BF72" s="7">
        <f>-IF(RTD("tos.rtd",,BF$2,"."&amp;$A$43&amp;$AW$1&amp;"P"&amp;$A72)="N/A",0,RTD("tos.rtd",,BF$2,"."&amp;$A$43&amp;$AW$1&amp;"P"&amp;$A72))</f>
        <v>-8020</v>
      </c>
      <c r="BG72" s="32">
        <f ca="1">+Hoja2!Y73</f>
        <v>-6741</v>
      </c>
      <c r="BH72" s="7">
        <f t="shared" ca="1" si="276"/>
        <v>-154404</v>
      </c>
      <c r="BI72" s="8" t="str">
        <f t="shared" ca="1" si="293"/>
        <v/>
      </c>
      <c r="BJ72" s="83" t="e">
        <f ca="1">IF($BP$1=1,DX72,IF(RTD("tos.rtd",,BJ$43,"."&amp;$A$43&amp;$AS$42&amp;"C"&amp;$A72)="N/A",0,RTD("tos.rtd",,BJ$43,"."&amp;$A$43&amp;$AS$42&amp;"C"&amp;$A72)))</f>
        <v>#NUM!</v>
      </c>
      <c r="BK72" s="83" t="e">
        <f ca="1">IF($BP$1=1,DY72,-IF(RTD("tos.rtd",,BK$43,"."&amp;$A$43&amp;$AS$42&amp;"P"&amp;$A72)="N/A",0,RTD("tos.rtd",,BK$43,"."&amp;$A$43&amp;$AS$42&amp;"P"&amp;$A72)))</f>
        <v>#NUM!</v>
      </c>
      <c r="BL72" s="83">
        <f ca="1">IF($BP$1=1,DZ72,IF(RTD("tos.rtd",,BL$2,"."&amp;$A$43&amp;$AU$1&amp;"C"&amp;$A72)="N/A",0,RTD("tos.rtd",,BL$2,"."&amp;$A$43&amp;$AU$1&amp;"C"&amp;$A72)))</f>
        <v>1.8814291785548328E-2</v>
      </c>
      <c r="BM72" s="83">
        <f ca="1">IF($BP$1=1,EA72,-IF(RTD("tos.rtd",,BM$2,"."&amp;$A$43&amp;$AU$1&amp;"P"&amp;$A72)="N/A",0,RTD("tos.rtd",,BM$2,"."&amp;$A$43&amp;$AU$1&amp;"P"&amp;$A72)))</f>
        <v>-1.8968658445800608E-2</v>
      </c>
      <c r="BN72" s="83">
        <f ca="1">IF($BP$1=1,EB72,IF(RTD("tos.rtd",,BN$2,"."&amp;$A$43&amp;$AW$1&amp;"C"&amp;$A72)="N/A",0,RTD("tos.rtd",,BN$2,"."&amp;$A$43&amp;$AW$1&amp;"C"&amp;$A72)))</f>
        <v>1.3435370256394952E-2</v>
      </c>
      <c r="BO72" s="83">
        <f ca="1">IF($BP$1=1,EC72,-IF(RTD("tos.rtd",,BO$2,"."&amp;$A$43&amp;$AW$1&amp;"P"&amp;$A72)="N/A",0,RTD("tos.rtd",,BO$2,"."&amp;$A$43&amp;$AW$1&amp;"P"&amp;$A72)))</f>
        <v>-1.9692345762559554E-2</v>
      </c>
      <c r="BQ72" s="83" t="e">
        <f t="shared" ca="1" si="277"/>
        <v>#NUM!</v>
      </c>
      <c r="BR72" s="3" t="e">
        <f t="shared" ca="1" si="278"/>
        <v>#NUM!</v>
      </c>
      <c r="BS72" s="83">
        <f t="shared" ca="1" si="279"/>
        <v>-5324505.2736165076</v>
      </c>
      <c r="BT72" s="3" t="str">
        <f t="shared" ca="1" si="280"/>
        <v/>
      </c>
      <c r="BU72" s="83">
        <f t="shared" ca="1" si="281"/>
        <v>1920697.0010323226</v>
      </c>
      <c r="BV72" s="83"/>
      <c r="BX72" s="83" t="e">
        <f t="shared" ca="1" si="282"/>
        <v>#NUM!</v>
      </c>
      <c r="BY72" s="83" t="e">
        <f t="shared" ca="1" si="294"/>
        <v>#NUM!</v>
      </c>
      <c r="BZ72" s="83">
        <f t="shared" ca="1" si="283"/>
        <v>-62589499.672704905</v>
      </c>
      <c r="CA72" s="83" t="str">
        <f t="shared" ca="1" si="294"/>
        <v/>
      </c>
      <c r="CB72" s="83">
        <f t="shared" ca="1" si="284"/>
        <v>-33726902.293430381</v>
      </c>
      <c r="CC72" s="83" t="str">
        <f t="shared" ca="1" si="294"/>
        <v/>
      </c>
      <c r="CD72" s="83">
        <f>IF(RTD("tos.rtd",,CD$43,"."&amp;$A$43&amp;$AS$42&amp;"C"&amp;$A72)="N/A",0,RTD("tos.rtd",,CD$43,"."&amp;$A$43&amp;$AS$42&amp;"C"&amp;$A72))</f>
        <v>1</v>
      </c>
      <c r="CE72" s="83">
        <f>-IF(RTD("tos.rtd",,CE$43,"."&amp;$A$43&amp;$AS$42&amp;"P"&amp;$A72)="N/A",0,RTD("tos.rtd",,CE$43,"."&amp;$A$43&amp;$AS$42&amp;"P"&amp;$A72))</f>
        <v>0</v>
      </c>
      <c r="CF72" s="83">
        <f>IF(RTD("tos.rtd",,CF$2,"."&amp;$A$43&amp;$AU$1&amp;"C"&amp;$A72)="N/A",0,RTD("tos.rtd",,CF$2,"."&amp;$A$43&amp;$AU$1&amp;"C"&amp;$A72))</f>
        <v>1</v>
      </c>
      <c r="CG72" s="83">
        <f>-IF(RTD("tos.rtd",,CG$2,"."&amp;$A$43&amp;$AU$1&amp;"P"&amp;$A72)="N/A",0,RTD("tos.rtd",,CG$2,"."&amp;$A$43&amp;$AU$1&amp;"P"&amp;$A72))</f>
        <v>0.16</v>
      </c>
      <c r="CH72" s="83">
        <f>IF(RTD("tos.rtd",,CH$2,"."&amp;$A$43&amp;$AW$1&amp;"C"&amp;$A72)="N/A",0,RTD("tos.rtd",,CH$2,"."&amp;$A$43&amp;$AW$1&amp;"C"&amp;$A72))</f>
        <v>0.82</v>
      </c>
      <c r="CI72" s="83">
        <f>-IF(RTD("tos.rtd",,CI$2,"."&amp;$A$43&amp;$AW$1&amp;"P"&amp;$A72)="N/A",0,RTD("tos.rtd",,CI$2,"."&amp;$A$43&amp;$AW$1&amp;"P"&amp;$A72))</f>
        <v>0.28000000000000003</v>
      </c>
      <c r="CK72" s="83">
        <f t="shared" si="285"/>
        <v>44200</v>
      </c>
      <c r="CL72" s="83"/>
      <c r="CM72" s="83">
        <f t="shared" si="286"/>
        <v>304364</v>
      </c>
      <c r="CN72" s="83"/>
      <c r="CO72" s="83">
        <f t="shared" si="287"/>
        <v>1828227.9999999995</v>
      </c>
      <c r="CP72" s="83">
        <f t="shared" si="234"/>
        <v>2176791.9999999995</v>
      </c>
      <c r="CQ72" s="83">
        <f t="shared" si="248"/>
        <v>-126895</v>
      </c>
      <c r="CR72" s="83"/>
      <c r="CS72" s="83">
        <f t="shared" si="249"/>
        <v>-13912</v>
      </c>
      <c r="CT72" s="83"/>
      <c r="CU72" s="83">
        <f t="shared" si="250"/>
        <v>-6856</v>
      </c>
      <c r="CV72" s="83"/>
      <c r="CW72" s="83" t="e">
        <f t="shared" ca="1" si="251"/>
        <v>#NUM!</v>
      </c>
      <c r="CY72" s="83" t="e">
        <f t="shared" ca="1" si="252"/>
        <v>#NUM!</v>
      </c>
      <c r="CZ72" s="70" t="e">
        <f t="shared" ca="1" si="295"/>
        <v>#NUM!</v>
      </c>
      <c r="DA72" s="83">
        <f>IF(RTD("tos.rtd",,DA$43,"."&amp;$A$43&amp;$AS$42&amp;"C"&amp;$A72)="N/A",0,RTD("tos.rtd",,DA$43,"."&amp;$A$43&amp;$AS$42&amp;"C"&amp;$A72))</f>
        <v>8.83</v>
      </c>
      <c r="DB72" s="83">
        <f>IF(RTD("tos.rtd",,DB$43,"."&amp;$A$43&amp;$AS$42&amp;"P"&amp;$A72)="N/A",0,RTD("tos.rtd",,DB$43,"."&amp;$A$43&amp;$AS$42&amp;"P"&amp;$A72))</f>
        <v>0.01</v>
      </c>
      <c r="DC72" s="83">
        <f>IF(RTD("tos.rtd",,DC$43,"."&amp;$A$43&amp;$AS$42&amp;"C"&amp;$A72)="N/A",0,RTD("tos.rtd",,DC$43,"."&amp;$A$43&amp;$AS$42&amp;"C"&amp;$A72))</f>
        <v>10.44</v>
      </c>
      <c r="DD72" s="83">
        <f>IF(RTD("tos.rtd",,DD$43,"."&amp;$A$43&amp;$AS$42&amp;"P"&amp;$A72)="N/A",0,RTD("tos.rtd",,DD$43,"."&amp;$A$43&amp;$AS$42&amp;"P"&amp;$A72))</f>
        <v>0.01</v>
      </c>
      <c r="DE72" s="83">
        <f>IF(RTD("tos.rtd",,DE$43,"."&amp;$A$43&amp;$AS$42&amp;"C"&amp;$A72)="N/A",0,RTD("tos.rtd",,DE$43,"."&amp;$A$43&amp;$AS$42&amp;"C"&amp;$A72))</f>
        <v>7.55</v>
      </c>
      <c r="DF72" s="83">
        <f>IF(RTD("tos.rtd",,DF$43,"."&amp;$A$43&amp;$AS$42&amp;"P"&amp;$A72)="N/A",0,RTD("tos.rtd",,DF$43,"."&amp;$A$43&amp;$AS$42&amp;"P"&amp;$A72))</f>
        <v>0</v>
      </c>
      <c r="DG72" s="86">
        <f t="shared" si="288"/>
        <v>-11.850000000000023</v>
      </c>
      <c r="DH72" s="83">
        <f t="shared" si="253"/>
        <v>0.88581314878892758</v>
      </c>
      <c r="DI72" s="83">
        <f t="shared" si="254"/>
        <v>-3</v>
      </c>
      <c r="DJ72" s="83">
        <f t="shared" si="255"/>
        <v>0</v>
      </c>
      <c r="DK72" s="83">
        <f t="shared" si="256"/>
        <v>-3</v>
      </c>
      <c r="DL72" s="83">
        <f t="shared" si="257"/>
        <v>-2.1141868512110724</v>
      </c>
      <c r="DM72" s="83">
        <f t="shared" si="258"/>
        <v>-3</v>
      </c>
      <c r="DN72" s="64" t="str">
        <f t="shared" si="259"/>
        <v>UNKNOWN</v>
      </c>
      <c r="DO72" s="64" t="str">
        <f t="shared" si="260"/>
        <v>BUY</v>
      </c>
      <c r="DP72" s="83">
        <f t="shared" si="261"/>
        <v>7.7917301038062305</v>
      </c>
      <c r="DQ72" s="83">
        <f t="shared" si="262"/>
        <v>-0.03</v>
      </c>
      <c r="DR72" s="83" t="e">
        <f t="shared" ca="1" si="263"/>
        <v>#NUM!</v>
      </c>
      <c r="DS72" s="83">
        <f t="shared" si="264"/>
        <v>0</v>
      </c>
      <c r="DT72" s="83">
        <f t="shared" si="289"/>
        <v>2</v>
      </c>
      <c r="DU72" s="83">
        <f t="shared" si="290"/>
        <v>-3</v>
      </c>
      <c r="DV72" s="83">
        <f t="shared" si="265"/>
        <v>-1662</v>
      </c>
      <c r="DW72" s="83">
        <f t="shared" si="266"/>
        <v>-32655</v>
      </c>
      <c r="DX72" s="83" t="e">
        <f t="shared" ca="1" si="404"/>
        <v>#NUM!</v>
      </c>
      <c r="DY72" s="83" t="e">
        <f t="shared" ca="1" si="405"/>
        <v>#NUM!</v>
      </c>
      <c r="DZ72" s="83">
        <f t="shared" ca="1" si="406"/>
        <v>1.8814291785548328E-2</v>
      </c>
      <c r="EA72" s="83">
        <f t="shared" ca="1" si="407"/>
        <v>-1.8968658445800608E-2</v>
      </c>
      <c r="EB72" s="83">
        <f t="shared" ca="1" si="408"/>
        <v>1.3435370256394952E-2</v>
      </c>
      <c r="EC72" s="83">
        <f t="shared" ca="1" si="409"/>
        <v>-1.9692345762559554E-2</v>
      </c>
      <c r="ED72" s="63">
        <f t="shared" si="291"/>
        <v>-34317</v>
      </c>
      <c r="EE72" s="84">
        <f t="shared" si="267"/>
        <v>0.25</v>
      </c>
      <c r="EF72" s="84">
        <f t="shared" si="268"/>
        <v>1.2174</v>
      </c>
      <c r="EG72" s="84">
        <f t="shared" si="269"/>
        <v>0.25</v>
      </c>
      <c r="EH72" s="84">
        <f t="shared" si="270"/>
        <v>0.3755</v>
      </c>
      <c r="EI72" s="84">
        <f t="shared" si="271"/>
        <v>0.1827</v>
      </c>
      <c r="EJ72" s="84">
        <f t="shared" si="272"/>
        <v>0.30180000000000001</v>
      </c>
      <c r="EL72" s="83" t="str">
        <f>RTD("tos.rtd",,EL$43,"."&amp;$A$43&amp;$AS$42&amp;"C"&amp;$A72)</f>
        <v>--</v>
      </c>
      <c r="EM72" s="83" t="str">
        <f>RTD("tos.rtd",,EM$43,"."&amp;$A$43&amp;$AS$42&amp;"P"&amp;$A72)</f>
        <v>121.74%</v>
      </c>
      <c r="EN72" s="83" t="str">
        <f>RTD("tos.rtd",,EN$2,"."&amp;$A$43&amp;$AU$1&amp;"C"&amp;$A72)</f>
        <v>--</v>
      </c>
      <c r="EO72" s="83" t="str">
        <f>RTD("tos.rtd",,EO$2,"."&amp;$A$43&amp;$AU$1&amp;"P"&amp;$A72)</f>
        <v>37.55%</v>
      </c>
      <c r="EP72" s="83" t="str">
        <f>RTD("tos.rtd",,EP$2,"."&amp;$A$43&amp;$AW$1&amp;"C"&amp;$A72)</f>
        <v>18.27%</v>
      </c>
      <c r="EQ72" s="83" t="str">
        <f>RTD("tos.rtd",,EQ$2,"."&amp;$A$43&amp;$AW$1&amp;"P"&amp;$A72)</f>
        <v>30.18%</v>
      </c>
      <c r="ES72" s="63" t="str">
        <f t="shared" si="273"/>
        <v>475,-34317.00</v>
      </c>
      <c r="ET72" s="64" t="str">
        <f t="shared" ca="1" si="274"/>
        <v>475,00.00</v>
      </c>
      <c r="EU72" s="68">
        <v>561.79999999999995</v>
      </c>
      <c r="EV72" s="68" t="s">
        <v>596</v>
      </c>
      <c r="EW72" s="68">
        <v>484.11</v>
      </c>
      <c r="EX72" s="68" t="s">
        <v>597</v>
      </c>
      <c r="EY72" s="68">
        <v>5630.75</v>
      </c>
      <c r="EZ72" s="68" t="s">
        <v>598</v>
      </c>
      <c r="FA72" s="68">
        <v>19886.5</v>
      </c>
      <c r="FB72" s="68" t="s">
        <v>599</v>
      </c>
      <c r="FC72" s="68" t="s">
        <v>600</v>
      </c>
      <c r="FD72" s="68" t="s">
        <v>601</v>
      </c>
      <c r="FE72" s="68" t="s">
        <v>602</v>
      </c>
      <c r="FF72" s="68" t="s">
        <v>603</v>
      </c>
    </row>
    <row r="73" spans="1:162" ht="13.5" thickBot="1" x14ac:dyDescent="0.25">
      <c r="A73" s="2">
        <f t="shared" si="292"/>
        <v>474</v>
      </c>
      <c r="B73" s="3">
        <f t="shared" si="240"/>
        <v>2280</v>
      </c>
      <c r="C73" s="3">
        <f t="shared" si="410"/>
        <v>1624</v>
      </c>
      <c r="D73" s="3">
        <f t="shared" si="242"/>
        <v>317</v>
      </c>
      <c r="E73" s="3">
        <f t="shared" si="243"/>
        <v>4221</v>
      </c>
      <c r="F73" s="4">
        <f t="shared" si="296"/>
        <v>19565.582828386567</v>
      </c>
      <c r="AM73" s="1">
        <v>274</v>
      </c>
      <c r="AN73" s="1">
        <v>-1543</v>
      </c>
      <c r="AO73" s="1">
        <v>474</v>
      </c>
      <c r="AP73" s="1">
        <v>1887</v>
      </c>
      <c r="AQ73" s="1">
        <v>-33167</v>
      </c>
      <c r="AS73" s="6">
        <f>IF(RTD("tos.rtd",,AS$43,"."&amp;$A$43&amp;$AS$42&amp;"C"&amp;$A73)="N/A",0,RTD("tos.rtd",,AS$43,"."&amp;$A$43&amp;$AS$42&amp;"C"&amp;$A73))</f>
        <v>472</v>
      </c>
      <c r="AT73" s="7">
        <f>-IF(RTD("tos.rtd",,AT$43,"."&amp;$A$43&amp;$AS$42&amp;"P"&amp;$A73)="N/A",0,RTD("tos.rtd",,AT$43,"."&amp;$A$43&amp;$AS$42&amp;"P"&amp;$A73))</f>
        <v>-1808</v>
      </c>
      <c r="AU73" s="6">
        <f>IF(RTD("tos.rtd",,AU$2,"."&amp;$A$43&amp;$AU$1&amp;"C"&amp;$A73)="N/A",0,RTD("tos.rtd",,AU$2,"."&amp;$A$43&amp;$AU$1&amp;"C"&amp;$A73))</f>
        <v>456</v>
      </c>
      <c r="AV73" s="7">
        <f>-IF(RTD("tos.rtd",,AV$2,"."&amp;$A$43&amp;$AU$1&amp;"P"&amp;$A73)="N/A",0,RTD("tos.rtd",,AV$2,"."&amp;$A$43&amp;$AU$1&amp;"P"&amp;$A73))</f>
        <v>-1168</v>
      </c>
      <c r="AW73" s="6">
        <f>IF(RTD("tos.rtd",,AW$2,"."&amp;$A$43&amp;$AW$1&amp;"C"&amp;$A73)="N/A",0,RTD("tos.rtd",,AW$2,"."&amp;$A$43&amp;$AW$1&amp;"C"&amp;$A73))</f>
        <v>71</v>
      </c>
      <c r="AX73" s="7">
        <f>-IF(RTD("tos.rtd",,AX$2,"."&amp;$A$43&amp;$AW$1&amp;"P"&amp;$A73)="N/A",0,RTD("tos.rtd",,AX$2,"."&amp;$A$43&amp;$AW$1&amp;"P"&amp;$A73))</f>
        <v>-246</v>
      </c>
      <c r="AY73" s="7">
        <f t="shared" si="275"/>
        <v>-2223</v>
      </c>
      <c r="AZ73" s="8">
        <f t="shared" si="244"/>
        <v>474</v>
      </c>
      <c r="BA73" s="6">
        <f>IF(RTD("tos.rtd",,BA$43,"."&amp;$A$43&amp;$AS$42&amp;"C"&amp;$A73)="N/A",0,RTD("tos.rtd",,BA$43,"."&amp;$A$43&amp;$AS$42&amp;"C"&amp;$A73))</f>
        <v>1887</v>
      </c>
      <c r="BB73" s="7">
        <f>-IF(RTD("tos.rtd",,BB$43,"."&amp;$A$43&amp;$AS$42&amp;"P"&amp;$A73)="N/A",0,RTD("tos.rtd",,BB$43,"."&amp;$A$43&amp;$AS$42&amp;"P"&amp;$A73))</f>
        <v>-33167</v>
      </c>
      <c r="BC73" s="6">
        <f>IF(RTD("tos.rtd",,BC$2,"."&amp;$A$43&amp;$AU$1&amp;"C"&amp;$A73)="N/A",0,RTD("tos.rtd",,BC$2,"."&amp;$A$43&amp;$AU$1&amp;"C"&amp;$A73))</f>
        <v>91</v>
      </c>
      <c r="BD73" s="7">
        <f>-IF(RTD("tos.rtd",,BD$2,"."&amp;$A$43&amp;$AU$1&amp;"P"&amp;$A73)="N/A",0,RTD("tos.rtd",,BD$2,"."&amp;$A$43&amp;$AU$1&amp;"P"&amp;$A73))</f>
        <v>-5200</v>
      </c>
      <c r="BE73" s="6">
        <f>IF(RTD("tos.rtd",,BE$2,"."&amp;$A$43&amp;$AW$1&amp;"C"&amp;$A73)="N/A",0,RTD("tos.rtd",,BE$2,"."&amp;$A$43&amp;$AW$1&amp;"C"&amp;$A73))</f>
        <v>18</v>
      </c>
      <c r="BF73" s="7">
        <f>-IF(RTD("tos.rtd",,BF$2,"."&amp;$A$43&amp;$AW$1&amp;"P"&amp;$A73)="N/A",0,RTD("tos.rtd",,BF$2,"."&amp;$A$43&amp;$AW$1&amp;"P"&amp;$A73))</f>
        <v>-489</v>
      </c>
      <c r="BG73" s="32">
        <f ca="1">+Hoja2!Y74</f>
        <v>-1062</v>
      </c>
      <c r="BH73" s="7">
        <f t="shared" ca="1" si="276"/>
        <v>-37922</v>
      </c>
      <c r="BI73" s="8" t="str">
        <f t="shared" ca="1" si="293"/>
        <v/>
      </c>
      <c r="BJ73" s="83" t="e">
        <f ca="1">IF($BP$1=1,DX73,IF(RTD("tos.rtd",,BJ$43,"."&amp;$A$43&amp;$AS$42&amp;"C"&amp;$A73)="N/A",0,RTD("tos.rtd",,BJ$43,"."&amp;$A$43&amp;$AS$42&amp;"C"&amp;$A73)))</f>
        <v>#NUM!</v>
      </c>
      <c r="BK73" s="83" t="e">
        <f ca="1">IF($BP$1=1,DY73,-IF(RTD("tos.rtd",,BK$43,"."&amp;$A$43&amp;$AS$42&amp;"P"&amp;$A73)="N/A",0,RTD("tos.rtd",,BK$43,"."&amp;$A$43&amp;$AS$42&amp;"P"&amp;$A73)))</f>
        <v>#NUM!</v>
      </c>
      <c r="BL73" s="83">
        <f ca="1">IF($BP$1=1,DZ73,IF(RTD("tos.rtd",,BL$2,"."&amp;$A$43&amp;$AU$1&amp;"C"&amp;$A73)="N/A",0,RTD("tos.rtd",,BL$2,"."&amp;$A$43&amp;$AU$1&amp;"C"&amp;$A73)))</f>
        <v>1.6480015415186011E-2</v>
      </c>
      <c r="BM73" s="83">
        <f ca="1">IF($BP$1=1,EA73,-IF(RTD("tos.rtd",,BM$2,"."&amp;$A$43&amp;$AU$1&amp;"P"&amp;$A73)="N/A",0,RTD("tos.rtd",,BM$2,"."&amp;$A$43&amp;$AU$1&amp;"P"&amp;$A73)))</f>
        <v>-1.7861422284526127E-2</v>
      </c>
      <c r="BN73" s="83">
        <f ca="1">IF($BP$1=1,EB73,IF(RTD("tos.rtd",,BN$2,"."&amp;$A$43&amp;$AW$1&amp;"C"&amp;$A73)="N/A",0,RTD("tos.rtd",,BN$2,"."&amp;$A$43&amp;$AW$1&amp;"C"&amp;$A73)))</f>
        <v>9.6868594204721423E-3</v>
      </c>
      <c r="BO73" s="83">
        <f ca="1">IF($BP$1=1,EC73,-IF(RTD("tos.rtd",,BO$2,"."&amp;$A$43&amp;$AW$1&amp;"P"&amp;$A73)="N/A",0,RTD("tos.rtd",,BO$2,"."&amp;$A$43&amp;$AW$1&amp;"P"&amp;$A73)))</f>
        <v>-1.7988364258792744E-2</v>
      </c>
      <c r="BQ73" s="83" t="e">
        <f t="shared" ca="1" si="277"/>
        <v>#NUM!</v>
      </c>
      <c r="BR73" s="3" t="e">
        <f t="shared" ca="1" si="278"/>
        <v>#NUM!</v>
      </c>
      <c r="BS73" s="83">
        <f t="shared" ca="1" si="279"/>
        <v>-3163605.1975977784</v>
      </c>
      <c r="BT73" s="3" t="str">
        <f t="shared" ca="1" si="280"/>
        <v/>
      </c>
      <c r="BU73" s="83">
        <f t="shared" ca="1" si="281"/>
        <v>-885842.49942517187</v>
      </c>
      <c r="BV73" s="83"/>
      <c r="BX73" s="83" t="e">
        <f t="shared" ca="1" si="282"/>
        <v>#NUM!</v>
      </c>
      <c r="BY73" s="83" t="e">
        <f t="shared" ca="1" si="294"/>
        <v>#NUM!</v>
      </c>
      <c r="BZ73" s="83">
        <f t="shared" ca="1" si="283"/>
        <v>-21659086.982495777</v>
      </c>
      <c r="CA73" s="83" t="str">
        <f t="shared" ca="1" si="294"/>
        <v/>
      </c>
      <c r="CB73" s="83">
        <f t="shared" ca="1" si="284"/>
        <v>-2043598.9933286863</v>
      </c>
      <c r="CC73" s="83" t="str">
        <f t="shared" ca="1" si="294"/>
        <v/>
      </c>
      <c r="CD73" s="83">
        <f>IF(RTD("tos.rtd",,CD$43,"."&amp;$A$43&amp;$AS$42&amp;"C"&amp;$A73)="N/A",0,RTD("tos.rtd",,CD$43,"."&amp;$A$43&amp;$AS$42&amp;"C"&amp;$A73))</f>
        <v>1</v>
      </c>
      <c r="CE73" s="83">
        <f>-IF(RTD("tos.rtd",,CE$43,"."&amp;$A$43&amp;$AS$42&amp;"P"&amp;$A73)="N/A",0,RTD("tos.rtd",,CE$43,"."&amp;$A$43&amp;$AS$42&amp;"P"&amp;$A73))</f>
        <v>0</v>
      </c>
      <c r="CF73" s="83">
        <f>IF(RTD("tos.rtd",,CF$2,"."&amp;$A$43&amp;$AU$1&amp;"C"&amp;$A73)="N/A",0,RTD("tos.rtd",,CF$2,"."&amp;$A$43&amp;$AU$1&amp;"C"&amp;$A73))</f>
        <v>1</v>
      </c>
      <c r="CG73" s="83">
        <f>-IF(RTD("tos.rtd",,CG$2,"."&amp;$A$43&amp;$AU$1&amp;"P"&amp;$A73)="N/A",0,RTD("tos.rtd",,CG$2,"."&amp;$A$43&amp;$AU$1&amp;"P"&amp;$A73))</f>
        <v>0.15</v>
      </c>
      <c r="CH73" s="83">
        <f>IF(RTD("tos.rtd",,CH$2,"."&amp;$A$43&amp;$AW$1&amp;"C"&amp;$A73)="N/A",0,RTD("tos.rtd",,CH$2,"."&amp;$A$43&amp;$AW$1&amp;"C"&amp;$A73))</f>
        <v>0.85</v>
      </c>
      <c r="CI73" s="83">
        <f>-IF(RTD("tos.rtd",,CI$2,"."&amp;$A$43&amp;$AW$1&amp;"P"&amp;$A73)="N/A",0,RTD("tos.rtd",,CI$2,"."&amp;$A$43&amp;$AW$1&amp;"P"&amp;$A73))</f>
        <v>0.27</v>
      </c>
      <c r="CK73" s="83">
        <f t="shared" si="285"/>
        <v>47200</v>
      </c>
      <c r="CL73" s="83"/>
      <c r="CM73" s="83">
        <f t="shared" si="286"/>
        <v>28080</v>
      </c>
      <c r="CN73" s="83"/>
      <c r="CO73" s="83">
        <f t="shared" si="287"/>
        <v>-607</v>
      </c>
      <c r="CP73" s="83">
        <f t="shared" si="234"/>
        <v>74673</v>
      </c>
      <c r="CQ73" s="83">
        <f t="shared" si="248"/>
        <v>-31280</v>
      </c>
      <c r="CR73" s="83"/>
      <c r="CS73" s="83">
        <f t="shared" si="249"/>
        <v>-5109</v>
      </c>
      <c r="CT73" s="83"/>
      <c r="CU73" s="83">
        <f t="shared" si="250"/>
        <v>-471</v>
      </c>
      <c r="CV73" s="83"/>
      <c r="CW73" s="83" t="e">
        <f t="shared" ca="1" si="251"/>
        <v>#NUM!</v>
      </c>
      <c r="CY73" s="83" t="e">
        <f t="shared" ca="1" si="252"/>
        <v>#NUM!</v>
      </c>
      <c r="CZ73" s="70" t="e">
        <f t="shared" ca="1" si="295"/>
        <v>#NUM!</v>
      </c>
      <c r="DA73" s="83">
        <f>IF(RTD("tos.rtd",,DA$43,"."&amp;$A$43&amp;$AS$42&amp;"C"&amp;$A73)="N/A",0,RTD("tos.rtd",,DA$43,"."&amp;$A$43&amp;$AS$42&amp;"C"&amp;$A73))</f>
        <v>9.32</v>
      </c>
      <c r="DB73" s="83">
        <f>IF(RTD("tos.rtd",,DB$43,"."&amp;$A$43&amp;$AS$42&amp;"P"&amp;$A73)="N/A",0,RTD("tos.rtd",,DB$43,"."&amp;$A$43&amp;$AS$42&amp;"P"&amp;$A73))</f>
        <v>0.01</v>
      </c>
      <c r="DC73" s="83">
        <f>IF(RTD("tos.rtd",,DC$43,"."&amp;$A$43&amp;$AS$42&amp;"C"&amp;$A73)="N/A",0,RTD("tos.rtd",,DC$43,"."&amp;$A$43&amp;$AS$42&amp;"C"&amp;$A73))</f>
        <v>11.56</v>
      </c>
      <c r="DD73" s="83">
        <f>IF(RTD("tos.rtd",,DD$43,"."&amp;$A$43&amp;$AS$42&amp;"P"&amp;$A73)="N/A",0,RTD("tos.rtd",,DD$43,"."&amp;$A$43&amp;$AS$42&amp;"P"&amp;$A73))</f>
        <v>0.01</v>
      </c>
      <c r="DE73" s="83">
        <f>IF(RTD("tos.rtd",,DE$43,"."&amp;$A$43&amp;$AS$42&amp;"C"&amp;$A73)="N/A",0,RTD("tos.rtd",,DE$43,"."&amp;$A$43&amp;$AS$42&amp;"C"&amp;$A73))</f>
        <v>8.5399999999999991</v>
      </c>
      <c r="DF73" s="83">
        <f>IF(RTD("tos.rtd",,DF$43,"."&amp;$A$43&amp;$AS$42&amp;"P"&amp;$A73)="N/A",0,RTD("tos.rtd",,DF$43,"."&amp;$A$43&amp;$AS$42&amp;"P"&amp;$A73))</f>
        <v>0</v>
      </c>
      <c r="DG73" s="86">
        <f t="shared" si="288"/>
        <v>-12.850000000000023</v>
      </c>
      <c r="DH73" s="83">
        <f t="shared" si="253"/>
        <v>0</v>
      </c>
      <c r="DI73" s="83">
        <f t="shared" si="254"/>
        <v>0</v>
      </c>
      <c r="DJ73" s="83">
        <f t="shared" si="255"/>
        <v>0</v>
      </c>
      <c r="DK73" s="83">
        <f t="shared" si="256"/>
        <v>0</v>
      </c>
      <c r="DL73" s="83">
        <f t="shared" si="257"/>
        <v>0</v>
      </c>
      <c r="DM73" s="83">
        <f t="shared" si="258"/>
        <v>0</v>
      </c>
      <c r="DN73" s="64" t="str">
        <f t="shared" si="259"/>
        <v>UNKNOWN</v>
      </c>
      <c r="DO73" s="64" t="str">
        <f t="shared" si="260"/>
        <v>UNKNOWN</v>
      </c>
      <c r="DP73" s="83">
        <f t="shared" si="261"/>
        <v>0</v>
      </c>
      <c r="DQ73" s="83">
        <f t="shared" si="262"/>
        <v>0</v>
      </c>
      <c r="DR73" s="83" t="e">
        <f t="shared" ca="1" si="263"/>
        <v>#NUM!</v>
      </c>
      <c r="DS73" s="83">
        <f t="shared" si="264"/>
        <v>0</v>
      </c>
      <c r="DT73" s="83">
        <f t="shared" si="289"/>
        <v>0</v>
      </c>
      <c r="DU73" s="83">
        <f t="shared" si="290"/>
        <v>0</v>
      </c>
      <c r="DV73" s="83">
        <f t="shared" si="265"/>
        <v>274</v>
      </c>
      <c r="DW73" s="83">
        <f t="shared" si="266"/>
        <v>-1543</v>
      </c>
      <c r="DX73" s="83" t="e">
        <f t="shared" ca="1" si="404"/>
        <v>#NUM!</v>
      </c>
      <c r="DY73" s="83" t="e">
        <f t="shared" ca="1" si="405"/>
        <v>#NUM!</v>
      </c>
      <c r="DZ73" s="83">
        <f t="shared" ca="1" si="406"/>
        <v>1.6480015415186011E-2</v>
      </c>
      <c r="EA73" s="83">
        <f t="shared" ca="1" si="407"/>
        <v>-1.7861422284526127E-2</v>
      </c>
      <c r="EB73" s="83">
        <f t="shared" ca="1" si="408"/>
        <v>9.6868594204721423E-3</v>
      </c>
      <c r="EC73" s="83">
        <f t="shared" ca="1" si="409"/>
        <v>-1.7988364258792744E-2</v>
      </c>
      <c r="ED73" s="63">
        <f t="shared" si="291"/>
        <v>-1269</v>
      </c>
      <c r="EE73" s="84">
        <f t="shared" si="267"/>
        <v>0.25</v>
      </c>
      <c r="EF73" s="84">
        <f t="shared" si="268"/>
        <v>1.3106</v>
      </c>
      <c r="EG73" s="84">
        <f t="shared" si="269"/>
        <v>0.25</v>
      </c>
      <c r="EH73" s="84">
        <f t="shared" si="270"/>
        <v>0.37690000000000001</v>
      </c>
      <c r="EI73" s="84">
        <f t="shared" si="271"/>
        <v>0.1767</v>
      </c>
      <c r="EJ73" s="84">
        <f t="shared" si="272"/>
        <v>0.3029</v>
      </c>
      <c r="EL73" s="83" t="str">
        <f>RTD("tos.rtd",,EL$43,"."&amp;$A$43&amp;$AS$42&amp;"C"&amp;$A73)</f>
        <v>--</v>
      </c>
      <c r="EM73" s="83" t="str">
        <f>RTD("tos.rtd",,EM$43,"."&amp;$A$43&amp;$AS$42&amp;"P"&amp;$A73)</f>
        <v>131.06%</v>
      </c>
      <c r="EN73" s="83" t="str">
        <f>RTD("tos.rtd",,EN$2,"."&amp;$A$43&amp;$AU$1&amp;"C"&amp;$A73)</f>
        <v>--</v>
      </c>
      <c r="EO73" s="83" t="str">
        <f>RTD("tos.rtd",,EO$2,"."&amp;$A$43&amp;$AU$1&amp;"P"&amp;$A73)</f>
        <v>37.69%</v>
      </c>
      <c r="EP73" s="83" t="str">
        <f>RTD("tos.rtd",,EP$2,"."&amp;$A$43&amp;$AW$1&amp;"C"&amp;$A73)</f>
        <v>17.67%</v>
      </c>
      <c r="EQ73" s="83" t="str">
        <f>RTD("tos.rtd",,EQ$2,"."&amp;$A$43&amp;$AW$1&amp;"P"&amp;$A73)</f>
        <v>30.29%</v>
      </c>
      <c r="ES73" s="63" t="str">
        <f t="shared" si="273"/>
        <v>474,-1269.00</v>
      </c>
      <c r="ET73" s="64" t="str">
        <f t="shared" ca="1" si="274"/>
        <v>474,00.00</v>
      </c>
      <c r="EU73" s="68">
        <v>561.63</v>
      </c>
      <c r="EV73" s="68" t="s">
        <v>604</v>
      </c>
      <c r="EW73" s="68">
        <v>484.09</v>
      </c>
      <c r="EX73" s="68" t="s">
        <v>605</v>
      </c>
      <c r="EY73" s="68">
        <v>5630</v>
      </c>
      <c r="EZ73" s="68" t="s">
        <v>606</v>
      </c>
      <c r="FA73" s="68">
        <v>19884.75</v>
      </c>
      <c r="FB73" s="68" t="s">
        <v>607</v>
      </c>
      <c r="FC73" s="68" t="s">
        <v>608</v>
      </c>
      <c r="FD73" s="68" t="s">
        <v>609</v>
      </c>
      <c r="FE73" s="68" t="s">
        <v>610</v>
      </c>
      <c r="FF73" s="68" t="s">
        <v>611</v>
      </c>
    </row>
    <row r="74" spans="1:162" ht="13.5" thickBot="1" x14ac:dyDescent="0.25">
      <c r="A74" s="2">
        <f t="shared" si="292"/>
        <v>473</v>
      </c>
      <c r="B74" s="3">
        <f t="shared" si="240"/>
        <v>3526</v>
      </c>
      <c r="C74" s="3">
        <f t="shared" si="410"/>
        <v>3568</v>
      </c>
      <c r="D74" s="3">
        <f t="shared" si="242"/>
        <v>1335</v>
      </c>
      <c r="E74" s="3">
        <f>SUM(B74:D74)</f>
        <v>8429</v>
      </c>
      <c r="F74" s="4">
        <f>+$F$44/$A$44*A74</f>
        <v>19524.305227482797</v>
      </c>
      <c r="AM74" s="1">
        <v>-60</v>
      </c>
      <c r="AN74" s="1">
        <v>-5968</v>
      </c>
      <c r="AO74" s="1">
        <v>473</v>
      </c>
      <c r="AP74" s="1">
        <v>228</v>
      </c>
      <c r="AQ74" s="1">
        <v>-28478</v>
      </c>
      <c r="AS74" s="6">
        <f>IF(RTD("tos.rtd",,AS$43,"."&amp;$A$43&amp;$AS$42&amp;"C"&amp;$A74)="N/A",0,RTD("tos.rtd",,AS$43,"."&amp;$A$43&amp;$AS$42&amp;"C"&amp;$A74))</f>
        <v>174</v>
      </c>
      <c r="AT74" s="7">
        <f>-IF(RTD("tos.rtd",,AT$43,"."&amp;$A$43&amp;$AS$42&amp;"P"&amp;$A74)="N/A",0,RTD("tos.rtd",,AT$43,"."&amp;$A$43&amp;$AS$42&amp;"P"&amp;$A74))</f>
        <v>-3352</v>
      </c>
      <c r="AU74" s="6">
        <f>IF(RTD("tos.rtd",,AU$2,"."&amp;$A$43&amp;$AU$1&amp;"C"&amp;$A74)="N/A",0,RTD("tos.rtd",,AU$2,"."&amp;$A$43&amp;$AU$1&amp;"C"&amp;$A74))</f>
        <v>1566</v>
      </c>
      <c r="AV74" s="7">
        <f>-IF(RTD("tos.rtd",,AV$2,"."&amp;$A$43&amp;$AU$1&amp;"P"&amp;$A74)="N/A",0,RTD("tos.rtd",,AV$2,"."&amp;$A$43&amp;$AU$1&amp;"P"&amp;$A74))</f>
        <v>-2002</v>
      </c>
      <c r="AW74" s="6">
        <f>IF(RTD("tos.rtd",,AW$2,"."&amp;$A$43&amp;$AW$1&amp;"C"&amp;$A74)="N/A",0,RTD("tos.rtd",,AW$2,"."&amp;$A$43&amp;$AW$1&amp;"C"&amp;$A74))</f>
        <v>8</v>
      </c>
      <c r="AX74" s="7">
        <f>-IF(RTD("tos.rtd",,AX$2,"."&amp;$A$43&amp;$AW$1&amp;"P"&amp;$A74)="N/A",0,RTD("tos.rtd",,AX$2,"."&amp;$A$43&amp;$AW$1&amp;"P"&amp;$A74))</f>
        <v>-1327</v>
      </c>
      <c r="AY74" s="7">
        <f>SUM(AS74:AX74)</f>
        <v>-4933</v>
      </c>
      <c r="AZ74" s="8">
        <f t="shared" si="244"/>
        <v>473</v>
      </c>
      <c r="BA74" s="6">
        <f>IF(RTD("tos.rtd",,BA$43,"."&amp;$A$43&amp;$AS$42&amp;"C"&amp;$A74)="N/A",0,RTD("tos.rtd",,BA$43,"."&amp;$A$43&amp;$AS$42&amp;"C"&amp;$A74))</f>
        <v>228</v>
      </c>
      <c r="BB74" s="7">
        <f>-IF(RTD("tos.rtd",,BB$43,"."&amp;$A$43&amp;$AS$42&amp;"P"&amp;$A74)="N/A",0,RTD("tos.rtd",,BB$43,"."&amp;$A$43&amp;$AS$42&amp;"P"&amp;$A74))</f>
        <v>-28480</v>
      </c>
      <c r="BC74" s="6">
        <f>IF(RTD("tos.rtd",,BC$2,"."&amp;$A$43&amp;$AU$1&amp;"C"&amp;$A74)="N/A",0,RTD("tos.rtd",,BC$2,"."&amp;$A$43&amp;$AU$1&amp;"C"&amp;$A74))</f>
        <v>110</v>
      </c>
      <c r="BD74" s="7">
        <f>-IF(RTD("tos.rtd",,BD$2,"."&amp;$A$43&amp;$AU$1&amp;"P"&amp;$A74)="N/A",0,RTD("tos.rtd",,BD$2,"."&amp;$A$43&amp;$AU$1&amp;"P"&amp;$A74))</f>
        <v>-2801</v>
      </c>
      <c r="BE74" s="6">
        <f>IF(RTD("tos.rtd",,BE$2,"."&amp;$A$43&amp;$AW$1&amp;"C"&amp;$A74)="N/A",0,RTD("tos.rtd",,BE$2,"."&amp;$A$43&amp;$AW$1&amp;"C"&amp;$A74))</f>
        <v>6</v>
      </c>
      <c r="BF74" s="7">
        <f>-IF(RTD("tos.rtd",,BF$2,"."&amp;$A$43&amp;$AW$1&amp;"P"&amp;$A74)="N/A",0,RTD("tos.rtd",,BF$2,"."&amp;$A$43&amp;$AW$1&amp;"P"&amp;$A74))</f>
        <v>-385</v>
      </c>
      <c r="BG74" s="32">
        <f ca="1">+Hoja2!Y75</f>
        <v>446</v>
      </c>
      <c r="BH74" s="7">
        <f t="shared" ca="1" si="276"/>
        <v>-30876</v>
      </c>
      <c r="BI74" s="8" t="str">
        <f t="shared" ca="1" si="293"/>
        <v/>
      </c>
      <c r="BJ74" s="83" t="e">
        <f ca="1">IF($BP$1=1,DX74,IF(RTD("tos.rtd",,BJ$43,"."&amp;$A$43&amp;$AS$42&amp;"C"&amp;$A74)="N/A",0,RTD("tos.rtd",,BJ$43,"."&amp;$A$43&amp;$AS$42&amp;"C"&amp;$A74)))</f>
        <v>#NUM!</v>
      </c>
      <c r="BK74" s="83" t="e">
        <f ca="1">IF($BP$1=1,DY74,-IF(RTD("tos.rtd",,BK$43,"."&amp;$A$43&amp;$AS$42&amp;"P"&amp;$A74)="N/A",0,RTD("tos.rtd",,BK$43,"."&amp;$A$43&amp;$AS$42&amp;"P"&amp;$A74)))</f>
        <v>#NUM!</v>
      </c>
      <c r="BL74" s="83">
        <f ca="1">IF($BP$1=1,DZ74,IF(RTD("tos.rtd",,BL$2,"."&amp;$A$43&amp;$AU$1&amp;"C"&amp;$A74)="N/A",0,RTD("tos.rtd",,BL$2,"."&amp;$A$43&amp;$AU$1&amp;"C"&amp;$A74)))</f>
        <v>1.4277776221196503E-2</v>
      </c>
      <c r="BM74" s="83">
        <f ca="1">IF($BP$1=1,EA74,-IF(RTD("tos.rtd",,BM$2,"."&amp;$A$43&amp;$AU$1&amp;"P"&amp;$A74)="N/A",0,RTD("tos.rtd",,BM$2,"."&amp;$A$43&amp;$AU$1&amp;"P"&amp;$A74)))</f>
        <v>-1.6746978675514376E-2</v>
      </c>
      <c r="BN74" s="83">
        <f ca="1">IF($BP$1=1,EB74,IF(RTD("tos.rtd",,BN$2,"."&amp;$A$43&amp;$AW$1&amp;"C"&amp;$A74)="N/A",0,RTD("tos.rtd",,BN$2,"."&amp;$A$43&amp;$AW$1&amp;"C"&amp;$A74)))</f>
        <v>6.483919361641383E-3</v>
      </c>
      <c r="BO74" s="83">
        <f ca="1">IF($BP$1=1,EC74,-IF(RTD("tos.rtd",,BO$2,"."&amp;$A$43&amp;$AW$1&amp;"P"&amp;$A74)="N/A",0,RTD("tos.rtd",,BO$2,"."&amp;$A$43&amp;$AW$1&amp;"P"&amp;$A74)))</f>
        <v>-1.6326887004290518E-2</v>
      </c>
      <c r="BQ74" s="83" t="e">
        <f t="shared" ca="1" si="277"/>
        <v>#NUM!</v>
      </c>
      <c r="BR74" s="3" t="e">
        <f t="shared" ca="1" si="278"/>
        <v>#NUM!</v>
      </c>
      <c r="BS74" s="83">
        <f t="shared" ca="1" si="279"/>
        <v>-2647179.5466796886</v>
      </c>
      <c r="BT74" s="3" t="str">
        <f t="shared" ca="1" si="280"/>
        <v/>
      </c>
      <c r="BU74" s="83">
        <f t="shared" ca="1" si="281"/>
        <v>-5122991.5696519408</v>
      </c>
      <c r="BV74" s="83"/>
      <c r="BX74" s="83" t="e">
        <f t="shared" ca="1" si="282"/>
        <v>#NUM!</v>
      </c>
      <c r="BY74" s="83" t="e">
        <f t="shared" ca="1" si="294"/>
        <v>#NUM!</v>
      </c>
      <c r="BZ74" s="83">
        <f t="shared" ca="1" si="283"/>
        <v>-10746081.711089997</v>
      </c>
      <c r="CA74" s="83" t="str">
        <f t="shared" ca="1" si="294"/>
        <v/>
      </c>
      <c r="CB74" s="83">
        <f t="shared" ca="1" si="284"/>
        <v>-1480669.8670393168</v>
      </c>
      <c r="CC74" s="83" t="str">
        <f t="shared" ca="1" si="294"/>
        <v/>
      </c>
      <c r="CD74" s="83">
        <f>IF(RTD("tos.rtd",,CD$43,"."&amp;$A$43&amp;$AS$42&amp;"C"&amp;$A74)="N/A",0,RTD("tos.rtd",,CD$43,"."&amp;$A$43&amp;$AS$42&amp;"C"&amp;$A74))</f>
        <v>1</v>
      </c>
      <c r="CE74" s="83">
        <f>-IF(RTD("tos.rtd",,CE$43,"."&amp;$A$43&amp;$AS$42&amp;"P"&amp;$A74)="N/A",0,RTD("tos.rtd",,CE$43,"."&amp;$A$43&amp;$AS$42&amp;"P"&amp;$A74))</f>
        <v>0</v>
      </c>
      <c r="CF74" s="83">
        <f>IF(RTD("tos.rtd",,CF$2,"."&amp;$A$43&amp;$AU$1&amp;"C"&amp;$A74)="N/A",0,RTD("tos.rtd",,CF$2,"."&amp;$A$43&amp;$AU$1&amp;"C"&amp;$A74))</f>
        <v>1</v>
      </c>
      <c r="CG74" s="83">
        <f>-IF(RTD("tos.rtd",,CG$2,"."&amp;$A$43&amp;$AU$1&amp;"P"&amp;$A74)="N/A",0,RTD("tos.rtd",,CG$2,"."&amp;$A$43&amp;$AU$1&amp;"P"&amp;$A74))</f>
        <v>0.13</v>
      </c>
      <c r="CH74" s="83">
        <f>IF(RTD("tos.rtd",,CH$2,"."&amp;$A$43&amp;$AW$1&amp;"C"&amp;$A74)="N/A",0,RTD("tos.rtd",,CH$2,"."&amp;$A$43&amp;$AW$1&amp;"C"&amp;$A74))</f>
        <v>0.87</v>
      </c>
      <c r="CI74" s="83">
        <f>-IF(RTD("tos.rtd",,CI$2,"."&amp;$A$43&amp;$AW$1&amp;"P"&amp;$A74)="N/A",0,RTD("tos.rtd",,CI$2,"."&amp;$A$43&amp;$AW$1&amp;"P"&amp;$A74))</f>
        <v>0.26</v>
      </c>
      <c r="CK74" s="83">
        <f t="shared" si="285"/>
        <v>17400</v>
      </c>
      <c r="CL74" s="83"/>
      <c r="CM74" s="83">
        <f t="shared" si="286"/>
        <v>130574</v>
      </c>
      <c r="CN74" s="83"/>
      <c r="CO74" s="83">
        <f t="shared" si="287"/>
        <v>-33806.000000000007</v>
      </c>
      <c r="CP74" s="83">
        <f t="shared" si="234"/>
        <v>114168</v>
      </c>
      <c r="CQ74" s="83">
        <f t="shared" si="248"/>
        <v>-28252</v>
      </c>
      <c r="CR74" s="83"/>
      <c r="CS74" s="83">
        <f t="shared" si="249"/>
        <v>-2691</v>
      </c>
      <c r="CT74" s="83"/>
      <c r="CU74" s="83">
        <f t="shared" si="250"/>
        <v>-379</v>
      </c>
      <c r="CV74" s="83"/>
      <c r="CW74" s="83" t="e">
        <f ca="1">+BQ74+BS74+BU74</f>
        <v>#NUM!</v>
      </c>
      <c r="CY74" s="83" t="e">
        <f t="shared" ca="1" si="252"/>
        <v>#NUM!</v>
      </c>
      <c r="CZ74" s="70" t="e">
        <f t="shared" ca="1" si="295"/>
        <v>#NUM!</v>
      </c>
      <c r="DA74" s="83">
        <f>IF(RTD("tos.rtd",,DA$43,"."&amp;$A$43&amp;$AS$42&amp;"C"&amp;$A74)="N/A",0,RTD("tos.rtd",,DA$43,"."&amp;$A$43&amp;$AS$42&amp;"C"&amp;$A74))</f>
        <v>9.59</v>
      </c>
      <c r="DB74" s="83">
        <f>IF(RTD("tos.rtd",,DB$43,"."&amp;$A$43&amp;$AS$42&amp;"P"&amp;$A74)="N/A",0,RTD("tos.rtd",,DB$43,"."&amp;$A$43&amp;$AS$42&amp;"P"&amp;$A74))</f>
        <v>0.01</v>
      </c>
      <c r="DC74" s="83">
        <f>IF(RTD("tos.rtd",,DC$43,"."&amp;$A$43&amp;$AS$42&amp;"C"&amp;$A74)="N/A",0,RTD("tos.rtd",,DC$43,"."&amp;$A$43&amp;$AS$42&amp;"C"&amp;$A74))</f>
        <v>12.56</v>
      </c>
      <c r="DD74" s="83">
        <f>IF(RTD("tos.rtd",,DD$43,"."&amp;$A$43&amp;$AS$42&amp;"P"&amp;$A74)="N/A",0,RTD("tos.rtd",,DD$43,"."&amp;$A$43&amp;$AS$42&amp;"P"&amp;$A74))</f>
        <v>0.01</v>
      </c>
      <c r="DE74" s="83">
        <f>IF(RTD("tos.rtd",,DE$43,"."&amp;$A$43&amp;$AS$42&amp;"C"&amp;$A74)="N/A",0,RTD("tos.rtd",,DE$43,"."&amp;$A$43&amp;$AS$42&amp;"C"&amp;$A74))</f>
        <v>9.5399999999999991</v>
      </c>
      <c r="DF74" s="83">
        <f>IF(RTD("tos.rtd",,DF$43,"."&amp;$A$43&amp;$AS$42&amp;"P"&amp;$A74)="N/A",0,RTD("tos.rtd",,DF$43,"."&amp;$A$43&amp;$AS$42&amp;"P"&amp;$A74))</f>
        <v>0</v>
      </c>
      <c r="DG74" s="86">
        <f t="shared" si="288"/>
        <v>-13.850000000000023</v>
      </c>
      <c r="DH74" s="83">
        <f t="shared" si="253"/>
        <v>0</v>
      </c>
      <c r="DI74" s="83">
        <f t="shared" si="254"/>
        <v>-2</v>
      </c>
      <c r="DJ74" s="83">
        <f t="shared" si="255"/>
        <v>0</v>
      </c>
      <c r="DK74" s="83">
        <f t="shared" si="256"/>
        <v>-2</v>
      </c>
      <c r="DL74" s="83">
        <f t="shared" si="257"/>
        <v>-2</v>
      </c>
      <c r="DM74" s="83">
        <f t="shared" si="258"/>
        <v>-2</v>
      </c>
      <c r="DN74" s="64" t="str">
        <f t="shared" si="259"/>
        <v>UNKNOWN</v>
      </c>
      <c r="DO74" s="64" t="str">
        <f t="shared" si="260"/>
        <v>BUY</v>
      </c>
      <c r="DP74" s="83">
        <f t="shared" si="261"/>
        <v>-0.02</v>
      </c>
      <c r="DQ74" s="83">
        <f t="shared" si="262"/>
        <v>-0.02</v>
      </c>
      <c r="DR74" s="83" t="e">
        <f t="shared" ca="1" si="263"/>
        <v>#NUM!</v>
      </c>
      <c r="DS74" s="83">
        <f t="shared" si="264"/>
        <v>0</v>
      </c>
      <c r="DT74" s="83">
        <f t="shared" si="289"/>
        <v>0</v>
      </c>
      <c r="DU74" s="83">
        <f t="shared" si="290"/>
        <v>-2</v>
      </c>
      <c r="DV74" s="83">
        <f t="shared" si="265"/>
        <v>-60</v>
      </c>
      <c r="DW74" s="83">
        <f t="shared" si="266"/>
        <v>-5970</v>
      </c>
      <c r="DX74" s="83" t="e">
        <f t="shared" ca="1" si="404"/>
        <v>#NUM!</v>
      </c>
      <c r="DY74" s="83" t="e">
        <f t="shared" ca="1" si="405"/>
        <v>#NUM!</v>
      </c>
      <c r="DZ74" s="83">
        <f t="shared" ca="1" si="406"/>
        <v>1.4277776221196503E-2</v>
      </c>
      <c r="EA74" s="83">
        <f t="shared" ca="1" si="407"/>
        <v>-1.6746978675514376E-2</v>
      </c>
      <c r="EB74" s="83">
        <f t="shared" ca="1" si="408"/>
        <v>6.483919361641383E-3</v>
      </c>
      <c r="EC74" s="83">
        <f t="shared" ca="1" si="409"/>
        <v>-1.6326887004290518E-2</v>
      </c>
      <c r="ED74" s="63">
        <f t="shared" si="291"/>
        <v>-6030</v>
      </c>
      <c r="EE74" s="84">
        <f t="shared" si="267"/>
        <v>0.25</v>
      </c>
      <c r="EF74" s="84">
        <f t="shared" si="268"/>
        <v>1.4034</v>
      </c>
      <c r="EG74" s="84">
        <f t="shared" si="269"/>
        <v>0.25</v>
      </c>
      <c r="EH74" s="84">
        <f t="shared" si="270"/>
        <v>0.37940000000000002</v>
      </c>
      <c r="EI74" s="84">
        <f t="shared" si="271"/>
        <v>0.17050000000000001</v>
      </c>
      <c r="EJ74" s="84">
        <f t="shared" si="272"/>
        <v>0.30380000000000001</v>
      </c>
      <c r="EL74" s="83" t="str">
        <f>RTD("tos.rtd",,EL$43,"."&amp;$A$43&amp;$AS$42&amp;"C"&amp;$A74)</f>
        <v>--</v>
      </c>
      <c r="EM74" s="83" t="str">
        <f>RTD("tos.rtd",,EM$43,"."&amp;$A$43&amp;$AS$42&amp;"P"&amp;$A74)</f>
        <v>140.34%</v>
      </c>
      <c r="EN74" s="83" t="str">
        <f>RTD("tos.rtd",,EN$2,"."&amp;$A$43&amp;$AU$1&amp;"C"&amp;$A74)</f>
        <v>--</v>
      </c>
      <c r="EO74" s="83" t="str">
        <f>RTD("tos.rtd",,EO$2,"."&amp;$A$43&amp;$AU$1&amp;"P"&amp;$A74)</f>
        <v>37.94%</v>
      </c>
      <c r="EP74" s="83" t="str">
        <f>RTD("tos.rtd",,EP$2,"."&amp;$A$43&amp;$AW$1&amp;"C"&amp;$A74)</f>
        <v>17.05%</v>
      </c>
      <c r="EQ74" s="83" t="str">
        <f>RTD("tos.rtd",,EQ$2,"."&amp;$A$43&amp;$AW$1&amp;"P"&amp;$A74)</f>
        <v>30.38%</v>
      </c>
      <c r="ES74" s="63" t="str">
        <f t="shared" si="273"/>
        <v>473,-6030.00</v>
      </c>
      <c r="ET74" s="64" t="str">
        <f t="shared" ca="1" si="274"/>
        <v>473,00.00</v>
      </c>
      <c r="EU74" s="68">
        <v>561.63</v>
      </c>
      <c r="EV74" s="68" t="s">
        <v>612</v>
      </c>
      <c r="EW74" s="68">
        <v>484.09</v>
      </c>
      <c r="EX74" s="68" t="s">
        <v>613</v>
      </c>
      <c r="EY74" s="68">
        <v>5629.75</v>
      </c>
      <c r="EZ74" s="68" t="s">
        <v>614</v>
      </c>
      <c r="FA74" s="68">
        <v>19883.5</v>
      </c>
      <c r="FB74" s="68" t="s">
        <v>615</v>
      </c>
      <c r="FC74" s="68" t="s">
        <v>616</v>
      </c>
      <c r="FD74" s="68" t="s">
        <v>617</v>
      </c>
      <c r="FE74" s="68" t="s">
        <v>618</v>
      </c>
      <c r="FF74" s="68" t="s">
        <v>619</v>
      </c>
    </row>
    <row r="75" spans="1:162" ht="13.5" thickBot="1" x14ac:dyDescent="0.25">
      <c r="A75" s="2">
        <f t="shared" si="292"/>
        <v>472</v>
      </c>
      <c r="B75" s="3">
        <f t="shared" si="240"/>
        <v>1802</v>
      </c>
      <c r="C75" s="3">
        <f t="shared" si="410"/>
        <v>2961</v>
      </c>
      <c r="D75" s="3">
        <f t="shared" si="242"/>
        <v>497</v>
      </c>
      <c r="E75" s="3">
        <f t="shared" si="243"/>
        <v>5260</v>
      </c>
      <c r="F75" s="4">
        <f t="shared" si="296"/>
        <v>19483.027626579027</v>
      </c>
      <c r="AM75" s="1">
        <v>-9</v>
      </c>
      <c r="AN75" s="1">
        <v>-401</v>
      </c>
      <c r="AO75" s="1">
        <v>472</v>
      </c>
      <c r="AP75" s="1">
        <v>176</v>
      </c>
      <c r="AQ75" s="1">
        <v>-32613</v>
      </c>
      <c r="AS75" s="6">
        <f>IF(RTD("tos.rtd",,AS$43,"."&amp;$A$43&amp;$AS$42&amp;"C"&amp;$A75)="N/A",0,RTD("tos.rtd",,AS$43,"."&amp;$A$43&amp;$AS$42&amp;"C"&amp;$A75))</f>
        <v>140</v>
      </c>
      <c r="AT75" s="7">
        <f>-IF(RTD("tos.rtd",,AT$43,"."&amp;$A$43&amp;$AS$42&amp;"P"&amp;$A75)="N/A",0,RTD("tos.rtd",,AT$43,"."&amp;$A$43&amp;$AS$42&amp;"P"&amp;$A75))</f>
        <v>-1662</v>
      </c>
      <c r="AU75" s="6">
        <f>IF(RTD("tos.rtd",,AU$2,"."&amp;$A$43&amp;$AU$1&amp;"C"&amp;$A75)="N/A",0,RTD("tos.rtd",,AU$2,"."&amp;$A$43&amp;$AU$1&amp;"C"&amp;$A75))</f>
        <v>1130</v>
      </c>
      <c r="AV75" s="7">
        <f>-IF(RTD("tos.rtd",,AV$2,"."&amp;$A$43&amp;$AU$1&amp;"P"&amp;$A75)="N/A",0,RTD("tos.rtd",,AV$2,"."&amp;$A$43&amp;$AU$1&amp;"P"&amp;$A75))</f>
        <v>-1831</v>
      </c>
      <c r="AW75" s="6">
        <f>IF(RTD("tos.rtd",,AW$2,"."&amp;$A$43&amp;$AW$1&amp;"C"&amp;$A75)="N/A",0,RTD("tos.rtd",,AW$2,"."&amp;$A$43&amp;$AW$1&amp;"C"&amp;$A75))</f>
        <v>106</v>
      </c>
      <c r="AX75" s="7">
        <f>-IF(RTD("tos.rtd",,AX$2,"."&amp;$A$43&amp;$AW$1&amp;"P"&amp;$A75)="N/A",0,RTD("tos.rtd",,AX$2,"."&amp;$A$43&amp;$AW$1&amp;"P"&amp;$A75))</f>
        <v>-391</v>
      </c>
      <c r="AY75" s="7">
        <f t="shared" si="275"/>
        <v>-2508</v>
      </c>
      <c r="AZ75" s="8">
        <f t="shared" si="244"/>
        <v>472</v>
      </c>
      <c r="BA75" s="6">
        <f>IF(RTD("tos.rtd",,BA$43,"."&amp;$A$43&amp;$AS$42&amp;"C"&amp;$A75)="N/A",0,RTD("tos.rtd",,BA$43,"."&amp;$A$43&amp;$AS$42&amp;"C"&amp;$A75))</f>
        <v>176</v>
      </c>
      <c r="BB75" s="7">
        <f>-IF(RTD("tos.rtd",,BB$43,"."&amp;$A$43&amp;$AS$42&amp;"P"&amp;$A75)="N/A",0,RTD("tos.rtd",,BB$43,"."&amp;$A$43&amp;$AS$42&amp;"P"&amp;$A75))</f>
        <v>-32613</v>
      </c>
      <c r="BC75" s="6">
        <f>IF(RTD("tos.rtd",,BC$2,"."&amp;$A$43&amp;$AU$1&amp;"C"&amp;$A75)="N/A",0,RTD("tos.rtd",,BC$2,"."&amp;$A$43&amp;$AU$1&amp;"C"&amp;$A75))</f>
        <v>384</v>
      </c>
      <c r="BD75" s="7">
        <f>-IF(RTD("tos.rtd",,BD$2,"."&amp;$A$43&amp;$AU$1&amp;"P"&amp;$A75)="N/A",0,RTD("tos.rtd",,BD$2,"."&amp;$A$43&amp;$AU$1&amp;"P"&amp;$A75))</f>
        <v>-2321</v>
      </c>
      <c r="BE75" s="6">
        <f>IF(RTD("tos.rtd",,BE$2,"."&amp;$A$43&amp;$AW$1&amp;"C"&amp;$A75)="N/A",0,RTD("tos.rtd",,BE$2,"."&amp;$A$43&amp;$AW$1&amp;"C"&amp;$A75))</f>
        <v>5</v>
      </c>
      <c r="BF75" s="7">
        <f>-IF(RTD("tos.rtd",,BF$2,"."&amp;$A$43&amp;$AW$1&amp;"P"&amp;$A75)="N/A",0,RTD("tos.rtd",,BF$2,"."&amp;$A$43&amp;$AW$1&amp;"P"&amp;$A75))</f>
        <v>-184</v>
      </c>
      <c r="BG75" s="32">
        <f ca="1">+Hoja2!Y76</f>
        <v>-437</v>
      </c>
      <c r="BH75" s="7">
        <f t="shared" ca="1" si="276"/>
        <v>-34990</v>
      </c>
      <c r="BI75" s="8" t="str">
        <f t="shared" ca="1" si="293"/>
        <v/>
      </c>
      <c r="BJ75" s="83" t="e">
        <f ca="1">IF($BP$1=1,DX75,IF(RTD("tos.rtd",,BJ$43,"."&amp;$A$43&amp;$AS$42&amp;"C"&amp;$A75)="N/A",0,RTD("tos.rtd",,BJ$43,"."&amp;$A$43&amp;$AS$42&amp;"C"&amp;$A75)))</f>
        <v>#NUM!</v>
      </c>
      <c r="BK75" s="83" t="e">
        <f ca="1">IF($BP$1=1,DY75,-IF(RTD("tos.rtd",,BK$43,"."&amp;$A$43&amp;$AS$42&amp;"P"&amp;$A75)="N/A",0,RTD("tos.rtd",,BK$43,"."&amp;$A$43&amp;$AS$42&amp;"P"&amp;$A75)))</f>
        <v>#NUM!</v>
      </c>
      <c r="BL75" s="83">
        <f ca="1">IF($BP$1=1,DZ75,IF(RTD("tos.rtd",,BL$2,"."&amp;$A$43&amp;$AU$1&amp;"C"&amp;$A75)="N/A",0,RTD("tos.rtd",,BL$2,"."&amp;$A$43&amp;$AU$1&amp;"C"&amp;$A75)))</f>
        <v>1.2233950765354393E-2</v>
      </c>
      <c r="BM75" s="83">
        <f ca="1">IF($BP$1=1,EA75,-IF(RTD("tos.rtd",,BM$2,"."&amp;$A$43&amp;$AU$1&amp;"P"&amp;$A75)="N/A",0,RTD("tos.rtd",,BM$2,"."&amp;$A$43&amp;$AU$1&amp;"P"&amp;$A75)))</f>
        <v>-1.5652111098676424E-2</v>
      </c>
      <c r="BN75" s="83">
        <f ca="1">IF($BP$1=1,EB75,IF(RTD("tos.rtd",,BN$2,"."&amp;$A$43&amp;$AW$1&amp;"C"&amp;$A75)="N/A",0,RTD("tos.rtd",,BN$2,"."&amp;$A$43&amp;$AW$1&amp;"C"&amp;$A75)))</f>
        <v>4.2622491161648495E-3</v>
      </c>
      <c r="BO75" s="83">
        <f ca="1">IF($BP$1=1,EC75,-IF(RTD("tos.rtd",,BO$2,"."&amp;$A$43&amp;$AW$1&amp;"P"&amp;$A75)="N/A",0,RTD("tos.rtd",,BO$2,"."&amp;$A$43&amp;$AW$1&amp;"P"&amp;$A75)))</f>
        <v>-1.4739412499118382E-2</v>
      </c>
      <c r="BQ75" s="83" t="e">
        <f t="shared" ca="1" si="277"/>
        <v>#NUM!</v>
      </c>
      <c r="BR75" s="3" t="e">
        <f t="shared" ca="1" si="278"/>
        <v>#NUM!</v>
      </c>
      <c r="BS75" s="83">
        <f t="shared" ca="1" si="279"/>
        <v>-3516152.3477566284</v>
      </c>
      <c r="BT75" s="3" t="str">
        <f t="shared" ca="1" si="280"/>
        <v/>
      </c>
      <c r="BU75" s="83">
        <f t="shared" ca="1" si="281"/>
        <v>-1258902.6643060984</v>
      </c>
      <c r="BV75" s="83"/>
      <c r="BX75" s="83" t="e">
        <f t="shared" ca="1" si="282"/>
        <v>#NUM!</v>
      </c>
      <c r="BY75" s="83" t="e">
        <f t="shared" ca="1" si="294"/>
        <v>#NUM!</v>
      </c>
      <c r="BZ75" s="83">
        <f t="shared" ca="1" si="283"/>
        <v>-7497203.9805866424</v>
      </c>
      <c r="CA75" s="83" t="str">
        <f t="shared" ca="1" si="294"/>
        <v/>
      </c>
      <c r="CB75" s="83">
        <f t="shared" ca="1" si="284"/>
        <v>-637767.21356154629</v>
      </c>
      <c r="CC75" s="83" t="str">
        <f t="shared" ca="1" si="294"/>
        <v/>
      </c>
      <c r="CD75" s="83">
        <f>IF(RTD("tos.rtd",,CD$43,"."&amp;$A$43&amp;$AS$42&amp;"C"&amp;$A75)="N/A",0,RTD("tos.rtd",,CD$43,"."&amp;$A$43&amp;$AS$42&amp;"C"&amp;$A75))</f>
        <v>1</v>
      </c>
      <c r="CE75" s="83">
        <f>-IF(RTD("tos.rtd",,CE$43,"."&amp;$A$43&amp;$AS$42&amp;"P"&amp;$A75)="N/A",0,RTD("tos.rtd",,CE$43,"."&amp;$A$43&amp;$AS$42&amp;"P"&amp;$A75))</f>
        <v>0</v>
      </c>
      <c r="CF75" s="83">
        <f>IF(RTD("tos.rtd",,CF$2,"."&amp;$A$43&amp;$AU$1&amp;"C"&amp;$A75)="N/A",0,RTD("tos.rtd",,CF$2,"."&amp;$A$43&amp;$AU$1&amp;"C"&amp;$A75))</f>
        <v>1</v>
      </c>
      <c r="CG75" s="83">
        <f>-IF(RTD("tos.rtd",,CG$2,"."&amp;$A$43&amp;$AU$1&amp;"P"&amp;$A75)="N/A",0,RTD("tos.rtd",,CG$2,"."&amp;$A$43&amp;$AU$1&amp;"P"&amp;$A75))</f>
        <v>0.11</v>
      </c>
      <c r="CH75" s="83">
        <f>IF(RTD("tos.rtd",,CH$2,"."&amp;$A$43&amp;$AW$1&amp;"C"&amp;$A75)="N/A",0,RTD("tos.rtd",,CH$2,"."&amp;$A$43&amp;$AW$1&amp;"C"&amp;$A75))</f>
        <v>0.89</v>
      </c>
      <c r="CI75" s="83">
        <f>-IF(RTD("tos.rtd",,CI$2,"."&amp;$A$43&amp;$AW$1&amp;"P"&amp;$A75)="N/A",0,RTD("tos.rtd",,CI$2,"."&amp;$A$43&amp;$AW$1&amp;"P"&amp;$A75))</f>
        <v>0.24</v>
      </c>
      <c r="CK75" s="83">
        <f t="shared" si="285"/>
        <v>14000</v>
      </c>
      <c r="CL75" s="83"/>
      <c r="CM75" s="83">
        <f t="shared" si="286"/>
        <v>92859</v>
      </c>
      <c r="CN75" s="83"/>
      <c r="CO75" s="83">
        <f t="shared" si="287"/>
        <v>50</v>
      </c>
      <c r="CP75" s="83">
        <f t="shared" si="234"/>
        <v>106909</v>
      </c>
      <c r="CQ75" s="83">
        <f t="shared" si="248"/>
        <v>-32437</v>
      </c>
      <c r="CR75" s="83"/>
      <c r="CS75" s="83">
        <f t="shared" si="249"/>
        <v>-1937</v>
      </c>
      <c r="CT75" s="83"/>
      <c r="CU75" s="83">
        <f t="shared" si="250"/>
        <v>-179</v>
      </c>
      <c r="CV75" s="83"/>
      <c r="CW75" s="83" t="e">
        <f t="shared" ca="1" si="251"/>
        <v>#NUM!</v>
      </c>
      <c r="CY75" s="83" t="e">
        <f t="shared" ca="1" si="252"/>
        <v>#NUM!</v>
      </c>
      <c r="CZ75" s="70" t="e">
        <f t="shared" ca="1" si="295"/>
        <v>#NUM!</v>
      </c>
      <c r="DA75" s="83">
        <f>IF(RTD("tos.rtd",,DA$43,"."&amp;$A$43&amp;$AS$42&amp;"C"&amp;$A75)="N/A",0,RTD("tos.rtd",,DA$43,"."&amp;$A$43&amp;$AS$42&amp;"C"&amp;$A75))</f>
        <v>11.6</v>
      </c>
      <c r="DB75" s="83">
        <f>IF(RTD("tos.rtd",,DB$43,"."&amp;$A$43&amp;$AS$42&amp;"P"&amp;$A75)="N/A",0,RTD("tos.rtd",,DB$43,"."&amp;$A$43&amp;$AS$42&amp;"P"&amp;$A75))</f>
        <v>0.01</v>
      </c>
      <c r="DC75" s="83">
        <f>IF(RTD("tos.rtd",,DC$43,"."&amp;$A$43&amp;$AS$42&amp;"C"&amp;$A75)="N/A",0,RTD("tos.rtd",,DC$43,"."&amp;$A$43&amp;$AS$42&amp;"C"&amp;$A75))</f>
        <v>13.56</v>
      </c>
      <c r="DD75" s="83">
        <f>IF(RTD("tos.rtd",,DD$43,"."&amp;$A$43&amp;$AS$42&amp;"P"&amp;$A75)="N/A",0,RTD("tos.rtd",,DD$43,"."&amp;$A$43&amp;$AS$42&amp;"P"&amp;$A75))</f>
        <v>0.01</v>
      </c>
      <c r="DE75" s="83">
        <f>IF(RTD("tos.rtd",,DE$43,"."&amp;$A$43&amp;$AS$42&amp;"C"&amp;$A75)="N/A",0,RTD("tos.rtd",,DE$43,"."&amp;$A$43&amp;$AS$42&amp;"C"&amp;$A75))</f>
        <v>10.54</v>
      </c>
      <c r="DF75" s="83">
        <f>IF(RTD("tos.rtd",,DF$43,"."&amp;$A$43&amp;$AS$42&amp;"P"&amp;$A75)="N/A",0,RTD("tos.rtd",,DF$43,"."&amp;$A$43&amp;$AS$42&amp;"P"&amp;$A75))</f>
        <v>0</v>
      </c>
      <c r="DG75" s="86">
        <f t="shared" si="288"/>
        <v>-14.850000000000023</v>
      </c>
      <c r="DH75" s="83">
        <f t="shared" si="253"/>
        <v>0</v>
      </c>
      <c r="DI75" s="83">
        <f t="shared" si="254"/>
        <v>0</v>
      </c>
      <c r="DJ75" s="83">
        <f t="shared" si="255"/>
        <v>0</v>
      </c>
      <c r="DK75" s="83">
        <f t="shared" si="256"/>
        <v>0</v>
      </c>
      <c r="DL75" s="83">
        <f t="shared" si="257"/>
        <v>0</v>
      </c>
      <c r="DM75" s="83">
        <f t="shared" si="258"/>
        <v>0</v>
      </c>
      <c r="DN75" s="64" t="str">
        <f t="shared" si="259"/>
        <v>UNKNOWN</v>
      </c>
      <c r="DO75" s="64" t="str">
        <f t="shared" si="260"/>
        <v>UNKNOWN</v>
      </c>
      <c r="DP75" s="83">
        <f t="shared" si="261"/>
        <v>0</v>
      </c>
      <c r="DQ75" s="83">
        <f t="shared" si="262"/>
        <v>0</v>
      </c>
      <c r="DR75" s="83" t="e">
        <f t="shared" ca="1" si="263"/>
        <v>#NUM!</v>
      </c>
      <c r="DS75" s="83">
        <f t="shared" si="264"/>
        <v>0</v>
      </c>
      <c r="DT75" s="83">
        <f t="shared" si="289"/>
        <v>0</v>
      </c>
      <c r="DU75" s="83">
        <f t="shared" si="290"/>
        <v>0</v>
      </c>
      <c r="DV75" s="83">
        <f t="shared" si="265"/>
        <v>-9</v>
      </c>
      <c r="DW75" s="83">
        <f t="shared" si="266"/>
        <v>-401</v>
      </c>
      <c r="DX75" s="83" t="e">
        <f t="shared" ca="1" si="404"/>
        <v>#NUM!</v>
      </c>
      <c r="DY75" s="83" t="e">
        <f t="shared" ca="1" si="405"/>
        <v>#NUM!</v>
      </c>
      <c r="DZ75" s="83">
        <f t="shared" ca="1" si="406"/>
        <v>1.2233950765354393E-2</v>
      </c>
      <c r="EA75" s="83">
        <f t="shared" ca="1" si="407"/>
        <v>-1.5652111098676424E-2</v>
      </c>
      <c r="EB75" s="83">
        <f t="shared" ca="1" si="408"/>
        <v>4.2622491161648495E-3</v>
      </c>
      <c r="EC75" s="83">
        <f t="shared" ca="1" si="409"/>
        <v>-1.4739412499118382E-2</v>
      </c>
      <c r="ED75" s="63">
        <f t="shared" si="291"/>
        <v>-410</v>
      </c>
      <c r="EE75" s="84">
        <f t="shared" si="267"/>
        <v>0.25</v>
      </c>
      <c r="EF75" s="84">
        <f t="shared" si="268"/>
        <v>1.4959</v>
      </c>
      <c r="EG75" s="84">
        <f t="shared" si="269"/>
        <v>0.25</v>
      </c>
      <c r="EH75" s="84">
        <f t="shared" si="270"/>
        <v>0.38129999999999997</v>
      </c>
      <c r="EI75" s="84">
        <f t="shared" si="271"/>
        <v>0.16689999999999999</v>
      </c>
      <c r="EJ75" s="84">
        <f t="shared" si="272"/>
        <v>0.30520000000000003</v>
      </c>
      <c r="EL75" s="83" t="str">
        <f>RTD("tos.rtd",,EL$43,"."&amp;$A$43&amp;$AS$42&amp;"C"&amp;$A75)</f>
        <v>--</v>
      </c>
      <c r="EM75" s="83" t="str">
        <f>RTD("tos.rtd",,EM$43,"."&amp;$A$43&amp;$AS$42&amp;"P"&amp;$A75)</f>
        <v>149.59%</v>
      </c>
      <c r="EN75" s="83" t="str">
        <f>RTD("tos.rtd",,EN$2,"."&amp;$A$43&amp;$AU$1&amp;"C"&amp;$A75)</f>
        <v>--</v>
      </c>
      <c r="EO75" s="83" t="str">
        <f>RTD("tos.rtd",,EO$2,"."&amp;$A$43&amp;$AU$1&amp;"P"&amp;$A75)</f>
        <v>38.13%</v>
      </c>
      <c r="EP75" s="83" t="str">
        <f>RTD("tos.rtd",,EP$2,"."&amp;$A$43&amp;$AW$1&amp;"C"&amp;$A75)</f>
        <v>16.69%</v>
      </c>
      <c r="EQ75" s="83" t="str">
        <f>RTD("tos.rtd",,EQ$2,"."&amp;$A$43&amp;$AW$1&amp;"P"&amp;$A75)</f>
        <v>30.52%</v>
      </c>
      <c r="ES75" s="63" t="str">
        <f t="shared" si="273"/>
        <v>472,-410.00</v>
      </c>
      <c r="ET75" s="64" t="str">
        <f t="shared" ca="1" si="274"/>
        <v>472,00.00</v>
      </c>
      <c r="EU75" s="68">
        <v>561.6</v>
      </c>
      <c r="EV75" s="68" t="s">
        <v>620</v>
      </c>
      <c r="EW75" s="68">
        <v>484.04</v>
      </c>
      <c r="EX75" s="68" t="s">
        <v>621</v>
      </c>
      <c r="EY75" s="68">
        <v>5630</v>
      </c>
      <c r="EZ75" s="68" t="s">
        <v>622</v>
      </c>
      <c r="FA75" s="68">
        <v>19883</v>
      </c>
      <c r="FB75" s="68" t="s">
        <v>623</v>
      </c>
      <c r="FC75" s="68" t="s">
        <v>624</v>
      </c>
      <c r="FD75" s="68" t="s">
        <v>625</v>
      </c>
      <c r="FE75" s="68" t="s">
        <v>626</v>
      </c>
      <c r="FF75" s="68" t="s">
        <v>627</v>
      </c>
    </row>
    <row r="76" spans="1:162" ht="13.5" thickBot="1" x14ac:dyDescent="0.25">
      <c r="A76" s="2">
        <f t="shared" si="292"/>
        <v>471</v>
      </c>
      <c r="B76" s="3">
        <f t="shared" si="240"/>
        <v>2291</v>
      </c>
      <c r="C76" s="3">
        <f t="shared" si="410"/>
        <v>2429</v>
      </c>
      <c r="D76" s="3">
        <f t="shared" si="242"/>
        <v>304</v>
      </c>
      <c r="E76" s="3">
        <f t="shared" si="243"/>
        <v>5024</v>
      </c>
      <c r="F76" s="4">
        <f t="shared" si="296"/>
        <v>19441.750025675257</v>
      </c>
      <c r="AM76" s="1">
        <v>-12</v>
      </c>
      <c r="AN76" s="1">
        <v>5697</v>
      </c>
      <c r="AO76" s="1">
        <v>471</v>
      </c>
      <c r="AP76" s="1">
        <v>76</v>
      </c>
      <c r="AQ76" s="1">
        <v>-28256</v>
      </c>
      <c r="AS76" s="6">
        <f>IF(RTD("tos.rtd",,AS$43,"."&amp;$A$43&amp;$AS$42&amp;"C"&amp;$A76)="N/A",0,RTD("tos.rtd",,AS$43,"."&amp;$A$43&amp;$AS$42&amp;"C"&amp;$A76))</f>
        <v>543</v>
      </c>
      <c r="AT76" s="7">
        <f>-IF(RTD("tos.rtd",,AT$43,"."&amp;$A$43&amp;$AS$42&amp;"P"&amp;$A76)="N/A",0,RTD("tos.rtd",,AT$43,"."&amp;$A$43&amp;$AS$42&amp;"P"&amp;$A76))</f>
        <v>-1748</v>
      </c>
      <c r="AU76" s="6">
        <f>IF(RTD("tos.rtd",,AU$2,"."&amp;$A$43&amp;$AU$1&amp;"C"&amp;$A76)="N/A",0,RTD("tos.rtd",,AU$2,"."&amp;$A$43&amp;$AU$1&amp;"C"&amp;$A76))</f>
        <v>974</v>
      </c>
      <c r="AV76" s="7">
        <f>-IF(RTD("tos.rtd",,AV$2,"."&amp;$A$43&amp;$AU$1&amp;"P"&amp;$A76)="N/A",0,RTD("tos.rtd",,AV$2,"."&amp;$A$43&amp;$AU$1&amp;"P"&amp;$A76))</f>
        <v>-1455</v>
      </c>
      <c r="AW76" s="6">
        <f>IF(RTD("tos.rtd",,AW$2,"."&amp;$A$43&amp;$AW$1&amp;"C"&amp;$A76)="N/A",0,RTD("tos.rtd",,AW$2,"."&amp;$A$43&amp;$AW$1&amp;"C"&amp;$A76))</f>
        <v>18</v>
      </c>
      <c r="AX76" s="7">
        <f>-IF(RTD("tos.rtd",,AX$2,"."&amp;$A$43&amp;$AW$1&amp;"P"&amp;$A76)="N/A",0,RTD("tos.rtd",,AX$2,"."&amp;$A$43&amp;$AW$1&amp;"P"&amp;$A76))</f>
        <v>-286</v>
      </c>
      <c r="AY76" s="7">
        <f t="shared" si="275"/>
        <v>-1954</v>
      </c>
      <c r="AZ76" s="8">
        <f t="shared" si="244"/>
        <v>471</v>
      </c>
      <c r="BA76" s="6">
        <f>IF(RTD("tos.rtd",,BA$43,"."&amp;$A$43&amp;$AS$42&amp;"C"&amp;$A76)="N/A",0,RTD("tos.rtd",,BA$43,"."&amp;$A$43&amp;$AS$42&amp;"C"&amp;$A76))</f>
        <v>76</v>
      </c>
      <c r="BB76" s="7">
        <f>-IF(RTD("tos.rtd",,BB$43,"."&amp;$A$43&amp;$AS$42&amp;"P"&amp;$A76)="N/A",0,RTD("tos.rtd",,BB$43,"."&amp;$A$43&amp;$AS$42&amp;"P"&amp;$A76))</f>
        <v>-28256</v>
      </c>
      <c r="BC76" s="6">
        <f>IF(RTD("tos.rtd",,BC$2,"."&amp;$A$43&amp;$AU$1&amp;"C"&amp;$A76)="N/A",0,RTD("tos.rtd",,BC$2,"."&amp;$A$43&amp;$AU$1&amp;"C"&amp;$A76))</f>
        <v>241</v>
      </c>
      <c r="BD76" s="7">
        <f>-IF(RTD("tos.rtd",,BD$2,"."&amp;$A$43&amp;$AU$1&amp;"P"&amp;$A76)="N/A",0,RTD("tos.rtd",,BD$2,"."&amp;$A$43&amp;$AU$1&amp;"P"&amp;$A76))</f>
        <v>-2245</v>
      </c>
      <c r="BE76" s="6">
        <f>IF(RTD("tos.rtd",,BE$2,"."&amp;$A$43&amp;$AW$1&amp;"C"&amp;$A76)="N/A",0,RTD("tos.rtd",,BE$2,"."&amp;$A$43&amp;$AW$1&amp;"C"&amp;$A76))</f>
        <v>10</v>
      </c>
      <c r="BF76" s="7">
        <f>-IF(RTD("tos.rtd",,BF$2,"."&amp;$A$43&amp;$AW$1&amp;"P"&amp;$A76)="N/A",0,RTD("tos.rtd",,BF$2,"."&amp;$A$43&amp;$AW$1&amp;"P"&amp;$A76))</f>
        <v>-395</v>
      </c>
      <c r="BG76" s="32">
        <f ca="1">+Hoja2!Y77</f>
        <v>-68</v>
      </c>
      <c r="BH76" s="7">
        <f t="shared" ca="1" si="276"/>
        <v>-30637</v>
      </c>
      <c r="BI76" s="8" t="str">
        <f t="shared" ca="1" si="293"/>
        <v/>
      </c>
      <c r="BJ76" s="83" t="e">
        <f ca="1">IF($BP$1=1,DX76,IF(RTD("tos.rtd",,BJ$43,"."&amp;$A$43&amp;$AS$42&amp;"C"&amp;$A76)="N/A",0,RTD("tos.rtd",,BJ$43,"."&amp;$A$43&amp;$AS$42&amp;"C"&amp;$A76)))</f>
        <v>#NUM!</v>
      </c>
      <c r="BK76" s="83" t="e">
        <f ca="1">IF($BP$1=1,DY76,-IF(RTD("tos.rtd",,BK$43,"."&amp;$A$43&amp;$AS$42&amp;"P"&amp;$A76)="N/A",0,RTD("tos.rtd",,BK$43,"."&amp;$A$43&amp;$AS$42&amp;"P"&amp;$A76)))</f>
        <v>#NUM!</v>
      </c>
      <c r="BL76" s="83">
        <f ca="1">IF($BP$1=1,DZ76,IF(RTD("tos.rtd",,BL$2,"."&amp;$A$43&amp;$AU$1&amp;"C"&amp;$A76)="N/A",0,RTD("tos.rtd",,BL$2,"."&amp;$A$43&amp;$AU$1&amp;"C"&amp;$A76)))</f>
        <v>1.0366826607829649E-2</v>
      </c>
      <c r="BM76" s="83">
        <f ca="1">IF($BP$1=1,EA76,-IF(RTD("tos.rtd",,BM$2,"."&amp;$A$43&amp;$AU$1&amp;"P"&amp;$A76)="N/A",0,RTD("tos.rtd",,BM$2,"."&amp;$A$43&amp;$AU$1&amp;"P"&amp;$A76)))</f>
        <v>-1.4583319068337208E-2</v>
      </c>
      <c r="BN76" s="83">
        <f ca="1">IF($BP$1=1,EB76,IF(RTD("tos.rtd",,BN$2,"."&amp;$A$43&amp;$AW$1&amp;"C"&amp;$A76)="N/A",0,RTD("tos.rtd",,BN$2,"."&amp;$A$43&amp;$AW$1&amp;"C"&amp;$A76)))</f>
        <v>2.1099989173993506E-3</v>
      </c>
      <c r="BO76" s="83">
        <f ca="1">IF($BP$1=1,EC76,-IF(RTD("tos.rtd",,BO$2,"."&amp;$A$43&amp;$AW$1&amp;"P"&amp;$A76)="N/A",0,RTD("tos.rtd",,BO$2,"."&amp;$A$43&amp;$AW$1&amp;"P"&amp;$A76)))</f>
        <v>-1.3222152238017565E-2</v>
      </c>
      <c r="BQ76" s="83" t="e">
        <f t="shared" ca="1" si="277"/>
        <v>#NUM!</v>
      </c>
      <c r="BR76" s="3" t="e">
        <f t="shared" ca="1" si="278"/>
        <v>#NUM!</v>
      </c>
      <c r="BS76" s="83">
        <f t="shared" ca="1" si="279"/>
        <v>-2636036.2416432239</v>
      </c>
      <c r="BT76" s="3" t="str">
        <f t="shared" ca="1" si="280"/>
        <v/>
      </c>
      <c r="BU76" s="83">
        <f t="shared" ca="1" si="281"/>
        <v>-887308.47926799499</v>
      </c>
      <c r="BV76" s="83"/>
      <c r="BX76" s="83" t="e">
        <f t="shared" ca="1" si="282"/>
        <v>#NUM!</v>
      </c>
      <c r="BY76" s="83" t="e">
        <f t="shared" ca="1" si="294"/>
        <v>#NUM!</v>
      </c>
      <c r="BZ76" s="83">
        <f t="shared" ca="1" si="283"/>
        <v>-7167844.8274068153</v>
      </c>
      <c r="CA76" s="83" t="str">
        <f t="shared" ca="1" si="294"/>
        <v/>
      </c>
      <c r="CB76" s="83">
        <f t="shared" ca="1" si="284"/>
        <v>-1232910.3191532232</v>
      </c>
      <c r="CC76" s="83" t="str">
        <f t="shared" ca="1" si="294"/>
        <v/>
      </c>
      <c r="CD76" s="83">
        <f>IF(RTD("tos.rtd",,CD$43,"."&amp;$A$43&amp;$AS$42&amp;"C"&amp;$A76)="N/A",0,RTD("tos.rtd",,CD$43,"."&amp;$A$43&amp;$AS$42&amp;"C"&amp;$A76))</f>
        <v>1</v>
      </c>
      <c r="CE76" s="83">
        <f>-IF(RTD("tos.rtd",,CE$43,"."&amp;$A$43&amp;$AS$42&amp;"P"&amp;$A76)="N/A",0,RTD("tos.rtd",,CE$43,"."&amp;$A$43&amp;$AS$42&amp;"P"&amp;$A76))</f>
        <v>0</v>
      </c>
      <c r="CF76" s="83">
        <f>IF(RTD("tos.rtd",,CF$2,"."&amp;$A$43&amp;$AU$1&amp;"C"&amp;$A76)="N/A",0,RTD("tos.rtd",,CF$2,"."&amp;$A$43&amp;$AU$1&amp;"C"&amp;$A76))</f>
        <v>1</v>
      </c>
      <c r="CG76" s="83">
        <f>-IF(RTD("tos.rtd",,CG$2,"."&amp;$A$43&amp;$AU$1&amp;"P"&amp;$A76)="N/A",0,RTD("tos.rtd",,CG$2,"."&amp;$A$43&amp;$AU$1&amp;"P"&amp;$A76))</f>
        <v>0.1</v>
      </c>
      <c r="CH76" s="83">
        <f>IF(RTD("tos.rtd",,CH$2,"."&amp;$A$43&amp;$AW$1&amp;"C"&amp;$A76)="N/A",0,RTD("tos.rtd",,CH$2,"."&amp;$A$43&amp;$AW$1&amp;"C"&amp;$A76))</f>
        <v>0.92</v>
      </c>
      <c r="CI76" s="83">
        <f>-IF(RTD("tos.rtd",,CI$2,"."&amp;$A$43&amp;$AW$1&amp;"P"&amp;$A76)="N/A",0,RTD("tos.rtd",,CI$2,"."&amp;$A$43&amp;$AW$1&amp;"P"&amp;$A76))</f>
        <v>0.23</v>
      </c>
      <c r="CK76" s="83">
        <f t="shared" si="285"/>
        <v>54300</v>
      </c>
      <c r="CL76" s="83"/>
      <c r="CM76" s="83">
        <f t="shared" si="286"/>
        <v>82850</v>
      </c>
      <c r="CN76" s="83"/>
      <c r="CO76" s="83">
        <f t="shared" si="287"/>
        <v>-4922</v>
      </c>
      <c r="CP76" s="83">
        <f t="shared" si="234"/>
        <v>132228</v>
      </c>
      <c r="CQ76" s="83">
        <f t="shared" si="248"/>
        <v>-28180</v>
      </c>
      <c r="CR76" s="83"/>
      <c r="CS76" s="83">
        <f t="shared" si="249"/>
        <v>-2004</v>
      </c>
      <c r="CT76" s="83"/>
      <c r="CU76" s="83">
        <f t="shared" si="250"/>
        <v>-385</v>
      </c>
      <c r="CV76" s="83"/>
      <c r="CW76" s="83" t="e">
        <f t="shared" ca="1" si="251"/>
        <v>#NUM!</v>
      </c>
      <c r="CY76" s="83" t="e">
        <f t="shared" ca="1" si="252"/>
        <v>#NUM!</v>
      </c>
      <c r="CZ76" s="70" t="e">
        <f t="shared" ca="1" si="295"/>
        <v>#NUM!</v>
      </c>
      <c r="DA76" s="83">
        <f>IF(RTD("tos.rtd",,DA$43,"."&amp;$A$43&amp;$AS$42&amp;"C"&amp;$A76)="N/A",0,RTD("tos.rtd",,DA$43,"."&amp;$A$43&amp;$AS$42&amp;"C"&amp;$A76))</f>
        <v>8.2899999999999991</v>
      </c>
      <c r="DB76" s="83">
        <f>IF(RTD("tos.rtd",,DB$43,"."&amp;$A$43&amp;$AS$42&amp;"P"&amp;$A76)="N/A",0,RTD("tos.rtd",,DB$43,"."&amp;$A$43&amp;$AS$42&amp;"P"&amp;$A76))</f>
        <v>0.01</v>
      </c>
      <c r="DC76" s="83">
        <f>IF(RTD("tos.rtd",,DC$43,"."&amp;$A$43&amp;$AS$42&amp;"C"&amp;$A76)="N/A",0,RTD("tos.rtd",,DC$43,"."&amp;$A$43&amp;$AS$42&amp;"C"&amp;$A76))</f>
        <v>14.56</v>
      </c>
      <c r="DD76" s="83">
        <f>IF(RTD("tos.rtd",,DD$43,"."&amp;$A$43&amp;$AS$42&amp;"P"&amp;$A76)="N/A",0,RTD("tos.rtd",,DD$43,"."&amp;$A$43&amp;$AS$42&amp;"P"&amp;$A76))</f>
        <v>0.01</v>
      </c>
      <c r="DE76" s="83">
        <f>IF(RTD("tos.rtd",,DE$43,"."&amp;$A$43&amp;$AS$42&amp;"C"&amp;$A76)="N/A",0,RTD("tos.rtd",,DE$43,"."&amp;$A$43&amp;$AS$42&amp;"C"&amp;$A76))</f>
        <v>11.54</v>
      </c>
      <c r="DF76" s="83">
        <f>IF(RTD("tos.rtd",,DF$43,"."&amp;$A$43&amp;$AS$42&amp;"P"&amp;$A76)="N/A",0,RTD("tos.rtd",,DF$43,"."&amp;$A$43&amp;$AS$42&amp;"P"&amp;$A76))</f>
        <v>0</v>
      </c>
      <c r="DG76" s="86">
        <f t="shared" si="288"/>
        <v>-15.850000000000023</v>
      </c>
      <c r="DH76" s="83">
        <f t="shared" si="253"/>
        <v>0</v>
      </c>
      <c r="DI76" s="83">
        <f t="shared" si="254"/>
        <v>0</v>
      </c>
      <c r="DJ76" s="83">
        <f t="shared" si="255"/>
        <v>0</v>
      </c>
      <c r="DK76" s="83">
        <f t="shared" si="256"/>
        <v>0</v>
      </c>
      <c r="DL76" s="83">
        <f t="shared" si="257"/>
        <v>0</v>
      </c>
      <c r="DM76" s="83">
        <f t="shared" si="258"/>
        <v>0</v>
      </c>
      <c r="DN76" s="64" t="str">
        <f t="shared" si="259"/>
        <v>UNKNOWN</v>
      </c>
      <c r="DO76" s="64" t="str">
        <f t="shared" si="260"/>
        <v>UNKNOWN</v>
      </c>
      <c r="DP76" s="83">
        <f t="shared" si="261"/>
        <v>0</v>
      </c>
      <c r="DQ76" s="83">
        <f t="shared" si="262"/>
        <v>0</v>
      </c>
      <c r="DR76" s="83" t="e">
        <f t="shared" ca="1" si="263"/>
        <v>#NUM!</v>
      </c>
      <c r="DS76" s="83">
        <f t="shared" si="264"/>
        <v>0</v>
      </c>
      <c r="DT76" s="83">
        <f t="shared" si="289"/>
        <v>0</v>
      </c>
      <c r="DU76" s="83">
        <f t="shared" si="290"/>
        <v>0</v>
      </c>
      <c r="DV76" s="83">
        <f t="shared" si="265"/>
        <v>-12</v>
      </c>
      <c r="DW76" s="83">
        <f t="shared" si="266"/>
        <v>5697</v>
      </c>
      <c r="DX76" s="83" t="e">
        <f t="shared" ca="1" si="404"/>
        <v>#NUM!</v>
      </c>
      <c r="DY76" s="83" t="e">
        <f t="shared" ca="1" si="405"/>
        <v>#NUM!</v>
      </c>
      <c r="DZ76" s="83">
        <f t="shared" ca="1" si="406"/>
        <v>1.0366826607829649E-2</v>
      </c>
      <c r="EA76" s="83">
        <f t="shared" ca="1" si="407"/>
        <v>-1.4583319068337208E-2</v>
      </c>
      <c r="EB76" s="83">
        <f t="shared" ca="1" si="408"/>
        <v>2.1099989173993506E-3</v>
      </c>
      <c r="EC76" s="83">
        <f t="shared" ca="1" si="409"/>
        <v>-1.3222152238017565E-2</v>
      </c>
      <c r="ED76" s="63">
        <f t="shared" si="291"/>
        <v>5685</v>
      </c>
      <c r="EE76" s="84">
        <f t="shared" si="267"/>
        <v>0.25</v>
      </c>
      <c r="EF76" s="84">
        <f t="shared" si="268"/>
        <v>1.5880000000000001</v>
      </c>
      <c r="EG76" s="84">
        <f t="shared" si="269"/>
        <v>0.25</v>
      </c>
      <c r="EH76" s="84">
        <f t="shared" si="270"/>
        <v>0.38419999999999999</v>
      </c>
      <c r="EI76" s="84">
        <f t="shared" si="271"/>
        <v>0.15690000000000001</v>
      </c>
      <c r="EJ76" s="84">
        <f t="shared" si="272"/>
        <v>0.30630000000000002</v>
      </c>
      <c r="EL76" s="83" t="str">
        <f>RTD("tos.rtd",,EL$43,"."&amp;$A$43&amp;$AS$42&amp;"C"&amp;$A76)</f>
        <v>--</v>
      </c>
      <c r="EM76" s="83" t="str">
        <f>RTD("tos.rtd",,EM$43,"."&amp;$A$43&amp;$AS$42&amp;"P"&amp;$A76)</f>
        <v>158.80%</v>
      </c>
      <c r="EN76" s="83" t="str">
        <f>RTD("tos.rtd",,EN$2,"."&amp;$A$43&amp;$AU$1&amp;"C"&amp;$A76)</f>
        <v>--</v>
      </c>
      <c r="EO76" s="83" t="str">
        <f>RTD("tos.rtd",,EO$2,"."&amp;$A$43&amp;$AU$1&amp;"P"&amp;$A76)</f>
        <v>38.42%</v>
      </c>
      <c r="EP76" s="83" t="str">
        <f>RTD("tos.rtd",,EP$2,"."&amp;$A$43&amp;$AW$1&amp;"C"&amp;$A76)</f>
        <v>15.69%</v>
      </c>
      <c r="EQ76" s="83" t="str">
        <f>RTD("tos.rtd",,EQ$2,"."&amp;$A$43&amp;$AW$1&amp;"P"&amp;$A76)</f>
        <v>30.63%</v>
      </c>
      <c r="ES76" s="63" t="str">
        <f t="shared" si="273"/>
        <v>471,5685.00</v>
      </c>
      <c r="ET76" s="64" t="str">
        <f t="shared" ca="1" si="274"/>
        <v>471,00.00</v>
      </c>
      <c r="EU76" s="68">
        <v>561.71</v>
      </c>
      <c r="EV76" s="68" t="s">
        <v>628</v>
      </c>
      <c r="EW76" s="68">
        <v>484.16</v>
      </c>
      <c r="EX76" s="68" t="s">
        <v>629</v>
      </c>
      <c r="EY76" s="68">
        <v>5630.5</v>
      </c>
      <c r="EZ76" s="68" t="s">
        <v>630</v>
      </c>
      <c r="FA76" s="68">
        <v>19888.25</v>
      </c>
      <c r="FB76" s="68" t="s">
        <v>631</v>
      </c>
      <c r="FC76" s="68" t="s">
        <v>632</v>
      </c>
      <c r="FD76" s="68" t="s">
        <v>633</v>
      </c>
      <c r="FE76" s="68" t="s">
        <v>634</v>
      </c>
      <c r="FF76" s="68" t="s">
        <v>635</v>
      </c>
    </row>
    <row r="77" spans="1:162" ht="13.5" thickBot="1" x14ac:dyDescent="0.25">
      <c r="A77" s="2">
        <f t="shared" si="292"/>
        <v>470</v>
      </c>
      <c r="B77" s="3">
        <f t="shared" si="240"/>
        <v>4249</v>
      </c>
      <c r="C77" s="3">
        <f t="shared" si="410"/>
        <v>13826</v>
      </c>
      <c r="D77" s="3">
        <f t="shared" si="242"/>
        <v>61271</v>
      </c>
      <c r="E77" s="3">
        <f t="shared" si="243"/>
        <v>79346</v>
      </c>
      <c r="F77" s="4">
        <f t="shared" si="296"/>
        <v>19400.472424771491</v>
      </c>
      <c r="AM77" s="1">
        <v>72</v>
      </c>
      <c r="AN77" s="1">
        <v>-3257</v>
      </c>
      <c r="AO77" s="1">
        <v>470</v>
      </c>
      <c r="AP77" s="1">
        <v>761</v>
      </c>
      <c r="AQ77" s="1">
        <v>-99010</v>
      </c>
      <c r="AS77" s="6">
        <f>IF(RTD("tos.rtd",,AS$43,"."&amp;$A$43&amp;$AS$42&amp;"C"&amp;$A77)="N/A",0,RTD("tos.rtd",,AS$43,"."&amp;$A$43&amp;$AS$42&amp;"C"&amp;$A77))</f>
        <v>268</v>
      </c>
      <c r="AT77" s="7">
        <f>-IF(RTD("tos.rtd",,AT$43,"."&amp;$A$43&amp;$AS$42&amp;"P"&amp;$A77)="N/A",0,RTD("tos.rtd",,AT$43,"."&amp;$A$43&amp;$AS$42&amp;"P"&amp;$A77))</f>
        <v>-3981</v>
      </c>
      <c r="AU77" s="6">
        <f>IF(RTD("tos.rtd",,AU$2,"."&amp;$A$43&amp;$AU$1&amp;"C"&amp;$A77)="N/A",0,RTD("tos.rtd",,AU$2,"."&amp;$A$43&amp;$AU$1&amp;"C"&amp;$A77))</f>
        <v>3233</v>
      </c>
      <c r="AV77" s="7">
        <f>-IF(RTD("tos.rtd",,AV$2,"."&amp;$A$43&amp;$AU$1&amp;"P"&amp;$A77)="N/A",0,RTD("tos.rtd",,AV$2,"."&amp;$A$43&amp;$AU$1&amp;"P"&amp;$A77))</f>
        <v>-10593</v>
      </c>
      <c r="AW77" s="6">
        <f>IF(RTD("tos.rtd",,AW$2,"."&amp;$A$43&amp;$AW$1&amp;"C"&amp;$A77)="N/A",0,RTD("tos.rtd",,AW$2,"."&amp;$A$43&amp;$AW$1&amp;"C"&amp;$A77))</f>
        <v>35263</v>
      </c>
      <c r="AX77" s="7">
        <f>-IF(RTD("tos.rtd",,AX$2,"."&amp;$A$43&amp;$AW$1&amp;"P"&amp;$A77)="N/A",0,RTD("tos.rtd",,AX$2,"."&amp;$A$43&amp;$AW$1&amp;"P"&amp;$A77))</f>
        <v>-26008</v>
      </c>
      <c r="AY77" s="7">
        <f t="shared" si="275"/>
        <v>-1818</v>
      </c>
      <c r="AZ77" s="8">
        <f t="shared" si="244"/>
        <v>470</v>
      </c>
      <c r="BA77" s="6">
        <f>IF(RTD("tos.rtd",,BA$43,"."&amp;$A$43&amp;$AS$42&amp;"C"&amp;$A77)="N/A",0,RTD("tos.rtd",,BA$43,"."&amp;$A$43&amp;$AS$42&amp;"C"&amp;$A77))</f>
        <v>761</v>
      </c>
      <c r="BB77" s="7">
        <f>-IF(RTD("tos.rtd",,BB$43,"."&amp;$A$43&amp;$AS$42&amp;"P"&amp;$A77)="N/A",0,RTD("tos.rtd",,BB$43,"."&amp;$A$43&amp;$AS$42&amp;"P"&amp;$A77))</f>
        <v>-99010</v>
      </c>
      <c r="BC77" s="6">
        <f>IF(RTD("tos.rtd",,BC$2,"."&amp;$A$43&amp;$AU$1&amp;"C"&amp;$A77)="N/A",0,RTD("tos.rtd",,BC$2,"."&amp;$A$43&amp;$AU$1&amp;"C"&amp;$A77))</f>
        <v>150</v>
      </c>
      <c r="BD77" s="7">
        <f>-IF(RTD("tos.rtd",,BD$2,"."&amp;$A$43&amp;$AU$1&amp;"P"&amp;$A77)="N/A",0,RTD("tos.rtd",,BD$2,"."&amp;$A$43&amp;$AU$1&amp;"P"&amp;$A77))</f>
        <v>-18056</v>
      </c>
      <c r="BE77" s="6">
        <f>IF(RTD("tos.rtd",,BE$2,"."&amp;$A$43&amp;$AW$1&amp;"C"&amp;$A77)="N/A",0,RTD("tos.rtd",,BE$2,"."&amp;$A$43&amp;$AW$1&amp;"C"&amp;$A77))</f>
        <v>480</v>
      </c>
      <c r="BF77" s="7">
        <f>-IF(RTD("tos.rtd",,BF$2,"."&amp;$A$43&amp;$AW$1&amp;"P"&amp;$A77)="N/A",0,RTD("tos.rtd",,BF$2,"."&amp;$A$43&amp;$AW$1&amp;"P"&amp;$A77))</f>
        <v>-11622</v>
      </c>
      <c r="BG77" s="32">
        <f ca="1">+Hoja2!Y78</f>
        <v>-13988</v>
      </c>
      <c r="BH77" s="7">
        <f t="shared" ca="1" si="276"/>
        <v>-141285</v>
      </c>
      <c r="BI77" s="8" t="str">
        <f t="shared" ca="1" si="293"/>
        <v/>
      </c>
      <c r="BJ77" s="83" t="e">
        <f ca="1">IF($BP$1=1,DX77,IF(RTD("tos.rtd",,BJ$43,"."&amp;$A$43&amp;$AS$42&amp;"C"&amp;$A77)="N/A",0,RTD("tos.rtd",,BJ$43,"."&amp;$A$43&amp;$AS$42&amp;"C"&amp;$A77)))</f>
        <v>#NUM!</v>
      </c>
      <c r="BK77" s="83" t="e">
        <f ca="1">IF($BP$1=1,DY77,-IF(RTD("tos.rtd",,BK$43,"."&amp;$A$43&amp;$AS$42&amp;"P"&amp;$A77)="N/A",0,RTD("tos.rtd",,BK$43,"."&amp;$A$43&amp;$AS$42&amp;"P"&amp;$A77)))</f>
        <v>#NUM!</v>
      </c>
      <c r="BL77" s="83">
        <f ca="1">IF($BP$1=1,DZ77,IF(RTD("tos.rtd",,BL$2,"."&amp;$A$43&amp;$AU$1&amp;"C"&amp;$A77)="N/A",0,RTD("tos.rtd",,BL$2,"."&amp;$A$43&amp;$AU$1&amp;"C"&amp;$A77)))</f>
        <v>8.686951634341215E-3</v>
      </c>
      <c r="BM77" s="83">
        <f ca="1">IF($BP$1=1,EA77,-IF(RTD("tos.rtd",,BM$2,"."&amp;$A$43&amp;$AU$1&amp;"P"&amp;$A77)="N/A",0,RTD("tos.rtd",,BM$2,"."&amp;$A$43&amp;$AU$1&amp;"P"&amp;$A77)))</f>
        <v>-1.3538755865551266E-2</v>
      </c>
      <c r="BN77" s="83">
        <f ca="1">IF($BP$1=1,EB77,IF(RTD("tos.rtd",,BN$2,"."&amp;$A$43&amp;$AW$1&amp;"C"&amp;$A77)="N/A",0,RTD("tos.rtd",,BN$2,"."&amp;$A$43&amp;$AW$1&amp;"C"&amp;$A77)))</f>
        <v>5.6908681409137277E-4</v>
      </c>
      <c r="BO77" s="83">
        <f ca="1">IF($BP$1=1,EC77,-IF(RTD("tos.rtd",,BO$2,"."&amp;$A$43&amp;$AW$1&amp;"P"&amp;$A77)="N/A",0,RTD("tos.rtd",,BO$2,"."&amp;$A$43&amp;$AW$1&amp;"P"&amp;$A77)))</f>
        <v>-1.1803038512926238E-2</v>
      </c>
      <c r="BQ77" s="83" t="e">
        <f t="shared" ca="1" si="277"/>
        <v>#NUM!</v>
      </c>
      <c r="BR77" s="3" t="e">
        <f t="shared" ca="1" si="278"/>
        <v>#NUM!</v>
      </c>
      <c r="BS77" s="83">
        <f t="shared" ca="1" si="279"/>
        <v>-27336120.598981846</v>
      </c>
      <c r="BT77" s="3" t="str">
        <f t="shared" ca="1" si="280"/>
        <v/>
      </c>
      <c r="BU77" s="83">
        <f t="shared" ca="1" si="281"/>
        <v>-68003231.600880161</v>
      </c>
      <c r="BV77" s="83"/>
      <c r="BX77" s="83" t="e">
        <f t="shared" ca="1" si="282"/>
        <v>#NUM!</v>
      </c>
      <c r="BY77" s="83" t="e">
        <f t="shared" ca="1" si="294"/>
        <v>#NUM!</v>
      </c>
      <c r="BZ77" s="83">
        <f t="shared" ca="1" si="283"/>
        <v>-57632771.428214408</v>
      </c>
      <c r="CA77" s="83" t="str">
        <f t="shared" ca="1" si="294"/>
        <v/>
      </c>
      <c r="CB77" s="83">
        <f t="shared" ca="1" si="284"/>
        <v>-32448853.336980712</v>
      </c>
      <c r="CC77" s="83" t="str">
        <f t="shared" ca="1" si="294"/>
        <v/>
      </c>
      <c r="CD77" s="83">
        <f>IF(RTD("tos.rtd",,CD$43,"."&amp;$A$43&amp;$AS$42&amp;"C"&amp;$A77)="N/A",0,RTD("tos.rtd",,CD$43,"."&amp;$A$43&amp;$AS$42&amp;"C"&amp;$A77))</f>
        <v>1</v>
      </c>
      <c r="CE77" s="83">
        <f>-IF(RTD("tos.rtd",,CE$43,"."&amp;$A$43&amp;$AS$42&amp;"P"&amp;$A77)="N/A",0,RTD("tos.rtd",,CE$43,"."&amp;$A$43&amp;$AS$42&amp;"P"&amp;$A77))</f>
        <v>0</v>
      </c>
      <c r="CF77" s="83">
        <f>IF(RTD("tos.rtd",,CF$2,"."&amp;$A$43&amp;$AU$1&amp;"C"&amp;$A77)="N/A",0,RTD("tos.rtd",,CF$2,"."&amp;$A$43&amp;$AU$1&amp;"C"&amp;$A77))</f>
        <v>1</v>
      </c>
      <c r="CG77" s="83">
        <f>-IF(RTD("tos.rtd",,CG$2,"."&amp;$A$43&amp;$AU$1&amp;"P"&amp;$A77)="N/A",0,RTD("tos.rtd",,CG$2,"."&amp;$A$43&amp;$AU$1&amp;"P"&amp;$A77))</f>
        <v>0.09</v>
      </c>
      <c r="CH77" s="83">
        <f>IF(RTD("tos.rtd",,CH$2,"."&amp;$A$43&amp;$AW$1&amp;"C"&amp;$A77)="N/A",0,RTD("tos.rtd",,CH$2,"."&amp;$A$43&amp;$AW$1&amp;"C"&amp;$A77))</f>
        <v>0.95</v>
      </c>
      <c r="CI77" s="83">
        <f>-IF(RTD("tos.rtd",,CI$2,"."&amp;$A$43&amp;$AW$1&amp;"P"&amp;$A77)="N/A",0,RTD("tos.rtd",,CI$2,"."&amp;$A$43&amp;$AW$1&amp;"P"&amp;$A77))</f>
        <v>0.22</v>
      </c>
      <c r="CK77" s="83">
        <f t="shared" si="285"/>
        <v>26800</v>
      </c>
      <c r="CL77" s="83"/>
      <c r="CM77" s="83">
        <f t="shared" si="286"/>
        <v>227963</v>
      </c>
      <c r="CN77" s="83"/>
      <c r="CO77" s="83">
        <f t="shared" si="287"/>
        <v>2777809</v>
      </c>
      <c r="CP77" s="83">
        <f t="shared" si="234"/>
        <v>3032572</v>
      </c>
      <c r="CQ77" s="83">
        <f t="shared" si="248"/>
        <v>-98249</v>
      </c>
      <c r="CR77" s="83"/>
      <c r="CS77" s="83">
        <f t="shared" si="249"/>
        <v>-17906</v>
      </c>
      <c r="CT77" s="83"/>
      <c r="CU77" s="83">
        <f t="shared" si="250"/>
        <v>-11142</v>
      </c>
      <c r="CV77" s="83"/>
      <c r="CW77" s="83" t="e">
        <f t="shared" ca="1" si="251"/>
        <v>#NUM!</v>
      </c>
      <c r="CY77" s="83" t="e">
        <f t="shared" ca="1" si="252"/>
        <v>#NUM!</v>
      </c>
      <c r="CZ77" s="70" t="e">
        <f t="shared" ca="1" si="295"/>
        <v>#NUM!</v>
      </c>
      <c r="DA77" s="83">
        <f>IF(RTD("tos.rtd",,DA$43,"."&amp;$A$43&amp;$AS$42&amp;"C"&amp;$A77)="N/A",0,RTD("tos.rtd",,DA$43,"."&amp;$A$43&amp;$AS$42&amp;"C"&amp;$A77))</f>
        <v>12.92</v>
      </c>
      <c r="DB77" s="83">
        <f>IF(RTD("tos.rtd",,DB$43,"."&amp;$A$43&amp;$AS$42&amp;"P"&amp;$A77)="N/A",0,RTD("tos.rtd",,DB$43,"."&amp;$A$43&amp;$AS$42&amp;"P"&amp;$A77))</f>
        <v>0.02</v>
      </c>
      <c r="DC77" s="83">
        <f>IF(RTD("tos.rtd",,DC$43,"."&amp;$A$43&amp;$AS$42&amp;"C"&amp;$A77)="N/A",0,RTD("tos.rtd",,DC$43,"."&amp;$A$43&amp;$AS$42&amp;"C"&amp;$A77))</f>
        <v>15.56</v>
      </c>
      <c r="DD77" s="83">
        <f>IF(RTD("tos.rtd",,DD$43,"."&amp;$A$43&amp;$AS$42&amp;"P"&amp;$A77)="N/A",0,RTD("tos.rtd",,DD$43,"."&amp;$A$43&amp;$AS$42&amp;"P"&amp;$A77))</f>
        <v>0.01</v>
      </c>
      <c r="DE77" s="83">
        <f>IF(RTD("tos.rtd",,DE$43,"."&amp;$A$43&amp;$AS$42&amp;"C"&amp;$A77)="N/A",0,RTD("tos.rtd",,DE$43,"."&amp;$A$43&amp;$AS$42&amp;"C"&amp;$A77))</f>
        <v>11.85</v>
      </c>
      <c r="DF77" s="83">
        <f>IF(RTD("tos.rtd",,DF$43,"."&amp;$A$43&amp;$AS$42&amp;"P"&amp;$A77)="N/A",0,RTD("tos.rtd",,DF$43,"."&amp;$A$43&amp;$AS$42&amp;"P"&amp;$A77))</f>
        <v>0</v>
      </c>
      <c r="DG77" s="86">
        <f t="shared" si="288"/>
        <v>-16.850000000000023</v>
      </c>
      <c r="DH77" s="83">
        <f t="shared" si="253"/>
        <v>0</v>
      </c>
      <c r="DI77" s="83">
        <f t="shared" si="254"/>
        <v>0</v>
      </c>
      <c r="DJ77" s="83">
        <f t="shared" si="255"/>
        <v>0</v>
      </c>
      <c r="DK77" s="83">
        <f t="shared" si="256"/>
        <v>0</v>
      </c>
      <c r="DL77" s="83">
        <f t="shared" si="257"/>
        <v>0</v>
      </c>
      <c r="DM77" s="83">
        <f t="shared" si="258"/>
        <v>0</v>
      </c>
      <c r="DN77" s="64" t="str">
        <f t="shared" si="259"/>
        <v>UNKNOWN</v>
      </c>
      <c r="DO77" s="64" t="str">
        <f t="shared" si="260"/>
        <v>UNKNOWN</v>
      </c>
      <c r="DP77" s="83">
        <f t="shared" si="261"/>
        <v>0</v>
      </c>
      <c r="DQ77" s="83">
        <f t="shared" si="262"/>
        <v>0</v>
      </c>
      <c r="DR77" s="83" t="e">
        <f t="shared" ca="1" si="263"/>
        <v>#NUM!</v>
      </c>
      <c r="DS77" s="83">
        <f t="shared" si="264"/>
        <v>0</v>
      </c>
      <c r="DT77" s="83">
        <f t="shared" si="289"/>
        <v>0</v>
      </c>
      <c r="DU77" s="83">
        <f t="shared" si="290"/>
        <v>0</v>
      </c>
      <c r="DV77" s="83">
        <f t="shared" si="265"/>
        <v>72</v>
      </c>
      <c r="DW77" s="83">
        <f t="shared" si="266"/>
        <v>-3257</v>
      </c>
      <c r="DX77" s="83" t="e">
        <f t="shared" ca="1" si="404"/>
        <v>#NUM!</v>
      </c>
      <c r="DY77" s="83" t="e">
        <f t="shared" ca="1" si="405"/>
        <v>#NUM!</v>
      </c>
      <c r="DZ77" s="83">
        <f t="shared" ca="1" si="406"/>
        <v>8.686951634341215E-3</v>
      </c>
      <c r="EA77" s="83">
        <f t="shared" ca="1" si="407"/>
        <v>-1.3538755865551266E-2</v>
      </c>
      <c r="EB77" s="83">
        <f t="shared" ca="1" si="408"/>
        <v>5.6908681409137277E-4</v>
      </c>
      <c r="EC77" s="83">
        <f t="shared" ca="1" si="409"/>
        <v>-1.1803038512926238E-2</v>
      </c>
      <c r="ED77" s="63">
        <f t="shared" si="291"/>
        <v>-3185</v>
      </c>
      <c r="EE77" s="84">
        <f t="shared" si="267"/>
        <v>0.25</v>
      </c>
      <c r="EF77" s="84">
        <f t="shared" si="268"/>
        <v>1.6798999999999999</v>
      </c>
      <c r="EG77" s="84">
        <f t="shared" si="269"/>
        <v>0.25</v>
      </c>
      <c r="EH77" s="84">
        <f t="shared" si="270"/>
        <v>0.38579999999999998</v>
      </c>
      <c r="EI77" s="84">
        <f t="shared" si="271"/>
        <v>0.1401</v>
      </c>
      <c r="EJ77" s="84">
        <f t="shared" si="272"/>
        <v>0.30769999999999997</v>
      </c>
      <c r="EL77" s="83" t="str">
        <f>RTD("tos.rtd",,EL$43,"."&amp;$A$43&amp;$AS$42&amp;"C"&amp;$A77)</f>
        <v>--</v>
      </c>
      <c r="EM77" s="83" t="str">
        <f>RTD("tos.rtd",,EM$43,"."&amp;$A$43&amp;$AS$42&amp;"P"&amp;$A77)</f>
        <v>167.99%</v>
      </c>
      <c r="EN77" s="83" t="str">
        <f>RTD("tos.rtd",,EN$2,"."&amp;$A$43&amp;$AU$1&amp;"C"&amp;$A77)</f>
        <v>--</v>
      </c>
      <c r="EO77" s="83" t="str">
        <f>RTD("tos.rtd",,EO$2,"."&amp;$A$43&amp;$AU$1&amp;"P"&amp;$A77)</f>
        <v>38.58%</v>
      </c>
      <c r="EP77" s="83" t="str">
        <f>RTD("tos.rtd",,EP$2,"."&amp;$A$43&amp;$AW$1&amp;"C"&amp;$A77)</f>
        <v>14.01%</v>
      </c>
      <c r="EQ77" s="83" t="str">
        <f>RTD("tos.rtd",,EQ$2,"."&amp;$A$43&amp;$AW$1&amp;"P"&amp;$A77)</f>
        <v>30.77%</v>
      </c>
      <c r="ES77" s="63" t="str">
        <f t="shared" si="273"/>
        <v>470,-3185.00</v>
      </c>
      <c r="ET77" s="64" t="str">
        <f t="shared" ca="1" si="274"/>
        <v>470,00.00</v>
      </c>
      <c r="EU77" s="68">
        <v>561.64</v>
      </c>
      <c r="EV77" s="68" t="s">
        <v>636</v>
      </c>
      <c r="EW77" s="68">
        <v>484.1</v>
      </c>
      <c r="EX77" s="68" t="s">
        <v>637</v>
      </c>
      <c r="EY77" s="68">
        <v>5631.25</v>
      </c>
      <c r="EZ77" s="68" t="s">
        <v>638</v>
      </c>
      <c r="FA77" s="68">
        <v>19885.5</v>
      </c>
      <c r="FB77" s="68" t="s">
        <v>639</v>
      </c>
      <c r="FC77" s="68" t="s">
        <v>640</v>
      </c>
      <c r="FD77" s="68" t="s">
        <v>641</v>
      </c>
      <c r="FE77" s="68" t="s">
        <v>642</v>
      </c>
      <c r="FF77" s="68" t="s">
        <v>643</v>
      </c>
    </row>
    <row r="78" spans="1:162" ht="13.5" thickBot="1" x14ac:dyDescent="0.25">
      <c r="A78" s="2">
        <f t="shared" si="292"/>
        <v>469</v>
      </c>
      <c r="B78" s="3">
        <f t="shared" si="240"/>
        <v>1396</v>
      </c>
      <c r="C78" s="3">
        <f t="shared" si="410"/>
        <v>2686</v>
      </c>
      <c r="D78" s="3">
        <f t="shared" si="242"/>
        <v>2253</v>
      </c>
      <c r="E78" s="3">
        <f t="shared" si="243"/>
        <v>6335</v>
      </c>
      <c r="F78" s="4">
        <f t="shared" si="296"/>
        <v>19359.194823867721</v>
      </c>
      <c r="AM78" s="1">
        <v>124</v>
      </c>
      <c r="AN78" s="1">
        <v>-3396</v>
      </c>
      <c r="AO78" s="1">
        <v>469</v>
      </c>
      <c r="AP78" s="1">
        <v>374</v>
      </c>
      <c r="AQ78" s="1">
        <v>-14281</v>
      </c>
      <c r="AS78" s="6">
        <f>IF(RTD("tos.rtd",,AS$43,"."&amp;$A$43&amp;$AS$42&amp;"C"&amp;$A78)="N/A",0,RTD("tos.rtd",,AS$43,"."&amp;$A$43&amp;$AS$42&amp;"C"&amp;$A78))</f>
        <v>42</v>
      </c>
      <c r="AT78" s="7">
        <f>-IF(RTD("tos.rtd",,AT$43,"."&amp;$A$43&amp;$AS$42&amp;"P"&amp;$A78)="N/A",0,RTD("tos.rtd",,AT$43,"."&amp;$A$43&amp;$AS$42&amp;"P"&amp;$A78))</f>
        <v>-1354</v>
      </c>
      <c r="AU78" s="6">
        <f>IF(RTD("tos.rtd",,AU$2,"."&amp;$A$43&amp;$AU$1&amp;"C"&amp;$A78)="N/A",0,RTD("tos.rtd",,AU$2,"."&amp;$A$43&amp;$AU$1&amp;"C"&amp;$A78))</f>
        <v>699</v>
      </c>
      <c r="AV78" s="7">
        <f>-IF(RTD("tos.rtd",,AV$2,"."&amp;$A$43&amp;$AU$1&amp;"P"&amp;$A78)="N/A",0,RTD("tos.rtd",,AV$2,"."&amp;$A$43&amp;$AU$1&amp;"P"&amp;$A78))</f>
        <v>-1987</v>
      </c>
      <c r="AW78" s="6">
        <f>IF(RTD("tos.rtd",,AW$2,"."&amp;$A$43&amp;$AW$1&amp;"C"&amp;$A78)="N/A",0,RTD("tos.rtd",,AW$2,"."&amp;$A$43&amp;$AW$1&amp;"C"&amp;$A78))</f>
        <v>969</v>
      </c>
      <c r="AX78" s="7">
        <f>-IF(RTD("tos.rtd",,AX$2,"."&amp;$A$43&amp;$AW$1&amp;"P"&amp;$A78)="N/A",0,RTD("tos.rtd",,AX$2,"."&amp;$A$43&amp;$AW$1&amp;"P"&amp;$A78))</f>
        <v>-1284</v>
      </c>
      <c r="AY78" s="7">
        <f t="shared" si="275"/>
        <v>-2915</v>
      </c>
      <c r="AZ78" s="8">
        <f t="shared" si="244"/>
        <v>469</v>
      </c>
      <c r="BA78" s="6">
        <f>IF(RTD("tos.rtd",,BA$43,"."&amp;$A$43&amp;$AS$42&amp;"C"&amp;$A78)="N/A",0,RTD("tos.rtd",,BA$43,"."&amp;$A$43&amp;$AS$42&amp;"C"&amp;$A78))</f>
        <v>374</v>
      </c>
      <c r="BB78" s="7">
        <f>-IF(RTD("tos.rtd",,BB$43,"."&amp;$A$43&amp;$AS$42&amp;"P"&amp;$A78)="N/A",0,RTD("tos.rtd",,BB$43,"."&amp;$A$43&amp;$AS$42&amp;"P"&amp;$A78))</f>
        <v>-14281</v>
      </c>
      <c r="BC78" s="6">
        <f>IF(RTD("tos.rtd",,BC$2,"."&amp;$A$43&amp;$AU$1&amp;"C"&amp;$A78)="N/A",0,RTD("tos.rtd",,BC$2,"."&amp;$A$43&amp;$AU$1&amp;"C"&amp;$A78))</f>
        <v>29</v>
      </c>
      <c r="BD78" s="7">
        <f>-IF(RTD("tos.rtd",,BD$2,"."&amp;$A$43&amp;$AU$1&amp;"P"&amp;$A78)="N/A",0,RTD("tos.rtd",,BD$2,"."&amp;$A$43&amp;$AU$1&amp;"P"&amp;$A78))</f>
        <v>-1761</v>
      </c>
      <c r="BE78" s="6">
        <f>IF(RTD("tos.rtd",,BE$2,"."&amp;$A$43&amp;$AW$1&amp;"C"&amp;$A78)="N/A",0,RTD("tos.rtd",,BE$2,"."&amp;$A$43&amp;$AW$1&amp;"C"&amp;$A78))</f>
        <v>8</v>
      </c>
      <c r="BF78" s="7">
        <f>-IF(RTD("tos.rtd",,BF$2,"."&amp;$A$43&amp;$AW$1&amp;"P"&amp;$A78)="N/A",0,RTD("tos.rtd",,BF$2,"."&amp;$A$43&amp;$AW$1&amp;"P"&amp;$A78))</f>
        <v>-652</v>
      </c>
      <c r="BG78" s="32">
        <f ca="1">+Hoja2!Y79</f>
        <v>-158</v>
      </c>
      <c r="BH78" s="7">
        <f t="shared" ca="1" si="276"/>
        <v>-16441</v>
      </c>
      <c r="BI78" s="8" t="str">
        <f t="shared" ca="1" si="293"/>
        <v/>
      </c>
      <c r="BJ78" s="83" t="e">
        <f ca="1">IF($BP$1=1,DX78,IF(RTD("tos.rtd",,BJ$43,"."&amp;$A$43&amp;$AS$42&amp;"C"&amp;$A78)="N/A",0,RTD("tos.rtd",,BJ$43,"."&amp;$A$43&amp;$AS$42&amp;"C"&amp;$A78)))</f>
        <v>#NUM!</v>
      </c>
      <c r="BK78" s="83" t="e">
        <f ca="1">IF($BP$1=1,DY78,-IF(RTD("tos.rtd",,BK$43,"."&amp;$A$43&amp;$AS$42&amp;"P"&amp;$A78)="N/A",0,RTD("tos.rtd",,BK$43,"."&amp;$A$43&amp;$AS$42&amp;"P"&amp;$A78)))</f>
        <v>#NUM!</v>
      </c>
      <c r="BL78" s="83">
        <f ca="1">IF($BP$1=1,DZ78,IF(RTD("tos.rtd",,BL$2,"."&amp;$A$43&amp;$AU$1&amp;"C"&amp;$A78)="N/A",0,RTD("tos.rtd",,BL$2,"."&amp;$A$43&amp;$AU$1&amp;"C"&amp;$A78)))</f>
        <v>7.1978155133105275E-3</v>
      </c>
      <c r="BM78" s="83">
        <f ca="1">IF($BP$1=1,EA78,-IF(RTD("tos.rtd",,BM$2,"."&amp;$A$43&amp;$AU$1&amp;"P"&amp;$A78)="N/A",0,RTD("tos.rtd",,BM$2,"."&amp;$A$43&amp;$AU$1&amp;"P"&amp;$A78)))</f>
        <v>-1.2548709688524885E-2</v>
      </c>
      <c r="BN78" s="83">
        <f ca="1">IF($BP$1=1,EB78,IF(RTD("tos.rtd",,BN$2,"."&amp;$A$43&amp;$AW$1&amp;"C"&amp;$A78)="N/A",0,RTD("tos.rtd",,BN$2,"."&amp;$A$43&amp;$AW$1&amp;"C"&amp;$A78)))</f>
        <v>0</v>
      </c>
      <c r="BO78" s="83">
        <f ca="1">IF($BP$1=1,EC78,-IF(RTD("tos.rtd",,BO$2,"."&amp;$A$43&amp;$AW$1&amp;"P"&amp;$A78)="N/A",0,RTD("tos.rtd",,BO$2,"."&amp;$A$43&amp;$AW$1&amp;"P"&amp;$A78)))</f>
        <v>-1.0459150915948463E-2</v>
      </c>
      <c r="BQ78" s="83" t="e">
        <f t="shared" ca="1" si="277"/>
        <v>#NUM!</v>
      </c>
      <c r="BR78" s="3" t="e">
        <f t="shared" ca="1" si="278"/>
        <v>#NUM!</v>
      </c>
      <c r="BS78" s="83">
        <f t="shared" ca="1" si="279"/>
        <v>-4717470.3332468411</v>
      </c>
      <c r="BT78" s="3" t="str">
        <f t="shared" ca="1" si="280"/>
        <v/>
      </c>
      <c r="BU78" s="83">
        <f t="shared" ca="1" si="281"/>
        <v>-3183111.1357851871</v>
      </c>
      <c r="BV78" s="83"/>
      <c r="BX78" s="83" t="e">
        <f t="shared" ca="1" si="282"/>
        <v>#NUM!</v>
      </c>
      <c r="BY78" s="83" t="e">
        <f t="shared" ca="1" si="294"/>
        <v>#NUM!</v>
      </c>
      <c r="BZ78" s="83">
        <f t="shared" ca="1" si="283"/>
        <v>-5188323.0064568277</v>
      </c>
      <c r="CA78" s="83" t="str">
        <f t="shared" ca="1" si="294"/>
        <v/>
      </c>
      <c r="CB78" s="83">
        <f t="shared" ca="1" si="284"/>
        <v>-1616346.15306226</v>
      </c>
      <c r="CC78" s="83" t="str">
        <f t="shared" ca="1" si="294"/>
        <v/>
      </c>
      <c r="CD78" s="83">
        <f>IF(RTD("tos.rtd",,CD$43,"."&amp;$A$43&amp;$AS$42&amp;"C"&amp;$A78)="N/A",0,RTD("tos.rtd",,CD$43,"."&amp;$A$43&amp;$AS$42&amp;"C"&amp;$A78))</f>
        <v>1</v>
      </c>
      <c r="CE78" s="83">
        <f>-IF(RTD("tos.rtd",,CE$43,"."&amp;$A$43&amp;$AS$42&amp;"P"&amp;$A78)="N/A",0,RTD("tos.rtd",,CE$43,"."&amp;$A$43&amp;$AS$42&amp;"P"&amp;$A78))</f>
        <v>0</v>
      </c>
      <c r="CF78" s="83">
        <f>IF(RTD("tos.rtd",,CF$2,"."&amp;$A$43&amp;$AU$1&amp;"C"&amp;$A78)="N/A",0,RTD("tos.rtd",,CF$2,"."&amp;$A$43&amp;$AU$1&amp;"C"&amp;$A78))</f>
        <v>1</v>
      </c>
      <c r="CG78" s="83">
        <f>-IF(RTD("tos.rtd",,CG$2,"."&amp;$A$43&amp;$AU$1&amp;"P"&amp;$A78)="N/A",0,RTD("tos.rtd",,CG$2,"."&amp;$A$43&amp;$AU$1&amp;"P"&amp;$A78))</f>
        <v>0.08</v>
      </c>
      <c r="CH78" s="83">
        <f>IF(RTD("tos.rtd",,CH$2,"."&amp;$A$43&amp;$AW$1&amp;"C"&amp;$A78)="N/A",0,RTD("tos.rtd",,CH$2,"."&amp;$A$43&amp;$AW$1&amp;"C"&amp;$A78))</f>
        <v>1</v>
      </c>
      <c r="CI78" s="83">
        <f>-IF(RTD("tos.rtd",,CI$2,"."&amp;$A$43&amp;$AW$1&amp;"P"&amp;$A78)="N/A",0,RTD("tos.rtd",,CI$2,"."&amp;$A$43&amp;$AW$1&amp;"P"&amp;$A78))</f>
        <v>0.2</v>
      </c>
      <c r="CK78" s="83">
        <f t="shared" si="285"/>
        <v>4200</v>
      </c>
      <c r="CL78" s="83"/>
      <c r="CM78" s="83">
        <f t="shared" si="286"/>
        <v>54004</v>
      </c>
      <c r="CN78" s="83"/>
      <c r="CO78" s="83">
        <f t="shared" si="287"/>
        <v>71220</v>
      </c>
      <c r="CP78" s="83">
        <f t="shared" si="234"/>
        <v>129424</v>
      </c>
      <c r="CQ78" s="83">
        <f t="shared" si="248"/>
        <v>-13907</v>
      </c>
      <c r="CR78" s="83"/>
      <c r="CS78" s="83">
        <f t="shared" si="249"/>
        <v>-1732</v>
      </c>
      <c r="CT78" s="83"/>
      <c r="CU78" s="83">
        <f t="shared" si="250"/>
        <v>-644</v>
      </c>
      <c r="CV78" s="83"/>
      <c r="CW78" s="83" t="e">
        <f t="shared" ca="1" si="251"/>
        <v>#NUM!</v>
      </c>
      <c r="CY78" s="83" t="e">
        <f t="shared" ca="1" si="252"/>
        <v>#NUM!</v>
      </c>
      <c r="CZ78" s="70" t="e">
        <f t="shared" ca="1" si="295"/>
        <v>#NUM!</v>
      </c>
      <c r="DA78" s="83">
        <f>IF(RTD("tos.rtd",,DA$43,"."&amp;$A$43&amp;$AS$42&amp;"C"&amp;$A78)="N/A",0,RTD("tos.rtd",,DA$43,"."&amp;$A$43&amp;$AS$42&amp;"C"&amp;$A78))</f>
        <v>14.39</v>
      </c>
      <c r="DB78" s="83">
        <f>IF(RTD("tos.rtd",,DB$43,"."&amp;$A$43&amp;$AS$42&amp;"P"&amp;$A78)="N/A",0,RTD("tos.rtd",,DB$43,"."&amp;$A$43&amp;$AS$42&amp;"P"&amp;$A78))</f>
        <v>0.01</v>
      </c>
      <c r="DC78" s="83">
        <f>IF(RTD("tos.rtd",,DC$43,"."&amp;$A$43&amp;$AS$42&amp;"C"&amp;$A78)="N/A",0,RTD("tos.rtd",,DC$43,"."&amp;$A$43&amp;$AS$42&amp;"C"&amp;$A78))</f>
        <v>16.559999999999999</v>
      </c>
      <c r="DD78" s="83">
        <f>IF(RTD("tos.rtd",,DD$43,"."&amp;$A$43&amp;$AS$42&amp;"P"&amp;$A78)="N/A",0,RTD("tos.rtd",,DD$43,"."&amp;$A$43&amp;$AS$42&amp;"P"&amp;$A78))</f>
        <v>0.01</v>
      </c>
      <c r="DE78" s="83">
        <f>IF(RTD("tos.rtd",,DE$43,"."&amp;$A$43&amp;$AS$42&amp;"C"&amp;$A78)="N/A",0,RTD("tos.rtd",,DE$43,"."&amp;$A$43&amp;$AS$42&amp;"C"&amp;$A78))</f>
        <v>12.66</v>
      </c>
      <c r="DF78" s="83">
        <f>IF(RTD("tos.rtd",,DF$43,"."&amp;$A$43&amp;$AS$42&amp;"P"&amp;$A78)="N/A",0,RTD("tos.rtd",,DF$43,"."&amp;$A$43&amp;$AS$42&amp;"P"&amp;$A78))</f>
        <v>0</v>
      </c>
      <c r="DG78" s="86">
        <f t="shared" si="288"/>
        <v>-17.850000000000023</v>
      </c>
      <c r="DH78" s="83">
        <f t="shared" si="253"/>
        <v>0</v>
      </c>
      <c r="DI78" s="83">
        <f t="shared" si="254"/>
        <v>0</v>
      </c>
      <c r="DJ78" s="83">
        <f t="shared" si="255"/>
        <v>0</v>
      </c>
      <c r="DK78" s="83">
        <f t="shared" si="256"/>
        <v>0</v>
      </c>
      <c r="DL78" s="83">
        <f t="shared" si="257"/>
        <v>0</v>
      </c>
      <c r="DM78" s="83">
        <f t="shared" si="258"/>
        <v>0</v>
      </c>
      <c r="DN78" s="64" t="str">
        <f t="shared" si="259"/>
        <v>UNKNOWN</v>
      </c>
      <c r="DO78" s="64" t="str">
        <f t="shared" si="260"/>
        <v>UNKNOWN</v>
      </c>
      <c r="DP78" s="83">
        <f t="shared" si="261"/>
        <v>0</v>
      </c>
      <c r="DQ78" s="83">
        <f t="shared" si="262"/>
        <v>0</v>
      </c>
      <c r="DR78" s="83" t="e">
        <f t="shared" ca="1" si="263"/>
        <v>#NUM!</v>
      </c>
      <c r="DS78" s="83">
        <f t="shared" si="264"/>
        <v>0</v>
      </c>
      <c r="DT78" s="83">
        <f t="shared" si="289"/>
        <v>0</v>
      </c>
      <c r="DU78" s="83">
        <f t="shared" si="290"/>
        <v>0</v>
      </c>
      <c r="DV78" s="83">
        <f t="shared" si="265"/>
        <v>124</v>
      </c>
      <c r="DW78" s="83">
        <f t="shared" si="266"/>
        <v>-3396</v>
      </c>
      <c r="DX78" s="83" t="e">
        <f t="shared" ca="1" si="404"/>
        <v>#NUM!</v>
      </c>
      <c r="DY78" s="83" t="e">
        <f t="shared" ca="1" si="405"/>
        <v>#NUM!</v>
      </c>
      <c r="DZ78" s="83">
        <f t="shared" ca="1" si="406"/>
        <v>7.1978155133105275E-3</v>
      </c>
      <c r="EA78" s="83">
        <f t="shared" ca="1" si="407"/>
        <v>-1.2548709688524885E-2</v>
      </c>
      <c r="EB78" s="83">
        <f t="shared" ca="1" si="408"/>
        <v>0</v>
      </c>
      <c r="EC78" s="83">
        <f t="shared" ca="1" si="409"/>
        <v>-1.0459150915948463E-2</v>
      </c>
      <c r="ED78" s="63">
        <f t="shared" si="291"/>
        <v>-3272</v>
      </c>
      <c r="EE78" s="84">
        <f t="shared" si="267"/>
        <v>0.25</v>
      </c>
      <c r="EF78" s="84">
        <f t="shared" si="268"/>
        <v>1.7715000000000001</v>
      </c>
      <c r="EG78" s="84">
        <f t="shared" si="269"/>
        <v>0.25</v>
      </c>
      <c r="EH78" s="84">
        <f t="shared" si="270"/>
        <v>0.38919999999999999</v>
      </c>
      <c r="EI78" s="84">
        <f t="shared" si="271"/>
        <v>5.9999999999999995E-4</v>
      </c>
      <c r="EJ78" s="84">
        <f t="shared" si="272"/>
        <v>0.30859999999999999</v>
      </c>
      <c r="EL78" s="83" t="str">
        <f>RTD("tos.rtd",,EL$43,"."&amp;$A$43&amp;$AS$42&amp;"C"&amp;$A78)</f>
        <v>--</v>
      </c>
      <c r="EM78" s="83" t="str">
        <f>RTD("tos.rtd",,EM$43,"."&amp;$A$43&amp;$AS$42&amp;"P"&amp;$A78)</f>
        <v>177.15%</v>
      </c>
      <c r="EN78" s="83" t="str">
        <f>RTD("tos.rtd",,EN$2,"."&amp;$A$43&amp;$AU$1&amp;"C"&amp;$A78)</f>
        <v>--</v>
      </c>
      <c r="EO78" s="83" t="str">
        <f>RTD("tos.rtd",,EO$2,"."&amp;$A$43&amp;$AU$1&amp;"P"&amp;$A78)</f>
        <v>38.92%</v>
      </c>
      <c r="EP78" s="83" t="str">
        <f>RTD("tos.rtd",,EP$2,"."&amp;$A$43&amp;$AW$1&amp;"C"&amp;$A78)</f>
        <v>0.06%</v>
      </c>
      <c r="EQ78" s="83" t="str">
        <f>RTD("tos.rtd",,EQ$2,"."&amp;$A$43&amp;$AW$1&amp;"P"&amp;$A78)</f>
        <v>30.86%</v>
      </c>
      <c r="ES78" s="63" t="str">
        <f t="shared" si="273"/>
        <v>469,-3272.00</v>
      </c>
      <c r="ET78" s="64" t="str">
        <f t="shared" ca="1" si="274"/>
        <v>469,00.00</v>
      </c>
      <c r="EU78" s="68">
        <v>561.76</v>
      </c>
      <c r="EV78" s="68" t="s">
        <v>644</v>
      </c>
      <c r="EW78" s="68">
        <v>484.23</v>
      </c>
      <c r="EX78" s="68" t="s">
        <v>645</v>
      </c>
      <c r="EY78" s="68">
        <v>5631.5</v>
      </c>
      <c r="EZ78" s="68" t="s">
        <v>646</v>
      </c>
      <c r="FA78" s="68">
        <v>19890.75</v>
      </c>
      <c r="FB78" s="68" t="s">
        <v>647</v>
      </c>
      <c r="FC78" s="68" t="s">
        <v>648</v>
      </c>
      <c r="FD78" s="68" t="s">
        <v>649</v>
      </c>
      <c r="FE78" s="68" t="s">
        <v>650</v>
      </c>
      <c r="FF78" s="68" t="s">
        <v>651</v>
      </c>
    </row>
    <row r="79" spans="1:162" ht="13.5" thickBot="1" x14ac:dyDescent="0.25">
      <c r="A79" s="2">
        <f t="shared" si="292"/>
        <v>468</v>
      </c>
      <c r="B79" s="35">
        <f t="shared" si="240"/>
        <v>2093</v>
      </c>
      <c r="C79" s="35">
        <f t="shared" si="410"/>
        <v>2504</v>
      </c>
      <c r="D79" s="35">
        <f t="shared" si="242"/>
        <v>3278</v>
      </c>
      <c r="E79" s="35">
        <f t="shared" si="243"/>
        <v>7875</v>
      </c>
      <c r="F79" s="11">
        <f t="shared" si="296"/>
        <v>19317.917222963952</v>
      </c>
      <c r="AM79" s="1">
        <v>71</v>
      </c>
      <c r="AN79" s="1">
        <v>934</v>
      </c>
      <c r="AO79" s="1">
        <v>468</v>
      </c>
      <c r="AP79" s="1">
        <v>126</v>
      </c>
      <c r="AQ79" s="1">
        <v>-11305</v>
      </c>
      <c r="AS79" s="15">
        <f>IF(RTD("tos.rtd",,AS$43,"."&amp;$A$43&amp;$AS$42&amp;"C"&amp;$A79)="N/A",0,RTD("tos.rtd",,AS$43,"."&amp;$A$43&amp;$AS$42&amp;"C"&amp;$A79))</f>
        <v>125</v>
      </c>
      <c r="AT79" s="36">
        <f>-IF(RTD("tos.rtd",,AT$43,"."&amp;$A$43&amp;$AS$42&amp;"P"&amp;$A79)="N/A",0,RTD("tos.rtd",,AT$43,"."&amp;$A$43&amp;$AS$42&amp;"P"&amp;$A79))</f>
        <v>-1968</v>
      </c>
      <c r="AU79" s="15">
        <f>IF(RTD("tos.rtd",,AU$2,"."&amp;$A$43&amp;$AU$1&amp;"C"&amp;$A79)="N/A",0,RTD("tos.rtd",,AU$2,"."&amp;$A$43&amp;$AU$1&amp;"C"&amp;$A79))</f>
        <v>1032</v>
      </c>
      <c r="AV79" s="36">
        <f>-IF(RTD("tos.rtd",,AV$2,"."&amp;$A$43&amp;$AU$1&amp;"P"&amp;$A79)="N/A",0,RTD("tos.rtd",,AV$2,"."&amp;$A$43&amp;$AU$1&amp;"P"&amp;$A79))</f>
        <v>-1472</v>
      </c>
      <c r="AW79" s="15">
        <f>IF(RTD("tos.rtd",,AW$2,"."&amp;$A$43&amp;$AW$1&amp;"C"&amp;$A79)="N/A",0,RTD("tos.rtd",,AW$2,"."&amp;$A$43&amp;$AW$1&amp;"C"&amp;$A79))</f>
        <v>1736</v>
      </c>
      <c r="AX79" s="36">
        <f>-IF(RTD("tos.rtd",,AX$2,"."&amp;$A$43&amp;$AW$1&amp;"P"&amp;$A79)="N/A",0,RTD("tos.rtd",,AX$2,"."&amp;$A$43&amp;$AW$1&amp;"P"&amp;$A79))</f>
        <v>-1542</v>
      </c>
      <c r="AY79" s="36">
        <f t="shared" si="275"/>
        <v>-2089</v>
      </c>
      <c r="AZ79" s="8">
        <f t="shared" si="244"/>
        <v>468</v>
      </c>
      <c r="BA79" s="15">
        <f>IF(RTD("tos.rtd",,BA$43,"."&amp;$A$43&amp;$AS$42&amp;"C"&amp;$A79)="N/A",0,RTD("tos.rtd",,BA$43,"."&amp;$A$43&amp;$AS$42&amp;"C"&amp;$A79))</f>
        <v>126</v>
      </c>
      <c r="BB79" s="36">
        <f>-IF(RTD("tos.rtd",,BB$43,"."&amp;$A$43&amp;$AS$42&amp;"P"&amp;$A79)="N/A",0,RTD("tos.rtd",,BB$43,"."&amp;$A$43&amp;$AS$42&amp;"P"&amp;$A79))</f>
        <v>-11305</v>
      </c>
      <c r="BC79" s="15">
        <f>IF(RTD("tos.rtd",,BC$2,"."&amp;$A$43&amp;$AU$1&amp;"C"&amp;$A79)="N/A",0,RTD("tos.rtd",,BC$2,"."&amp;$A$43&amp;$AU$1&amp;"C"&amp;$A79))</f>
        <v>84</v>
      </c>
      <c r="BD79" s="36">
        <f>-IF(RTD("tos.rtd",,BD$2,"."&amp;$A$43&amp;$AU$1&amp;"P"&amp;$A79)="N/A",0,RTD("tos.rtd",,BD$2,"."&amp;$A$43&amp;$AU$1&amp;"P"&amp;$A79))</f>
        <v>-3553</v>
      </c>
      <c r="BE79" s="15">
        <f>IF(RTD("tos.rtd",,BE$2,"."&amp;$A$43&amp;$AW$1&amp;"C"&amp;$A79)="N/A",0,RTD("tos.rtd",,BE$2,"."&amp;$A$43&amp;$AW$1&amp;"C"&amp;$A79))</f>
        <v>28</v>
      </c>
      <c r="BF79" s="36">
        <f>-IF(RTD("tos.rtd",,BF$2,"."&amp;$A$43&amp;$AW$1&amp;"P"&amp;$A79)="N/A",0,RTD("tos.rtd",,BF$2,"."&amp;$A$43&amp;$AW$1&amp;"P"&amp;$A79))</f>
        <v>-598</v>
      </c>
      <c r="BG79" s="32">
        <f ca="1">+Hoja2!Y80</f>
        <v>-76</v>
      </c>
      <c r="BH79" s="36">
        <f t="shared" ca="1" si="276"/>
        <v>-15294</v>
      </c>
      <c r="BI79" s="8" t="str">
        <f t="shared" ca="1" si="293"/>
        <v/>
      </c>
      <c r="BJ79" s="83" t="e">
        <f ca="1">IF($BP$1=1,DX79,IF(RTD("tos.rtd",,BJ$43,"."&amp;$A$43&amp;$AS$42&amp;"C"&amp;$A79)="N/A",0,RTD("tos.rtd",,BJ$43,"."&amp;$A$43&amp;$AS$42&amp;"C"&amp;$A79)))</f>
        <v>#NUM!</v>
      </c>
      <c r="BK79" s="83" t="e">
        <f ca="1">IF($BP$1=1,DY79,-IF(RTD("tos.rtd",,BK$43,"."&amp;$A$43&amp;$AS$42&amp;"P"&amp;$A79)="N/A",0,RTD("tos.rtd",,BK$43,"."&amp;$A$43&amp;$AS$42&amp;"P"&amp;$A79)))</f>
        <v>#NUM!</v>
      </c>
      <c r="BL79" s="83">
        <f ca="1">IF($BP$1=1,DZ79,IF(RTD("tos.rtd",,BL$2,"."&amp;$A$43&amp;$AU$1&amp;"C"&amp;$A79)="N/A",0,RTD("tos.rtd",,BL$2,"."&amp;$A$43&amp;$AU$1&amp;"C"&amp;$A79)))</f>
        <v>5.8967782197209958E-3</v>
      </c>
      <c r="BM79" s="83">
        <f ca="1">IF($BP$1=1,EA79,-IF(RTD("tos.rtd",,BM$2,"."&amp;$A$43&amp;$AU$1&amp;"P"&amp;$A79)="N/A",0,RTD("tos.rtd",,BM$2,"."&amp;$A$43&amp;$AU$1&amp;"P"&amp;$A79)))</f>
        <v>-1.159333202620013E-2</v>
      </c>
      <c r="BN79" s="83">
        <f ca="1">IF($BP$1=1,EB79,IF(RTD("tos.rtd",,BN$2,"."&amp;$A$43&amp;$AW$1&amp;"C"&amp;$A79)="N/A",0,RTD("tos.rtd",,BN$2,"."&amp;$A$43&amp;$AW$1&amp;"C"&amp;$A79)))</f>
        <v>0</v>
      </c>
      <c r="BO79" s="83">
        <f ca="1">IF($BP$1=1,EC79,-IF(RTD("tos.rtd",,BO$2,"."&amp;$A$43&amp;$AW$1&amp;"P"&amp;$A79)="N/A",0,RTD("tos.rtd",,BO$2,"."&amp;$A$43&amp;$AW$1&amp;"P"&amp;$A79)))</f>
        <v>-9.2390639826523003E-3</v>
      </c>
      <c r="BQ79" s="83" t="e">
        <f t="shared" ca="1" si="277"/>
        <v>#NUM!</v>
      </c>
      <c r="BR79" s="3" t="e">
        <f t="shared" ca="1" si="278"/>
        <v>#NUM!</v>
      </c>
      <c r="BS79" s="83">
        <f t="shared" ca="1" si="279"/>
        <v>-2602490.2668743022</v>
      </c>
      <c r="BT79" s="3" t="str">
        <f t="shared" ca="1" si="280"/>
        <v/>
      </c>
      <c r="BU79" s="83">
        <f t="shared" ca="1" si="281"/>
        <v>-3376779.4572450812</v>
      </c>
      <c r="BV79" s="83"/>
      <c r="BX79" s="83" t="e">
        <f t="shared" ca="1" si="282"/>
        <v>#NUM!</v>
      </c>
      <c r="BY79" s="83" t="e">
        <f t="shared" ca="1" si="294"/>
        <v>#NUM!</v>
      </c>
      <c r="BZ79" s="83">
        <f t="shared" ca="1" si="283"/>
        <v>-9645832.547517335</v>
      </c>
      <c r="CA79" s="83" t="str">
        <f t="shared" ca="1" si="294"/>
        <v/>
      </c>
      <c r="CB79" s="83">
        <f t="shared" ca="1" si="284"/>
        <v>-1309542.2279069771</v>
      </c>
      <c r="CC79" s="83" t="str">
        <f t="shared" ca="1" si="294"/>
        <v/>
      </c>
      <c r="CD79" s="83">
        <f>IF(RTD("tos.rtd",,CD$43,"."&amp;$A$43&amp;$AS$42&amp;"C"&amp;$A79)="N/A",0,RTD("tos.rtd",,CD$43,"."&amp;$A$43&amp;$AS$42&amp;"C"&amp;$A79))</f>
        <v>1</v>
      </c>
      <c r="CE79" s="83">
        <f>-IF(RTD("tos.rtd",,CE$43,"."&amp;$A$43&amp;$AS$42&amp;"P"&amp;$A79)="N/A",0,RTD("tos.rtd",,CE$43,"."&amp;$A$43&amp;$AS$42&amp;"P"&amp;$A79))</f>
        <v>0</v>
      </c>
      <c r="CF79" s="83">
        <f>IF(RTD("tos.rtd",,CF$2,"."&amp;$A$43&amp;$AU$1&amp;"C"&amp;$A79)="N/A",0,RTD("tos.rtd",,CF$2,"."&amp;$A$43&amp;$AU$1&amp;"C"&amp;$A79))</f>
        <v>1</v>
      </c>
      <c r="CG79" s="83">
        <f>-IF(RTD("tos.rtd",,CG$2,"."&amp;$A$43&amp;$AU$1&amp;"P"&amp;$A79)="N/A",0,RTD("tos.rtd",,CG$2,"."&amp;$A$43&amp;$AU$1&amp;"P"&amp;$A79))</f>
        <v>7.0000000000000007E-2</v>
      </c>
      <c r="CH79" s="83">
        <f>IF(RTD("tos.rtd",,CH$2,"."&amp;$A$43&amp;$AW$1&amp;"C"&amp;$A79)="N/A",0,RTD("tos.rtd",,CH$2,"."&amp;$A$43&amp;$AW$1&amp;"C"&amp;$A79))</f>
        <v>1</v>
      </c>
      <c r="CI79" s="83">
        <f>-IF(RTD("tos.rtd",,CI$2,"."&amp;$A$43&amp;$AW$1&amp;"P"&amp;$A79)="N/A",0,RTD("tos.rtd",,CI$2,"."&amp;$A$43&amp;$AW$1&amp;"P"&amp;$A79))</f>
        <v>0.19</v>
      </c>
      <c r="CK79" s="83">
        <f t="shared" si="285"/>
        <v>12500</v>
      </c>
      <c r="CL79" s="83"/>
      <c r="CM79" s="83">
        <f t="shared" si="286"/>
        <v>92896</v>
      </c>
      <c r="CN79" s="83"/>
      <c r="CO79" s="83">
        <f t="shared" si="287"/>
        <v>144302</v>
      </c>
      <c r="CP79" s="83">
        <f t="shared" si="234"/>
        <v>249698</v>
      </c>
      <c r="CQ79" s="83">
        <f t="shared" si="248"/>
        <v>-11179</v>
      </c>
      <c r="CR79" s="83"/>
      <c r="CS79" s="83">
        <f t="shared" si="249"/>
        <v>-3469</v>
      </c>
      <c r="CT79" s="83"/>
      <c r="CU79" s="83">
        <f t="shared" si="250"/>
        <v>-570</v>
      </c>
      <c r="CV79" s="83"/>
      <c r="CW79" s="83" t="e">
        <f t="shared" ca="1" si="251"/>
        <v>#NUM!</v>
      </c>
      <c r="CY79" s="83" t="e">
        <f t="shared" ca="1" si="252"/>
        <v>#NUM!</v>
      </c>
      <c r="CZ79" s="70" t="e">
        <f t="shared" ca="1" si="295"/>
        <v>#NUM!</v>
      </c>
      <c r="DA79" s="83">
        <f>IF(RTD("tos.rtd",,DA$43,"."&amp;$A$43&amp;$AS$42&amp;"C"&amp;$A79)="N/A",0,RTD("tos.rtd",,DA$43,"."&amp;$A$43&amp;$AS$42&amp;"C"&amp;$A79))</f>
        <v>10.48</v>
      </c>
      <c r="DB79" s="83">
        <f>IF(RTD("tos.rtd",,DB$43,"."&amp;$A$43&amp;$AS$42&amp;"P"&amp;$A79)="N/A",0,RTD("tos.rtd",,DB$43,"."&amp;$A$43&amp;$AS$42&amp;"P"&amp;$A79))</f>
        <v>0.01</v>
      </c>
      <c r="DC79" s="83">
        <f>IF(RTD("tos.rtd",,DC$43,"."&amp;$A$43&amp;$AS$42&amp;"C"&amp;$A79)="N/A",0,RTD("tos.rtd",,DC$43,"."&amp;$A$43&amp;$AS$42&amp;"C"&amp;$A79))</f>
        <v>17.559999999999999</v>
      </c>
      <c r="DD79" s="83">
        <f>IF(RTD("tos.rtd",,DD$43,"."&amp;$A$43&amp;$AS$42&amp;"P"&amp;$A79)="N/A",0,RTD("tos.rtd",,DD$43,"."&amp;$A$43&amp;$AS$42&amp;"P"&amp;$A79))</f>
        <v>0.01</v>
      </c>
      <c r="DE79" s="83">
        <f>IF(RTD("tos.rtd",,DE$43,"."&amp;$A$43&amp;$AS$42&amp;"C"&amp;$A79)="N/A",0,RTD("tos.rtd",,DE$43,"."&amp;$A$43&amp;$AS$42&amp;"C"&amp;$A79))</f>
        <v>14.01</v>
      </c>
      <c r="DF79" s="83">
        <f>IF(RTD("tos.rtd",,DF$43,"."&amp;$A$43&amp;$AS$42&amp;"P"&amp;$A79)="N/A",0,RTD("tos.rtd",,DF$43,"."&amp;$A$43&amp;$AS$42&amp;"P"&amp;$A79))</f>
        <v>0</v>
      </c>
      <c r="DG79" s="86">
        <f t="shared" si="288"/>
        <v>-18.850000000000023</v>
      </c>
      <c r="DH79" s="83">
        <f t="shared" si="253"/>
        <v>0</v>
      </c>
      <c r="DI79" s="83">
        <f t="shared" si="254"/>
        <v>0</v>
      </c>
      <c r="DJ79" s="83">
        <f t="shared" si="255"/>
        <v>0</v>
      </c>
      <c r="DK79" s="83">
        <f t="shared" si="256"/>
        <v>0</v>
      </c>
      <c r="DL79" s="83">
        <f t="shared" si="257"/>
        <v>0</v>
      </c>
      <c r="DM79" s="83">
        <f t="shared" si="258"/>
        <v>0</v>
      </c>
      <c r="DN79" s="64" t="str">
        <f t="shared" si="259"/>
        <v>UNKNOWN</v>
      </c>
      <c r="DO79" s="64" t="str">
        <f t="shared" si="260"/>
        <v>UNKNOWN</v>
      </c>
      <c r="DP79" s="83">
        <f t="shared" si="261"/>
        <v>0</v>
      </c>
      <c r="DQ79" s="83">
        <f t="shared" si="262"/>
        <v>0</v>
      </c>
      <c r="DR79" s="83" t="e">
        <f t="shared" ca="1" si="263"/>
        <v>#NUM!</v>
      </c>
      <c r="DS79" s="83">
        <f t="shared" si="264"/>
        <v>0</v>
      </c>
      <c r="DT79" s="83">
        <f t="shared" si="289"/>
        <v>0</v>
      </c>
      <c r="DU79" s="83">
        <f t="shared" si="290"/>
        <v>0</v>
      </c>
      <c r="DV79" s="83">
        <f t="shared" si="265"/>
        <v>71</v>
      </c>
      <c r="DW79" s="83">
        <f t="shared" si="266"/>
        <v>934</v>
      </c>
      <c r="DX79" s="83" t="e">
        <f t="shared" ca="1" si="404"/>
        <v>#NUM!</v>
      </c>
      <c r="DY79" s="83" t="e">
        <f t="shared" ca="1" si="405"/>
        <v>#NUM!</v>
      </c>
      <c r="DZ79" s="83">
        <f t="shared" ca="1" si="406"/>
        <v>5.8967782197209958E-3</v>
      </c>
      <c r="EA79" s="83">
        <f t="shared" ca="1" si="407"/>
        <v>-1.159333202620013E-2</v>
      </c>
      <c r="EB79" s="83">
        <f t="shared" ca="1" si="408"/>
        <v>0</v>
      </c>
      <c r="EC79" s="83">
        <f t="shared" ca="1" si="409"/>
        <v>-9.2390639826523003E-3</v>
      </c>
      <c r="ED79" s="63">
        <f t="shared" si="291"/>
        <v>1005</v>
      </c>
      <c r="EE79" s="84">
        <f t="shared" si="267"/>
        <v>0.25</v>
      </c>
      <c r="EF79" s="84">
        <f t="shared" si="268"/>
        <v>1.863</v>
      </c>
      <c r="EG79" s="84">
        <f t="shared" si="269"/>
        <v>0.25</v>
      </c>
      <c r="EH79" s="84">
        <f t="shared" si="270"/>
        <v>0.39179999999999998</v>
      </c>
      <c r="EI79" s="84">
        <f t="shared" si="271"/>
        <v>6.9999999999999999E-4</v>
      </c>
      <c r="EJ79" s="84">
        <f t="shared" si="272"/>
        <v>0.31009999999999999</v>
      </c>
      <c r="EL79" s="83" t="str">
        <f>RTD("tos.rtd",,EL$43,"."&amp;$A$43&amp;$AS$42&amp;"C"&amp;$A79)</f>
        <v>--</v>
      </c>
      <c r="EM79" s="83" t="str">
        <f>RTD("tos.rtd",,EM$43,"."&amp;$A$43&amp;$AS$42&amp;"P"&amp;$A79)</f>
        <v>186.30%</v>
      </c>
      <c r="EN79" s="83" t="str">
        <f>RTD("tos.rtd",,EN$2,"."&amp;$A$43&amp;$AU$1&amp;"C"&amp;$A79)</f>
        <v>--</v>
      </c>
      <c r="EO79" s="83" t="str">
        <f>RTD("tos.rtd",,EO$2,"."&amp;$A$43&amp;$AU$1&amp;"P"&amp;$A79)</f>
        <v>39.18%</v>
      </c>
      <c r="EP79" s="83" t="str">
        <f>RTD("tos.rtd",,EP$2,"."&amp;$A$43&amp;$AW$1&amp;"C"&amp;$A79)</f>
        <v>0.07%</v>
      </c>
      <c r="EQ79" s="83" t="str">
        <f>RTD("tos.rtd",,EQ$2,"."&amp;$A$43&amp;$AW$1&amp;"P"&amp;$A79)</f>
        <v>31.01%</v>
      </c>
      <c r="ES79" s="63" t="str">
        <f t="shared" si="273"/>
        <v>468,1005.00</v>
      </c>
      <c r="ET79" s="64" t="str">
        <f t="shared" ca="1" si="274"/>
        <v>468,00.00</v>
      </c>
      <c r="EU79" s="68">
        <v>561.73</v>
      </c>
      <c r="EV79" s="68" t="s">
        <v>652</v>
      </c>
      <c r="EW79" s="68">
        <v>484.2</v>
      </c>
      <c r="EX79" s="68" t="s">
        <v>653</v>
      </c>
      <c r="EY79" s="68">
        <v>5630.75</v>
      </c>
      <c r="EZ79" s="68" t="s">
        <v>654</v>
      </c>
      <c r="FA79" s="68">
        <v>19888.75</v>
      </c>
      <c r="FB79" s="68" t="s">
        <v>655</v>
      </c>
      <c r="FC79" s="68" t="s">
        <v>656</v>
      </c>
      <c r="FD79" s="68" t="s">
        <v>657</v>
      </c>
      <c r="FE79" s="68" t="s">
        <v>658</v>
      </c>
      <c r="FF79" s="68" t="s">
        <v>659</v>
      </c>
    </row>
    <row r="80" spans="1:162" x14ac:dyDescent="0.2">
      <c r="A80" s="49"/>
      <c r="AP80" s="1" t="s">
        <v>17</v>
      </c>
      <c r="AQ80" s="1" t="s">
        <v>18</v>
      </c>
      <c r="AS80" s="42" t="s">
        <v>17</v>
      </c>
      <c r="AT80" s="42" t="s">
        <v>18</v>
      </c>
      <c r="AU80" s="42" t="s">
        <v>17</v>
      </c>
      <c r="AV80" s="42" t="s">
        <v>18</v>
      </c>
      <c r="AW80" s="42" t="s">
        <v>17</v>
      </c>
      <c r="AX80" s="42" t="s">
        <v>18</v>
      </c>
      <c r="BA80" s="42" t="s">
        <v>17</v>
      </c>
      <c r="BB80" s="42" t="s">
        <v>18</v>
      </c>
      <c r="BC80" s="42" t="s">
        <v>17</v>
      </c>
      <c r="BD80" s="42" t="s">
        <v>18</v>
      </c>
      <c r="BE80" s="42" t="s">
        <v>17</v>
      </c>
      <c r="BF80" s="42" t="s">
        <v>18</v>
      </c>
      <c r="BG80" s="90"/>
      <c r="BH80" s="1">
        <f ca="1">MIN(BH45:BH79)</f>
        <v>-154404</v>
      </c>
      <c r="BI80" s="1">
        <f ca="1">IFERROR(IF(MIN(BH45:BH79)&lt;&gt;0,INDEX(A45:A79,MATCH(MIN(BH45:BH79),BH45:BH79,0)),""),"")</f>
        <v>475</v>
      </c>
      <c r="BJ80" s="42"/>
      <c r="BK80" s="42"/>
      <c r="BL80" s="42"/>
      <c r="BM80" s="42"/>
      <c r="BN80" s="42"/>
      <c r="BO80" s="42"/>
      <c r="BP80" s="64" t="e">
        <f ca="1">INDEX(BQ80:BU80,MATCH(MAX(BQ44:BU44),BQ44:BU44,0))</f>
        <v>#NUM!</v>
      </c>
      <c r="BQ80" s="42" t="e">
        <f ca="1">IF(AND(BQ44&gt;0,ABS(MAX(BQ45:BQ79))&gt;ABS(MIN(BQ45:BQ79))),IF(MAX(BQ45:BQ79)&lt;&gt;0,INDEX($A45:$A79,MATCH(MAX(BQ45:BQ79),BQ45:BQ79,0)),""),"")</f>
        <v>#NUM!</v>
      </c>
      <c r="BR80" s="42"/>
      <c r="BS80" s="42">
        <f ca="1">IF(AND(BS44&gt;0,ABS(MAX(BS45:BS79))&gt;ABS(MIN(BS45:BS79))),IF(MAX(BS45:BS79)&lt;&gt;0,INDEX($A45:$A79,MATCH(MAX(BS45:BS79),BS45:BS79,0)),""),"")</f>
        <v>485</v>
      </c>
      <c r="BT80" s="42"/>
      <c r="BU80" s="42">
        <f ca="1">IF(AND(BU44&gt;0,ABS(MAX(BU45:BU79))&gt;ABS(MIN(BU45:BU79))),IF(MAX(BU45:BU79)&lt;&gt;0,INDEX($A45:$A79,MATCH(MAX(BU45:BU79),BU45:BU79,0)),""),"")</f>
        <v>490</v>
      </c>
      <c r="BV80" s="42"/>
      <c r="BW80" s="64" t="e">
        <f ca="1">INDEX(BX80:CB80,MATCH(MAX(BX44:CB44),BX44:CB44,0))</f>
        <v>#NUM!</v>
      </c>
      <c r="BX80" s="42" t="e">
        <f ca="1">IF(AND(BX44&gt;0,ABS(MAX(BX45:BX79))&gt;ABS(MIN(BX45:BX79))),IF(MAX(BX45:BX79)&lt;&gt;0,INDEX($A45:$A79,MATCH(MAX(BX45:BX79),BX45:BX79,0)),""),"")</f>
        <v>#NUM!</v>
      </c>
      <c r="BY80" s="42" t="e">
        <f ca="1">INDEX($A$45:$A$79,MATCH("Cruce -",BY45:BY79,)+1)</f>
        <v>#N/A</v>
      </c>
      <c r="BZ80" s="42">
        <f ca="1">IF(AND(BZ44&gt;0,ABS(MAX(BZ45:BZ79))&gt;ABS(MIN(BZ45:BZ79))),IF(MAX(BZ45:BZ79)&lt;&gt;0,INDEX($A45:$A79,MATCH(MAX(BZ45:BZ79),BZ45:BZ79,0)),""),"")</f>
        <v>485</v>
      </c>
      <c r="CA80" s="42"/>
      <c r="CB80" s="42">
        <f ca="1">IF(AND(CB44&gt;0,ABS(MAX(CB45:CB79))&gt;ABS(MIN(CB45:CB79))),IF(MAX(CB45:CB79)&lt;&gt;0,INDEX($A45:$A79,MATCH(MAX(CB45:CB79),CB45:CB79,0)),""),"")</f>
        <v>490</v>
      </c>
      <c r="CC80" s="42"/>
      <c r="CD80" s="42"/>
      <c r="CE80" s="42"/>
      <c r="CF80" s="42"/>
      <c r="CG80" s="42"/>
      <c r="CH80" s="42"/>
      <c r="CI80" s="42"/>
      <c r="CJ80" s="64">
        <f>INDEX(CK80:CO80,MATCH(MAX(CK44:CO44),CK44:CO44,0))</f>
        <v>470</v>
      </c>
      <c r="CK80" s="42">
        <f>IF(AND(CK44&gt;0,ABS(MAX(CK45:CK79))&gt;ABS(MIN(CK45:CK79))),IF(MAX(CK45:CK79)&lt;&gt;0,INDEX($A45:$A79,MATCH(MAX(CK45:CK79),CK45:CK79,0)),""),"")</f>
        <v>485</v>
      </c>
      <c r="CL80" s="42"/>
      <c r="CM80" s="42">
        <f>IF(AND(CM44&gt;0,ABS(MAX(CM45:CM79))&gt;ABS(MIN(CM45:CM79))),IF(MAX(CM45:CM79)&lt;&gt;0,INDEX($A45:$A79,MATCH(MAX(CM45:CM79),CM45:CM79,0)),""),"")</f>
        <v>485</v>
      </c>
      <c r="CN80" s="42"/>
      <c r="CO80" s="42">
        <f>IF(AND(CO44&gt;0,ABS(MAX(CO45:CO79))&gt;ABS(MIN(CO45:CO79))),IF(MAX(CO45:CO79)&lt;&gt;0,INDEX($A45:$A79,MATCH(MAX(CO45:CO79),CO45:CO79,0)),""),"")</f>
        <v>470</v>
      </c>
      <c r="CP80" s="42">
        <f>IF(ABS(MAX(CP45:CP79))&gt;ABS(MIN(CP45:CP79)),IF(MAX(CP45:CP79)&lt;&gt;0,INDEX($A45:$A79,MATCH(MAX(CP45:CP79),CP45:CP79,0)),""),"")</f>
        <v>470</v>
      </c>
      <c r="CQ80" s="42"/>
      <c r="CR80" s="42"/>
      <c r="CS80" s="42"/>
      <c r="CT80" s="42"/>
      <c r="CU80" s="42"/>
      <c r="CV80" s="42"/>
      <c r="CW80" s="42" t="e">
        <f ca="1">IF(ABS(MAX(CW45:CW79))&gt;ABS(MIN(CW45:CW79)),IF(MAX(CW45:CW79)&lt;&gt;0,INDEX($A45:$A79,MATCH(MAX(CW45:CW79),CW45:CW79,0)),""),"")</f>
        <v>#NUM!</v>
      </c>
      <c r="CY80" s="42" t="e">
        <f ca="1">IF(ABS(MAX(CY45:CY79))&gt;ABS(MIN(CY45:CY79)),IF(MAX(CY45:CY79)&lt;&gt;0,INDEX($A45:$A79,MATCH(MAX(CY45:CY79),CY45:CY79,0)),""),"")</f>
        <v>#NUM!</v>
      </c>
      <c r="DA80" s="42" t="s">
        <v>17</v>
      </c>
      <c r="DB80" s="42" t="s">
        <v>18</v>
      </c>
      <c r="DC80" s="42" t="s">
        <v>17</v>
      </c>
      <c r="DD80" s="42" t="s">
        <v>18</v>
      </c>
      <c r="DE80" s="42" t="s">
        <v>17</v>
      </c>
      <c r="DF80" s="42" t="s">
        <v>18</v>
      </c>
      <c r="DH80" s="42" t="str">
        <f t="shared" ref="DH80:DM80" si="411">IF(AND(DH44&gt;0,ABS(MAX(DH45:DH79))&gt;ABS(MIN(DH45:DH79))),IF(MAX(DH45:DH79)&lt;&gt;0,INDEX($A45:$A79,MATCH(MAX(DH45:DH79),DH45:DH79,0)),""),"")</f>
        <v/>
      </c>
      <c r="DI80" s="42" t="str">
        <f t="shared" si="411"/>
        <v/>
      </c>
      <c r="DJ80" s="89" t="str">
        <f>IFERROR(IF(AND(ABS(MAX(DJ45:DJ79))&gt;$DG$44,ABS(INDEX($DG$45:$DG$79,MATCH(MAX(DJ45:DJ79),DJ45:DJ79,0)))&lt;0.5,1),IF(MAX(DJ45:DJ79)&lt;&gt;0,INDEX($A45:$A79,MATCH(MAX(DJ45:DJ79),DJ45:DJ79,0)),""),""),"")</f>
        <v/>
      </c>
      <c r="DK80" s="89" t="str">
        <f>IFERROR(IF(AND(ABS(MAX(DK45:DK79))&gt;$DG$44,ABS(INDEX($DG$45:$DG$79,MATCH(MAX(DK45:DK79),DK45:DK79,0)))&lt;0.5,1),IF(MAX(DK45:DK79)&lt;&gt;0,INDEX($A45:$A79,MATCH(MAX(DK45:DK79),DK45:DK79,0)),""),""),"")</f>
        <v/>
      </c>
      <c r="DL80" s="42" t="str">
        <f t="shared" si="411"/>
        <v/>
      </c>
      <c r="DM80" s="42" t="str">
        <f t="shared" si="411"/>
        <v/>
      </c>
      <c r="DN80" s="64" t="str">
        <f>DJ80&amp;","&amp;DJ81&amp;","&amp;DK80&amp;","&amp;DK81</f>
        <v>,,,</v>
      </c>
      <c r="DP80" s="42" t="str">
        <f>IF(AND(DP44&gt;0,ABS(MAX(DP45:DP79))&gt;ABS(MIN(DP45:DP79))),IF(MAX(DP45:DP79)&lt;&gt;0,INDEX($A45:$A79,MATCH(MAX(DP45:DP79),DP45:DP79,0)),""),"")</f>
        <v/>
      </c>
      <c r="DQ80" s="42" t="str">
        <f>IF(AND(DQ44&gt;0,ABS(MAX(DQ45:DQ79))&gt;ABS(MIN(DQ45:DQ79))),IF(MAX(DQ45:DQ79)&lt;&gt;0,INDEX($A45:$A79,MATCH(MAX(DQ45:DQ79),DQ45:DQ79,0)),""),"")</f>
        <v/>
      </c>
      <c r="DR80" s="42" t="e">
        <f ca="1">IF(AND(DR44&gt;0,ABS(MAX(DR45:DR79))&gt;ABS(MIN(DR45:DR79))),IF(MAX(DR45:DR79)&lt;&gt;0,INDEX($A45:$A79,MATCH(MAX(DR45:DR79),DR45:DR79,0)),""),"")</f>
        <v>#NUM!</v>
      </c>
      <c r="DS80" s="42"/>
      <c r="DT80" s="42"/>
      <c r="DU80" s="42"/>
      <c r="DV80" s="42"/>
      <c r="DW80" s="42"/>
      <c r="DX80" s="42"/>
      <c r="DY80" s="42"/>
      <c r="DZ80" s="42"/>
      <c r="EA80" s="42"/>
      <c r="EB80" s="42"/>
      <c r="EC80" s="42"/>
      <c r="ED80" s="103">
        <f>IFERROR(IF(MAX(ED45:ED79)&lt;&gt;0,INDEX($A45:$A79,MATCH(MAX(ED45:ED79),ED45:ED79,0)),""),"")</f>
        <v>482</v>
      </c>
      <c r="EE80" s="42"/>
      <c r="EF80" s="42"/>
      <c r="EG80" s="42"/>
      <c r="EH80" s="42"/>
      <c r="EI80" s="42"/>
      <c r="EJ80" s="42"/>
      <c r="EL80" s="42"/>
      <c r="EM80" s="42"/>
      <c r="EN80" s="42"/>
      <c r="EO80" s="42"/>
      <c r="EP80" s="42"/>
      <c r="EQ80" s="42"/>
      <c r="EU80" s="68">
        <v>561.83000000000004</v>
      </c>
      <c r="EV80" s="68" t="s">
        <v>660</v>
      </c>
      <c r="EW80" s="68">
        <v>484.28</v>
      </c>
      <c r="EX80" s="68" t="s">
        <v>661</v>
      </c>
      <c r="EY80" s="68">
        <v>5631.75</v>
      </c>
      <c r="EZ80" s="68" t="s">
        <v>662</v>
      </c>
      <c r="FA80" s="68">
        <v>19893</v>
      </c>
      <c r="FB80" s="68" t="s">
        <v>663</v>
      </c>
      <c r="FC80" s="68" t="s">
        <v>664</v>
      </c>
      <c r="FD80" s="68" t="s">
        <v>665</v>
      </c>
      <c r="FE80" s="68" t="s">
        <v>666</v>
      </c>
      <c r="FF80" s="68" t="s">
        <v>667</v>
      </c>
    </row>
    <row r="81" spans="1:162" ht="13.5" thickBot="1" x14ac:dyDescent="0.25">
      <c r="A81" s="49">
        <v>10</v>
      </c>
      <c r="D81" s="50">
        <f>+F84-24</f>
        <v>5656</v>
      </c>
      <c r="E81" s="82">
        <v>5650</v>
      </c>
      <c r="BP81" s="64" t="e">
        <f ca="1">INDEX(BQ81:BU81,MATCH(MIN(BQ44:BU44),BQ44:BU44,0))</f>
        <v>#NUM!</v>
      </c>
      <c r="BQ81" s="1" t="e">
        <f ca="1">IF(AND(BQ44&lt;0,ABS(MIN(BQ45:BQ79))&gt;ABS(MAX(BQ45:BQ79))),IF(MIN(BQ45:BQ79)&lt;&gt;0,INDEX($A45:$A79,MATCH(MIN(BQ45:BQ79),BQ45:BQ79,0)),""),"")</f>
        <v>#NUM!</v>
      </c>
      <c r="BS81" s="1" t="str">
        <f ca="1">IF(AND(BS44&lt;0,ABS(MIN(BS45:BS79))&gt;ABS(MAX(BS45:BS79))),IF(MIN(BS45:BS79)&lt;&gt;0,INDEX($A45:$A79,MATCH(MIN(BS45:BS79),BS45:BS79,0)),""),"")</f>
        <v/>
      </c>
      <c r="BU81" s="1" t="str">
        <f ca="1">IF(AND(BU44&lt;0,ABS(MIN(BU45:BU79))&gt;ABS(MAX(BU45:BU79))),IF(MIN(BU45:BU79)&lt;&gt;0,INDEX($A45:$A79,MATCH(MIN(BU45:BU79),BU45:BU79,0)),""),"")</f>
        <v/>
      </c>
      <c r="BW81" s="64" t="e">
        <f ca="1">INDEX(BX81:CB81,MATCH(MIN(BX44:CB44),BX44:CB44,0))</f>
        <v>#NUM!</v>
      </c>
      <c r="BX81" s="1" t="e">
        <f ca="1">IF(AND(BX44&lt;0,ABS(MIN(BX45:BX79))&gt;ABS(MAX(BX45:BX79))),IF(MIN(BX45:BX79)&lt;&gt;0,INDEX($A45:$A79,MATCH(MIN(BX45:BX79),BX45:BX79,0)),""),"")</f>
        <v>#NUM!</v>
      </c>
      <c r="BY81" s="1" t="e">
        <f ca="1">INDEX($A$45:$A$79,MATCH("Cruce -",BY45:BY79,)-1)</f>
        <v>#N/A</v>
      </c>
      <c r="BZ81" s="1" t="str">
        <f ca="1">IF(AND(BZ44&lt;0,ABS(MIN(BZ45:BZ79))&gt;ABS(MAX(BZ45:BZ79))),IF(MIN(BZ45:BZ79)&lt;&gt;0,INDEX($A45:$A79,MATCH(MIN(BZ45:BZ79),BZ45:BZ79,0)),""),"")</f>
        <v/>
      </c>
      <c r="CB81" s="1" t="str">
        <f ca="1">IF(AND(CB44&lt;0,ABS(MIN(CB45:CB79))&gt;ABS(MAX(CB45:CB79))),IF(MIN(CB45:CB79)&lt;&gt;0,INDEX($A45:$A79,MATCH(MIN(CB45:CB79),CB45:CB79,0)),""),"")</f>
        <v/>
      </c>
      <c r="CJ81" s="64" t="str">
        <f>INDEX(CK81:CO81,MATCH(MIN(CK44:CO44),CK44:CO44,0))</f>
        <v/>
      </c>
      <c r="CK81" s="1" t="str">
        <f>IF(AND(CK44&lt;0,ABS(MIN(CK45:CK79))&gt;ABS(MAX(CK45:CK79))),IF(MIN(CK45:CK79)&lt;&gt;0,INDEX($A45:$A79,MATCH(MIN(CK45:CK79),CK45:CK79,0)),""),"")</f>
        <v/>
      </c>
      <c r="CM81" s="1" t="str">
        <f>IF(AND(CM44&lt;0,ABS(MIN(CM45:CM79))&gt;ABS(MAX(CM45:CM79))),IF(MIN(CM45:CM79)&lt;&gt;0,INDEX($A45:$A79,MATCH(MIN(CM45:CM79),CM45:CM79,0)),""),"")</f>
        <v/>
      </c>
      <c r="CO81" s="1" t="str">
        <f>IF(AND(CO44&lt;0,ABS(MIN(CO45:CO79))&gt;ABS(MAX(CO45:CO79))),IF(MIN(CO45:CO79)&lt;&gt;0,INDEX($A45:$A79,MATCH(MIN(CO45:CO79),CO45:CO79,0)),""),"")</f>
        <v/>
      </c>
      <c r="CP81" s="1" t="str">
        <f>IF(ABS(MIN(CP45:CP79))&gt;ABS(MAX(CP45:CP79)),IF(MIN(CP45:CP79)&lt;&gt;0,INDEX($A45:$A79,MATCH(MIN(CP45:CP79),CP45:CP79,0)),""),"")</f>
        <v/>
      </c>
      <c r="CW81" s="1" t="e">
        <f ca="1">IF(ABS(MIN(CW45:CW79))&gt;ABS(MAX(CW45:CW79)),IF(MIN(CW45:CW79)&lt;&gt;0,INDEX($A45:$A79,MATCH(MIN(CW45:CW79),CW45:CW79,0)),""),"")</f>
        <v>#NUM!</v>
      </c>
      <c r="CY81" s="1" t="e">
        <f ca="1">IF(ABS(MIN(CY45:CY79))&gt;ABS(MAX(CY45:CY79)),IF(MIN(CY45:CY79)&lt;&gt;0,INDEX($A45:$A79,MATCH(MIN(CY45:CY79),CY45:CY79,0)),""),"")</f>
        <v>#NUM!</v>
      </c>
      <c r="DH81" s="1">
        <f t="shared" ref="DH81:DM81" si="412">IF(AND(DH44&lt;0,ABS(MIN(DH45:DH79))&gt;ABS(MAX(DH45:DH79))),IF(MIN(DH45:DH79)&lt;&gt;0,INDEX($A45:$A79,MATCH(MIN(DH45:DH79),DH45:DH79,0)),""),"")</f>
        <v>484</v>
      </c>
      <c r="DI81" s="1">
        <f t="shared" si="412"/>
        <v>481</v>
      </c>
      <c r="DJ81" s="89" t="str">
        <f>IFERROR(IF(AND(ABS(MIN(DJ45:DJ79))&gt;$DG$44,ABS(INDEX($DG$45:$DG$79,MATCH(MIN(DJ45:DJ79),DJ45:DJ79,0)))&lt;0.5,1),IF(MIN(DJ45:DJ79)&lt;&gt;0,INDEX($A45:$A79,MATCH(MIN(DJ45:DJ79),DJ45:DJ79,0)),""),""),"")</f>
        <v/>
      </c>
      <c r="DK81" s="89" t="str">
        <f>IFERROR(IF(AND(ABS(MIN(DK45:DK79))&gt;$DG$44,ABS(INDEX($DG$45:$DG$79,MATCH(MIN(DK45:DK79),DK45:DK79,0)))&lt;0.5,1),IF(MIN(DK45:DK79)&lt;&gt;0,INDEX($A45:$A79,MATCH(MIN(DK45:DK79),DK45:DK79,0)),""),""),"")</f>
        <v/>
      </c>
      <c r="DL81" s="1">
        <f t="shared" si="412"/>
        <v>481</v>
      </c>
      <c r="DM81" s="1">
        <f t="shared" si="412"/>
        <v>485</v>
      </c>
      <c r="DN81" s="64" t="str">
        <f ca="1">BI42&amp;","&amp;BI80&amp;","&amp;ED80&amp;","&amp;ED81</f>
        <v>485,475,482,475</v>
      </c>
      <c r="DP81" s="1" t="str">
        <f>IF(AND(DP44&lt;0,ABS(MIN(DP45:DP79))&gt;ABS(MAX(DP45:DP79))),IF(MIN(DP45:DP79)&lt;&gt;0,INDEX($A45:$A79,MATCH(MIN(DP45:DP79),DP45:DP79,0)),""),"")</f>
        <v/>
      </c>
      <c r="DQ81" s="1">
        <f>IF(AND(DQ44&lt;0,ABS(MIN(DQ45:DQ79))&gt;ABS(MAX(DQ45:DQ79))),IF(MIN(DQ45:DQ79)&lt;&gt;0,INDEX($A45:$A79,MATCH(MIN(DQ45:DQ79),DQ45:DQ79,0)),""),"")</f>
        <v>484</v>
      </c>
      <c r="DR81" s="1" t="e">
        <f ca="1">IF(AND(DR44&lt;0,ABS(MIN(DR45:DR79))&gt;ABS(MAX(DR45:DR79))),IF(MIN(DR45:DR79)&lt;&gt;0,INDEX($A45:$A79,MATCH(MIN(DR45:DR79),DR45:DR79,0)),""),"")</f>
        <v>#NUM!</v>
      </c>
      <c r="ED81" s="103">
        <f>IFERROR(IF(MIN(ED45:ED79)&lt;&gt;0,INDEX($A45:$A79,MATCH(MIN(ED45:ED79),ED45:ED79,0)),""),)</f>
        <v>475</v>
      </c>
      <c r="EU81" s="67">
        <v>561.69000000000005</v>
      </c>
      <c r="EV81" s="67" t="s">
        <v>668</v>
      </c>
      <c r="EW81" s="67">
        <v>484.14</v>
      </c>
      <c r="EX81" s="67" t="s">
        <v>669</v>
      </c>
      <c r="EY81" s="67">
        <v>5630.5</v>
      </c>
      <c r="EZ81" s="67" t="s">
        <v>670</v>
      </c>
      <c r="FA81" s="67">
        <v>19887.75</v>
      </c>
      <c r="FB81" s="67" t="s">
        <v>671</v>
      </c>
      <c r="FC81" s="67" t="s">
        <v>672</v>
      </c>
      <c r="FD81" s="67" t="s">
        <v>673</v>
      </c>
      <c r="FE81" s="68" t="s">
        <v>674</v>
      </c>
      <c r="FF81" s="68" t="s">
        <v>675</v>
      </c>
    </row>
    <row r="82" spans="1:162" ht="13.5" thickBot="1" x14ac:dyDescent="0.25">
      <c r="A82" s="20" t="s">
        <v>9</v>
      </c>
      <c r="B82" s="45" t="s">
        <v>10</v>
      </c>
      <c r="C82" s="45" t="s">
        <v>10</v>
      </c>
      <c r="D82" s="45" t="s">
        <v>10</v>
      </c>
      <c r="E82" s="20">
        <f>RTD("tos.rtd", ,"MARK", A83)</f>
        <v>5631.28</v>
      </c>
      <c r="F82" s="20">
        <f>+[3]Sheet1!$AD$2</f>
        <v>5826.8235213891576</v>
      </c>
      <c r="AS82" s="22" t="str">
        <f>+B83</f>
        <v>250507</v>
      </c>
      <c r="AT82" s="22"/>
      <c r="AU82" s="22" t="str">
        <f>+C83</f>
        <v>250509</v>
      </c>
      <c r="AV82" s="22"/>
      <c r="AW82" s="22" t="str">
        <f>+D83</f>
        <v>250516</v>
      </c>
      <c r="AX82" s="22"/>
      <c r="BA82" s="22"/>
      <c r="BB82" s="22"/>
      <c r="BC82" s="22"/>
      <c r="BD82" s="22"/>
      <c r="BE82" s="22"/>
      <c r="BF82" s="22"/>
      <c r="BG82" s="96"/>
      <c r="BH82" s="1">
        <f ca="1">MAX(BH85:BH130)</f>
        <v>46</v>
      </c>
      <c r="BI82" s="1">
        <f ca="1">IFERROR(IF(MAX(BH85:BH130)&lt;&gt;0,INDEX(A85:A130,MATCH(MAX(BH85:BH130),BH85:BH130,0)),""),"")</f>
        <v>5700</v>
      </c>
      <c r="BJ82" s="22"/>
      <c r="BK82" s="22"/>
      <c r="BL82" s="22"/>
      <c r="BM82" s="22"/>
      <c r="BN82" s="22"/>
      <c r="BO82" s="22"/>
      <c r="BQ82" s="22" t="e">
        <f ca="1">IF(BR82&gt;BS82,IF(MAX(BQ85:BQ130)&lt;&gt;0,INDEX(A85:A130,MATCH(MAX(BQ85:BQ130),BQ85:BQ130,0)),A84),IF(MIN(BQ85:BQ130)&lt;&gt;0,INDEX(A85:A130,MATCH(MIN(BQ85:BQ130),BQ85:BQ130,0))))</f>
        <v>#NUM!</v>
      </c>
      <c r="BR82" s="22" t="e">
        <f ca="1">+MAX(BQ85:BQ130)</f>
        <v>#NUM!</v>
      </c>
      <c r="BS82" s="22" t="e">
        <f ca="1">ABS(MIN(BQ85:BQ130))</f>
        <v>#NUM!</v>
      </c>
      <c r="BT82" s="22"/>
      <c r="BU82" s="22"/>
      <c r="BV82" s="22"/>
      <c r="BX82" s="22" t="e">
        <f ca="1">IF(BY82&gt;BZ82,IF(MAX(BX85:BX130)&lt;&gt;0,INDEX(G85:G130,MATCH(MAX(BX85:BX130),BX85:BX130,0)),G84),IF(MIN(BX85:BX130)&lt;&gt;0,INDEX(G85:G130,MATCH(MIN(BX85:BX130),BX85:BX130,0))))</f>
        <v>#NUM!</v>
      </c>
      <c r="BY82" s="22" t="e">
        <f ca="1">+MAX(BX85:BX130)</f>
        <v>#NUM!</v>
      </c>
      <c r="BZ82" s="22" t="e">
        <f ca="1">ABS(MIN(BX85:BX130))</f>
        <v>#NUM!</v>
      </c>
      <c r="CA82" s="22"/>
      <c r="CB82" s="22"/>
      <c r="CC82" s="22" t="e">
        <f ca="1">+AVERAGE(BY131:BY132,CA131:CA132,CC131:CC132)</f>
        <v>#N/A</v>
      </c>
      <c r="CD82" s="22"/>
      <c r="CE82" s="22"/>
      <c r="CF82" s="22"/>
      <c r="CG82" s="22"/>
      <c r="CH82" s="22"/>
      <c r="CI82" s="22"/>
      <c r="CK82" s="22">
        <f>IF(CL82&gt;CM82,IF(MAX(CK85:CK130)&lt;&gt;0,INDEX(N85:N130,MATCH(MAX(CK85:CK130),CK85:CK130,0)),N84),IF(MIN(CK85:CK130)&lt;&gt;0,INDEX(N85:N130,MATCH(MIN(CK85:CK130),CK85:CK130,0))))</f>
        <v>0</v>
      </c>
      <c r="CL82" s="22">
        <f>+MAX(CK85:CK130)</f>
        <v>152041</v>
      </c>
      <c r="CM82" s="22">
        <f>ABS(MIN(CK85:CK130))</f>
        <v>156482</v>
      </c>
      <c r="CN82" s="22"/>
      <c r="CO82" s="22"/>
      <c r="CP82" s="22"/>
      <c r="CQ82" s="22" t="b">
        <f>IF(CR82&gt;CS82,IF(MAX(CQ85:CQ130)&lt;&gt;0,INDEX(G85:G130,MATCH(MAX(CQ85:CQ130),CQ85:CQ130,0)),G84),IF(MIN(CQ85:CQ130)&lt;&gt;0,INDEX(G85:G130,MATCH(MIN(CQ85:CQ130),CQ85:CQ130,0))))</f>
        <v>0</v>
      </c>
      <c r="CR82" s="22">
        <f>+MAX(CQ85:CQ130)</f>
        <v>0</v>
      </c>
      <c r="CS82" s="22">
        <f>ABS(MIN(CQ85:CQ130))</f>
        <v>0</v>
      </c>
      <c r="CT82" s="22"/>
      <c r="CU82" s="22"/>
      <c r="CV82" s="22"/>
      <c r="CW82" s="22" t="e">
        <f ca="1">IF(CX82&gt;CY82,IF(MAX(CW85:CW130)&lt;&gt;0,INDEX(M85:M130,MATCH(MAX(CW85:CW130),CW85:CW130,0)),M84),IF(MIN(CW85:CW130)&lt;&gt;0,INDEX(M85:M130,MATCH(MIN(CW85:CW130),CW85:CW130,0))))</f>
        <v>#NUM!</v>
      </c>
      <c r="CX82" s="61" t="e">
        <f ca="1">+MAX(CW85:CW130)</f>
        <v>#NUM!</v>
      </c>
      <c r="CY82" s="22" t="e">
        <f ca="1">ABS(MIN(CW85:CW130))</f>
        <v>#NUM!</v>
      </c>
      <c r="DA82" s="22"/>
      <c r="DB82" s="22"/>
      <c r="DC82" s="22"/>
      <c r="DD82" s="22"/>
      <c r="DE82" s="22"/>
      <c r="DF82" s="22"/>
      <c r="DH82" s="22"/>
      <c r="DI82" s="22"/>
      <c r="DJ82" s="22"/>
      <c r="DK82" s="22"/>
      <c r="DL82" s="22"/>
      <c r="DM82" s="22"/>
      <c r="DP82" s="22"/>
      <c r="DQ82" s="22"/>
      <c r="DR82" s="22"/>
      <c r="DS82" s="22"/>
      <c r="DT82" s="22"/>
      <c r="DU82" s="22"/>
      <c r="DV82" s="22"/>
      <c r="DW82" s="22"/>
      <c r="DX82" s="22"/>
      <c r="DY82" s="22"/>
      <c r="DZ82" s="22"/>
      <c r="EA82" s="22"/>
      <c r="EB82" s="22"/>
      <c r="EC82" s="22"/>
      <c r="EE82" s="22"/>
      <c r="EF82" s="22"/>
      <c r="EG82" s="22"/>
      <c r="EH82" s="22"/>
      <c r="EI82" s="22"/>
      <c r="EJ82" s="22"/>
      <c r="EL82" s="22"/>
      <c r="EM82" s="22"/>
      <c r="EN82" s="22"/>
      <c r="EO82" s="22"/>
      <c r="EP82" s="22"/>
      <c r="EQ82" s="22"/>
      <c r="EU82" s="67">
        <v>561.66</v>
      </c>
      <c r="EV82" s="67" t="s">
        <v>676</v>
      </c>
      <c r="EW82" s="67">
        <v>484.09</v>
      </c>
      <c r="EX82" s="67" t="s">
        <v>677</v>
      </c>
      <c r="EY82" s="67">
        <v>5630.25</v>
      </c>
      <c r="EZ82" s="67" t="s">
        <v>678</v>
      </c>
      <c r="FA82" s="67">
        <v>19885.25</v>
      </c>
      <c r="FB82" s="67" t="s">
        <v>679</v>
      </c>
      <c r="FC82" s="67" t="s">
        <v>680</v>
      </c>
      <c r="FD82" s="67" t="s">
        <v>681</v>
      </c>
      <c r="FE82" s="68" t="s">
        <v>682</v>
      </c>
      <c r="FF82" s="68" t="s">
        <v>683</v>
      </c>
    </row>
    <row r="83" spans="1:162" s="63" customFormat="1" ht="13.5" thickBot="1" x14ac:dyDescent="0.25">
      <c r="A83" s="45" t="s">
        <v>9</v>
      </c>
      <c r="B83" s="45" t="str">
        <f>+B2</f>
        <v>250507</v>
      </c>
      <c r="C83" s="45" t="str">
        <f>+C2</f>
        <v>250509</v>
      </c>
      <c r="D83" s="45" t="str">
        <f>+D2</f>
        <v>250516</v>
      </c>
      <c r="E83" s="45"/>
      <c r="F83" s="18" t="s">
        <v>0</v>
      </c>
      <c r="G83" s="18" t="s">
        <v>13</v>
      </c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20"/>
      <c r="AM83" s="20"/>
      <c r="AN83" s="20"/>
      <c r="AO83" s="20"/>
      <c r="AP83" s="20" t="s">
        <v>7</v>
      </c>
      <c r="AQ83" s="20" t="s">
        <v>7</v>
      </c>
      <c r="AR83" s="20"/>
      <c r="AS83" s="18" t="s">
        <v>1</v>
      </c>
      <c r="AT83" s="18" t="s">
        <v>1</v>
      </c>
      <c r="AU83" s="18" t="s">
        <v>1</v>
      </c>
      <c r="AV83" s="18" t="s">
        <v>1</v>
      </c>
      <c r="AW83" s="18" t="s">
        <v>1</v>
      </c>
      <c r="AX83" s="51" t="s">
        <v>1</v>
      </c>
      <c r="AY83" s="20"/>
      <c r="AZ83" s="20"/>
      <c r="BA83" s="18" t="s">
        <v>7</v>
      </c>
      <c r="BB83" s="18" t="s">
        <v>7</v>
      </c>
      <c r="BC83" s="18" t="s">
        <v>7</v>
      </c>
      <c r="BD83" s="18" t="s">
        <v>7</v>
      </c>
      <c r="BE83" s="18" t="s">
        <v>7</v>
      </c>
      <c r="BF83" s="51" t="s">
        <v>7</v>
      </c>
      <c r="BG83" s="97"/>
      <c r="BH83" s="20" t="s">
        <v>15</v>
      </c>
      <c r="BI83" s="20"/>
      <c r="BJ83" s="18" t="str">
        <f>+BJ43</f>
        <v>GAMMA</v>
      </c>
      <c r="BK83" s="18" t="str">
        <f>+BJ83</f>
        <v>GAMMA</v>
      </c>
      <c r="BL83" s="18" t="str">
        <f>+BK83</f>
        <v>GAMMA</v>
      </c>
      <c r="BM83" s="18" t="str">
        <f>+BL83</f>
        <v>GAMMA</v>
      </c>
      <c r="BN83" s="18" t="str">
        <f>+BM83</f>
        <v>GAMMA</v>
      </c>
      <c r="BO83" s="51" t="str">
        <f>+BN83</f>
        <v>GAMMA</v>
      </c>
      <c r="BQ83" s="18" t="s">
        <v>11</v>
      </c>
      <c r="BR83" s="18"/>
      <c r="BS83" s="18" t="s">
        <v>11</v>
      </c>
      <c r="BT83" s="18"/>
      <c r="BU83" s="18" t="s">
        <v>11</v>
      </c>
      <c r="BV83" s="51"/>
      <c r="BX83" s="18" t="s">
        <v>11</v>
      </c>
      <c r="BY83" s="18"/>
      <c r="BZ83" s="18" t="s">
        <v>11</v>
      </c>
      <c r="CA83" s="18"/>
      <c r="CB83" s="18" t="s">
        <v>11</v>
      </c>
      <c r="CC83" s="51"/>
      <c r="CD83" s="18" t="str">
        <f>+CD43</f>
        <v>DELTA</v>
      </c>
      <c r="CE83" s="18" t="str">
        <f>+CD83</f>
        <v>DELTA</v>
      </c>
      <c r="CF83" s="18" t="str">
        <f>+CE83</f>
        <v>DELTA</v>
      </c>
      <c r="CG83" s="18" t="str">
        <f>+CF83</f>
        <v>DELTA</v>
      </c>
      <c r="CH83" s="18" t="str">
        <f>+CG83</f>
        <v>DELTA</v>
      </c>
      <c r="CI83" s="51" t="str">
        <f>+CH83</f>
        <v>DELTA</v>
      </c>
      <c r="CK83" s="18" t="s">
        <v>20</v>
      </c>
      <c r="CL83" s="18"/>
      <c r="CM83" s="18" t="s">
        <v>20</v>
      </c>
      <c r="CN83" s="18"/>
      <c r="CO83" s="18" t="s">
        <v>20</v>
      </c>
      <c r="CP83" s="51"/>
      <c r="CQ83" s="18" t="s">
        <v>16</v>
      </c>
      <c r="CR83" s="18"/>
      <c r="CS83" s="18" t="s">
        <v>16</v>
      </c>
      <c r="CT83" s="18"/>
      <c r="CU83" s="18" t="s">
        <v>16</v>
      </c>
      <c r="CV83" s="51"/>
      <c r="CW83" s="51" t="s">
        <v>11</v>
      </c>
      <c r="CY83" s="51" t="s">
        <v>11</v>
      </c>
      <c r="DA83" s="18" t="s">
        <v>25</v>
      </c>
      <c r="DB83" s="18" t="s">
        <v>25</v>
      </c>
      <c r="DC83" s="18" t="s">
        <v>27</v>
      </c>
      <c r="DD83" s="18" t="s">
        <v>27</v>
      </c>
      <c r="DE83" s="18" t="s">
        <v>26</v>
      </c>
      <c r="DF83" s="18" t="s">
        <v>26</v>
      </c>
      <c r="DG83" s="63">
        <v>400</v>
      </c>
      <c r="DH83" s="18"/>
      <c r="DI83" s="18"/>
      <c r="DJ83" s="18"/>
      <c r="DK83" s="18"/>
      <c r="DL83" s="18"/>
      <c r="DM83" s="18"/>
      <c r="DP83" s="18"/>
      <c r="DQ83" s="18"/>
      <c r="DR83" s="18"/>
      <c r="DS83" s="18"/>
      <c r="DT83" s="18"/>
      <c r="DU83" s="18"/>
      <c r="DV83" s="18"/>
      <c r="DW83" s="18"/>
      <c r="DX83" s="18"/>
      <c r="DY83" s="18"/>
      <c r="DZ83" s="18"/>
      <c r="EA83" s="18"/>
      <c r="EB83" s="18"/>
      <c r="EC83" s="18"/>
      <c r="EE83" s="18" t="str">
        <f>+EE43</f>
        <v>IMPL_VOL</v>
      </c>
      <c r="EF83" s="18" t="str">
        <f>+EE83</f>
        <v>IMPL_VOL</v>
      </c>
      <c r="EG83" s="18" t="str">
        <f>+EF83</f>
        <v>IMPL_VOL</v>
      </c>
      <c r="EH83" s="18" t="str">
        <f>+EG83</f>
        <v>IMPL_VOL</v>
      </c>
      <c r="EI83" s="18" t="str">
        <f>+EH83</f>
        <v>IMPL_VOL</v>
      </c>
      <c r="EJ83" s="18" t="str">
        <f>+EI83</f>
        <v>IMPL_VOL</v>
      </c>
      <c r="EL83" s="18" t="str">
        <f>+EL43</f>
        <v>IMPL_VOL</v>
      </c>
      <c r="EM83" s="18" t="str">
        <f>+EL83</f>
        <v>IMPL_VOL</v>
      </c>
      <c r="EN83" s="18" t="str">
        <f>+EM83</f>
        <v>IMPL_VOL</v>
      </c>
      <c r="EO83" s="18" t="str">
        <f>+EN83</f>
        <v>IMPL_VOL</v>
      </c>
      <c r="EP83" s="18" t="str">
        <f>+EO83</f>
        <v>IMPL_VOL</v>
      </c>
      <c r="EQ83" s="18" t="str">
        <f>+EP83</f>
        <v>IMPL_VOL</v>
      </c>
      <c r="EU83" s="67">
        <v>561.83000000000004</v>
      </c>
      <c r="EV83" s="67" t="s">
        <v>684</v>
      </c>
      <c r="EW83" s="67">
        <v>484.29</v>
      </c>
      <c r="EX83" s="67" t="s">
        <v>685</v>
      </c>
      <c r="EY83" s="67">
        <v>5631.75</v>
      </c>
      <c r="EZ83" s="67" t="s">
        <v>686</v>
      </c>
      <c r="FA83" s="67">
        <v>19893.5</v>
      </c>
      <c r="FB83" s="67" t="s">
        <v>687</v>
      </c>
      <c r="FC83" s="67" t="s">
        <v>688</v>
      </c>
      <c r="FD83" s="67" t="s">
        <v>689</v>
      </c>
      <c r="FE83" s="68" t="s">
        <v>690</v>
      </c>
      <c r="FF83" s="68" t="s">
        <v>691</v>
      </c>
    </row>
    <row r="84" spans="1:162" s="63" customFormat="1" ht="13.5" thickBot="1" x14ac:dyDescent="0.25">
      <c r="A84" s="46">
        <f>+E82</f>
        <v>5631.28</v>
      </c>
      <c r="B84" s="27">
        <f>+AS84/AT84</f>
        <v>-0.97016009938820003</v>
      </c>
      <c r="C84" s="27">
        <f>+AU84/AV84</f>
        <v>-1.8458590234960839</v>
      </c>
      <c r="D84" s="27">
        <f>+AW84/AX84</f>
        <v>-1.2651268384167407</v>
      </c>
      <c r="E84" s="28">
        <v>0</v>
      </c>
      <c r="F84" s="47">
        <f>RTD("tos.rtd", ,"MARK", F83)</f>
        <v>5680</v>
      </c>
      <c r="G84" s="47">
        <f>RTD("tos.rtd", ,"MARK", G83)</f>
        <v>564.33000000000004</v>
      </c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>
        <v>0</v>
      </c>
      <c r="AP84" s="20">
        <v>484255</v>
      </c>
      <c r="AQ84" s="20">
        <v>-497489</v>
      </c>
      <c r="AR84" s="20"/>
      <c r="AS84" s="52">
        <f t="shared" ref="AS84:AX84" si="413">SUM(AS85:AS130)</f>
        <v>41388</v>
      </c>
      <c r="AT84" s="53">
        <f t="shared" si="413"/>
        <v>-42661</v>
      </c>
      <c r="AU84" s="52">
        <f t="shared" si="413"/>
        <v>55385</v>
      </c>
      <c r="AV84" s="53">
        <f t="shared" si="413"/>
        <v>-30005</v>
      </c>
      <c r="AW84" s="52">
        <f t="shared" si="413"/>
        <v>51268</v>
      </c>
      <c r="AX84" s="53">
        <f t="shared" si="413"/>
        <v>-40524</v>
      </c>
      <c r="AY84" s="53">
        <f>SUM(AY85:AY130)</f>
        <v>34851</v>
      </c>
      <c r="AZ84" s="20">
        <v>0</v>
      </c>
      <c r="BA84" s="52">
        <f t="shared" ref="BA84:BF84" si="414">SUM(BA85:BA130)</f>
        <v>0</v>
      </c>
      <c r="BB84" s="53">
        <f t="shared" si="414"/>
        <v>0</v>
      </c>
      <c r="BC84" s="52">
        <f t="shared" si="414"/>
        <v>211</v>
      </c>
      <c r="BD84" s="53">
        <f t="shared" si="414"/>
        <v>-119</v>
      </c>
      <c r="BE84" s="52">
        <f t="shared" si="414"/>
        <v>17</v>
      </c>
      <c r="BF84" s="53">
        <f t="shared" si="414"/>
        <v>-10</v>
      </c>
      <c r="BG84" s="53"/>
      <c r="BH84" s="53">
        <f ca="1">SUM(BH85:BH130)</f>
        <v>100</v>
      </c>
      <c r="BI84" s="20"/>
      <c r="BJ84" s="73" t="e">
        <f t="shared" ref="BJ84:BU84" ca="1" si="415">SUM(BJ85:BJ130)</f>
        <v>#NUM!</v>
      </c>
      <c r="BK84" s="74" t="e">
        <f t="shared" ref="BK84" ca="1" si="416">SUM(BK85:BK130)</f>
        <v>#NUM!</v>
      </c>
      <c r="BL84" s="73">
        <f t="shared" ref="BL84" ca="1" si="417">SUM(BL85:BL130)</f>
        <v>7.8605880561364555E-2</v>
      </c>
      <c r="BM84" s="74">
        <f t="shared" ref="BM84" ca="1" si="418">SUM(BM85:BM130)</f>
        <v>-0.11303618029077812</v>
      </c>
      <c r="BN84" s="73">
        <f t="shared" ref="BN84" ca="1" si="419">SUM(BN85:BN130)</f>
        <v>9.2807467896007703E-2</v>
      </c>
      <c r="BO84" s="74">
        <f t="shared" ref="BO84" ca="1" si="420">SUM(BO85:BO130)</f>
        <v>-0.10335874797780904</v>
      </c>
      <c r="BQ84" s="73" t="e">
        <f t="shared" ca="1" si="415"/>
        <v>#NUM!</v>
      </c>
      <c r="BR84" s="74"/>
      <c r="BS84" s="73">
        <f t="shared" ca="1" si="415"/>
        <v>2239865.4376069456</v>
      </c>
      <c r="BT84" s="74"/>
      <c r="BU84" s="73">
        <f t="shared" ca="1" si="415"/>
        <v>-2939814.0776674883</v>
      </c>
      <c r="BV84" s="74"/>
      <c r="BX84" s="73" t="e">
        <f t="shared" ref="BX84" ca="1" si="421">SUM(BX85:BX130)</f>
        <v>#NUM!</v>
      </c>
      <c r="BY84" s="74"/>
      <c r="BZ84" s="73">
        <f t="shared" ref="BZ84" ca="1" si="422">SUM(BZ85:BZ130)</f>
        <v>23487.646087497866</v>
      </c>
      <c r="CA84" s="74"/>
      <c r="CB84" s="73">
        <f t="shared" ref="CB84" ca="1" si="423">SUM(CB85:CB130)</f>
        <v>2061.3167982780087</v>
      </c>
      <c r="CC84" s="74"/>
      <c r="CD84" s="73">
        <f t="shared" ref="CD84:CI84" si="424">SUM(CD85:CD130)</f>
        <v>21.759999999999998</v>
      </c>
      <c r="CE84" s="74">
        <f t="shared" si="424"/>
        <v>22.560000000000006</v>
      </c>
      <c r="CF84" s="73">
        <f t="shared" si="424"/>
        <v>19.11</v>
      </c>
      <c r="CG84" s="74">
        <f t="shared" si="424"/>
        <v>25.369999999999997</v>
      </c>
      <c r="CH84" s="73">
        <f t="shared" si="424"/>
        <v>21.369999999999997</v>
      </c>
      <c r="CI84" s="74">
        <f t="shared" si="424"/>
        <v>26.129999999999992</v>
      </c>
      <c r="CK84" s="73">
        <f t="shared" ref="CK84" si="425">SUM(CK85:CK130)</f>
        <v>399609</v>
      </c>
      <c r="CL84" s="74"/>
      <c r="CM84" s="73">
        <f t="shared" ref="CM84" si="426">SUM(CM85:CM130)</f>
        <v>719479</v>
      </c>
      <c r="CN84" s="74"/>
      <c r="CO84" s="73">
        <f t="shared" ref="CO84" si="427">SUM(CO85:CO130)</f>
        <v>-637506</v>
      </c>
      <c r="CP84" s="74"/>
      <c r="CQ84" s="73">
        <f t="shared" ref="CQ84" si="428">SUM(CQ85:CQ130)</f>
        <v>0</v>
      </c>
      <c r="CR84" s="74"/>
      <c r="CS84" s="73">
        <f t="shared" ref="CS84" si="429">SUM(CS85:CS130)</f>
        <v>92</v>
      </c>
      <c r="CT84" s="74">
        <f t="shared" ref="CT84:CU84" si="430">SUM(CT85:CT130)</f>
        <v>0</v>
      </c>
      <c r="CU84" s="73">
        <f t="shared" si="430"/>
        <v>7</v>
      </c>
      <c r="CV84" s="74"/>
      <c r="CW84" s="74" t="e">
        <f t="shared" ref="CW84" ca="1" si="431">SUM(CW85:CW130)</f>
        <v>#NUM!</v>
      </c>
      <c r="CY84" s="74" t="e">
        <f t="shared" ref="CY84" ca="1" si="432">SUM(CY85:CY130)</f>
        <v>#NUM!</v>
      </c>
      <c r="DA84" s="73">
        <f t="shared" ref="DA84:DB84" si="433">SUM(DA85:DA130)</f>
        <v>2208.77</v>
      </c>
      <c r="DB84" s="74">
        <f t="shared" si="433"/>
        <v>2876.5000000000036</v>
      </c>
      <c r="DC84" s="73">
        <f t="shared" ref="DC84:DF84" si="434">SUM(DC85:DC130)</f>
        <v>2349.7500000000005</v>
      </c>
      <c r="DD84" s="74">
        <f t="shared" si="434"/>
        <v>3106.3500000000035</v>
      </c>
      <c r="DE84" s="73">
        <f t="shared" si="434"/>
        <v>2207.75</v>
      </c>
      <c r="DF84" s="73">
        <f t="shared" si="434"/>
        <v>2960.5000000000018</v>
      </c>
      <c r="DH84" s="73">
        <f t="shared" ref="DH84:DM84" si="435">SUM(DH85:DH130)</f>
        <v>-451836.98130061664</v>
      </c>
      <c r="DI84" s="74">
        <f t="shared" si="435"/>
        <v>366242.66022738366</v>
      </c>
      <c r="DJ84" s="73">
        <f t="shared" si="435"/>
        <v>-350941</v>
      </c>
      <c r="DK84" s="74">
        <f t="shared" si="435"/>
        <v>423565</v>
      </c>
      <c r="DL84" s="73">
        <f t="shared" si="435"/>
        <v>-85594.32107323299</v>
      </c>
      <c r="DM84" s="73">
        <f t="shared" si="435"/>
        <v>72624</v>
      </c>
      <c r="DP84" s="73">
        <f t="shared" ref="DP84:DS84" si="436">SUM(DP85:DP130)</f>
        <v>328213.3194620657</v>
      </c>
      <c r="DQ84" s="74">
        <f t="shared" si="436"/>
        <v>-976025.40000000026</v>
      </c>
      <c r="DR84" s="73" t="e">
        <f t="shared" ca="1" si="436"/>
        <v>#NUM!</v>
      </c>
      <c r="DS84" s="74">
        <f t="shared" si="436"/>
        <v>-87193.32</v>
      </c>
      <c r="DT84" s="73"/>
      <c r="DU84" s="73"/>
      <c r="DV84" s="73"/>
      <c r="DW84" s="74"/>
      <c r="DX84" s="73"/>
      <c r="DY84" s="74"/>
      <c r="DZ84" s="73"/>
      <c r="EA84" s="74"/>
      <c r="EB84" s="73"/>
      <c r="EC84" s="73"/>
      <c r="EE84" s="73">
        <f t="shared" ref="EE84" si="437">SUM(EE85:EE130)</f>
        <v>28.932300000000005</v>
      </c>
      <c r="EF84" s="74">
        <f t="shared" ref="EF84" si="438">SUM(EF85:EF130)</f>
        <v>65.332900000000009</v>
      </c>
      <c r="EG84" s="73">
        <f t="shared" ref="EG84" si="439">SUM(EG85:EG130)</f>
        <v>17.806199999999997</v>
      </c>
      <c r="EH84" s="74">
        <f t="shared" ref="EH84" si="440">SUM(EH85:EH130)</f>
        <v>10.728400000000001</v>
      </c>
      <c r="EI84" s="73">
        <f t="shared" ref="EI84" si="441">SUM(EI85:EI130)</f>
        <v>11.765400000000001</v>
      </c>
      <c r="EJ84" s="73">
        <f t="shared" ref="EJ84" si="442">SUM(EJ85:EJ130)</f>
        <v>9.2073000000000018</v>
      </c>
      <c r="EL84" s="73">
        <f t="shared" ref="EL84" si="443">SUM(EL85:EL130)</f>
        <v>0</v>
      </c>
      <c r="EM84" s="74">
        <f t="shared" ref="EM84" si="444">SUM(EM85:EM130)</f>
        <v>0</v>
      </c>
      <c r="EN84" s="73">
        <f t="shared" ref="EN84" si="445">SUM(EN85:EN130)</f>
        <v>0</v>
      </c>
      <c r="EO84" s="74">
        <f t="shared" ref="EO84" si="446">SUM(EO85:EO130)</f>
        <v>0</v>
      </c>
      <c r="EP84" s="73">
        <f t="shared" ref="EP84" si="447">SUM(EP85:EP130)</f>
        <v>0</v>
      </c>
      <c r="EQ84" s="73">
        <f t="shared" ref="EQ84" si="448">SUM(EQ85:EQ130)</f>
        <v>0</v>
      </c>
      <c r="EU84" s="67">
        <v>561.97</v>
      </c>
      <c r="EV84" s="67" t="s">
        <v>692</v>
      </c>
      <c r="EW84" s="67">
        <v>484.41</v>
      </c>
      <c r="EX84" s="67" t="s">
        <v>693</v>
      </c>
      <c r="EY84" s="67">
        <v>5633.5</v>
      </c>
      <c r="EZ84" s="67" t="s">
        <v>694</v>
      </c>
      <c r="FA84" s="67">
        <v>19898.25</v>
      </c>
      <c r="FB84" s="67" t="s">
        <v>695</v>
      </c>
      <c r="FC84" s="67" t="s">
        <v>696</v>
      </c>
      <c r="FD84" s="67" t="s">
        <v>697</v>
      </c>
      <c r="FE84" s="68" t="s">
        <v>698</v>
      </c>
      <c r="FF84" s="68" t="s">
        <v>699</v>
      </c>
    </row>
    <row r="85" spans="1:162" s="63" customFormat="1" ht="12" customHeight="1" thickBot="1" x14ac:dyDescent="0.25">
      <c r="A85" s="2">
        <f>ROUND(E81/A81,0)*A81+22*A81</f>
        <v>5870</v>
      </c>
      <c r="B85" s="3">
        <f t="shared" ref="B85:B130" si="449">+IF($A$1="ABS",AS85-AT85,AS85+AT85)</f>
        <v>104</v>
      </c>
      <c r="C85" s="3">
        <f t="shared" ref="C85:C130" si="450">+IF($A$1="ABS",AU85-AV85,AU85+AV85)</f>
        <v>400</v>
      </c>
      <c r="D85" s="3">
        <f t="shared" ref="D85:D130" si="451">+IF($A$1="ABS",AW85-AX85,AW85+AX85)</f>
        <v>375</v>
      </c>
      <c r="E85" s="3">
        <f t="shared" ref="E85:E96" si="452">SUM(B85:D85)</f>
        <v>879</v>
      </c>
      <c r="F85" s="4">
        <f>+$F$84/$A$84*A85</f>
        <v>5920.7853276697306</v>
      </c>
      <c r="G85" s="4">
        <f>+$G$84/$A$84*A85</f>
        <v>588.2529549232147</v>
      </c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  <c r="AM85" s="20">
        <v>86</v>
      </c>
      <c r="AN85" s="20">
        <v>-5</v>
      </c>
      <c r="AO85" s="20">
        <v>5870</v>
      </c>
      <c r="AP85" s="20">
        <v>266</v>
      </c>
      <c r="AQ85" s="20">
        <v>-5</v>
      </c>
      <c r="AR85" s="20"/>
      <c r="AS85" s="73">
        <f>IF(RTD("tos.rtd",,AS$83,"."&amp;$B$82&amp;$AS$82&amp;"C"&amp;$A85)="N/A",0,RTD("tos.rtd",,AS$83,"."&amp;$B$82&amp;$AS$82&amp;"C"&amp;$A85))</f>
        <v>99</v>
      </c>
      <c r="AT85" s="28">
        <f>-IF(RTD("tos.rtd",,AT$83,"."&amp;$B$82&amp;$AS$82&amp;"P"&amp;$A85)="N/A",0,RTD("tos.rtd",,AT$83,"."&amp;$B$82&amp;$AS$82&amp;"P"&amp;$A85))</f>
        <v>-5</v>
      </c>
      <c r="AU85" s="73">
        <f>IF(RTD("tos.rtd",,AU$83,"."&amp;$C$82&amp;$AU$82&amp;"C"&amp;$A85)="N/A",0,RTD("tos.rtd",,AU$83,"."&amp;$C$82&amp;$AU$82&amp;"C"&amp;$A85))</f>
        <v>399</v>
      </c>
      <c r="AV85" s="28">
        <f>-IF(RTD("tos.rtd",,AV$83,"."&amp;$C$82&amp;$AU$82&amp;"P"&amp;$A85)="N/A",0,RTD("tos.rtd",,AV$83,"."&amp;$C$82&amp;$AU$82&amp;"P"&amp;$A85))</f>
        <v>-1</v>
      </c>
      <c r="AW85" s="73">
        <f>IF(RTD("tos.rtd",,AW$83,"."&amp;$D$82&amp;$AW$82&amp;"C"&amp;$A85)="N/A",0,RTD("tos.rtd",,AW$83,"."&amp;$D$82&amp;$AW$82&amp;"C"&amp;$A85))</f>
        <v>217</v>
      </c>
      <c r="AX85" s="28">
        <f>-IF(RTD("tos.rtd",,AX$83,"."&amp;$D$82&amp;$AW$82&amp;"P"&amp;$A85)="N/A",0,RTD("tos.rtd",,AX$83,"."&amp;$D$82&amp;$AW$82&amp;"P"&amp;$A85))</f>
        <v>-158</v>
      </c>
      <c r="AY85" s="78">
        <f>SUM(AS85:AX85)</f>
        <v>551</v>
      </c>
      <c r="AZ85" s="8">
        <f t="shared" ref="AZ85:AZ130" si="453">+A85</f>
        <v>5870</v>
      </c>
      <c r="BA85" s="73">
        <f>IF(RTD("tos.rtd",,BA$83,"."&amp;$B$82&amp;$AS$82&amp;"C"&amp;$A85)="N/A",0,RTD("tos.rtd",,BA$83,"."&amp;$B$82&amp;$AS$82&amp;"C"&amp;$A85))</f>
        <v>0</v>
      </c>
      <c r="BB85" s="28">
        <f>-IF(RTD("tos.rtd",,BB$83,"."&amp;$B$82&amp;$AS$82&amp;"P"&amp;$A85)="N/A",0,RTD("tos.rtd",,BB$83,"."&amp;$B$82&amp;$AS$82&amp;"P"&amp;$A85))</f>
        <v>0</v>
      </c>
      <c r="BC85" s="73">
        <f>IF(RTD("tos.rtd",,BC$83,"."&amp;$C$82&amp;$AU$82&amp;"C"&amp;$A85)="N/A",0,RTD("tos.rtd",,BC$83,"."&amp;$C$82&amp;$AU$82&amp;"C"&amp;$A85))</f>
        <v>0</v>
      </c>
      <c r="BD85" s="28">
        <f>-IF(RTD("tos.rtd",,BD$83,"."&amp;$C$82&amp;$AU$82&amp;"P"&amp;$A85)="N/A",0,RTD("tos.rtd",,BD$83,"."&amp;$C$82&amp;$AU$82&amp;"P"&amp;$A85))</f>
        <v>0</v>
      </c>
      <c r="BE85" s="73">
        <f>IF(RTD("tos.rtd",,BE$83,"."&amp;$D$82&amp;$AW$82&amp;"C"&amp;$A85)="N/A",0,RTD("tos.rtd",,BE$83,"."&amp;$D$82&amp;$AW$82&amp;"C"&amp;$A85))</f>
        <v>0</v>
      </c>
      <c r="BF85" s="28">
        <f>-IF(RTD("tos.rtd",,BF$83,"."&amp;$D$82&amp;$AW$82&amp;"P"&amp;$A85)="N/A",0,RTD("tos.rtd",,BF$83,"."&amp;$D$82&amp;$AW$82&amp;"P"&amp;$A85))</f>
        <v>0</v>
      </c>
      <c r="BG85" s="28">
        <f ca="1">+Hoja2!Y86</f>
        <v>0</v>
      </c>
      <c r="BH85" s="74">
        <f>SUM(BA85:BF85)</f>
        <v>0</v>
      </c>
      <c r="BI85" s="1"/>
      <c r="BJ85" s="3" t="e">
        <f ca="1">IF($BP$1=1,DX85,IF(RTD("tos.rtd",,BJ$83,"."&amp;$B$82&amp;$AS$82&amp;"C"&amp;$A85)="N/A",0,RTD("tos.rtd",,BJ$83,"."&amp;$B$82&amp;$AS$82&amp;"C"&amp;$A85)))</f>
        <v>#NUM!</v>
      </c>
      <c r="BK85" s="3" t="e">
        <f ca="1">IF($BP$1=1,DY85,-IF(RTD("tos.rtd",,BK$83,"."&amp;$B$82&amp;$AS$82&amp;"P"&amp;$A85)="N/A",0,RTD("tos.rtd",,BK$83,"."&amp;$B$82&amp;$AS$82&amp;"P"&amp;$A85)))</f>
        <v>#NUM!</v>
      </c>
      <c r="BL85" s="3">
        <f ca="1">IF($BP$1=1,DZ85,IF(RTD("tos.rtd",,BL$83,"."&amp;$C$82&amp;$AU$82&amp;"C"&amp;$A85)="N/A",0,RTD("tos.rtd",,BL$83,"."&amp;$C$82&amp;$AU$82&amp;"C"&amp;$A85)))</f>
        <v>4.8161864322299549E-4</v>
      </c>
      <c r="BM85" s="3">
        <f ca="1">IF($BP$1=1,EA85,-IF(RTD("tos.rtd",,BM$83,"."&amp;$C$82&amp;$AU$82&amp;"P"&amp;$A85)="N/A",0,RTD("tos.rtd",,BM$83,"."&amp;$C$82&amp;$AU$82&amp;"P"&amp;$A85)))</f>
        <v>-4.6015966291001873E-4</v>
      </c>
      <c r="BN85" s="3">
        <f ca="1">IF($BP$1=1,EB85,IF(RTD("tos.rtd",,BN$83,"."&amp;$D$82&amp;$AW$82&amp;"C"&amp;$A85)="N/A",0,RTD("tos.rtd",,BN$83,"."&amp;$D$82&amp;$AW$82&amp;"C"&amp;$A85)))</f>
        <v>1.3435255794650637E-4</v>
      </c>
      <c r="BO85" s="3">
        <f ca="1">IF($BP$1=1,EC85,-IF(RTD("tos.rtd",,BO$83,"."&amp;$D$82&amp;$AW$82&amp;"P"&amp;$A85)="N/A",0,RTD("tos.rtd",,BO$83,"."&amp;$D$82&amp;$AW$82&amp;"P"&amp;$A85)))</f>
        <v>-4.6015966291001873E-4</v>
      </c>
      <c r="BQ85" s="3" t="e">
        <f t="shared" ref="BQ85:BQ130" ca="1" si="454">+$A$44*$A$44*AS85*BJ85-$A$44*$A$44*AT85*BK85</f>
        <v>#NUM!</v>
      </c>
      <c r="BR85" s="3"/>
      <c r="BS85" s="3">
        <f t="shared" ref="BS85:BS130" ca="1" si="455">+$A$44*$A$44*AU85*BL85-$A$44*$A$44*AV85*BM85</f>
        <v>45438.640292412936</v>
      </c>
      <c r="BT85" s="3"/>
      <c r="BU85" s="3">
        <f t="shared" ref="BU85:BU130" ca="1" si="456">+$A$44*$A$44*AW85*BN85-$A$44*$A$44*AX85*BO85</f>
        <v>-10322.51932611506</v>
      </c>
      <c r="BV85" s="3"/>
      <c r="BX85" s="3" t="e">
        <f t="shared" ref="BX85:BX130" ca="1" si="457">+$A$44*$A$44*BA85*BJ85-$A$44*$A$44*BB85*BK85</f>
        <v>#NUM!</v>
      </c>
      <c r="BY85" s="3"/>
      <c r="BZ85" s="3">
        <f t="shared" ref="BZ85:BZ130" ca="1" si="458">+$A$44*$A$44*BC85*BL85-$A$44*$A$44*BD85*BM85</f>
        <v>0</v>
      </c>
      <c r="CA85" s="3"/>
      <c r="CB85" s="3">
        <f t="shared" ref="CB85:CB130" ca="1" si="459">+$A$44*$A$44*BE85*BN85-$A$44*$A$44*BF85*BO85</f>
        <v>0</v>
      </c>
      <c r="CC85" s="3"/>
      <c r="CD85" s="3">
        <f>IF(RTD("tos.rtd",,CD$83,"."&amp;$B$82&amp;$AS$82&amp;"C"&amp;$A85)="N/A",0,RTD("tos.rtd",,CD$83,"."&amp;$B$82&amp;$AS$82&amp;"C"&amp;$A85))</f>
        <v>0</v>
      </c>
      <c r="CE85" s="3">
        <f>-IF(RTD("tos.rtd",,CE$83,"."&amp;$B$82&amp;$AS$82&amp;"P"&amp;$A85)="N/A",0,RTD("tos.rtd",,CE$83,"."&amp;$B$82&amp;$AS$82&amp;"P"&amp;$A85))</f>
        <v>0.95</v>
      </c>
      <c r="CF85" s="3">
        <f>IF(RTD("tos.rtd",,CF$83,"."&amp;$C$82&amp;$AU$82&amp;"C"&amp;$A85)="N/A",0,RTD("tos.rtd",,CF$83,"."&amp;$C$82&amp;$AU$82&amp;"C"&amp;$A85))</f>
        <v>0.01</v>
      </c>
      <c r="CG85" s="3">
        <f>-IF(RTD("tos.rtd",,CG$83,"."&amp;$C$82&amp;$AU$82&amp;"P"&amp;$A85)="N/A",0,RTD("tos.rtd",,CG$83,"."&amp;$C$82&amp;$AU$82&amp;"P"&amp;$A85))</f>
        <v>1</v>
      </c>
      <c r="CH85" s="3">
        <f>IF(RTD("tos.rtd",,CH$83,"."&amp;$D$82&amp;$AW$82&amp;"C"&amp;$A85)="N/A",0,RTD("tos.rtd",,CH$83,"."&amp;$D$82&amp;$AW$82&amp;"C"&amp;$A85))</f>
        <v>0.09</v>
      </c>
      <c r="CI85" s="3">
        <f>-IF(RTD("tos.rtd",,CI$83,"."&amp;$D$82&amp;$AW$82&amp;"P"&amp;$A85)="N/A",0,RTD("tos.rtd",,CI$83,"."&amp;$D$82&amp;$AW$82&amp;"P"&amp;$A85))</f>
        <v>1</v>
      </c>
      <c r="CK85" s="3">
        <f>+AS85*CD85*100+AT85*CE85*100</f>
        <v>-475</v>
      </c>
      <c r="CL85" s="3"/>
      <c r="CM85" s="3">
        <f>+AU85*CF85*100+AV85*CG85*100</f>
        <v>299</v>
      </c>
      <c r="CN85" s="3"/>
      <c r="CO85" s="3">
        <f>+AW85*CH85*100+AX85*CI85*100</f>
        <v>-13847</v>
      </c>
      <c r="CP85" s="3">
        <f t="shared" ref="CP85:CP130" si="460">+CK85+CM85+CO85</f>
        <v>-14023</v>
      </c>
      <c r="CQ85" s="3">
        <f t="shared" ref="CQ85:CQ130" si="461">+BA85+BB85</f>
        <v>0</v>
      </c>
      <c r="CR85" s="3"/>
      <c r="CS85" s="3">
        <f t="shared" ref="CS85:CS130" si="462">+BC85+BD85</f>
        <v>0</v>
      </c>
      <c r="CT85" s="3"/>
      <c r="CU85" s="3">
        <f t="shared" ref="CU85:CU130" si="463">+BE85+BF85</f>
        <v>0</v>
      </c>
      <c r="CV85" s="3"/>
      <c r="CW85" s="3" t="e">
        <f t="shared" ref="CW85:CW130" ca="1" si="464">+BQ85+BS85+BU85</f>
        <v>#NUM!</v>
      </c>
      <c r="CY85" s="3" t="e">
        <f t="shared" ref="CY85:CY130" ca="1" si="465">+BX85+BZ85+CB85</f>
        <v>#NUM!</v>
      </c>
      <c r="CZ85" s="70"/>
      <c r="DA85" s="3">
        <f>IF(RTD("tos.rtd",,DA$83,"."&amp;$B$82&amp;$AS$82&amp;"C"&amp;$A85)="N/A",0,RTD("tos.rtd",,DA$83,"."&amp;$B$82&amp;$AS$82&amp;"C"&amp;$A85))</f>
        <v>0.03</v>
      </c>
      <c r="DB85" s="3">
        <f>IF(RTD("tos.rtd",,DB$83,"."&amp;$B$82&amp;$AS$82&amp;"P"&amp;$A85)="N/A",0,RTD("tos.rtd",,DB$83,"."&amp;$B$82&amp;$AS$82&amp;"P"&amp;$A85))</f>
        <v>253.9</v>
      </c>
      <c r="DC85" s="3">
        <f>IF(RTD("tos.rtd",,DC$83,"."&amp;$B$82&amp;$AS$82&amp;"C"&amp;$A85)="N/A",0,RTD("tos.rtd",,DC$83,"."&amp;$B$82&amp;$AS$82&amp;"C"&amp;$A85))</f>
        <v>0.05</v>
      </c>
      <c r="DD85" s="3">
        <f>IF(RTD("tos.rtd",,DD$83,"."&amp;$B$82&amp;$AS$82&amp;"P"&amp;$A85)="N/A",0,RTD("tos.rtd",,DD$83,"."&amp;$B$82&amp;$AS$82&amp;"P"&amp;$A85))</f>
        <v>245.2</v>
      </c>
      <c r="DE85" s="3">
        <f>IF(RTD("tos.rtd",,DE$83,"."&amp;$B$82&amp;$AS$82&amp;"C"&amp;$A85)="N/A",0,RTD("tos.rtd",,DE$83,"."&amp;$B$82&amp;$AS$82&amp;"C"&amp;$A85))</f>
        <v>0</v>
      </c>
      <c r="DF85" s="3">
        <f>IF(RTD("tos.rtd",,DF$83,"."&amp;$B$82&amp;$AS$82&amp;"P"&amp;$A85)="N/A",0,RTD("tos.rtd",,DF$83,"."&amp;$B$82&amp;$AS$82&amp;"P"&amp;$A85))</f>
        <v>238.3</v>
      </c>
      <c r="DG85" s="86">
        <f>+$A85-$A$84</f>
        <v>238.72000000000025</v>
      </c>
      <c r="DH85" s="3">
        <f t="shared" ref="DH85:DH130" si="466">((DA85-DE85)/(DC85-DE85))*(BA85-AP85)</f>
        <v>-159.6</v>
      </c>
      <c r="DI85" s="3">
        <f t="shared" ref="DI85:DI130" si="467">((DB85-DF85)/(DD85-DF85))*(BB85-AQ85)</f>
        <v>11.304347826086989</v>
      </c>
      <c r="DJ85" s="3">
        <f t="shared" ref="DJ85:DJ130" si="468">IF(DA85&gt;=(DE85+(DC85-DE85)*0.6),(BA85-AP85),IF(DA85&lt;=(DE85+(DC85-DE85)*0.4),-(BA85-AP85),0))</f>
        <v>-266</v>
      </c>
      <c r="DK85" s="3">
        <f t="shared" ref="DK85:DK130" si="469">IF(DB85&lt;=(DF85+(DD85-DF85)*0.4),-(BB85-AQ85),IF(DB85&gt;=(DF85+(DD85-DF85)*0.6),(BB85-AQ85),0))</f>
        <v>5</v>
      </c>
      <c r="DL85" s="3">
        <f t="shared" ref="DL85:DL130" si="470">+DH85+DI85</f>
        <v>-148.295652173913</v>
      </c>
      <c r="DM85" s="3">
        <f t="shared" ref="DM85:DM130" si="471">+DJ85+DK85</f>
        <v>-261</v>
      </c>
      <c r="DN85" s="64" t="str">
        <f t="shared" ref="DN85:DN130" si="472">IF(AND(DA85&gt;=(DE85+(DC85-DE85)*0.6),BA85&gt;AP85),"BUY",IF(AND(DA85&lt;=(DE85+(DC85-DE85)*0.4),BA85&gt;AP85),"SELL","UNKNOWN"))</f>
        <v>UNKNOWN</v>
      </c>
      <c r="DO85" s="64" t="str">
        <f t="shared" ref="DO85:DO130" si="473">IF(AND(DB85&gt;=(DF85+(DD85-DF85)*0.6),ABS(BB85)&gt;ABS(AQ85)),"BUY",IF(AND(DB85&lt;=(DF85+(DD85-DF85)*0.4),ABS(BB85)&gt;ABS(AQ85)),"SELL","UNKNOWN"))</f>
        <v>UNKNOWN</v>
      </c>
      <c r="DP85" s="3">
        <f t="shared" ref="DP85:DP130" si="474">+DH85*DA85+DI85*DB85</f>
        <v>2865.3859130434867</v>
      </c>
      <c r="DQ85" s="3">
        <f t="shared" ref="DQ85:DQ130" si="475">+DA85*DJ85+DB85*DK85</f>
        <v>1261.52</v>
      </c>
      <c r="DR85" s="3" t="e">
        <f t="shared" ref="DR85:DR130" ca="1" si="476">+BJ85*DJ85+BK85*DK85</f>
        <v>#NUM!</v>
      </c>
      <c r="DS85" s="3">
        <f t="shared" ref="DS85:DS130" si="477">+CD85*DJ85+CE85*DK85</f>
        <v>4.75</v>
      </c>
      <c r="DT85" s="3">
        <f>BA85-VLOOKUP(AZ85,$AO$85:$AQ$130,2,FALSE)</f>
        <v>-266</v>
      </c>
      <c r="DU85" s="3">
        <f>BB85-VLOOKUP(AZ85,$AO$85:$AQ$130,3,FALSE)</f>
        <v>5</v>
      </c>
      <c r="DV85" s="3">
        <f>AM85+IF(DN85="BUY",DT85,IF(DN85="SELL",-DT85,0))</f>
        <v>86</v>
      </c>
      <c r="DW85" s="3">
        <f>AN85+IF(DO85="BUY",DU85,IF(DO85="SELL",-DU85,0))</f>
        <v>-5</v>
      </c>
      <c r="DX85" s="3" t="e">
        <f ca="1">(EXP(-POWER((LN($A$84/$A85)+($EC$1+POWER($EE85,2)/2)*($EM$1/$DY$1))/($EE85*SQRT($EM$1/$DY$1)),2)/2)/SQRT(2*PI())/($A$84*$EE85*SQRT($EM$1/$DY$1)))</f>
        <v>#NUM!</v>
      </c>
      <c r="DY85" s="3" t="e">
        <f t="shared" ref="DY85:DY130" ca="1" si="478">-(EXP(-POWER((LN($A$84/$A85)+($EC$1+POWER($EF85,2)/2)*($EM$1/$DY$1))/($EF85*SQRT($EM$1/$DY$1)),2)/2)/SQRT(2*PI())/($A$84*$EF85*SQRT($EM$1/$DY$1)))</f>
        <v>#NUM!</v>
      </c>
      <c r="DZ85" s="3">
        <f ca="1">(EXP(-POWER((LN($A$84/$A85)+($EC$1+POWER($EG85,2)/2)*($EO$1/$DY$1))/($EG85*SQRT($EO$1/$DY$1)),2)/2)/SQRT(2*PI())/($A$84*$EG85*SQRT($EO$1/$DY$1)))</f>
        <v>4.8161864322299549E-4</v>
      </c>
      <c r="EA85" s="3">
        <f ca="1">-(EXP(-POWER((LN($A$84/$A85)+($EC$1+POWER($EH85,2)/2)*($EO$1/$DY$1))/($EH85*SQRT($EO$1/$DY$1)),2)/2)/SQRT(2*PI())/($A$84*$EH85*SQRT($EO$1/$DY$1)))</f>
        <v>-4.6015966291001873E-4</v>
      </c>
      <c r="EB85" s="3">
        <f t="shared" ref="EB85:EB130" ca="1" si="479">(EXP(-POWER((LN($A$84/$A85)+($EC$1+POWER($EI85,2)/2)*($EO$1/$DY$1))/($EI85*SQRT($EO$1/$DY$1)),2)/2)/SQRT(2*PI())/($A$84*$EI85*SQRT($EO$1/$DY$1)))</f>
        <v>1.3435255794650637E-4</v>
      </c>
      <c r="EC85" s="3">
        <f t="shared" ref="EC85:EC130" ca="1" si="480">-(EXP(-POWER((LN($A$84/$A85)+($EC$1+POWER($EJ85,2)/2)*($EO$1/$DY$1))/($EJ85*SQRT($EO$1/$DY$1)),2)/2)/SQRT(2*PI())/($A$84*$EJ85*SQRT($EO$1/$DY$1)))</f>
        <v>-4.6015966291001873E-4</v>
      </c>
      <c r="ED85" s="63">
        <f>+DV85+DW85</f>
        <v>81</v>
      </c>
      <c r="EE85" s="59">
        <f t="shared" ref="EE85:EE130" si="481">IFERROR(VALUE(IF(OR(EL85="--",EL85="0.00%"),$EE$1,EL85)),$EE$1)</f>
        <v>1.8022</v>
      </c>
      <c r="EF85" s="59">
        <f t="shared" ref="EF85:EF130" si="482">IFERROR(VALUE(IF(OR(EM85="--",EM85="0.00%"),$EE$1,EM85)),$EE$1)</f>
        <v>3.3449</v>
      </c>
      <c r="EG85" s="59">
        <f t="shared" ref="EG85:EG130" si="483">IFERROR(VALUE(IF(OR(EN85="--",EN85="0.00%"),$EE$1,EN85)),$EE$1)</f>
        <v>0.25380000000000003</v>
      </c>
      <c r="EH85" s="59">
        <f t="shared" ref="EH85:EH130" si="484">IFERROR(VALUE(IF(OR(EO85="--",EO85="0.00%"),$EE$1,EO85)),$EE$1)</f>
        <v>0.25</v>
      </c>
      <c r="EI85" s="59">
        <f t="shared" ref="EI85:EI130" si="485">IFERROR(VALUE(IF(OR(EP85="--",EP85="0.00%"),$EE$1,EP85)),$EE$1)</f>
        <v>0.18959999999999999</v>
      </c>
      <c r="EJ85" s="59">
        <f t="shared" ref="EJ85:EJ130" si="486">IFERROR(VALUE(IF(OR(EQ85="--",EQ85="0.00%"),$EE$1,EQ85)),$EE$1)</f>
        <v>0.25</v>
      </c>
      <c r="EL85" s="3" t="str">
        <f>RTD("tos.rtd",,EL$83,"."&amp;$B$82&amp;$AS$82&amp;"C"&amp;$A85)</f>
        <v>180.22%</v>
      </c>
      <c r="EM85" s="3" t="str">
        <f>RTD("tos.rtd",,EM$83,"."&amp;$B$82&amp;$AS$82&amp;"P"&amp;$A85)</f>
        <v>334.49%</v>
      </c>
      <c r="EN85" s="3" t="str">
        <f>RTD("tos.rtd",,EN$83,"."&amp;$C$82&amp;$AU$82&amp;"C"&amp;$A85)</f>
        <v>25.38%</v>
      </c>
      <c r="EO85" s="3" t="str">
        <f>RTD("tos.rtd",,EO$83,"."&amp;$C$82&amp;$AU$82&amp;"P"&amp;$A85)</f>
        <v>--</v>
      </c>
      <c r="EP85" s="3" t="str">
        <f>RTD("tos.rtd",,EP$83,"."&amp;$D$82&amp;$AW$82&amp;"C"&amp;$A85)</f>
        <v>18.96%</v>
      </c>
      <c r="EQ85" s="3" t="str">
        <f>RTD("tos.rtd",,EQ$83,"."&amp;$D$82&amp;$AW$82&amp;"P"&amp;$A85)</f>
        <v>--</v>
      </c>
      <c r="ES85" s="63" t="str">
        <f t="shared" ref="ES85:ES130" si="487">IFERROR(
    A85 &amp; "," &amp; TEXT(IF(ISNUMBER(DV85+DW85), DV85+DW85, 0), "00.00"),    "Error"
)</f>
        <v>5870,81.00</v>
      </c>
      <c r="ET85" s="64" t="str">
        <f t="shared" ref="ET85:ET130" ca="1" si="488">IF(ISERROR(
    A85 &amp; "," &amp; TEXT(
        IF($E$1="GEX-VOL", IF(ISNUMBER(BX85+BZ85+CB85), (BX85+BZ85+CB85)/1000, 0),
           IF($E$1="GEX-OI", IF(ISNUMBER(BQ85+BS85+BU85), (BQ85+BS85+BU85)/1000, 0),
               IF($E$1="DEX",IF(ISNUMBER(CK85+CM85+CO85), (CK85+CM85+CO85)/1000, 0),
                  IF($E$1="VOLPRES",IF(ISNUMBER(DJ85+DK85), (DJ85+DK85), 0),
                     IF(ISNUMBER(DV85+DW85), (DV85+DW85), 0)
        )))),
    "00.00")
), "Error",
A85 &amp; "," &amp; TEXT(
        IF($E$1="GEX-VOL", IF(ISNUMBER(BX85+BZ85+CB85), (BX85+BZ85+CB85)/1000, 0),
           IF($E$1="GEX-OI", IF(ISNUMBER(BQ85+BS85+BU85), (BQ85+BS85+BU85)/1000, 0),
               IF($E$1="DEX", IF(ISNUMBER(CK85+CM85+CO85), (CK85+CM85+CO85)/1000, 0),
                  IF($E$1="VOLPRES",IF(ISNUMBER(DJ85+DK85), (DJ85+DK85), 0),
                    IF(ISNUMBER(DV85+DW85), (DV85+DW85), 0)
        )))),
    "00.00")
)</f>
        <v>5870,00.00</v>
      </c>
      <c r="EU85" s="67">
        <v>561.94000000000005</v>
      </c>
      <c r="EV85" s="67" t="s">
        <v>700</v>
      </c>
      <c r="EW85" s="67">
        <v>484.35</v>
      </c>
      <c r="EX85" s="67" t="s">
        <v>701</v>
      </c>
      <c r="EY85" s="67">
        <v>5633</v>
      </c>
      <c r="EZ85" s="67" t="s">
        <v>702</v>
      </c>
      <c r="FA85" s="67">
        <v>19896</v>
      </c>
      <c r="FB85" s="67" t="s">
        <v>703</v>
      </c>
      <c r="FC85" s="67" t="s">
        <v>704</v>
      </c>
      <c r="FD85" s="67" t="s">
        <v>705</v>
      </c>
      <c r="FE85" s="68" t="s">
        <v>706</v>
      </c>
      <c r="FF85" s="68" t="s">
        <v>707</v>
      </c>
    </row>
    <row r="86" spans="1:162" s="63" customFormat="1" ht="12" customHeight="1" thickBot="1" x14ac:dyDescent="0.25">
      <c r="A86" s="2">
        <f>+A85-$A$81</f>
        <v>5860</v>
      </c>
      <c r="B86" s="3">
        <f t="shared" si="449"/>
        <v>156</v>
      </c>
      <c r="C86" s="3">
        <f t="shared" si="450"/>
        <v>280</v>
      </c>
      <c r="D86" s="3">
        <f t="shared" si="451"/>
        <v>1172</v>
      </c>
      <c r="E86" s="3">
        <f t="shared" si="452"/>
        <v>1608</v>
      </c>
      <c r="F86" s="4">
        <f>+$F$84/$A$84*A86</f>
        <v>5910.6988109275335</v>
      </c>
      <c r="G86" s="4">
        <f t="shared" ref="G86:G98" si="489">+$G$84/$A$84*A86</f>
        <v>587.25082041738301</v>
      </c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20"/>
      <c r="AM86" s="20">
        <v>268</v>
      </c>
      <c r="AN86" s="20">
        <v>0</v>
      </c>
      <c r="AO86" s="20">
        <v>5860</v>
      </c>
      <c r="AP86" s="20">
        <v>339</v>
      </c>
      <c r="AQ86" s="20">
        <v>0</v>
      </c>
      <c r="AR86" s="20"/>
      <c r="AS86" s="54">
        <f>IF(RTD("tos.rtd",,AS$83,"."&amp;$B$82&amp;$AS$82&amp;"C"&amp;$A86)="N/A",0,RTD("tos.rtd",,AS$83,"."&amp;$B$82&amp;$AS$82&amp;"C"&amp;$A86))</f>
        <v>156</v>
      </c>
      <c r="AT86" s="3">
        <f>-IF(RTD("tos.rtd",,AT$83,"."&amp;$B$82&amp;$AS$82&amp;"P"&amp;$A86)="N/A",0,RTD("tos.rtd",,AT$83,"."&amp;$B$82&amp;$AS$82&amp;"P"&amp;$A86))</f>
        <v>0</v>
      </c>
      <c r="AU86" s="54">
        <f>IF(RTD("tos.rtd",,AU$83,"."&amp;$C$82&amp;$AU$82&amp;"C"&amp;$A86)="N/A",0,RTD("tos.rtd",,AU$83,"."&amp;$C$82&amp;$AU$82&amp;"C"&amp;$A86))</f>
        <v>277</v>
      </c>
      <c r="AV86" s="3">
        <f>-IF(RTD("tos.rtd",,AV$83,"."&amp;$C$82&amp;$AU$82&amp;"P"&amp;$A86)="N/A",0,RTD("tos.rtd",,AV$83,"."&amp;$C$82&amp;$AU$82&amp;"P"&amp;$A86))</f>
        <v>-3</v>
      </c>
      <c r="AW86" s="54">
        <f>IF(RTD("tos.rtd",,AW$83,"."&amp;$D$82&amp;$AW$82&amp;"C"&amp;$A86)="N/A",0,RTD("tos.rtd",,AW$83,"."&amp;$D$82&amp;$AW$82&amp;"C"&amp;$A86))</f>
        <v>889</v>
      </c>
      <c r="AX86" s="3">
        <f>-IF(RTD("tos.rtd",,AX$83,"."&amp;$D$82&amp;$AW$82&amp;"P"&amp;$A86)="N/A",0,RTD("tos.rtd",,AX$83,"."&amp;$D$82&amp;$AW$82&amp;"P"&amp;$A86))</f>
        <v>-283</v>
      </c>
      <c r="AY86" s="79">
        <f t="shared" ref="AY86:AY98" si="490">SUM(AS86:AX86)</f>
        <v>1036</v>
      </c>
      <c r="AZ86" s="8">
        <f t="shared" si="453"/>
        <v>5860</v>
      </c>
      <c r="BA86" s="54">
        <f>IF(RTD("tos.rtd",,BA$83,"."&amp;$B$82&amp;$AS$82&amp;"C"&amp;$A86)="N/A",0,RTD("tos.rtd",,BA$83,"."&amp;$B$82&amp;$AS$82&amp;"C"&amp;$A86))</f>
        <v>0</v>
      </c>
      <c r="BB86" s="3">
        <f>-IF(RTD("tos.rtd",,BB$83,"."&amp;$B$82&amp;$AS$82&amp;"P"&amp;$A86)="N/A",0,RTD("tos.rtd",,BB$83,"."&amp;$B$82&amp;$AS$82&amp;"P"&amp;$A86))</f>
        <v>0</v>
      </c>
      <c r="BC86" s="54">
        <f>IF(RTD("tos.rtd",,BC$83,"."&amp;$C$82&amp;$AU$82&amp;"C"&amp;$A86)="N/A",0,RTD("tos.rtd",,BC$83,"."&amp;$C$82&amp;$AU$82&amp;"C"&amp;$A86))</f>
        <v>0</v>
      </c>
      <c r="BD86" s="3">
        <f>-IF(RTD("tos.rtd",,BD$83,"."&amp;$C$82&amp;$AU$82&amp;"P"&amp;$A86)="N/A",0,RTD("tos.rtd",,BD$83,"."&amp;$C$82&amp;$AU$82&amp;"P"&amp;$A86))</f>
        <v>0</v>
      </c>
      <c r="BE86" s="54">
        <f>IF(RTD("tos.rtd",,BE$83,"."&amp;$D$82&amp;$AW$82&amp;"C"&amp;$A86)="N/A",0,RTD("tos.rtd",,BE$83,"."&amp;$D$82&amp;$AW$82&amp;"C"&amp;$A86))</f>
        <v>0</v>
      </c>
      <c r="BF86" s="3">
        <f>-IF(RTD("tos.rtd",,BF$83,"."&amp;$D$82&amp;$AW$82&amp;"P"&amp;$A86)="N/A",0,RTD("tos.rtd",,BF$83,"."&amp;$D$82&amp;$AW$82&amp;"P"&amp;$A86))</f>
        <v>0</v>
      </c>
      <c r="BG86" s="3">
        <f ca="1">+Hoja2!Y87</f>
        <v>0</v>
      </c>
      <c r="BH86" s="55">
        <f t="shared" ref="BH86:BH130" ca="1" si="491">SUM(BA86:BG86)</f>
        <v>0</v>
      </c>
      <c r="BI86" s="32"/>
      <c r="BJ86" s="3" t="e">
        <f ca="1">IF($BP$1=1,DX86,IF(RTD("tos.rtd",,BJ$83,"."&amp;$B$82&amp;$AS$82&amp;"C"&amp;$A86)="N/A",0,RTD("tos.rtd",,BJ$83,"."&amp;$B$82&amp;$AS$82&amp;"C"&amp;$A86)))</f>
        <v>#NUM!</v>
      </c>
      <c r="BK86" s="3" t="e">
        <f ca="1">IF($BP$1=1,DY86,-IF(RTD("tos.rtd",,BK$83,"."&amp;$B$82&amp;$AS$82&amp;"P"&amp;$A86)="N/A",0,RTD("tos.rtd",,BK$83,"."&amp;$B$82&amp;$AS$82&amp;"P"&amp;$A86)))</f>
        <v>#NUM!</v>
      </c>
      <c r="BL86" s="3">
        <f ca="1">IF($BP$1=1,DZ86,IF(RTD("tos.rtd",,BL$83,"."&amp;$C$82&amp;$AU$82&amp;"C"&amp;$A86)="N/A",0,RTD("tos.rtd",,BL$83,"."&amp;$C$82&amp;$AU$82&amp;"C"&amp;$A86)))</f>
        <v>5.3942321470729505E-4</v>
      </c>
      <c r="BM86" s="3">
        <f ca="1">IF($BP$1=1,EA86,-IF(RTD("tos.rtd",,BM$83,"."&amp;$C$82&amp;$AU$82&amp;"P"&amp;$A86)="N/A",0,RTD("tos.rtd",,BM$83,"."&amp;$C$82&amp;$AU$82&amp;"P"&amp;$A86)))</f>
        <v>-5.4241124083088314E-4</v>
      </c>
      <c r="BN86" s="3">
        <f ca="1">IF($BP$1=1,EB86,IF(RTD("tos.rtd",,BN$83,"."&amp;$D$82&amp;$AW$82&amp;"C"&amp;$A86)="N/A",0,RTD("tos.rtd",,BN$83,"."&amp;$D$82&amp;$AW$82&amp;"C"&amp;$A86)))</f>
        <v>1.8734787350095764E-4</v>
      </c>
      <c r="BO86" s="3">
        <f ca="1">IF($BP$1=1,EC86,-IF(RTD("tos.rtd",,BO$83,"."&amp;$D$82&amp;$AW$82&amp;"P"&amp;$A86)="N/A",0,RTD("tos.rtd",,BO$83,"."&amp;$D$82&amp;$AW$82&amp;"P"&amp;$A86)))</f>
        <v>-5.4241124083088314E-4</v>
      </c>
      <c r="BQ86" s="3" t="e">
        <f t="shared" ca="1" si="454"/>
        <v>#NUM!</v>
      </c>
      <c r="BR86" s="3" t="e">
        <f t="shared" ref="BR86:BV130" ca="1" si="492">IF(AND(BQ86&lt;0,BQ85&gt;0), "Cruce -", IF(AND(BQ86&gt;0,BQ85&lt;0),"Cruce +", ""))</f>
        <v>#NUM!</v>
      </c>
      <c r="BS86" s="3">
        <f t="shared" ca="1" si="455"/>
        <v>35030.32801505649</v>
      </c>
      <c r="BT86" s="3" t="str">
        <f t="shared" ca="1" si="492"/>
        <v/>
      </c>
      <c r="BU86" s="3">
        <f t="shared" ca="1" si="456"/>
        <v>3093.120313606436</v>
      </c>
      <c r="BV86" s="3" t="str">
        <f t="shared" ca="1" si="492"/>
        <v>Cruce +</v>
      </c>
      <c r="BX86" s="3" t="e">
        <f t="shared" ca="1" si="457"/>
        <v>#NUM!</v>
      </c>
      <c r="BY86" s="3" t="e">
        <f ca="1">IF(AND(BX86&lt;0,BX85&gt;0), "Cruce -", IF(AND(BX86&gt;0,BX85&lt;0),"Cruce +", ""))</f>
        <v>#NUM!</v>
      </c>
      <c r="BZ86" s="3">
        <f t="shared" ca="1" si="458"/>
        <v>0</v>
      </c>
      <c r="CA86" s="3" t="str">
        <f ca="1">IF(AND(BZ86&lt;0,BZ85&gt;0), "Cruce -", IF(AND(BZ86&gt;0,BZ85&lt;0),"Cruce +", ""))</f>
        <v/>
      </c>
      <c r="CB86" s="3">
        <f t="shared" ca="1" si="459"/>
        <v>0</v>
      </c>
      <c r="CC86" s="3" t="str">
        <f ca="1">IF(AND(CB86&lt;0,CB85&gt;0), "Cruce -", IF(AND(CB86&gt;0,CB85&lt;0),"Cruce +", ""))</f>
        <v/>
      </c>
      <c r="CD86" s="3">
        <f>IF(RTD("tos.rtd",,CD$83,"."&amp;$B$82&amp;$AS$82&amp;"C"&amp;$A86)="N/A",0,RTD("tos.rtd",,CD$83,"."&amp;$B$82&amp;$AS$82&amp;"C"&amp;$A86))</f>
        <v>0</v>
      </c>
      <c r="CE86" s="3">
        <f>-IF(RTD("tos.rtd",,CE$83,"."&amp;$B$82&amp;$AS$82&amp;"P"&amp;$A86)="N/A",0,RTD("tos.rtd",,CE$83,"."&amp;$B$82&amp;$AS$82&amp;"P"&amp;$A86))</f>
        <v>0.91</v>
      </c>
      <c r="CF86" s="3">
        <f>IF(RTD("tos.rtd",,CF$83,"."&amp;$C$82&amp;$AU$82&amp;"C"&amp;$A86)="N/A",0,RTD("tos.rtd",,CF$83,"."&amp;$C$82&amp;$AU$82&amp;"C"&amp;$A86))</f>
        <v>0.01</v>
      </c>
      <c r="CG86" s="3">
        <f>-IF(RTD("tos.rtd",,CG$83,"."&amp;$C$82&amp;$AU$82&amp;"P"&amp;$A86)="N/A",0,RTD("tos.rtd",,CG$83,"."&amp;$C$82&amp;$AU$82&amp;"P"&amp;$A86))</f>
        <v>1</v>
      </c>
      <c r="CH86" s="3">
        <f>IF(RTD("tos.rtd",,CH$83,"."&amp;$D$82&amp;$AW$82&amp;"C"&amp;$A86)="N/A",0,RTD("tos.rtd",,CH$83,"."&amp;$D$82&amp;$AW$82&amp;"C"&amp;$A86))</f>
        <v>0.1</v>
      </c>
      <c r="CI86" s="3">
        <f>-IF(RTD("tos.rtd",,CI$83,"."&amp;$D$82&amp;$AW$82&amp;"P"&amp;$A86)="N/A",0,RTD("tos.rtd",,CI$83,"."&amp;$D$82&amp;$AW$82&amp;"P"&amp;$A86))</f>
        <v>1</v>
      </c>
      <c r="CK86" s="3">
        <f t="shared" ref="CK86:CK130" si="493">+AS86*CD86*100+AT86*CE86*100</f>
        <v>0</v>
      </c>
      <c r="CL86" s="3"/>
      <c r="CM86" s="3">
        <f t="shared" ref="CM86:CM130" si="494">+AU86*CF86*100+AV86*CG86*100</f>
        <v>-23</v>
      </c>
      <c r="CN86" s="3"/>
      <c r="CO86" s="3">
        <f t="shared" ref="CO86:CO130" si="495">+AW86*CH86*100+AX86*CI86*100</f>
        <v>-19410</v>
      </c>
      <c r="CP86" s="3">
        <f t="shared" si="460"/>
        <v>-19433</v>
      </c>
      <c r="CQ86" s="3">
        <f t="shared" si="461"/>
        <v>0</v>
      </c>
      <c r="CR86" s="3"/>
      <c r="CS86" s="3">
        <f t="shared" si="462"/>
        <v>0</v>
      </c>
      <c r="CT86" s="3"/>
      <c r="CU86" s="3">
        <f t="shared" si="463"/>
        <v>0</v>
      </c>
      <c r="CV86" s="3"/>
      <c r="CW86" s="3" t="e">
        <f t="shared" ref="CW86:CW98" ca="1" si="496">+BQ86+BS86+BU86</f>
        <v>#NUM!</v>
      </c>
      <c r="CY86" s="3" t="e">
        <f t="shared" ca="1" si="465"/>
        <v>#NUM!</v>
      </c>
      <c r="CZ86" s="70" t="e">
        <f ca="1">IF(AND(CY86&lt;0,CY85&gt;0), "Cruce -", IF(AND(CY86&gt;0,CY85&lt;0),"Cruce +", ""))</f>
        <v>#NUM!</v>
      </c>
      <c r="DA86" s="3">
        <f>IF(RTD("tos.rtd",,DA$83,"."&amp;$B$82&amp;$AS$82&amp;"C"&amp;$A86)="N/A",0,RTD("tos.rtd",,DA$83,"."&amp;$B$82&amp;$AS$82&amp;"C"&amp;$A86))</f>
        <v>0.05</v>
      </c>
      <c r="DB86" s="3">
        <f>IF(RTD("tos.rtd",,DB$83,"."&amp;$B$82&amp;$AS$82&amp;"P"&amp;$A86)="N/A",0,RTD("tos.rtd",,DB$83,"."&amp;$B$82&amp;$AS$82&amp;"P"&amp;$A86))</f>
        <v>0</v>
      </c>
      <c r="DC86" s="3">
        <f>IF(RTD("tos.rtd",,DC$83,"."&amp;$B$82&amp;$AS$82&amp;"C"&amp;$A86)="N/A",0,RTD("tos.rtd",,DC$83,"."&amp;$B$82&amp;$AS$82&amp;"C"&amp;$A86))</f>
        <v>0.05</v>
      </c>
      <c r="DD86" s="3">
        <f>IF(RTD("tos.rtd",,DD$83,"."&amp;$B$82&amp;$AS$82&amp;"P"&amp;$A86)="N/A",0,RTD("tos.rtd",,DD$83,"."&amp;$B$82&amp;$AS$82&amp;"P"&amp;$A86))</f>
        <v>242.1</v>
      </c>
      <c r="DE86" s="3">
        <f>IF(RTD("tos.rtd",,DE$83,"."&amp;$B$82&amp;$AS$82&amp;"C"&amp;$A86)="N/A",0,RTD("tos.rtd",,DE$83,"."&amp;$B$82&amp;$AS$82&amp;"C"&amp;$A86))</f>
        <v>0</v>
      </c>
      <c r="DF86" s="3">
        <f>IF(RTD("tos.rtd",,DF$83,"."&amp;$B$82&amp;$AS$82&amp;"P"&amp;$A86)="N/A",0,RTD("tos.rtd",,DF$83,"."&amp;$B$82&amp;$AS$82&amp;"P"&amp;$A86))</f>
        <v>228.3</v>
      </c>
      <c r="DG86" s="86">
        <f t="shared" ref="DG86:DG130" si="497">+$A86-$A$84</f>
        <v>228.72000000000025</v>
      </c>
      <c r="DH86" s="3">
        <f t="shared" si="466"/>
        <v>-339</v>
      </c>
      <c r="DI86" s="3">
        <f t="shared" si="467"/>
        <v>0</v>
      </c>
      <c r="DJ86" s="3">
        <f t="shared" si="468"/>
        <v>-339</v>
      </c>
      <c r="DK86" s="3">
        <f t="shared" si="469"/>
        <v>0</v>
      </c>
      <c r="DL86" s="3">
        <f t="shared" si="470"/>
        <v>-339</v>
      </c>
      <c r="DM86" s="3">
        <f t="shared" si="471"/>
        <v>-339</v>
      </c>
      <c r="DN86" s="64" t="str">
        <f t="shared" si="472"/>
        <v>UNKNOWN</v>
      </c>
      <c r="DO86" s="64" t="str">
        <f t="shared" si="473"/>
        <v>UNKNOWN</v>
      </c>
      <c r="DP86" s="3">
        <f t="shared" si="474"/>
        <v>-16.95</v>
      </c>
      <c r="DQ86" s="3">
        <f t="shared" si="475"/>
        <v>-16.95</v>
      </c>
      <c r="DR86" s="3" t="e">
        <f t="shared" ca="1" si="476"/>
        <v>#NUM!</v>
      </c>
      <c r="DS86" s="3">
        <f t="shared" si="477"/>
        <v>0</v>
      </c>
      <c r="DT86" s="3">
        <f t="shared" ref="DT86:DT130" si="498">BA86-VLOOKUP(AZ86,$AO$85:$AQ$130,2,FALSE)</f>
        <v>-339</v>
      </c>
      <c r="DU86" s="3">
        <f t="shared" ref="DU86:DU130" si="499">BB86-VLOOKUP(AZ86,$AO$85:$AQ$130,3,FALSE)</f>
        <v>0</v>
      </c>
      <c r="DV86" s="3">
        <f t="shared" ref="DV86:DV130" si="500">AM86+IF(DN86="BUY",DT86,IF(DN86="SELL",-DT86,0))</f>
        <v>268</v>
      </c>
      <c r="DW86" s="3">
        <f t="shared" ref="DW86:DW130" si="501">AN86+IF(DO86="BUY",DU86,IF(DO86="SELL",-DU86,0))</f>
        <v>0</v>
      </c>
      <c r="DX86" s="3" t="e">
        <f ca="1">(EXP(-POWER((LN($A$84/$A86)+($EC$1+POWER($EE86,2)/2)*($EM$1/$DY$1))/($EE86*SQRT($EM$1/$DY$1)),2)/2)/SQRT(2*PI())/($A$84*$EE86*SQRT($EM$1/$DY$1)))</f>
        <v>#NUM!</v>
      </c>
      <c r="DY86" s="3" t="e">
        <f t="shared" ca="1" si="478"/>
        <v>#NUM!</v>
      </c>
      <c r="DZ86" s="3">
        <f t="shared" ref="DZ86:DZ130" ca="1" si="502">(EXP(-POWER((LN($A$84/$A86)+($EC$1+POWER($EG86,2)/2)*($EO$1/$DY$1))/($EG86*SQRT($EO$1/$DY$1)),2)/2)/SQRT(2*PI())/($A$84*$EG86*SQRT($EO$1/$DY$1)))</f>
        <v>5.3942321470729505E-4</v>
      </c>
      <c r="EA86" s="3">
        <f t="shared" ref="EA86:EA130" ca="1" si="503">-(EXP(-POWER((LN($A$84/$A86)+($EC$1+POWER($EH86,2)/2)*($EO$1/$DY$1))/($EH86*SQRT($EO$1/$DY$1)),2)/2)/SQRT(2*PI())/($A$84*$EH86*SQRT($EO$1/$DY$1)))</f>
        <v>-5.4241124083088314E-4</v>
      </c>
      <c r="EB86" s="3">
        <f t="shared" ca="1" si="479"/>
        <v>1.8734787350095764E-4</v>
      </c>
      <c r="EC86" s="3">
        <f t="shared" ca="1" si="480"/>
        <v>-5.4241124083088314E-4</v>
      </c>
      <c r="ED86" s="63">
        <f t="shared" ref="ED86:ED130" si="504">+DV86+DW86</f>
        <v>268</v>
      </c>
      <c r="EE86" s="59">
        <f t="shared" si="481"/>
        <v>1.7343999999999999</v>
      </c>
      <c r="EF86" s="59">
        <f t="shared" si="482"/>
        <v>3.8414999999999999</v>
      </c>
      <c r="EG86" s="59">
        <f t="shared" si="483"/>
        <v>0.2495</v>
      </c>
      <c r="EH86" s="59">
        <f t="shared" si="484"/>
        <v>0.25</v>
      </c>
      <c r="EI86" s="59">
        <f t="shared" si="485"/>
        <v>0.19120000000000001</v>
      </c>
      <c r="EJ86" s="59">
        <f t="shared" si="486"/>
        <v>0.25</v>
      </c>
      <c r="EL86" s="3" t="str">
        <f>RTD("tos.rtd",,EL$83,"."&amp;$B$82&amp;$AS$82&amp;"C"&amp;$A86)</f>
        <v>173.44%</v>
      </c>
      <c r="EM86" s="3" t="str">
        <f>RTD("tos.rtd",,EM$83,"."&amp;$B$82&amp;$AS$82&amp;"P"&amp;$A86)</f>
        <v>384.15%</v>
      </c>
      <c r="EN86" s="3" t="str">
        <f>RTD("tos.rtd",,EN$83,"."&amp;$C$82&amp;$AU$82&amp;"C"&amp;$A86)</f>
        <v>24.95%</v>
      </c>
      <c r="EO86" s="3" t="str">
        <f>RTD("tos.rtd",,EO$83,"."&amp;$C$82&amp;$AU$82&amp;"P"&amp;$A86)</f>
        <v>--</v>
      </c>
      <c r="EP86" s="3" t="str">
        <f>RTD("tos.rtd",,EP$83,"."&amp;$D$82&amp;$AW$82&amp;"C"&amp;$A86)</f>
        <v>19.12%</v>
      </c>
      <c r="EQ86" s="3" t="str">
        <f>RTD("tos.rtd",,EQ$83,"."&amp;$D$82&amp;$AW$82&amp;"P"&amp;$A86)</f>
        <v>--</v>
      </c>
      <c r="ES86" s="63" t="str">
        <f t="shared" si="487"/>
        <v>5860,268.00</v>
      </c>
      <c r="ET86" s="64" t="str">
        <f t="shared" ca="1" si="488"/>
        <v>5860,00.00</v>
      </c>
      <c r="EU86" s="67">
        <v>561.96</v>
      </c>
      <c r="EV86" s="67" t="s">
        <v>708</v>
      </c>
      <c r="EW86" s="67">
        <v>484.36</v>
      </c>
      <c r="EX86" s="67" t="s">
        <v>709</v>
      </c>
      <c r="EY86" s="67">
        <v>5633.25</v>
      </c>
      <c r="EZ86" s="67" t="s">
        <v>710</v>
      </c>
      <c r="FA86" s="67">
        <v>19896</v>
      </c>
      <c r="FB86" s="67" t="s">
        <v>711</v>
      </c>
      <c r="FC86" s="67" t="s">
        <v>712</v>
      </c>
      <c r="FD86" s="67" t="s">
        <v>713</v>
      </c>
      <c r="FE86" s="68" t="s">
        <v>714</v>
      </c>
      <c r="FF86" s="68" t="s">
        <v>715</v>
      </c>
    </row>
    <row r="87" spans="1:162" s="63" customFormat="1" ht="12" customHeight="1" thickBot="1" x14ac:dyDescent="0.25">
      <c r="A87" s="2">
        <f t="shared" ref="A87:A130" si="505">+A86-$A$81</f>
        <v>5850</v>
      </c>
      <c r="B87" s="3">
        <f t="shared" si="449"/>
        <v>1675</v>
      </c>
      <c r="C87" s="3">
        <f t="shared" si="450"/>
        <v>8299</v>
      </c>
      <c r="D87" s="3">
        <f t="shared" si="451"/>
        <v>2624</v>
      </c>
      <c r="E87" s="3">
        <f t="shared" si="452"/>
        <v>12598</v>
      </c>
      <c r="F87" s="4">
        <f t="shared" ref="F87:F92" si="506">+$F$84/$A$84*A87</f>
        <v>5900.6122941853364</v>
      </c>
      <c r="G87" s="4">
        <f t="shared" si="489"/>
        <v>586.24868591155132</v>
      </c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20"/>
      <c r="AM87" s="20">
        <v>-209</v>
      </c>
      <c r="AN87" s="20">
        <v>155</v>
      </c>
      <c r="AO87" s="20">
        <v>5850</v>
      </c>
      <c r="AP87" s="20">
        <v>891</v>
      </c>
      <c r="AQ87" s="20">
        <v>-169</v>
      </c>
      <c r="AR87" s="20"/>
      <c r="AS87" s="54">
        <f>IF(RTD("tos.rtd",,AS$83,"."&amp;$B$82&amp;$AS$82&amp;"C"&amp;$A87)="N/A",0,RTD("tos.rtd",,AS$83,"."&amp;$B$82&amp;$AS$82&amp;"C"&amp;$A87))</f>
        <v>1521</v>
      </c>
      <c r="AT87" s="3">
        <f>-IF(RTD("tos.rtd",,AT$83,"."&amp;$B$82&amp;$AS$82&amp;"P"&amp;$A87)="N/A",0,RTD("tos.rtd",,AT$83,"."&amp;$B$82&amp;$AS$82&amp;"P"&amp;$A87))</f>
        <v>-154</v>
      </c>
      <c r="AU87" s="54">
        <f>IF(RTD("tos.rtd",,AU$83,"."&amp;$C$82&amp;$AU$82&amp;"C"&amp;$A87)="N/A",0,RTD("tos.rtd",,AU$83,"."&amp;$C$82&amp;$AU$82&amp;"C"&amp;$A87))</f>
        <v>8239</v>
      </c>
      <c r="AV87" s="3">
        <f>-IF(RTD("tos.rtd",,AV$83,"."&amp;$C$82&amp;$AU$82&amp;"P"&amp;$A87)="N/A",0,RTD("tos.rtd",,AV$83,"."&amp;$C$82&amp;$AU$82&amp;"P"&amp;$A87))</f>
        <v>-60</v>
      </c>
      <c r="AW87" s="54">
        <f>IF(RTD("tos.rtd",,AW$83,"."&amp;$D$82&amp;$AW$82&amp;"C"&amp;$A87)="N/A",0,RTD("tos.rtd",,AW$83,"."&amp;$D$82&amp;$AW$82&amp;"C"&amp;$A87))</f>
        <v>1729</v>
      </c>
      <c r="AX87" s="3">
        <f>-IF(RTD("tos.rtd",,AX$83,"."&amp;$D$82&amp;$AW$82&amp;"P"&amp;$A87)="N/A",0,RTD("tos.rtd",,AX$83,"."&amp;$D$82&amp;$AW$82&amp;"P"&amp;$A87))</f>
        <v>-895</v>
      </c>
      <c r="AY87" s="79">
        <f t="shared" si="490"/>
        <v>10380</v>
      </c>
      <c r="AZ87" s="8">
        <f t="shared" si="453"/>
        <v>5850</v>
      </c>
      <c r="BA87" s="54">
        <f>IF(RTD("tos.rtd",,BA$83,"."&amp;$B$82&amp;$AS$82&amp;"C"&amp;$A87)="N/A",0,RTD("tos.rtd",,BA$83,"."&amp;$B$82&amp;$AS$82&amp;"C"&amp;$A87))</f>
        <v>0</v>
      </c>
      <c r="BB87" s="3">
        <f>-IF(RTD("tos.rtd",,BB$83,"."&amp;$B$82&amp;$AS$82&amp;"P"&amp;$A87)="N/A",0,RTD("tos.rtd",,BB$83,"."&amp;$B$82&amp;$AS$82&amp;"P"&amp;$A87))</f>
        <v>0</v>
      </c>
      <c r="BC87" s="54">
        <f>IF(RTD("tos.rtd",,BC$83,"."&amp;$C$82&amp;$AU$82&amp;"C"&amp;$A87)="N/A",0,RTD("tos.rtd",,BC$83,"."&amp;$C$82&amp;$AU$82&amp;"C"&amp;$A87))</f>
        <v>9</v>
      </c>
      <c r="BD87" s="3">
        <f>-IF(RTD("tos.rtd",,BD$83,"."&amp;$C$82&amp;$AU$82&amp;"P"&amp;$A87)="N/A",0,RTD("tos.rtd",,BD$83,"."&amp;$C$82&amp;$AU$82&amp;"P"&amp;$A87))</f>
        <v>0</v>
      </c>
      <c r="BE87" s="54">
        <f>IF(RTD("tos.rtd",,BE$83,"."&amp;$D$82&amp;$AW$82&amp;"C"&amp;$A87)="N/A",0,RTD("tos.rtd",,BE$83,"."&amp;$D$82&amp;$AW$82&amp;"C"&amp;$A87))</f>
        <v>1</v>
      </c>
      <c r="BF87" s="3">
        <f>-IF(RTD("tos.rtd",,BF$83,"."&amp;$D$82&amp;$AW$82&amp;"P"&amp;$A87)="N/A",0,RTD("tos.rtd",,BF$83,"."&amp;$D$82&amp;$AW$82&amp;"P"&amp;$A87))</f>
        <v>0</v>
      </c>
      <c r="BG87" s="3">
        <f ca="1">+Hoja2!Y88</f>
        <v>0</v>
      </c>
      <c r="BH87" s="55">
        <f t="shared" ca="1" si="491"/>
        <v>10</v>
      </c>
      <c r="BI87" s="32" t="str">
        <f ca="1">IF(AND(BH87&lt;0,BH86&gt;0), "Cruce -", IF(AND(BH87&gt;0,BH86&lt;0),"Cruce +", ""))</f>
        <v/>
      </c>
      <c r="BJ87" s="3" t="e">
        <f ca="1">IF($BP$1=1,DX87,IF(RTD("tos.rtd",,BJ$83,"."&amp;$B$82&amp;$AS$82&amp;"C"&amp;$A87)="N/A",0,RTD("tos.rtd",,BJ$83,"."&amp;$B$82&amp;$AS$82&amp;"C"&amp;$A87)))</f>
        <v>#NUM!</v>
      </c>
      <c r="BK87" s="3" t="e">
        <f ca="1">IF($BP$1=1,DY87,-IF(RTD("tos.rtd",,BK$83,"."&amp;$B$82&amp;$AS$82&amp;"P"&amp;$A87)="N/A",0,RTD("tos.rtd",,BK$83,"."&amp;$B$82&amp;$AS$82&amp;"P"&amp;$A87)))</f>
        <v>#NUM!</v>
      </c>
      <c r="BL87" s="3">
        <f ca="1">IF($BP$1=1,DZ87,IF(RTD("tos.rtd",,BL$83,"."&amp;$C$82&amp;$AU$82&amp;"C"&amp;$A87)="N/A",0,RTD("tos.rtd",,BL$83,"."&amp;$C$82&amp;$AU$82&amp;"C"&amp;$A87)))</f>
        <v>6.1197266366982549E-4</v>
      </c>
      <c r="BM87" s="3">
        <f ca="1">IF($BP$1=1,EA87,-IF(RTD("tos.rtd",,BM$83,"."&amp;$C$82&amp;$AU$82&amp;"P"&amp;$A87)="N/A",0,RTD("tos.rtd",,BM$83,"."&amp;$C$82&amp;$AU$82&amp;"P"&amp;$A87)))</f>
        <v>-6.3508537788333787E-4</v>
      </c>
      <c r="BN87" s="3">
        <f ca="1">IF($BP$1=1,EB87,IF(RTD("tos.rtd",,BN$83,"."&amp;$D$82&amp;$AW$82&amp;"C"&amp;$A87)="N/A",0,RTD("tos.rtd",,BN$83,"."&amp;$D$82&amp;$AW$82&amp;"C"&amp;$A87)))</f>
        <v>2.5239595445114869E-4</v>
      </c>
      <c r="BO87" s="3">
        <f ca="1">IF($BP$1=1,EC87,-IF(RTD("tos.rtd",,BO$83,"."&amp;$D$82&amp;$AW$82&amp;"P"&amp;$A87)="N/A",0,RTD("tos.rtd",,BO$83,"."&amp;$D$82&amp;$AW$82&amp;"P"&amp;$A87)))</f>
        <v>-6.3508537788333787E-4</v>
      </c>
      <c r="BQ87" s="3" t="e">
        <f t="shared" ca="1" si="454"/>
        <v>#NUM!</v>
      </c>
      <c r="BR87" s="3" t="e">
        <f t="shared" ca="1" si="492"/>
        <v>#NUM!</v>
      </c>
      <c r="BS87" s="3">
        <f t="shared" ca="1" si="455"/>
        <v>1186047.9265935961</v>
      </c>
      <c r="BT87" s="3" t="str">
        <f t="shared" ca="1" si="492"/>
        <v/>
      </c>
      <c r="BU87" s="3">
        <f t="shared" ca="1" si="456"/>
        <v>-31289.11345831411</v>
      </c>
      <c r="BV87" s="3" t="str">
        <f t="shared" ca="1" si="492"/>
        <v>Cruce -</v>
      </c>
      <c r="BX87" s="3" t="e">
        <f t="shared" ca="1" si="457"/>
        <v>#NUM!</v>
      </c>
      <c r="BY87" s="3" t="e">
        <f t="shared" ref="BY87:CC130" ca="1" si="507">IF(AND(BX87&lt;0,BX86&gt;0), "Cruce -", IF(AND(BX87&gt;0,BX86&lt;0),"Cruce +", ""))</f>
        <v>#NUM!</v>
      </c>
      <c r="BZ87" s="3">
        <f t="shared" ca="1" si="458"/>
        <v>1305.4639430981847</v>
      </c>
      <c r="CA87" s="3" t="str">
        <f t="shared" ca="1" si="507"/>
        <v/>
      </c>
      <c r="CB87" s="3">
        <f t="shared" ca="1" si="459"/>
        <v>59.823626751188151</v>
      </c>
      <c r="CC87" s="3" t="str">
        <f t="shared" ca="1" si="507"/>
        <v/>
      </c>
      <c r="CD87" s="3">
        <f>IF(RTD("tos.rtd",,CD$83,"."&amp;$B$82&amp;$AS$82&amp;"C"&amp;$A87)="N/A",0,RTD("tos.rtd",,CD$83,"."&amp;$B$82&amp;$AS$82&amp;"C"&amp;$A87))</f>
        <v>0</v>
      </c>
      <c r="CE87" s="3">
        <f>-IF(RTD("tos.rtd",,CE$83,"."&amp;$B$82&amp;$AS$82&amp;"P"&amp;$A87)="N/A",0,RTD("tos.rtd",,CE$83,"."&amp;$B$82&amp;$AS$82&amp;"P"&amp;$A87))</f>
        <v>0.91</v>
      </c>
      <c r="CF87" s="3">
        <f>IF(RTD("tos.rtd",,CF$83,"."&amp;$C$82&amp;$AU$82&amp;"C"&amp;$A87)="N/A",0,RTD("tos.rtd",,CF$83,"."&amp;$C$82&amp;$AU$82&amp;"C"&amp;$A87))</f>
        <v>0.01</v>
      </c>
      <c r="CG87" s="3">
        <f>-IF(RTD("tos.rtd",,CG$83,"."&amp;$C$82&amp;$AU$82&amp;"P"&amp;$A87)="N/A",0,RTD("tos.rtd",,CG$83,"."&amp;$C$82&amp;$AU$82&amp;"P"&amp;$A87))</f>
        <v>1</v>
      </c>
      <c r="CH87" s="3">
        <f>IF(RTD("tos.rtd",,CH$83,"."&amp;$D$82&amp;$AW$82&amp;"C"&amp;$A87)="N/A",0,RTD("tos.rtd",,CH$83,"."&amp;$D$82&amp;$AW$82&amp;"C"&amp;$A87))</f>
        <v>0.11</v>
      </c>
      <c r="CI87" s="3">
        <f>-IF(RTD("tos.rtd",,CI$83,"."&amp;$D$82&amp;$AW$82&amp;"P"&amp;$A87)="N/A",0,RTD("tos.rtd",,CI$83,"."&amp;$D$82&amp;$AW$82&amp;"P"&amp;$A87))</f>
        <v>1</v>
      </c>
      <c r="CK87" s="3">
        <f t="shared" si="493"/>
        <v>-14014.000000000002</v>
      </c>
      <c r="CL87" s="3"/>
      <c r="CM87" s="3">
        <f t="shared" si="494"/>
        <v>2239</v>
      </c>
      <c r="CN87" s="3"/>
      <c r="CO87" s="3">
        <f t="shared" si="495"/>
        <v>-70481</v>
      </c>
      <c r="CP87" s="3">
        <f t="shared" si="460"/>
        <v>-82256</v>
      </c>
      <c r="CQ87" s="3">
        <f t="shared" si="461"/>
        <v>0</v>
      </c>
      <c r="CR87" s="3"/>
      <c r="CS87" s="3">
        <f t="shared" si="462"/>
        <v>9</v>
      </c>
      <c r="CT87" s="3"/>
      <c r="CU87" s="3">
        <f t="shared" si="463"/>
        <v>1</v>
      </c>
      <c r="CV87" s="3"/>
      <c r="CW87" s="3" t="e">
        <f t="shared" ca="1" si="496"/>
        <v>#NUM!</v>
      </c>
      <c r="CY87" s="3" t="e">
        <f t="shared" ca="1" si="465"/>
        <v>#NUM!</v>
      </c>
      <c r="CZ87" s="70" t="e">
        <f t="shared" ref="CZ87:CZ130" ca="1" si="508">IF(AND(CY87&lt;0,CY86&gt;0), "Cruce -", IF(AND(CY87&gt;0,CY86&lt;0),"Cruce +", ""))</f>
        <v>#NUM!</v>
      </c>
      <c r="DA87" s="3">
        <f>IF(RTD("tos.rtd",,DA$83,"."&amp;$B$82&amp;$AS$82&amp;"C"&amp;$A87)="N/A",0,RTD("tos.rtd",,DA$83,"."&amp;$B$82&amp;$AS$82&amp;"C"&amp;$A87))</f>
        <v>0.05</v>
      </c>
      <c r="DB87" s="3">
        <f>IF(RTD("tos.rtd",,DB$83,"."&amp;$B$82&amp;$AS$82&amp;"P"&amp;$A87)="N/A",0,RTD("tos.rtd",,DB$83,"."&amp;$B$82&amp;$AS$82&amp;"P"&amp;$A87))</f>
        <v>249.33</v>
      </c>
      <c r="DC87" s="3">
        <f>IF(RTD("tos.rtd",,DC$83,"."&amp;$B$82&amp;$AS$82&amp;"C"&amp;$A87)="N/A",0,RTD("tos.rtd",,DC$83,"."&amp;$B$82&amp;$AS$82&amp;"C"&amp;$A87))</f>
        <v>0.05</v>
      </c>
      <c r="DD87" s="3">
        <f>IF(RTD("tos.rtd",,DD$83,"."&amp;$B$82&amp;$AS$82&amp;"P"&amp;$A87)="N/A",0,RTD("tos.rtd",,DD$83,"."&amp;$B$82&amp;$AS$82&amp;"P"&amp;$A87))</f>
        <v>232</v>
      </c>
      <c r="DE87" s="3">
        <f>IF(RTD("tos.rtd",,DE$83,"."&amp;$B$82&amp;$AS$82&amp;"C"&amp;$A87)="N/A",0,RTD("tos.rtd",,DE$83,"."&amp;$B$82&amp;$AS$82&amp;"C"&amp;$A87))</f>
        <v>0</v>
      </c>
      <c r="DF87" s="3">
        <f>IF(RTD("tos.rtd",,DF$83,"."&amp;$B$82&amp;$AS$82&amp;"P"&amp;$A87)="N/A",0,RTD("tos.rtd",,DF$83,"."&amp;$B$82&amp;$AS$82&amp;"P"&amp;$A87))</f>
        <v>218.3</v>
      </c>
      <c r="DG87" s="86">
        <f t="shared" si="497"/>
        <v>218.72000000000025</v>
      </c>
      <c r="DH87" s="3">
        <f t="shared" si="466"/>
        <v>-891</v>
      </c>
      <c r="DI87" s="3">
        <f t="shared" si="467"/>
        <v>382.77883211678864</v>
      </c>
      <c r="DJ87" s="3">
        <f t="shared" si="468"/>
        <v>-891</v>
      </c>
      <c r="DK87" s="3">
        <f t="shared" si="469"/>
        <v>169</v>
      </c>
      <c r="DL87" s="3">
        <f t="shared" si="470"/>
        <v>-508.22116788321136</v>
      </c>
      <c r="DM87" s="3">
        <f t="shared" si="471"/>
        <v>-722</v>
      </c>
      <c r="DN87" s="64" t="str">
        <f t="shared" si="472"/>
        <v>UNKNOWN</v>
      </c>
      <c r="DO87" s="64" t="str">
        <f t="shared" si="473"/>
        <v>UNKNOWN</v>
      </c>
      <c r="DP87" s="3">
        <f t="shared" si="474"/>
        <v>95393.696211678907</v>
      </c>
      <c r="DQ87" s="3">
        <f t="shared" si="475"/>
        <v>42092.22</v>
      </c>
      <c r="DR87" s="3" t="e">
        <f t="shared" ca="1" si="476"/>
        <v>#NUM!</v>
      </c>
      <c r="DS87" s="3">
        <f t="shared" si="477"/>
        <v>153.79</v>
      </c>
      <c r="DT87" s="3">
        <f t="shared" si="498"/>
        <v>-891</v>
      </c>
      <c r="DU87" s="3">
        <f t="shared" si="499"/>
        <v>169</v>
      </c>
      <c r="DV87" s="3">
        <f t="shared" si="500"/>
        <v>-209</v>
      </c>
      <c r="DW87" s="3">
        <f t="shared" si="501"/>
        <v>155</v>
      </c>
      <c r="DX87" s="3" t="e">
        <f t="shared" ref="DX87:DX130" ca="1" si="509">(EXP(-POWER((LN($A$84/$A87)+($EC$1+POWER($EE87,2)/2)*($EM$1/$DY$1))/($EE87*SQRT($EM$1/$DY$1)),2)/2)/SQRT(2*PI())/($A$84*$EE87*SQRT($EM$1/$DY$1)))</f>
        <v>#NUM!</v>
      </c>
      <c r="DY87" s="3" t="e">
        <f t="shared" ca="1" si="478"/>
        <v>#NUM!</v>
      </c>
      <c r="DZ87" s="3">
        <f t="shared" ca="1" si="502"/>
        <v>6.1197266366982549E-4</v>
      </c>
      <c r="EA87" s="3">
        <f t="shared" ca="1" si="503"/>
        <v>-6.3508537788333787E-4</v>
      </c>
      <c r="EB87" s="3">
        <f t="shared" ca="1" si="479"/>
        <v>2.5239595445114869E-4</v>
      </c>
      <c r="EC87" s="3">
        <f t="shared" ca="1" si="480"/>
        <v>-6.3508537788333787E-4</v>
      </c>
      <c r="ED87" s="63">
        <f t="shared" si="504"/>
        <v>-54</v>
      </c>
      <c r="EE87" s="59">
        <f t="shared" si="481"/>
        <v>1.6662999999999999</v>
      </c>
      <c r="EF87" s="59">
        <f t="shared" si="482"/>
        <v>3.7109999999999999</v>
      </c>
      <c r="EG87" s="59">
        <f t="shared" si="483"/>
        <v>0.24629999999999999</v>
      </c>
      <c r="EH87" s="59">
        <f t="shared" si="484"/>
        <v>0.25</v>
      </c>
      <c r="EI87" s="59">
        <f t="shared" si="485"/>
        <v>0.1923</v>
      </c>
      <c r="EJ87" s="59">
        <f t="shared" si="486"/>
        <v>0.25</v>
      </c>
      <c r="EL87" s="3" t="str">
        <f>RTD("tos.rtd",,EL$83,"."&amp;$B$82&amp;$AS$82&amp;"C"&amp;$A87)</f>
        <v>166.63%</v>
      </c>
      <c r="EM87" s="3" t="str">
        <f>RTD("tos.rtd",,EM$83,"."&amp;$B$82&amp;$AS$82&amp;"P"&amp;$A87)</f>
        <v>371.10%</v>
      </c>
      <c r="EN87" s="3" t="str">
        <f>RTD("tos.rtd",,EN$83,"."&amp;$C$82&amp;$AU$82&amp;"C"&amp;$A87)</f>
        <v>24.63%</v>
      </c>
      <c r="EO87" s="3" t="str">
        <f>RTD("tos.rtd",,EO$83,"."&amp;$C$82&amp;$AU$82&amp;"P"&amp;$A87)</f>
        <v>--</v>
      </c>
      <c r="EP87" s="3" t="str">
        <f>RTD("tos.rtd",,EP$83,"."&amp;$D$82&amp;$AW$82&amp;"C"&amp;$A87)</f>
        <v>19.23%</v>
      </c>
      <c r="EQ87" s="3" t="str">
        <f>RTD("tos.rtd",,EQ$83,"."&amp;$D$82&amp;$AW$82&amp;"P"&amp;$A87)</f>
        <v>--</v>
      </c>
      <c r="ES87" s="63" t="str">
        <f t="shared" si="487"/>
        <v>5850,-54.00</v>
      </c>
      <c r="ET87" s="64" t="str">
        <f t="shared" ca="1" si="488"/>
        <v>5850,00.00</v>
      </c>
      <c r="EU87" s="67">
        <v>561.94000000000005</v>
      </c>
      <c r="EV87" s="67" t="s">
        <v>716</v>
      </c>
      <c r="EW87" s="67">
        <v>484.33</v>
      </c>
      <c r="EX87" s="67" t="s">
        <v>717</v>
      </c>
      <c r="EY87" s="67">
        <v>5632.75</v>
      </c>
      <c r="EZ87" s="67" t="s">
        <v>718</v>
      </c>
      <c r="FA87" s="67">
        <v>19894.5</v>
      </c>
      <c r="FB87" s="67" t="s">
        <v>719</v>
      </c>
      <c r="FC87" s="67" t="s">
        <v>720</v>
      </c>
      <c r="FD87" s="67" t="s">
        <v>721</v>
      </c>
      <c r="FE87" s="68" t="s">
        <v>722</v>
      </c>
      <c r="FF87" s="68" t="s">
        <v>723</v>
      </c>
    </row>
    <row r="88" spans="1:162" s="63" customFormat="1" ht="12" customHeight="1" thickBot="1" x14ac:dyDescent="0.25">
      <c r="A88" s="2">
        <f t="shared" si="505"/>
        <v>5840</v>
      </c>
      <c r="B88" s="3">
        <f t="shared" si="449"/>
        <v>94</v>
      </c>
      <c r="C88" s="3">
        <f t="shared" si="450"/>
        <v>728</v>
      </c>
      <c r="D88" s="3">
        <f t="shared" si="451"/>
        <v>486</v>
      </c>
      <c r="E88" s="3">
        <f t="shared" si="452"/>
        <v>1308</v>
      </c>
      <c r="F88" s="4">
        <f t="shared" si="506"/>
        <v>5890.5257774431393</v>
      </c>
      <c r="G88" s="4">
        <f t="shared" si="489"/>
        <v>585.24655140571963</v>
      </c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20"/>
      <c r="AM88" s="20">
        <v>4</v>
      </c>
      <c r="AN88" s="20">
        <v>0</v>
      </c>
      <c r="AO88" s="20">
        <v>5840</v>
      </c>
      <c r="AP88" s="20">
        <v>1078</v>
      </c>
      <c r="AQ88" s="20">
        <v>0</v>
      </c>
      <c r="AR88" s="20"/>
      <c r="AS88" s="54">
        <f>IF(RTD("tos.rtd",,AS$83,"."&amp;$B$82&amp;$AS$82&amp;"C"&amp;$A88)="N/A",0,RTD("tos.rtd",,AS$83,"."&amp;$B$82&amp;$AS$82&amp;"C"&amp;$A88))</f>
        <v>92</v>
      </c>
      <c r="AT88" s="3">
        <f>-IF(RTD("tos.rtd",,AT$83,"."&amp;$B$82&amp;$AS$82&amp;"P"&amp;$A88)="N/A",0,RTD("tos.rtd",,AT$83,"."&amp;$B$82&amp;$AS$82&amp;"P"&amp;$A88))</f>
        <v>-2</v>
      </c>
      <c r="AU88" s="54">
        <f>IF(RTD("tos.rtd",,AU$83,"."&amp;$C$82&amp;$AU$82&amp;"C"&amp;$A88)="N/A",0,RTD("tos.rtd",,AU$83,"."&amp;$C$82&amp;$AU$82&amp;"C"&amp;$A88))</f>
        <v>718</v>
      </c>
      <c r="AV88" s="3">
        <f>-IF(RTD("tos.rtd",,AV$83,"."&amp;$C$82&amp;$AU$82&amp;"P"&amp;$A88)="N/A",0,RTD("tos.rtd",,AV$83,"."&amp;$C$82&amp;$AU$82&amp;"P"&amp;$A88))</f>
        <v>-10</v>
      </c>
      <c r="AW88" s="54">
        <f>IF(RTD("tos.rtd",,AW$83,"."&amp;$D$82&amp;$AW$82&amp;"C"&amp;$A88)="N/A",0,RTD("tos.rtd",,AW$83,"."&amp;$D$82&amp;$AW$82&amp;"C"&amp;$A88))</f>
        <v>350</v>
      </c>
      <c r="AX88" s="3">
        <f>-IF(RTD("tos.rtd",,AX$83,"."&amp;$D$82&amp;$AW$82&amp;"P"&amp;$A88)="N/A",0,RTD("tos.rtd",,AX$83,"."&amp;$D$82&amp;$AW$82&amp;"P"&amp;$A88))</f>
        <v>-136</v>
      </c>
      <c r="AY88" s="79">
        <f t="shared" si="490"/>
        <v>1012</v>
      </c>
      <c r="AZ88" s="8">
        <f t="shared" si="453"/>
        <v>5840</v>
      </c>
      <c r="BA88" s="54">
        <f>IF(RTD("tos.rtd",,BA$83,"."&amp;$B$82&amp;$AS$82&amp;"C"&amp;$A88)="N/A",0,RTD("tos.rtd",,BA$83,"."&amp;$B$82&amp;$AS$82&amp;"C"&amp;$A88))</f>
        <v>0</v>
      </c>
      <c r="BB88" s="3">
        <f>-IF(RTD("tos.rtd",,BB$83,"."&amp;$B$82&amp;$AS$82&amp;"P"&amp;$A88)="N/A",0,RTD("tos.rtd",,BB$83,"."&amp;$B$82&amp;$AS$82&amp;"P"&amp;$A88))</f>
        <v>0</v>
      </c>
      <c r="BC88" s="54">
        <f>IF(RTD("tos.rtd",,BC$83,"."&amp;$C$82&amp;$AU$82&amp;"C"&amp;$A88)="N/A",0,RTD("tos.rtd",,BC$83,"."&amp;$C$82&amp;$AU$82&amp;"C"&amp;$A88))</f>
        <v>0</v>
      </c>
      <c r="BD88" s="3">
        <f>-IF(RTD("tos.rtd",,BD$83,"."&amp;$C$82&amp;$AU$82&amp;"P"&amp;$A88)="N/A",0,RTD("tos.rtd",,BD$83,"."&amp;$C$82&amp;$AU$82&amp;"P"&amp;$A88))</f>
        <v>0</v>
      </c>
      <c r="BE88" s="54">
        <f>IF(RTD("tos.rtd",,BE$83,"."&amp;$D$82&amp;$AW$82&amp;"C"&amp;$A88)="N/A",0,RTD("tos.rtd",,BE$83,"."&amp;$D$82&amp;$AW$82&amp;"C"&amp;$A88))</f>
        <v>0</v>
      </c>
      <c r="BF88" s="3">
        <f>-IF(RTD("tos.rtd",,BF$83,"."&amp;$D$82&amp;$AW$82&amp;"P"&amp;$A88)="N/A",0,RTD("tos.rtd",,BF$83,"."&amp;$D$82&amp;$AW$82&amp;"P"&amp;$A88))</f>
        <v>0</v>
      </c>
      <c r="BG88" s="3">
        <f ca="1">+Hoja2!Y89</f>
        <v>0</v>
      </c>
      <c r="BH88" s="55">
        <f t="shared" ca="1" si="491"/>
        <v>0</v>
      </c>
      <c r="BI88" s="32" t="str">
        <f t="shared" ref="BI88:BI130" ca="1" si="510">IF(AND(BH88&lt;0,BH87&gt;0), "Cruce -", IF(AND(BH88&gt;0,BH87&lt;0),"Cruce +", ""))</f>
        <v/>
      </c>
      <c r="BJ88" s="3" t="e">
        <f ca="1">IF($BP$1=1,DX88,IF(RTD("tos.rtd",,BJ$83,"."&amp;$B$82&amp;$AS$82&amp;"C"&amp;$A88)="N/A",0,RTD("tos.rtd",,BJ$83,"."&amp;$B$82&amp;$AS$82&amp;"C"&amp;$A88)))</f>
        <v>#NUM!</v>
      </c>
      <c r="BK88" s="3" t="e">
        <f ca="1">IF($BP$1=1,DY88,-IF(RTD("tos.rtd",,BK$83,"."&amp;$B$82&amp;$AS$82&amp;"P"&amp;$A88)="N/A",0,RTD("tos.rtd",,BK$83,"."&amp;$B$82&amp;$AS$82&amp;"P"&amp;$A88)))</f>
        <v>#NUM!</v>
      </c>
      <c r="BL88" s="3">
        <f ca="1">IF($BP$1=1,DZ88,IF(RTD("tos.rtd",,BL$83,"."&amp;$C$82&amp;$AU$82&amp;"C"&amp;$A88)="N/A",0,RTD("tos.rtd",,BL$83,"."&amp;$C$82&amp;$AU$82&amp;"C"&amp;$A88)))</f>
        <v>7.1885814294500496E-4</v>
      </c>
      <c r="BM88" s="3">
        <f ca="1">IF($BP$1=1,EA88,-IF(RTD("tos.rtd",,BM$83,"."&amp;$C$82&amp;$AU$82&amp;"P"&amp;$A88)="N/A",0,RTD("tos.rtd",,BM$83,"."&amp;$C$82&amp;$AU$82&amp;"P"&amp;$A88)))</f>
        <v>-7.385904032370964E-4</v>
      </c>
      <c r="BN88" s="3">
        <f ca="1">IF($BP$1=1,EB88,IF(RTD("tos.rtd",,BN$83,"."&amp;$D$82&amp;$AW$82&amp;"C"&amp;$A88)="N/A",0,RTD("tos.rtd",,BN$83,"."&amp;$D$82&amp;$AW$82&amp;"C"&amp;$A88)))</f>
        <v>3.3910219216688872E-4</v>
      </c>
      <c r="BO88" s="3">
        <f ca="1">IF($BP$1=1,EC88,-IF(RTD("tos.rtd",,BO$83,"."&amp;$D$82&amp;$AW$82&amp;"P"&amp;$A88)="N/A",0,RTD("tos.rtd",,BO$83,"."&amp;$D$82&amp;$AW$82&amp;"P"&amp;$A88)))</f>
        <v>-7.385904032370964E-4</v>
      </c>
      <c r="BQ88" s="3" t="e">
        <f t="shared" ca="1" si="454"/>
        <v>#NUM!</v>
      </c>
      <c r="BR88" s="3" t="e">
        <f t="shared" ca="1" si="492"/>
        <v>#NUM!</v>
      </c>
      <c r="BS88" s="3">
        <f t="shared" ca="1" si="455"/>
        <v>120586.41741583386</v>
      </c>
      <c r="BT88" s="3" t="str">
        <f t="shared" ca="1" si="492"/>
        <v/>
      </c>
      <c r="BU88" s="3">
        <f t="shared" ca="1" si="456"/>
        <v>4322.6990115668341</v>
      </c>
      <c r="BV88" s="3" t="str">
        <f t="shared" ca="1" si="492"/>
        <v>Cruce +</v>
      </c>
      <c r="BX88" s="3" t="e">
        <f t="shared" ca="1" si="457"/>
        <v>#NUM!</v>
      </c>
      <c r="BY88" s="3" t="e">
        <f t="shared" ca="1" si="507"/>
        <v>#NUM!</v>
      </c>
      <c r="BZ88" s="3">
        <f t="shared" ca="1" si="458"/>
        <v>0</v>
      </c>
      <c r="CA88" s="3" t="str">
        <f t="shared" ca="1" si="507"/>
        <v/>
      </c>
      <c r="CB88" s="3">
        <f t="shared" ca="1" si="459"/>
        <v>0</v>
      </c>
      <c r="CC88" s="3" t="str">
        <f t="shared" ca="1" si="507"/>
        <v/>
      </c>
      <c r="CD88" s="3">
        <f>IF(RTD("tos.rtd",,CD$83,"."&amp;$B$82&amp;$AS$82&amp;"C"&amp;$A88)="N/A",0,RTD("tos.rtd",,CD$83,"."&amp;$B$82&amp;$AS$82&amp;"C"&amp;$A88))</f>
        <v>0</v>
      </c>
      <c r="CE88" s="3">
        <f>-IF(RTD("tos.rtd",,CE$83,"."&amp;$B$82&amp;$AS$82&amp;"P"&amp;$A88)="N/A",0,RTD("tos.rtd",,CE$83,"."&amp;$B$82&amp;$AS$82&amp;"P"&amp;$A88))</f>
        <v>0.91</v>
      </c>
      <c r="CF88" s="3">
        <f>IF(RTD("tos.rtd",,CF$83,"."&amp;$C$82&amp;$AU$82&amp;"C"&amp;$A88)="N/A",0,RTD("tos.rtd",,CF$83,"."&amp;$C$82&amp;$AU$82&amp;"C"&amp;$A88))</f>
        <v>0.02</v>
      </c>
      <c r="CG88" s="3">
        <f>-IF(RTD("tos.rtd",,CG$83,"."&amp;$C$82&amp;$AU$82&amp;"P"&amp;$A88)="N/A",0,RTD("tos.rtd",,CG$83,"."&amp;$C$82&amp;$AU$82&amp;"P"&amp;$A88))</f>
        <v>1</v>
      </c>
      <c r="CH88" s="3">
        <f>IF(RTD("tos.rtd",,CH$83,"."&amp;$D$82&amp;$AW$82&amp;"C"&amp;$A88)="N/A",0,RTD("tos.rtd",,CH$83,"."&amp;$D$82&amp;$AW$82&amp;"C"&amp;$A88))</f>
        <v>0.12</v>
      </c>
      <c r="CI88" s="3">
        <f>-IF(RTD("tos.rtd",,CI$83,"."&amp;$D$82&amp;$AW$82&amp;"P"&amp;$A88)="N/A",0,RTD("tos.rtd",,CI$83,"."&amp;$D$82&amp;$AW$82&amp;"P"&amp;$A88))</f>
        <v>1</v>
      </c>
      <c r="CK88" s="3">
        <f t="shared" si="493"/>
        <v>-182</v>
      </c>
      <c r="CL88" s="3"/>
      <c r="CM88" s="3">
        <f t="shared" si="494"/>
        <v>436</v>
      </c>
      <c r="CN88" s="3"/>
      <c r="CO88" s="3">
        <f t="shared" si="495"/>
        <v>-9400</v>
      </c>
      <c r="CP88" s="3">
        <f t="shared" si="460"/>
        <v>-9146</v>
      </c>
      <c r="CQ88" s="3">
        <f t="shared" si="461"/>
        <v>0</v>
      </c>
      <c r="CR88" s="3"/>
      <c r="CS88" s="3">
        <f t="shared" si="462"/>
        <v>0</v>
      </c>
      <c r="CT88" s="3"/>
      <c r="CU88" s="3">
        <f t="shared" si="463"/>
        <v>0</v>
      </c>
      <c r="CV88" s="3"/>
      <c r="CW88" s="3" t="e">
        <f t="shared" ca="1" si="496"/>
        <v>#NUM!</v>
      </c>
      <c r="CY88" s="3" t="e">
        <f t="shared" ca="1" si="465"/>
        <v>#NUM!</v>
      </c>
      <c r="CZ88" s="70" t="e">
        <f t="shared" ca="1" si="508"/>
        <v>#NUM!</v>
      </c>
      <c r="DA88" s="3">
        <f>IF(RTD("tos.rtd",,DA$83,"."&amp;$B$82&amp;$AS$82&amp;"C"&amp;$A88)="N/A",0,RTD("tos.rtd",,DA$83,"."&amp;$B$82&amp;$AS$82&amp;"C"&amp;$A88))</f>
        <v>0.03</v>
      </c>
      <c r="DB88" s="3">
        <f>IF(RTD("tos.rtd",,DB$83,"."&amp;$B$82&amp;$AS$82&amp;"P"&amp;$A88)="N/A",0,RTD("tos.rtd",,DB$83,"."&amp;$B$82&amp;$AS$82&amp;"P"&amp;$A88))</f>
        <v>186</v>
      </c>
      <c r="DC88" s="3">
        <f>IF(RTD("tos.rtd",,DC$83,"."&amp;$B$82&amp;$AS$82&amp;"C"&amp;$A88)="N/A",0,RTD("tos.rtd",,DC$83,"."&amp;$B$82&amp;$AS$82&amp;"C"&amp;$A88))</f>
        <v>0.05</v>
      </c>
      <c r="DD88" s="3">
        <f>IF(RTD("tos.rtd",,DD$83,"."&amp;$B$82&amp;$AS$82&amp;"P"&amp;$A88)="N/A",0,RTD("tos.rtd",,DD$83,"."&amp;$B$82&amp;$AS$82&amp;"P"&amp;$A88))</f>
        <v>222.1</v>
      </c>
      <c r="DE88" s="3">
        <f>IF(RTD("tos.rtd",,DE$83,"."&amp;$B$82&amp;$AS$82&amp;"C"&amp;$A88)="N/A",0,RTD("tos.rtd",,DE$83,"."&amp;$B$82&amp;$AS$82&amp;"C"&amp;$A88))</f>
        <v>0</v>
      </c>
      <c r="DF88" s="3">
        <f>IF(RTD("tos.rtd",,DF$83,"."&amp;$B$82&amp;$AS$82&amp;"P"&amp;$A88)="N/A",0,RTD("tos.rtd",,DF$83,"."&amp;$B$82&amp;$AS$82&amp;"P"&amp;$A88))</f>
        <v>208.3</v>
      </c>
      <c r="DG88" s="86">
        <f t="shared" si="497"/>
        <v>208.72000000000025</v>
      </c>
      <c r="DH88" s="3">
        <f t="shared" si="466"/>
        <v>-646.79999999999995</v>
      </c>
      <c r="DI88" s="3">
        <f t="shared" si="467"/>
        <v>0</v>
      </c>
      <c r="DJ88" s="3">
        <f t="shared" si="468"/>
        <v>-1078</v>
      </c>
      <c r="DK88" s="3">
        <f t="shared" si="469"/>
        <v>0</v>
      </c>
      <c r="DL88" s="3">
        <f t="shared" si="470"/>
        <v>-646.79999999999995</v>
      </c>
      <c r="DM88" s="3">
        <f t="shared" si="471"/>
        <v>-1078</v>
      </c>
      <c r="DN88" s="64" t="str">
        <f t="shared" si="472"/>
        <v>UNKNOWN</v>
      </c>
      <c r="DO88" s="64" t="str">
        <f t="shared" si="473"/>
        <v>UNKNOWN</v>
      </c>
      <c r="DP88" s="3">
        <f t="shared" si="474"/>
        <v>-19.403999999999996</v>
      </c>
      <c r="DQ88" s="3">
        <f t="shared" si="475"/>
        <v>-32.339999999999996</v>
      </c>
      <c r="DR88" s="3" t="e">
        <f t="shared" ca="1" si="476"/>
        <v>#NUM!</v>
      </c>
      <c r="DS88" s="3">
        <f t="shared" si="477"/>
        <v>0</v>
      </c>
      <c r="DT88" s="3">
        <f t="shared" si="498"/>
        <v>-1078</v>
      </c>
      <c r="DU88" s="3">
        <f t="shared" si="499"/>
        <v>0</v>
      </c>
      <c r="DV88" s="3">
        <f t="shared" si="500"/>
        <v>4</v>
      </c>
      <c r="DW88" s="3">
        <f t="shared" si="501"/>
        <v>0</v>
      </c>
      <c r="DX88" s="3" t="e">
        <f t="shared" ca="1" si="509"/>
        <v>#NUM!</v>
      </c>
      <c r="DY88" s="3" t="e">
        <f t="shared" ca="1" si="478"/>
        <v>#NUM!</v>
      </c>
      <c r="DZ88" s="3">
        <f t="shared" ca="1" si="502"/>
        <v>7.1885814294500496E-4</v>
      </c>
      <c r="EA88" s="3">
        <f t="shared" ca="1" si="503"/>
        <v>-7.385904032370964E-4</v>
      </c>
      <c r="EB88" s="3">
        <f t="shared" ca="1" si="479"/>
        <v>3.3910219216688872E-4</v>
      </c>
      <c r="EC88" s="3">
        <f t="shared" ca="1" si="480"/>
        <v>-7.385904032370964E-4</v>
      </c>
      <c r="ED88" s="63">
        <f t="shared" si="504"/>
        <v>4</v>
      </c>
      <c r="EE88" s="59">
        <f t="shared" si="481"/>
        <v>1.5978000000000001</v>
      </c>
      <c r="EF88" s="59">
        <f t="shared" si="482"/>
        <v>3.5939999999999999</v>
      </c>
      <c r="EG88" s="59">
        <f t="shared" si="483"/>
        <v>0.24690000000000001</v>
      </c>
      <c r="EH88" s="59">
        <f t="shared" si="484"/>
        <v>0.25</v>
      </c>
      <c r="EI88" s="59">
        <f t="shared" si="485"/>
        <v>0.19409999999999999</v>
      </c>
      <c r="EJ88" s="59">
        <f t="shared" si="486"/>
        <v>0.25</v>
      </c>
      <c r="EL88" s="3" t="str">
        <f>RTD("tos.rtd",,EL$83,"."&amp;$B$82&amp;$AS$82&amp;"C"&amp;$A88)</f>
        <v>159.78%</v>
      </c>
      <c r="EM88" s="3" t="str">
        <f>RTD("tos.rtd",,EM$83,"."&amp;$B$82&amp;$AS$82&amp;"P"&amp;$A88)</f>
        <v>359.40%</v>
      </c>
      <c r="EN88" s="3" t="str">
        <f>RTD("tos.rtd",,EN$83,"."&amp;$C$82&amp;$AU$82&amp;"C"&amp;$A88)</f>
        <v>24.69%</v>
      </c>
      <c r="EO88" s="3" t="str">
        <f>RTD("tos.rtd",,EO$83,"."&amp;$C$82&amp;$AU$82&amp;"P"&amp;$A88)</f>
        <v>--</v>
      </c>
      <c r="EP88" s="3" t="str">
        <f>RTD("tos.rtd",,EP$83,"."&amp;$D$82&amp;$AW$82&amp;"C"&amp;$A88)</f>
        <v>19.41%</v>
      </c>
      <c r="EQ88" s="3" t="str">
        <f>RTD("tos.rtd",,EQ$83,"."&amp;$D$82&amp;$AW$82&amp;"P"&amp;$A88)</f>
        <v>--</v>
      </c>
      <c r="ES88" s="63" t="str">
        <f t="shared" si="487"/>
        <v>5840,04.00</v>
      </c>
      <c r="ET88" s="64" t="str">
        <f t="shared" ca="1" si="488"/>
        <v>5840,00.00</v>
      </c>
      <c r="EU88" s="67">
        <v>562.01</v>
      </c>
      <c r="EV88" s="67" t="s">
        <v>724</v>
      </c>
      <c r="EW88" s="67">
        <v>484.39</v>
      </c>
      <c r="EX88" s="67" t="s">
        <v>725</v>
      </c>
      <c r="EY88" s="67">
        <v>5633.75</v>
      </c>
      <c r="EZ88" s="67" t="s">
        <v>726</v>
      </c>
      <c r="FA88" s="67">
        <v>19897.75</v>
      </c>
      <c r="FB88" s="67" t="s">
        <v>727</v>
      </c>
      <c r="FC88" s="67" t="s">
        <v>728</v>
      </c>
      <c r="FD88" s="67" t="s">
        <v>729</v>
      </c>
      <c r="FE88" s="68" t="s">
        <v>730</v>
      </c>
      <c r="FF88" s="68" t="s">
        <v>731</v>
      </c>
    </row>
    <row r="89" spans="1:162" s="63" customFormat="1" ht="12" customHeight="1" thickBot="1" x14ac:dyDescent="0.25">
      <c r="A89" s="2">
        <f t="shared" si="505"/>
        <v>5830</v>
      </c>
      <c r="B89" s="3">
        <f t="shared" si="449"/>
        <v>148</v>
      </c>
      <c r="C89" s="3">
        <f t="shared" si="450"/>
        <v>1392</v>
      </c>
      <c r="D89" s="3">
        <f t="shared" si="451"/>
        <v>373</v>
      </c>
      <c r="E89" s="3">
        <f t="shared" si="452"/>
        <v>1913</v>
      </c>
      <c r="F89" s="4">
        <f t="shared" si="506"/>
        <v>5880.4392607009422</v>
      </c>
      <c r="G89" s="4">
        <f t="shared" si="489"/>
        <v>584.24441689988782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>
        <v>110</v>
      </c>
      <c r="AN89" s="20">
        <v>0</v>
      </c>
      <c r="AO89" s="20">
        <v>5830</v>
      </c>
      <c r="AP89" s="20">
        <v>906</v>
      </c>
      <c r="AQ89" s="20">
        <v>0</v>
      </c>
      <c r="AR89" s="20"/>
      <c r="AS89" s="54">
        <f>IF(RTD("tos.rtd",,AS$83,"."&amp;$B$82&amp;$AS$82&amp;"C"&amp;$A89)="N/A",0,RTD("tos.rtd",,AS$83,"."&amp;$B$82&amp;$AS$82&amp;"C"&amp;$A89))</f>
        <v>142</v>
      </c>
      <c r="AT89" s="3">
        <f>-IF(RTD("tos.rtd",,AT$83,"."&amp;$B$82&amp;$AS$82&amp;"P"&amp;$A89)="N/A",0,RTD("tos.rtd",,AT$83,"."&amp;$B$82&amp;$AS$82&amp;"P"&amp;$A89))</f>
        <v>-6</v>
      </c>
      <c r="AU89" s="54">
        <f>IF(RTD("tos.rtd",,AU$83,"."&amp;$C$82&amp;$AU$82&amp;"C"&amp;$A89)="N/A",0,RTD("tos.rtd",,AU$83,"."&amp;$C$82&amp;$AU$82&amp;"C"&amp;$A89))</f>
        <v>1283</v>
      </c>
      <c r="AV89" s="3">
        <f>-IF(RTD("tos.rtd",,AV$83,"."&amp;$C$82&amp;$AU$82&amp;"P"&amp;$A89)="N/A",0,RTD("tos.rtd",,AV$83,"."&amp;$C$82&amp;$AU$82&amp;"P"&amp;$A89))</f>
        <v>-109</v>
      </c>
      <c r="AW89" s="54">
        <f>IF(RTD("tos.rtd",,AW$83,"."&amp;$D$82&amp;$AW$82&amp;"C"&amp;$A89)="N/A",0,RTD("tos.rtd",,AW$83,"."&amp;$D$82&amp;$AW$82&amp;"C"&amp;$A89))</f>
        <v>270</v>
      </c>
      <c r="AX89" s="3">
        <f>-IF(RTD("tos.rtd",,AX$83,"."&amp;$D$82&amp;$AW$82&amp;"P"&amp;$A89)="N/A",0,RTD("tos.rtd",,AX$83,"."&amp;$D$82&amp;$AW$82&amp;"P"&amp;$A89))</f>
        <v>-103</v>
      </c>
      <c r="AY89" s="79">
        <f t="shared" si="490"/>
        <v>1477</v>
      </c>
      <c r="AZ89" s="8">
        <f t="shared" si="453"/>
        <v>5830</v>
      </c>
      <c r="BA89" s="54">
        <f>IF(RTD("tos.rtd",,BA$83,"."&amp;$B$82&amp;$AS$82&amp;"C"&amp;$A89)="N/A",0,RTD("tos.rtd",,BA$83,"."&amp;$B$82&amp;$AS$82&amp;"C"&amp;$A89))</f>
        <v>0</v>
      </c>
      <c r="BB89" s="3">
        <f>-IF(RTD("tos.rtd",,BB$83,"."&amp;$B$82&amp;$AS$82&amp;"P"&amp;$A89)="N/A",0,RTD("tos.rtd",,BB$83,"."&amp;$B$82&amp;$AS$82&amp;"P"&amp;$A89))</f>
        <v>0</v>
      </c>
      <c r="BC89" s="54">
        <f>IF(RTD("tos.rtd",,BC$83,"."&amp;$C$82&amp;$AU$82&amp;"C"&amp;$A89)="N/A",0,RTD("tos.rtd",,BC$83,"."&amp;$C$82&amp;$AU$82&amp;"C"&amp;$A89))</f>
        <v>1</v>
      </c>
      <c r="BD89" s="3">
        <f>-IF(RTD("tos.rtd",,BD$83,"."&amp;$C$82&amp;$AU$82&amp;"P"&amp;$A89)="N/A",0,RTD("tos.rtd",,BD$83,"."&amp;$C$82&amp;$AU$82&amp;"P"&amp;$A89))</f>
        <v>0</v>
      </c>
      <c r="BE89" s="54">
        <f>IF(RTD("tos.rtd",,BE$83,"."&amp;$D$82&amp;$AW$82&amp;"C"&amp;$A89)="N/A",0,RTD("tos.rtd",,BE$83,"."&amp;$D$82&amp;$AW$82&amp;"C"&amp;$A89))</f>
        <v>0</v>
      </c>
      <c r="BF89" s="3">
        <f>-IF(RTD("tos.rtd",,BF$83,"."&amp;$D$82&amp;$AW$82&amp;"P"&amp;$A89)="N/A",0,RTD("tos.rtd",,BF$83,"."&amp;$D$82&amp;$AW$82&amp;"P"&amp;$A89))</f>
        <v>0</v>
      </c>
      <c r="BG89" s="3">
        <f ca="1">+Hoja2!Y90</f>
        <v>0</v>
      </c>
      <c r="BH89" s="55">
        <f t="shared" ca="1" si="491"/>
        <v>1</v>
      </c>
      <c r="BI89" s="32" t="str">
        <f t="shared" ca="1" si="510"/>
        <v/>
      </c>
      <c r="BJ89" s="3" t="e">
        <f ca="1">IF($BP$1=1,DX89,IF(RTD("tos.rtd",,BJ$83,"."&amp;$B$82&amp;$AS$82&amp;"C"&amp;$A89)="N/A",0,RTD("tos.rtd",,BJ$83,"."&amp;$B$82&amp;$AS$82&amp;"C"&amp;$A89)))</f>
        <v>#NUM!</v>
      </c>
      <c r="BK89" s="3" t="e">
        <f ca="1">IF($BP$1=1,DY89,-IF(RTD("tos.rtd",,BK$83,"."&amp;$B$82&amp;$AS$82&amp;"P"&amp;$A89)="N/A",0,RTD("tos.rtd",,BK$83,"."&amp;$B$82&amp;$AS$82&amp;"P"&amp;$A89)))</f>
        <v>#NUM!</v>
      </c>
      <c r="BL89" s="3">
        <f ca="1">IF($BP$1=1,DZ89,IF(RTD("tos.rtd",,BL$83,"."&amp;$C$82&amp;$AU$82&amp;"C"&amp;$A89)="N/A",0,RTD("tos.rtd",,BL$83,"."&amp;$C$82&amp;$AU$82&amp;"C"&amp;$A89)))</f>
        <v>8.0513938802055727E-4</v>
      </c>
      <c r="BM89" s="3">
        <f ca="1">IF($BP$1=1,EA89,-IF(RTD("tos.rtd",,BM$83,"."&amp;$C$82&amp;$AU$82&amp;"P"&amp;$A89)="N/A",0,RTD("tos.rtd",,BM$83,"."&amp;$C$82&amp;$AU$82&amp;"P"&amp;$A89)))</f>
        <v>-8.5315519961797403E-4</v>
      </c>
      <c r="BN89" s="3">
        <f ca="1">IF($BP$1=1,EB89,IF(RTD("tos.rtd",,BN$83,"."&amp;$D$82&amp;$AW$82&amp;"C"&amp;$A89)="N/A",0,RTD("tos.rtd",,BN$83,"."&amp;$D$82&amp;$AW$82&amp;"C"&amp;$A89)))</f>
        <v>4.4501171267628294E-4</v>
      </c>
      <c r="BO89" s="3">
        <f ca="1">IF($BP$1=1,EC89,-IF(RTD("tos.rtd",,BO$83,"."&amp;$D$82&amp;$AW$82&amp;"P"&amp;$A89)="N/A",0,RTD("tos.rtd",,BO$83,"."&amp;$D$82&amp;$AW$82&amp;"P"&amp;$A89)))</f>
        <v>-8.5315519961797403E-4</v>
      </c>
      <c r="BQ89" s="3" t="e">
        <f t="shared" ca="1" si="454"/>
        <v>#NUM!</v>
      </c>
      <c r="BR89" s="3" t="e">
        <f t="shared" ca="1" si="492"/>
        <v>#NUM!</v>
      </c>
      <c r="BS89" s="3">
        <f t="shared" ca="1" si="455"/>
        <v>222801.52773118974</v>
      </c>
      <c r="BT89" s="3" t="str">
        <f t="shared" ca="1" si="492"/>
        <v/>
      </c>
      <c r="BU89" s="3">
        <f t="shared" ca="1" si="456"/>
        <v>7650.6678127900996</v>
      </c>
      <c r="BV89" s="3" t="str">
        <f t="shared" ca="1" si="492"/>
        <v/>
      </c>
      <c r="BX89" s="3" t="e">
        <f t="shared" ca="1" si="457"/>
        <v>#NUM!</v>
      </c>
      <c r="BY89" s="3" t="e">
        <f t="shared" ca="1" si="507"/>
        <v>#NUM!</v>
      </c>
      <c r="BZ89" s="3">
        <f t="shared" ca="1" si="458"/>
        <v>190.83649076849397</v>
      </c>
      <c r="CA89" s="3" t="str">
        <f t="shared" ca="1" si="507"/>
        <v/>
      </c>
      <c r="CB89" s="3">
        <f t="shared" ca="1" si="459"/>
        <v>0</v>
      </c>
      <c r="CC89" s="3" t="str">
        <f t="shared" ca="1" si="507"/>
        <v/>
      </c>
      <c r="CD89" s="3">
        <f>IF(RTD("tos.rtd",,CD$83,"."&amp;$B$82&amp;$AS$82&amp;"C"&amp;$A89)="N/A",0,RTD("tos.rtd",,CD$83,"."&amp;$B$82&amp;$AS$82&amp;"C"&amp;$A89))</f>
        <v>0</v>
      </c>
      <c r="CE89" s="3">
        <f>-IF(RTD("tos.rtd",,CE$83,"."&amp;$B$82&amp;$AS$82&amp;"P"&amp;$A89)="N/A",0,RTD("tos.rtd",,CE$83,"."&amp;$B$82&amp;$AS$82&amp;"P"&amp;$A89))</f>
        <v>0.94</v>
      </c>
      <c r="CF89" s="3">
        <f>IF(RTD("tos.rtd",,CF$83,"."&amp;$C$82&amp;$AU$82&amp;"C"&amp;$A89)="N/A",0,RTD("tos.rtd",,CF$83,"."&amp;$C$82&amp;$AU$82&amp;"C"&amp;$A89))</f>
        <v>0.02</v>
      </c>
      <c r="CG89" s="3">
        <f>-IF(RTD("tos.rtd",,CG$83,"."&amp;$C$82&amp;$AU$82&amp;"P"&amp;$A89)="N/A",0,RTD("tos.rtd",,CG$83,"."&amp;$C$82&amp;$AU$82&amp;"P"&amp;$A89))</f>
        <v>1</v>
      </c>
      <c r="CH89" s="3">
        <f>IF(RTD("tos.rtd",,CH$83,"."&amp;$D$82&amp;$AW$82&amp;"C"&amp;$A89)="N/A",0,RTD("tos.rtd",,CH$83,"."&amp;$D$82&amp;$AW$82&amp;"C"&amp;$A89))</f>
        <v>0.14000000000000001</v>
      </c>
      <c r="CI89" s="3">
        <f>-IF(RTD("tos.rtd",,CI$83,"."&amp;$D$82&amp;$AW$82&amp;"P"&amp;$A89)="N/A",0,RTD("tos.rtd",,CI$83,"."&amp;$D$82&amp;$AW$82&amp;"P"&amp;$A89))</f>
        <v>1</v>
      </c>
      <c r="CK89" s="3">
        <f t="shared" si="493"/>
        <v>-564</v>
      </c>
      <c r="CL89" s="3"/>
      <c r="CM89" s="3">
        <f t="shared" si="494"/>
        <v>-8334</v>
      </c>
      <c r="CN89" s="3"/>
      <c r="CO89" s="3">
        <f t="shared" si="495"/>
        <v>-6520</v>
      </c>
      <c r="CP89" s="3">
        <f t="shared" si="460"/>
        <v>-15418</v>
      </c>
      <c r="CQ89" s="3">
        <f t="shared" si="461"/>
        <v>0</v>
      </c>
      <c r="CR89" s="3"/>
      <c r="CS89" s="3">
        <f t="shared" si="462"/>
        <v>1</v>
      </c>
      <c r="CT89" s="3"/>
      <c r="CU89" s="3">
        <f t="shared" si="463"/>
        <v>0</v>
      </c>
      <c r="CV89" s="3"/>
      <c r="CW89" s="3" t="e">
        <f t="shared" ca="1" si="496"/>
        <v>#NUM!</v>
      </c>
      <c r="CY89" s="3" t="e">
        <f t="shared" ca="1" si="465"/>
        <v>#NUM!</v>
      </c>
      <c r="CZ89" s="70" t="e">
        <f t="shared" ca="1" si="508"/>
        <v>#NUM!</v>
      </c>
      <c r="DA89" s="3">
        <f>IF(RTD("tos.rtd",,DA$83,"."&amp;$B$82&amp;$AS$82&amp;"C"&amp;$A89)="N/A",0,RTD("tos.rtd",,DA$83,"."&amp;$B$82&amp;$AS$82&amp;"C"&amp;$A89))</f>
        <v>0.03</v>
      </c>
      <c r="DB89" s="3">
        <f>IF(RTD("tos.rtd",,DB$83,"."&amp;$B$82&amp;$AS$82&amp;"P"&amp;$A89)="N/A",0,RTD("tos.rtd",,DB$83,"."&amp;$B$82&amp;$AS$82&amp;"P"&amp;$A89))</f>
        <v>179.3</v>
      </c>
      <c r="DC89" s="3">
        <f>IF(RTD("tos.rtd",,DC$83,"."&amp;$B$82&amp;$AS$82&amp;"C"&amp;$A89)="N/A",0,RTD("tos.rtd",,DC$83,"."&amp;$B$82&amp;$AS$82&amp;"C"&amp;$A89))</f>
        <v>0.05</v>
      </c>
      <c r="DD89" s="3">
        <f>IF(RTD("tos.rtd",,DD$83,"."&amp;$B$82&amp;$AS$82&amp;"P"&amp;$A89)="N/A",0,RTD("tos.rtd",,DD$83,"."&amp;$B$82&amp;$AS$82&amp;"P"&amp;$A89))</f>
        <v>205.1</v>
      </c>
      <c r="DE89" s="3">
        <f>IF(RTD("tos.rtd",,DE$83,"."&amp;$B$82&amp;$AS$82&amp;"C"&amp;$A89)="N/A",0,RTD("tos.rtd",,DE$83,"."&amp;$B$82&amp;$AS$82&amp;"C"&amp;$A89))</f>
        <v>0</v>
      </c>
      <c r="DF89" s="3">
        <f>IF(RTD("tos.rtd",,DF$83,"."&amp;$B$82&amp;$AS$82&amp;"P"&amp;$A89)="N/A",0,RTD("tos.rtd",,DF$83,"."&amp;$B$82&amp;$AS$82&amp;"P"&amp;$A89))</f>
        <v>198.3</v>
      </c>
      <c r="DG89" s="86">
        <f t="shared" si="497"/>
        <v>198.72000000000025</v>
      </c>
      <c r="DH89" s="3">
        <f t="shared" si="466"/>
        <v>-543.6</v>
      </c>
      <c r="DI89" s="3">
        <f t="shared" si="467"/>
        <v>0</v>
      </c>
      <c r="DJ89" s="3">
        <f t="shared" si="468"/>
        <v>-906</v>
      </c>
      <c r="DK89" s="3">
        <f t="shared" si="469"/>
        <v>0</v>
      </c>
      <c r="DL89" s="3">
        <f t="shared" si="470"/>
        <v>-543.6</v>
      </c>
      <c r="DM89" s="3">
        <f t="shared" si="471"/>
        <v>-906</v>
      </c>
      <c r="DN89" s="64" t="str">
        <f t="shared" si="472"/>
        <v>UNKNOWN</v>
      </c>
      <c r="DO89" s="64" t="str">
        <f t="shared" si="473"/>
        <v>UNKNOWN</v>
      </c>
      <c r="DP89" s="3">
        <f t="shared" si="474"/>
        <v>-16.308</v>
      </c>
      <c r="DQ89" s="3">
        <f t="shared" si="475"/>
        <v>-27.18</v>
      </c>
      <c r="DR89" s="3" t="e">
        <f t="shared" ca="1" si="476"/>
        <v>#NUM!</v>
      </c>
      <c r="DS89" s="3">
        <f t="shared" si="477"/>
        <v>0</v>
      </c>
      <c r="DT89" s="3">
        <f t="shared" si="498"/>
        <v>-906</v>
      </c>
      <c r="DU89" s="3">
        <f t="shared" si="499"/>
        <v>0</v>
      </c>
      <c r="DV89" s="3">
        <f t="shared" si="500"/>
        <v>110</v>
      </c>
      <c r="DW89" s="3">
        <f t="shared" si="501"/>
        <v>0</v>
      </c>
      <c r="DX89" s="3" t="e">
        <f t="shared" ca="1" si="509"/>
        <v>#NUM!</v>
      </c>
      <c r="DY89" s="3" t="e">
        <f t="shared" ca="1" si="478"/>
        <v>#NUM!</v>
      </c>
      <c r="DZ89" s="3">
        <f t="shared" ca="1" si="502"/>
        <v>8.0513938802055727E-4</v>
      </c>
      <c r="EA89" s="3">
        <f t="shared" ca="1" si="503"/>
        <v>-8.5315519961797403E-4</v>
      </c>
      <c r="EB89" s="3">
        <f t="shared" ca="1" si="479"/>
        <v>4.4501171267628294E-4</v>
      </c>
      <c r="EC89" s="3">
        <f t="shared" ca="1" si="480"/>
        <v>-8.5315519961797403E-4</v>
      </c>
      <c r="ED89" s="63">
        <f t="shared" si="504"/>
        <v>110</v>
      </c>
      <c r="EE89" s="59">
        <f t="shared" si="481"/>
        <v>1.5289999999999999</v>
      </c>
      <c r="EF89" s="59">
        <f t="shared" si="482"/>
        <v>2.8921999999999999</v>
      </c>
      <c r="EG89" s="59">
        <f t="shared" si="483"/>
        <v>0.24260000000000001</v>
      </c>
      <c r="EH89" s="59">
        <f t="shared" si="484"/>
        <v>0.25</v>
      </c>
      <c r="EI89" s="59">
        <f t="shared" si="485"/>
        <v>0.1958</v>
      </c>
      <c r="EJ89" s="59">
        <f t="shared" si="486"/>
        <v>0.25</v>
      </c>
      <c r="EL89" s="3" t="str">
        <f>RTD("tos.rtd",,EL$83,"."&amp;$B$82&amp;$AS$82&amp;"C"&amp;$A89)</f>
        <v>152.90%</v>
      </c>
      <c r="EM89" s="3" t="str">
        <f>RTD("tos.rtd",,EM$83,"."&amp;$B$82&amp;$AS$82&amp;"P"&amp;$A89)</f>
        <v>289.22%</v>
      </c>
      <c r="EN89" s="3" t="str">
        <f>RTD("tos.rtd",,EN$83,"."&amp;$C$82&amp;$AU$82&amp;"C"&amp;$A89)</f>
        <v>24.26%</v>
      </c>
      <c r="EO89" s="3" t="str">
        <f>RTD("tos.rtd",,EO$83,"."&amp;$C$82&amp;$AU$82&amp;"P"&amp;$A89)</f>
        <v>--</v>
      </c>
      <c r="EP89" s="3" t="str">
        <f>RTD("tos.rtd",,EP$83,"."&amp;$D$82&amp;$AW$82&amp;"C"&amp;$A89)</f>
        <v>19.58%</v>
      </c>
      <c r="EQ89" s="3" t="str">
        <f>RTD("tos.rtd",,EQ$83,"."&amp;$D$82&amp;$AW$82&amp;"P"&amp;$A89)</f>
        <v>--</v>
      </c>
      <c r="ES89" s="63" t="str">
        <f t="shared" si="487"/>
        <v>5830,110.00</v>
      </c>
      <c r="ET89" s="64" t="str">
        <f t="shared" ca="1" si="488"/>
        <v>5830,00.00</v>
      </c>
      <c r="EU89" s="67">
        <v>562.11</v>
      </c>
      <c r="EV89" s="67" t="s">
        <v>732</v>
      </c>
      <c r="EW89" s="67">
        <v>484.49</v>
      </c>
      <c r="EX89" s="67" t="s">
        <v>733</v>
      </c>
      <c r="EY89" s="67">
        <v>5634.75</v>
      </c>
      <c r="EZ89" s="67" t="s">
        <v>734</v>
      </c>
      <c r="FA89" s="67">
        <v>19901.5</v>
      </c>
      <c r="FB89" s="67" t="s">
        <v>735</v>
      </c>
      <c r="FC89" s="67" t="s">
        <v>736</v>
      </c>
      <c r="FD89" s="67" t="s">
        <v>737</v>
      </c>
      <c r="FE89" s="68" t="s">
        <v>738</v>
      </c>
      <c r="FF89" s="68" t="s">
        <v>739</v>
      </c>
    </row>
    <row r="90" spans="1:162" s="63" customFormat="1" ht="12" customHeight="1" thickBot="1" x14ac:dyDescent="0.25">
      <c r="A90" s="2">
        <f t="shared" si="505"/>
        <v>5820</v>
      </c>
      <c r="B90" s="3">
        <f t="shared" si="449"/>
        <v>595</v>
      </c>
      <c r="C90" s="3">
        <f t="shared" si="450"/>
        <v>769</v>
      </c>
      <c r="D90" s="3">
        <f t="shared" si="451"/>
        <v>842</v>
      </c>
      <c r="E90" s="3">
        <f t="shared" si="452"/>
        <v>2206</v>
      </c>
      <c r="F90" s="4">
        <f t="shared" si="506"/>
        <v>5870.3527439587442</v>
      </c>
      <c r="G90" s="4">
        <f t="shared" si="489"/>
        <v>583.24228239405613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20"/>
      <c r="AM90" s="20">
        <v>238</v>
      </c>
      <c r="AN90" s="20">
        <v>-4</v>
      </c>
      <c r="AO90" s="20">
        <v>5820</v>
      </c>
      <c r="AP90" s="20">
        <v>544</v>
      </c>
      <c r="AQ90" s="20">
        <v>-7</v>
      </c>
      <c r="AR90" s="20"/>
      <c r="AS90" s="54">
        <f>IF(RTD("tos.rtd",,AS$83,"."&amp;$B$82&amp;$AS$82&amp;"C"&amp;$A90)="N/A",0,RTD("tos.rtd",,AS$83,"."&amp;$B$82&amp;$AS$82&amp;"C"&amp;$A90))</f>
        <v>594</v>
      </c>
      <c r="AT90" s="3">
        <f>-IF(RTD("tos.rtd",,AT$83,"."&amp;$B$82&amp;$AS$82&amp;"P"&amp;$A90)="N/A",0,RTD("tos.rtd",,AT$83,"."&amp;$B$82&amp;$AS$82&amp;"P"&amp;$A90))</f>
        <v>-1</v>
      </c>
      <c r="AU90" s="54">
        <f>IF(RTD("tos.rtd",,AU$83,"."&amp;$C$82&amp;$AU$82&amp;"C"&amp;$A90)="N/A",0,RTD("tos.rtd",,AU$83,"."&amp;$C$82&amp;$AU$82&amp;"C"&amp;$A90))</f>
        <v>755</v>
      </c>
      <c r="AV90" s="3">
        <f>-IF(RTD("tos.rtd",,AV$83,"."&amp;$C$82&amp;$AU$82&amp;"P"&amp;$A90)="N/A",0,RTD("tos.rtd",,AV$83,"."&amp;$C$82&amp;$AU$82&amp;"P"&amp;$A90))</f>
        <v>-14</v>
      </c>
      <c r="AW90" s="54">
        <f>IF(RTD("tos.rtd",,AW$83,"."&amp;$D$82&amp;$AW$82&amp;"C"&amp;$A90)="N/A",0,RTD("tos.rtd",,AW$83,"."&amp;$D$82&amp;$AW$82&amp;"C"&amp;$A90))</f>
        <v>629</v>
      </c>
      <c r="AX90" s="3">
        <f>-IF(RTD("tos.rtd",,AX$83,"."&amp;$D$82&amp;$AW$82&amp;"P"&amp;$A90)="N/A",0,RTD("tos.rtd",,AX$83,"."&amp;$D$82&amp;$AW$82&amp;"P"&amp;$A90))</f>
        <v>-213</v>
      </c>
      <c r="AY90" s="79">
        <f t="shared" si="490"/>
        <v>1750</v>
      </c>
      <c r="AZ90" s="8">
        <f t="shared" si="453"/>
        <v>5820</v>
      </c>
      <c r="BA90" s="54">
        <f>IF(RTD("tos.rtd",,BA$83,"."&amp;$B$82&amp;$AS$82&amp;"C"&amp;$A90)="N/A",0,RTD("tos.rtd",,BA$83,"."&amp;$B$82&amp;$AS$82&amp;"C"&amp;$A90))</f>
        <v>0</v>
      </c>
      <c r="BB90" s="3">
        <f>-IF(RTD("tos.rtd",,BB$83,"."&amp;$B$82&amp;$AS$82&amp;"P"&amp;$A90)="N/A",0,RTD("tos.rtd",,BB$83,"."&amp;$B$82&amp;$AS$82&amp;"P"&amp;$A90))</f>
        <v>0</v>
      </c>
      <c r="BC90" s="54">
        <f>IF(RTD("tos.rtd",,BC$83,"."&amp;$C$82&amp;$AU$82&amp;"C"&amp;$A90)="N/A",0,RTD("tos.rtd",,BC$83,"."&amp;$C$82&amp;$AU$82&amp;"C"&amp;$A90))</f>
        <v>3</v>
      </c>
      <c r="BD90" s="3">
        <f>-IF(RTD("tos.rtd",,BD$83,"."&amp;$C$82&amp;$AU$82&amp;"P"&amp;$A90)="N/A",0,RTD("tos.rtd",,BD$83,"."&amp;$C$82&amp;$AU$82&amp;"P"&amp;$A90))</f>
        <v>0</v>
      </c>
      <c r="BE90" s="54">
        <f>IF(RTD("tos.rtd",,BE$83,"."&amp;$D$82&amp;$AW$82&amp;"C"&amp;$A90)="N/A",0,RTD("tos.rtd",,BE$83,"."&amp;$D$82&amp;$AW$82&amp;"C"&amp;$A90))</f>
        <v>0</v>
      </c>
      <c r="BF90" s="3">
        <f>-IF(RTD("tos.rtd",,BF$83,"."&amp;$D$82&amp;$AW$82&amp;"P"&amp;$A90)="N/A",0,RTD("tos.rtd",,BF$83,"."&amp;$D$82&amp;$AW$82&amp;"P"&amp;$A90))</f>
        <v>0</v>
      </c>
      <c r="BG90" s="3">
        <f ca="1">+Hoja2!Y91</f>
        <v>0</v>
      </c>
      <c r="BH90" s="55">
        <f t="shared" ca="1" si="491"/>
        <v>3</v>
      </c>
      <c r="BI90" s="32" t="str">
        <f t="shared" ca="1" si="510"/>
        <v/>
      </c>
      <c r="BJ90" s="3" t="e">
        <f ca="1">IF($BP$1=1,DX90,IF(RTD("tos.rtd",,BJ$83,"."&amp;$B$82&amp;$AS$82&amp;"C"&amp;$A90)="N/A",0,RTD("tos.rtd",,BJ$83,"."&amp;$B$82&amp;$AS$82&amp;"C"&amp;$A90)))</f>
        <v>#NUM!</v>
      </c>
      <c r="BK90" s="3" t="e">
        <f ca="1">IF($BP$1=1,DY90,-IF(RTD("tos.rtd",,BK$83,"."&amp;$B$82&amp;$AS$82&amp;"P"&amp;$A90)="N/A",0,RTD("tos.rtd",,BK$83,"."&amp;$B$82&amp;$AS$82&amp;"P"&amp;$A90)))</f>
        <v>#NUM!</v>
      </c>
      <c r="BL90" s="3">
        <f ca="1">IF($BP$1=1,DZ90,IF(RTD("tos.rtd",,BL$83,"."&amp;$C$82&amp;$AU$82&amp;"C"&amp;$A90)="N/A",0,RTD("tos.rtd",,BL$83,"."&amp;$C$82&amp;$AU$82&amp;"C"&amp;$A90)))</f>
        <v>9.3428822771406995E-4</v>
      </c>
      <c r="BM90" s="3">
        <f ca="1">IF($BP$1=1,EA90,-IF(RTD("tos.rtd",,BM$83,"."&amp;$C$82&amp;$AU$82&amp;"P"&amp;$A90)="N/A",0,RTD("tos.rtd",,BM$83,"."&amp;$C$82&amp;$AU$82&amp;"P"&amp;$A90)))</f>
        <v>-9.7879080852005603E-4</v>
      </c>
      <c r="BN90" s="3">
        <f ca="1">IF($BP$1=1,EB90,IF(RTD("tos.rtd",,BN$83,"."&amp;$D$82&amp;$AW$82&amp;"C"&amp;$A90)="N/A",0,RTD("tos.rtd",,BN$83,"."&amp;$D$82&amp;$AW$82&amp;"C"&amp;$A90)))</f>
        <v>5.7417076983374811E-4</v>
      </c>
      <c r="BO90" s="3">
        <f ca="1">IF($BP$1=1,EC90,-IF(RTD("tos.rtd",,BO$83,"."&amp;$D$82&amp;$AW$82&amp;"P"&amp;$A90)="N/A",0,RTD("tos.rtd",,BO$83,"."&amp;$D$82&amp;$AW$82&amp;"P"&amp;$A90)))</f>
        <v>-9.7879080852005603E-4</v>
      </c>
      <c r="BQ90" s="3" t="e">
        <f t="shared" ca="1" si="454"/>
        <v>#NUM!</v>
      </c>
      <c r="BR90" s="3" t="e">
        <f t="shared" ca="1" si="492"/>
        <v>#NUM!</v>
      </c>
      <c r="BS90" s="3">
        <f t="shared" ca="1" si="455"/>
        <v>163945.09126222957</v>
      </c>
      <c r="BT90" s="3" t="str">
        <f t="shared" ca="1" si="492"/>
        <v/>
      </c>
      <c r="BU90" s="3">
        <f t="shared" ca="1" si="456"/>
        <v>36186.519966881293</v>
      </c>
      <c r="BV90" s="3" t="str">
        <f t="shared" ca="1" si="492"/>
        <v/>
      </c>
      <c r="BX90" s="3" t="e">
        <f t="shared" ca="1" si="457"/>
        <v>#NUM!</v>
      </c>
      <c r="BY90" s="3" t="e">
        <f t="shared" ca="1" si="507"/>
        <v>#NUM!</v>
      </c>
      <c r="BZ90" s="3">
        <f t="shared" ca="1" si="458"/>
        <v>664.3431785704031</v>
      </c>
      <c r="CA90" s="3" t="str">
        <f t="shared" ca="1" si="507"/>
        <v/>
      </c>
      <c r="CB90" s="3">
        <f t="shared" ca="1" si="459"/>
        <v>0</v>
      </c>
      <c r="CC90" s="3" t="str">
        <f t="shared" ca="1" si="507"/>
        <v/>
      </c>
      <c r="CD90" s="3">
        <f>IF(RTD("tos.rtd",,CD$83,"."&amp;$B$82&amp;$AS$82&amp;"C"&amp;$A90)="N/A",0,RTD("tos.rtd",,CD$83,"."&amp;$B$82&amp;$AS$82&amp;"C"&amp;$A90))</f>
        <v>0</v>
      </c>
      <c r="CE90" s="3">
        <f>-IF(RTD("tos.rtd",,CE$83,"."&amp;$B$82&amp;$AS$82&amp;"P"&amp;$A90)="N/A",0,RTD("tos.rtd",,CE$83,"."&amp;$B$82&amp;$AS$82&amp;"P"&amp;$A90))</f>
        <v>0.9</v>
      </c>
      <c r="CF90" s="3">
        <f>IF(RTD("tos.rtd",,CF$83,"."&amp;$C$82&amp;$AU$82&amp;"C"&amp;$A90)="N/A",0,RTD("tos.rtd",,CF$83,"."&amp;$C$82&amp;$AU$82&amp;"C"&amp;$A90))</f>
        <v>0.03</v>
      </c>
      <c r="CG90" s="3">
        <f>-IF(RTD("tos.rtd",,CG$83,"."&amp;$C$82&amp;$AU$82&amp;"P"&amp;$A90)="N/A",0,RTD("tos.rtd",,CG$83,"."&amp;$C$82&amp;$AU$82&amp;"P"&amp;$A90))</f>
        <v>1</v>
      </c>
      <c r="CH90" s="3">
        <f>IF(RTD("tos.rtd",,CH$83,"."&amp;$D$82&amp;$AW$82&amp;"C"&amp;$A90)="N/A",0,RTD("tos.rtd",,CH$83,"."&amp;$D$82&amp;$AW$82&amp;"C"&amp;$A90))</f>
        <v>0.15</v>
      </c>
      <c r="CI90" s="3">
        <f>-IF(RTD("tos.rtd",,CI$83,"."&amp;$D$82&amp;$AW$82&amp;"P"&amp;$A90)="N/A",0,RTD("tos.rtd",,CI$83,"."&amp;$D$82&amp;$AW$82&amp;"P"&amp;$A90))</f>
        <v>1</v>
      </c>
      <c r="CK90" s="3">
        <f t="shared" si="493"/>
        <v>-90</v>
      </c>
      <c r="CL90" s="3"/>
      <c r="CM90" s="3">
        <f t="shared" si="494"/>
        <v>865</v>
      </c>
      <c r="CN90" s="3"/>
      <c r="CO90" s="3">
        <f t="shared" si="495"/>
        <v>-11865</v>
      </c>
      <c r="CP90" s="3">
        <f t="shared" si="460"/>
        <v>-11090</v>
      </c>
      <c r="CQ90" s="3">
        <f t="shared" si="461"/>
        <v>0</v>
      </c>
      <c r="CR90" s="3"/>
      <c r="CS90" s="3">
        <f t="shared" si="462"/>
        <v>3</v>
      </c>
      <c r="CT90" s="3"/>
      <c r="CU90" s="3">
        <f t="shared" si="463"/>
        <v>0</v>
      </c>
      <c r="CV90" s="3"/>
      <c r="CW90" s="3" t="e">
        <f t="shared" ca="1" si="496"/>
        <v>#NUM!</v>
      </c>
      <c r="CY90" s="3" t="e">
        <f t="shared" ca="1" si="465"/>
        <v>#NUM!</v>
      </c>
      <c r="CZ90" s="70" t="e">
        <f t="shared" ca="1" si="508"/>
        <v>#NUM!</v>
      </c>
      <c r="DA90" s="3">
        <f>IF(RTD("tos.rtd",,DA$83,"."&amp;$B$82&amp;$AS$82&amp;"C"&amp;$A90)="N/A",0,RTD("tos.rtd",,DA$83,"."&amp;$B$82&amp;$AS$82&amp;"C"&amp;$A90))</f>
        <v>0.03</v>
      </c>
      <c r="DB90" s="3">
        <f>IF(RTD("tos.rtd",,DB$83,"."&amp;$B$82&amp;$AS$82&amp;"P"&amp;$A90)="N/A",0,RTD("tos.rtd",,DB$83,"."&amp;$B$82&amp;$AS$82&amp;"P"&amp;$A90))</f>
        <v>204.93</v>
      </c>
      <c r="DC90" s="3">
        <f>IF(RTD("tos.rtd",,DC$83,"."&amp;$B$82&amp;$AS$82&amp;"C"&amp;$A90)="N/A",0,RTD("tos.rtd",,DC$83,"."&amp;$B$82&amp;$AS$82&amp;"C"&amp;$A90))</f>
        <v>0.05</v>
      </c>
      <c r="DD90" s="3">
        <f>IF(RTD("tos.rtd",,DD$83,"."&amp;$B$82&amp;$AS$82&amp;"P"&amp;$A90)="N/A",0,RTD("tos.rtd",,DD$83,"."&amp;$B$82&amp;$AS$82&amp;"P"&amp;$A90))</f>
        <v>202.1</v>
      </c>
      <c r="DE90" s="3">
        <f>IF(RTD("tos.rtd",,DE$83,"."&amp;$B$82&amp;$AS$82&amp;"C"&amp;$A90)="N/A",0,RTD("tos.rtd",,DE$83,"."&amp;$B$82&amp;$AS$82&amp;"C"&amp;$A90))</f>
        <v>0</v>
      </c>
      <c r="DF90" s="3">
        <f>IF(RTD("tos.rtd",,DF$83,"."&amp;$B$82&amp;$AS$82&amp;"P"&amp;$A90)="N/A",0,RTD("tos.rtd",,DF$83,"."&amp;$B$82&amp;$AS$82&amp;"P"&amp;$A90))</f>
        <v>188.3</v>
      </c>
      <c r="DG90" s="86">
        <f t="shared" si="497"/>
        <v>188.72000000000025</v>
      </c>
      <c r="DH90" s="3">
        <f t="shared" si="466"/>
        <v>-326.39999999999998</v>
      </c>
      <c r="DI90" s="3">
        <f t="shared" si="467"/>
        <v>8.4355072463768206</v>
      </c>
      <c r="DJ90" s="3">
        <f t="shared" si="468"/>
        <v>-544</v>
      </c>
      <c r="DK90" s="3">
        <f t="shared" si="469"/>
        <v>7</v>
      </c>
      <c r="DL90" s="3">
        <f t="shared" si="470"/>
        <v>-317.96449275362318</v>
      </c>
      <c r="DM90" s="3">
        <f t="shared" si="471"/>
        <v>-537</v>
      </c>
      <c r="DN90" s="64" t="str">
        <f t="shared" si="472"/>
        <v>UNKNOWN</v>
      </c>
      <c r="DO90" s="64" t="str">
        <f t="shared" si="473"/>
        <v>UNKNOWN</v>
      </c>
      <c r="DP90" s="3">
        <f t="shared" si="474"/>
        <v>1718.8965000000019</v>
      </c>
      <c r="DQ90" s="3">
        <f t="shared" si="475"/>
        <v>1418.19</v>
      </c>
      <c r="DR90" s="3" t="e">
        <f t="shared" ca="1" si="476"/>
        <v>#NUM!</v>
      </c>
      <c r="DS90" s="3">
        <f t="shared" si="477"/>
        <v>6.3</v>
      </c>
      <c r="DT90" s="3">
        <f t="shared" si="498"/>
        <v>-544</v>
      </c>
      <c r="DU90" s="3">
        <f t="shared" si="499"/>
        <v>7</v>
      </c>
      <c r="DV90" s="3">
        <f t="shared" si="500"/>
        <v>238</v>
      </c>
      <c r="DW90" s="3">
        <f t="shared" si="501"/>
        <v>-4</v>
      </c>
      <c r="DX90" s="3" t="e">
        <f t="shared" ca="1" si="509"/>
        <v>#NUM!</v>
      </c>
      <c r="DY90" s="3" t="e">
        <f t="shared" ca="1" si="478"/>
        <v>#NUM!</v>
      </c>
      <c r="DZ90" s="3">
        <f t="shared" ca="1" si="502"/>
        <v>9.3428822771406995E-4</v>
      </c>
      <c r="EA90" s="3">
        <f t="shared" ca="1" si="503"/>
        <v>-9.7879080852005603E-4</v>
      </c>
      <c r="EB90" s="3">
        <f t="shared" ca="1" si="479"/>
        <v>5.7417076983374811E-4</v>
      </c>
      <c r="EC90" s="3">
        <f t="shared" ca="1" si="480"/>
        <v>-9.7879080852005603E-4</v>
      </c>
      <c r="ED90" s="63">
        <f t="shared" si="504"/>
        <v>234</v>
      </c>
      <c r="EE90" s="59">
        <f t="shared" si="481"/>
        <v>1.4598</v>
      </c>
      <c r="EF90" s="59">
        <f t="shared" si="482"/>
        <v>3.3418000000000001</v>
      </c>
      <c r="EG90" s="59">
        <f t="shared" si="483"/>
        <v>0.24299999999999999</v>
      </c>
      <c r="EH90" s="59">
        <f t="shared" si="484"/>
        <v>0.25</v>
      </c>
      <c r="EI90" s="59">
        <f t="shared" si="485"/>
        <v>0.19769999999999999</v>
      </c>
      <c r="EJ90" s="59">
        <f t="shared" si="486"/>
        <v>0.25</v>
      </c>
      <c r="EL90" s="3" t="str">
        <f>RTD("tos.rtd",,EL$83,"."&amp;$B$82&amp;$AS$82&amp;"C"&amp;$A90)</f>
        <v>145.98%</v>
      </c>
      <c r="EM90" s="3" t="str">
        <f>RTD("tos.rtd",,EM$83,"."&amp;$B$82&amp;$AS$82&amp;"P"&amp;$A90)</f>
        <v>334.18%</v>
      </c>
      <c r="EN90" s="3" t="str">
        <f>RTD("tos.rtd",,EN$83,"."&amp;$C$82&amp;$AU$82&amp;"C"&amp;$A90)</f>
        <v>24.30%</v>
      </c>
      <c r="EO90" s="3" t="str">
        <f>RTD("tos.rtd",,EO$83,"."&amp;$C$82&amp;$AU$82&amp;"P"&amp;$A90)</f>
        <v>--</v>
      </c>
      <c r="EP90" s="3" t="str">
        <f>RTD("tos.rtd",,EP$83,"."&amp;$D$82&amp;$AW$82&amp;"C"&amp;$A90)</f>
        <v>19.77%</v>
      </c>
      <c r="EQ90" s="3" t="str">
        <f>RTD("tos.rtd",,EQ$83,"."&amp;$D$82&amp;$AW$82&amp;"P"&amp;$A90)</f>
        <v>--</v>
      </c>
      <c r="ES90" s="63" t="str">
        <f t="shared" si="487"/>
        <v>5820,234.00</v>
      </c>
      <c r="ET90" s="64" t="str">
        <f t="shared" ca="1" si="488"/>
        <v>5820,00.00</v>
      </c>
      <c r="EU90" s="67">
        <v>562.11</v>
      </c>
      <c r="EV90" s="67" t="s">
        <v>740</v>
      </c>
      <c r="EW90" s="67">
        <v>484.49</v>
      </c>
      <c r="EX90" s="67" t="s">
        <v>741</v>
      </c>
      <c r="EY90" s="67">
        <v>5634.5</v>
      </c>
      <c r="EZ90" s="67" t="s">
        <v>742</v>
      </c>
      <c r="FA90" s="67">
        <v>19901</v>
      </c>
      <c r="FB90" s="67" t="s">
        <v>743</v>
      </c>
      <c r="FC90" s="67" t="s">
        <v>744</v>
      </c>
      <c r="FD90" s="67" t="s">
        <v>745</v>
      </c>
      <c r="FE90" s="68" t="s">
        <v>746</v>
      </c>
      <c r="FF90" s="68" t="s">
        <v>747</v>
      </c>
    </row>
    <row r="91" spans="1:162" s="63" customFormat="1" ht="12" customHeight="1" thickBot="1" x14ac:dyDescent="0.25">
      <c r="A91" s="2">
        <f t="shared" si="505"/>
        <v>5810</v>
      </c>
      <c r="B91" s="3">
        <f t="shared" si="449"/>
        <v>623</v>
      </c>
      <c r="C91" s="3">
        <f t="shared" si="450"/>
        <v>585</v>
      </c>
      <c r="D91" s="3">
        <f t="shared" si="451"/>
        <v>1012</v>
      </c>
      <c r="E91" s="3">
        <f t="shared" si="452"/>
        <v>2220</v>
      </c>
      <c r="F91" s="4">
        <f t="shared" si="506"/>
        <v>5860.2662272165471</v>
      </c>
      <c r="G91" s="4">
        <f t="shared" si="489"/>
        <v>582.24014788822444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  <c r="AM91" s="20">
        <v>-128</v>
      </c>
      <c r="AN91" s="20">
        <v>33</v>
      </c>
      <c r="AO91" s="20">
        <v>5810</v>
      </c>
      <c r="AP91" s="20">
        <v>1566</v>
      </c>
      <c r="AQ91" s="20">
        <v>-35</v>
      </c>
      <c r="AR91" s="20"/>
      <c r="AS91" s="54">
        <f>IF(RTD("tos.rtd",,AS$83,"."&amp;$B$82&amp;$AS$82&amp;"C"&amp;$A91)="N/A",0,RTD("tos.rtd",,AS$83,"."&amp;$B$82&amp;$AS$82&amp;"C"&amp;$A91))</f>
        <v>588</v>
      </c>
      <c r="AT91" s="3">
        <f>-IF(RTD("tos.rtd",,AT$83,"."&amp;$B$82&amp;$AS$82&amp;"P"&amp;$A91)="N/A",0,RTD("tos.rtd",,AT$83,"."&amp;$B$82&amp;$AS$82&amp;"P"&amp;$A91))</f>
        <v>-35</v>
      </c>
      <c r="AU91" s="54">
        <f>IF(RTD("tos.rtd",,AU$83,"."&amp;$C$82&amp;$AU$82&amp;"C"&amp;$A91)="N/A",0,RTD("tos.rtd",,AU$83,"."&amp;$C$82&amp;$AU$82&amp;"C"&amp;$A91))</f>
        <v>525</v>
      </c>
      <c r="AV91" s="3">
        <f>-IF(RTD("tos.rtd",,AV$83,"."&amp;$C$82&amp;$AU$82&amp;"P"&amp;$A91)="N/A",0,RTD("tos.rtd",,AV$83,"."&amp;$C$82&amp;$AU$82&amp;"P"&amp;$A91))</f>
        <v>-60</v>
      </c>
      <c r="AW91" s="54">
        <f>IF(RTD("tos.rtd",,AW$83,"."&amp;$D$82&amp;$AW$82&amp;"C"&amp;$A91)="N/A",0,RTD("tos.rtd",,AW$83,"."&amp;$D$82&amp;$AW$82&amp;"C"&amp;$A91))</f>
        <v>345</v>
      </c>
      <c r="AX91" s="3">
        <f>-IF(RTD("tos.rtd",,AX$83,"."&amp;$D$82&amp;$AW$82&amp;"P"&amp;$A91)="N/A",0,RTD("tos.rtd",,AX$83,"."&amp;$D$82&amp;$AW$82&amp;"P"&amp;$A91))</f>
        <v>-667</v>
      </c>
      <c r="AY91" s="79">
        <f t="shared" si="490"/>
        <v>696</v>
      </c>
      <c r="AZ91" s="8">
        <f t="shared" si="453"/>
        <v>5810</v>
      </c>
      <c r="BA91" s="54">
        <f>IF(RTD("tos.rtd",,BA$83,"."&amp;$B$82&amp;$AS$82&amp;"C"&amp;$A91)="N/A",0,RTD("tos.rtd",,BA$83,"."&amp;$B$82&amp;$AS$82&amp;"C"&amp;$A91))</f>
        <v>0</v>
      </c>
      <c r="BB91" s="3">
        <f>-IF(RTD("tos.rtd",,BB$83,"."&amp;$B$82&amp;$AS$82&amp;"P"&amp;$A91)="N/A",0,RTD("tos.rtd",,BB$83,"."&amp;$B$82&amp;$AS$82&amp;"P"&amp;$A91))</f>
        <v>0</v>
      </c>
      <c r="BC91" s="54">
        <f>IF(RTD("tos.rtd",,BC$83,"."&amp;$C$82&amp;$AU$82&amp;"C"&amp;$A91)="N/A",0,RTD("tos.rtd",,BC$83,"."&amp;$C$82&amp;$AU$82&amp;"C"&amp;$A91))</f>
        <v>2</v>
      </c>
      <c r="BD91" s="3">
        <f>-IF(RTD("tos.rtd",,BD$83,"."&amp;$C$82&amp;$AU$82&amp;"P"&amp;$A91)="N/A",0,RTD("tos.rtd",,BD$83,"."&amp;$C$82&amp;$AU$82&amp;"P"&amp;$A91))</f>
        <v>0</v>
      </c>
      <c r="BE91" s="54">
        <f>IF(RTD("tos.rtd",,BE$83,"."&amp;$D$82&amp;$AW$82&amp;"C"&amp;$A91)="N/A",0,RTD("tos.rtd",,BE$83,"."&amp;$D$82&amp;$AW$82&amp;"C"&amp;$A91))</f>
        <v>0</v>
      </c>
      <c r="BF91" s="3">
        <f>-IF(RTD("tos.rtd",,BF$83,"."&amp;$D$82&amp;$AW$82&amp;"P"&amp;$A91)="N/A",0,RTD("tos.rtd",,BF$83,"."&amp;$D$82&amp;$AW$82&amp;"P"&amp;$A91))</f>
        <v>0</v>
      </c>
      <c r="BG91" s="3">
        <f ca="1">+Hoja2!Y92</f>
        <v>0</v>
      </c>
      <c r="BH91" s="55">
        <f t="shared" ca="1" si="491"/>
        <v>2</v>
      </c>
      <c r="BI91" s="32" t="str">
        <f t="shared" ca="1" si="510"/>
        <v/>
      </c>
      <c r="BJ91" s="3" t="e">
        <f ca="1">IF($BP$1=1,DX91,IF(RTD("tos.rtd",,BJ$83,"."&amp;$B$82&amp;$AS$82&amp;"C"&amp;$A91)="N/A",0,RTD("tos.rtd",,BJ$83,"."&amp;$B$82&amp;$AS$82&amp;"C"&amp;$A91)))</f>
        <v>#NUM!</v>
      </c>
      <c r="BK91" s="3" t="e">
        <f ca="1">IF($BP$1=1,DY91,-IF(RTD("tos.rtd",,BK$83,"."&amp;$B$82&amp;$AS$82&amp;"P"&amp;$A91)="N/A",0,RTD("tos.rtd",,BK$83,"."&amp;$B$82&amp;$AS$82&amp;"P"&amp;$A91)))</f>
        <v>#NUM!</v>
      </c>
      <c r="BL91" s="3">
        <f ca="1">IF($BP$1=1,DZ91,IF(RTD("tos.rtd",,BL$83,"."&amp;$C$82&amp;$AU$82&amp;"C"&amp;$A91)="N/A",0,RTD("tos.rtd",,BL$83,"."&amp;$C$82&amp;$AU$82&amp;"C"&amp;$A91)))</f>
        <v>1.0784263401875725E-3</v>
      </c>
      <c r="BM91" s="3">
        <f ca="1">IF($BP$1=1,EA91,-IF(RTD("tos.rtd",,BM$83,"."&amp;$C$82&amp;$AU$82&amp;"P"&amp;$A91)="N/A",0,RTD("tos.rtd",,BM$83,"."&amp;$C$82&amp;$AU$82&amp;"P"&amp;$A91)))</f>
        <v>-1.1152537913326015E-3</v>
      </c>
      <c r="BN91" s="3">
        <f ca="1">IF($BP$1=1,EB91,IF(RTD("tos.rtd",,BN$83,"."&amp;$D$82&amp;$AW$82&amp;"C"&amp;$A91)="N/A",0,RTD("tos.rtd",,BN$83,"."&amp;$D$82&amp;$AW$82&amp;"C"&amp;$A91)))</f>
        <v>7.2498024795803547E-4</v>
      </c>
      <c r="BO91" s="3">
        <f ca="1">IF($BP$1=1,EC91,-IF(RTD("tos.rtd",,BO$83,"."&amp;$D$82&amp;$AW$82&amp;"P"&amp;$A91)="N/A",0,RTD("tos.rtd",,BO$83,"."&amp;$D$82&amp;$AW$82&amp;"P"&amp;$A91)))</f>
        <v>-1.1152537913326015E-3</v>
      </c>
      <c r="BQ91" s="3" t="e">
        <f t="shared" ca="1" si="454"/>
        <v>#NUM!</v>
      </c>
      <c r="BR91" s="3" t="e">
        <f t="shared" ca="1" si="492"/>
        <v>#NUM!</v>
      </c>
      <c r="BS91" s="3">
        <f t="shared" ca="1" si="455"/>
        <v>118335.73272037326</v>
      </c>
      <c r="BT91" s="3" t="str">
        <f t="shared" ca="1" si="492"/>
        <v/>
      </c>
      <c r="BU91" s="3">
        <f t="shared" ca="1" si="456"/>
        <v>-117031.51222982562</v>
      </c>
      <c r="BV91" s="3" t="str">
        <f t="shared" ca="1" si="492"/>
        <v>Cruce -</v>
      </c>
      <c r="BX91" s="3" t="e">
        <f t="shared" ca="1" si="457"/>
        <v>#NUM!</v>
      </c>
      <c r="BY91" s="3" t="e">
        <f t="shared" ca="1" si="507"/>
        <v>#NUM!</v>
      </c>
      <c r="BZ91" s="3">
        <f t="shared" ca="1" si="458"/>
        <v>511.22352570447532</v>
      </c>
      <c r="CA91" s="3" t="str">
        <f t="shared" ca="1" si="507"/>
        <v/>
      </c>
      <c r="CB91" s="3">
        <f t="shared" ca="1" si="459"/>
        <v>0</v>
      </c>
      <c r="CC91" s="3" t="str">
        <f t="shared" ca="1" si="507"/>
        <v/>
      </c>
      <c r="CD91" s="3">
        <f>IF(RTD("tos.rtd",,CD$83,"."&amp;$B$82&amp;$AS$82&amp;"C"&amp;$A91)="N/A",0,RTD("tos.rtd",,CD$83,"."&amp;$B$82&amp;$AS$82&amp;"C"&amp;$A91))</f>
        <v>0</v>
      </c>
      <c r="CE91" s="3">
        <f>-IF(RTD("tos.rtd",,CE$83,"."&amp;$B$82&amp;$AS$82&amp;"P"&amp;$A91)="N/A",0,RTD("tos.rtd",,CE$83,"."&amp;$B$82&amp;$AS$82&amp;"P"&amp;$A91))</f>
        <v>0.89</v>
      </c>
      <c r="CF91" s="3">
        <f>IF(RTD("tos.rtd",,CF$83,"."&amp;$C$82&amp;$AU$82&amp;"C"&amp;$A91)="N/A",0,RTD("tos.rtd",,CF$83,"."&amp;$C$82&amp;$AU$82&amp;"C"&amp;$A91))</f>
        <v>0.03</v>
      </c>
      <c r="CG91" s="3">
        <f>-IF(RTD("tos.rtd",,CG$83,"."&amp;$C$82&amp;$AU$82&amp;"P"&amp;$A91)="N/A",0,RTD("tos.rtd",,CG$83,"."&amp;$C$82&amp;$AU$82&amp;"P"&amp;$A91))</f>
        <v>1</v>
      </c>
      <c r="CH91" s="3">
        <f>IF(RTD("tos.rtd",,CH$83,"."&amp;$D$82&amp;$AW$82&amp;"C"&amp;$A91)="N/A",0,RTD("tos.rtd",,CH$83,"."&amp;$D$82&amp;$AW$82&amp;"C"&amp;$A91))</f>
        <v>0.17</v>
      </c>
      <c r="CI91" s="3">
        <f>-IF(RTD("tos.rtd",,CI$83,"."&amp;$D$82&amp;$AW$82&amp;"P"&amp;$A91)="N/A",0,RTD("tos.rtd",,CI$83,"."&amp;$D$82&amp;$AW$82&amp;"P"&amp;$A91))</f>
        <v>1</v>
      </c>
      <c r="CK91" s="3">
        <f t="shared" si="493"/>
        <v>-3115</v>
      </c>
      <c r="CL91" s="3"/>
      <c r="CM91" s="3">
        <f t="shared" si="494"/>
        <v>-4425</v>
      </c>
      <c r="CN91" s="3"/>
      <c r="CO91" s="3">
        <f t="shared" si="495"/>
        <v>-60835</v>
      </c>
      <c r="CP91" s="3">
        <f t="shared" si="460"/>
        <v>-68375</v>
      </c>
      <c r="CQ91" s="3">
        <f t="shared" si="461"/>
        <v>0</v>
      </c>
      <c r="CR91" s="3"/>
      <c r="CS91" s="3">
        <f t="shared" si="462"/>
        <v>2</v>
      </c>
      <c r="CT91" s="3"/>
      <c r="CU91" s="3">
        <f t="shared" si="463"/>
        <v>0</v>
      </c>
      <c r="CV91" s="3"/>
      <c r="CW91" s="3" t="e">
        <f t="shared" ca="1" si="496"/>
        <v>#NUM!</v>
      </c>
      <c r="CY91" s="3" t="e">
        <f t="shared" ca="1" si="465"/>
        <v>#NUM!</v>
      </c>
      <c r="CZ91" s="70" t="e">
        <f t="shared" ca="1" si="508"/>
        <v>#NUM!</v>
      </c>
      <c r="DA91" s="3">
        <f>IF(RTD("tos.rtd",,DA$83,"."&amp;$B$82&amp;$AS$82&amp;"C"&amp;$A91)="N/A",0,RTD("tos.rtd",,DA$83,"."&amp;$B$82&amp;$AS$82&amp;"C"&amp;$A91))</f>
        <v>0.03</v>
      </c>
      <c r="DB91" s="3">
        <f>IF(RTD("tos.rtd",,DB$83,"."&amp;$B$82&amp;$AS$82&amp;"P"&amp;$A91)="N/A",0,RTD("tos.rtd",,DB$83,"."&amp;$B$82&amp;$AS$82&amp;"P"&amp;$A91))</f>
        <v>182.3</v>
      </c>
      <c r="DC91" s="3">
        <f>IF(RTD("tos.rtd",,DC$83,"."&amp;$B$82&amp;$AS$82&amp;"C"&amp;$A91)="N/A",0,RTD("tos.rtd",,DC$83,"."&amp;$B$82&amp;$AS$82&amp;"C"&amp;$A91))</f>
        <v>0.05</v>
      </c>
      <c r="DD91" s="3">
        <f>IF(RTD("tos.rtd",,DD$83,"."&amp;$B$82&amp;$AS$82&amp;"P"&amp;$A91)="N/A",0,RTD("tos.rtd",,DD$83,"."&amp;$B$82&amp;$AS$82&amp;"P"&amp;$A91))</f>
        <v>193</v>
      </c>
      <c r="DE91" s="3">
        <f>IF(RTD("tos.rtd",,DE$83,"."&amp;$B$82&amp;$AS$82&amp;"C"&amp;$A91)="N/A",0,RTD("tos.rtd",,DE$83,"."&amp;$B$82&amp;$AS$82&amp;"C"&amp;$A91))</f>
        <v>0</v>
      </c>
      <c r="DF91" s="3">
        <f>IF(RTD("tos.rtd",,DF$83,"."&amp;$B$82&amp;$AS$82&amp;"P"&amp;$A91)="N/A",0,RTD("tos.rtd",,DF$83,"."&amp;$B$82&amp;$AS$82&amp;"P"&amp;$A91))</f>
        <v>178.3</v>
      </c>
      <c r="DG91" s="86">
        <f t="shared" si="497"/>
        <v>178.72000000000025</v>
      </c>
      <c r="DH91" s="3">
        <f t="shared" si="466"/>
        <v>-939.59999999999991</v>
      </c>
      <c r="DI91" s="3">
        <f t="shared" si="467"/>
        <v>9.5238095238095308</v>
      </c>
      <c r="DJ91" s="3">
        <f t="shared" si="468"/>
        <v>-1566</v>
      </c>
      <c r="DK91" s="3">
        <f t="shared" si="469"/>
        <v>-35</v>
      </c>
      <c r="DL91" s="3">
        <f t="shared" si="470"/>
        <v>-930.07619047619039</v>
      </c>
      <c r="DM91" s="3">
        <f t="shared" si="471"/>
        <v>-1601</v>
      </c>
      <c r="DN91" s="64" t="str">
        <f t="shared" si="472"/>
        <v>UNKNOWN</v>
      </c>
      <c r="DO91" s="64" t="str">
        <f t="shared" si="473"/>
        <v>UNKNOWN</v>
      </c>
      <c r="DP91" s="3">
        <f t="shared" si="474"/>
        <v>1708.0024761904774</v>
      </c>
      <c r="DQ91" s="3">
        <f t="shared" si="475"/>
        <v>-6427.48</v>
      </c>
      <c r="DR91" s="3" t="e">
        <f t="shared" ca="1" si="476"/>
        <v>#NUM!</v>
      </c>
      <c r="DS91" s="3">
        <f t="shared" si="477"/>
        <v>-31.150000000000002</v>
      </c>
      <c r="DT91" s="3">
        <f t="shared" si="498"/>
        <v>-1566</v>
      </c>
      <c r="DU91" s="3">
        <f t="shared" si="499"/>
        <v>35</v>
      </c>
      <c r="DV91" s="3">
        <f t="shared" si="500"/>
        <v>-128</v>
      </c>
      <c r="DW91" s="3">
        <f t="shared" si="501"/>
        <v>33</v>
      </c>
      <c r="DX91" s="3" t="e">
        <f t="shared" ca="1" si="509"/>
        <v>#NUM!</v>
      </c>
      <c r="DY91" s="3" t="e">
        <f t="shared" ca="1" si="478"/>
        <v>#NUM!</v>
      </c>
      <c r="DZ91" s="3">
        <f t="shared" ca="1" si="502"/>
        <v>1.0784263401875725E-3</v>
      </c>
      <c r="EA91" s="3">
        <f t="shared" ca="1" si="503"/>
        <v>-1.1152537913326015E-3</v>
      </c>
      <c r="EB91" s="3">
        <f t="shared" ca="1" si="479"/>
        <v>7.2498024795803547E-4</v>
      </c>
      <c r="EC91" s="3">
        <f t="shared" ca="1" si="480"/>
        <v>-1.1152537913326015E-3</v>
      </c>
      <c r="ED91" s="63">
        <f t="shared" si="504"/>
        <v>-95</v>
      </c>
      <c r="EE91" s="59">
        <f t="shared" si="481"/>
        <v>1.3902000000000001</v>
      </c>
      <c r="EF91" s="59">
        <f t="shared" si="482"/>
        <v>3.2726000000000002</v>
      </c>
      <c r="EG91" s="59">
        <f t="shared" si="483"/>
        <v>0.24390000000000001</v>
      </c>
      <c r="EH91" s="59">
        <f t="shared" si="484"/>
        <v>0.25</v>
      </c>
      <c r="EI91" s="59">
        <f t="shared" si="485"/>
        <v>0.19950000000000001</v>
      </c>
      <c r="EJ91" s="59">
        <f t="shared" si="486"/>
        <v>0.25</v>
      </c>
      <c r="EL91" s="3" t="str">
        <f>RTD("tos.rtd",,EL$83,"."&amp;$B$82&amp;$AS$82&amp;"C"&amp;$A91)</f>
        <v>139.02%</v>
      </c>
      <c r="EM91" s="3" t="str">
        <f>RTD("tos.rtd",,EM$83,"."&amp;$B$82&amp;$AS$82&amp;"P"&amp;$A91)</f>
        <v>327.26%</v>
      </c>
      <c r="EN91" s="3" t="str">
        <f>RTD("tos.rtd",,EN$83,"."&amp;$C$82&amp;$AU$82&amp;"C"&amp;$A91)</f>
        <v>24.39%</v>
      </c>
      <c r="EO91" s="3" t="str">
        <f>RTD("tos.rtd",,EO$83,"."&amp;$C$82&amp;$AU$82&amp;"P"&amp;$A91)</f>
        <v>--</v>
      </c>
      <c r="EP91" s="3" t="str">
        <f>RTD("tos.rtd",,EP$83,"."&amp;$D$82&amp;$AW$82&amp;"C"&amp;$A91)</f>
        <v>19.95%</v>
      </c>
      <c r="EQ91" s="3" t="str">
        <f>RTD("tos.rtd",,EQ$83,"."&amp;$D$82&amp;$AW$82&amp;"P"&amp;$A91)</f>
        <v>--</v>
      </c>
      <c r="ES91" s="63" t="str">
        <f t="shared" si="487"/>
        <v>5810,-95.00</v>
      </c>
      <c r="ET91" s="64" t="str">
        <f t="shared" ca="1" si="488"/>
        <v>5810,00.00</v>
      </c>
      <c r="EU91" s="67">
        <v>562.13</v>
      </c>
      <c r="EV91" s="67" t="s">
        <v>748</v>
      </c>
      <c r="EW91" s="67">
        <v>484.51</v>
      </c>
      <c r="EX91" s="67" t="s">
        <v>749</v>
      </c>
      <c r="EY91" s="67">
        <v>5634.75</v>
      </c>
      <c r="EZ91" s="67" t="s">
        <v>750</v>
      </c>
      <c r="FA91" s="67">
        <v>19902</v>
      </c>
      <c r="FB91" s="67" t="s">
        <v>751</v>
      </c>
      <c r="FC91" s="67" t="s">
        <v>752</v>
      </c>
      <c r="FD91" s="67" t="s">
        <v>753</v>
      </c>
      <c r="FE91" s="68" t="s">
        <v>754</v>
      </c>
      <c r="FF91" s="68" t="s">
        <v>755</v>
      </c>
    </row>
    <row r="92" spans="1:162" s="63" customFormat="1" ht="12" customHeight="1" thickBot="1" x14ac:dyDescent="0.25">
      <c r="A92" s="2">
        <f t="shared" si="505"/>
        <v>5800</v>
      </c>
      <c r="B92" s="3">
        <f t="shared" si="449"/>
        <v>2080</v>
      </c>
      <c r="C92" s="3">
        <f t="shared" si="450"/>
        <v>5830</v>
      </c>
      <c r="D92" s="3">
        <f t="shared" si="451"/>
        <v>29796</v>
      </c>
      <c r="E92" s="3">
        <f t="shared" si="452"/>
        <v>37706</v>
      </c>
      <c r="F92" s="4">
        <f t="shared" si="506"/>
        <v>5850.17971047435</v>
      </c>
      <c r="G92" s="4">
        <f t="shared" si="489"/>
        <v>581.23801338239275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20"/>
      <c r="AM92" s="20">
        <v>-231</v>
      </c>
      <c r="AN92" s="20">
        <v>-32</v>
      </c>
      <c r="AO92" s="20">
        <v>5800</v>
      </c>
      <c r="AP92" s="20">
        <v>2291</v>
      </c>
      <c r="AQ92" s="20">
        <v>-40</v>
      </c>
      <c r="AR92" s="20"/>
      <c r="AS92" s="54">
        <f>IF(RTD("tos.rtd",,AS$83,"."&amp;$B$82&amp;$AS$82&amp;"C"&amp;$A92)="N/A",0,RTD("tos.rtd",,AS$83,"."&amp;$B$82&amp;$AS$82&amp;"C"&amp;$A92))</f>
        <v>2037</v>
      </c>
      <c r="AT92" s="3">
        <f>-IF(RTD("tos.rtd",,AT$83,"."&amp;$B$82&amp;$AS$82&amp;"P"&amp;$A92)="N/A",0,RTD("tos.rtd",,AT$83,"."&amp;$B$82&amp;$AS$82&amp;"P"&amp;$A92))</f>
        <v>-43</v>
      </c>
      <c r="AU92" s="54">
        <f>IF(RTD("tos.rtd",,AU$83,"."&amp;$C$82&amp;$AU$82&amp;"C"&amp;$A92)="N/A",0,RTD("tos.rtd",,AU$83,"."&amp;$C$82&amp;$AU$82&amp;"C"&amp;$A92))</f>
        <v>5790</v>
      </c>
      <c r="AV92" s="3">
        <f>-IF(RTD("tos.rtd",,AV$83,"."&amp;$C$82&amp;$AU$82&amp;"P"&amp;$A92)="N/A",0,RTD("tos.rtd",,AV$83,"."&amp;$C$82&amp;$AU$82&amp;"P"&amp;$A92))</f>
        <v>-40</v>
      </c>
      <c r="AW92" s="54">
        <f>IF(RTD("tos.rtd",,AW$83,"."&amp;$D$82&amp;$AW$82&amp;"C"&amp;$A92)="N/A",0,RTD("tos.rtd",,AW$83,"."&amp;$D$82&amp;$AW$82&amp;"C"&amp;$A92))</f>
        <v>22309</v>
      </c>
      <c r="AX92" s="3">
        <f>-IF(RTD("tos.rtd",,AX$83,"."&amp;$D$82&amp;$AW$82&amp;"P"&amp;$A92)="N/A",0,RTD("tos.rtd",,AX$83,"."&amp;$D$82&amp;$AW$82&amp;"P"&amp;$A92))</f>
        <v>-7487</v>
      </c>
      <c r="AY92" s="79">
        <f t="shared" si="490"/>
        <v>22566</v>
      </c>
      <c r="AZ92" s="8">
        <f t="shared" si="453"/>
        <v>5800</v>
      </c>
      <c r="BA92" s="54">
        <f>IF(RTD("tos.rtd",,BA$83,"."&amp;$B$82&amp;$AS$82&amp;"C"&amp;$A92)="N/A",0,RTD("tos.rtd",,BA$83,"."&amp;$B$82&amp;$AS$82&amp;"C"&amp;$A92))</f>
        <v>0</v>
      </c>
      <c r="BB92" s="3">
        <f>-IF(RTD("tos.rtd",,BB$83,"."&amp;$B$82&amp;$AS$82&amp;"P"&amp;$A92)="N/A",0,RTD("tos.rtd",,BB$83,"."&amp;$B$82&amp;$AS$82&amp;"P"&amp;$A92))</f>
        <v>0</v>
      </c>
      <c r="BC92" s="54">
        <f>IF(RTD("tos.rtd",,BC$83,"."&amp;$C$82&amp;$AU$82&amp;"C"&amp;$A92)="N/A",0,RTD("tos.rtd",,BC$83,"."&amp;$C$82&amp;$AU$82&amp;"C"&amp;$A92))</f>
        <v>32</v>
      </c>
      <c r="BD92" s="3">
        <f>-IF(RTD("tos.rtd",,BD$83,"."&amp;$C$82&amp;$AU$82&amp;"P"&amp;$A92)="N/A",0,RTD("tos.rtd",,BD$83,"."&amp;$C$82&amp;$AU$82&amp;"P"&amp;$A92))</f>
        <v>0</v>
      </c>
      <c r="BE92" s="54">
        <f>IF(RTD("tos.rtd",,BE$83,"."&amp;$D$82&amp;$AW$82&amp;"C"&amp;$A92)="N/A",0,RTD("tos.rtd",,BE$83,"."&amp;$D$82&amp;$AW$82&amp;"C"&amp;$A92))</f>
        <v>5</v>
      </c>
      <c r="BF92" s="3">
        <f>-IF(RTD("tos.rtd",,BF$83,"."&amp;$D$82&amp;$AW$82&amp;"P"&amp;$A92)="N/A",0,RTD("tos.rtd",,BF$83,"."&amp;$D$82&amp;$AW$82&amp;"P"&amp;$A92))</f>
        <v>0</v>
      </c>
      <c r="BG92" s="3">
        <f ca="1">+Hoja2!Y93</f>
        <v>0</v>
      </c>
      <c r="BH92" s="55">
        <f t="shared" ca="1" si="491"/>
        <v>37</v>
      </c>
      <c r="BI92" s="32" t="str">
        <f t="shared" ca="1" si="510"/>
        <v/>
      </c>
      <c r="BJ92" s="3" t="e">
        <f ca="1">IF($BP$1=1,DX92,IF(RTD("tos.rtd",,BJ$83,"."&amp;$B$82&amp;$AS$82&amp;"C"&amp;$A92)="N/A",0,RTD("tos.rtd",,BJ$83,"."&amp;$B$82&amp;$AS$82&amp;"C"&amp;$A92)))</f>
        <v>#NUM!</v>
      </c>
      <c r="BK92" s="3" t="e">
        <f ca="1">IF($BP$1=1,DY92,-IF(RTD("tos.rtd",,BK$83,"."&amp;$B$82&amp;$AS$82&amp;"P"&amp;$A92)="N/A",0,RTD("tos.rtd",,BK$83,"."&amp;$B$82&amp;$AS$82&amp;"P"&amp;$A92)))</f>
        <v>#NUM!</v>
      </c>
      <c r="BL92" s="3">
        <f ca="1">IF($BP$1=1,DZ92,IF(RTD("tos.rtd",,BL$83,"."&amp;$C$82&amp;$AU$82&amp;"C"&amp;$A92)="N/A",0,RTD("tos.rtd",,BL$83,"."&amp;$C$82&amp;$AU$82&amp;"C"&amp;$A92)))</f>
        <v>1.2361270423552598E-3</v>
      </c>
      <c r="BM92" s="3">
        <f ca="1">IF($BP$1=1,EA92,-IF(RTD("tos.rtd",,BM$83,"."&amp;$C$82&amp;$AU$82&amp;"P"&amp;$A92)="N/A",0,RTD("tos.rtd",,BM$83,"."&amp;$C$82&amp;$AU$82&amp;"P"&amp;$A92)))</f>
        <v>-1.2620133473533824E-3</v>
      </c>
      <c r="BN92" s="3">
        <f ca="1">IF($BP$1=1,EB92,IF(RTD("tos.rtd",,BN$83,"."&amp;$D$82&amp;$AW$82&amp;"C"&amp;$A92)="N/A",0,RTD("tos.rtd",,BN$83,"."&amp;$D$82&amp;$AW$82&amp;"C"&amp;$A92)))</f>
        <v>9.0502570677723152E-4</v>
      </c>
      <c r="BO92" s="3">
        <f ca="1">IF($BP$1=1,EC92,-IF(RTD("tos.rtd",,BO$83,"."&amp;$D$82&amp;$AW$82&amp;"P"&amp;$A92)="N/A",0,RTD("tos.rtd",,BO$83,"."&amp;$D$82&amp;$AW$82&amp;"P"&amp;$A92)))</f>
        <v>-1.2620133473533824E-3</v>
      </c>
      <c r="BQ92" s="3" t="e">
        <f t="shared" ca="1" si="454"/>
        <v>#NUM!</v>
      </c>
      <c r="BR92" s="3" t="e">
        <f t="shared" ca="1" si="492"/>
        <v>#NUM!</v>
      </c>
      <c r="BS92" s="3">
        <f t="shared" ca="1" si="455"/>
        <v>1684449.6280153336</v>
      </c>
      <c r="BT92" s="3" t="str">
        <f t="shared" ca="1" si="492"/>
        <v/>
      </c>
      <c r="BU92" s="3">
        <f t="shared" ca="1" si="456"/>
        <v>2545987.5435202071</v>
      </c>
      <c r="BV92" s="3" t="str">
        <f t="shared" ca="1" si="492"/>
        <v>Cruce +</v>
      </c>
      <c r="BX92" s="3" t="e">
        <f t="shared" ca="1" si="457"/>
        <v>#NUM!</v>
      </c>
      <c r="BY92" s="3" t="e">
        <f t="shared" ca="1" si="507"/>
        <v>#NUM!</v>
      </c>
      <c r="BZ92" s="3">
        <f t="shared" ca="1" si="458"/>
        <v>9375.6942131303986</v>
      </c>
      <c r="CA92" s="3" t="str">
        <f t="shared" ca="1" si="507"/>
        <v/>
      </c>
      <c r="CB92" s="3">
        <f t="shared" ca="1" si="459"/>
        <v>1072.5591897898373</v>
      </c>
      <c r="CC92" s="3" t="str">
        <f t="shared" ca="1" si="507"/>
        <v/>
      </c>
      <c r="CD92" s="3">
        <f>IF(RTD("tos.rtd",,CD$83,"."&amp;$B$82&amp;$AS$82&amp;"C"&amp;$A92)="N/A",0,RTD("tos.rtd",,CD$83,"."&amp;$B$82&amp;$AS$82&amp;"C"&amp;$A92))</f>
        <v>0</v>
      </c>
      <c r="CE92" s="3">
        <f>-IF(RTD("tos.rtd",,CE$83,"."&amp;$B$82&amp;$AS$82&amp;"P"&amp;$A92)="N/A",0,RTD("tos.rtd",,CE$83,"."&amp;$B$82&amp;$AS$82&amp;"P"&amp;$A92))</f>
        <v>0.9</v>
      </c>
      <c r="CF92" s="3">
        <f>IF(RTD("tos.rtd",,CF$83,"."&amp;$C$82&amp;$AU$82&amp;"C"&amp;$A92)="N/A",0,RTD("tos.rtd",,CF$83,"."&amp;$C$82&amp;$AU$82&amp;"C"&amp;$A92))</f>
        <v>0.04</v>
      </c>
      <c r="CG92" s="3">
        <f>-IF(RTD("tos.rtd",,CG$83,"."&amp;$C$82&amp;$AU$82&amp;"P"&amp;$A92)="N/A",0,RTD("tos.rtd",,CG$83,"."&amp;$C$82&amp;$AU$82&amp;"P"&amp;$A92))</f>
        <v>1</v>
      </c>
      <c r="CH92" s="3">
        <f>IF(RTD("tos.rtd",,CH$83,"."&amp;$D$82&amp;$AW$82&amp;"C"&amp;$A92)="N/A",0,RTD("tos.rtd",,CH$83,"."&amp;$D$82&amp;$AW$82&amp;"C"&amp;$A92))</f>
        <v>0.19</v>
      </c>
      <c r="CI92" s="3">
        <f>-IF(RTD("tos.rtd",,CI$83,"."&amp;$D$82&amp;$AW$82&amp;"P"&amp;$A92)="N/A",0,RTD("tos.rtd",,CI$83,"."&amp;$D$82&amp;$AW$82&amp;"P"&amp;$A92))</f>
        <v>1</v>
      </c>
      <c r="CK92" s="3">
        <f t="shared" si="493"/>
        <v>-3870.0000000000005</v>
      </c>
      <c r="CL92" s="3"/>
      <c r="CM92" s="3">
        <f t="shared" si="494"/>
        <v>19160</v>
      </c>
      <c r="CN92" s="3"/>
      <c r="CO92" s="3">
        <f t="shared" si="495"/>
        <v>-324829</v>
      </c>
      <c r="CP92" s="3">
        <f t="shared" si="460"/>
        <v>-309539</v>
      </c>
      <c r="CQ92" s="3">
        <f t="shared" si="461"/>
        <v>0</v>
      </c>
      <c r="CR92" s="3"/>
      <c r="CS92" s="3">
        <f t="shared" si="462"/>
        <v>32</v>
      </c>
      <c r="CT92" s="3"/>
      <c r="CU92" s="3">
        <f t="shared" si="463"/>
        <v>5</v>
      </c>
      <c r="CV92" s="3"/>
      <c r="CW92" s="3" t="e">
        <f t="shared" ca="1" si="496"/>
        <v>#NUM!</v>
      </c>
      <c r="CY92" s="3" t="e">
        <f t="shared" ca="1" si="465"/>
        <v>#NUM!</v>
      </c>
      <c r="CZ92" s="70" t="e">
        <f t="shared" ca="1" si="508"/>
        <v>#NUM!</v>
      </c>
      <c r="DA92" s="3">
        <f>IF(RTD("tos.rtd",,DA$83,"."&amp;$B$82&amp;$AS$82&amp;"C"&amp;$A92)="N/A",0,RTD("tos.rtd",,DA$83,"."&amp;$B$82&amp;$AS$82&amp;"C"&amp;$A92))</f>
        <v>0.03</v>
      </c>
      <c r="DB92" s="3">
        <f>IF(RTD("tos.rtd",,DB$83,"."&amp;$B$82&amp;$AS$82&amp;"P"&amp;$A92)="N/A",0,RTD("tos.rtd",,DB$83,"."&amp;$B$82&amp;$AS$82&amp;"P"&amp;$A92))</f>
        <v>169.13</v>
      </c>
      <c r="DC92" s="3">
        <f>IF(RTD("tos.rtd",,DC$83,"."&amp;$B$82&amp;$AS$82&amp;"C"&amp;$A92)="N/A",0,RTD("tos.rtd",,DC$83,"."&amp;$B$82&amp;$AS$82&amp;"C"&amp;$A92))</f>
        <v>0.05</v>
      </c>
      <c r="DD92" s="3">
        <f>IF(RTD("tos.rtd",,DD$83,"."&amp;$B$82&amp;$AS$82&amp;"P"&amp;$A92)="N/A",0,RTD("tos.rtd",,DD$83,"."&amp;$B$82&amp;$AS$82&amp;"P"&amp;$A92))</f>
        <v>182</v>
      </c>
      <c r="DE92" s="3">
        <f>IF(RTD("tos.rtd",,DE$83,"."&amp;$B$82&amp;$AS$82&amp;"C"&amp;$A92)="N/A",0,RTD("tos.rtd",,DE$83,"."&amp;$B$82&amp;$AS$82&amp;"C"&amp;$A92))</f>
        <v>0</v>
      </c>
      <c r="DF92" s="3">
        <f>IF(RTD("tos.rtd",,DF$83,"."&amp;$B$82&amp;$AS$82&amp;"P"&amp;$A92)="N/A",0,RTD("tos.rtd",,DF$83,"."&amp;$B$82&amp;$AS$82&amp;"P"&amp;$A92))</f>
        <v>168.3</v>
      </c>
      <c r="DG92" s="86">
        <f t="shared" si="497"/>
        <v>168.72000000000025</v>
      </c>
      <c r="DH92" s="3">
        <f t="shared" si="466"/>
        <v>-1374.6</v>
      </c>
      <c r="DI92" s="3">
        <f t="shared" si="467"/>
        <v>2.4233576642335324</v>
      </c>
      <c r="DJ92" s="3">
        <f t="shared" si="468"/>
        <v>-2291</v>
      </c>
      <c r="DK92" s="3">
        <f t="shared" si="469"/>
        <v>-40</v>
      </c>
      <c r="DL92" s="3">
        <f t="shared" si="470"/>
        <v>-1372.1766423357665</v>
      </c>
      <c r="DM92" s="3">
        <f t="shared" si="471"/>
        <v>-2331</v>
      </c>
      <c r="DN92" s="64" t="str">
        <f t="shared" si="472"/>
        <v>UNKNOWN</v>
      </c>
      <c r="DO92" s="64" t="str">
        <f t="shared" si="473"/>
        <v>UNKNOWN</v>
      </c>
      <c r="DP92" s="3">
        <f t="shared" si="474"/>
        <v>368.62448175181731</v>
      </c>
      <c r="DQ92" s="3">
        <f t="shared" si="475"/>
        <v>-6833.9299999999994</v>
      </c>
      <c r="DR92" s="3" t="e">
        <f t="shared" ca="1" si="476"/>
        <v>#NUM!</v>
      </c>
      <c r="DS92" s="3">
        <f t="shared" si="477"/>
        <v>-36</v>
      </c>
      <c r="DT92" s="3">
        <f t="shared" si="498"/>
        <v>-2291</v>
      </c>
      <c r="DU92" s="3">
        <f t="shared" si="499"/>
        <v>40</v>
      </c>
      <c r="DV92" s="3">
        <f t="shared" si="500"/>
        <v>-231</v>
      </c>
      <c r="DW92" s="3">
        <f t="shared" si="501"/>
        <v>-32</v>
      </c>
      <c r="DX92" s="3" t="e">
        <f t="shared" ca="1" si="509"/>
        <v>#NUM!</v>
      </c>
      <c r="DY92" s="3" t="e">
        <f t="shared" ca="1" si="478"/>
        <v>#NUM!</v>
      </c>
      <c r="DZ92" s="3">
        <f t="shared" ca="1" si="502"/>
        <v>1.2361270423552598E-3</v>
      </c>
      <c r="EA92" s="3">
        <f t="shared" ca="1" si="503"/>
        <v>-1.2620133473533824E-3</v>
      </c>
      <c r="EB92" s="3">
        <f t="shared" ca="1" si="479"/>
        <v>9.0502570677723152E-4</v>
      </c>
      <c r="EC92" s="3">
        <f t="shared" ca="1" si="480"/>
        <v>-1.2620133473533824E-3</v>
      </c>
      <c r="ED92" s="63">
        <f t="shared" si="504"/>
        <v>-263</v>
      </c>
      <c r="EE92" s="59">
        <f t="shared" si="481"/>
        <v>1.3201000000000001</v>
      </c>
      <c r="EF92" s="59">
        <f t="shared" si="482"/>
        <v>3.0777000000000001</v>
      </c>
      <c r="EG92" s="59">
        <f t="shared" si="483"/>
        <v>0.24529999999999999</v>
      </c>
      <c r="EH92" s="59">
        <f t="shared" si="484"/>
        <v>0.25</v>
      </c>
      <c r="EI92" s="59">
        <f t="shared" si="485"/>
        <v>0.20200000000000001</v>
      </c>
      <c r="EJ92" s="59">
        <f t="shared" si="486"/>
        <v>0.25</v>
      </c>
      <c r="EL92" s="3" t="str">
        <f>RTD("tos.rtd",,EL$83,"."&amp;$B$82&amp;$AS$82&amp;"C"&amp;$A92)</f>
        <v>132.01%</v>
      </c>
      <c r="EM92" s="3" t="str">
        <f>RTD("tos.rtd",,EM$83,"."&amp;$B$82&amp;$AS$82&amp;"P"&amp;$A92)</f>
        <v>307.77%</v>
      </c>
      <c r="EN92" s="3" t="str">
        <f>RTD("tos.rtd",,EN$83,"."&amp;$C$82&amp;$AU$82&amp;"C"&amp;$A92)</f>
        <v>24.53%</v>
      </c>
      <c r="EO92" s="3" t="str">
        <f>RTD("tos.rtd",,EO$83,"."&amp;$C$82&amp;$AU$82&amp;"P"&amp;$A92)</f>
        <v>--</v>
      </c>
      <c r="EP92" s="3" t="str">
        <f>RTD("tos.rtd",,EP$83,"."&amp;$D$82&amp;$AW$82&amp;"C"&amp;$A92)</f>
        <v>20.20%</v>
      </c>
      <c r="EQ92" s="3" t="str">
        <f>RTD("tos.rtd",,EQ$83,"."&amp;$D$82&amp;$AW$82&amp;"P"&amp;$A92)</f>
        <v>--</v>
      </c>
      <c r="ES92" s="63" t="str">
        <f t="shared" si="487"/>
        <v>5800,-263.00</v>
      </c>
      <c r="ET92" s="64" t="str">
        <f t="shared" ca="1" si="488"/>
        <v>5800,00.00</v>
      </c>
      <c r="EU92" s="67">
        <v>562.26</v>
      </c>
      <c r="EV92" s="67" t="s">
        <v>756</v>
      </c>
      <c r="EW92" s="67">
        <v>484.63</v>
      </c>
      <c r="EX92" s="67" t="s">
        <v>757</v>
      </c>
      <c r="EY92" s="67">
        <v>5636</v>
      </c>
      <c r="EZ92" s="67" t="s">
        <v>758</v>
      </c>
      <c r="FA92" s="67">
        <v>19907.25</v>
      </c>
      <c r="FB92" s="67" t="s">
        <v>759</v>
      </c>
      <c r="FC92" s="67" t="s">
        <v>760</v>
      </c>
      <c r="FD92" s="67" t="s">
        <v>761</v>
      </c>
      <c r="FE92" s="68" t="s">
        <v>762</v>
      </c>
      <c r="FF92" s="68" t="s">
        <v>763</v>
      </c>
    </row>
    <row r="93" spans="1:162" s="63" customFormat="1" ht="12" customHeight="1" thickBot="1" x14ac:dyDescent="0.25">
      <c r="A93" s="2">
        <f t="shared" si="505"/>
        <v>5790</v>
      </c>
      <c r="B93" s="3">
        <f t="shared" si="449"/>
        <v>878</v>
      </c>
      <c r="C93" s="3">
        <f t="shared" si="450"/>
        <v>1035</v>
      </c>
      <c r="D93" s="3">
        <f t="shared" si="451"/>
        <v>774</v>
      </c>
      <c r="E93" s="3">
        <f t="shared" si="452"/>
        <v>2687</v>
      </c>
      <c r="F93" s="4">
        <f>+$F$84/$A$84*A93</f>
        <v>5840.0931937321529</v>
      </c>
      <c r="G93" s="4">
        <f t="shared" si="489"/>
        <v>580.23587887656106</v>
      </c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20"/>
      <c r="AM93" s="20">
        <v>70</v>
      </c>
      <c r="AN93" s="20">
        <v>-8</v>
      </c>
      <c r="AO93" s="20">
        <v>5790</v>
      </c>
      <c r="AP93" s="20">
        <v>1814</v>
      </c>
      <c r="AQ93" s="20">
        <v>-8</v>
      </c>
      <c r="AR93" s="20"/>
      <c r="AS93" s="54">
        <f>IF(RTD("tos.rtd",,AS$83,"."&amp;$B$82&amp;$AS$82&amp;"C"&amp;$A93)="N/A",0,RTD("tos.rtd",,AS$83,"."&amp;$B$82&amp;$AS$82&amp;"C"&amp;$A93))</f>
        <v>864</v>
      </c>
      <c r="AT93" s="3">
        <f>-IF(RTD("tos.rtd",,AT$83,"."&amp;$B$82&amp;$AS$82&amp;"P"&amp;$A93)="N/A",0,RTD("tos.rtd",,AT$83,"."&amp;$B$82&amp;$AS$82&amp;"P"&amp;$A93))</f>
        <v>-14</v>
      </c>
      <c r="AU93" s="54">
        <f>IF(RTD("tos.rtd",,AU$83,"."&amp;$C$82&amp;$AU$82&amp;"C"&amp;$A93)="N/A",0,RTD("tos.rtd",,AU$83,"."&amp;$C$82&amp;$AU$82&amp;"C"&amp;$A93))</f>
        <v>1022</v>
      </c>
      <c r="AV93" s="3">
        <f>-IF(RTD("tos.rtd",,AV$83,"."&amp;$C$82&amp;$AU$82&amp;"P"&amp;$A93)="N/A",0,RTD("tos.rtd",,AV$83,"."&amp;$C$82&amp;$AU$82&amp;"P"&amp;$A93))</f>
        <v>-13</v>
      </c>
      <c r="AW93" s="54">
        <f>IF(RTD("tos.rtd",,AW$83,"."&amp;$D$82&amp;$AW$82&amp;"C"&amp;$A93)="N/A",0,RTD("tos.rtd",,AW$83,"."&amp;$D$82&amp;$AW$82&amp;"C"&amp;$A93))</f>
        <v>611</v>
      </c>
      <c r="AX93" s="3">
        <f>-IF(RTD("tos.rtd",,AX$83,"."&amp;$D$82&amp;$AW$82&amp;"P"&amp;$A93)="N/A",0,RTD("tos.rtd",,AX$83,"."&amp;$D$82&amp;$AW$82&amp;"P"&amp;$A93))</f>
        <v>-163</v>
      </c>
      <c r="AY93" s="79">
        <f t="shared" si="490"/>
        <v>2307</v>
      </c>
      <c r="AZ93" s="8">
        <f t="shared" si="453"/>
        <v>5790</v>
      </c>
      <c r="BA93" s="54">
        <f>IF(RTD("tos.rtd",,BA$83,"."&amp;$B$82&amp;$AS$82&amp;"C"&amp;$A93)="N/A",0,RTD("tos.rtd",,BA$83,"."&amp;$B$82&amp;$AS$82&amp;"C"&amp;$A93))</f>
        <v>0</v>
      </c>
      <c r="BB93" s="3">
        <f>-IF(RTD("tos.rtd",,BB$83,"."&amp;$B$82&amp;$AS$82&amp;"P"&amp;$A93)="N/A",0,RTD("tos.rtd",,BB$83,"."&amp;$B$82&amp;$AS$82&amp;"P"&amp;$A93))</f>
        <v>0</v>
      </c>
      <c r="BC93" s="54">
        <f>IF(RTD("tos.rtd",,BC$83,"."&amp;$C$82&amp;$AU$82&amp;"C"&amp;$A93)="N/A",0,RTD("tos.rtd",,BC$83,"."&amp;$C$82&amp;$AU$82&amp;"C"&amp;$A93))</f>
        <v>6</v>
      </c>
      <c r="BD93" s="3">
        <f>-IF(RTD("tos.rtd",,BD$83,"."&amp;$C$82&amp;$AU$82&amp;"P"&amp;$A93)="N/A",0,RTD("tos.rtd",,BD$83,"."&amp;$C$82&amp;$AU$82&amp;"P"&amp;$A93))</f>
        <v>0</v>
      </c>
      <c r="BE93" s="54">
        <f>IF(RTD("tos.rtd",,BE$83,"."&amp;$D$82&amp;$AW$82&amp;"C"&amp;$A93)="N/A",0,RTD("tos.rtd",,BE$83,"."&amp;$D$82&amp;$AW$82&amp;"C"&amp;$A93))</f>
        <v>0</v>
      </c>
      <c r="BF93" s="3">
        <f>-IF(RTD("tos.rtd",,BF$83,"."&amp;$D$82&amp;$AW$82&amp;"P"&amp;$A93)="N/A",0,RTD("tos.rtd",,BF$83,"."&amp;$D$82&amp;$AW$82&amp;"P"&amp;$A93))</f>
        <v>0</v>
      </c>
      <c r="BG93" s="3">
        <f ca="1">+Hoja2!Y94</f>
        <v>0</v>
      </c>
      <c r="BH93" s="55">
        <f t="shared" ca="1" si="491"/>
        <v>6</v>
      </c>
      <c r="BI93" s="32" t="str">
        <f t="shared" ca="1" si="510"/>
        <v/>
      </c>
      <c r="BJ93" s="3" t="e">
        <f ca="1">IF($BP$1=1,DX93,IF(RTD("tos.rtd",,BJ$83,"."&amp;$B$82&amp;$AS$82&amp;"C"&amp;$A93)="N/A",0,RTD("tos.rtd",,BJ$83,"."&amp;$B$82&amp;$AS$82&amp;"C"&amp;$A93)))</f>
        <v>#NUM!</v>
      </c>
      <c r="BK93" s="3" t="e">
        <f ca="1">IF($BP$1=1,DY93,-IF(RTD("tos.rtd",,BK$83,"."&amp;$B$82&amp;$AS$82&amp;"P"&amp;$A93)="N/A",0,RTD("tos.rtd",,BK$83,"."&amp;$B$82&amp;$AS$82&amp;"P"&amp;$A93)))</f>
        <v>#NUM!</v>
      </c>
      <c r="BL93" s="3">
        <f ca="1">IF($BP$1=1,DZ93,IF(RTD("tos.rtd",,BL$83,"."&amp;$C$82&amp;$AU$82&amp;"C"&amp;$A93)="N/A",0,RTD("tos.rtd",,BL$83,"."&amp;$C$82&amp;$AU$82&amp;"C"&amp;$A93)))</f>
        <v>1.4044118395790206E-3</v>
      </c>
      <c r="BM93" s="3">
        <f ca="1">IF($BP$1=1,EA93,-IF(RTD("tos.rtd",,BM$83,"."&amp;$C$82&amp;$AU$82&amp;"P"&amp;$A93)="N/A",0,RTD("tos.rtd",,BM$83,"."&amp;$C$82&amp;$AU$82&amp;"P"&amp;$A93)))</f>
        <v>-1.4182243292997943E-3</v>
      </c>
      <c r="BN93" s="3">
        <f ca="1">IF($BP$1=1,EB93,IF(RTD("tos.rtd",,BN$83,"."&amp;$D$82&amp;$AW$82&amp;"C"&amp;$A93)="N/A",0,RTD("tos.rtd",,BN$83,"."&amp;$D$82&amp;$AW$82&amp;"C"&amp;$A93)))</f>
        <v>1.102485607415833E-3</v>
      </c>
      <c r="BO93" s="3">
        <f ca="1">IF($BP$1=1,EC93,-IF(RTD("tos.rtd",,BO$83,"."&amp;$D$82&amp;$AW$82&amp;"P"&amp;$A93)="N/A",0,RTD("tos.rtd",,BO$83,"."&amp;$D$82&amp;$AW$82&amp;"P"&amp;$A93)))</f>
        <v>-1.4182243292997943E-3</v>
      </c>
      <c r="BQ93" s="3" t="e">
        <f t="shared" ca="1" si="454"/>
        <v>#NUM!</v>
      </c>
      <c r="BR93" s="3" t="e">
        <f t="shared" ca="1" si="492"/>
        <v>#NUM!</v>
      </c>
      <c r="BS93" s="3">
        <f t="shared" ca="1" si="455"/>
        <v>335831.13840126822</v>
      </c>
      <c r="BT93" s="3" t="str">
        <f t="shared" ca="1" si="492"/>
        <v/>
      </c>
      <c r="BU93" s="3">
        <f t="shared" ca="1" si="456"/>
        <v>104870.35130538375</v>
      </c>
      <c r="BV93" s="3" t="str">
        <f t="shared" ca="1" si="492"/>
        <v/>
      </c>
      <c r="BX93" s="3" t="e">
        <f t="shared" ca="1" si="457"/>
        <v>#NUM!</v>
      </c>
      <c r="BY93" s="3" t="e">
        <f t="shared" ca="1" si="507"/>
        <v>#NUM!</v>
      </c>
      <c r="BZ93" s="3">
        <f t="shared" ca="1" si="458"/>
        <v>1997.266791663724</v>
      </c>
      <c r="CA93" s="3" t="str">
        <f t="shared" ca="1" si="507"/>
        <v/>
      </c>
      <c r="CB93" s="3">
        <f t="shared" ca="1" si="459"/>
        <v>0</v>
      </c>
      <c r="CC93" s="3" t="str">
        <f t="shared" ca="1" si="507"/>
        <v/>
      </c>
      <c r="CD93" s="3">
        <f>IF(RTD("tos.rtd",,CD$83,"."&amp;$B$82&amp;$AS$82&amp;"C"&amp;$A93)="N/A",0,RTD("tos.rtd",,CD$83,"."&amp;$B$82&amp;$AS$82&amp;"C"&amp;$A93))</f>
        <v>0</v>
      </c>
      <c r="CE93" s="3">
        <f>-IF(RTD("tos.rtd",,CE$83,"."&amp;$B$82&amp;$AS$82&amp;"P"&amp;$A93)="N/A",0,RTD("tos.rtd",,CE$83,"."&amp;$B$82&amp;$AS$82&amp;"P"&amp;$A93))</f>
        <v>0.96</v>
      </c>
      <c r="CF93" s="3">
        <f>IF(RTD("tos.rtd",,CF$83,"."&amp;$C$82&amp;$AU$82&amp;"C"&amp;$A93)="N/A",0,RTD("tos.rtd",,CF$83,"."&amp;$C$82&amp;$AU$82&amp;"C"&amp;$A93))</f>
        <v>0.05</v>
      </c>
      <c r="CG93" s="3">
        <f>-IF(RTD("tos.rtd",,CG$83,"."&amp;$C$82&amp;$AU$82&amp;"P"&amp;$A93)="N/A",0,RTD("tos.rtd",,CG$83,"."&amp;$C$82&amp;$AU$82&amp;"P"&amp;$A93))</f>
        <v>1</v>
      </c>
      <c r="CH93" s="3">
        <f>IF(RTD("tos.rtd",,CH$83,"."&amp;$D$82&amp;$AW$82&amp;"C"&amp;$A93)="N/A",0,RTD("tos.rtd",,CH$83,"."&amp;$D$82&amp;$AW$82&amp;"C"&amp;$A93))</f>
        <v>0.2</v>
      </c>
      <c r="CI93" s="3">
        <f>-IF(RTD("tos.rtd",,CI$83,"."&amp;$D$82&amp;$AW$82&amp;"P"&amp;$A93)="N/A",0,RTD("tos.rtd",,CI$83,"."&amp;$D$82&amp;$AW$82&amp;"P"&amp;$A93))</f>
        <v>1</v>
      </c>
      <c r="CK93" s="3">
        <f t="shared" ref="CK93:CK98" si="511">+AS93*CD93*100+AT93*CE93*100</f>
        <v>-1344</v>
      </c>
      <c r="CL93" s="3"/>
      <c r="CM93" s="3">
        <f t="shared" ref="CM93:CM98" si="512">+AU93*CF93*100+AV93*CG93*100</f>
        <v>3810</v>
      </c>
      <c r="CN93" s="3"/>
      <c r="CO93" s="3">
        <f t="shared" ref="CO93:CO98" si="513">+AW93*CH93*100+AX93*CI93*100</f>
        <v>-4080</v>
      </c>
      <c r="CP93" s="3">
        <f t="shared" si="460"/>
        <v>-1614</v>
      </c>
      <c r="CQ93" s="3">
        <f t="shared" si="461"/>
        <v>0</v>
      </c>
      <c r="CR93" s="3"/>
      <c r="CS93" s="3">
        <f t="shared" si="462"/>
        <v>6</v>
      </c>
      <c r="CT93" s="3"/>
      <c r="CU93" s="3">
        <f t="shared" si="463"/>
        <v>0</v>
      </c>
      <c r="CV93" s="3"/>
      <c r="CW93" s="3" t="e">
        <f t="shared" ca="1" si="496"/>
        <v>#NUM!</v>
      </c>
      <c r="CY93" s="3" t="e">
        <f t="shared" ca="1" si="465"/>
        <v>#NUM!</v>
      </c>
      <c r="CZ93" s="70" t="e">
        <f t="shared" ca="1" si="508"/>
        <v>#NUM!</v>
      </c>
      <c r="DA93" s="3">
        <f>IF(RTD("tos.rtd",,DA$83,"."&amp;$B$82&amp;$AS$82&amp;"C"&amp;$A93)="N/A",0,RTD("tos.rtd",,DA$83,"."&amp;$B$82&amp;$AS$82&amp;"C"&amp;$A93))</f>
        <v>0.03</v>
      </c>
      <c r="DB93" s="3">
        <f>IF(RTD("tos.rtd",,DB$83,"."&amp;$B$82&amp;$AS$82&amp;"P"&amp;$A93)="N/A",0,RTD("tos.rtd",,DB$83,"."&amp;$B$82&amp;$AS$82&amp;"P"&amp;$A93))</f>
        <v>178.7</v>
      </c>
      <c r="DC93" s="3">
        <f>IF(RTD("tos.rtd",,DC$83,"."&amp;$B$82&amp;$AS$82&amp;"C"&amp;$A93)="N/A",0,RTD("tos.rtd",,DC$83,"."&amp;$B$82&amp;$AS$82&amp;"C"&amp;$A93))</f>
        <v>0.05</v>
      </c>
      <c r="DD93" s="3">
        <f>IF(RTD("tos.rtd",,DD$83,"."&amp;$B$82&amp;$AS$82&amp;"P"&amp;$A93)="N/A",0,RTD("tos.rtd",,DD$83,"."&amp;$B$82&amp;$AS$82&amp;"P"&amp;$A93))</f>
        <v>161.5</v>
      </c>
      <c r="DE93" s="3">
        <f>IF(RTD("tos.rtd",,DE$83,"."&amp;$B$82&amp;$AS$82&amp;"C"&amp;$A93)="N/A",0,RTD("tos.rtd",,DE$83,"."&amp;$B$82&amp;$AS$82&amp;"C"&amp;$A93))</f>
        <v>0</v>
      </c>
      <c r="DF93" s="3">
        <f>IF(RTD("tos.rtd",,DF$83,"."&amp;$B$82&amp;$AS$82&amp;"P"&amp;$A93)="N/A",0,RTD("tos.rtd",,DF$83,"."&amp;$B$82&amp;$AS$82&amp;"P"&amp;$A93))</f>
        <v>158.30000000000001</v>
      </c>
      <c r="DG93" s="86">
        <f t="shared" si="497"/>
        <v>158.72000000000025</v>
      </c>
      <c r="DH93" s="3">
        <f t="shared" si="466"/>
        <v>-1088.3999999999999</v>
      </c>
      <c r="DI93" s="3">
        <f t="shared" si="467"/>
        <v>51.000000000000128</v>
      </c>
      <c r="DJ93" s="3">
        <f t="shared" si="468"/>
        <v>-1814</v>
      </c>
      <c r="DK93" s="3">
        <f t="shared" si="469"/>
        <v>8</v>
      </c>
      <c r="DL93" s="3">
        <f t="shared" si="470"/>
        <v>-1037.3999999999996</v>
      </c>
      <c r="DM93" s="3">
        <f t="shared" si="471"/>
        <v>-1806</v>
      </c>
      <c r="DN93" s="64" t="str">
        <f t="shared" si="472"/>
        <v>UNKNOWN</v>
      </c>
      <c r="DO93" s="64" t="str">
        <f t="shared" si="473"/>
        <v>UNKNOWN</v>
      </c>
      <c r="DP93" s="3">
        <f t="shared" si="474"/>
        <v>9081.0480000000225</v>
      </c>
      <c r="DQ93" s="3">
        <f t="shared" si="475"/>
        <v>1375.1799999999998</v>
      </c>
      <c r="DR93" s="3" t="e">
        <f t="shared" ca="1" si="476"/>
        <v>#NUM!</v>
      </c>
      <c r="DS93" s="3">
        <f t="shared" si="477"/>
        <v>7.68</v>
      </c>
      <c r="DT93" s="3">
        <f t="shared" si="498"/>
        <v>-1814</v>
      </c>
      <c r="DU93" s="3">
        <f t="shared" si="499"/>
        <v>8</v>
      </c>
      <c r="DV93" s="3">
        <f t="shared" si="500"/>
        <v>70</v>
      </c>
      <c r="DW93" s="3">
        <f t="shared" si="501"/>
        <v>-8</v>
      </c>
      <c r="DX93" s="3" t="e">
        <f t="shared" ca="1" si="509"/>
        <v>#NUM!</v>
      </c>
      <c r="DY93" s="3" t="e">
        <f t="shared" ca="1" si="478"/>
        <v>#NUM!</v>
      </c>
      <c r="DZ93" s="3">
        <f t="shared" ca="1" si="502"/>
        <v>1.4044118395790206E-3</v>
      </c>
      <c r="EA93" s="3">
        <f t="shared" ca="1" si="503"/>
        <v>-1.4182243292997943E-3</v>
      </c>
      <c r="EB93" s="3">
        <f t="shared" ca="1" si="479"/>
        <v>1.102485607415833E-3</v>
      </c>
      <c r="EC93" s="3">
        <f t="shared" ca="1" si="480"/>
        <v>-1.4182243292997943E-3</v>
      </c>
      <c r="ED93" s="63">
        <f t="shared" si="504"/>
        <v>62</v>
      </c>
      <c r="EE93" s="59">
        <f t="shared" si="481"/>
        <v>1.2497</v>
      </c>
      <c r="EF93" s="59">
        <f t="shared" si="482"/>
        <v>2.0255000000000001</v>
      </c>
      <c r="EG93" s="59">
        <f t="shared" si="483"/>
        <v>0.24709999999999999</v>
      </c>
      <c r="EH93" s="59">
        <f t="shared" si="484"/>
        <v>0.25</v>
      </c>
      <c r="EI93" s="59">
        <f t="shared" si="485"/>
        <v>0.2041</v>
      </c>
      <c r="EJ93" s="59">
        <f t="shared" si="486"/>
        <v>0.25</v>
      </c>
      <c r="EL93" s="3" t="str">
        <f>RTD("tos.rtd",,EL$83,"."&amp;$B$82&amp;$AS$82&amp;"C"&amp;$A93)</f>
        <v>124.97%</v>
      </c>
      <c r="EM93" s="3" t="str">
        <f>RTD("tos.rtd",,EM$83,"."&amp;$B$82&amp;$AS$82&amp;"P"&amp;$A93)</f>
        <v>202.55%</v>
      </c>
      <c r="EN93" s="3" t="str">
        <f>RTD("tos.rtd",,EN$83,"."&amp;$C$82&amp;$AU$82&amp;"C"&amp;$A93)</f>
        <v>24.71%</v>
      </c>
      <c r="EO93" s="3" t="str">
        <f>RTD("tos.rtd",,EO$83,"."&amp;$C$82&amp;$AU$82&amp;"P"&amp;$A93)</f>
        <v>--</v>
      </c>
      <c r="EP93" s="3" t="str">
        <f>RTD("tos.rtd",,EP$83,"."&amp;$D$82&amp;$AW$82&amp;"C"&amp;$A93)</f>
        <v>20.41%</v>
      </c>
      <c r="EQ93" s="3" t="str">
        <f>RTD("tos.rtd",,EQ$83,"."&amp;$D$82&amp;$AW$82&amp;"P"&amp;$A93)</f>
        <v>--</v>
      </c>
      <c r="ES93" s="63" t="str">
        <f t="shared" si="487"/>
        <v>5790,62.00</v>
      </c>
      <c r="ET93" s="64" t="str">
        <f t="shared" ca="1" si="488"/>
        <v>5790,00.00</v>
      </c>
      <c r="EU93" s="67">
        <v>562.29999999999995</v>
      </c>
      <c r="EV93" s="67" t="s">
        <v>764</v>
      </c>
      <c r="EW93" s="67">
        <v>484.66</v>
      </c>
      <c r="EX93" s="67" t="s">
        <v>765</v>
      </c>
      <c r="EY93" s="67">
        <v>5636.75</v>
      </c>
      <c r="EZ93" s="67" t="s">
        <v>766</v>
      </c>
      <c r="FA93" s="67">
        <v>19908.25</v>
      </c>
      <c r="FB93" s="67" t="s">
        <v>767</v>
      </c>
      <c r="FC93" s="67" t="s">
        <v>768</v>
      </c>
      <c r="FD93" s="67" t="s">
        <v>769</v>
      </c>
      <c r="FE93" s="68" t="s">
        <v>770</v>
      </c>
      <c r="FF93" s="68" t="s">
        <v>771</v>
      </c>
    </row>
    <row r="94" spans="1:162" s="63" customFormat="1" ht="12" customHeight="1" thickBot="1" x14ac:dyDescent="0.25">
      <c r="A94" s="2">
        <f t="shared" si="505"/>
        <v>5780</v>
      </c>
      <c r="B94" s="3">
        <f t="shared" si="449"/>
        <v>1036</v>
      </c>
      <c r="C94" s="3">
        <f t="shared" si="450"/>
        <v>1043</v>
      </c>
      <c r="D94" s="3">
        <f t="shared" si="451"/>
        <v>787</v>
      </c>
      <c r="E94" s="3">
        <f t="shared" si="452"/>
        <v>2866</v>
      </c>
      <c r="F94" s="4">
        <f t="shared" ref="F94:F98" si="514">+$F$84/$A$84*A94</f>
        <v>5830.0066769899558</v>
      </c>
      <c r="G94" s="4">
        <f t="shared" si="489"/>
        <v>579.23374437072926</v>
      </c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20"/>
      <c r="AM94" s="20">
        <v>-500</v>
      </c>
      <c r="AN94" s="20">
        <v>-18</v>
      </c>
      <c r="AO94" s="20">
        <v>5780</v>
      </c>
      <c r="AP94" s="20">
        <v>2611</v>
      </c>
      <c r="AQ94" s="20">
        <v>-40</v>
      </c>
      <c r="AR94" s="20"/>
      <c r="AS94" s="54">
        <f>IF(RTD("tos.rtd",,AS$83,"."&amp;$B$82&amp;$AS$82&amp;"C"&amp;$A94)="N/A",0,RTD("tos.rtd",,AS$83,"."&amp;$B$82&amp;$AS$82&amp;"C"&amp;$A94))</f>
        <v>823</v>
      </c>
      <c r="AT94" s="3">
        <f>-IF(RTD("tos.rtd",,AT$83,"."&amp;$B$82&amp;$AS$82&amp;"P"&amp;$A94)="N/A",0,RTD("tos.rtd",,AT$83,"."&amp;$B$82&amp;$AS$82&amp;"P"&amp;$A94))</f>
        <v>-213</v>
      </c>
      <c r="AU94" s="54">
        <f>IF(RTD("tos.rtd",,AU$83,"."&amp;$C$82&amp;$AU$82&amp;"C"&amp;$A94)="N/A",0,RTD("tos.rtd",,AU$83,"."&amp;$C$82&amp;$AU$82&amp;"C"&amp;$A94))</f>
        <v>1016</v>
      </c>
      <c r="AV94" s="3">
        <f>-IF(RTD("tos.rtd",,AV$83,"."&amp;$C$82&amp;$AU$82&amp;"P"&amp;$A94)="N/A",0,RTD("tos.rtd",,AV$83,"."&amp;$C$82&amp;$AU$82&amp;"P"&amp;$A94))</f>
        <v>-27</v>
      </c>
      <c r="AW94" s="54">
        <f>IF(RTD("tos.rtd",,AW$83,"."&amp;$D$82&amp;$AW$82&amp;"C"&amp;$A94)="N/A",0,RTD("tos.rtd",,AW$83,"."&amp;$D$82&amp;$AW$82&amp;"C"&amp;$A94))</f>
        <v>337</v>
      </c>
      <c r="AX94" s="3">
        <f>-IF(RTD("tos.rtd",,AX$83,"."&amp;$D$82&amp;$AW$82&amp;"P"&amp;$A94)="N/A",0,RTD("tos.rtd",,AX$83,"."&amp;$D$82&amp;$AW$82&amp;"P"&amp;$A94))</f>
        <v>-450</v>
      </c>
      <c r="AY94" s="79">
        <f t="shared" si="490"/>
        <v>1486</v>
      </c>
      <c r="AZ94" s="8">
        <f t="shared" si="453"/>
        <v>5780</v>
      </c>
      <c r="BA94" s="54">
        <f>IF(RTD("tos.rtd",,BA$83,"."&amp;$B$82&amp;$AS$82&amp;"C"&amp;$A94)="N/A",0,RTD("tos.rtd",,BA$83,"."&amp;$B$82&amp;$AS$82&amp;"C"&amp;$A94))</f>
        <v>0</v>
      </c>
      <c r="BB94" s="3">
        <f>-IF(RTD("tos.rtd",,BB$83,"."&amp;$B$82&amp;$AS$82&amp;"P"&amp;$A94)="N/A",0,RTD("tos.rtd",,BB$83,"."&amp;$B$82&amp;$AS$82&amp;"P"&amp;$A94))</f>
        <v>0</v>
      </c>
      <c r="BC94" s="54">
        <f>IF(RTD("tos.rtd",,BC$83,"."&amp;$C$82&amp;$AU$82&amp;"C"&amp;$A94)="N/A",0,RTD("tos.rtd",,BC$83,"."&amp;$C$82&amp;$AU$82&amp;"C"&amp;$A94))</f>
        <v>2</v>
      </c>
      <c r="BD94" s="3">
        <f>-IF(RTD("tos.rtd",,BD$83,"."&amp;$C$82&amp;$AU$82&amp;"P"&amp;$A94)="N/A",0,RTD("tos.rtd",,BD$83,"."&amp;$C$82&amp;$AU$82&amp;"P"&amp;$A94))</f>
        <v>0</v>
      </c>
      <c r="BE94" s="54">
        <f>IF(RTD("tos.rtd",,BE$83,"."&amp;$D$82&amp;$AW$82&amp;"C"&amp;$A94)="N/A",0,RTD("tos.rtd",,BE$83,"."&amp;$D$82&amp;$AW$82&amp;"C"&amp;$A94))</f>
        <v>0</v>
      </c>
      <c r="BF94" s="3">
        <f>-IF(RTD("tos.rtd",,BF$83,"."&amp;$D$82&amp;$AW$82&amp;"P"&amp;$A94)="N/A",0,RTD("tos.rtd",,BF$83,"."&amp;$D$82&amp;$AW$82&amp;"P"&amp;$A94))</f>
        <v>0</v>
      </c>
      <c r="BG94" s="3">
        <f ca="1">+Hoja2!Y95</f>
        <v>0</v>
      </c>
      <c r="BH94" s="55">
        <f t="shared" ca="1" si="491"/>
        <v>2</v>
      </c>
      <c r="BI94" s="32" t="str">
        <f t="shared" ca="1" si="510"/>
        <v/>
      </c>
      <c r="BJ94" s="3" t="e">
        <f ca="1">IF($BP$1=1,DX94,IF(RTD("tos.rtd",,BJ$83,"."&amp;$B$82&amp;$AS$82&amp;"C"&amp;$A94)="N/A",0,RTD("tos.rtd",,BJ$83,"."&amp;$B$82&amp;$AS$82&amp;"C"&amp;$A94)))</f>
        <v>#NUM!</v>
      </c>
      <c r="BK94" s="3" t="e">
        <f ca="1">IF($BP$1=1,DY94,-IF(RTD("tos.rtd",,BK$83,"."&amp;$B$82&amp;$AS$82&amp;"P"&amp;$A94)="N/A",0,RTD("tos.rtd",,BK$83,"."&amp;$B$82&amp;$AS$82&amp;"P"&amp;$A94)))</f>
        <v>#NUM!</v>
      </c>
      <c r="BL94" s="3">
        <f ca="1">IF($BP$1=1,DZ94,IF(RTD("tos.rtd",,BL$83,"."&amp;$C$82&amp;$AU$82&amp;"C"&amp;$A94)="N/A",0,RTD("tos.rtd",,BL$83,"."&amp;$C$82&amp;$AU$82&amp;"C"&amp;$A94)))</f>
        <v>1.581572002575042E-3</v>
      </c>
      <c r="BM94" s="3">
        <f ca="1">IF($BP$1=1,EA94,-IF(RTD("tos.rtd",,BM$83,"."&amp;$C$82&amp;$AU$82&amp;"P"&amp;$A94)="N/A",0,RTD("tos.rtd",,BM$83,"."&amp;$C$82&amp;$AU$82&amp;"P"&amp;$A94)))</f>
        <v>-1.5827083280907253E-3</v>
      </c>
      <c r="BN94" s="3">
        <f ca="1">IF($BP$1=1,EB94,IF(RTD("tos.rtd",,BN$83,"."&amp;$D$82&amp;$AW$82&amp;"C"&amp;$A94)="N/A",0,RTD("tos.rtd",,BN$83,"."&amp;$D$82&amp;$AW$82&amp;"C"&amp;$A94)))</f>
        <v>1.319588019036541E-3</v>
      </c>
      <c r="BO94" s="3">
        <f ca="1">IF($BP$1=1,EC94,-IF(RTD("tos.rtd",,BO$83,"."&amp;$D$82&amp;$AW$82&amp;"P"&amp;$A94)="N/A",0,RTD("tos.rtd",,BO$83,"."&amp;$D$82&amp;$AW$82&amp;"P"&amp;$A94)))</f>
        <v>-1.5827083280907253E-3</v>
      </c>
      <c r="BQ94" s="3" t="e">
        <f t="shared" ca="1" si="454"/>
        <v>#NUM!</v>
      </c>
      <c r="BR94" s="3" t="e">
        <f t="shared" ca="1" si="492"/>
        <v>#NUM!</v>
      </c>
      <c r="BS94" s="3">
        <f t="shared" ca="1" si="455"/>
        <v>370737.98914411914</v>
      </c>
      <c r="BT94" s="3" t="str">
        <f t="shared" ca="1" si="492"/>
        <v/>
      </c>
      <c r="BU94" s="3">
        <f t="shared" ca="1" si="456"/>
        <v>-63407.799870293704</v>
      </c>
      <c r="BV94" s="3" t="str">
        <f t="shared" ca="1" si="492"/>
        <v>Cruce -</v>
      </c>
      <c r="BX94" s="3" t="e">
        <f t="shared" ca="1" si="457"/>
        <v>#NUM!</v>
      </c>
      <c r="BY94" s="3" t="e">
        <f t="shared" ca="1" si="507"/>
        <v>#NUM!</v>
      </c>
      <c r="BZ94" s="3">
        <f t="shared" ca="1" si="458"/>
        <v>749.73763638902801</v>
      </c>
      <c r="CA94" s="3" t="str">
        <f t="shared" ca="1" si="507"/>
        <v/>
      </c>
      <c r="CB94" s="3">
        <f t="shared" ca="1" si="459"/>
        <v>0</v>
      </c>
      <c r="CC94" s="3" t="str">
        <f t="shared" ca="1" si="507"/>
        <v/>
      </c>
      <c r="CD94" s="3">
        <f>IF(RTD("tos.rtd",,CD$83,"."&amp;$B$82&amp;$AS$82&amp;"C"&amp;$A94)="N/A",0,RTD("tos.rtd",,CD$83,"."&amp;$B$82&amp;$AS$82&amp;"C"&amp;$A94))</f>
        <v>0</v>
      </c>
      <c r="CE94" s="3">
        <f>-IF(RTD("tos.rtd",,CE$83,"."&amp;$B$82&amp;$AS$82&amp;"P"&amp;$A94)="N/A",0,RTD("tos.rtd",,CE$83,"."&amp;$B$82&amp;$AS$82&amp;"P"&amp;$A94))</f>
        <v>0.96</v>
      </c>
      <c r="CF94" s="3">
        <f>IF(RTD("tos.rtd",,CF$83,"."&amp;$C$82&amp;$AU$82&amp;"C"&amp;$A94)="N/A",0,RTD("tos.rtd",,CF$83,"."&amp;$C$82&amp;$AU$82&amp;"C"&amp;$A94))</f>
        <v>7.0000000000000007E-2</v>
      </c>
      <c r="CG94" s="3">
        <f>-IF(RTD("tos.rtd",,CG$83,"."&amp;$C$82&amp;$AU$82&amp;"P"&amp;$A94)="N/A",0,RTD("tos.rtd",,CG$83,"."&amp;$C$82&amp;$AU$82&amp;"P"&amp;$A94))</f>
        <v>1</v>
      </c>
      <c r="CH94" s="3">
        <f>IF(RTD("tos.rtd",,CH$83,"."&amp;$D$82&amp;$AW$82&amp;"C"&amp;$A94)="N/A",0,RTD("tos.rtd",,CH$83,"."&amp;$D$82&amp;$AW$82&amp;"C"&amp;$A94))</f>
        <v>0.22</v>
      </c>
      <c r="CI94" s="3">
        <f>-IF(RTD("tos.rtd",,CI$83,"."&amp;$D$82&amp;$AW$82&amp;"P"&amp;$A94)="N/A",0,RTD("tos.rtd",,CI$83,"."&amp;$D$82&amp;$AW$82&amp;"P"&amp;$A94))</f>
        <v>1</v>
      </c>
      <c r="CK94" s="3">
        <f t="shared" si="511"/>
        <v>-20448</v>
      </c>
      <c r="CL94" s="3"/>
      <c r="CM94" s="3">
        <f t="shared" si="512"/>
        <v>4412</v>
      </c>
      <c r="CN94" s="3"/>
      <c r="CO94" s="3">
        <f t="shared" si="513"/>
        <v>-37586</v>
      </c>
      <c r="CP94" s="3">
        <f t="shared" si="460"/>
        <v>-53622</v>
      </c>
      <c r="CQ94" s="3">
        <f t="shared" si="461"/>
        <v>0</v>
      </c>
      <c r="CR94" s="3"/>
      <c r="CS94" s="3">
        <f t="shared" si="462"/>
        <v>2</v>
      </c>
      <c r="CT94" s="3"/>
      <c r="CU94" s="3">
        <f t="shared" si="463"/>
        <v>0</v>
      </c>
      <c r="CV94" s="3"/>
      <c r="CW94" s="3" t="e">
        <f t="shared" ca="1" si="496"/>
        <v>#NUM!</v>
      </c>
      <c r="CY94" s="3" t="e">
        <f t="shared" ca="1" si="465"/>
        <v>#NUM!</v>
      </c>
      <c r="CZ94" s="70" t="e">
        <f t="shared" ca="1" si="508"/>
        <v>#NUM!</v>
      </c>
      <c r="DA94" s="3">
        <f>IF(RTD("tos.rtd",,DA$83,"."&amp;$B$82&amp;$AS$82&amp;"C"&amp;$A94)="N/A",0,RTD("tos.rtd",,DA$83,"."&amp;$B$82&amp;$AS$82&amp;"C"&amp;$A94))</f>
        <v>0.03</v>
      </c>
      <c r="DB94" s="3">
        <f>IF(RTD("tos.rtd",,DB$83,"."&amp;$B$82&amp;$AS$82&amp;"P"&amp;$A94)="N/A",0,RTD("tos.rtd",,DB$83,"."&amp;$B$82&amp;$AS$82&amp;"P"&amp;$A94))</f>
        <v>159.4</v>
      </c>
      <c r="DC94" s="3">
        <f>IF(RTD("tos.rtd",,DC$83,"."&amp;$B$82&amp;$AS$82&amp;"C"&amp;$A94)="N/A",0,RTD("tos.rtd",,DC$83,"."&amp;$B$82&amp;$AS$82&amp;"C"&amp;$A94))</f>
        <v>0.05</v>
      </c>
      <c r="DD94" s="3">
        <f>IF(RTD("tos.rtd",,DD$83,"."&amp;$B$82&amp;$AS$82&amp;"P"&amp;$A94)="N/A",0,RTD("tos.rtd",,DD$83,"."&amp;$B$82&amp;$AS$82&amp;"P"&amp;$A94))</f>
        <v>151.5</v>
      </c>
      <c r="DE94" s="3">
        <f>IF(RTD("tos.rtd",,DE$83,"."&amp;$B$82&amp;$AS$82&amp;"C"&amp;$A94)="N/A",0,RTD("tos.rtd",,DE$83,"."&amp;$B$82&amp;$AS$82&amp;"C"&amp;$A94))</f>
        <v>0</v>
      </c>
      <c r="DF94" s="3">
        <f>IF(RTD("tos.rtd",,DF$83,"."&amp;$B$82&amp;$AS$82&amp;"P"&amp;$A94)="N/A",0,RTD("tos.rtd",,DF$83,"."&amp;$B$82&amp;$AS$82&amp;"P"&amp;$A94))</f>
        <v>148.30000000000001</v>
      </c>
      <c r="DG94" s="86">
        <f t="shared" si="497"/>
        <v>148.72000000000025</v>
      </c>
      <c r="DH94" s="3">
        <f t="shared" si="466"/>
        <v>-1566.6</v>
      </c>
      <c r="DI94" s="3">
        <f t="shared" si="467"/>
        <v>138.75000000000043</v>
      </c>
      <c r="DJ94" s="3">
        <f t="shared" si="468"/>
        <v>-2611</v>
      </c>
      <c r="DK94" s="3">
        <f t="shared" si="469"/>
        <v>40</v>
      </c>
      <c r="DL94" s="3">
        <f t="shared" si="470"/>
        <v>-1427.8499999999995</v>
      </c>
      <c r="DM94" s="3">
        <f t="shared" si="471"/>
        <v>-2571</v>
      </c>
      <c r="DN94" s="64" t="str">
        <f t="shared" si="472"/>
        <v>UNKNOWN</v>
      </c>
      <c r="DO94" s="64" t="str">
        <f t="shared" si="473"/>
        <v>UNKNOWN</v>
      </c>
      <c r="DP94" s="3">
        <f t="shared" si="474"/>
        <v>22069.75200000007</v>
      </c>
      <c r="DQ94" s="3">
        <f t="shared" si="475"/>
        <v>6297.67</v>
      </c>
      <c r="DR94" s="3" t="e">
        <f t="shared" ca="1" si="476"/>
        <v>#NUM!</v>
      </c>
      <c r="DS94" s="3">
        <f t="shared" si="477"/>
        <v>38.4</v>
      </c>
      <c r="DT94" s="3">
        <f t="shared" si="498"/>
        <v>-2611</v>
      </c>
      <c r="DU94" s="3">
        <f t="shared" si="499"/>
        <v>40</v>
      </c>
      <c r="DV94" s="3">
        <f t="shared" si="500"/>
        <v>-500</v>
      </c>
      <c r="DW94" s="3">
        <f t="shared" si="501"/>
        <v>-18</v>
      </c>
      <c r="DX94" s="3" t="e">
        <f t="shared" ca="1" si="509"/>
        <v>#NUM!</v>
      </c>
      <c r="DY94" s="3" t="e">
        <f t="shared" ca="1" si="478"/>
        <v>#NUM!</v>
      </c>
      <c r="DZ94" s="3">
        <f t="shared" ca="1" si="502"/>
        <v>1.581572002575042E-3</v>
      </c>
      <c r="EA94" s="3">
        <f t="shared" ca="1" si="503"/>
        <v>-1.5827083280907253E-3</v>
      </c>
      <c r="EB94" s="3">
        <f t="shared" ca="1" si="479"/>
        <v>1.319588019036541E-3</v>
      </c>
      <c r="EC94" s="3">
        <f t="shared" ca="1" si="480"/>
        <v>-1.5827083280907253E-3</v>
      </c>
      <c r="ED94" s="63">
        <f t="shared" si="504"/>
        <v>-518</v>
      </c>
      <c r="EE94" s="59">
        <f t="shared" si="481"/>
        <v>1.1767000000000001</v>
      </c>
      <c r="EF94" s="59">
        <f t="shared" si="482"/>
        <v>1.9218</v>
      </c>
      <c r="EG94" s="59">
        <f t="shared" si="483"/>
        <v>0.24970000000000001</v>
      </c>
      <c r="EH94" s="59">
        <f t="shared" si="484"/>
        <v>0.25</v>
      </c>
      <c r="EI94" s="59">
        <f t="shared" si="485"/>
        <v>0.20630000000000001</v>
      </c>
      <c r="EJ94" s="59">
        <f t="shared" si="486"/>
        <v>0.25</v>
      </c>
      <c r="EL94" s="3" t="str">
        <f>RTD("tos.rtd",,EL$83,"."&amp;$B$82&amp;$AS$82&amp;"C"&amp;$A94)</f>
        <v>117.67%</v>
      </c>
      <c r="EM94" s="3" t="str">
        <f>RTD("tos.rtd",,EM$83,"."&amp;$B$82&amp;$AS$82&amp;"P"&amp;$A94)</f>
        <v>192.18%</v>
      </c>
      <c r="EN94" s="3" t="str">
        <f>RTD("tos.rtd",,EN$83,"."&amp;$C$82&amp;$AU$82&amp;"C"&amp;$A94)</f>
        <v>24.97%</v>
      </c>
      <c r="EO94" s="3" t="str">
        <f>RTD("tos.rtd",,EO$83,"."&amp;$C$82&amp;$AU$82&amp;"P"&amp;$A94)</f>
        <v>--</v>
      </c>
      <c r="EP94" s="3" t="str">
        <f>RTD("tos.rtd",,EP$83,"."&amp;$D$82&amp;$AW$82&amp;"C"&amp;$A94)</f>
        <v>20.63%</v>
      </c>
      <c r="EQ94" s="3" t="str">
        <f>RTD("tos.rtd",,EQ$83,"."&amp;$D$82&amp;$AW$82&amp;"P"&amp;$A94)</f>
        <v>--</v>
      </c>
      <c r="ES94" s="63" t="str">
        <f t="shared" si="487"/>
        <v>5780,-518.00</v>
      </c>
      <c r="ET94" s="64" t="str">
        <f t="shared" ca="1" si="488"/>
        <v>5780,00.00</v>
      </c>
      <c r="EU94" s="67">
        <v>562.30999999999995</v>
      </c>
      <c r="EV94" s="67" t="s">
        <v>772</v>
      </c>
      <c r="EW94" s="67">
        <v>484.66</v>
      </c>
      <c r="EX94" s="67" t="s">
        <v>773</v>
      </c>
      <c r="EY94" s="67">
        <v>5636.75</v>
      </c>
      <c r="EZ94" s="67" t="s">
        <v>774</v>
      </c>
      <c r="FA94" s="67">
        <v>19909</v>
      </c>
      <c r="FB94" s="67" t="s">
        <v>775</v>
      </c>
      <c r="FC94" s="67" t="s">
        <v>776</v>
      </c>
      <c r="FD94" s="67" t="s">
        <v>777</v>
      </c>
      <c r="FE94" s="68" t="s">
        <v>778</v>
      </c>
      <c r="FF94" s="68" t="s">
        <v>779</v>
      </c>
    </row>
    <row r="95" spans="1:162" s="63" customFormat="1" ht="12" customHeight="1" thickBot="1" x14ac:dyDescent="0.25">
      <c r="A95" s="2">
        <f t="shared" si="505"/>
        <v>5770</v>
      </c>
      <c r="B95" s="3">
        <f t="shared" si="449"/>
        <v>954</v>
      </c>
      <c r="C95" s="3">
        <f t="shared" si="450"/>
        <v>940</v>
      </c>
      <c r="D95" s="3">
        <f t="shared" si="451"/>
        <v>603</v>
      </c>
      <c r="E95" s="3">
        <f t="shared" si="452"/>
        <v>2497</v>
      </c>
      <c r="F95" s="4">
        <f t="shared" si="514"/>
        <v>5819.9201602477588</v>
      </c>
      <c r="G95" s="4">
        <f t="shared" si="489"/>
        <v>578.23160986489756</v>
      </c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20"/>
      <c r="AM95" s="20">
        <v>-585</v>
      </c>
      <c r="AN95" s="20">
        <v>-27</v>
      </c>
      <c r="AO95" s="20">
        <v>5770</v>
      </c>
      <c r="AP95" s="20">
        <v>2172</v>
      </c>
      <c r="AQ95" s="20">
        <v>-45</v>
      </c>
      <c r="AR95" s="20"/>
      <c r="AS95" s="54">
        <f>IF(RTD("tos.rtd",,AS$83,"."&amp;$B$82&amp;$AS$82&amp;"C"&amp;$A95)="N/A",0,RTD("tos.rtd",,AS$83,"."&amp;$B$82&amp;$AS$82&amp;"C"&amp;$A95))</f>
        <v>741</v>
      </c>
      <c r="AT95" s="3">
        <f>-IF(RTD("tos.rtd",,AT$83,"."&amp;$B$82&amp;$AS$82&amp;"P"&amp;$A95)="N/A",0,RTD("tos.rtd",,AT$83,"."&amp;$B$82&amp;$AS$82&amp;"P"&amp;$A95))</f>
        <v>-213</v>
      </c>
      <c r="AU95" s="54">
        <f>IF(RTD("tos.rtd",,AU$83,"."&amp;$C$82&amp;$AU$82&amp;"C"&amp;$A95)="N/A",0,RTD("tos.rtd",,AU$83,"."&amp;$C$82&amp;$AU$82&amp;"C"&amp;$A95))</f>
        <v>914</v>
      </c>
      <c r="AV95" s="3">
        <f>-IF(RTD("tos.rtd",,AV$83,"."&amp;$C$82&amp;$AU$82&amp;"P"&amp;$A95)="N/A",0,RTD("tos.rtd",,AV$83,"."&amp;$C$82&amp;$AU$82&amp;"P"&amp;$A95))</f>
        <v>-26</v>
      </c>
      <c r="AW95" s="54">
        <f>IF(RTD("tos.rtd",,AW$83,"."&amp;$D$82&amp;$AW$82&amp;"C"&amp;$A95)="N/A",0,RTD("tos.rtd",,AW$83,"."&amp;$D$82&amp;$AW$82&amp;"C"&amp;$A95))</f>
        <v>402</v>
      </c>
      <c r="AX95" s="3">
        <f>-IF(RTD("tos.rtd",,AX$83,"."&amp;$D$82&amp;$AW$82&amp;"P"&amp;$A95)="N/A",0,RTD("tos.rtd",,AX$83,"."&amp;$D$82&amp;$AW$82&amp;"P"&amp;$A95))</f>
        <v>-201</v>
      </c>
      <c r="AY95" s="79">
        <f t="shared" si="490"/>
        <v>1617</v>
      </c>
      <c r="AZ95" s="8">
        <f t="shared" si="453"/>
        <v>5770</v>
      </c>
      <c r="BA95" s="54">
        <f>IF(RTD("tos.rtd",,BA$83,"."&amp;$B$82&amp;$AS$82&amp;"C"&amp;$A95)="N/A",0,RTD("tos.rtd",,BA$83,"."&amp;$B$82&amp;$AS$82&amp;"C"&amp;$A95))</f>
        <v>0</v>
      </c>
      <c r="BB95" s="3">
        <f>-IF(RTD("tos.rtd",,BB$83,"."&amp;$B$82&amp;$AS$82&amp;"P"&amp;$A95)="N/A",0,RTD("tos.rtd",,BB$83,"."&amp;$B$82&amp;$AS$82&amp;"P"&amp;$A95))</f>
        <v>0</v>
      </c>
      <c r="BC95" s="54">
        <f>IF(RTD("tos.rtd",,BC$83,"."&amp;$C$82&amp;$AU$82&amp;"C"&amp;$A95)="N/A",0,RTD("tos.rtd",,BC$83,"."&amp;$C$82&amp;$AU$82&amp;"C"&amp;$A95))</f>
        <v>1</v>
      </c>
      <c r="BD95" s="3">
        <f>-IF(RTD("tos.rtd",,BD$83,"."&amp;$C$82&amp;$AU$82&amp;"P"&amp;$A95)="N/A",0,RTD("tos.rtd",,BD$83,"."&amp;$C$82&amp;$AU$82&amp;"P"&amp;$A95))</f>
        <v>0</v>
      </c>
      <c r="BE95" s="54">
        <f>IF(RTD("tos.rtd",,BE$83,"."&amp;$D$82&amp;$AW$82&amp;"C"&amp;$A95)="N/A",0,RTD("tos.rtd",,BE$83,"."&amp;$D$82&amp;$AW$82&amp;"C"&amp;$A95))</f>
        <v>0</v>
      </c>
      <c r="BF95" s="3">
        <f>-IF(RTD("tos.rtd",,BF$83,"."&amp;$D$82&amp;$AW$82&amp;"P"&amp;$A95)="N/A",0,RTD("tos.rtd",,BF$83,"."&amp;$D$82&amp;$AW$82&amp;"P"&amp;$A95))</f>
        <v>0</v>
      </c>
      <c r="BG95" s="3">
        <f ca="1">+Hoja2!Y96</f>
        <v>1</v>
      </c>
      <c r="BH95" s="55">
        <f t="shared" ca="1" si="491"/>
        <v>2</v>
      </c>
      <c r="BI95" s="32" t="str">
        <f t="shared" ca="1" si="510"/>
        <v/>
      </c>
      <c r="BJ95" s="3" t="e">
        <f ca="1">IF($BP$1=1,DX95,IF(RTD("tos.rtd",,BJ$83,"."&amp;$B$82&amp;$AS$82&amp;"C"&amp;$A95)="N/A",0,RTD("tos.rtd",,BJ$83,"."&amp;$B$82&amp;$AS$82&amp;"C"&amp;$A95)))</f>
        <v>#NUM!</v>
      </c>
      <c r="BK95" s="3" t="e">
        <f ca="1">IF($BP$1=1,DY95,-IF(RTD("tos.rtd",,BK$83,"."&amp;$B$82&amp;$AS$82&amp;"P"&amp;$A95)="N/A",0,RTD("tos.rtd",,BK$83,"."&amp;$B$82&amp;$AS$82&amp;"P"&amp;$A95)))</f>
        <v>#NUM!</v>
      </c>
      <c r="BL95" s="3">
        <f ca="1">IF($BP$1=1,DZ95,IF(RTD("tos.rtd",,BL$83,"."&amp;$C$82&amp;$AU$82&amp;"C"&amp;$A95)="N/A",0,RTD("tos.rtd",,BL$83,"."&amp;$C$82&amp;$AU$82&amp;"C"&amp;$A95)))</f>
        <v>1.7624986371757906E-3</v>
      </c>
      <c r="BM95" s="3">
        <f ca="1">IF($BP$1=1,EA95,-IF(RTD("tos.rtd",,BM$83,"."&amp;$C$82&amp;$AU$82&amp;"P"&amp;$A95)="N/A",0,RTD("tos.rtd",,BM$83,"."&amp;$C$82&amp;$AU$82&amp;"P"&amp;$A95)))</f>
        <v>-1.7539449008474738E-3</v>
      </c>
      <c r="BN95" s="3">
        <f ca="1">IF($BP$1=1,EB95,IF(RTD("tos.rtd",,BN$83,"."&amp;$D$82&amp;$AW$82&amp;"C"&amp;$A95)="N/A",0,RTD("tos.rtd",,BN$83,"."&amp;$D$82&amp;$AW$82&amp;"C"&amp;$A95)))</f>
        <v>1.5547175508013903E-3</v>
      </c>
      <c r="BO95" s="3">
        <f ca="1">IF($BP$1=1,EC95,-IF(RTD("tos.rtd",,BO$83,"."&amp;$D$82&amp;$AW$82&amp;"P"&amp;$A95)="N/A",0,RTD("tos.rtd",,BO$83,"."&amp;$D$82&amp;$AW$82&amp;"P"&amp;$A95)))</f>
        <v>-6.4331240973044793E-7</v>
      </c>
      <c r="BQ95" s="3" t="e">
        <f t="shared" ca="1" si="454"/>
        <v>#NUM!</v>
      </c>
      <c r="BR95" s="3" t="e">
        <f t="shared" ca="1" si="492"/>
        <v>#NUM!</v>
      </c>
      <c r="BS95" s="3">
        <f t="shared" ca="1" si="455"/>
        <v>371017.0023836313</v>
      </c>
      <c r="BT95" s="3" t="str">
        <f t="shared" ca="1" si="492"/>
        <v/>
      </c>
      <c r="BU95" s="3">
        <f t="shared" ca="1" si="456"/>
        <v>148107.83797902669</v>
      </c>
      <c r="BV95" s="3" t="str">
        <f t="shared" ca="1" si="492"/>
        <v>Cruce +</v>
      </c>
      <c r="BX95" s="3" t="e">
        <f t="shared" ca="1" si="457"/>
        <v>#NUM!</v>
      </c>
      <c r="BY95" s="3" t="e">
        <f t="shared" ca="1" si="507"/>
        <v>#NUM!</v>
      </c>
      <c r="BZ95" s="3">
        <f t="shared" ca="1" si="458"/>
        <v>417.75257788567308</v>
      </c>
      <c r="CA95" s="3" t="str">
        <f t="shared" ca="1" si="507"/>
        <v/>
      </c>
      <c r="CB95" s="3">
        <f t="shared" ca="1" si="459"/>
        <v>0</v>
      </c>
      <c r="CC95" s="3" t="str">
        <f t="shared" ca="1" si="507"/>
        <v/>
      </c>
      <c r="CD95" s="3">
        <f>IF(RTD("tos.rtd",,CD$83,"."&amp;$B$82&amp;$AS$82&amp;"C"&amp;$A95)="N/A",0,RTD("tos.rtd",,CD$83,"."&amp;$B$82&amp;$AS$82&amp;"C"&amp;$A95))</f>
        <v>0</v>
      </c>
      <c r="CE95" s="3">
        <f>-IF(RTD("tos.rtd",,CE$83,"."&amp;$B$82&amp;$AS$82&amp;"P"&amp;$A95)="N/A",0,RTD("tos.rtd",,CE$83,"."&amp;$B$82&amp;$AS$82&amp;"P"&amp;$A95))</f>
        <v>0.96</v>
      </c>
      <c r="CF95" s="3">
        <f>IF(RTD("tos.rtd",,CF$83,"."&amp;$C$82&amp;$AU$82&amp;"C"&amp;$A95)="N/A",0,RTD("tos.rtd",,CF$83,"."&amp;$C$82&amp;$AU$82&amp;"C"&amp;$A95))</f>
        <v>0.08</v>
      </c>
      <c r="CG95" s="3">
        <f>-IF(RTD("tos.rtd",,CG$83,"."&amp;$C$82&amp;$AU$82&amp;"P"&amp;$A95)="N/A",0,RTD("tos.rtd",,CG$83,"."&amp;$C$82&amp;$AU$82&amp;"P"&amp;$A95))</f>
        <v>1</v>
      </c>
      <c r="CH95" s="3">
        <f>IF(RTD("tos.rtd",,CH$83,"."&amp;$D$82&amp;$AW$82&amp;"C"&amp;$A95)="N/A",0,RTD("tos.rtd",,CH$83,"."&amp;$D$82&amp;$AW$82&amp;"C"&amp;$A95))</f>
        <v>0.24</v>
      </c>
      <c r="CI95" s="3">
        <f>-IF(RTD("tos.rtd",,CI$83,"."&amp;$D$82&amp;$AW$82&amp;"P"&amp;$A95)="N/A",0,RTD("tos.rtd",,CI$83,"."&amp;$D$82&amp;$AW$82&amp;"P"&amp;$A95))</f>
        <v>0.99</v>
      </c>
      <c r="CK95" s="3">
        <f t="shared" si="511"/>
        <v>-20448</v>
      </c>
      <c r="CL95" s="3"/>
      <c r="CM95" s="3">
        <f t="shared" si="512"/>
        <v>4712</v>
      </c>
      <c r="CN95" s="3"/>
      <c r="CO95" s="3">
        <f t="shared" si="513"/>
        <v>-10251.000000000002</v>
      </c>
      <c r="CP95" s="3">
        <f t="shared" si="460"/>
        <v>-25987</v>
      </c>
      <c r="CQ95" s="3">
        <f t="shared" si="461"/>
        <v>0</v>
      </c>
      <c r="CR95" s="3"/>
      <c r="CS95" s="3">
        <f t="shared" si="462"/>
        <v>1</v>
      </c>
      <c r="CT95" s="3"/>
      <c r="CU95" s="3">
        <f t="shared" si="463"/>
        <v>0</v>
      </c>
      <c r="CV95" s="3"/>
      <c r="CW95" s="3" t="e">
        <f t="shared" ca="1" si="496"/>
        <v>#NUM!</v>
      </c>
      <c r="CY95" s="3" t="e">
        <f t="shared" ca="1" si="465"/>
        <v>#NUM!</v>
      </c>
      <c r="CZ95" s="70" t="e">
        <f t="shared" ca="1" si="508"/>
        <v>#NUM!</v>
      </c>
      <c r="DA95" s="3">
        <f>IF(RTD("tos.rtd",,DA$83,"."&amp;$B$82&amp;$AS$82&amp;"C"&amp;$A95)="N/A",0,RTD("tos.rtd",,DA$83,"."&amp;$B$82&amp;$AS$82&amp;"C"&amp;$A95))</f>
        <v>0.03</v>
      </c>
      <c r="DB95" s="3">
        <f>IF(RTD("tos.rtd",,DB$83,"."&amp;$B$82&amp;$AS$82&amp;"P"&amp;$A95)="N/A",0,RTD("tos.rtd",,DB$83,"."&amp;$B$82&amp;$AS$82&amp;"P"&amp;$A95))</f>
        <v>137.19</v>
      </c>
      <c r="DC95" s="3">
        <f>IF(RTD("tos.rtd",,DC$83,"."&amp;$B$82&amp;$AS$82&amp;"C"&amp;$A95)="N/A",0,RTD("tos.rtd",,DC$83,"."&amp;$B$82&amp;$AS$82&amp;"C"&amp;$A95))</f>
        <v>0.05</v>
      </c>
      <c r="DD95" s="3">
        <f>IF(RTD("tos.rtd",,DD$83,"."&amp;$B$82&amp;$AS$82&amp;"P"&amp;$A95)="N/A",0,RTD("tos.rtd",,DD$83,"."&amp;$B$82&amp;$AS$82&amp;"P"&amp;$A95))</f>
        <v>141.5</v>
      </c>
      <c r="DE95" s="3">
        <f>IF(RTD("tos.rtd",,DE$83,"."&amp;$B$82&amp;$AS$82&amp;"C"&amp;$A95)="N/A",0,RTD("tos.rtd",,DE$83,"."&amp;$B$82&amp;$AS$82&amp;"C"&amp;$A95))</f>
        <v>0</v>
      </c>
      <c r="DF95" s="3">
        <f>IF(RTD("tos.rtd",,DF$83,"."&amp;$B$82&amp;$AS$82&amp;"P"&amp;$A95)="N/A",0,RTD("tos.rtd",,DF$83,"."&amp;$B$82&amp;$AS$82&amp;"P"&amp;$A95))</f>
        <v>138.30000000000001</v>
      </c>
      <c r="DG95" s="86">
        <f t="shared" si="497"/>
        <v>138.72000000000025</v>
      </c>
      <c r="DH95" s="3">
        <f t="shared" si="466"/>
        <v>-1303.2</v>
      </c>
      <c r="DI95" s="3">
        <f t="shared" si="467"/>
        <v>-15.609375000000247</v>
      </c>
      <c r="DJ95" s="3">
        <f t="shared" si="468"/>
        <v>-2172</v>
      </c>
      <c r="DK95" s="3">
        <f t="shared" si="469"/>
        <v>-45</v>
      </c>
      <c r="DL95" s="3">
        <f t="shared" si="470"/>
        <v>-1318.8093750000003</v>
      </c>
      <c r="DM95" s="3">
        <f t="shared" si="471"/>
        <v>-2217</v>
      </c>
      <c r="DN95" s="64" t="str">
        <f t="shared" si="472"/>
        <v>UNKNOWN</v>
      </c>
      <c r="DO95" s="64" t="str">
        <f t="shared" si="473"/>
        <v>UNKNOWN</v>
      </c>
      <c r="DP95" s="3">
        <f t="shared" si="474"/>
        <v>-2180.5461562500336</v>
      </c>
      <c r="DQ95" s="3">
        <f t="shared" si="475"/>
        <v>-6238.71</v>
      </c>
      <c r="DR95" s="3" t="e">
        <f t="shared" ca="1" si="476"/>
        <v>#NUM!</v>
      </c>
      <c r="DS95" s="3">
        <f t="shared" si="477"/>
        <v>-43.199999999999996</v>
      </c>
      <c r="DT95" s="3">
        <f t="shared" si="498"/>
        <v>-2172</v>
      </c>
      <c r="DU95" s="3">
        <f t="shared" si="499"/>
        <v>45</v>
      </c>
      <c r="DV95" s="3">
        <f t="shared" si="500"/>
        <v>-585</v>
      </c>
      <c r="DW95" s="3">
        <f t="shared" si="501"/>
        <v>-27</v>
      </c>
      <c r="DX95" s="3" t="e">
        <f t="shared" ca="1" si="509"/>
        <v>#NUM!</v>
      </c>
      <c r="DY95" s="3" t="e">
        <f t="shared" ca="1" si="478"/>
        <v>#NUM!</v>
      </c>
      <c r="DZ95" s="3">
        <f t="shared" ca="1" si="502"/>
        <v>1.7624986371757906E-3</v>
      </c>
      <c r="EA95" s="3">
        <f t="shared" ca="1" si="503"/>
        <v>-1.7539449008474738E-3</v>
      </c>
      <c r="EB95" s="3">
        <f t="shared" ca="1" si="479"/>
        <v>1.5547175508013903E-3</v>
      </c>
      <c r="EC95" s="3">
        <f t="shared" ca="1" si="480"/>
        <v>-6.4331240973044793E-7</v>
      </c>
      <c r="ED95" s="63">
        <f t="shared" si="504"/>
        <v>-612</v>
      </c>
      <c r="EE95" s="59">
        <f t="shared" si="481"/>
        <v>1.1055999999999999</v>
      </c>
      <c r="EF95" s="59">
        <f t="shared" si="482"/>
        <v>1.8170999999999999</v>
      </c>
      <c r="EG95" s="59">
        <f t="shared" si="483"/>
        <v>0.25330000000000003</v>
      </c>
      <c r="EH95" s="59">
        <f t="shared" si="484"/>
        <v>0.25</v>
      </c>
      <c r="EI95" s="59">
        <f t="shared" si="485"/>
        <v>0.2089</v>
      </c>
      <c r="EJ95" s="59">
        <f t="shared" si="486"/>
        <v>6.6100000000000006E-2</v>
      </c>
      <c r="EL95" s="3" t="str">
        <f>RTD("tos.rtd",,EL$83,"."&amp;$B$82&amp;$AS$82&amp;"C"&amp;$A95)</f>
        <v>110.56%</v>
      </c>
      <c r="EM95" s="3" t="str">
        <f>RTD("tos.rtd",,EM$83,"."&amp;$B$82&amp;$AS$82&amp;"P"&amp;$A95)</f>
        <v>181.71%</v>
      </c>
      <c r="EN95" s="3" t="str">
        <f>RTD("tos.rtd",,EN$83,"."&amp;$C$82&amp;$AU$82&amp;"C"&amp;$A95)</f>
        <v>25.33%</v>
      </c>
      <c r="EO95" s="3" t="str">
        <f>RTD("tos.rtd",,EO$83,"."&amp;$C$82&amp;$AU$82&amp;"P"&amp;$A95)</f>
        <v>--</v>
      </c>
      <c r="EP95" s="3" t="str">
        <f>RTD("tos.rtd",,EP$83,"."&amp;$D$82&amp;$AW$82&amp;"C"&amp;$A95)</f>
        <v>20.89%</v>
      </c>
      <c r="EQ95" s="3" t="str">
        <f>RTD("tos.rtd",,EQ$83,"."&amp;$D$82&amp;$AW$82&amp;"P"&amp;$A95)</f>
        <v>6.61%</v>
      </c>
      <c r="ES95" s="63" t="str">
        <f t="shared" si="487"/>
        <v>5770,-612.00</v>
      </c>
      <c r="ET95" s="64" t="str">
        <f t="shared" ca="1" si="488"/>
        <v>5770,00.00</v>
      </c>
      <c r="EU95" s="67">
        <v>562.20000000000005</v>
      </c>
      <c r="EV95" s="67" t="s">
        <v>780</v>
      </c>
      <c r="EW95" s="67">
        <v>484.5</v>
      </c>
      <c r="EX95" s="67" t="s">
        <v>781</v>
      </c>
      <c r="EY95" s="67">
        <v>5635.25</v>
      </c>
      <c r="EZ95" s="67" t="s">
        <v>782</v>
      </c>
      <c r="FA95" s="67">
        <v>19902</v>
      </c>
      <c r="FB95" s="67" t="s">
        <v>783</v>
      </c>
      <c r="FC95" s="67" t="s">
        <v>784</v>
      </c>
      <c r="FD95" s="67" t="s">
        <v>785</v>
      </c>
      <c r="FE95" s="68" t="s">
        <v>786</v>
      </c>
      <c r="FF95" s="68" t="s">
        <v>787</v>
      </c>
    </row>
    <row r="96" spans="1:162" s="63" customFormat="1" ht="12" customHeight="1" thickBot="1" x14ac:dyDescent="0.25">
      <c r="A96" s="2">
        <f t="shared" si="505"/>
        <v>5760</v>
      </c>
      <c r="B96" s="3">
        <f t="shared" si="449"/>
        <v>1161</v>
      </c>
      <c r="C96" s="3">
        <f t="shared" si="450"/>
        <v>1615</v>
      </c>
      <c r="D96" s="3">
        <f t="shared" si="451"/>
        <v>718</v>
      </c>
      <c r="E96" s="3">
        <f t="shared" si="452"/>
        <v>3494</v>
      </c>
      <c r="F96" s="4">
        <f t="shared" si="514"/>
        <v>5809.8336435055617</v>
      </c>
      <c r="G96" s="4">
        <f t="shared" si="489"/>
        <v>577.22947535906587</v>
      </c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20"/>
      <c r="AM96" s="20">
        <v>-294</v>
      </c>
      <c r="AN96" s="20">
        <v>200</v>
      </c>
      <c r="AO96" s="20">
        <v>5760</v>
      </c>
      <c r="AP96" s="20">
        <v>3063</v>
      </c>
      <c r="AQ96" s="20">
        <v>-213</v>
      </c>
      <c r="AR96" s="20"/>
      <c r="AS96" s="54">
        <f>IF(RTD("tos.rtd",,AS$83,"."&amp;$B$82&amp;$AS$82&amp;"C"&amp;$A96)="N/A",0,RTD("tos.rtd",,AS$83,"."&amp;$B$82&amp;$AS$82&amp;"C"&amp;$A96))</f>
        <v>950</v>
      </c>
      <c r="AT96" s="3">
        <f>-IF(RTD("tos.rtd",,AT$83,"."&amp;$B$82&amp;$AS$82&amp;"P"&amp;$A96)="N/A",0,RTD("tos.rtd",,AT$83,"."&amp;$B$82&amp;$AS$82&amp;"P"&amp;$A96))</f>
        <v>-211</v>
      </c>
      <c r="AU96" s="54">
        <f>IF(RTD("tos.rtd",,AU$83,"."&amp;$C$82&amp;$AU$82&amp;"C"&amp;$A96)="N/A",0,RTD("tos.rtd",,AU$83,"."&amp;$C$82&amp;$AU$82&amp;"C"&amp;$A96))</f>
        <v>1587</v>
      </c>
      <c r="AV96" s="3">
        <f>-IF(RTD("tos.rtd",,AV$83,"."&amp;$C$82&amp;$AU$82&amp;"P"&amp;$A96)="N/A",0,RTD("tos.rtd",,AV$83,"."&amp;$C$82&amp;$AU$82&amp;"P"&amp;$A96))</f>
        <v>-28</v>
      </c>
      <c r="AW96" s="54">
        <f>IF(RTD("tos.rtd",,AW$83,"."&amp;$D$82&amp;$AW$82&amp;"C"&amp;$A96)="N/A",0,RTD("tos.rtd",,AW$83,"."&amp;$D$82&amp;$AW$82&amp;"C"&amp;$A96))</f>
        <v>381</v>
      </c>
      <c r="AX96" s="3">
        <f>-IF(RTD("tos.rtd",,AX$83,"."&amp;$D$82&amp;$AW$82&amp;"P"&amp;$A96)="N/A",0,RTD("tos.rtd",,AX$83,"."&amp;$D$82&amp;$AW$82&amp;"P"&amp;$A96))</f>
        <v>-337</v>
      </c>
      <c r="AY96" s="79">
        <f t="shared" si="490"/>
        <v>2342</v>
      </c>
      <c r="AZ96" s="8">
        <f t="shared" si="453"/>
        <v>5760</v>
      </c>
      <c r="BA96" s="54">
        <f>IF(RTD("tos.rtd",,BA$83,"."&amp;$B$82&amp;$AS$82&amp;"C"&amp;$A96)="N/A",0,RTD("tos.rtd",,BA$83,"."&amp;$B$82&amp;$AS$82&amp;"C"&amp;$A96))</f>
        <v>0</v>
      </c>
      <c r="BB96" s="3">
        <f>-IF(RTD("tos.rtd",,BB$83,"."&amp;$B$82&amp;$AS$82&amp;"P"&amp;$A96)="N/A",0,RTD("tos.rtd",,BB$83,"."&amp;$B$82&amp;$AS$82&amp;"P"&amp;$A96))</f>
        <v>0</v>
      </c>
      <c r="BC96" s="54">
        <f>IF(RTD("tos.rtd",,BC$83,"."&amp;$C$82&amp;$AU$82&amp;"C"&amp;$A96)="N/A",0,RTD("tos.rtd",,BC$83,"."&amp;$C$82&amp;$AU$82&amp;"C"&amp;$A96))</f>
        <v>7</v>
      </c>
      <c r="BD96" s="3">
        <f>-IF(RTD("tos.rtd",,BD$83,"."&amp;$C$82&amp;$AU$82&amp;"P"&amp;$A96)="N/A",0,RTD("tos.rtd",,BD$83,"."&amp;$C$82&amp;$AU$82&amp;"P"&amp;$A96))</f>
        <v>0</v>
      </c>
      <c r="BE96" s="54">
        <f>IF(RTD("tos.rtd",,BE$83,"."&amp;$D$82&amp;$AW$82&amp;"C"&amp;$A96)="N/A",0,RTD("tos.rtd",,BE$83,"."&amp;$D$82&amp;$AW$82&amp;"C"&amp;$A96))</f>
        <v>0</v>
      </c>
      <c r="BF96" s="3">
        <f>-IF(RTD("tos.rtd",,BF$83,"."&amp;$D$82&amp;$AW$82&amp;"P"&amp;$A96)="N/A",0,RTD("tos.rtd",,BF$83,"."&amp;$D$82&amp;$AW$82&amp;"P"&amp;$A96))</f>
        <v>0</v>
      </c>
      <c r="BG96" s="3">
        <f ca="1">+Hoja2!Y97</f>
        <v>0</v>
      </c>
      <c r="BH96" s="55">
        <f t="shared" ca="1" si="491"/>
        <v>7</v>
      </c>
      <c r="BI96" s="32" t="str">
        <f t="shared" ca="1" si="510"/>
        <v/>
      </c>
      <c r="BJ96" s="3" t="e">
        <f ca="1">IF($BP$1=1,DX96,IF(RTD("tos.rtd",,BJ$83,"."&amp;$B$82&amp;$AS$82&amp;"C"&amp;$A96)="N/A",0,RTD("tos.rtd",,BJ$83,"."&amp;$B$82&amp;$AS$82&amp;"C"&amp;$A96)))</f>
        <v>#NUM!</v>
      </c>
      <c r="BK96" s="3" t="e">
        <f ca="1">IF($BP$1=1,DY96,-IF(RTD("tos.rtd",,BK$83,"."&amp;$B$82&amp;$AS$82&amp;"P"&amp;$A96)="N/A",0,RTD("tos.rtd",,BK$83,"."&amp;$B$82&amp;$AS$82&amp;"P"&amp;$A96)))</f>
        <v>#NUM!</v>
      </c>
      <c r="BL96" s="3">
        <f ca="1">IF($BP$1=1,DZ96,IF(RTD("tos.rtd",,BL$83,"."&amp;$C$82&amp;$AU$82&amp;"C"&amp;$A96)="N/A",0,RTD("tos.rtd",,BL$83,"."&amp;$C$82&amp;$AU$82&amp;"C"&amp;$A96)))</f>
        <v>1.9394870935562575E-3</v>
      </c>
      <c r="BM96" s="3">
        <f ca="1">IF($BP$1=1,EA96,-IF(RTD("tos.rtd",,BM$83,"."&amp;$C$82&amp;$AU$82&amp;"P"&amp;$A96)="N/A",0,RTD("tos.rtd",,BM$83,"."&amp;$C$82&amp;$AU$82&amp;"P"&amp;$A96)))</f>
        <v>-1.9300747752522191E-3</v>
      </c>
      <c r="BN96" s="3">
        <f ca="1">IF($BP$1=1,EB96,IF(RTD("tos.rtd",,BN$83,"."&amp;$D$82&amp;$AW$82&amp;"C"&amp;$A96)="N/A",0,RTD("tos.rtd",,BN$83,"."&amp;$D$82&amp;$AW$82&amp;"C"&amp;$A96)))</f>
        <v>1.7990802839853125E-3</v>
      </c>
      <c r="BO96" s="3">
        <f ca="1">IF($BP$1=1,EC96,-IF(RTD("tos.rtd",,BO$83,"."&amp;$D$82&amp;$AW$82&amp;"P"&amp;$A96)="N/A",0,RTD("tos.rtd",,BO$83,"."&amp;$D$82&amp;$AW$82&amp;"P"&amp;$A96)))</f>
        <v>-2.1851685298465489E-4</v>
      </c>
      <c r="BQ96" s="3" t="e">
        <f t="shared" ca="1" si="454"/>
        <v>#NUM!</v>
      </c>
      <c r="BR96" s="3" t="e">
        <f t="shared" ca="1" si="492"/>
        <v>#NUM!</v>
      </c>
      <c r="BS96" s="3">
        <f t="shared" ca="1" si="455"/>
        <v>716739.28582885501</v>
      </c>
      <c r="BT96" s="3" t="str">
        <f t="shared" ca="1" si="492"/>
        <v/>
      </c>
      <c r="BU96" s="3">
        <f t="shared" ca="1" si="456"/>
        <v>145012.85407316228</v>
      </c>
      <c r="BV96" s="3" t="str">
        <f t="shared" ca="1" si="492"/>
        <v/>
      </c>
      <c r="BX96" s="3" t="e">
        <f t="shared" ca="1" si="457"/>
        <v>#NUM!</v>
      </c>
      <c r="BY96" s="3" t="e">
        <f t="shared" ca="1" si="507"/>
        <v>#NUM!</v>
      </c>
      <c r="BZ96" s="3">
        <f t="shared" ca="1" si="458"/>
        <v>3217.9202934601453</v>
      </c>
      <c r="CA96" s="3" t="str">
        <f t="shared" ca="1" si="507"/>
        <v/>
      </c>
      <c r="CB96" s="3">
        <f t="shared" ca="1" si="459"/>
        <v>0</v>
      </c>
      <c r="CC96" s="3" t="str">
        <f t="shared" ca="1" si="507"/>
        <v/>
      </c>
      <c r="CD96" s="3">
        <f>IF(RTD("tos.rtd",,CD$83,"."&amp;$B$82&amp;$AS$82&amp;"C"&amp;$A96)="N/A",0,RTD("tos.rtd",,CD$83,"."&amp;$B$82&amp;$AS$82&amp;"C"&amp;$A96))</f>
        <v>0</v>
      </c>
      <c r="CE96" s="3">
        <f>-IF(RTD("tos.rtd",,CE$83,"."&amp;$B$82&amp;$AS$82&amp;"P"&amp;$A96)="N/A",0,RTD("tos.rtd",,CE$83,"."&amp;$B$82&amp;$AS$82&amp;"P"&amp;$A96))</f>
        <v>0.96</v>
      </c>
      <c r="CF96" s="3">
        <f>IF(RTD("tos.rtd",,CF$83,"."&amp;$C$82&amp;$AU$82&amp;"C"&amp;$A96)="N/A",0,RTD("tos.rtd",,CF$83,"."&amp;$C$82&amp;$AU$82&amp;"C"&amp;$A96))</f>
        <v>0.1</v>
      </c>
      <c r="CG96" s="3">
        <f>-IF(RTD("tos.rtd",,CG$83,"."&amp;$C$82&amp;$AU$82&amp;"P"&amp;$A96)="N/A",0,RTD("tos.rtd",,CG$83,"."&amp;$C$82&amp;$AU$82&amp;"P"&amp;$A96))</f>
        <v>1</v>
      </c>
      <c r="CH96" s="3">
        <f>IF(RTD("tos.rtd",,CH$83,"."&amp;$D$82&amp;$AW$82&amp;"C"&amp;$A96)="N/A",0,RTD("tos.rtd",,CH$83,"."&amp;$D$82&amp;$AW$82&amp;"C"&amp;$A96))</f>
        <v>0.26</v>
      </c>
      <c r="CI96" s="3">
        <f>-IF(RTD("tos.rtd",,CI$83,"."&amp;$D$82&amp;$AW$82&amp;"P"&amp;$A96)="N/A",0,RTD("tos.rtd",,CI$83,"."&amp;$D$82&amp;$AW$82&amp;"P"&amp;$A96))</f>
        <v>0.92</v>
      </c>
      <c r="CK96" s="3">
        <f t="shared" si="511"/>
        <v>-20256</v>
      </c>
      <c r="CL96" s="3"/>
      <c r="CM96" s="3">
        <f t="shared" si="512"/>
        <v>13070.000000000002</v>
      </c>
      <c r="CN96" s="3"/>
      <c r="CO96" s="3">
        <f t="shared" si="513"/>
        <v>-21098.000000000004</v>
      </c>
      <c r="CP96" s="3">
        <f t="shared" si="460"/>
        <v>-28284</v>
      </c>
      <c r="CQ96" s="3">
        <f t="shared" si="461"/>
        <v>0</v>
      </c>
      <c r="CR96" s="3"/>
      <c r="CS96" s="3">
        <f t="shared" si="462"/>
        <v>7</v>
      </c>
      <c r="CT96" s="3"/>
      <c r="CU96" s="3">
        <f t="shared" si="463"/>
        <v>0</v>
      </c>
      <c r="CV96" s="3"/>
      <c r="CW96" s="3" t="e">
        <f t="shared" ca="1" si="496"/>
        <v>#NUM!</v>
      </c>
      <c r="CY96" s="3" t="e">
        <f t="shared" ca="1" si="465"/>
        <v>#NUM!</v>
      </c>
      <c r="CZ96" s="70" t="e">
        <f t="shared" ca="1" si="508"/>
        <v>#NUM!</v>
      </c>
      <c r="DA96" s="3">
        <f>IF(RTD("tos.rtd",,DA$83,"."&amp;$B$82&amp;$AS$82&amp;"C"&amp;$A96)="N/A",0,RTD("tos.rtd",,DA$83,"."&amp;$B$82&amp;$AS$82&amp;"C"&amp;$A96))</f>
        <v>0.03</v>
      </c>
      <c r="DB96" s="3">
        <f>IF(RTD("tos.rtd",,DB$83,"."&amp;$B$82&amp;$AS$82&amp;"P"&amp;$A96)="N/A",0,RTD("tos.rtd",,DB$83,"."&amp;$B$82&amp;$AS$82&amp;"P"&amp;$A96))</f>
        <v>162.15</v>
      </c>
      <c r="DC96" s="3">
        <f>IF(RTD("tos.rtd",,DC$83,"."&amp;$B$82&amp;$AS$82&amp;"C"&amp;$A96)="N/A",0,RTD("tos.rtd",,DC$83,"."&amp;$B$82&amp;$AS$82&amp;"C"&amp;$A96))</f>
        <v>0.05</v>
      </c>
      <c r="DD96" s="3">
        <f>IF(RTD("tos.rtd",,DD$83,"."&amp;$B$82&amp;$AS$82&amp;"P"&amp;$A96)="N/A",0,RTD("tos.rtd",,DD$83,"."&amp;$B$82&amp;$AS$82&amp;"P"&amp;$A96))</f>
        <v>131.5</v>
      </c>
      <c r="DE96" s="3">
        <f>IF(RTD("tos.rtd",,DE$83,"."&amp;$B$82&amp;$AS$82&amp;"C"&amp;$A96)="N/A",0,RTD("tos.rtd",,DE$83,"."&amp;$B$82&amp;$AS$82&amp;"C"&amp;$A96))</f>
        <v>0</v>
      </c>
      <c r="DF96" s="3">
        <f>IF(RTD("tos.rtd",,DF$83,"."&amp;$B$82&amp;$AS$82&amp;"P"&amp;$A96)="N/A",0,RTD("tos.rtd",,DF$83,"."&amp;$B$82&amp;$AS$82&amp;"P"&amp;$A96))</f>
        <v>128.30000000000001</v>
      </c>
      <c r="DG96" s="86">
        <f t="shared" si="497"/>
        <v>128.72000000000025</v>
      </c>
      <c r="DH96" s="3">
        <f t="shared" si="466"/>
        <v>-1837.8</v>
      </c>
      <c r="DI96" s="3">
        <f t="shared" si="467"/>
        <v>2253.1406250000077</v>
      </c>
      <c r="DJ96" s="3">
        <f t="shared" si="468"/>
        <v>-3063</v>
      </c>
      <c r="DK96" s="3">
        <f t="shared" si="469"/>
        <v>213</v>
      </c>
      <c r="DL96" s="3">
        <f t="shared" si="470"/>
        <v>415.34062500000778</v>
      </c>
      <c r="DM96" s="3">
        <f t="shared" si="471"/>
        <v>-2850</v>
      </c>
      <c r="DN96" s="64" t="str">
        <f t="shared" si="472"/>
        <v>UNKNOWN</v>
      </c>
      <c r="DO96" s="64" t="str">
        <f t="shared" si="473"/>
        <v>UNKNOWN</v>
      </c>
      <c r="DP96" s="3">
        <f t="shared" si="474"/>
        <v>365291.61834375124</v>
      </c>
      <c r="DQ96" s="3">
        <f t="shared" si="475"/>
        <v>34446.060000000005</v>
      </c>
      <c r="DR96" s="3" t="e">
        <f t="shared" ca="1" si="476"/>
        <v>#NUM!</v>
      </c>
      <c r="DS96" s="3">
        <f t="shared" si="477"/>
        <v>204.48</v>
      </c>
      <c r="DT96" s="3">
        <f t="shared" si="498"/>
        <v>-3063</v>
      </c>
      <c r="DU96" s="3">
        <f t="shared" si="499"/>
        <v>213</v>
      </c>
      <c r="DV96" s="3">
        <f t="shared" si="500"/>
        <v>-294</v>
      </c>
      <c r="DW96" s="3">
        <f t="shared" si="501"/>
        <v>200</v>
      </c>
      <c r="DX96" s="3" t="e">
        <f t="shared" ca="1" si="509"/>
        <v>#NUM!</v>
      </c>
      <c r="DY96" s="3" t="e">
        <f t="shared" ca="1" si="478"/>
        <v>#NUM!</v>
      </c>
      <c r="DZ96" s="3">
        <f t="shared" ca="1" si="502"/>
        <v>1.9394870935562575E-3</v>
      </c>
      <c r="EA96" s="3">
        <f t="shared" ca="1" si="503"/>
        <v>-1.9300747752522191E-3</v>
      </c>
      <c r="EB96" s="3">
        <f t="shared" ca="1" si="479"/>
        <v>1.7990802839853125E-3</v>
      </c>
      <c r="EC96" s="3">
        <f t="shared" ca="1" si="480"/>
        <v>-2.1851685298465489E-4</v>
      </c>
      <c r="ED96" s="63">
        <f t="shared" si="504"/>
        <v>-94</v>
      </c>
      <c r="EE96" s="59">
        <f t="shared" si="481"/>
        <v>1.034</v>
      </c>
      <c r="EF96" s="59">
        <f t="shared" si="482"/>
        <v>1.7112000000000001</v>
      </c>
      <c r="EG96" s="59">
        <f t="shared" si="483"/>
        <v>0.25769999999999998</v>
      </c>
      <c r="EH96" s="59">
        <f t="shared" si="484"/>
        <v>0.25</v>
      </c>
      <c r="EI96" s="59">
        <f t="shared" si="485"/>
        <v>0.21149999999999999</v>
      </c>
      <c r="EJ96" s="59">
        <f t="shared" si="486"/>
        <v>0.1007</v>
      </c>
      <c r="EL96" s="3" t="str">
        <f>RTD("tos.rtd",,EL$83,"."&amp;$B$82&amp;$AS$82&amp;"C"&amp;$A96)</f>
        <v>103.40%</v>
      </c>
      <c r="EM96" s="3" t="str">
        <f>RTD("tos.rtd",,EM$83,"."&amp;$B$82&amp;$AS$82&amp;"P"&amp;$A96)</f>
        <v>171.12%</v>
      </c>
      <c r="EN96" s="3" t="str">
        <f>RTD("tos.rtd",,EN$83,"."&amp;$C$82&amp;$AU$82&amp;"C"&amp;$A96)</f>
        <v>25.77%</v>
      </c>
      <c r="EO96" s="3" t="str">
        <f>RTD("tos.rtd",,EO$83,"."&amp;$C$82&amp;$AU$82&amp;"P"&amp;$A96)</f>
        <v>--</v>
      </c>
      <c r="EP96" s="3" t="str">
        <f>RTD("tos.rtd",,EP$83,"."&amp;$D$82&amp;$AW$82&amp;"C"&amp;$A96)</f>
        <v>21.15%</v>
      </c>
      <c r="EQ96" s="3" t="str">
        <f>RTD("tos.rtd",,EQ$83,"."&amp;$D$82&amp;$AW$82&amp;"P"&amp;$A96)</f>
        <v>10.07%</v>
      </c>
      <c r="ES96" s="63" t="str">
        <f t="shared" si="487"/>
        <v>5760,-94.00</v>
      </c>
      <c r="ET96" s="64" t="str">
        <f t="shared" ca="1" si="488"/>
        <v>5760,00.00</v>
      </c>
      <c r="EU96" s="67">
        <v>562.19000000000005</v>
      </c>
      <c r="EV96" s="67" t="s">
        <v>788</v>
      </c>
      <c r="EW96" s="67">
        <v>484.53</v>
      </c>
      <c r="EX96" s="67" t="s">
        <v>789</v>
      </c>
      <c r="EY96" s="67">
        <v>5635.5</v>
      </c>
      <c r="EZ96" s="67" t="s">
        <v>790</v>
      </c>
      <c r="FA96" s="67">
        <v>19903.5</v>
      </c>
      <c r="FB96" s="67" t="s">
        <v>791</v>
      </c>
      <c r="FC96" s="67" t="s">
        <v>792</v>
      </c>
      <c r="FD96" s="67" t="s">
        <v>793</v>
      </c>
      <c r="FE96" s="68" t="s">
        <v>794</v>
      </c>
      <c r="FF96" s="68" t="s">
        <v>795</v>
      </c>
    </row>
    <row r="97" spans="1:162" s="63" customFormat="1" ht="12" customHeight="1" thickBot="1" x14ac:dyDescent="0.25">
      <c r="A97" s="2">
        <f t="shared" si="505"/>
        <v>5750</v>
      </c>
      <c r="B97" s="3">
        <f t="shared" si="449"/>
        <v>2858</v>
      </c>
      <c r="C97" s="3">
        <f t="shared" si="450"/>
        <v>3658</v>
      </c>
      <c r="D97" s="3">
        <f t="shared" si="451"/>
        <v>2728</v>
      </c>
      <c r="E97" s="3">
        <f>SUM(B97:D97)</f>
        <v>9244</v>
      </c>
      <c r="F97" s="4">
        <f t="shared" si="514"/>
        <v>5799.7471267633646</v>
      </c>
      <c r="G97" s="4">
        <f t="shared" si="489"/>
        <v>576.22734085323418</v>
      </c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20"/>
      <c r="AM97" s="20">
        <v>-1012</v>
      </c>
      <c r="AN97" s="20">
        <v>86</v>
      </c>
      <c r="AO97" s="20">
        <v>5750</v>
      </c>
      <c r="AP97" s="20">
        <v>6634</v>
      </c>
      <c r="AQ97" s="20">
        <v>-269</v>
      </c>
      <c r="AR97" s="20"/>
      <c r="AS97" s="54">
        <f>IF(RTD("tos.rtd",,AS$83,"."&amp;$B$82&amp;$AS$82&amp;"C"&amp;$A97)="N/A",0,RTD("tos.rtd",,AS$83,"."&amp;$B$82&amp;$AS$82&amp;"C"&amp;$A97))</f>
        <v>2605</v>
      </c>
      <c r="AT97" s="3">
        <f>-IF(RTD("tos.rtd",,AT$83,"."&amp;$B$82&amp;$AS$82&amp;"P"&amp;$A97)="N/A",0,RTD("tos.rtd",,AT$83,"."&amp;$B$82&amp;$AS$82&amp;"P"&amp;$A97))</f>
        <v>-253</v>
      </c>
      <c r="AU97" s="54">
        <f>IF(RTD("tos.rtd",,AU$83,"."&amp;$C$82&amp;$AU$82&amp;"C"&amp;$A97)="N/A",0,RTD("tos.rtd",,AU$83,"."&amp;$C$82&amp;$AU$82&amp;"C"&amp;$A97))</f>
        <v>3541</v>
      </c>
      <c r="AV97" s="3">
        <f>-IF(RTD("tos.rtd",,AV$83,"."&amp;$C$82&amp;$AU$82&amp;"P"&amp;$A97)="N/A",0,RTD("tos.rtd",,AV$83,"."&amp;$C$82&amp;$AU$82&amp;"P"&amp;$A97))</f>
        <v>-117</v>
      </c>
      <c r="AW97" s="54">
        <f>IF(RTD("tos.rtd",,AW$83,"."&amp;$D$82&amp;$AW$82&amp;"C"&amp;$A97)="N/A",0,RTD("tos.rtd",,AW$83,"."&amp;$D$82&amp;$AW$82&amp;"C"&amp;$A97))</f>
        <v>2382</v>
      </c>
      <c r="AX97" s="3">
        <f>-IF(RTD("tos.rtd",,AX$83,"."&amp;$D$82&amp;$AW$82&amp;"P"&amp;$A97)="N/A",0,RTD("tos.rtd",,AX$83,"."&amp;$D$82&amp;$AW$82&amp;"P"&amp;$A97))</f>
        <v>-346</v>
      </c>
      <c r="AY97" s="79">
        <f t="shared" si="490"/>
        <v>7812</v>
      </c>
      <c r="AZ97" s="8">
        <f t="shared" si="453"/>
        <v>5750</v>
      </c>
      <c r="BA97" s="54">
        <f>IF(RTD("tos.rtd",,BA$83,"."&amp;$B$82&amp;$AS$82&amp;"C"&amp;$A97)="N/A",0,RTD("tos.rtd",,BA$83,"."&amp;$B$82&amp;$AS$82&amp;"C"&amp;$A97))</f>
        <v>0</v>
      </c>
      <c r="BB97" s="3">
        <f>-IF(RTD("tos.rtd",,BB$83,"."&amp;$B$82&amp;$AS$82&amp;"P"&amp;$A97)="N/A",0,RTD("tos.rtd",,BB$83,"."&amp;$B$82&amp;$AS$82&amp;"P"&amp;$A97))</f>
        <v>0</v>
      </c>
      <c r="BC97" s="54">
        <f>IF(RTD("tos.rtd",,BC$83,"."&amp;$C$82&amp;$AU$82&amp;"C"&amp;$A97)="N/A",0,RTD("tos.rtd",,BC$83,"."&amp;$C$82&amp;$AU$82&amp;"C"&amp;$A97))</f>
        <v>34</v>
      </c>
      <c r="BD97" s="3">
        <f>-IF(RTD("tos.rtd",,BD$83,"."&amp;$C$82&amp;$AU$82&amp;"P"&amp;$A97)="N/A",0,RTD("tos.rtd",,BD$83,"."&amp;$C$82&amp;$AU$82&amp;"P"&amp;$A97))</f>
        <v>0</v>
      </c>
      <c r="BE97" s="54">
        <f>IF(RTD("tos.rtd",,BE$83,"."&amp;$D$82&amp;$AW$82&amp;"C"&amp;$A97)="N/A",0,RTD("tos.rtd",,BE$83,"."&amp;$D$82&amp;$AW$82&amp;"C"&amp;$A97))</f>
        <v>1</v>
      </c>
      <c r="BF97" s="3">
        <f>-IF(RTD("tos.rtd",,BF$83,"."&amp;$D$82&amp;$AW$82&amp;"P"&amp;$A97)="N/A",0,RTD("tos.rtd",,BF$83,"."&amp;$D$82&amp;$AW$82&amp;"P"&amp;$A97))</f>
        <v>0</v>
      </c>
      <c r="BG97" s="3">
        <f ca="1">+Hoja2!Y98</f>
        <v>2</v>
      </c>
      <c r="BH97" s="55">
        <f t="shared" ca="1" si="491"/>
        <v>37</v>
      </c>
      <c r="BI97" s="32" t="str">
        <f t="shared" ca="1" si="510"/>
        <v/>
      </c>
      <c r="BJ97" s="3" t="e">
        <f ca="1">IF($BP$1=1,DX97,IF(RTD("tos.rtd",,BJ$83,"."&amp;$B$82&amp;$AS$82&amp;"C"&amp;$A97)="N/A",0,RTD("tos.rtd",,BJ$83,"."&amp;$B$82&amp;$AS$82&amp;"C"&amp;$A97)))</f>
        <v>#NUM!</v>
      </c>
      <c r="BK97" s="3" t="e">
        <f ca="1">IF($BP$1=1,DY97,-IF(RTD("tos.rtd",,BK$83,"."&amp;$B$82&amp;$AS$82&amp;"P"&amp;$A97)="N/A",0,RTD("tos.rtd",,BK$83,"."&amp;$B$82&amp;$AS$82&amp;"P"&amp;$A97)))</f>
        <v>#NUM!</v>
      </c>
      <c r="BL97" s="3">
        <f ca="1">IF($BP$1=1,DZ97,IF(RTD("tos.rtd",,BL$83,"."&amp;$C$82&amp;$AU$82&amp;"C"&amp;$A97)="N/A",0,RTD("tos.rtd",,BL$83,"."&amp;$C$82&amp;$AU$82&amp;"C"&amp;$A97)))</f>
        <v>2.1052709580583026E-3</v>
      </c>
      <c r="BM97" s="3">
        <f ca="1">IF($BP$1=1,EA97,-IF(RTD("tos.rtd",,BM$83,"."&amp;$C$82&amp;$AU$82&amp;"P"&amp;$A97)="N/A",0,RTD("tos.rtd",,BM$83,"."&amp;$C$82&amp;$AU$82&amp;"P"&amp;$A97)))</f>
        <v>-2.1089164743956952E-3</v>
      </c>
      <c r="BN97" s="3">
        <f ca="1">IF($BP$1=1,EB97,IF(RTD("tos.rtd",,BN$83,"."&amp;$D$82&amp;$AW$82&amp;"C"&amp;$A97)="N/A",0,RTD("tos.rtd",,BN$83,"."&amp;$D$82&amp;$AW$82&amp;"C"&amp;$A97)))</f>
        <v>2.0477209412498461E-3</v>
      </c>
      <c r="BO97" s="3">
        <f ca="1">IF($BP$1=1,EC97,-IF(RTD("tos.rtd",,BO$83,"."&amp;$D$82&amp;$AW$82&amp;"P"&amp;$A97)="N/A",0,RTD("tos.rtd",,BO$83,"."&amp;$D$82&amp;$AW$82&amp;"P"&amp;$A97)))</f>
        <v>-6.8251260331951417E-4</v>
      </c>
      <c r="BQ97" s="3" t="e">
        <f t="shared" ca="1" si="454"/>
        <v>#NUM!</v>
      </c>
      <c r="BR97" s="3" t="e">
        <f t="shared" ca="1" si="492"/>
        <v>#NUM!</v>
      </c>
      <c r="BS97" s="3">
        <f t="shared" ca="1" si="455"/>
        <v>1708466.2585570554</v>
      </c>
      <c r="BT97" s="3" t="str">
        <f t="shared" ca="1" si="492"/>
        <v/>
      </c>
      <c r="BU97" s="3">
        <f t="shared" ca="1" si="456"/>
        <v>1100147.0906363749</v>
      </c>
      <c r="BV97" s="3" t="str">
        <f t="shared" ca="1" si="492"/>
        <v/>
      </c>
      <c r="BX97" s="3" t="e">
        <f t="shared" ca="1" si="457"/>
        <v>#NUM!</v>
      </c>
      <c r="BY97" s="3" t="e">
        <f t="shared" ca="1" si="507"/>
        <v>#NUM!</v>
      </c>
      <c r="BZ97" s="3">
        <f t="shared" ca="1" si="458"/>
        <v>16965.914154534032</v>
      </c>
      <c r="CA97" s="3" t="str">
        <f t="shared" ca="1" si="507"/>
        <v/>
      </c>
      <c r="CB97" s="3">
        <f t="shared" ca="1" si="459"/>
        <v>485.35680195948936</v>
      </c>
      <c r="CC97" s="3" t="str">
        <f t="shared" ca="1" si="507"/>
        <v/>
      </c>
      <c r="CD97" s="3">
        <f>IF(RTD("tos.rtd",,CD$83,"."&amp;$B$82&amp;$AS$82&amp;"C"&amp;$A97)="N/A",0,RTD("tos.rtd",,CD$83,"."&amp;$B$82&amp;$AS$82&amp;"C"&amp;$A97))</f>
        <v>0</v>
      </c>
      <c r="CE97" s="3">
        <f>-IF(RTD("tos.rtd",,CE$83,"."&amp;$B$82&amp;$AS$82&amp;"P"&amp;$A97)="N/A",0,RTD("tos.rtd",,CE$83,"."&amp;$B$82&amp;$AS$82&amp;"P"&amp;$A97))</f>
        <v>0.96</v>
      </c>
      <c r="CF97" s="3">
        <f>IF(RTD("tos.rtd",,CF$83,"."&amp;$C$82&amp;$AU$82&amp;"C"&amp;$A97)="N/A",0,RTD("tos.rtd",,CF$83,"."&amp;$C$82&amp;$AU$82&amp;"C"&amp;$A97))</f>
        <v>0.13</v>
      </c>
      <c r="CG97" s="3">
        <f>-IF(RTD("tos.rtd",,CG$83,"."&amp;$C$82&amp;$AU$82&amp;"P"&amp;$A97)="N/A",0,RTD("tos.rtd",,CG$83,"."&amp;$C$82&amp;$AU$82&amp;"P"&amp;$A97))</f>
        <v>1</v>
      </c>
      <c r="CH97" s="3">
        <f>IF(RTD("tos.rtd",,CH$83,"."&amp;$D$82&amp;$AW$82&amp;"C"&amp;$A97)="N/A",0,RTD("tos.rtd",,CH$83,"."&amp;$D$82&amp;$AW$82&amp;"C"&amp;$A97))</f>
        <v>0.28000000000000003</v>
      </c>
      <c r="CI97" s="3">
        <f>-IF(RTD("tos.rtd",,CI$83,"."&amp;$D$82&amp;$AW$82&amp;"P"&amp;$A97)="N/A",0,RTD("tos.rtd",,CI$83,"."&amp;$D$82&amp;$AW$82&amp;"P"&amp;$A97))</f>
        <v>0.87</v>
      </c>
      <c r="CK97" s="3">
        <f t="shared" si="511"/>
        <v>-24288</v>
      </c>
      <c r="CL97" s="3"/>
      <c r="CM97" s="3">
        <f t="shared" si="512"/>
        <v>34333.000000000007</v>
      </c>
      <c r="CN97" s="3"/>
      <c r="CO97" s="3">
        <f t="shared" si="513"/>
        <v>36594</v>
      </c>
      <c r="CP97" s="3">
        <f t="shared" si="460"/>
        <v>46639.000000000007</v>
      </c>
      <c r="CQ97" s="3">
        <f t="shared" si="461"/>
        <v>0</v>
      </c>
      <c r="CR97" s="3"/>
      <c r="CS97" s="3">
        <f t="shared" si="462"/>
        <v>34</v>
      </c>
      <c r="CT97" s="3"/>
      <c r="CU97" s="3">
        <f t="shared" si="463"/>
        <v>1</v>
      </c>
      <c r="CV97" s="3"/>
      <c r="CW97" s="3" t="e">
        <f t="shared" ca="1" si="496"/>
        <v>#NUM!</v>
      </c>
      <c r="CY97" s="3" t="e">
        <f t="shared" ca="1" si="465"/>
        <v>#NUM!</v>
      </c>
      <c r="CZ97" s="70" t="e">
        <f t="shared" ca="1" si="508"/>
        <v>#NUM!</v>
      </c>
      <c r="DA97" s="3">
        <f>IF(RTD("tos.rtd",,DA$83,"."&amp;$B$82&amp;$AS$82&amp;"C"&amp;$A97)="N/A",0,RTD("tos.rtd",,DA$83,"."&amp;$B$82&amp;$AS$82&amp;"C"&amp;$A97))</f>
        <v>0.05</v>
      </c>
      <c r="DB97" s="3">
        <f>IF(RTD("tos.rtd",,DB$83,"."&amp;$B$82&amp;$AS$82&amp;"P"&amp;$A97)="N/A",0,RTD("tos.rtd",,DB$83,"."&amp;$B$82&amp;$AS$82&amp;"P"&amp;$A97))</f>
        <v>120.38</v>
      </c>
      <c r="DC97" s="3">
        <f>IF(RTD("tos.rtd",,DC$83,"."&amp;$B$82&amp;$AS$82&amp;"C"&amp;$A97)="N/A",0,RTD("tos.rtd",,DC$83,"."&amp;$B$82&amp;$AS$82&amp;"C"&amp;$A97))</f>
        <v>0.05</v>
      </c>
      <c r="DD97" s="3">
        <f>IF(RTD("tos.rtd",,DD$83,"."&amp;$B$82&amp;$AS$82&amp;"P"&amp;$A97)="N/A",0,RTD("tos.rtd",,DD$83,"."&amp;$B$82&amp;$AS$82&amp;"P"&amp;$A97))</f>
        <v>121.5</v>
      </c>
      <c r="DE97" s="3">
        <f>IF(RTD("tos.rtd",,DE$83,"."&amp;$B$82&amp;$AS$82&amp;"C"&amp;$A97)="N/A",0,RTD("tos.rtd",,DE$83,"."&amp;$B$82&amp;$AS$82&amp;"C"&amp;$A97))</f>
        <v>0</v>
      </c>
      <c r="DF97" s="3">
        <f>IF(RTD("tos.rtd",,DF$83,"."&amp;$B$82&amp;$AS$82&amp;"P"&amp;$A97)="N/A",0,RTD("tos.rtd",,DF$83,"."&amp;$B$82&amp;$AS$82&amp;"P"&amp;$A97))</f>
        <v>118.3</v>
      </c>
      <c r="DG97" s="86">
        <f t="shared" si="497"/>
        <v>118.72000000000025</v>
      </c>
      <c r="DH97" s="3">
        <f t="shared" si="466"/>
        <v>-6634</v>
      </c>
      <c r="DI97" s="3">
        <f t="shared" si="467"/>
        <v>174.84999999999971</v>
      </c>
      <c r="DJ97" s="3">
        <f t="shared" si="468"/>
        <v>-6634</v>
      </c>
      <c r="DK97" s="3">
        <f t="shared" si="469"/>
        <v>269</v>
      </c>
      <c r="DL97" s="3">
        <f t="shared" si="470"/>
        <v>-6459.1500000000005</v>
      </c>
      <c r="DM97" s="3">
        <f t="shared" si="471"/>
        <v>-6365</v>
      </c>
      <c r="DN97" s="64" t="str">
        <f t="shared" si="472"/>
        <v>UNKNOWN</v>
      </c>
      <c r="DO97" s="64" t="str">
        <f t="shared" si="473"/>
        <v>UNKNOWN</v>
      </c>
      <c r="DP97" s="3">
        <f t="shared" si="474"/>
        <v>20716.742999999962</v>
      </c>
      <c r="DQ97" s="3">
        <f t="shared" si="475"/>
        <v>32050.519999999997</v>
      </c>
      <c r="DR97" s="3" t="e">
        <f t="shared" ca="1" si="476"/>
        <v>#NUM!</v>
      </c>
      <c r="DS97" s="3">
        <f t="shared" si="477"/>
        <v>258.24</v>
      </c>
      <c r="DT97" s="3">
        <f t="shared" si="498"/>
        <v>-6634</v>
      </c>
      <c r="DU97" s="3">
        <f t="shared" si="499"/>
        <v>269</v>
      </c>
      <c r="DV97" s="3">
        <f t="shared" si="500"/>
        <v>-1012</v>
      </c>
      <c r="DW97" s="3">
        <f t="shared" si="501"/>
        <v>86</v>
      </c>
      <c r="DX97" s="3" t="e">
        <f t="shared" ca="1" si="509"/>
        <v>#NUM!</v>
      </c>
      <c r="DY97" s="3" t="e">
        <f t="shared" ca="1" si="478"/>
        <v>#NUM!</v>
      </c>
      <c r="DZ97" s="3">
        <f t="shared" ca="1" si="502"/>
        <v>2.1052709580583026E-3</v>
      </c>
      <c r="EA97" s="3">
        <f t="shared" ca="1" si="503"/>
        <v>-2.1089164743956952E-3</v>
      </c>
      <c r="EB97" s="3">
        <f t="shared" ca="1" si="479"/>
        <v>2.0477209412498461E-3</v>
      </c>
      <c r="EC97" s="3">
        <f t="shared" ca="1" si="480"/>
        <v>-6.8251260331951417E-4</v>
      </c>
      <c r="ED97" s="63">
        <f t="shared" si="504"/>
        <v>-926</v>
      </c>
      <c r="EE97" s="59">
        <f t="shared" si="481"/>
        <v>0.9617</v>
      </c>
      <c r="EF97" s="59">
        <f t="shared" si="482"/>
        <v>1.6041000000000001</v>
      </c>
      <c r="EG97" s="59">
        <f t="shared" si="483"/>
        <v>0.26319999999999999</v>
      </c>
      <c r="EH97" s="59">
        <f t="shared" si="484"/>
        <v>0.25</v>
      </c>
      <c r="EI97" s="59">
        <f t="shared" si="485"/>
        <v>0.21429999999999999</v>
      </c>
      <c r="EJ97" s="59">
        <f t="shared" si="486"/>
        <v>0.1147</v>
      </c>
      <c r="EL97" s="3" t="str">
        <f>RTD("tos.rtd",,EL$83,"."&amp;$B$82&amp;$AS$82&amp;"C"&amp;$A97)</f>
        <v>96.17%</v>
      </c>
      <c r="EM97" s="3" t="str">
        <f>RTD("tos.rtd",,EM$83,"."&amp;$B$82&amp;$AS$82&amp;"P"&amp;$A97)</f>
        <v>160.41%</v>
      </c>
      <c r="EN97" s="3" t="str">
        <f>RTD("tos.rtd",,EN$83,"."&amp;$C$82&amp;$AU$82&amp;"C"&amp;$A97)</f>
        <v>26.32%</v>
      </c>
      <c r="EO97" s="3" t="str">
        <f>RTD("tos.rtd",,EO$83,"."&amp;$C$82&amp;$AU$82&amp;"P"&amp;$A97)</f>
        <v>--</v>
      </c>
      <c r="EP97" s="3" t="str">
        <f>RTD("tos.rtd",,EP$83,"."&amp;$D$82&amp;$AW$82&amp;"C"&amp;$A97)</f>
        <v>21.43%</v>
      </c>
      <c r="EQ97" s="3" t="str">
        <f>RTD("tos.rtd",,EQ$83,"."&amp;$D$82&amp;$AW$82&amp;"P"&amp;$A97)</f>
        <v>11.47%</v>
      </c>
      <c r="ES97" s="63" t="str">
        <f t="shared" si="487"/>
        <v>5750,-926.00</v>
      </c>
      <c r="ET97" s="64" t="str">
        <f t="shared" ca="1" si="488"/>
        <v>5750,00.00</v>
      </c>
      <c r="EU97" s="67">
        <v>562.33000000000004</v>
      </c>
      <c r="EV97" s="67" t="s">
        <v>796</v>
      </c>
      <c r="EW97" s="67">
        <v>484.67</v>
      </c>
      <c r="EX97" s="67" t="s">
        <v>797</v>
      </c>
      <c r="EY97" s="67">
        <v>5637</v>
      </c>
      <c r="EZ97" s="67" t="s">
        <v>798</v>
      </c>
      <c r="FA97" s="67">
        <v>19909</v>
      </c>
      <c r="FB97" s="67" t="s">
        <v>799</v>
      </c>
      <c r="FC97" s="67" t="s">
        <v>800</v>
      </c>
      <c r="FD97" s="67" t="s">
        <v>801</v>
      </c>
      <c r="FE97" s="68" t="s">
        <v>802</v>
      </c>
      <c r="FF97" s="68" t="s">
        <v>803</v>
      </c>
    </row>
    <row r="98" spans="1:162" s="63" customFormat="1" ht="12" customHeight="1" thickBot="1" x14ac:dyDescent="0.25">
      <c r="A98" s="2">
        <f t="shared" si="505"/>
        <v>5740</v>
      </c>
      <c r="B98" s="3">
        <f t="shared" si="449"/>
        <v>1350</v>
      </c>
      <c r="C98" s="3">
        <f t="shared" si="450"/>
        <v>902</v>
      </c>
      <c r="D98" s="3">
        <f t="shared" si="451"/>
        <v>486</v>
      </c>
      <c r="E98" s="3">
        <f t="shared" ref="E98" si="515">SUM(B98:D98)</f>
        <v>2738</v>
      </c>
      <c r="F98" s="4">
        <f t="shared" si="514"/>
        <v>5789.6606100211675</v>
      </c>
      <c r="G98" s="4">
        <f t="shared" si="489"/>
        <v>575.22520634740249</v>
      </c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>
        <v>-833</v>
      </c>
      <c r="AN98" s="20">
        <v>3</v>
      </c>
      <c r="AO98" s="20">
        <v>5740</v>
      </c>
      <c r="AP98" s="20">
        <v>5998</v>
      </c>
      <c r="AQ98" s="20">
        <v>-32</v>
      </c>
      <c r="AR98" s="20"/>
      <c r="AS98" s="54">
        <f>IF(RTD("tos.rtd",,AS$83,"."&amp;$B$82&amp;$AS$82&amp;"C"&amp;$A98)="N/A",0,RTD("tos.rtd",,AS$83,"."&amp;$B$82&amp;$AS$82&amp;"C"&amp;$A98))</f>
        <v>1316</v>
      </c>
      <c r="AT98" s="3">
        <f>-IF(RTD("tos.rtd",,AT$83,"."&amp;$B$82&amp;$AS$82&amp;"P"&amp;$A98)="N/A",0,RTD("tos.rtd",,AT$83,"."&amp;$B$82&amp;$AS$82&amp;"P"&amp;$A98))</f>
        <v>-34</v>
      </c>
      <c r="AU98" s="54">
        <f>IF(RTD("tos.rtd",,AU$83,"."&amp;$C$82&amp;$AU$82&amp;"C"&amp;$A98)="N/A",0,RTD("tos.rtd",,AU$83,"."&amp;$C$82&amp;$AU$82&amp;"C"&amp;$A98))</f>
        <v>882</v>
      </c>
      <c r="AV98" s="3">
        <f>-IF(RTD("tos.rtd",,AV$83,"."&amp;$C$82&amp;$AU$82&amp;"P"&amp;$A98)="N/A",0,RTD("tos.rtd",,AV$83,"."&amp;$C$82&amp;$AU$82&amp;"P"&amp;$A98))</f>
        <v>-20</v>
      </c>
      <c r="AW98" s="54">
        <f>IF(RTD("tos.rtd",,AW$83,"."&amp;$D$82&amp;$AW$82&amp;"C"&amp;$A98)="N/A",0,RTD("tos.rtd",,AW$83,"."&amp;$D$82&amp;$AW$82&amp;"C"&amp;$A98))</f>
        <v>322</v>
      </c>
      <c r="AX98" s="3">
        <f>-IF(RTD("tos.rtd",,AX$83,"."&amp;$D$82&amp;$AW$82&amp;"P"&amp;$A98)="N/A",0,RTD("tos.rtd",,AX$83,"."&amp;$D$82&amp;$AW$82&amp;"P"&amp;$A98))</f>
        <v>-164</v>
      </c>
      <c r="AY98" s="79">
        <f t="shared" si="490"/>
        <v>2302</v>
      </c>
      <c r="AZ98" s="8">
        <f t="shared" si="453"/>
        <v>5740</v>
      </c>
      <c r="BA98" s="54">
        <f>IF(RTD("tos.rtd",,BA$83,"."&amp;$B$82&amp;$AS$82&amp;"C"&amp;$A98)="N/A",0,RTD("tos.rtd",,BA$83,"."&amp;$B$82&amp;$AS$82&amp;"C"&amp;$A98))</f>
        <v>0</v>
      </c>
      <c r="BB98" s="3">
        <f>-IF(RTD("tos.rtd",,BB$83,"."&amp;$B$82&amp;$AS$82&amp;"P"&amp;$A98)="N/A",0,RTD("tos.rtd",,BB$83,"."&amp;$B$82&amp;$AS$82&amp;"P"&amp;$A98))</f>
        <v>0</v>
      </c>
      <c r="BC98" s="54">
        <f>IF(RTD("tos.rtd",,BC$83,"."&amp;$C$82&amp;$AU$82&amp;"C"&amp;$A98)="N/A",0,RTD("tos.rtd",,BC$83,"."&amp;$C$82&amp;$AU$82&amp;"C"&amp;$A98))</f>
        <v>13</v>
      </c>
      <c r="BD98" s="3">
        <f>-IF(RTD("tos.rtd",,BD$83,"."&amp;$C$82&amp;$AU$82&amp;"P"&amp;$A98)="N/A",0,RTD("tos.rtd",,BD$83,"."&amp;$C$82&amp;$AU$82&amp;"P"&amp;$A98))</f>
        <v>0</v>
      </c>
      <c r="BE98" s="54">
        <f>IF(RTD("tos.rtd",,BE$83,"."&amp;$D$82&amp;$AW$82&amp;"C"&amp;$A98)="N/A",0,RTD("tos.rtd",,BE$83,"."&amp;$D$82&amp;$AW$82&amp;"C"&amp;$A98))</f>
        <v>0</v>
      </c>
      <c r="BF98" s="3">
        <f>-IF(RTD("tos.rtd",,BF$83,"."&amp;$D$82&amp;$AW$82&amp;"P"&amp;$A98)="N/A",0,RTD("tos.rtd",,BF$83,"."&amp;$D$82&amp;$AW$82&amp;"P"&amp;$A98))</f>
        <v>0</v>
      </c>
      <c r="BG98" s="3">
        <f ca="1">+Hoja2!Y99</f>
        <v>0</v>
      </c>
      <c r="BH98" s="55">
        <f t="shared" ca="1" si="491"/>
        <v>13</v>
      </c>
      <c r="BI98" s="32" t="str">
        <f t="shared" ca="1" si="510"/>
        <v/>
      </c>
      <c r="BJ98" s="3" t="e">
        <f ca="1">IF($BP$1=1,DX98,IF(RTD("tos.rtd",,BJ$83,"."&amp;$B$82&amp;$AS$82&amp;"C"&amp;$A98)="N/A",0,RTD("tos.rtd",,BJ$83,"."&amp;$B$82&amp;$AS$82&amp;"C"&amp;$A98)))</f>
        <v>#NUM!</v>
      </c>
      <c r="BK98" s="3" t="e">
        <f ca="1">IF($BP$1=1,DY98,-IF(RTD("tos.rtd",,BK$83,"."&amp;$B$82&amp;$AS$82&amp;"P"&amp;$A98)="N/A",0,RTD("tos.rtd",,BK$83,"."&amp;$B$82&amp;$AS$82&amp;"P"&amp;$A98)))</f>
        <v>#NUM!</v>
      </c>
      <c r="BL98" s="3">
        <f ca="1">IF($BP$1=1,DZ98,IF(RTD("tos.rtd",,BL$83,"."&amp;$C$82&amp;$AU$82&amp;"C"&amp;$A98)="N/A",0,RTD("tos.rtd",,BL$83,"."&amp;$C$82&amp;$AU$82&amp;"C"&amp;$A98)))</f>
        <v>2.2552770454410329E-3</v>
      </c>
      <c r="BM98" s="3">
        <f ca="1">IF($BP$1=1,EA98,-IF(RTD("tos.rtd",,BM$83,"."&amp;$C$82&amp;$AU$82&amp;"P"&amp;$A98)="N/A",0,RTD("tos.rtd",,BM$83,"."&amp;$C$82&amp;$AU$82&amp;"P"&amp;$A98)))</f>
        <v>-2.2879972744554175E-3</v>
      </c>
      <c r="BN98" s="3">
        <f ca="1">IF($BP$1=1,EB98,IF(RTD("tos.rtd",,BN$83,"."&amp;$D$82&amp;$AW$82&amp;"C"&amp;$A98)="N/A",0,RTD("tos.rtd",,BN$83,"."&amp;$D$82&amp;$AW$82&amp;"C"&amp;$A98)))</f>
        <v>2.2930941596527501E-3</v>
      </c>
      <c r="BO98" s="3">
        <f ca="1">IF($BP$1=1,EC98,-IF(RTD("tos.rtd",,BO$83,"."&amp;$D$82&amp;$AW$82&amp;"P"&amp;$A98)="N/A",0,RTD("tos.rtd",,BO$83,"."&amp;$D$82&amp;$AW$82&amp;"P"&amp;$A98)))</f>
        <v>-1.2840832541021019E-3</v>
      </c>
      <c r="BQ98" s="3" t="e">
        <f t="shared" ca="1" si="454"/>
        <v>#NUM!</v>
      </c>
      <c r="BR98" s="3" t="e">
        <f t="shared" ca="1" si="492"/>
        <v>#NUM!</v>
      </c>
      <c r="BS98" s="3">
        <f t="shared" ca="1" si="455"/>
        <v>460629.02229413309</v>
      </c>
      <c r="BT98" s="3" t="str">
        <f t="shared" ca="1" si="492"/>
        <v/>
      </c>
      <c r="BU98" s="3">
        <f t="shared" ca="1" si="456"/>
        <v>125097.5379691448</v>
      </c>
      <c r="BV98" s="3" t="str">
        <f t="shared" ca="1" si="492"/>
        <v/>
      </c>
      <c r="BX98" s="3" t="e">
        <f t="shared" ca="1" si="457"/>
        <v>#NUM!</v>
      </c>
      <c r="BY98" s="3" t="e">
        <f t="shared" ca="1" si="507"/>
        <v>#NUM!</v>
      </c>
      <c r="BZ98" s="3">
        <f t="shared" ca="1" si="458"/>
        <v>6949.1806326487858</v>
      </c>
      <c r="CA98" s="3" t="str">
        <f t="shared" ca="1" si="507"/>
        <v/>
      </c>
      <c r="CB98" s="3">
        <f t="shared" ca="1" si="459"/>
        <v>0</v>
      </c>
      <c r="CC98" s="3" t="str">
        <f t="shared" ca="1" si="507"/>
        <v/>
      </c>
      <c r="CD98" s="3">
        <f>IF(RTD("tos.rtd",,CD$83,"."&amp;$B$82&amp;$AS$82&amp;"C"&amp;$A98)="N/A",0,RTD("tos.rtd",,CD$83,"."&amp;$B$82&amp;$AS$82&amp;"C"&amp;$A98))</f>
        <v>0</v>
      </c>
      <c r="CE98" s="3">
        <f>-IF(RTD("tos.rtd",,CE$83,"."&amp;$B$82&amp;$AS$82&amp;"P"&amp;$A98)="N/A",0,RTD("tos.rtd",,CE$83,"."&amp;$B$82&amp;$AS$82&amp;"P"&amp;$A98))</f>
        <v>0.95</v>
      </c>
      <c r="CF98" s="3">
        <f>IF(RTD("tos.rtd",,CF$83,"."&amp;$C$82&amp;$AU$82&amp;"C"&amp;$A98)="N/A",0,RTD("tos.rtd",,CF$83,"."&amp;$C$82&amp;$AU$82&amp;"C"&amp;$A98))</f>
        <v>0.15</v>
      </c>
      <c r="CG98" s="3">
        <f>-IF(RTD("tos.rtd",,CG$83,"."&amp;$C$82&amp;$AU$82&amp;"P"&amp;$A98)="N/A",0,RTD("tos.rtd",,CG$83,"."&amp;$C$82&amp;$AU$82&amp;"P"&amp;$A98))</f>
        <v>1</v>
      </c>
      <c r="CH98" s="3">
        <f>IF(RTD("tos.rtd",,CH$83,"."&amp;$D$82&amp;$AW$82&amp;"C"&amp;$A98)="N/A",0,RTD("tos.rtd",,CH$83,"."&amp;$D$82&amp;$AW$82&amp;"C"&amp;$A98))</f>
        <v>0.3</v>
      </c>
      <c r="CI98" s="3">
        <f>-IF(RTD("tos.rtd",,CI$83,"."&amp;$D$82&amp;$AW$82&amp;"P"&amp;$A98)="N/A",0,RTD("tos.rtd",,CI$83,"."&amp;$D$82&amp;$AW$82&amp;"P"&amp;$A98))</f>
        <v>0.82</v>
      </c>
      <c r="CK98" s="3">
        <f t="shared" si="511"/>
        <v>-3229.9999999999995</v>
      </c>
      <c r="CL98" s="3"/>
      <c r="CM98" s="3">
        <f t="shared" si="512"/>
        <v>11229.999999999998</v>
      </c>
      <c r="CN98" s="3"/>
      <c r="CO98" s="3">
        <f t="shared" si="513"/>
        <v>-3787.9999999999982</v>
      </c>
      <c r="CP98" s="3">
        <f t="shared" si="460"/>
        <v>4212</v>
      </c>
      <c r="CQ98" s="3">
        <f t="shared" si="461"/>
        <v>0</v>
      </c>
      <c r="CR98" s="3"/>
      <c r="CS98" s="3">
        <f t="shared" si="462"/>
        <v>13</v>
      </c>
      <c r="CT98" s="3"/>
      <c r="CU98" s="3">
        <f t="shared" si="463"/>
        <v>0</v>
      </c>
      <c r="CV98" s="3"/>
      <c r="CW98" s="3" t="e">
        <f t="shared" ca="1" si="496"/>
        <v>#NUM!</v>
      </c>
      <c r="CY98" s="3" t="e">
        <f t="shared" ca="1" si="465"/>
        <v>#NUM!</v>
      </c>
      <c r="CZ98" s="70" t="e">
        <f t="shared" ca="1" si="508"/>
        <v>#NUM!</v>
      </c>
      <c r="DA98" s="3">
        <f>IF(RTD("tos.rtd",,DA$83,"."&amp;$B$82&amp;$AS$82&amp;"C"&amp;$A98)="N/A",0,RTD("tos.rtd",,DA$83,"."&amp;$B$82&amp;$AS$82&amp;"C"&amp;$A98))</f>
        <v>0.03</v>
      </c>
      <c r="DB98" s="3">
        <f>IF(RTD("tos.rtd",,DB$83,"."&amp;$B$82&amp;$AS$82&amp;"P"&amp;$A98)="N/A",0,RTD("tos.rtd",,DB$83,"."&amp;$B$82&amp;$AS$82&amp;"P"&amp;$A98))</f>
        <v>144.12</v>
      </c>
      <c r="DC98" s="3">
        <f>IF(RTD("tos.rtd",,DC$83,"."&amp;$B$82&amp;$AS$82&amp;"C"&amp;$A98)="N/A",0,RTD("tos.rtd",,DC$83,"."&amp;$B$82&amp;$AS$82&amp;"C"&amp;$A98))</f>
        <v>0.05</v>
      </c>
      <c r="DD98" s="3">
        <f>IF(RTD("tos.rtd",,DD$83,"."&amp;$B$82&amp;$AS$82&amp;"P"&amp;$A98)="N/A",0,RTD("tos.rtd",,DD$83,"."&amp;$B$82&amp;$AS$82&amp;"P"&amp;$A98))</f>
        <v>111.5</v>
      </c>
      <c r="DE98" s="3">
        <f>IF(RTD("tos.rtd",,DE$83,"."&amp;$B$82&amp;$AS$82&amp;"C"&amp;$A98)="N/A",0,RTD("tos.rtd",,DE$83,"."&amp;$B$82&amp;$AS$82&amp;"C"&amp;$A98))</f>
        <v>0</v>
      </c>
      <c r="DF98" s="3">
        <f>IF(RTD("tos.rtd",,DF$83,"."&amp;$B$82&amp;$AS$82&amp;"P"&amp;$A98)="N/A",0,RTD("tos.rtd",,DF$83,"."&amp;$B$82&amp;$AS$82&amp;"P"&amp;$A98))</f>
        <v>108.3</v>
      </c>
      <c r="DG98" s="86">
        <f t="shared" si="497"/>
        <v>108.72000000000025</v>
      </c>
      <c r="DH98" s="3">
        <f t="shared" si="466"/>
        <v>-3598.7999999999997</v>
      </c>
      <c r="DI98" s="3">
        <f t="shared" si="467"/>
        <v>358.19999999999976</v>
      </c>
      <c r="DJ98" s="3">
        <f t="shared" si="468"/>
        <v>-5998</v>
      </c>
      <c r="DK98" s="3">
        <f t="shared" si="469"/>
        <v>32</v>
      </c>
      <c r="DL98" s="3">
        <f t="shared" si="470"/>
        <v>-3240.6</v>
      </c>
      <c r="DM98" s="3">
        <f t="shared" si="471"/>
        <v>-5966</v>
      </c>
      <c r="DN98" s="64" t="str">
        <f t="shared" si="472"/>
        <v>UNKNOWN</v>
      </c>
      <c r="DO98" s="64" t="str">
        <f t="shared" si="473"/>
        <v>UNKNOWN</v>
      </c>
      <c r="DP98" s="3">
        <f t="shared" si="474"/>
        <v>51515.819999999971</v>
      </c>
      <c r="DQ98" s="3">
        <f t="shared" si="475"/>
        <v>4431.9000000000005</v>
      </c>
      <c r="DR98" s="3" t="e">
        <f t="shared" ca="1" si="476"/>
        <v>#NUM!</v>
      </c>
      <c r="DS98" s="3">
        <f t="shared" si="477"/>
        <v>30.4</v>
      </c>
      <c r="DT98" s="3">
        <f t="shared" si="498"/>
        <v>-5998</v>
      </c>
      <c r="DU98" s="3">
        <f t="shared" si="499"/>
        <v>32</v>
      </c>
      <c r="DV98" s="3">
        <f>AM98+IF(DN98="BUY",DT98,IF(DN98="SELL",-DT98,0))</f>
        <v>-833</v>
      </c>
      <c r="DW98" s="3">
        <f t="shared" si="501"/>
        <v>3</v>
      </c>
      <c r="DX98" s="3" t="e">
        <f t="shared" ca="1" si="509"/>
        <v>#NUM!</v>
      </c>
      <c r="DY98" s="3" t="e">
        <f t="shared" ca="1" si="478"/>
        <v>#NUM!</v>
      </c>
      <c r="DZ98" s="3">
        <f t="shared" ca="1" si="502"/>
        <v>2.2552770454410329E-3</v>
      </c>
      <c r="EA98" s="3">
        <f t="shared" ca="1" si="503"/>
        <v>-2.2879972744554175E-3</v>
      </c>
      <c r="EB98" s="3">
        <f t="shared" ca="1" si="479"/>
        <v>2.2930941596527501E-3</v>
      </c>
      <c r="EC98" s="3">
        <f t="shared" ca="1" si="480"/>
        <v>-1.2840832541021019E-3</v>
      </c>
      <c r="ED98" s="63">
        <f t="shared" si="504"/>
        <v>-830</v>
      </c>
      <c r="EE98" s="59">
        <f t="shared" si="481"/>
        <v>0.88890000000000002</v>
      </c>
      <c r="EF98" s="59">
        <f t="shared" si="482"/>
        <v>1.4954000000000001</v>
      </c>
      <c r="EG98" s="59">
        <f t="shared" si="483"/>
        <v>0.26819999999999999</v>
      </c>
      <c r="EH98" s="59">
        <f t="shared" si="484"/>
        <v>0.25</v>
      </c>
      <c r="EI98" s="59">
        <f t="shared" si="485"/>
        <v>0.2172</v>
      </c>
      <c r="EJ98" s="59">
        <f t="shared" si="486"/>
        <v>0.12540000000000001</v>
      </c>
      <c r="EL98" s="3" t="str">
        <f>RTD("tos.rtd",,EL$83,"."&amp;$B$82&amp;$AS$82&amp;"C"&amp;$A98)</f>
        <v>88.89%</v>
      </c>
      <c r="EM98" s="3" t="str">
        <f>RTD("tos.rtd",,EM$83,"."&amp;$B$82&amp;$AS$82&amp;"P"&amp;$A98)</f>
        <v>149.54%</v>
      </c>
      <c r="EN98" s="3" t="str">
        <f>RTD("tos.rtd",,EN$83,"."&amp;$C$82&amp;$AU$82&amp;"C"&amp;$A98)</f>
        <v>26.82%</v>
      </c>
      <c r="EO98" s="3" t="str">
        <f>RTD("tos.rtd",,EO$83,"."&amp;$C$82&amp;$AU$82&amp;"P"&amp;$A98)</f>
        <v>--</v>
      </c>
      <c r="EP98" s="3" t="str">
        <f>RTD("tos.rtd",,EP$83,"."&amp;$D$82&amp;$AW$82&amp;"C"&amp;$A98)</f>
        <v>21.72%</v>
      </c>
      <c r="EQ98" s="3" t="str">
        <f>RTD("tos.rtd",,EQ$83,"."&amp;$D$82&amp;$AW$82&amp;"P"&amp;$A98)</f>
        <v>12.54%</v>
      </c>
      <c r="ES98" s="63" t="str">
        <f t="shared" si="487"/>
        <v>5740,-830.00</v>
      </c>
      <c r="ET98" s="64" t="str">
        <f t="shared" ca="1" si="488"/>
        <v>5740,00.00</v>
      </c>
      <c r="EU98" s="67">
        <v>562.36</v>
      </c>
      <c r="EV98" s="67" t="s">
        <v>804</v>
      </c>
      <c r="EW98" s="67">
        <v>484.74</v>
      </c>
      <c r="EX98" s="67" t="s">
        <v>805</v>
      </c>
      <c r="EY98" s="67">
        <v>5637.25</v>
      </c>
      <c r="EZ98" s="67" t="s">
        <v>806</v>
      </c>
      <c r="FA98" s="67">
        <v>19912.25</v>
      </c>
      <c r="FB98" s="67" t="s">
        <v>807</v>
      </c>
      <c r="FC98" s="67" t="s">
        <v>808</v>
      </c>
      <c r="FD98" s="67" t="s">
        <v>809</v>
      </c>
      <c r="FE98" s="68" t="s">
        <v>810</v>
      </c>
      <c r="FF98" s="68" t="s">
        <v>811</v>
      </c>
    </row>
    <row r="99" spans="1:162" s="63" customFormat="1" ht="12" customHeight="1" thickBot="1" x14ac:dyDescent="0.25">
      <c r="A99" s="2">
        <f t="shared" si="505"/>
        <v>5730</v>
      </c>
      <c r="B99" s="3">
        <f t="shared" si="449"/>
        <v>937</v>
      </c>
      <c r="C99" s="3">
        <f t="shared" si="450"/>
        <v>952</v>
      </c>
      <c r="D99" s="3">
        <f t="shared" si="451"/>
        <v>517</v>
      </c>
      <c r="E99" s="3">
        <f t="shared" ref="E99:E129" si="516">SUM(B99:D99)</f>
        <v>2406</v>
      </c>
      <c r="F99" s="4">
        <f>+$F$84/$A$84*A99</f>
        <v>5779.5740932789704</v>
      </c>
      <c r="G99" s="4">
        <f t="shared" ref="G99:G130" si="517">+$G$84/$A$84*A99</f>
        <v>574.2230718415708</v>
      </c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20"/>
      <c r="AM99" s="20">
        <v>-44</v>
      </c>
      <c r="AN99" s="20">
        <v>42</v>
      </c>
      <c r="AO99" s="20">
        <v>5730</v>
      </c>
      <c r="AP99" s="20">
        <v>9543</v>
      </c>
      <c r="AQ99" s="20">
        <v>-96</v>
      </c>
      <c r="AR99" s="20"/>
      <c r="AS99" s="54">
        <f>IF(RTD("tos.rtd",,AS$83,"."&amp;$B$82&amp;$AS$82&amp;"C"&amp;$A99)="N/A",0,RTD("tos.rtd",,AS$83,"."&amp;$B$82&amp;$AS$82&amp;"C"&amp;$A99))</f>
        <v>903</v>
      </c>
      <c r="AT99" s="3">
        <f>-IF(RTD("tos.rtd",,AT$83,"."&amp;$B$82&amp;$AS$82&amp;"P"&amp;$A99)="N/A",0,RTD("tos.rtd",,AT$83,"."&amp;$B$82&amp;$AS$82&amp;"P"&amp;$A99))</f>
        <v>-34</v>
      </c>
      <c r="AU99" s="54">
        <f>IF(RTD("tos.rtd",,AU$83,"."&amp;$C$82&amp;$AU$82&amp;"C"&amp;$A99)="N/A",0,RTD("tos.rtd",,AU$83,"."&amp;$C$82&amp;$AU$82&amp;"C"&amp;$A99))</f>
        <v>862</v>
      </c>
      <c r="AV99" s="3">
        <f>-IF(RTD("tos.rtd",,AV$83,"."&amp;$C$82&amp;$AU$82&amp;"P"&amp;$A99)="N/A",0,RTD("tos.rtd",,AV$83,"."&amp;$C$82&amp;$AU$82&amp;"P"&amp;$A99))</f>
        <v>-90</v>
      </c>
      <c r="AW99" s="54">
        <f>IF(RTD("tos.rtd",,AW$83,"."&amp;$D$82&amp;$AW$82&amp;"C"&amp;$A99)="N/A",0,RTD("tos.rtd",,AW$83,"."&amp;$D$82&amp;$AW$82&amp;"C"&amp;$A99))</f>
        <v>411</v>
      </c>
      <c r="AX99" s="3">
        <f>-IF(RTD("tos.rtd",,AX$83,"."&amp;$D$82&amp;$AW$82&amp;"P"&amp;$A99)="N/A",0,RTD("tos.rtd",,AX$83,"."&amp;$D$82&amp;$AW$82&amp;"P"&amp;$A99))</f>
        <v>-106</v>
      </c>
      <c r="AY99" s="79">
        <f t="shared" ref="AY99:AY130" si="518">SUM(AS99:AX99)</f>
        <v>1946</v>
      </c>
      <c r="AZ99" s="8">
        <f t="shared" si="453"/>
        <v>5730</v>
      </c>
      <c r="BA99" s="54">
        <f>IF(RTD("tos.rtd",,BA$83,"."&amp;$B$82&amp;$AS$82&amp;"C"&amp;$A99)="N/A",0,RTD("tos.rtd",,BA$83,"."&amp;$B$82&amp;$AS$82&amp;"C"&amp;$A99))</f>
        <v>0</v>
      </c>
      <c r="BB99" s="3">
        <f>-IF(RTD("tos.rtd",,BB$83,"."&amp;$B$82&amp;$AS$82&amp;"P"&amp;$A99)="N/A",0,RTD("tos.rtd",,BB$83,"."&amp;$B$82&amp;$AS$82&amp;"P"&amp;$A99))</f>
        <v>0</v>
      </c>
      <c r="BC99" s="54">
        <f>IF(RTD("tos.rtd",,BC$83,"."&amp;$C$82&amp;$AU$82&amp;"C"&amp;$A99)="N/A",0,RTD("tos.rtd",,BC$83,"."&amp;$C$82&amp;$AU$82&amp;"C"&amp;$A99))</f>
        <v>1</v>
      </c>
      <c r="BD99" s="3">
        <f>-IF(RTD("tos.rtd",,BD$83,"."&amp;$C$82&amp;$AU$82&amp;"P"&amp;$A99)="N/A",0,RTD("tos.rtd",,BD$83,"."&amp;$C$82&amp;$AU$82&amp;"P"&amp;$A99))</f>
        <v>0</v>
      </c>
      <c r="BE99" s="54">
        <f>IF(RTD("tos.rtd",,BE$83,"."&amp;$D$82&amp;$AW$82&amp;"C"&amp;$A99)="N/A",0,RTD("tos.rtd",,BE$83,"."&amp;$D$82&amp;$AW$82&amp;"C"&amp;$A99))</f>
        <v>0</v>
      </c>
      <c r="BF99" s="3">
        <f>-IF(RTD("tos.rtd",,BF$83,"."&amp;$D$82&amp;$AW$82&amp;"P"&amp;$A99)="N/A",0,RTD("tos.rtd",,BF$83,"."&amp;$D$82&amp;$AW$82&amp;"P"&amp;$A99))</f>
        <v>0</v>
      </c>
      <c r="BG99" s="3">
        <f ca="1">+Hoja2!Y100</f>
        <v>0</v>
      </c>
      <c r="BH99" s="55">
        <f t="shared" ca="1" si="491"/>
        <v>1</v>
      </c>
      <c r="BI99" s="32" t="str">
        <f t="shared" ca="1" si="510"/>
        <v/>
      </c>
      <c r="BJ99" s="3" t="e">
        <f ca="1">IF($BP$1=1,DX99,IF(RTD("tos.rtd",,BJ$83,"."&amp;$B$82&amp;$AS$82&amp;"C"&amp;$A99)="N/A",0,RTD("tos.rtd",,BJ$83,"."&amp;$B$82&amp;$AS$82&amp;"C"&amp;$A99)))</f>
        <v>#NUM!</v>
      </c>
      <c r="BK99" s="3" t="e">
        <f ca="1">IF($BP$1=1,DY99,-IF(RTD("tos.rtd",,BK$83,"."&amp;$B$82&amp;$AS$82&amp;"P"&amp;$A99)="N/A",0,RTD("tos.rtd",,BK$83,"."&amp;$B$82&amp;$AS$82&amp;"P"&amp;$A99)))</f>
        <v>#NUM!</v>
      </c>
      <c r="BL99" s="3">
        <f ca="1">IF($BP$1=1,DZ99,IF(RTD("tos.rtd",,BL$83,"."&amp;$C$82&amp;$AU$82&amp;"C"&amp;$A99)="N/A",0,RTD("tos.rtd",,BL$83,"."&amp;$C$82&amp;$AU$82&amp;"C"&amp;$A99)))</f>
        <v>2.3852131233636532E-3</v>
      </c>
      <c r="BM99" s="3">
        <f ca="1">IF($BP$1=1,EA99,-IF(RTD("tos.rtd",,BM$83,"."&amp;$C$82&amp;$AU$82&amp;"P"&amp;$A99)="N/A",0,RTD("tos.rtd",,BM$83,"."&amp;$C$82&amp;$AU$82&amp;"P"&amp;$A99)))</f>
        <v>-2.4645987501553069E-3</v>
      </c>
      <c r="BN99" s="3">
        <f ca="1">IF($BP$1=1,EB99,IF(RTD("tos.rtd",,BN$83,"."&amp;$D$82&amp;$AW$82&amp;"C"&amp;$A99)="N/A",0,RTD("tos.rtd",,BN$83,"."&amp;$D$82&amp;$AW$82&amp;"C"&amp;$A99)))</f>
        <v>2.5284230031561434E-3</v>
      </c>
      <c r="BO99" s="3">
        <f ca="1">IF($BP$1=1,EC99,-IF(RTD("tos.rtd",,BO$83,"."&amp;$D$82&amp;$AW$82&amp;"P"&amp;$A99)="N/A",0,RTD("tos.rtd",,BO$83,"."&amp;$D$82&amp;$AW$82&amp;"P"&amp;$A99)))</f>
        <v>-1.9274233107498206E-3</v>
      </c>
      <c r="BQ99" s="3" t="e">
        <f t="shared" ca="1" si="454"/>
        <v>#NUM!</v>
      </c>
      <c r="BR99" s="3" t="e">
        <f t="shared" ca="1" si="492"/>
        <v>#NUM!</v>
      </c>
      <c r="BS99" s="3">
        <f t="shared" ca="1" si="455"/>
        <v>434756.88384602609</v>
      </c>
      <c r="BT99" s="3" t="str">
        <f t="shared" ca="1" si="492"/>
        <v/>
      </c>
      <c r="BU99" s="3">
        <f t="shared" ca="1" si="456"/>
        <v>197884.50847757951</v>
      </c>
      <c r="BV99" s="3" t="str">
        <f t="shared" ca="1" si="492"/>
        <v/>
      </c>
      <c r="BX99" s="3" t="e">
        <f t="shared" ca="1" si="457"/>
        <v>#NUM!</v>
      </c>
      <c r="BY99" s="3" t="e">
        <f t="shared" ca="1" si="507"/>
        <v>#NUM!</v>
      </c>
      <c r="BZ99" s="3">
        <f t="shared" ca="1" si="458"/>
        <v>565.35018528500621</v>
      </c>
      <c r="CA99" s="3" t="str">
        <f t="shared" ca="1" si="507"/>
        <v/>
      </c>
      <c r="CB99" s="3">
        <f t="shared" ca="1" si="459"/>
        <v>0</v>
      </c>
      <c r="CC99" s="3" t="str">
        <f t="shared" ca="1" si="507"/>
        <v/>
      </c>
      <c r="CD99" s="3">
        <f>IF(RTD("tos.rtd",,CD$83,"."&amp;$B$82&amp;$AS$82&amp;"C"&amp;$A99)="N/A",0,RTD("tos.rtd",,CD$83,"."&amp;$B$82&amp;$AS$82&amp;"C"&amp;$A99))</f>
        <v>0</v>
      </c>
      <c r="CE99" s="3">
        <f>-IF(RTD("tos.rtd",,CE$83,"."&amp;$B$82&amp;$AS$82&amp;"P"&amp;$A99)="N/A",0,RTD("tos.rtd",,CE$83,"."&amp;$B$82&amp;$AS$82&amp;"P"&amp;$A99))</f>
        <v>0.95</v>
      </c>
      <c r="CF99" s="3">
        <f>IF(RTD("tos.rtd",,CF$83,"."&amp;$C$82&amp;$AU$82&amp;"C"&amp;$A99)="N/A",0,RTD("tos.rtd",,CF$83,"."&amp;$C$82&amp;$AU$82&amp;"C"&amp;$A99))</f>
        <v>0.18</v>
      </c>
      <c r="CG99" s="3">
        <f>-IF(RTD("tos.rtd",,CG$83,"."&amp;$C$82&amp;$AU$82&amp;"P"&amp;$A99)="N/A",0,RTD("tos.rtd",,CG$83,"."&amp;$C$82&amp;$AU$82&amp;"P"&amp;$A99))</f>
        <v>1</v>
      </c>
      <c r="CH99" s="3">
        <f>IF(RTD("tos.rtd",,CH$83,"."&amp;$D$82&amp;$AW$82&amp;"C"&amp;$A99)="N/A",0,RTD("tos.rtd",,CH$83,"."&amp;$D$82&amp;$AW$82&amp;"C"&amp;$A99))</f>
        <v>0.32</v>
      </c>
      <c r="CI99" s="3">
        <f>-IF(RTD("tos.rtd",,CI$83,"."&amp;$D$82&amp;$AW$82&amp;"P"&amp;$A99)="N/A",0,RTD("tos.rtd",,CI$83,"."&amp;$D$82&amp;$AW$82&amp;"P"&amp;$A99))</f>
        <v>0.78</v>
      </c>
      <c r="CK99" s="3">
        <f t="shared" si="493"/>
        <v>-3229.9999999999995</v>
      </c>
      <c r="CL99" s="3"/>
      <c r="CM99" s="3">
        <f t="shared" si="494"/>
        <v>6516</v>
      </c>
      <c r="CN99" s="3"/>
      <c r="CO99" s="3">
        <f t="shared" si="495"/>
        <v>4884.0000000000018</v>
      </c>
      <c r="CP99" s="3">
        <f t="shared" si="460"/>
        <v>8170.0000000000018</v>
      </c>
      <c r="CQ99" s="3">
        <f t="shared" si="461"/>
        <v>0</v>
      </c>
      <c r="CR99" s="3"/>
      <c r="CS99" s="3">
        <f t="shared" si="462"/>
        <v>1</v>
      </c>
      <c r="CT99" s="3"/>
      <c r="CU99" s="3">
        <f t="shared" si="463"/>
        <v>0</v>
      </c>
      <c r="CV99" s="3"/>
      <c r="CW99" s="3" t="e">
        <f t="shared" ca="1" si="464"/>
        <v>#NUM!</v>
      </c>
      <c r="CY99" s="3" t="e">
        <f t="shared" ca="1" si="465"/>
        <v>#NUM!</v>
      </c>
      <c r="CZ99" s="70" t="e">
        <f t="shared" ca="1" si="508"/>
        <v>#NUM!</v>
      </c>
      <c r="DA99" s="3">
        <f>IF(RTD("tos.rtd",,DA$83,"."&amp;$B$82&amp;$AS$82&amp;"C"&amp;$A99)="N/A",0,RTD("tos.rtd",,DA$83,"."&amp;$B$82&amp;$AS$82&amp;"C"&amp;$A99))</f>
        <v>0.02</v>
      </c>
      <c r="DB99" s="3">
        <f>IF(RTD("tos.rtd",,DB$83,"."&amp;$B$82&amp;$AS$82&amp;"P"&amp;$A99)="N/A",0,RTD("tos.rtd",,DB$83,"."&amp;$B$82&amp;$AS$82&amp;"P"&amp;$A99))</f>
        <v>129.57</v>
      </c>
      <c r="DC99" s="3">
        <f>IF(RTD("tos.rtd",,DC$83,"."&amp;$B$82&amp;$AS$82&amp;"C"&amp;$A99)="N/A",0,RTD("tos.rtd",,DC$83,"."&amp;$B$82&amp;$AS$82&amp;"C"&amp;$A99))</f>
        <v>0.05</v>
      </c>
      <c r="DD99" s="3">
        <f>IF(RTD("tos.rtd",,DD$83,"."&amp;$B$82&amp;$AS$82&amp;"P"&amp;$A99)="N/A",0,RTD("tos.rtd",,DD$83,"."&amp;$B$82&amp;$AS$82&amp;"P"&amp;$A99))</f>
        <v>101.5</v>
      </c>
      <c r="DE99" s="3">
        <f>IF(RTD("tos.rtd",,DE$83,"."&amp;$B$82&amp;$AS$82&amp;"C"&amp;$A99)="N/A",0,RTD("tos.rtd",,DE$83,"."&amp;$B$82&amp;$AS$82&amp;"C"&amp;$A99))</f>
        <v>0</v>
      </c>
      <c r="DF99" s="3">
        <f>IF(RTD("tos.rtd",,DF$83,"."&amp;$B$82&amp;$AS$82&amp;"P"&amp;$A99)="N/A",0,RTD("tos.rtd",,DF$83,"."&amp;$B$82&amp;$AS$82&amp;"P"&amp;$A99))</f>
        <v>98.3</v>
      </c>
      <c r="DG99" s="86">
        <f t="shared" si="497"/>
        <v>98.720000000000255</v>
      </c>
      <c r="DH99" s="3">
        <f t="shared" si="466"/>
        <v>-3817.2</v>
      </c>
      <c r="DI99" s="3">
        <f t="shared" si="467"/>
        <v>938.09999999999911</v>
      </c>
      <c r="DJ99" s="3">
        <f t="shared" si="468"/>
        <v>9543</v>
      </c>
      <c r="DK99" s="3">
        <f t="shared" si="469"/>
        <v>96</v>
      </c>
      <c r="DL99" s="3">
        <f t="shared" si="470"/>
        <v>-2879.1000000000008</v>
      </c>
      <c r="DM99" s="3">
        <f t="shared" si="471"/>
        <v>9639</v>
      </c>
      <c r="DN99" s="64" t="str">
        <f>IF(AND(DA99&gt;=(DE99+(DC99-DE99)*0.6),BA99&gt;AP99),"BUY",IF(AND(DA99&lt;=(DE99+(DC99-DE99)*0.4),BA99&gt;AP99),"SELL","UNKNOWN"))</f>
        <v>UNKNOWN</v>
      </c>
      <c r="DO99" s="64" t="str">
        <f t="shared" si="473"/>
        <v>UNKNOWN</v>
      </c>
      <c r="DP99" s="3">
        <f t="shared" si="474"/>
        <v>121473.27299999988</v>
      </c>
      <c r="DQ99" s="3">
        <f t="shared" si="475"/>
        <v>12629.58</v>
      </c>
      <c r="DR99" s="3" t="e">
        <f t="shared" ca="1" si="476"/>
        <v>#NUM!</v>
      </c>
      <c r="DS99" s="3">
        <f t="shared" si="477"/>
        <v>91.199999999999989</v>
      </c>
      <c r="DT99" s="3">
        <f t="shared" si="498"/>
        <v>-9543</v>
      </c>
      <c r="DU99" s="3">
        <f t="shared" si="499"/>
        <v>96</v>
      </c>
      <c r="DV99" s="3">
        <f t="shared" si="500"/>
        <v>-44</v>
      </c>
      <c r="DW99" s="3">
        <f t="shared" si="501"/>
        <v>42</v>
      </c>
      <c r="DX99" s="3" t="e">
        <f t="shared" ca="1" si="509"/>
        <v>#NUM!</v>
      </c>
      <c r="DY99" s="3" t="e">
        <f t="shared" ca="1" si="478"/>
        <v>#NUM!</v>
      </c>
      <c r="DZ99" s="3">
        <f t="shared" ca="1" si="502"/>
        <v>2.3852131233636532E-3</v>
      </c>
      <c r="EA99" s="3">
        <f t="shared" ca="1" si="503"/>
        <v>-2.4645987501553069E-3</v>
      </c>
      <c r="EB99" s="3">
        <f t="shared" ca="1" si="479"/>
        <v>2.5284230031561434E-3</v>
      </c>
      <c r="EC99" s="3">
        <f t="shared" ca="1" si="480"/>
        <v>-1.9274233107498206E-3</v>
      </c>
      <c r="ED99" s="63">
        <f t="shared" si="504"/>
        <v>-2</v>
      </c>
      <c r="EE99" s="59">
        <f t="shared" si="481"/>
        <v>0.81530000000000002</v>
      </c>
      <c r="EF99" s="59">
        <f t="shared" si="482"/>
        <v>1.3852</v>
      </c>
      <c r="EG99" s="59">
        <f t="shared" si="483"/>
        <v>0.27389999999999998</v>
      </c>
      <c r="EH99" s="59">
        <f t="shared" si="484"/>
        <v>0.25</v>
      </c>
      <c r="EI99" s="59">
        <f t="shared" si="485"/>
        <v>0.22009999999999999</v>
      </c>
      <c r="EJ99" s="59">
        <f t="shared" si="486"/>
        <v>0.1341</v>
      </c>
      <c r="EL99" s="3" t="str">
        <f>RTD("tos.rtd",,EL$83,"."&amp;$B$82&amp;$AS$82&amp;"C"&amp;$A99)</f>
        <v>81.53%</v>
      </c>
      <c r="EM99" s="3" t="str">
        <f>RTD("tos.rtd",,EM$83,"."&amp;$B$82&amp;$AS$82&amp;"P"&amp;$A99)</f>
        <v>138.52%</v>
      </c>
      <c r="EN99" s="3" t="str">
        <f>RTD("tos.rtd",,EN$83,"."&amp;$C$82&amp;$AU$82&amp;"C"&amp;$A99)</f>
        <v>27.39%</v>
      </c>
      <c r="EO99" s="3" t="str">
        <f>RTD("tos.rtd",,EO$83,"."&amp;$C$82&amp;$AU$82&amp;"P"&amp;$A99)</f>
        <v>--</v>
      </c>
      <c r="EP99" s="3" t="str">
        <f>RTD("tos.rtd",,EP$83,"."&amp;$D$82&amp;$AW$82&amp;"C"&amp;$A99)</f>
        <v>22.01%</v>
      </c>
      <c r="EQ99" s="3" t="str">
        <f>RTD("tos.rtd",,EQ$83,"."&amp;$D$82&amp;$AW$82&amp;"P"&amp;$A99)</f>
        <v>13.41%</v>
      </c>
      <c r="ES99" s="63" t="str">
        <f t="shared" si="487"/>
        <v>5730,-02.00</v>
      </c>
      <c r="ET99" s="64" t="str">
        <f t="shared" ca="1" si="488"/>
        <v>5730,00.00</v>
      </c>
      <c r="EU99" s="67">
        <v>562.52</v>
      </c>
      <c r="EV99" s="67" t="s">
        <v>812</v>
      </c>
      <c r="EW99" s="67">
        <v>484.87</v>
      </c>
      <c r="EX99" s="67" t="s">
        <v>813</v>
      </c>
      <c r="EY99" s="67">
        <v>5639</v>
      </c>
      <c r="EZ99" s="67" t="s">
        <v>814</v>
      </c>
      <c r="FA99" s="67">
        <v>19917.75</v>
      </c>
      <c r="FB99" s="67" t="s">
        <v>815</v>
      </c>
      <c r="FC99" s="67" t="s">
        <v>816</v>
      </c>
      <c r="FD99" s="67" t="s">
        <v>817</v>
      </c>
      <c r="FE99" s="68" t="s">
        <v>818</v>
      </c>
      <c r="FF99" s="68" t="s">
        <v>819</v>
      </c>
    </row>
    <row r="100" spans="1:162" s="63" customFormat="1" ht="12" customHeight="1" thickBot="1" x14ac:dyDescent="0.25">
      <c r="A100" s="2">
        <f t="shared" si="505"/>
        <v>5720</v>
      </c>
      <c r="B100" s="3">
        <f t="shared" si="449"/>
        <v>1076</v>
      </c>
      <c r="C100" s="3">
        <f t="shared" si="450"/>
        <v>0</v>
      </c>
      <c r="D100" s="3">
        <f t="shared" si="451"/>
        <v>628</v>
      </c>
      <c r="E100" s="3">
        <f t="shared" si="516"/>
        <v>1704</v>
      </c>
      <c r="F100" s="4">
        <f t="shared" ref="F100:F129" si="519">+$F$84/$A$84*A100</f>
        <v>5769.4875765367733</v>
      </c>
      <c r="G100" s="4">
        <f t="shared" si="517"/>
        <v>573.22093733573899</v>
      </c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20"/>
      <c r="AM100" s="20">
        <v>850</v>
      </c>
      <c r="AN100" s="20">
        <v>52</v>
      </c>
      <c r="AO100" s="20">
        <v>5720</v>
      </c>
      <c r="AP100" s="20">
        <v>10596</v>
      </c>
      <c r="AQ100" s="20">
        <v>-289</v>
      </c>
      <c r="AR100" s="20"/>
      <c r="AS100" s="54">
        <f>IF(RTD("tos.rtd",,AS$83,"."&amp;$B$82&amp;$AS$82&amp;"C"&amp;$A100)="N/A",0,RTD("tos.rtd",,AS$83,"."&amp;$B$82&amp;$AS$82&amp;"C"&amp;$A100))</f>
        <v>983</v>
      </c>
      <c r="AT100" s="3">
        <f>-IF(RTD("tos.rtd",,AT$83,"."&amp;$B$82&amp;$AS$82&amp;"P"&amp;$A100)="N/A",0,RTD("tos.rtd",,AT$83,"."&amp;$B$82&amp;$AS$82&amp;"P"&amp;$A100))</f>
        <v>-93</v>
      </c>
      <c r="AU100" s="54">
        <f>IF(RTD("tos.rtd",,AU$83,"."&amp;$C$82&amp;$AU$82&amp;"C"&amp;$A100)="N/A",0,RTD("tos.rtd",,AU$83,"."&amp;$C$82&amp;$AU$82&amp;"C"&amp;$A100))</f>
        <v>0</v>
      </c>
      <c r="AV100" s="3">
        <f>-IF(RTD("tos.rtd",,AV$83,"."&amp;$C$82&amp;$AU$82&amp;"P"&amp;$A100)="N/A",0,RTD("tos.rtd",,AV$83,"."&amp;$C$82&amp;$AU$82&amp;"P"&amp;$A100))</f>
        <v>0</v>
      </c>
      <c r="AW100" s="54">
        <f>IF(RTD("tos.rtd",,AW$83,"."&amp;$D$82&amp;$AW$82&amp;"C"&amp;$A100)="N/A",0,RTD("tos.rtd",,AW$83,"."&amp;$D$82&amp;$AW$82&amp;"C"&amp;$A100))</f>
        <v>462</v>
      </c>
      <c r="AX100" s="3">
        <f>-IF(RTD("tos.rtd",,AX$83,"."&amp;$D$82&amp;$AW$82&amp;"P"&amp;$A100)="N/A",0,RTD("tos.rtd",,AX$83,"."&amp;$D$82&amp;$AW$82&amp;"P"&amp;$A100))</f>
        <v>-166</v>
      </c>
      <c r="AY100" s="79">
        <f t="shared" si="518"/>
        <v>1186</v>
      </c>
      <c r="AZ100" s="8">
        <f t="shared" si="453"/>
        <v>5720</v>
      </c>
      <c r="BA100" s="54">
        <f>IF(RTD("tos.rtd",,BA$83,"."&amp;$B$82&amp;$AS$82&amp;"C"&amp;$A100)="N/A",0,RTD("tos.rtd",,BA$83,"."&amp;$B$82&amp;$AS$82&amp;"C"&amp;$A100))</f>
        <v>0</v>
      </c>
      <c r="BB100" s="3">
        <f>-IF(RTD("tos.rtd",,BB$83,"."&amp;$B$82&amp;$AS$82&amp;"P"&amp;$A100)="N/A",0,RTD("tos.rtd",,BB$83,"."&amp;$B$82&amp;$AS$82&amp;"P"&amp;$A100))</f>
        <v>0</v>
      </c>
      <c r="BC100" s="54">
        <f>IF(RTD("tos.rtd",,BC$83,"."&amp;$C$82&amp;$AU$82&amp;"C"&amp;$A100)="N/A",0,RTD("tos.rtd",,BC$83,"."&amp;$C$82&amp;$AU$82&amp;"C"&amp;$A100))</f>
        <v>0</v>
      </c>
      <c r="BD100" s="3">
        <f>-IF(RTD("tos.rtd",,BD$83,"."&amp;$C$82&amp;$AU$82&amp;"P"&amp;$A100)="N/A",0,RTD("tos.rtd",,BD$83,"."&amp;$C$82&amp;$AU$82&amp;"P"&amp;$A100))</f>
        <v>0</v>
      </c>
      <c r="BE100" s="54">
        <f>IF(RTD("tos.rtd",,BE$83,"."&amp;$D$82&amp;$AW$82&amp;"C"&amp;$A100)="N/A",0,RTD("tos.rtd",,BE$83,"."&amp;$D$82&amp;$AW$82&amp;"C"&amp;$A100))</f>
        <v>0</v>
      </c>
      <c r="BF100" s="3">
        <f>-IF(RTD("tos.rtd",,BF$83,"."&amp;$D$82&amp;$AW$82&amp;"P"&amp;$A100)="N/A",0,RTD("tos.rtd",,BF$83,"."&amp;$D$82&amp;$AW$82&amp;"P"&amp;$A100))</f>
        <v>0</v>
      </c>
      <c r="BG100" s="3">
        <f ca="1">+Hoja2!Y101</f>
        <v>0</v>
      </c>
      <c r="BH100" s="55">
        <f t="shared" ca="1" si="491"/>
        <v>0</v>
      </c>
      <c r="BI100" s="32" t="str">
        <f t="shared" ca="1" si="510"/>
        <v/>
      </c>
      <c r="BJ100" s="3" t="e">
        <f ca="1">IF($BP$1=1,DX100,IF(RTD("tos.rtd",,BJ$83,"."&amp;$B$82&amp;$AS$82&amp;"C"&amp;$A100)="N/A",0,RTD("tos.rtd",,BJ$83,"."&amp;$B$82&amp;$AS$82&amp;"C"&amp;$A100)))</f>
        <v>#NUM!</v>
      </c>
      <c r="BK100" s="3" t="e">
        <f ca="1">IF($BP$1=1,DY100,-IF(RTD("tos.rtd",,BK$83,"."&amp;$B$82&amp;$AS$82&amp;"P"&amp;$A100)="N/A",0,RTD("tos.rtd",,BK$83,"."&amp;$B$82&amp;$AS$82&amp;"P"&amp;$A100)))</f>
        <v>#NUM!</v>
      </c>
      <c r="BL100" s="3">
        <f ca="1">IF($BP$1=1,DZ100,IF(RTD("tos.rtd",,BL$83,"."&amp;$C$82&amp;$AU$82&amp;"C"&amp;$A100)="N/A",0,RTD("tos.rtd",,BL$83,"."&amp;$C$82&amp;$AU$82&amp;"C"&amp;$A100)))</f>
        <v>2.6358164091512871E-3</v>
      </c>
      <c r="BM100" s="3">
        <f ca="1">IF($BP$1=1,EA100,-IF(RTD("tos.rtd",,BM$83,"."&amp;$C$82&amp;$AU$82&amp;"P"&amp;$A100)="N/A",0,RTD("tos.rtd",,BM$83,"."&amp;$C$82&amp;$AU$82&amp;"P"&amp;$A100)))</f>
        <v>-2.6358164091512871E-3</v>
      </c>
      <c r="BN100" s="3">
        <f ca="1">IF($BP$1=1,EB100,IF(RTD("tos.rtd",,BN$83,"."&amp;$D$82&amp;$AW$82&amp;"C"&amp;$A100)="N/A",0,RTD("tos.rtd",,BN$83,"."&amp;$D$82&amp;$AW$82&amp;"C"&amp;$A100)))</f>
        <v>2.7468399661073604E-3</v>
      </c>
      <c r="BO100" s="3">
        <f ca="1">IF($BP$1=1,EC100,-IF(RTD("tos.rtd",,BO$83,"."&amp;$D$82&amp;$AW$82&amp;"P"&amp;$A100)="N/A",0,RTD("tos.rtd",,BO$83,"."&amp;$D$82&amp;$AW$82&amp;"P"&amp;$A100)))</f>
        <v>-2.5498353578405804E-3</v>
      </c>
      <c r="BQ100" s="3" t="e">
        <f t="shared" ca="1" si="454"/>
        <v>#NUM!</v>
      </c>
      <c r="BR100" s="3" t="e">
        <f t="shared" ca="1" si="492"/>
        <v>#NUM!</v>
      </c>
      <c r="BS100" s="3">
        <f t="shared" ca="1" si="455"/>
        <v>0</v>
      </c>
      <c r="BT100" s="3" t="str">
        <f t="shared" ca="1" si="492"/>
        <v/>
      </c>
      <c r="BU100" s="3">
        <f t="shared" ca="1" si="456"/>
        <v>200466.25970390573</v>
      </c>
      <c r="BV100" s="3" t="str">
        <f t="shared" ca="1" si="492"/>
        <v/>
      </c>
      <c r="BX100" s="3" t="e">
        <f t="shared" ca="1" si="457"/>
        <v>#NUM!</v>
      </c>
      <c r="BY100" s="3" t="e">
        <f t="shared" ca="1" si="507"/>
        <v>#NUM!</v>
      </c>
      <c r="BZ100" s="3">
        <f t="shared" ca="1" si="458"/>
        <v>0</v>
      </c>
      <c r="CA100" s="3" t="str">
        <f t="shared" ca="1" si="507"/>
        <v/>
      </c>
      <c r="CB100" s="3">
        <f t="shared" ca="1" si="459"/>
        <v>0</v>
      </c>
      <c r="CC100" s="3" t="str">
        <f t="shared" ca="1" si="507"/>
        <v/>
      </c>
      <c r="CD100" s="3">
        <f>IF(RTD("tos.rtd",,CD$83,"."&amp;$B$82&amp;$AS$82&amp;"C"&amp;$A100)="N/A",0,RTD("tos.rtd",,CD$83,"."&amp;$B$82&amp;$AS$82&amp;"C"&amp;$A100))</f>
        <v>0</v>
      </c>
      <c r="CE100" s="3">
        <f>-IF(RTD("tos.rtd",,CE$83,"."&amp;$B$82&amp;$AS$82&amp;"P"&amp;$A100)="N/A",0,RTD("tos.rtd",,CE$83,"."&amp;$B$82&amp;$AS$82&amp;"P"&amp;$A100))</f>
        <v>0.95</v>
      </c>
      <c r="CF100" s="3">
        <f>IF(RTD("tos.rtd",,CF$83,"."&amp;$C$82&amp;$AU$82&amp;"C"&amp;$A100)="N/A",0,RTD("tos.rtd",,CF$83,"."&amp;$C$82&amp;$AU$82&amp;"C"&amp;$A100))</f>
        <v>0</v>
      </c>
      <c r="CG100" s="3">
        <f>-IF(RTD("tos.rtd",,CG$83,"."&amp;$C$82&amp;$AU$82&amp;"P"&amp;$A100)="N/A",0,RTD("tos.rtd",,CG$83,"."&amp;$C$82&amp;$AU$82&amp;"P"&amp;$A100))</f>
        <v>0</v>
      </c>
      <c r="CH100" s="3">
        <f>IF(RTD("tos.rtd",,CH$83,"."&amp;$D$82&amp;$AW$82&amp;"C"&amp;$A100)="N/A",0,RTD("tos.rtd",,CH$83,"."&amp;$D$82&amp;$AW$82&amp;"C"&amp;$A100))</f>
        <v>0.34</v>
      </c>
      <c r="CI100" s="3">
        <f>-IF(RTD("tos.rtd",,CI$83,"."&amp;$D$82&amp;$AW$82&amp;"P"&amp;$A100)="N/A",0,RTD("tos.rtd",,CI$83,"."&amp;$D$82&amp;$AW$82&amp;"P"&amp;$A100))</f>
        <v>0.74</v>
      </c>
      <c r="CK100" s="3">
        <f t="shared" si="493"/>
        <v>-8835</v>
      </c>
      <c r="CL100" s="3"/>
      <c r="CM100" s="3">
        <f t="shared" si="494"/>
        <v>0</v>
      </c>
      <c r="CN100" s="3"/>
      <c r="CO100" s="3">
        <f t="shared" si="495"/>
        <v>3424.0000000000018</v>
      </c>
      <c r="CP100" s="3">
        <f t="shared" si="460"/>
        <v>-5410.9999999999982</v>
      </c>
      <c r="CQ100" s="3">
        <f t="shared" si="461"/>
        <v>0</v>
      </c>
      <c r="CR100" s="3"/>
      <c r="CS100" s="3">
        <f t="shared" si="462"/>
        <v>0</v>
      </c>
      <c r="CT100" s="3"/>
      <c r="CU100" s="3">
        <f t="shared" si="463"/>
        <v>0</v>
      </c>
      <c r="CV100" s="3"/>
      <c r="CW100" s="3" t="e">
        <f t="shared" ca="1" si="464"/>
        <v>#NUM!</v>
      </c>
      <c r="CY100" s="3" t="e">
        <f t="shared" ca="1" si="465"/>
        <v>#NUM!</v>
      </c>
      <c r="CZ100" s="70" t="e">
        <f t="shared" ca="1" si="508"/>
        <v>#NUM!</v>
      </c>
      <c r="DA100" s="3">
        <f>IF(RTD("tos.rtd",,DA$83,"."&amp;$B$82&amp;$AS$82&amp;"C"&amp;$A100)="N/A",0,RTD("tos.rtd",,DA$83,"."&amp;$B$82&amp;$AS$82&amp;"C"&amp;$A100))</f>
        <v>0.04</v>
      </c>
      <c r="DB100" s="3">
        <f>IF(RTD("tos.rtd",,DB$83,"."&amp;$B$82&amp;$AS$82&amp;"P"&amp;$A100)="N/A",0,RTD("tos.rtd",,DB$83,"."&amp;$B$82&amp;$AS$82&amp;"P"&amp;$A100))</f>
        <v>89.14</v>
      </c>
      <c r="DC100" s="3">
        <f>IF(RTD("tos.rtd",,DC$83,"."&amp;$B$82&amp;$AS$82&amp;"C"&amp;$A100)="N/A",0,RTD("tos.rtd",,DC$83,"."&amp;$B$82&amp;$AS$82&amp;"C"&amp;$A100))</f>
        <v>0.05</v>
      </c>
      <c r="DD100" s="3">
        <f>IF(RTD("tos.rtd",,DD$83,"."&amp;$B$82&amp;$AS$82&amp;"P"&amp;$A100)="N/A",0,RTD("tos.rtd",,DD$83,"."&amp;$B$82&amp;$AS$82&amp;"P"&amp;$A100))</f>
        <v>91.6</v>
      </c>
      <c r="DE100" s="3">
        <f>IF(RTD("tos.rtd",,DE$83,"."&amp;$B$82&amp;$AS$82&amp;"C"&amp;$A100)="N/A",0,RTD("tos.rtd",,DE$83,"."&amp;$B$82&amp;$AS$82&amp;"C"&amp;$A100))</f>
        <v>0</v>
      </c>
      <c r="DF100" s="3">
        <f>IF(RTD("tos.rtd",,DF$83,"."&amp;$B$82&amp;$AS$82&amp;"P"&amp;$A100)="N/A",0,RTD("tos.rtd",,DF$83,"."&amp;$B$82&amp;$AS$82&amp;"P"&amp;$A100))</f>
        <v>88.3</v>
      </c>
      <c r="DG100" s="86">
        <f t="shared" si="497"/>
        <v>88.720000000000255</v>
      </c>
      <c r="DH100" s="3">
        <f t="shared" si="466"/>
        <v>-8476.7999999999993</v>
      </c>
      <c r="DI100" s="3">
        <f t="shared" si="467"/>
        <v>73.563636363636732</v>
      </c>
      <c r="DJ100" s="3">
        <f t="shared" si="468"/>
        <v>-10596</v>
      </c>
      <c r="DK100" s="3">
        <f t="shared" si="469"/>
        <v>-289</v>
      </c>
      <c r="DL100" s="3">
        <f t="shared" si="470"/>
        <v>-8403.2363636363625</v>
      </c>
      <c r="DM100" s="3">
        <f t="shared" si="471"/>
        <v>-10885</v>
      </c>
      <c r="DN100" s="64" t="str">
        <f t="shared" si="472"/>
        <v>UNKNOWN</v>
      </c>
      <c r="DO100" s="64" t="str">
        <f t="shared" si="473"/>
        <v>UNKNOWN</v>
      </c>
      <c r="DP100" s="3">
        <f t="shared" si="474"/>
        <v>6218.3905454545784</v>
      </c>
      <c r="DQ100" s="3">
        <f t="shared" si="475"/>
        <v>-26185.3</v>
      </c>
      <c r="DR100" s="3" t="e">
        <f t="shared" ca="1" si="476"/>
        <v>#NUM!</v>
      </c>
      <c r="DS100" s="3">
        <f t="shared" si="477"/>
        <v>-274.55</v>
      </c>
      <c r="DT100" s="3">
        <f t="shared" si="498"/>
        <v>-10596</v>
      </c>
      <c r="DU100" s="3">
        <f t="shared" si="499"/>
        <v>289</v>
      </c>
      <c r="DV100" s="3">
        <f t="shared" si="500"/>
        <v>850</v>
      </c>
      <c r="DW100" s="3">
        <f t="shared" si="501"/>
        <v>52</v>
      </c>
      <c r="DX100" s="3" t="e">
        <f t="shared" ca="1" si="509"/>
        <v>#NUM!</v>
      </c>
      <c r="DY100" s="3" t="e">
        <f t="shared" ca="1" si="478"/>
        <v>#NUM!</v>
      </c>
      <c r="DZ100" s="3">
        <f t="shared" ca="1" si="502"/>
        <v>2.6358164091512871E-3</v>
      </c>
      <c r="EA100" s="3">
        <f t="shared" ca="1" si="503"/>
        <v>-2.6358164091512871E-3</v>
      </c>
      <c r="EB100" s="3">
        <f t="shared" ca="1" si="479"/>
        <v>2.7468399661073604E-3</v>
      </c>
      <c r="EC100" s="3">
        <f t="shared" ca="1" si="480"/>
        <v>-2.5498353578405804E-3</v>
      </c>
      <c r="ED100" s="63">
        <f t="shared" si="504"/>
        <v>902</v>
      </c>
      <c r="EE100" s="59">
        <f t="shared" si="481"/>
        <v>0.74170000000000003</v>
      </c>
      <c r="EF100" s="59">
        <f t="shared" si="482"/>
        <v>1.2841</v>
      </c>
      <c r="EG100" s="59">
        <f t="shared" si="483"/>
        <v>0.25</v>
      </c>
      <c r="EH100" s="59">
        <f t="shared" si="484"/>
        <v>0.25</v>
      </c>
      <c r="EI100" s="59">
        <f t="shared" si="485"/>
        <v>0.2233</v>
      </c>
      <c r="EJ100" s="59">
        <f t="shared" si="486"/>
        <v>0.1411</v>
      </c>
      <c r="EL100" s="3" t="str">
        <f>RTD("tos.rtd",,EL$83,"."&amp;$B$82&amp;$AS$82&amp;"C"&amp;$A100)</f>
        <v>74.17%</v>
      </c>
      <c r="EM100" s="3" t="str">
        <f>RTD("tos.rtd",,EM$83,"."&amp;$B$82&amp;$AS$82&amp;"P"&amp;$A100)</f>
        <v>128.41%</v>
      </c>
      <c r="EN100" s="3" t="str">
        <f>RTD("tos.rtd",,EN$83,"."&amp;$C$82&amp;$AU$82&amp;"C"&amp;$A100)</f>
        <v>N/A</v>
      </c>
      <c r="EO100" s="3" t="str">
        <f>RTD("tos.rtd",,EO$83,"."&amp;$C$82&amp;$AU$82&amp;"P"&amp;$A100)</f>
        <v>N/A</v>
      </c>
      <c r="EP100" s="3" t="str">
        <f>RTD("tos.rtd",,EP$83,"."&amp;$D$82&amp;$AW$82&amp;"C"&amp;$A100)</f>
        <v>22.33%</v>
      </c>
      <c r="EQ100" s="3" t="str">
        <f>RTD("tos.rtd",,EQ$83,"."&amp;$D$82&amp;$AW$82&amp;"P"&amp;$A100)</f>
        <v>14.11%</v>
      </c>
      <c r="ES100" s="63" t="str">
        <f t="shared" si="487"/>
        <v>5720,902.00</v>
      </c>
      <c r="ET100" s="64" t="str">
        <f t="shared" ca="1" si="488"/>
        <v>5720,00.00</v>
      </c>
      <c r="EU100" s="67">
        <v>562.53</v>
      </c>
      <c r="EV100" s="67" t="s">
        <v>820</v>
      </c>
      <c r="EW100" s="67">
        <v>484.88</v>
      </c>
      <c r="EX100" s="67" t="s">
        <v>821</v>
      </c>
      <c r="EY100" s="67">
        <v>5639</v>
      </c>
      <c r="EZ100" s="67" t="s">
        <v>822</v>
      </c>
      <c r="FA100" s="67">
        <v>19917.75</v>
      </c>
      <c r="FB100" s="67" t="s">
        <v>823</v>
      </c>
      <c r="FC100" s="67" t="s">
        <v>824</v>
      </c>
      <c r="FD100" s="67" t="s">
        <v>825</v>
      </c>
      <c r="FE100" s="68" t="s">
        <v>826</v>
      </c>
      <c r="FF100" s="68" t="s">
        <v>827</v>
      </c>
    </row>
    <row r="101" spans="1:162" s="63" customFormat="1" ht="12" customHeight="1" thickBot="1" x14ac:dyDescent="0.25">
      <c r="A101" s="2">
        <f t="shared" si="505"/>
        <v>5710</v>
      </c>
      <c r="B101" s="3">
        <f t="shared" si="449"/>
        <v>1467</v>
      </c>
      <c r="C101" s="3">
        <f t="shared" si="450"/>
        <v>1741</v>
      </c>
      <c r="D101" s="3">
        <f t="shared" si="451"/>
        <v>1393</v>
      </c>
      <c r="E101" s="3">
        <f t="shared" si="516"/>
        <v>4601</v>
      </c>
      <c r="F101" s="4">
        <f t="shared" si="519"/>
        <v>5759.4010597945762</v>
      </c>
      <c r="G101" s="4">
        <f t="shared" si="517"/>
        <v>572.2188028299073</v>
      </c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  <c r="AM101" s="20">
        <v>5659</v>
      </c>
      <c r="AN101" s="20">
        <v>-75</v>
      </c>
      <c r="AO101" s="20">
        <v>5710</v>
      </c>
      <c r="AP101" s="20">
        <v>20009</v>
      </c>
      <c r="AQ101" s="20">
        <v>-123</v>
      </c>
      <c r="AR101" s="20"/>
      <c r="AS101" s="54">
        <f>IF(RTD("tos.rtd",,AS$83,"."&amp;$B$82&amp;$AS$82&amp;"C"&amp;$A101)="N/A",0,RTD("tos.rtd",,AS$83,"."&amp;$B$82&amp;$AS$82&amp;"C"&amp;$A101))</f>
        <v>1404</v>
      </c>
      <c r="AT101" s="3">
        <f>-IF(RTD("tos.rtd",,AT$83,"."&amp;$B$82&amp;$AS$82&amp;"P"&amp;$A101)="N/A",0,RTD("tos.rtd",,AT$83,"."&amp;$B$82&amp;$AS$82&amp;"P"&amp;$A101))</f>
        <v>-63</v>
      </c>
      <c r="AU101" s="54">
        <f>IF(RTD("tos.rtd",,AU$83,"."&amp;$C$82&amp;$AU$82&amp;"C"&amp;$A101)="N/A",0,RTD("tos.rtd",,AU$83,"."&amp;$C$82&amp;$AU$82&amp;"C"&amp;$A101))</f>
        <v>1575</v>
      </c>
      <c r="AV101" s="3">
        <f>-IF(RTD("tos.rtd",,AV$83,"."&amp;$C$82&amp;$AU$82&amp;"P"&amp;$A101)="N/A",0,RTD("tos.rtd",,AV$83,"."&amp;$C$82&amp;$AU$82&amp;"P"&amp;$A101))</f>
        <v>-166</v>
      </c>
      <c r="AW101" s="54">
        <f>IF(RTD("tos.rtd",,AW$83,"."&amp;$D$82&amp;$AW$82&amp;"C"&amp;$A101)="N/A",0,RTD("tos.rtd",,AW$83,"."&amp;$D$82&amp;$AW$82&amp;"C"&amp;$A101))</f>
        <v>831</v>
      </c>
      <c r="AX101" s="3">
        <f>-IF(RTD("tos.rtd",,AX$83,"."&amp;$D$82&amp;$AW$82&amp;"P"&amp;$A101)="N/A",0,RTD("tos.rtd",,AX$83,"."&amp;$D$82&amp;$AW$82&amp;"P"&amp;$A101))</f>
        <v>-562</v>
      </c>
      <c r="AY101" s="79">
        <f t="shared" si="518"/>
        <v>3019</v>
      </c>
      <c r="AZ101" s="8">
        <f t="shared" si="453"/>
        <v>5710</v>
      </c>
      <c r="BA101" s="54">
        <f>IF(RTD("tos.rtd",,BA$83,"."&amp;$B$82&amp;$AS$82&amp;"C"&amp;$A101)="N/A",0,RTD("tos.rtd",,BA$83,"."&amp;$B$82&amp;$AS$82&amp;"C"&amp;$A101))</f>
        <v>0</v>
      </c>
      <c r="BB101" s="3">
        <f>-IF(RTD("tos.rtd",,BB$83,"."&amp;$B$82&amp;$AS$82&amp;"P"&amp;$A101)="N/A",0,RTD("tos.rtd",,BB$83,"."&amp;$B$82&amp;$AS$82&amp;"P"&amp;$A101))</f>
        <v>0</v>
      </c>
      <c r="BC101" s="54">
        <f>IF(RTD("tos.rtd",,BC$83,"."&amp;$C$82&amp;$AU$82&amp;"C"&amp;$A101)="N/A",0,RTD("tos.rtd",,BC$83,"."&amp;$C$82&amp;$AU$82&amp;"C"&amp;$A101))</f>
        <v>4</v>
      </c>
      <c r="BD101" s="3">
        <f>-IF(RTD("tos.rtd",,BD$83,"."&amp;$C$82&amp;$AU$82&amp;"P"&amp;$A101)="N/A",0,RTD("tos.rtd",,BD$83,"."&amp;$C$82&amp;$AU$82&amp;"P"&amp;$A101))</f>
        <v>0</v>
      </c>
      <c r="BE101" s="54">
        <f>IF(RTD("tos.rtd",,BE$83,"."&amp;$D$82&amp;$AW$82&amp;"C"&amp;$A101)="N/A",0,RTD("tos.rtd",,BE$83,"."&amp;$D$82&amp;$AW$82&amp;"C"&amp;$A101))</f>
        <v>0</v>
      </c>
      <c r="BF101" s="3">
        <f>-IF(RTD("tos.rtd",,BF$83,"."&amp;$D$82&amp;$AW$82&amp;"P"&amp;$A101)="N/A",0,RTD("tos.rtd",,BF$83,"."&amp;$D$82&amp;$AW$82&amp;"P"&amp;$A101))</f>
        <v>0</v>
      </c>
      <c r="BG101" s="3">
        <f ca="1">+Hoja2!Y102</f>
        <v>0</v>
      </c>
      <c r="BH101" s="55">
        <f t="shared" ca="1" si="491"/>
        <v>4</v>
      </c>
      <c r="BI101" s="32" t="str">
        <f t="shared" ca="1" si="510"/>
        <v/>
      </c>
      <c r="BJ101" s="3" t="e">
        <f ca="1">IF($BP$1=1,DX101,IF(RTD("tos.rtd",,BJ$83,"."&amp;$B$82&amp;$AS$82&amp;"C"&amp;$A101)="N/A",0,RTD("tos.rtd",,BJ$83,"."&amp;$B$82&amp;$AS$82&amp;"C"&amp;$A101)))</f>
        <v>#NUM!</v>
      </c>
      <c r="BK101" s="3" t="e">
        <f ca="1">IF($BP$1=1,DY101,-IF(RTD("tos.rtd",,BK$83,"."&amp;$B$82&amp;$AS$82&amp;"P"&amp;$A101)="N/A",0,RTD("tos.rtd",,BK$83,"."&amp;$B$82&amp;$AS$82&amp;"P"&amp;$A101)))</f>
        <v>#NUM!</v>
      </c>
      <c r="BL101" s="3">
        <f ca="1">IF($BP$1=1,DZ101,IF(RTD("tos.rtd",,BL$83,"."&amp;$C$82&amp;$AU$82&amp;"C"&amp;$A101)="N/A",0,RTD("tos.rtd",,BL$83,"."&amp;$C$82&amp;$AU$82&amp;"C"&amp;$A101)))</f>
        <v>2.5826680176629186E-3</v>
      </c>
      <c r="BM101" s="3">
        <f ca="1">IF($BP$1=1,EA101,-IF(RTD("tos.rtd",,BM$83,"."&amp;$C$82&amp;$AU$82&amp;"P"&amp;$A101)="N/A",0,RTD("tos.rtd",,BM$83,"."&amp;$C$82&amp;$AU$82&amp;"P"&amp;$A101)))</f>
        <v>-2.7986321066047716E-3</v>
      </c>
      <c r="BN101" s="3">
        <f ca="1">IF($BP$1=1,EB101,IF(RTD("tos.rtd",,BN$83,"."&amp;$D$82&amp;$AW$82&amp;"C"&amp;$A101)="N/A",0,RTD("tos.rtd",,BN$83,"."&amp;$D$82&amp;$AW$82&amp;"C"&amp;$A101)))</f>
        <v>2.9428581470702904E-3</v>
      </c>
      <c r="BO101" s="3">
        <f ca="1">IF($BP$1=1,EC101,-IF(RTD("tos.rtd",,BO$83,"."&amp;$D$82&amp;$AW$82&amp;"P"&amp;$A101)="N/A",0,RTD("tos.rtd",,BO$83,"."&amp;$D$82&amp;$AW$82&amp;"P"&amp;$A101)))</f>
        <v>-3.1283677576092995E-3</v>
      </c>
      <c r="BQ101" s="3" t="e">
        <f t="shared" ca="1" si="454"/>
        <v>#NUM!</v>
      </c>
      <c r="BR101" s="3" t="e">
        <f t="shared" ca="1" si="492"/>
        <v>#NUM!</v>
      </c>
      <c r="BS101" s="3">
        <f t="shared" ca="1" si="455"/>
        <v>854024.21268412506</v>
      </c>
      <c r="BT101" s="3" t="str">
        <f t="shared" ca="1" si="492"/>
        <v/>
      </c>
      <c r="BU101" s="3">
        <f t="shared" ca="1" si="456"/>
        <v>162923.02467880549</v>
      </c>
      <c r="BV101" s="3" t="str">
        <f t="shared" ca="1" si="492"/>
        <v/>
      </c>
      <c r="BX101" s="3" t="e">
        <f t="shared" ca="1" si="457"/>
        <v>#NUM!</v>
      </c>
      <c r="BY101" s="3" t="e">
        <f t="shared" ca="1" si="507"/>
        <v>#NUM!</v>
      </c>
      <c r="BZ101" s="3">
        <f t="shared" ca="1" si="458"/>
        <v>2448.6060855749865</v>
      </c>
      <c r="CA101" s="3" t="str">
        <f t="shared" ca="1" si="507"/>
        <v/>
      </c>
      <c r="CB101" s="3">
        <f t="shared" ca="1" si="459"/>
        <v>0</v>
      </c>
      <c r="CC101" s="3" t="str">
        <f t="shared" ca="1" si="507"/>
        <v/>
      </c>
      <c r="CD101" s="3">
        <f>IF(RTD("tos.rtd",,CD$83,"."&amp;$B$82&amp;$AS$82&amp;"C"&amp;$A101)="N/A",0,RTD("tos.rtd",,CD$83,"."&amp;$B$82&amp;$AS$82&amp;"C"&amp;$A101))</f>
        <v>0</v>
      </c>
      <c r="CE101" s="3">
        <f>-IF(RTD("tos.rtd",,CE$83,"."&amp;$B$82&amp;$AS$82&amp;"P"&amp;$A101)="N/A",0,RTD("tos.rtd",,CE$83,"."&amp;$B$82&amp;$AS$82&amp;"P"&amp;$A101))</f>
        <v>0.94</v>
      </c>
      <c r="CF101" s="3">
        <f>IF(RTD("tos.rtd",,CF$83,"."&amp;$C$82&amp;$AU$82&amp;"C"&amp;$A101)="N/A",0,RTD("tos.rtd",,CF$83,"."&amp;$C$82&amp;$AU$82&amp;"C"&amp;$A101))</f>
        <v>0.25</v>
      </c>
      <c r="CG101" s="3">
        <f>-IF(RTD("tos.rtd",,CG$83,"."&amp;$C$82&amp;$AU$82&amp;"P"&amp;$A101)="N/A",0,RTD("tos.rtd",,CG$83,"."&amp;$C$82&amp;$AU$82&amp;"P"&amp;$A101))</f>
        <v>1</v>
      </c>
      <c r="CH101" s="3">
        <f>IF(RTD("tos.rtd",,CH$83,"."&amp;$D$82&amp;$AW$82&amp;"C"&amp;$A101)="N/A",0,RTD("tos.rtd",,CH$83,"."&amp;$D$82&amp;$AW$82&amp;"C"&amp;$A101))</f>
        <v>0.36</v>
      </c>
      <c r="CI101" s="3">
        <f>-IF(RTD("tos.rtd",,CI$83,"."&amp;$D$82&amp;$AW$82&amp;"P"&amp;$A101)="N/A",0,RTD("tos.rtd",,CI$83,"."&amp;$D$82&amp;$AW$82&amp;"P"&amp;$A101))</f>
        <v>0.71</v>
      </c>
      <c r="CK101" s="3">
        <f t="shared" si="493"/>
        <v>-5922</v>
      </c>
      <c r="CL101" s="3"/>
      <c r="CM101" s="3">
        <f t="shared" si="494"/>
        <v>22775</v>
      </c>
      <c r="CN101" s="3"/>
      <c r="CO101" s="3">
        <f t="shared" si="495"/>
        <v>-9986.0000000000036</v>
      </c>
      <c r="CP101" s="3">
        <f t="shared" si="460"/>
        <v>6866.9999999999964</v>
      </c>
      <c r="CQ101" s="3">
        <f t="shared" si="461"/>
        <v>0</v>
      </c>
      <c r="CR101" s="3"/>
      <c r="CS101" s="3">
        <f t="shared" si="462"/>
        <v>4</v>
      </c>
      <c r="CT101" s="3"/>
      <c r="CU101" s="3">
        <f t="shared" si="463"/>
        <v>0</v>
      </c>
      <c r="CV101" s="3"/>
      <c r="CW101" s="3" t="e">
        <f t="shared" ca="1" si="464"/>
        <v>#NUM!</v>
      </c>
      <c r="CY101" s="3" t="e">
        <f t="shared" ca="1" si="465"/>
        <v>#NUM!</v>
      </c>
      <c r="CZ101" s="70" t="e">
        <f t="shared" ca="1" si="508"/>
        <v>#NUM!</v>
      </c>
      <c r="DA101" s="3">
        <f>IF(RTD("tos.rtd",,DA$83,"."&amp;$B$82&amp;$AS$82&amp;"C"&amp;$A101)="N/A",0,RTD("tos.rtd",,DA$83,"."&amp;$B$82&amp;$AS$82&amp;"C"&amp;$A101))</f>
        <v>0.05</v>
      </c>
      <c r="DB101" s="3">
        <f>IF(RTD("tos.rtd",,DB$83,"."&amp;$B$82&amp;$AS$82&amp;"P"&amp;$A101)="N/A",0,RTD("tos.rtd",,DB$83,"."&amp;$B$82&amp;$AS$82&amp;"P"&amp;$A101))</f>
        <v>55</v>
      </c>
      <c r="DC101" s="3">
        <f>IF(RTD("tos.rtd",,DC$83,"."&amp;$B$82&amp;$AS$82&amp;"C"&amp;$A101)="N/A",0,RTD("tos.rtd",,DC$83,"."&amp;$B$82&amp;$AS$82&amp;"C"&amp;$A101))</f>
        <v>0.05</v>
      </c>
      <c r="DD101" s="3">
        <f>IF(RTD("tos.rtd",,DD$83,"."&amp;$B$82&amp;$AS$82&amp;"P"&amp;$A101)="N/A",0,RTD("tos.rtd",,DD$83,"."&amp;$B$82&amp;$AS$82&amp;"P"&amp;$A101))</f>
        <v>81.5</v>
      </c>
      <c r="DE101" s="3">
        <f>IF(RTD("tos.rtd",,DE$83,"."&amp;$B$82&amp;$AS$82&amp;"C"&amp;$A101)="N/A",0,RTD("tos.rtd",,DE$83,"."&amp;$B$82&amp;$AS$82&amp;"C"&amp;$A101))</f>
        <v>0</v>
      </c>
      <c r="DF101" s="3">
        <f>IF(RTD("tos.rtd",,DF$83,"."&amp;$B$82&amp;$AS$82&amp;"P"&amp;$A101)="N/A",0,RTD("tos.rtd",,DF$83,"."&amp;$B$82&amp;$AS$82&amp;"P"&amp;$A101))</f>
        <v>78.3</v>
      </c>
      <c r="DG101" s="86">
        <f t="shared" si="497"/>
        <v>78.720000000000255</v>
      </c>
      <c r="DH101" s="3">
        <f t="shared" si="466"/>
        <v>-20009</v>
      </c>
      <c r="DI101" s="3">
        <f t="shared" si="467"/>
        <v>-895.59374999999909</v>
      </c>
      <c r="DJ101" s="3">
        <f t="shared" si="468"/>
        <v>-20009</v>
      </c>
      <c r="DK101" s="3">
        <f t="shared" si="469"/>
        <v>-123</v>
      </c>
      <c r="DL101" s="3">
        <f t="shared" si="470"/>
        <v>-20904.59375</v>
      </c>
      <c r="DM101" s="3">
        <f t="shared" si="471"/>
        <v>-20132</v>
      </c>
      <c r="DN101" s="64" t="str">
        <f t="shared" si="472"/>
        <v>UNKNOWN</v>
      </c>
      <c r="DO101" s="64" t="str">
        <f t="shared" si="473"/>
        <v>UNKNOWN</v>
      </c>
      <c r="DP101" s="3">
        <f t="shared" si="474"/>
        <v>-50258.106249999946</v>
      </c>
      <c r="DQ101" s="3">
        <f t="shared" si="475"/>
        <v>-7765.45</v>
      </c>
      <c r="DR101" s="3" t="e">
        <f t="shared" ca="1" si="476"/>
        <v>#NUM!</v>
      </c>
      <c r="DS101" s="3">
        <f t="shared" si="477"/>
        <v>-115.61999999999999</v>
      </c>
      <c r="DT101" s="3">
        <f t="shared" si="498"/>
        <v>-20009</v>
      </c>
      <c r="DU101" s="3">
        <f t="shared" si="499"/>
        <v>123</v>
      </c>
      <c r="DV101" s="3">
        <f t="shared" si="500"/>
        <v>5659</v>
      </c>
      <c r="DW101" s="3">
        <f t="shared" si="501"/>
        <v>-75</v>
      </c>
      <c r="DX101" s="3" t="e">
        <f t="shared" ca="1" si="509"/>
        <v>#NUM!</v>
      </c>
      <c r="DY101" s="3" t="e">
        <f t="shared" ca="1" si="478"/>
        <v>#NUM!</v>
      </c>
      <c r="DZ101" s="3">
        <f t="shared" ca="1" si="502"/>
        <v>2.5826680176629186E-3</v>
      </c>
      <c r="EA101" s="3">
        <f t="shared" ca="1" si="503"/>
        <v>-2.7986321066047716E-3</v>
      </c>
      <c r="EB101" s="3">
        <f t="shared" ca="1" si="479"/>
        <v>2.9428581470702904E-3</v>
      </c>
      <c r="EC101" s="3">
        <f t="shared" ca="1" si="480"/>
        <v>-3.1283677576092995E-3</v>
      </c>
      <c r="ED101" s="63">
        <f t="shared" si="504"/>
        <v>5584</v>
      </c>
      <c r="EE101" s="59">
        <f t="shared" si="481"/>
        <v>0.6673</v>
      </c>
      <c r="EF101" s="59">
        <f t="shared" si="482"/>
        <v>1.1593</v>
      </c>
      <c r="EG101" s="59">
        <f t="shared" si="483"/>
        <v>0.28520000000000001</v>
      </c>
      <c r="EH101" s="59">
        <f t="shared" si="484"/>
        <v>0.25</v>
      </c>
      <c r="EI101" s="59">
        <f t="shared" si="485"/>
        <v>0.22650000000000001</v>
      </c>
      <c r="EJ101" s="59">
        <f t="shared" si="486"/>
        <v>0.14729999999999999</v>
      </c>
      <c r="EL101" s="3" t="str">
        <f>RTD("tos.rtd",,EL$83,"."&amp;$B$82&amp;$AS$82&amp;"C"&amp;$A101)</f>
        <v>66.73%</v>
      </c>
      <c r="EM101" s="3" t="str">
        <f>RTD("tos.rtd",,EM$83,"."&amp;$B$82&amp;$AS$82&amp;"P"&amp;$A101)</f>
        <v>115.93%</v>
      </c>
      <c r="EN101" s="3" t="str">
        <f>RTD("tos.rtd",,EN$83,"."&amp;$C$82&amp;$AU$82&amp;"C"&amp;$A101)</f>
        <v>28.52%</v>
      </c>
      <c r="EO101" s="3" t="str">
        <f>RTD("tos.rtd",,EO$83,"."&amp;$C$82&amp;$AU$82&amp;"P"&amp;$A101)</f>
        <v>--</v>
      </c>
      <c r="EP101" s="3" t="str">
        <f>RTD("tos.rtd",,EP$83,"."&amp;$D$82&amp;$AW$82&amp;"C"&amp;$A101)</f>
        <v>22.65%</v>
      </c>
      <c r="EQ101" s="3" t="str">
        <f>RTD("tos.rtd",,EQ$83,"."&amp;$D$82&amp;$AW$82&amp;"P"&amp;$A101)</f>
        <v>14.73%</v>
      </c>
      <c r="ES101" s="63" t="str">
        <f t="shared" si="487"/>
        <v>5710,5584.00</v>
      </c>
      <c r="ET101" s="64" t="str">
        <f t="shared" ca="1" si="488"/>
        <v>5710,00.00</v>
      </c>
      <c r="EU101" s="67">
        <v>562.57000000000005</v>
      </c>
      <c r="EV101" s="67" t="s">
        <v>828</v>
      </c>
      <c r="EW101" s="67">
        <v>484.94</v>
      </c>
      <c r="EX101" s="67" t="s">
        <v>829</v>
      </c>
      <c r="EY101" s="67">
        <v>5639.25</v>
      </c>
      <c r="EZ101" s="67" t="s">
        <v>830</v>
      </c>
      <c r="FA101" s="67">
        <v>19920</v>
      </c>
      <c r="FB101" s="67" t="s">
        <v>831</v>
      </c>
      <c r="FC101" s="67" t="s">
        <v>832</v>
      </c>
      <c r="FD101" s="67" t="s">
        <v>833</v>
      </c>
      <c r="FE101" s="68" t="s">
        <v>834</v>
      </c>
      <c r="FF101" s="68" t="s">
        <v>835</v>
      </c>
    </row>
    <row r="102" spans="1:162" s="63" customFormat="1" ht="12" customHeight="1" thickBot="1" x14ac:dyDescent="0.25">
      <c r="A102" s="2">
        <f t="shared" si="505"/>
        <v>5700</v>
      </c>
      <c r="B102" s="3">
        <f t="shared" si="449"/>
        <v>10488</v>
      </c>
      <c r="C102" s="3">
        <f t="shared" si="450"/>
        <v>4445</v>
      </c>
      <c r="D102" s="3">
        <f t="shared" si="451"/>
        <v>9570</v>
      </c>
      <c r="E102" s="3">
        <f t="shared" si="516"/>
        <v>24503</v>
      </c>
      <c r="F102" s="4">
        <f t="shared" si="519"/>
        <v>5749.3145430523791</v>
      </c>
      <c r="G102" s="4">
        <f t="shared" si="517"/>
        <v>571.21666832407561</v>
      </c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>
        <v>1428</v>
      </c>
      <c r="AN102" s="20">
        <v>-33</v>
      </c>
      <c r="AO102" s="20">
        <v>5700</v>
      </c>
      <c r="AP102" s="20">
        <v>56787</v>
      </c>
      <c r="AQ102" s="20">
        <v>-550</v>
      </c>
      <c r="AR102" s="20"/>
      <c r="AS102" s="54">
        <f>IF(RTD("tos.rtd",,AS$83,"."&amp;$B$82&amp;$AS$82&amp;"C"&amp;$A102)="N/A",0,RTD("tos.rtd",,AS$83,"."&amp;$B$82&amp;$AS$82&amp;"C"&amp;$A102))</f>
        <v>9955</v>
      </c>
      <c r="AT102" s="3">
        <f>-IF(RTD("tos.rtd",,AT$83,"."&amp;$B$82&amp;$AS$82&amp;"P"&amp;$A102)="N/A",0,RTD("tos.rtd",,AT$83,"."&amp;$B$82&amp;$AS$82&amp;"P"&amp;$A102))</f>
        <v>-533</v>
      </c>
      <c r="AU102" s="54">
        <f>IF(RTD("tos.rtd",,AU$83,"."&amp;$C$82&amp;$AU$82&amp;"C"&amp;$A102)="N/A",0,RTD("tos.rtd",,AU$83,"."&amp;$C$82&amp;$AU$82&amp;"C"&amp;$A102))</f>
        <v>3134</v>
      </c>
      <c r="AV102" s="3">
        <f>-IF(RTD("tos.rtd",,AV$83,"."&amp;$C$82&amp;$AU$82&amp;"P"&amp;$A102)="N/A",0,RTD("tos.rtd",,AV$83,"."&amp;$C$82&amp;$AU$82&amp;"P"&amp;$A102))</f>
        <v>-1311</v>
      </c>
      <c r="AW102" s="54">
        <f>IF(RTD("tos.rtd",,AW$83,"."&amp;$D$82&amp;$AW$82&amp;"C"&amp;$A102)="N/A",0,RTD("tos.rtd",,AW$83,"."&amp;$D$82&amp;$AW$82&amp;"C"&amp;$A102))</f>
        <v>3408</v>
      </c>
      <c r="AX102" s="3">
        <f>-IF(RTD("tos.rtd",,AX$83,"."&amp;$D$82&amp;$AW$82&amp;"P"&amp;$A102)="N/A",0,RTD("tos.rtd",,AX$83,"."&amp;$D$82&amp;$AW$82&amp;"P"&amp;$A102))</f>
        <v>-6162</v>
      </c>
      <c r="AY102" s="79">
        <f t="shared" si="518"/>
        <v>8491</v>
      </c>
      <c r="AZ102" s="8">
        <f t="shared" si="453"/>
        <v>5700</v>
      </c>
      <c r="BA102" s="54">
        <f>IF(RTD("tos.rtd",,BA$83,"."&amp;$B$82&amp;$AS$82&amp;"C"&amp;$A102)="N/A",0,RTD("tos.rtd",,BA$83,"."&amp;$B$82&amp;$AS$82&amp;"C"&amp;$A102))</f>
        <v>0</v>
      </c>
      <c r="BB102" s="3">
        <f>-IF(RTD("tos.rtd",,BB$83,"."&amp;$B$82&amp;$AS$82&amp;"P"&amp;$A102)="N/A",0,RTD("tos.rtd",,BB$83,"."&amp;$B$82&amp;$AS$82&amp;"P"&amp;$A102))</f>
        <v>0</v>
      </c>
      <c r="BC102" s="54">
        <f>IF(RTD("tos.rtd",,BC$83,"."&amp;$C$82&amp;$AU$82&amp;"C"&amp;$A102)="N/A",0,RTD("tos.rtd",,BC$83,"."&amp;$C$82&amp;$AU$82&amp;"C"&amp;$A102))</f>
        <v>43</v>
      </c>
      <c r="BD102" s="3">
        <f>-IF(RTD("tos.rtd",,BD$83,"."&amp;$C$82&amp;$AU$82&amp;"P"&amp;$A102)="N/A",0,RTD("tos.rtd",,BD$83,"."&amp;$C$82&amp;$AU$82&amp;"P"&amp;$A102))</f>
        <v>0</v>
      </c>
      <c r="BE102" s="54">
        <f>IF(RTD("tos.rtd",,BE$83,"."&amp;$D$82&amp;$AW$82&amp;"C"&amp;$A102)="N/A",0,RTD("tos.rtd",,BE$83,"."&amp;$D$82&amp;$AW$82&amp;"C"&amp;$A102))</f>
        <v>3</v>
      </c>
      <c r="BF102" s="3">
        <f>-IF(RTD("tos.rtd",,BF$83,"."&amp;$D$82&amp;$AW$82&amp;"P"&amp;$A102)="N/A",0,RTD("tos.rtd",,BF$83,"."&amp;$D$82&amp;$AW$82&amp;"P"&amp;$A102))</f>
        <v>0</v>
      </c>
      <c r="BG102" s="3">
        <f ca="1">+Hoja2!Y103</f>
        <v>0</v>
      </c>
      <c r="BH102" s="55">
        <f t="shared" ca="1" si="491"/>
        <v>46</v>
      </c>
      <c r="BI102" s="32" t="str">
        <f t="shared" ca="1" si="510"/>
        <v/>
      </c>
      <c r="BJ102" s="3" t="e">
        <f ca="1">IF($BP$1=1,DX102,IF(RTD("tos.rtd",,BJ$83,"."&amp;$B$82&amp;$AS$82&amp;"C"&amp;$A102)="N/A",0,RTD("tos.rtd",,BJ$83,"."&amp;$B$82&amp;$AS$82&amp;"C"&amp;$A102)))</f>
        <v>#NUM!</v>
      </c>
      <c r="BK102" s="3" t="e">
        <f ca="1">IF($BP$1=1,DY102,-IF(RTD("tos.rtd",,BK$83,"."&amp;$B$82&amp;$AS$82&amp;"P"&amp;$A102)="N/A",0,RTD("tos.rtd",,BK$83,"."&amp;$B$82&amp;$AS$82&amp;"P"&amp;$A102)))</f>
        <v>#NUM!</v>
      </c>
      <c r="BL102" s="3">
        <f ca="1">IF($BP$1=1,DZ102,IF(RTD("tos.rtd",,BL$83,"."&amp;$C$82&amp;$AU$82&amp;"C"&amp;$A102)="N/A",0,RTD("tos.rtd",,BL$83,"."&amp;$C$82&amp;$AU$82&amp;"C"&amp;$A102)))</f>
        <v>2.6398314250005704E-3</v>
      </c>
      <c r="BM102" s="3">
        <f ca="1">IF($BP$1=1,EA102,-IF(RTD("tos.rtd",,BM$83,"."&amp;$C$82&amp;$AU$82&amp;"P"&amp;$A102)="N/A",0,RTD("tos.rtd",,BM$83,"."&amp;$C$82&amp;$AU$82&amp;"P"&amp;$A102)))</f>
        <v>-2.9499971147543156E-3</v>
      </c>
      <c r="BN102" s="3">
        <f ca="1">IF($BP$1=1,EB102,IF(RTD("tos.rtd",,BN$83,"."&amp;$D$82&amp;$AW$82&amp;"C"&amp;$A102)="N/A",0,RTD("tos.rtd",,BN$83,"."&amp;$D$82&amp;$AW$82&amp;"C"&amp;$A102)))</f>
        <v>3.112398323292661E-3</v>
      </c>
      <c r="BO102" s="3">
        <f ca="1">IF($BP$1=1,EC102,-IF(RTD("tos.rtd",,BO$83,"."&amp;$D$82&amp;$AW$82&amp;"P"&amp;$A102)="N/A",0,RTD("tos.rtd",,BO$83,"."&amp;$D$82&amp;$AW$82&amp;"P"&amp;$A102)))</f>
        <v>-3.639100522051031E-3</v>
      </c>
      <c r="BQ102" s="3" t="e">
        <f t="shared" ca="1" si="454"/>
        <v>#NUM!</v>
      </c>
      <c r="BR102" s="3" t="e">
        <f t="shared" ca="1" si="492"/>
        <v>#NUM!</v>
      </c>
      <c r="BS102" s="3">
        <f t="shared" ca="1" si="455"/>
        <v>1044272.1476540063</v>
      </c>
      <c r="BT102" s="3" t="str">
        <f t="shared" ca="1" si="492"/>
        <v/>
      </c>
      <c r="BU102" s="3">
        <f t="shared" ca="1" si="456"/>
        <v>-2800919.7687764154</v>
      </c>
      <c r="BV102" s="3" t="str">
        <f t="shared" ca="1" si="492"/>
        <v>Cruce -</v>
      </c>
      <c r="BX102" s="3" t="e">
        <f t="shared" ca="1" si="457"/>
        <v>#NUM!</v>
      </c>
      <c r="BY102" s="3" t="e">
        <f t="shared" ca="1" si="507"/>
        <v>#NUM!</v>
      </c>
      <c r="BZ102" s="3">
        <f t="shared" ca="1" si="458"/>
        <v>26905.124048221915</v>
      </c>
      <c r="CA102" s="3" t="str">
        <f t="shared" ca="1" si="507"/>
        <v/>
      </c>
      <c r="CB102" s="3">
        <f t="shared" ca="1" si="459"/>
        <v>2213.1292397127791</v>
      </c>
      <c r="CC102" s="3" t="str">
        <f t="shared" ca="1" si="507"/>
        <v/>
      </c>
      <c r="CD102" s="3">
        <f>IF(RTD("tos.rtd",,CD$83,"."&amp;$B$82&amp;$AS$82&amp;"C"&amp;$A102)="N/A",0,RTD("tos.rtd",,CD$83,"."&amp;$B$82&amp;$AS$82&amp;"C"&amp;$A102))</f>
        <v>0</v>
      </c>
      <c r="CE102" s="3">
        <f>-IF(RTD("tos.rtd",,CE$83,"."&amp;$B$82&amp;$AS$82&amp;"P"&amp;$A102)="N/A",0,RTD("tos.rtd",,CE$83,"."&amp;$B$82&amp;$AS$82&amp;"P"&amp;$A102))</f>
        <v>0.94</v>
      </c>
      <c r="CF102" s="3">
        <f>IF(RTD("tos.rtd",,CF$83,"."&amp;$C$82&amp;$AU$82&amp;"C"&amp;$A102)="N/A",0,RTD("tos.rtd",,CF$83,"."&amp;$C$82&amp;$AU$82&amp;"C"&amp;$A102))</f>
        <v>0.28000000000000003</v>
      </c>
      <c r="CG102" s="3">
        <f>-IF(RTD("tos.rtd",,CG$83,"."&amp;$C$82&amp;$AU$82&amp;"P"&amp;$A102)="N/A",0,RTD("tos.rtd",,CG$83,"."&amp;$C$82&amp;$AU$82&amp;"P"&amp;$A102))</f>
        <v>1</v>
      </c>
      <c r="CH102" s="3">
        <f>IF(RTD("tos.rtd",,CH$83,"."&amp;$D$82&amp;$AW$82&amp;"C"&amp;$A102)="N/A",0,RTD("tos.rtd",,CH$83,"."&amp;$D$82&amp;$AW$82&amp;"C"&amp;$A102))</f>
        <v>0.38</v>
      </c>
      <c r="CI102" s="3">
        <f>-IF(RTD("tos.rtd",,CI$83,"."&amp;$D$82&amp;$AW$82&amp;"P"&amp;$A102)="N/A",0,RTD("tos.rtd",,CI$83,"."&amp;$D$82&amp;$AW$82&amp;"P"&amp;$A102))</f>
        <v>0.68</v>
      </c>
      <c r="CK102" s="3">
        <f t="shared" si="493"/>
        <v>-50102</v>
      </c>
      <c r="CL102" s="3"/>
      <c r="CM102" s="3">
        <f t="shared" si="494"/>
        <v>-43347.999999999985</v>
      </c>
      <c r="CN102" s="3"/>
      <c r="CO102" s="3">
        <f t="shared" si="495"/>
        <v>-289512</v>
      </c>
      <c r="CP102" s="3">
        <f t="shared" si="460"/>
        <v>-382962</v>
      </c>
      <c r="CQ102" s="3">
        <f t="shared" si="461"/>
        <v>0</v>
      </c>
      <c r="CR102" s="3"/>
      <c r="CS102" s="3">
        <f t="shared" si="462"/>
        <v>43</v>
      </c>
      <c r="CT102" s="3"/>
      <c r="CU102" s="3">
        <f t="shared" si="463"/>
        <v>3</v>
      </c>
      <c r="CV102" s="3"/>
      <c r="CW102" s="3" t="e">
        <f t="shared" ca="1" si="464"/>
        <v>#NUM!</v>
      </c>
      <c r="CY102" s="3" t="e">
        <f t="shared" ca="1" si="465"/>
        <v>#NUM!</v>
      </c>
      <c r="CZ102" s="70" t="e">
        <f t="shared" ca="1" si="508"/>
        <v>#NUM!</v>
      </c>
      <c r="DA102" s="3">
        <f>IF(RTD("tos.rtd",,DA$83,"."&amp;$B$82&amp;$AS$82&amp;"C"&amp;$A102)="N/A",0,RTD("tos.rtd",,DA$83,"."&amp;$B$82&amp;$AS$82&amp;"C"&amp;$A102))</f>
        <v>0.05</v>
      </c>
      <c r="DB102" s="3">
        <f>IF(RTD("tos.rtd",,DB$83,"."&amp;$B$82&amp;$AS$82&amp;"P"&amp;$A102)="N/A",0,RTD("tos.rtd",,DB$83,"."&amp;$B$82&amp;$AS$82&amp;"P"&amp;$A102))</f>
        <v>69.739999999999995</v>
      </c>
      <c r="DC102" s="3">
        <f>IF(RTD("tos.rtd",,DC$83,"."&amp;$B$82&amp;$AS$82&amp;"C"&amp;$A102)="N/A",0,RTD("tos.rtd",,DC$83,"."&amp;$B$82&amp;$AS$82&amp;"C"&amp;$A102))</f>
        <v>0.05</v>
      </c>
      <c r="DD102" s="3">
        <f>IF(RTD("tos.rtd",,DD$83,"."&amp;$B$82&amp;$AS$82&amp;"P"&amp;$A102)="N/A",0,RTD("tos.rtd",,DD$83,"."&amp;$B$82&amp;$AS$82&amp;"P"&amp;$A102))</f>
        <v>71.5</v>
      </c>
      <c r="DE102" s="3">
        <f>IF(RTD("tos.rtd",,DE$83,"."&amp;$B$82&amp;$AS$82&amp;"C"&amp;$A102)="N/A",0,RTD("tos.rtd",,DE$83,"."&amp;$B$82&amp;$AS$82&amp;"C"&amp;$A102))</f>
        <v>0</v>
      </c>
      <c r="DF102" s="3">
        <f>IF(RTD("tos.rtd",,DF$83,"."&amp;$B$82&amp;$AS$82&amp;"P"&amp;$A102)="N/A",0,RTD("tos.rtd",,DF$83,"."&amp;$B$82&amp;$AS$82&amp;"P"&amp;$A102))</f>
        <v>68.3</v>
      </c>
      <c r="DG102" s="86">
        <f t="shared" si="497"/>
        <v>68.720000000000255</v>
      </c>
      <c r="DH102" s="3">
        <f t="shared" si="466"/>
        <v>-56787</v>
      </c>
      <c r="DI102" s="3">
        <f t="shared" si="467"/>
        <v>247.4999999999994</v>
      </c>
      <c r="DJ102" s="3">
        <f t="shared" si="468"/>
        <v>-56787</v>
      </c>
      <c r="DK102" s="3">
        <f t="shared" si="469"/>
        <v>0</v>
      </c>
      <c r="DL102" s="3">
        <f t="shared" si="470"/>
        <v>-56539.5</v>
      </c>
      <c r="DM102" s="3">
        <f t="shared" si="471"/>
        <v>-56787</v>
      </c>
      <c r="DN102" s="64" t="str">
        <f t="shared" si="472"/>
        <v>UNKNOWN</v>
      </c>
      <c r="DO102" s="64" t="str">
        <f t="shared" si="473"/>
        <v>UNKNOWN</v>
      </c>
      <c r="DP102" s="3">
        <f t="shared" si="474"/>
        <v>14421.299999999957</v>
      </c>
      <c r="DQ102" s="3">
        <f t="shared" si="475"/>
        <v>-2839.3500000000004</v>
      </c>
      <c r="DR102" s="3" t="e">
        <f t="shared" ca="1" si="476"/>
        <v>#NUM!</v>
      </c>
      <c r="DS102" s="3">
        <f t="shared" si="477"/>
        <v>0</v>
      </c>
      <c r="DT102" s="3">
        <f t="shared" si="498"/>
        <v>-56787</v>
      </c>
      <c r="DU102" s="3">
        <f t="shared" si="499"/>
        <v>550</v>
      </c>
      <c r="DV102" s="3">
        <f t="shared" si="500"/>
        <v>1428</v>
      </c>
      <c r="DW102" s="3">
        <f t="shared" si="501"/>
        <v>-33</v>
      </c>
      <c r="DX102" s="3" t="e">
        <f t="shared" ca="1" si="509"/>
        <v>#NUM!</v>
      </c>
      <c r="DY102" s="3" t="e">
        <f t="shared" ca="1" si="478"/>
        <v>#NUM!</v>
      </c>
      <c r="DZ102" s="3">
        <f t="shared" ca="1" si="502"/>
        <v>2.6398314250005704E-3</v>
      </c>
      <c r="EA102" s="3">
        <f t="shared" ca="1" si="503"/>
        <v>-2.9499971147543156E-3</v>
      </c>
      <c r="EB102" s="3">
        <f t="shared" ca="1" si="479"/>
        <v>3.112398323292661E-3</v>
      </c>
      <c r="EC102" s="3">
        <f t="shared" ca="1" si="480"/>
        <v>-3.639100522051031E-3</v>
      </c>
      <c r="ED102" s="63">
        <f t="shared" si="504"/>
        <v>1395</v>
      </c>
      <c r="EE102" s="59">
        <f t="shared" si="481"/>
        <v>0.59050000000000002</v>
      </c>
      <c r="EF102" s="59">
        <f t="shared" si="482"/>
        <v>1.0429999999999999</v>
      </c>
      <c r="EG102" s="59">
        <f t="shared" si="483"/>
        <v>0.2923</v>
      </c>
      <c r="EH102" s="59">
        <f t="shared" si="484"/>
        <v>0.25</v>
      </c>
      <c r="EI102" s="59">
        <f t="shared" si="485"/>
        <v>0.22969999999999999</v>
      </c>
      <c r="EJ102" s="59">
        <f t="shared" si="486"/>
        <v>0.1525</v>
      </c>
      <c r="EL102" s="3" t="str">
        <f>RTD("tos.rtd",,EL$83,"."&amp;$B$82&amp;$AS$82&amp;"C"&amp;$A102)</f>
        <v>59.05%</v>
      </c>
      <c r="EM102" s="3" t="str">
        <f>RTD("tos.rtd",,EM$83,"."&amp;$B$82&amp;$AS$82&amp;"P"&amp;$A102)</f>
        <v>104.30%</v>
      </c>
      <c r="EN102" s="3" t="str">
        <f>RTD("tos.rtd",,EN$83,"."&amp;$C$82&amp;$AU$82&amp;"C"&amp;$A102)</f>
        <v>29.23%</v>
      </c>
      <c r="EO102" s="3" t="str">
        <f>RTD("tos.rtd",,EO$83,"."&amp;$C$82&amp;$AU$82&amp;"P"&amp;$A102)</f>
        <v>--</v>
      </c>
      <c r="EP102" s="3" t="str">
        <f>RTD("tos.rtd",,EP$83,"."&amp;$D$82&amp;$AW$82&amp;"C"&amp;$A102)</f>
        <v>22.97%</v>
      </c>
      <c r="EQ102" s="3" t="str">
        <f>RTD("tos.rtd",,EQ$83,"."&amp;$D$82&amp;$AW$82&amp;"P"&amp;$A102)</f>
        <v>15.25%</v>
      </c>
      <c r="ES102" s="63" t="str">
        <f t="shared" si="487"/>
        <v>5700,1395.00</v>
      </c>
      <c r="ET102" s="64" t="str">
        <f t="shared" ca="1" si="488"/>
        <v>5700,00.00</v>
      </c>
      <c r="EU102" s="67">
        <v>562.4</v>
      </c>
      <c r="EV102" s="67" t="s">
        <v>836</v>
      </c>
      <c r="EW102" s="67">
        <v>484.72</v>
      </c>
      <c r="EX102" s="67" t="s">
        <v>837</v>
      </c>
      <c r="EY102" s="67">
        <v>5637.75</v>
      </c>
      <c r="EZ102" s="67" t="s">
        <v>838</v>
      </c>
      <c r="FA102" s="67">
        <v>19911.75</v>
      </c>
      <c r="FB102" s="67" t="s">
        <v>839</v>
      </c>
      <c r="FC102" s="67" t="s">
        <v>840</v>
      </c>
      <c r="FD102" s="67" t="s">
        <v>841</v>
      </c>
      <c r="FE102" s="68" t="s">
        <v>842</v>
      </c>
      <c r="FF102" s="68" t="s">
        <v>843</v>
      </c>
    </row>
    <row r="103" spans="1:162" s="63" customFormat="1" ht="12" customHeight="1" thickBot="1" x14ac:dyDescent="0.25">
      <c r="A103" s="2">
        <f t="shared" si="505"/>
        <v>5690</v>
      </c>
      <c r="B103" s="3">
        <f t="shared" si="449"/>
        <v>1007</v>
      </c>
      <c r="C103" s="3">
        <f t="shared" si="450"/>
        <v>1219</v>
      </c>
      <c r="D103" s="3">
        <f t="shared" si="451"/>
        <v>799</v>
      </c>
      <c r="E103" s="3">
        <f>SUM(B103:D103)</f>
        <v>3025</v>
      </c>
      <c r="F103" s="4">
        <f t="shared" si="519"/>
        <v>5739.228026310182</v>
      </c>
      <c r="G103" s="4">
        <f t="shared" si="517"/>
        <v>570.21453381824392</v>
      </c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20"/>
      <c r="AM103" s="20">
        <v>139</v>
      </c>
      <c r="AN103" s="20">
        <v>-59</v>
      </c>
      <c r="AO103" s="20">
        <v>5690</v>
      </c>
      <c r="AP103" s="20">
        <v>20442</v>
      </c>
      <c r="AQ103" s="20">
        <v>-339</v>
      </c>
      <c r="AR103" s="20"/>
      <c r="AS103" s="54">
        <f>IF(RTD("tos.rtd",,AS$83,"."&amp;$B$82&amp;$AS$82&amp;"C"&amp;$A103)="N/A",0,RTD("tos.rtd",,AS$83,"."&amp;$B$82&amp;$AS$82&amp;"C"&amp;$A103))</f>
        <v>883</v>
      </c>
      <c r="AT103" s="3">
        <f>-IF(RTD("tos.rtd",,AT$83,"."&amp;$B$82&amp;$AS$82&amp;"P"&amp;$A103)="N/A",0,RTD("tos.rtd",,AT$83,"."&amp;$B$82&amp;$AS$82&amp;"P"&amp;$A103))</f>
        <v>-124</v>
      </c>
      <c r="AU103" s="54">
        <f>IF(RTD("tos.rtd",,AU$83,"."&amp;$C$82&amp;$AU$82&amp;"C"&amp;$A103)="N/A",0,RTD("tos.rtd",,AU$83,"."&amp;$C$82&amp;$AU$82&amp;"C"&amp;$A103))</f>
        <v>1073</v>
      </c>
      <c r="AV103" s="3">
        <f>-IF(RTD("tos.rtd",,AV$83,"."&amp;$C$82&amp;$AU$82&amp;"P"&amp;$A103)="N/A",0,RTD("tos.rtd",,AV$83,"."&amp;$C$82&amp;$AU$82&amp;"P"&amp;$A103))</f>
        <v>-146</v>
      </c>
      <c r="AW103" s="54">
        <f>IF(RTD("tos.rtd",,AW$83,"."&amp;$D$82&amp;$AW$82&amp;"C"&amp;$A103)="N/A",0,RTD("tos.rtd",,AW$83,"."&amp;$D$82&amp;$AW$82&amp;"C"&amp;$A103))</f>
        <v>554</v>
      </c>
      <c r="AX103" s="3">
        <f>-IF(RTD("tos.rtd",,AX$83,"."&amp;$D$82&amp;$AW$82&amp;"P"&amp;$A103)="N/A",0,RTD("tos.rtd",,AX$83,"."&amp;$D$82&amp;$AW$82&amp;"P"&amp;$A103))</f>
        <v>-245</v>
      </c>
      <c r="AY103" s="79">
        <f t="shared" si="518"/>
        <v>1995</v>
      </c>
      <c r="AZ103" s="8">
        <f t="shared" si="453"/>
        <v>5690</v>
      </c>
      <c r="BA103" s="54">
        <f>IF(RTD("tos.rtd",,BA$83,"."&amp;$B$82&amp;$AS$82&amp;"C"&amp;$A103)="N/A",0,RTD("tos.rtd",,BA$83,"."&amp;$B$82&amp;$AS$82&amp;"C"&amp;$A103))</f>
        <v>0</v>
      </c>
      <c r="BB103" s="3">
        <f>-IF(RTD("tos.rtd",,BB$83,"."&amp;$B$82&amp;$AS$82&amp;"P"&amp;$A103)="N/A",0,RTD("tos.rtd",,BB$83,"."&amp;$B$82&amp;$AS$82&amp;"P"&amp;$A103))</f>
        <v>0</v>
      </c>
      <c r="BC103" s="54">
        <f>IF(RTD("tos.rtd",,BC$83,"."&amp;$C$82&amp;$AU$82&amp;"C"&amp;$A103)="N/A",0,RTD("tos.rtd",,BC$83,"."&amp;$C$82&amp;$AU$82&amp;"C"&amp;$A103))</f>
        <v>1</v>
      </c>
      <c r="BD103" s="3">
        <f>-IF(RTD("tos.rtd",,BD$83,"."&amp;$C$82&amp;$AU$82&amp;"P"&amp;$A103)="N/A",0,RTD("tos.rtd",,BD$83,"."&amp;$C$82&amp;$AU$82&amp;"P"&amp;$A103))</f>
        <v>0</v>
      </c>
      <c r="BE103" s="54">
        <f>IF(RTD("tos.rtd",,BE$83,"."&amp;$D$82&amp;$AW$82&amp;"C"&amp;$A103)="N/A",0,RTD("tos.rtd",,BE$83,"."&amp;$D$82&amp;$AW$82&amp;"C"&amp;$A103))</f>
        <v>0</v>
      </c>
      <c r="BF103" s="3">
        <f>-IF(RTD("tos.rtd",,BF$83,"."&amp;$D$82&amp;$AW$82&amp;"P"&amp;$A103)="N/A",0,RTD("tos.rtd",,BF$83,"."&amp;$D$82&amp;$AW$82&amp;"P"&amp;$A103))</f>
        <v>0</v>
      </c>
      <c r="BG103" s="3">
        <f ca="1">+Hoja2!Y104</f>
        <v>0</v>
      </c>
      <c r="BH103" s="55">
        <f t="shared" ca="1" si="491"/>
        <v>1</v>
      </c>
      <c r="BI103" s="32" t="str">
        <f t="shared" ca="1" si="510"/>
        <v/>
      </c>
      <c r="BJ103" s="3" t="e">
        <f ca="1">IF($BP$1=1,DX103,IF(RTD("tos.rtd",,BJ$83,"."&amp;$B$82&amp;$AS$82&amp;"C"&amp;$A103)="N/A",0,RTD("tos.rtd",,BJ$83,"."&amp;$B$82&amp;$AS$82&amp;"C"&amp;$A103)))</f>
        <v>#NUM!</v>
      </c>
      <c r="BK103" s="3" t="e">
        <f ca="1">IF($BP$1=1,DY103,-IF(RTD("tos.rtd",,BK$83,"."&amp;$B$82&amp;$AS$82&amp;"P"&amp;$A103)="N/A",0,RTD("tos.rtd",,BK$83,"."&amp;$B$82&amp;$AS$82&amp;"P"&amp;$A103)))</f>
        <v>#NUM!</v>
      </c>
      <c r="BL103" s="3">
        <f ca="1">IF($BP$1=1,DZ103,IF(RTD("tos.rtd",,BL$83,"."&amp;$C$82&amp;$AU$82&amp;"C"&amp;$A103)="N/A",0,RTD("tos.rtd",,BL$83,"."&amp;$C$82&amp;$AU$82&amp;"C"&amp;$A103)))</f>
        <v>2.669575056980864E-3</v>
      </c>
      <c r="BM103" s="3">
        <f ca="1">IF($BP$1=1,EA103,-IF(RTD("tos.rtd",,BM$83,"."&amp;$C$82&amp;$AU$82&amp;"P"&amp;$A103)="N/A",0,RTD("tos.rtd",,BM$83,"."&amp;$C$82&amp;$AU$82&amp;"P"&amp;$A103)))</f>
        <v>-3.0869229548663667E-3</v>
      </c>
      <c r="BN103" s="3">
        <f ca="1">IF($BP$1=1,EB103,IF(RTD("tos.rtd",,BN$83,"."&amp;$D$82&amp;$AW$82&amp;"C"&amp;$A103)="N/A",0,RTD("tos.rtd",,BN$83,"."&amp;$D$82&amp;$AW$82&amp;"C"&amp;$A103)))</f>
        <v>3.2494697600537895E-3</v>
      </c>
      <c r="BO103" s="3">
        <f ca="1">IF($BP$1=1,EC103,-IF(RTD("tos.rtd",,BO$83,"."&amp;$D$82&amp;$AW$82&amp;"P"&amp;$A103)="N/A",0,RTD("tos.rtd",,BO$83,"."&amp;$D$82&amp;$AW$82&amp;"P"&amp;$A103)))</f>
        <v>-4.0631306152486323E-3</v>
      </c>
      <c r="BQ103" s="3" t="e">
        <f t="shared" ca="1" si="454"/>
        <v>#NUM!</v>
      </c>
      <c r="BR103" s="3" t="e">
        <f t="shared" ca="1" si="492"/>
        <v>#NUM!</v>
      </c>
      <c r="BS103" s="3">
        <f t="shared" ca="1" si="455"/>
        <v>572117.22796989896</v>
      </c>
      <c r="BT103" s="3" t="str">
        <f t="shared" ca="1" si="492"/>
        <v/>
      </c>
      <c r="BU103" s="3">
        <f t="shared" ca="1" si="456"/>
        <v>190741.64801650474</v>
      </c>
      <c r="BV103" s="3" t="str">
        <f t="shared" ca="1" si="492"/>
        <v>Cruce +</v>
      </c>
      <c r="BX103" s="3" t="e">
        <f t="shared" ca="1" si="457"/>
        <v>#NUM!</v>
      </c>
      <c r="BY103" s="3" t="e">
        <f t="shared" ca="1" si="507"/>
        <v>#NUM!</v>
      </c>
      <c r="BZ103" s="3">
        <f t="shared" ca="1" si="458"/>
        <v>632.75048183870842</v>
      </c>
      <c r="CA103" s="3" t="str">
        <f t="shared" ca="1" si="507"/>
        <v/>
      </c>
      <c r="CB103" s="3">
        <f t="shared" ca="1" si="459"/>
        <v>0</v>
      </c>
      <c r="CC103" s="3" t="str">
        <f t="shared" ca="1" si="507"/>
        <v/>
      </c>
      <c r="CD103" s="3">
        <f>IF(RTD("tos.rtd",,CD$83,"."&amp;$B$82&amp;$AS$82&amp;"C"&amp;$A103)="N/A",0,RTD("tos.rtd",,CD$83,"."&amp;$B$82&amp;$AS$82&amp;"C"&amp;$A103))</f>
        <v>0</v>
      </c>
      <c r="CE103" s="3">
        <f>-IF(RTD("tos.rtd",,CE$83,"."&amp;$B$82&amp;$AS$82&amp;"P"&amp;$A103)="N/A",0,RTD("tos.rtd",,CE$83,"."&amp;$B$82&amp;$AS$82&amp;"P"&amp;$A103))</f>
        <v>0.93</v>
      </c>
      <c r="CF103" s="3">
        <f>IF(RTD("tos.rtd",,CF$83,"."&amp;$C$82&amp;$AU$82&amp;"C"&amp;$A103)="N/A",0,RTD("tos.rtd",,CF$83,"."&amp;$C$82&amp;$AU$82&amp;"C"&amp;$A103))</f>
        <v>0.31</v>
      </c>
      <c r="CG103" s="3">
        <f>-IF(RTD("tos.rtd",,CG$83,"."&amp;$C$82&amp;$AU$82&amp;"P"&amp;$A103)="N/A",0,RTD("tos.rtd",,CG$83,"."&amp;$C$82&amp;$AU$82&amp;"P"&amp;$A103))</f>
        <v>1</v>
      </c>
      <c r="CH103" s="3">
        <f>IF(RTD("tos.rtd",,CH$83,"."&amp;$D$82&amp;$AW$82&amp;"C"&amp;$A103)="N/A",0,RTD("tos.rtd",,CH$83,"."&amp;$D$82&amp;$AW$82&amp;"C"&amp;$A103))</f>
        <v>0.41</v>
      </c>
      <c r="CI103" s="3">
        <f>-IF(RTD("tos.rtd",,CI$83,"."&amp;$D$82&amp;$AW$82&amp;"P"&amp;$A103)="N/A",0,RTD("tos.rtd",,CI$83,"."&amp;$D$82&amp;$AW$82&amp;"P"&amp;$A103))</f>
        <v>0.64</v>
      </c>
      <c r="CK103" s="3">
        <f t="shared" si="493"/>
        <v>-11532</v>
      </c>
      <c r="CL103" s="3"/>
      <c r="CM103" s="3">
        <f t="shared" si="494"/>
        <v>18663</v>
      </c>
      <c r="CN103" s="3"/>
      <c r="CO103" s="3">
        <f t="shared" si="495"/>
        <v>7033.9999999999982</v>
      </c>
      <c r="CP103" s="3">
        <f t="shared" si="460"/>
        <v>14164.999999999998</v>
      </c>
      <c r="CQ103" s="3">
        <f t="shared" si="461"/>
        <v>0</v>
      </c>
      <c r="CR103" s="3"/>
      <c r="CS103" s="3">
        <f t="shared" si="462"/>
        <v>1</v>
      </c>
      <c r="CT103" s="3"/>
      <c r="CU103" s="3">
        <f t="shared" si="463"/>
        <v>0</v>
      </c>
      <c r="CV103" s="3"/>
      <c r="CW103" s="3" t="e">
        <f t="shared" ca="1" si="464"/>
        <v>#NUM!</v>
      </c>
      <c r="CY103" s="3" t="e">
        <f t="shared" ca="1" si="465"/>
        <v>#NUM!</v>
      </c>
      <c r="CZ103" s="70" t="e">
        <f t="shared" ca="1" si="508"/>
        <v>#NUM!</v>
      </c>
      <c r="DA103" s="3">
        <f>IF(RTD("tos.rtd",,DA$83,"."&amp;$B$82&amp;$AS$82&amp;"C"&amp;$A103)="N/A",0,RTD("tos.rtd",,DA$83,"."&amp;$B$82&amp;$AS$82&amp;"C"&amp;$A103))</f>
        <v>0.05</v>
      </c>
      <c r="DB103" s="3">
        <f>IF(RTD("tos.rtd",,DB$83,"."&amp;$B$82&amp;$AS$82&amp;"P"&amp;$A103)="N/A",0,RTD("tos.rtd",,DB$83,"."&amp;$B$82&amp;$AS$82&amp;"P"&amp;$A103))</f>
        <v>58.68</v>
      </c>
      <c r="DC103" s="3">
        <f>IF(RTD("tos.rtd",,DC$83,"."&amp;$B$82&amp;$AS$82&amp;"C"&amp;$A103)="N/A",0,RTD("tos.rtd",,DC$83,"."&amp;$B$82&amp;$AS$82&amp;"C"&amp;$A103))</f>
        <v>0.05</v>
      </c>
      <c r="DD103" s="3">
        <f>IF(RTD("tos.rtd",,DD$83,"."&amp;$B$82&amp;$AS$82&amp;"P"&amp;$A103)="N/A",0,RTD("tos.rtd",,DD$83,"."&amp;$B$82&amp;$AS$82&amp;"P"&amp;$A103))</f>
        <v>61.5</v>
      </c>
      <c r="DE103" s="3">
        <f>IF(RTD("tos.rtd",,DE$83,"."&amp;$B$82&amp;$AS$82&amp;"C"&amp;$A103)="N/A",0,RTD("tos.rtd",,DE$83,"."&amp;$B$82&amp;$AS$82&amp;"C"&amp;$A103))</f>
        <v>0</v>
      </c>
      <c r="DF103" s="3">
        <f>IF(RTD("tos.rtd",,DF$83,"."&amp;$B$82&amp;$AS$82&amp;"P"&amp;$A103)="N/A",0,RTD("tos.rtd",,DF$83,"."&amp;$B$82&amp;$AS$82&amp;"P"&amp;$A103))</f>
        <v>58.3</v>
      </c>
      <c r="DG103" s="86">
        <f t="shared" si="497"/>
        <v>58.720000000000255</v>
      </c>
      <c r="DH103" s="3">
        <f t="shared" si="466"/>
        <v>-20442</v>
      </c>
      <c r="DI103" s="3">
        <f t="shared" si="467"/>
        <v>40.256250000000236</v>
      </c>
      <c r="DJ103" s="3">
        <f t="shared" si="468"/>
        <v>-20442</v>
      </c>
      <c r="DK103" s="3">
        <f t="shared" si="469"/>
        <v>-339</v>
      </c>
      <c r="DL103" s="3">
        <f t="shared" si="470"/>
        <v>-20401.743750000001</v>
      </c>
      <c r="DM103" s="3">
        <f t="shared" si="471"/>
        <v>-20781</v>
      </c>
      <c r="DN103" s="64" t="str">
        <f t="shared" si="472"/>
        <v>UNKNOWN</v>
      </c>
      <c r="DO103" s="64" t="str">
        <f t="shared" si="473"/>
        <v>UNKNOWN</v>
      </c>
      <c r="DP103" s="3">
        <f t="shared" si="474"/>
        <v>1340.1367500000138</v>
      </c>
      <c r="DQ103" s="3">
        <f t="shared" si="475"/>
        <v>-20914.62</v>
      </c>
      <c r="DR103" s="3" t="e">
        <f t="shared" ca="1" si="476"/>
        <v>#NUM!</v>
      </c>
      <c r="DS103" s="3">
        <f t="shared" si="477"/>
        <v>-315.27000000000004</v>
      </c>
      <c r="DT103" s="3">
        <f t="shared" si="498"/>
        <v>-20442</v>
      </c>
      <c r="DU103" s="3">
        <f t="shared" si="499"/>
        <v>339</v>
      </c>
      <c r="DV103" s="3">
        <f t="shared" si="500"/>
        <v>139</v>
      </c>
      <c r="DW103" s="3">
        <f t="shared" si="501"/>
        <v>-59</v>
      </c>
      <c r="DX103" s="3" t="e">
        <f t="shared" ca="1" si="509"/>
        <v>#NUM!</v>
      </c>
      <c r="DY103" s="3" t="e">
        <f t="shared" ca="1" si="478"/>
        <v>#NUM!</v>
      </c>
      <c r="DZ103" s="3">
        <f t="shared" ca="1" si="502"/>
        <v>2.669575056980864E-3</v>
      </c>
      <c r="EA103" s="3">
        <f t="shared" ca="1" si="503"/>
        <v>-3.0869229548663667E-3</v>
      </c>
      <c r="EB103" s="3">
        <f t="shared" ca="1" si="479"/>
        <v>3.2494697600537895E-3</v>
      </c>
      <c r="EC103" s="3">
        <f t="shared" ca="1" si="480"/>
        <v>-4.0631306152486323E-3</v>
      </c>
      <c r="ED103" s="63">
        <f t="shared" si="504"/>
        <v>80</v>
      </c>
      <c r="EE103" s="59">
        <f t="shared" si="481"/>
        <v>0.51300000000000001</v>
      </c>
      <c r="EF103" s="59">
        <f t="shared" si="482"/>
        <v>0.92400000000000004</v>
      </c>
      <c r="EG103" s="59">
        <f t="shared" si="483"/>
        <v>0.30009999999999998</v>
      </c>
      <c r="EH103" s="59">
        <f t="shared" si="484"/>
        <v>0.25</v>
      </c>
      <c r="EI103" s="59">
        <f t="shared" si="485"/>
        <v>0.23319999999999999</v>
      </c>
      <c r="EJ103" s="59">
        <f t="shared" si="486"/>
        <v>0.15809999999999999</v>
      </c>
      <c r="EL103" s="3" t="str">
        <f>RTD("tos.rtd",,EL$83,"."&amp;$B$82&amp;$AS$82&amp;"C"&amp;$A103)</f>
        <v>51.30%</v>
      </c>
      <c r="EM103" s="3" t="str">
        <f>RTD("tos.rtd",,EM$83,"."&amp;$B$82&amp;$AS$82&amp;"P"&amp;$A103)</f>
        <v>92.40%</v>
      </c>
      <c r="EN103" s="3" t="str">
        <f>RTD("tos.rtd",,EN$83,"."&amp;$C$82&amp;$AU$82&amp;"C"&amp;$A103)</f>
        <v>30.01%</v>
      </c>
      <c r="EO103" s="3" t="str">
        <f>RTD("tos.rtd",,EO$83,"."&amp;$C$82&amp;$AU$82&amp;"P"&amp;$A103)</f>
        <v>--</v>
      </c>
      <c r="EP103" s="3" t="str">
        <f>RTD("tos.rtd",,EP$83,"."&amp;$D$82&amp;$AW$82&amp;"C"&amp;$A103)</f>
        <v>23.32%</v>
      </c>
      <c r="EQ103" s="3" t="str">
        <f>RTD("tos.rtd",,EQ$83,"."&amp;$D$82&amp;$AW$82&amp;"P"&amp;$A103)</f>
        <v>15.81%</v>
      </c>
      <c r="ES103" s="63" t="str">
        <f t="shared" si="487"/>
        <v>5690,80.00</v>
      </c>
      <c r="ET103" s="64" t="str">
        <f t="shared" ca="1" si="488"/>
        <v>5690,00.00</v>
      </c>
      <c r="EU103" s="67">
        <v>562.27</v>
      </c>
      <c r="EV103" s="67" t="s">
        <v>844</v>
      </c>
      <c r="EW103" s="67">
        <v>484.6</v>
      </c>
      <c r="EX103" s="67" t="s">
        <v>845</v>
      </c>
      <c r="EY103" s="67">
        <v>5636.25</v>
      </c>
      <c r="EZ103" s="67" t="s">
        <v>846</v>
      </c>
      <c r="FA103" s="67">
        <v>19905.75</v>
      </c>
      <c r="FB103" s="67" t="s">
        <v>847</v>
      </c>
      <c r="FC103" s="67" t="s">
        <v>848</v>
      </c>
      <c r="FD103" s="67" t="s">
        <v>849</v>
      </c>
      <c r="FE103" s="68" t="s">
        <v>850</v>
      </c>
      <c r="FF103" s="68" t="s">
        <v>851</v>
      </c>
    </row>
    <row r="104" spans="1:162" s="63" customFormat="1" ht="12" customHeight="1" thickBot="1" x14ac:dyDescent="0.25">
      <c r="A104" s="2">
        <f t="shared" si="505"/>
        <v>5680</v>
      </c>
      <c r="B104" s="3">
        <f t="shared" si="449"/>
        <v>989</v>
      </c>
      <c r="C104" s="3">
        <f t="shared" si="450"/>
        <v>2828</v>
      </c>
      <c r="D104" s="3">
        <f t="shared" si="451"/>
        <v>1360</v>
      </c>
      <c r="E104" s="3">
        <f t="shared" si="516"/>
        <v>5177</v>
      </c>
      <c r="F104" s="4">
        <f t="shared" si="519"/>
        <v>5729.141509567984</v>
      </c>
      <c r="G104" s="4">
        <f t="shared" si="517"/>
        <v>569.21239931241223</v>
      </c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20"/>
      <c r="AM104" s="20">
        <v>-2278</v>
      </c>
      <c r="AN104" s="20">
        <v>316</v>
      </c>
      <c r="AO104" s="20">
        <v>5680</v>
      </c>
      <c r="AP104" s="20">
        <v>26592</v>
      </c>
      <c r="AQ104" s="20">
        <v>-1695</v>
      </c>
      <c r="AR104" s="20"/>
      <c r="AS104" s="54">
        <f>IF(RTD("tos.rtd",,AS$83,"."&amp;$B$82&amp;$AS$82&amp;"C"&amp;$A104)="N/A",0,RTD("tos.rtd",,AS$83,"."&amp;$B$82&amp;$AS$82&amp;"C"&amp;$A104))</f>
        <v>801</v>
      </c>
      <c r="AT104" s="3">
        <f>-IF(RTD("tos.rtd",,AT$83,"."&amp;$B$82&amp;$AS$82&amp;"P"&amp;$A104)="N/A",0,RTD("tos.rtd",,AT$83,"."&amp;$B$82&amp;$AS$82&amp;"P"&amp;$A104))</f>
        <v>-188</v>
      </c>
      <c r="AU104" s="54">
        <f>IF(RTD("tos.rtd",,AU$83,"."&amp;$C$82&amp;$AU$82&amp;"C"&amp;$A104)="N/A",0,RTD("tos.rtd",,AU$83,"."&amp;$C$82&amp;$AU$82&amp;"C"&amp;$A104))</f>
        <v>2541</v>
      </c>
      <c r="AV104" s="3">
        <f>-IF(RTD("tos.rtd",,AV$83,"."&amp;$C$82&amp;$AU$82&amp;"P"&amp;$A104)="N/A",0,RTD("tos.rtd",,AV$83,"."&amp;$C$82&amp;$AU$82&amp;"P"&amp;$A104))</f>
        <v>-287</v>
      </c>
      <c r="AW104" s="54">
        <f>IF(RTD("tos.rtd",,AW$83,"."&amp;$D$82&amp;$AW$82&amp;"C"&amp;$A104)="N/A",0,RTD("tos.rtd",,AW$83,"."&amp;$D$82&amp;$AW$82&amp;"C"&amp;$A104))</f>
        <v>530</v>
      </c>
      <c r="AX104" s="3">
        <f>-IF(RTD("tos.rtd",,AX$83,"."&amp;$D$82&amp;$AW$82&amp;"P"&amp;$A104)="N/A",0,RTD("tos.rtd",,AX$83,"."&amp;$D$82&amp;$AW$82&amp;"P"&amp;$A104))</f>
        <v>-830</v>
      </c>
      <c r="AY104" s="79">
        <f t="shared" si="518"/>
        <v>2567</v>
      </c>
      <c r="AZ104" s="8">
        <f t="shared" si="453"/>
        <v>5680</v>
      </c>
      <c r="BA104" s="54">
        <f>IF(RTD("tos.rtd",,BA$83,"."&amp;$B$82&amp;$AS$82&amp;"C"&amp;$A104)="N/A",0,RTD("tos.rtd",,BA$83,"."&amp;$B$82&amp;$AS$82&amp;"C"&amp;$A104))</f>
        <v>0</v>
      </c>
      <c r="BB104" s="3">
        <f>-IF(RTD("tos.rtd",,BB$83,"."&amp;$B$82&amp;$AS$82&amp;"P"&amp;$A104)="N/A",0,RTD("tos.rtd",,BB$83,"."&amp;$B$82&amp;$AS$82&amp;"P"&amp;$A104))</f>
        <v>0</v>
      </c>
      <c r="BC104" s="54">
        <f>IF(RTD("tos.rtd",,BC$83,"."&amp;$C$82&amp;$AU$82&amp;"C"&amp;$A104)="N/A",0,RTD("tos.rtd",,BC$83,"."&amp;$C$82&amp;$AU$82&amp;"C"&amp;$A104))</f>
        <v>10</v>
      </c>
      <c r="BD104" s="3">
        <f>-IF(RTD("tos.rtd",,BD$83,"."&amp;$C$82&amp;$AU$82&amp;"P"&amp;$A104)="N/A",0,RTD("tos.rtd",,BD$83,"."&amp;$C$82&amp;$AU$82&amp;"P"&amp;$A104))</f>
        <v>-1</v>
      </c>
      <c r="BE104" s="54">
        <f>IF(RTD("tos.rtd",,BE$83,"."&amp;$D$82&amp;$AW$82&amp;"C"&amp;$A104)="N/A",0,RTD("tos.rtd",,BE$83,"."&amp;$D$82&amp;$AW$82&amp;"C"&amp;$A104))</f>
        <v>0</v>
      </c>
      <c r="BF104" s="3">
        <f>-IF(RTD("tos.rtd",,BF$83,"."&amp;$D$82&amp;$AW$82&amp;"P"&amp;$A104)="N/A",0,RTD("tos.rtd",,BF$83,"."&amp;$D$82&amp;$AW$82&amp;"P"&amp;$A104))</f>
        <v>0</v>
      </c>
      <c r="BG104" s="3">
        <f ca="1">+Hoja2!Y105</f>
        <v>0</v>
      </c>
      <c r="BH104" s="55">
        <f t="shared" ca="1" si="491"/>
        <v>9</v>
      </c>
      <c r="BI104" s="32" t="str">
        <f t="shared" ca="1" si="510"/>
        <v/>
      </c>
      <c r="BJ104" s="3" t="e">
        <f ca="1">IF($BP$1=1,DX104,IF(RTD("tos.rtd",,BJ$83,"."&amp;$B$82&amp;$AS$82&amp;"C"&amp;$A104)="N/A",0,RTD("tos.rtd",,BJ$83,"."&amp;$B$82&amp;$AS$82&amp;"C"&amp;$A104)))</f>
        <v>#NUM!</v>
      </c>
      <c r="BK104" s="3" t="e">
        <f ca="1">IF($BP$1=1,DY104,-IF(RTD("tos.rtd",,BK$83,"."&amp;$B$82&amp;$AS$82&amp;"P"&amp;$A104)="N/A",0,RTD("tos.rtd",,BK$83,"."&amp;$B$82&amp;$AS$82&amp;"P"&amp;$A104)))</f>
        <v>#NUM!</v>
      </c>
      <c r="BL104" s="3">
        <f ca="1">IF($BP$1=1,DZ104,IF(RTD("tos.rtd",,BL$83,"."&amp;$C$82&amp;$AU$82&amp;"C"&amp;$A104)="N/A",0,RTD("tos.rtd",,BL$83,"."&amp;$C$82&amp;$AU$82&amp;"C"&amp;$A104)))</f>
        <v>2.6808680587999323E-3</v>
      </c>
      <c r="BM104" s="3">
        <f ca="1">IF($BP$1=1,EA104,-IF(RTD("tos.rtd",,BM$83,"."&amp;$C$82&amp;$AU$82&amp;"P"&amp;$A104)="N/A",0,RTD("tos.rtd",,BM$83,"."&amp;$C$82&amp;$AU$82&amp;"P"&amp;$A104)))</f>
        <v>-3.2065764382084275E-3</v>
      </c>
      <c r="BN104" s="3">
        <f ca="1">IF($BP$1=1,EB104,IF(RTD("tos.rtd",,BN$83,"."&amp;$D$82&amp;$AW$82&amp;"C"&amp;$A104)="N/A",0,RTD("tos.rtd",,BN$83,"."&amp;$D$82&amp;$AW$82&amp;"C"&amp;$A104)))</f>
        <v>3.3566093720071048E-3</v>
      </c>
      <c r="BO104" s="3">
        <f ca="1">IF($BP$1=1,EC104,-IF(RTD("tos.rtd",,BO$83,"."&amp;$D$82&amp;$AW$82&amp;"P"&amp;$A104)="N/A",0,RTD("tos.rtd",,BO$83,"."&amp;$D$82&amp;$AW$82&amp;"P"&amp;$A104)))</f>
        <v>-4.3986757076753943E-3</v>
      </c>
      <c r="BQ104" s="3" t="e">
        <f t="shared" ca="1" si="454"/>
        <v>#NUM!</v>
      </c>
      <c r="BR104" s="3" t="e">
        <f t="shared" ca="1" si="492"/>
        <v>#NUM!</v>
      </c>
      <c r="BS104" s="3">
        <f t="shared" ca="1" si="455"/>
        <v>1396491.2517623433</v>
      </c>
      <c r="BT104" s="3" t="str">
        <f t="shared" ca="1" si="492"/>
        <v/>
      </c>
      <c r="BU104" s="3">
        <f t="shared" ca="1" si="456"/>
        <v>-443682.70381794422</v>
      </c>
      <c r="BV104" s="3" t="str">
        <f t="shared" ca="1" si="492"/>
        <v>Cruce -</v>
      </c>
      <c r="BX104" s="3" t="e">
        <f t="shared" ca="1" si="457"/>
        <v>#NUM!</v>
      </c>
      <c r="BY104" s="3" t="e">
        <f t="shared" ca="1" si="507"/>
        <v>#NUM!</v>
      </c>
      <c r="BZ104" s="3">
        <f t="shared" ca="1" si="458"/>
        <v>5594.2397027328152</v>
      </c>
      <c r="CA104" s="3" t="str">
        <f t="shared" ca="1" si="507"/>
        <v/>
      </c>
      <c r="CB104" s="3">
        <f t="shared" ca="1" si="459"/>
        <v>0</v>
      </c>
      <c r="CC104" s="3" t="str">
        <f t="shared" ca="1" si="507"/>
        <v/>
      </c>
      <c r="CD104" s="3">
        <f>IF(RTD("tos.rtd",,CD$83,"."&amp;$B$82&amp;$AS$82&amp;"C"&amp;$A104)="N/A",0,RTD("tos.rtd",,CD$83,"."&amp;$B$82&amp;$AS$82&amp;"C"&amp;$A104))</f>
        <v>0</v>
      </c>
      <c r="CE104" s="3">
        <f>-IF(RTD("tos.rtd",,CE$83,"."&amp;$B$82&amp;$AS$82&amp;"P"&amp;$A104)="N/A",0,RTD("tos.rtd",,CE$83,"."&amp;$B$82&amp;$AS$82&amp;"P"&amp;$A104))</f>
        <v>0.92</v>
      </c>
      <c r="CF104" s="3">
        <f>IF(RTD("tos.rtd",,CF$83,"."&amp;$C$82&amp;$AU$82&amp;"C"&amp;$A104)="N/A",0,RTD("tos.rtd",,CF$83,"."&amp;$C$82&amp;$AU$82&amp;"C"&amp;$A104))</f>
        <v>0.35</v>
      </c>
      <c r="CG104" s="3">
        <f>-IF(RTD("tos.rtd",,CG$83,"."&amp;$C$82&amp;$AU$82&amp;"P"&amp;$A104)="N/A",0,RTD("tos.rtd",,CG$83,"."&amp;$C$82&amp;$AU$82&amp;"P"&amp;$A104))</f>
        <v>1</v>
      </c>
      <c r="CH104" s="3">
        <f>IF(RTD("tos.rtd",,CH$83,"."&amp;$D$82&amp;$AW$82&amp;"C"&amp;$A104)="N/A",0,RTD("tos.rtd",,CH$83,"."&amp;$D$82&amp;$AW$82&amp;"C"&amp;$A104))</f>
        <v>0.43</v>
      </c>
      <c r="CI104" s="3">
        <f>-IF(RTD("tos.rtd",,CI$83,"."&amp;$D$82&amp;$AW$82&amp;"P"&amp;$A104)="N/A",0,RTD("tos.rtd",,CI$83,"."&amp;$D$82&amp;$AW$82&amp;"P"&amp;$A104))</f>
        <v>0.61</v>
      </c>
      <c r="CK104" s="3">
        <f t="shared" si="493"/>
        <v>-17296</v>
      </c>
      <c r="CL104" s="3"/>
      <c r="CM104" s="3">
        <f t="shared" si="494"/>
        <v>60234.999999999985</v>
      </c>
      <c r="CN104" s="3"/>
      <c r="CO104" s="3">
        <f t="shared" si="495"/>
        <v>-27840</v>
      </c>
      <c r="CP104" s="3">
        <f t="shared" si="460"/>
        <v>15098.999999999985</v>
      </c>
      <c r="CQ104" s="3">
        <f t="shared" si="461"/>
        <v>0</v>
      </c>
      <c r="CR104" s="3"/>
      <c r="CS104" s="3">
        <f t="shared" si="462"/>
        <v>9</v>
      </c>
      <c r="CT104" s="3"/>
      <c r="CU104" s="3">
        <f t="shared" si="463"/>
        <v>0</v>
      </c>
      <c r="CV104" s="3"/>
      <c r="CW104" s="3" t="e">
        <f t="shared" ca="1" si="464"/>
        <v>#NUM!</v>
      </c>
      <c r="CY104" s="3" t="e">
        <f t="shared" ca="1" si="465"/>
        <v>#NUM!</v>
      </c>
      <c r="CZ104" s="70" t="e">
        <f t="shared" ca="1" si="508"/>
        <v>#NUM!</v>
      </c>
      <c r="DA104" s="3">
        <f>IF(RTD("tos.rtd",,DA$83,"."&amp;$B$82&amp;$AS$82&amp;"C"&amp;$A104)="N/A",0,RTD("tos.rtd",,DA$83,"."&amp;$B$82&amp;$AS$82&amp;"C"&amp;$A104))</f>
        <v>0.05</v>
      </c>
      <c r="DB104" s="3">
        <f>IF(RTD("tos.rtd",,DB$83,"."&amp;$B$82&amp;$AS$82&amp;"P"&amp;$A104)="N/A",0,RTD("tos.rtd",,DB$83,"."&amp;$B$82&amp;$AS$82&amp;"P"&amp;$A104))</f>
        <v>50.59</v>
      </c>
      <c r="DC104" s="3">
        <f>IF(RTD("tos.rtd",,DC$83,"."&amp;$B$82&amp;$AS$82&amp;"C"&amp;$A104)="N/A",0,RTD("tos.rtd",,DC$83,"."&amp;$B$82&amp;$AS$82&amp;"C"&amp;$A104))</f>
        <v>0.05</v>
      </c>
      <c r="DD104" s="3">
        <f>IF(RTD("tos.rtd",,DD$83,"."&amp;$B$82&amp;$AS$82&amp;"P"&amp;$A104)="N/A",0,RTD("tos.rtd",,DD$83,"."&amp;$B$82&amp;$AS$82&amp;"P"&amp;$A104))</f>
        <v>51.5</v>
      </c>
      <c r="DE104" s="3">
        <f>IF(RTD("tos.rtd",,DE$83,"."&amp;$B$82&amp;$AS$82&amp;"C"&amp;$A104)="N/A",0,RTD("tos.rtd",,DE$83,"."&amp;$B$82&amp;$AS$82&amp;"C"&amp;$A104))</f>
        <v>0</v>
      </c>
      <c r="DF104" s="3">
        <f>IF(RTD("tos.rtd",,DF$83,"."&amp;$B$82&amp;$AS$82&amp;"P"&amp;$A104)="N/A",0,RTD("tos.rtd",,DF$83,"."&amp;$B$82&amp;$AS$82&amp;"P"&amp;$A104))</f>
        <v>48.3</v>
      </c>
      <c r="DG104" s="86">
        <f t="shared" si="497"/>
        <v>48.720000000000255</v>
      </c>
      <c r="DH104" s="3">
        <f t="shared" si="466"/>
        <v>-26592</v>
      </c>
      <c r="DI104" s="3">
        <f t="shared" si="467"/>
        <v>1212.9843750000023</v>
      </c>
      <c r="DJ104" s="3">
        <f t="shared" si="468"/>
        <v>-26592</v>
      </c>
      <c r="DK104" s="3">
        <f t="shared" si="469"/>
        <v>1695</v>
      </c>
      <c r="DL104" s="3">
        <f t="shared" si="470"/>
        <v>-25379.015624999996</v>
      </c>
      <c r="DM104" s="3">
        <f t="shared" si="471"/>
        <v>-24897</v>
      </c>
      <c r="DN104" s="64" t="str">
        <f t="shared" si="472"/>
        <v>UNKNOWN</v>
      </c>
      <c r="DO104" s="64" t="str">
        <f t="shared" si="473"/>
        <v>UNKNOWN</v>
      </c>
      <c r="DP104" s="3">
        <f t="shared" si="474"/>
        <v>60035.279531250118</v>
      </c>
      <c r="DQ104" s="3">
        <f t="shared" si="475"/>
        <v>84420.45</v>
      </c>
      <c r="DR104" s="3" t="e">
        <f t="shared" ca="1" si="476"/>
        <v>#NUM!</v>
      </c>
      <c r="DS104" s="3">
        <f t="shared" si="477"/>
        <v>1559.4</v>
      </c>
      <c r="DT104" s="3">
        <f t="shared" si="498"/>
        <v>-26592</v>
      </c>
      <c r="DU104" s="3">
        <f t="shared" si="499"/>
        <v>1695</v>
      </c>
      <c r="DV104" s="3">
        <f t="shared" si="500"/>
        <v>-2278</v>
      </c>
      <c r="DW104" s="3">
        <f t="shared" si="501"/>
        <v>316</v>
      </c>
      <c r="DX104" s="3" t="e">
        <f t="shared" ca="1" si="509"/>
        <v>#NUM!</v>
      </c>
      <c r="DY104" s="3" t="e">
        <f t="shared" ca="1" si="478"/>
        <v>#NUM!</v>
      </c>
      <c r="DZ104" s="3">
        <f t="shared" ca="1" si="502"/>
        <v>2.6808680587999323E-3</v>
      </c>
      <c r="EA104" s="3">
        <f t="shared" ca="1" si="503"/>
        <v>-3.2065764382084275E-3</v>
      </c>
      <c r="EB104" s="3">
        <f t="shared" ca="1" si="479"/>
        <v>3.3566093720071048E-3</v>
      </c>
      <c r="EC104" s="3">
        <f t="shared" ca="1" si="480"/>
        <v>-4.3986757076753943E-3</v>
      </c>
      <c r="ED104" s="63">
        <f t="shared" si="504"/>
        <v>-1962</v>
      </c>
      <c r="EE104" s="59">
        <f t="shared" si="481"/>
        <v>0.43430000000000002</v>
      </c>
      <c r="EF104" s="59">
        <f t="shared" si="482"/>
        <v>0.80159999999999998</v>
      </c>
      <c r="EG104" s="59">
        <f t="shared" si="483"/>
        <v>0.30759999999999998</v>
      </c>
      <c r="EH104" s="59">
        <f t="shared" si="484"/>
        <v>0.25</v>
      </c>
      <c r="EI104" s="59">
        <f t="shared" si="485"/>
        <v>0.23649999999999999</v>
      </c>
      <c r="EJ104" s="59">
        <f t="shared" si="486"/>
        <v>0.16270000000000001</v>
      </c>
      <c r="EL104" s="3" t="str">
        <f>RTD("tos.rtd",,EL$83,"."&amp;$B$82&amp;$AS$82&amp;"C"&amp;$A104)</f>
        <v>43.43%</v>
      </c>
      <c r="EM104" s="3" t="str">
        <f>RTD("tos.rtd",,EM$83,"."&amp;$B$82&amp;$AS$82&amp;"P"&amp;$A104)</f>
        <v>80.16%</v>
      </c>
      <c r="EN104" s="3" t="str">
        <f>RTD("tos.rtd",,EN$83,"."&amp;$C$82&amp;$AU$82&amp;"C"&amp;$A104)</f>
        <v>30.76%</v>
      </c>
      <c r="EO104" s="3" t="str">
        <f>RTD("tos.rtd",,EO$83,"."&amp;$C$82&amp;$AU$82&amp;"P"&amp;$A104)</f>
        <v>--</v>
      </c>
      <c r="EP104" s="3" t="str">
        <f>RTD("tos.rtd",,EP$83,"."&amp;$D$82&amp;$AW$82&amp;"C"&amp;$A104)</f>
        <v>23.65%</v>
      </c>
      <c r="EQ104" s="3" t="str">
        <f>RTD("tos.rtd",,EQ$83,"."&amp;$D$82&amp;$AW$82&amp;"P"&amp;$A104)</f>
        <v>16.27%</v>
      </c>
      <c r="ES104" s="63" t="str">
        <f t="shared" si="487"/>
        <v>5680,-1962.00</v>
      </c>
      <c r="ET104" s="64" t="str">
        <f t="shared" ca="1" si="488"/>
        <v>5680,00.00</v>
      </c>
      <c r="EU104" s="67">
        <v>562.21</v>
      </c>
      <c r="EV104" s="67" t="s">
        <v>852</v>
      </c>
      <c r="EW104" s="67">
        <v>484.54</v>
      </c>
      <c r="EX104" s="67" t="s">
        <v>853</v>
      </c>
      <c r="EY104" s="67">
        <v>5635.5</v>
      </c>
      <c r="EZ104" s="67" t="s">
        <v>854</v>
      </c>
      <c r="FA104" s="67">
        <v>19904.25</v>
      </c>
      <c r="FB104" s="67" t="s">
        <v>855</v>
      </c>
      <c r="FC104" s="67" t="s">
        <v>856</v>
      </c>
      <c r="FD104" s="67" t="s">
        <v>857</v>
      </c>
      <c r="FE104" s="68" t="s">
        <v>858</v>
      </c>
      <c r="FF104" s="68" t="s">
        <v>859</v>
      </c>
    </row>
    <row r="105" spans="1:162" s="63" customFormat="1" ht="12" customHeight="1" thickBot="1" x14ac:dyDescent="0.25">
      <c r="A105" s="2">
        <f t="shared" si="505"/>
        <v>5670</v>
      </c>
      <c r="B105" s="3">
        <f t="shared" si="449"/>
        <v>856</v>
      </c>
      <c r="C105" s="3">
        <f t="shared" si="450"/>
        <v>809</v>
      </c>
      <c r="D105" s="3">
        <f t="shared" si="451"/>
        <v>313</v>
      </c>
      <c r="E105" s="3">
        <f t="shared" si="516"/>
        <v>1978</v>
      </c>
      <c r="F105" s="4">
        <f t="shared" si="519"/>
        <v>5719.0549928257869</v>
      </c>
      <c r="G105" s="4">
        <f t="shared" si="517"/>
        <v>568.21026480658043</v>
      </c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20"/>
      <c r="AM105" s="20">
        <v>-3543</v>
      </c>
      <c r="AN105" s="20">
        <v>354</v>
      </c>
      <c r="AO105" s="20">
        <v>5670</v>
      </c>
      <c r="AP105" s="20">
        <v>25306</v>
      </c>
      <c r="AQ105" s="20">
        <v>-1891</v>
      </c>
      <c r="AR105" s="20"/>
      <c r="AS105" s="54">
        <f>IF(RTD("tos.rtd",,AS$83,"."&amp;$B$82&amp;$AS$82&amp;"C"&amp;$A105)="N/A",0,RTD("tos.rtd",,AS$83,"."&amp;$B$82&amp;$AS$82&amp;"C"&amp;$A105))</f>
        <v>733</v>
      </c>
      <c r="AT105" s="3">
        <f>-IF(RTD("tos.rtd",,AT$83,"."&amp;$B$82&amp;$AS$82&amp;"P"&amp;$A105)="N/A",0,RTD("tos.rtd",,AT$83,"."&amp;$B$82&amp;$AS$82&amp;"P"&amp;$A105))</f>
        <v>-123</v>
      </c>
      <c r="AU105" s="54">
        <f>IF(RTD("tos.rtd",,AU$83,"."&amp;$C$82&amp;$AU$82&amp;"C"&amp;$A105)="N/A",0,RTD("tos.rtd",,AU$83,"."&amp;$C$82&amp;$AU$82&amp;"C"&amp;$A105))</f>
        <v>500</v>
      </c>
      <c r="AV105" s="3">
        <f>-IF(RTD("tos.rtd",,AV$83,"."&amp;$C$82&amp;$AU$82&amp;"P"&amp;$A105)="N/A",0,RTD("tos.rtd",,AV$83,"."&amp;$C$82&amp;$AU$82&amp;"P"&amp;$A105))</f>
        <v>-309</v>
      </c>
      <c r="AW105" s="54">
        <f>IF(RTD("tos.rtd",,AW$83,"."&amp;$D$82&amp;$AW$82&amp;"C"&amp;$A105)="N/A",0,RTD("tos.rtd",,AW$83,"."&amp;$D$82&amp;$AW$82&amp;"C"&amp;$A105))</f>
        <v>147</v>
      </c>
      <c r="AX105" s="3">
        <f>-IF(RTD("tos.rtd",,AX$83,"."&amp;$D$82&amp;$AW$82&amp;"P"&amp;$A105)="N/A",0,RTD("tos.rtd",,AX$83,"."&amp;$D$82&amp;$AW$82&amp;"P"&amp;$A105))</f>
        <v>-166</v>
      </c>
      <c r="AY105" s="79">
        <f t="shared" si="518"/>
        <v>782</v>
      </c>
      <c r="AZ105" s="8">
        <f t="shared" si="453"/>
        <v>5670</v>
      </c>
      <c r="BA105" s="54">
        <f>IF(RTD("tos.rtd",,BA$83,"."&amp;$B$82&amp;$AS$82&amp;"C"&amp;$A105)="N/A",0,RTD("tos.rtd",,BA$83,"."&amp;$B$82&amp;$AS$82&amp;"C"&amp;$A105))</f>
        <v>0</v>
      </c>
      <c r="BB105" s="3">
        <f>-IF(RTD("tos.rtd",,BB$83,"."&amp;$B$82&amp;$AS$82&amp;"P"&amp;$A105)="N/A",0,RTD("tos.rtd",,BB$83,"."&amp;$B$82&amp;$AS$82&amp;"P"&amp;$A105))</f>
        <v>0</v>
      </c>
      <c r="BC105" s="54">
        <f>IF(RTD("tos.rtd",,BC$83,"."&amp;$C$82&amp;$AU$82&amp;"C"&amp;$A105)="N/A",0,RTD("tos.rtd",,BC$83,"."&amp;$C$82&amp;$AU$82&amp;"C"&amp;$A105))</f>
        <v>11</v>
      </c>
      <c r="BD105" s="3">
        <f>-IF(RTD("tos.rtd",,BD$83,"."&amp;$C$82&amp;$AU$82&amp;"P"&amp;$A105)="N/A",0,RTD("tos.rtd",,BD$83,"."&amp;$C$82&amp;$AU$82&amp;"P"&amp;$A105))</f>
        <v>0</v>
      </c>
      <c r="BE105" s="54">
        <f>IF(RTD("tos.rtd",,BE$83,"."&amp;$D$82&amp;$AW$82&amp;"C"&amp;$A105)="N/A",0,RTD("tos.rtd",,BE$83,"."&amp;$D$82&amp;$AW$82&amp;"C"&amp;$A105))</f>
        <v>0</v>
      </c>
      <c r="BF105" s="3">
        <f>-IF(RTD("tos.rtd",,BF$83,"."&amp;$D$82&amp;$AW$82&amp;"P"&amp;$A105)="N/A",0,RTD("tos.rtd",,BF$83,"."&amp;$D$82&amp;$AW$82&amp;"P"&amp;$A105))</f>
        <v>0</v>
      </c>
      <c r="BG105" s="3">
        <f ca="1">+Hoja2!Y106</f>
        <v>0</v>
      </c>
      <c r="BH105" s="55">
        <f t="shared" ca="1" si="491"/>
        <v>11</v>
      </c>
      <c r="BI105" s="32" t="str">
        <f t="shared" ca="1" si="510"/>
        <v/>
      </c>
      <c r="BJ105" s="3" t="e">
        <f ca="1">IF($BP$1=1,DX105,IF(RTD("tos.rtd",,BJ$83,"."&amp;$B$82&amp;$AS$82&amp;"C"&amp;$A105)="N/A",0,RTD("tos.rtd",,BJ$83,"."&amp;$B$82&amp;$AS$82&amp;"C"&amp;$A105)))</f>
        <v>#NUM!</v>
      </c>
      <c r="BK105" s="3" t="e">
        <f ca="1">IF($BP$1=1,DY105,-IF(RTD("tos.rtd",,BK$83,"."&amp;$B$82&amp;$AS$82&amp;"P"&amp;$A105)="N/A",0,RTD("tos.rtd",,BK$83,"."&amp;$B$82&amp;$AS$82&amp;"P"&amp;$A105)))</f>
        <v>#NUM!</v>
      </c>
      <c r="BL105" s="3">
        <f ca="1">IF($BP$1=1,DZ105,IF(RTD("tos.rtd",,BL$83,"."&amp;$C$82&amp;$AU$82&amp;"C"&amp;$A105)="N/A",0,RTD("tos.rtd",,BL$83,"."&amp;$C$82&amp;$AU$82&amp;"C"&amp;$A105)))</f>
        <v>2.6669536328872037E-3</v>
      </c>
      <c r="BM105" s="3">
        <f ca="1">IF($BP$1=1,EA105,-IF(RTD("tos.rtd",,BM$83,"."&amp;$C$82&amp;$AU$82&amp;"P"&amp;$A105)="N/A",0,RTD("tos.rtd",,BM$83,"."&amp;$C$82&amp;$AU$82&amp;"P"&amp;$A105)))</f>
        <v>-6.2301258450048113E-3</v>
      </c>
      <c r="BN105" s="3">
        <f ca="1">IF($BP$1=1,EB105,IF(RTD("tos.rtd",,BN$83,"."&amp;$D$82&amp;$AW$82&amp;"C"&amp;$A105)="N/A",0,RTD("tos.rtd",,BN$83,"."&amp;$D$82&amp;$AW$82&amp;"C"&amp;$A105)))</f>
        <v>3.4277287519407971E-3</v>
      </c>
      <c r="BO105" s="3">
        <f ca="1">IF($BP$1=1,EC105,-IF(RTD("tos.rtd",,BO$83,"."&amp;$D$82&amp;$AW$82&amp;"P"&amp;$A105)="N/A",0,RTD("tos.rtd",,BO$83,"."&amp;$D$82&amp;$AW$82&amp;"P"&amp;$A105)))</f>
        <v>-4.6391996583191354E-3</v>
      </c>
      <c r="BQ105" s="3" t="e">
        <f t="shared" ca="1" si="454"/>
        <v>#NUM!</v>
      </c>
      <c r="BR105" s="3" t="e">
        <f t="shared" ca="1" si="492"/>
        <v>#NUM!</v>
      </c>
      <c r="BS105" s="3">
        <f t="shared" ca="1" si="455"/>
        <v>-140230.36219622061</v>
      </c>
      <c r="BT105" s="3" t="str">
        <f t="shared" ca="1" si="492"/>
        <v>Cruce -</v>
      </c>
      <c r="BU105" s="3">
        <f t="shared" ca="1" si="456"/>
        <v>-63102.853649207376</v>
      </c>
      <c r="BV105" s="3" t="str">
        <f t="shared" ca="1" si="492"/>
        <v/>
      </c>
      <c r="BX105" s="3" t="e">
        <f t="shared" ca="1" si="457"/>
        <v>#NUM!</v>
      </c>
      <c r="BY105" s="3" t="e">
        <f t="shared" ca="1" si="507"/>
        <v>#NUM!</v>
      </c>
      <c r="BZ105" s="3">
        <f t="shared" ca="1" si="458"/>
        <v>6953.4205866280881</v>
      </c>
      <c r="CA105" s="3" t="str">
        <f t="shared" ca="1" si="507"/>
        <v/>
      </c>
      <c r="CB105" s="3">
        <f t="shared" ca="1" si="459"/>
        <v>0</v>
      </c>
      <c r="CC105" s="3" t="str">
        <f t="shared" ca="1" si="507"/>
        <v/>
      </c>
      <c r="CD105" s="3">
        <f>IF(RTD("tos.rtd",,CD$83,"."&amp;$B$82&amp;$AS$82&amp;"C"&amp;$A105)="N/A",0,RTD("tos.rtd",,CD$83,"."&amp;$B$82&amp;$AS$82&amp;"C"&amp;$A105))</f>
        <v>0.01</v>
      </c>
      <c r="CE105" s="3">
        <f>-IF(RTD("tos.rtd",,CE$83,"."&amp;$B$82&amp;$AS$82&amp;"P"&amp;$A105)="N/A",0,RTD("tos.rtd",,CE$83,"."&amp;$B$82&amp;$AS$82&amp;"P"&amp;$A105))</f>
        <v>0.91</v>
      </c>
      <c r="CF105" s="3">
        <f>IF(RTD("tos.rtd",,CF$83,"."&amp;$C$82&amp;$AU$82&amp;"C"&amp;$A105)="N/A",0,RTD("tos.rtd",,CF$83,"."&amp;$C$82&amp;$AU$82&amp;"C"&amp;$A105))</f>
        <v>0.38</v>
      </c>
      <c r="CG105" s="3">
        <f>-IF(RTD("tos.rtd",,CG$83,"."&amp;$C$82&amp;$AU$82&amp;"P"&amp;$A105)="N/A",0,RTD("tos.rtd",,CG$83,"."&amp;$C$82&amp;$AU$82&amp;"P"&amp;$A105))</f>
        <v>0.83</v>
      </c>
      <c r="CH105" s="3">
        <f>IF(RTD("tos.rtd",,CH$83,"."&amp;$D$82&amp;$AW$82&amp;"C"&amp;$A105)="N/A",0,RTD("tos.rtd",,CH$83,"."&amp;$D$82&amp;$AW$82&amp;"C"&amp;$A105))</f>
        <v>0.45</v>
      </c>
      <c r="CI105" s="3">
        <f>-IF(RTD("tos.rtd",,CI$83,"."&amp;$D$82&amp;$AW$82&amp;"P"&amp;$A105)="N/A",0,RTD("tos.rtd",,CI$83,"."&amp;$D$82&amp;$AW$82&amp;"P"&amp;$A105))</f>
        <v>0.57999999999999996</v>
      </c>
      <c r="CK105" s="3">
        <f t="shared" si="493"/>
        <v>-10460</v>
      </c>
      <c r="CL105" s="3"/>
      <c r="CM105" s="3">
        <f t="shared" si="494"/>
        <v>-6646.9999999999964</v>
      </c>
      <c r="CN105" s="3"/>
      <c r="CO105" s="3">
        <f t="shared" si="495"/>
        <v>-3012.9999999999973</v>
      </c>
      <c r="CP105" s="3">
        <f t="shared" si="460"/>
        <v>-20119.999999999993</v>
      </c>
      <c r="CQ105" s="3">
        <f t="shared" si="461"/>
        <v>0</v>
      </c>
      <c r="CR105" s="3"/>
      <c r="CS105" s="3">
        <f t="shared" si="462"/>
        <v>11</v>
      </c>
      <c r="CT105" s="3"/>
      <c r="CU105" s="3">
        <f t="shared" si="463"/>
        <v>0</v>
      </c>
      <c r="CV105" s="3"/>
      <c r="CW105" s="3" t="e">
        <f t="shared" ca="1" si="464"/>
        <v>#NUM!</v>
      </c>
      <c r="CY105" s="3" t="e">
        <f t="shared" ca="1" si="465"/>
        <v>#NUM!</v>
      </c>
      <c r="CZ105" s="70" t="e">
        <f t="shared" ca="1" si="508"/>
        <v>#NUM!</v>
      </c>
      <c r="DA105" s="3">
        <f>IF(RTD("tos.rtd",,DA$83,"."&amp;$B$82&amp;$AS$82&amp;"C"&amp;$A105)="N/A",0,RTD("tos.rtd",,DA$83,"."&amp;$B$82&amp;$AS$82&amp;"C"&amp;$A105))</f>
        <v>0.02</v>
      </c>
      <c r="DB105" s="3">
        <f>IF(RTD("tos.rtd",,DB$83,"."&amp;$B$82&amp;$AS$82&amp;"P"&amp;$A105)="N/A",0,RTD("tos.rtd",,DB$83,"."&amp;$B$82&amp;$AS$82&amp;"P"&amp;$A105))</f>
        <v>37.299999999999997</v>
      </c>
      <c r="DC105" s="3">
        <f>IF(RTD("tos.rtd",,DC$83,"."&amp;$B$82&amp;$AS$82&amp;"C"&amp;$A105)="N/A",0,RTD("tos.rtd",,DC$83,"."&amp;$B$82&amp;$AS$82&amp;"C"&amp;$A105))</f>
        <v>0.05</v>
      </c>
      <c r="DD105" s="3">
        <f>IF(RTD("tos.rtd",,DD$83,"."&amp;$B$82&amp;$AS$82&amp;"P"&amp;$A105)="N/A",0,RTD("tos.rtd",,DD$83,"."&amp;$B$82&amp;$AS$82&amp;"P"&amp;$A105))</f>
        <v>41.5</v>
      </c>
      <c r="DE105" s="3">
        <f>IF(RTD("tos.rtd",,DE$83,"."&amp;$B$82&amp;$AS$82&amp;"C"&amp;$A105)="N/A",0,RTD("tos.rtd",,DE$83,"."&amp;$B$82&amp;$AS$82&amp;"C"&amp;$A105))</f>
        <v>0</v>
      </c>
      <c r="DF105" s="3">
        <f>IF(RTD("tos.rtd",,DF$83,"."&amp;$B$82&amp;$AS$82&amp;"P"&amp;$A105)="N/A",0,RTD("tos.rtd",,DF$83,"."&amp;$B$82&amp;$AS$82&amp;"P"&amp;$A105))</f>
        <v>38.299999999999997</v>
      </c>
      <c r="DG105" s="86">
        <f t="shared" si="497"/>
        <v>38.720000000000255</v>
      </c>
      <c r="DH105" s="3">
        <f t="shared" si="466"/>
        <v>-10122.4</v>
      </c>
      <c r="DI105" s="3">
        <f t="shared" si="467"/>
        <v>-590.93749999999943</v>
      </c>
      <c r="DJ105" s="3">
        <f t="shared" si="468"/>
        <v>25306</v>
      </c>
      <c r="DK105" s="3">
        <f t="shared" si="469"/>
        <v>-1891</v>
      </c>
      <c r="DL105" s="3">
        <f t="shared" si="470"/>
        <v>-10713.3375</v>
      </c>
      <c r="DM105" s="3">
        <f t="shared" si="471"/>
        <v>23415</v>
      </c>
      <c r="DN105" s="64" t="str">
        <f t="shared" si="472"/>
        <v>UNKNOWN</v>
      </c>
      <c r="DO105" s="64" t="str">
        <f t="shared" si="473"/>
        <v>UNKNOWN</v>
      </c>
      <c r="DP105" s="3">
        <f t="shared" si="474"/>
        <v>-22244.416749999978</v>
      </c>
      <c r="DQ105" s="3">
        <f t="shared" si="475"/>
        <v>-70028.179999999993</v>
      </c>
      <c r="DR105" s="3" t="e">
        <f t="shared" ca="1" si="476"/>
        <v>#NUM!</v>
      </c>
      <c r="DS105" s="3">
        <f t="shared" si="477"/>
        <v>-1467.75</v>
      </c>
      <c r="DT105" s="3">
        <f t="shared" si="498"/>
        <v>-25306</v>
      </c>
      <c r="DU105" s="3">
        <f t="shared" si="499"/>
        <v>1891</v>
      </c>
      <c r="DV105" s="3">
        <f t="shared" si="500"/>
        <v>-3543</v>
      </c>
      <c r="DW105" s="3">
        <f t="shared" si="501"/>
        <v>354</v>
      </c>
      <c r="DX105" s="3" t="e">
        <f t="shared" ca="1" si="509"/>
        <v>#NUM!</v>
      </c>
      <c r="DY105" s="3" t="e">
        <f t="shared" ca="1" si="478"/>
        <v>#NUM!</v>
      </c>
      <c r="DZ105" s="3">
        <f t="shared" ca="1" si="502"/>
        <v>2.6669536328872037E-3</v>
      </c>
      <c r="EA105" s="3">
        <f t="shared" ca="1" si="503"/>
        <v>-6.2301258450048113E-3</v>
      </c>
      <c r="EB105" s="3">
        <f t="shared" ca="1" si="479"/>
        <v>3.4277287519407971E-3</v>
      </c>
      <c r="EC105" s="3">
        <f t="shared" ca="1" si="480"/>
        <v>-4.6391996583191354E-3</v>
      </c>
      <c r="ED105" s="63">
        <f t="shared" si="504"/>
        <v>-3189</v>
      </c>
      <c r="EE105" s="59">
        <f t="shared" si="481"/>
        <v>0.35410000000000003</v>
      </c>
      <c r="EF105" s="59">
        <f t="shared" si="482"/>
        <v>0.67500000000000004</v>
      </c>
      <c r="EG105" s="59">
        <f t="shared" si="483"/>
        <v>0.316</v>
      </c>
      <c r="EH105" s="59">
        <f t="shared" si="484"/>
        <v>0.10290000000000001</v>
      </c>
      <c r="EI105" s="59">
        <f t="shared" si="485"/>
        <v>0.24010000000000001</v>
      </c>
      <c r="EJ105" s="59">
        <f t="shared" si="486"/>
        <v>0.1671</v>
      </c>
      <c r="EL105" s="3" t="str">
        <f>RTD("tos.rtd",,EL$83,"."&amp;$B$82&amp;$AS$82&amp;"C"&amp;$A105)</f>
        <v>35.41%</v>
      </c>
      <c r="EM105" s="3" t="str">
        <f>RTD("tos.rtd",,EM$83,"."&amp;$B$82&amp;$AS$82&amp;"P"&amp;$A105)</f>
        <v>67.50%</v>
      </c>
      <c r="EN105" s="3" t="str">
        <f>RTD("tos.rtd",,EN$83,"."&amp;$C$82&amp;$AU$82&amp;"C"&amp;$A105)</f>
        <v>31.60%</v>
      </c>
      <c r="EO105" s="3" t="str">
        <f>RTD("tos.rtd",,EO$83,"."&amp;$C$82&amp;$AU$82&amp;"P"&amp;$A105)</f>
        <v>10.29%</v>
      </c>
      <c r="EP105" s="3" t="str">
        <f>RTD("tos.rtd",,EP$83,"."&amp;$D$82&amp;$AW$82&amp;"C"&amp;$A105)</f>
        <v>24.01%</v>
      </c>
      <c r="EQ105" s="3" t="str">
        <f>RTD("tos.rtd",,EQ$83,"."&amp;$D$82&amp;$AW$82&amp;"P"&amp;$A105)</f>
        <v>16.71%</v>
      </c>
      <c r="ES105" s="63" t="str">
        <f t="shared" si="487"/>
        <v>5670,-3189.00</v>
      </c>
      <c r="ET105" s="64" t="str">
        <f t="shared" ca="1" si="488"/>
        <v>5670,00.00</v>
      </c>
      <c r="EU105" s="67">
        <v>562.13</v>
      </c>
      <c r="EV105" s="67" t="s">
        <v>860</v>
      </c>
      <c r="EW105" s="67">
        <v>484.48</v>
      </c>
      <c r="EX105" s="67" t="s">
        <v>861</v>
      </c>
      <c r="EY105" s="67">
        <v>5635</v>
      </c>
      <c r="EZ105" s="67" t="s">
        <v>862</v>
      </c>
      <c r="FA105" s="67">
        <v>19900.75</v>
      </c>
      <c r="FB105" s="67" t="s">
        <v>863</v>
      </c>
      <c r="FC105" s="67" t="s">
        <v>864</v>
      </c>
      <c r="FD105" s="67" t="s">
        <v>865</v>
      </c>
      <c r="FE105" s="68" t="s">
        <v>866</v>
      </c>
      <c r="FF105" s="68" t="s">
        <v>867</v>
      </c>
    </row>
    <row r="106" spans="1:162" s="63" customFormat="1" ht="12" customHeight="1" thickBot="1" x14ac:dyDescent="0.25">
      <c r="A106" s="2">
        <f t="shared" si="505"/>
        <v>5660</v>
      </c>
      <c r="B106" s="3">
        <f t="shared" si="449"/>
        <v>1265</v>
      </c>
      <c r="C106" s="3">
        <f t="shared" si="450"/>
        <v>1352</v>
      </c>
      <c r="D106" s="3">
        <f t="shared" si="451"/>
        <v>829</v>
      </c>
      <c r="E106" s="3">
        <f t="shared" si="516"/>
        <v>3446</v>
      </c>
      <c r="F106" s="4">
        <f t="shared" si="519"/>
        <v>5708.9684760835898</v>
      </c>
      <c r="G106" s="4">
        <f t="shared" si="517"/>
        <v>567.20813030074873</v>
      </c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20"/>
      <c r="AM106" s="20">
        <v>3113</v>
      </c>
      <c r="AN106" s="20">
        <v>219</v>
      </c>
      <c r="AO106" s="20">
        <v>5660</v>
      </c>
      <c r="AP106" s="20">
        <v>29264</v>
      </c>
      <c r="AQ106" s="20">
        <v>-1253</v>
      </c>
      <c r="AR106" s="20"/>
      <c r="AS106" s="54">
        <f>IF(RTD("tos.rtd",,AS$83,"."&amp;$B$82&amp;$AS$82&amp;"C"&amp;$A106)="N/A",0,RTD("tos.rtd",,AS$83,"."&amp;$B$82&amp;$AS$82&amp;"C"&amp;$A106))</f>
        <v>856</v>
      </c>
      <c r="AT106" s="3">
        <f>-IF(RTD("tos.rtd",,AT$83,"."&amp;$B$82&amp;$AS$82&amp;"P"&amp;$A106)="N/A",0,RTD("tos.rtd",,AT$83,"."&amp;$B$82&amp;$AS$82&amp;"P"&amp;$A106))</f>
        <v>-409</v>
      </c>
      <c r="AU106" s="54">
        <f>IF(RTD("tos.rtd",,AU$83,"."&amp;$C$82&amp;$AU$82&amp;"C"&amp;$A106)="N/A",0,RTD("tos.rtd",,AU$83,"."&amp;$C$82&amp;$AU$82&amp;"C"&amp;$A106))</f>
        <v>691</v>
      </c>
      <c r="AV106" s="3">
        <f>-IF(RTD("tos.rtd",,AV$83,"."&amp;$C$82&amp;$AU$82&amp;"P"&amp;$A106)="N/A",0,RTD("tos.rtd",,AV$83,"."&amp;$C$82&amp;$AU$82&amp;"P"&amp;$A106))</f>
        <v>-661</v>
      </c>
      <c r="AW106" s="54">
        <f>IF(RTD("tos.rtd",,AW$83,"."&amp;$D$82&amp;$AW$82&amp;"C"&amp;$A106)="N/A",0,RTD("tos.rtd",,AW$83,"."&amp;$D$82&amp;$AW$82&amp;"C"&amp;$A106))</f>
        <v>487</v>
      </c>
      <c r="AX106" s="3">
        <f>-IF(RTD("tos.rtd",,AX$83,"."&amp;$D$82&amp;$AW$82&amp;"P"&amp;$A106)="N/A",0,RTD("tos.rtd",,AX$83,"."&amp;$D$82&amp;$AW$82&amp;"P"&amp;$A106))</f>
        <v>-342</v>
      </c>
      <c r="AY106" s="79">
        <f t="shared" si="518"/>
        <v>622</v>
      </c>
      <c r="AZ106" s="8">
        <f t="shared" si="453"/>
        <v>5660</v>
      </c>
      <c r="BA106" s="54">
        <f>IF(RTD("tos.rtd",,BA$83,"."&amp;$B$82&amp;$AS$82&amp;"C"&amp;$A106)="N/A",0,RTD("tos.rtd",,BA$83,"."&amp;$B$82&amp;$AS$82&amp;"C"&amp;$A106))</f>
        <v>0</v>
      </c>
      <c r="BB106" s="3">
        <f>-IF(RTD("tos.rtd",,BB$83,"."&amp;$B$82&amp;$AS$82&amp;"P"&amp;$A106)="N/A",0,RTD("tos.rtd",,BB$83,"."&amp;$B$82&amp;$AS$82&amp;"P"&amp;$A106))</f>
        <v>0</v>
      </c>
      <c r="BC106" s="54">
        <f>IF(RTD("tos.rtd",,BC$83,"."&amp;$C$82&amp;$AU$82&amp;"C"&amp;$A106)="N/A",0,RTD("tos.rtd",,BC$83,"."&amp;$C$82&amp;$AU$82&amp;"C"&amp;$A106))</f>
        <v>10</v>
      </c>
      <c r="BD106" s="3">
        <f>-IF(RTD("tos.rtd",,BD$83,"."&amp;$C$82&amp;$AU$82&amp;"P"&amp;$A106)="N/A",0,RTD("tos.rtd",,BD$83,"."&amp;$C$82&amp;$AU$82&amp;"P"&amp;$A106))</f>
        <v>-2</v>
      </c>
      <c r="BE106" s="54">
        <f>IF(RTD("tos.rtd",,BE$83,"."&amp;$D$82&amp;$AW$82&amp;"C"&amp;$A106)="N/A",0,RTD("tos.rtd",,BE$83,"."&amp;$D$82&amp;$AW$82&amp;"C"&amp;$A106))</f>
        <v>1</v>
      </c>
      <c r="BF106" s="3">
        <f>-IF(RTD("tos.rtd",,BF$83,"."&amp;$D$82&amp;$AW$82&amp;"P"&amp;$A106)="N/A",0,RTD("tos.rtd",,BF$83,"."&amp;$D$82&amp;$AW$82&amp;"P"&amp;$A106))</f>
        <v>0</v>
      </c>
      <c r="BG106" s="3">
        <f ca="1">+Hoja2!Y107</f>
        <v>0</v>
      </c>
      <c r="BH106" s="55">
        <f t="shared" ca="1" si="491"/>
        <v>9</v>
      </c>
      <c r="BI106" s="32" t="str">
        <f t="shared" ca="1" si="510"/>
        <v/>
      </c>
      <c r="BJ106" s="3" t="e">
        <f ca="1">IF($BP$1=1,DX106,IF(RTD("tos.rtd",,BJ$83,"."&amp;$B$82&amp;$AS$82&amp;"C"&amp;$A106)="N/A",0,RTD("tos.rtd",,BJ$83,"."&amp;$B$82&amp;$AS$82&amp;"C"&amp;$A106)))</f>
        <v>#NUM!</v>
      </c>
      <c r="BK106" s="3" t="e">
        <f ca="1">IF($BP$1=1,DY106,-IF(RTD("tos.rtd",,BK$83,"."&amp;$B$82&amp;$AS$82&amp;"P"&amp;$A106)="N/A",0,RTD("tos.rtd",,BK$83,"."&amp;$B$82&amp;$AS$82&amp;"P"&amp;$A106)))</f>
        <v>#NUM!</v>
      </c>
      <c r="BL106" s="3">
        <f ca="1">IF($BP$1=1,DZ106,IF(RTD("tos.rtd",,BL$83,"."&amp;$C$82&amp;$AU$82&amp;"C"&amp;$A106)="N/A",0,RTD("tos.rtd",,BL$83,"."&amp;$C$82&amp;$AU$82&amp;"C"&amp;$A106)))</f>
        <v>2.6444957609157989E-3</v>
      </c>
      <c r="BM106" s="3">
        <f ca="1">IF($BP$1=1,EA106,-IF(RTD("tos.rtd",,BM$83,"."&amp;$C$82&amp;$AU$82&amp;"P"&amp;$A106)="N/A",0,RTD("tos.rtd",,BM$83,"."&amp;$C$82&amp;$AU$82&amp;"P"&amp;$A106)))</f>
        <v>-6.1208921444548944E-3</v>
      </c>
      <c r="BN106" s="3">
        <f ca="1">IF($BP$1=1,EB106,IF(RTD("tos.rtd",,BN$83,"."&amp;$D$82&amp;$AW$82&amp;"C"&amp;$A106)="N/A",0,RTD("tos.rtd",,BN$83,"."&amp;$D$82&amp;$AW$82&amp;"C"&amp;$A106)))</f>
        <v>3.4665299115939261E-3</v>
      </c>
      <c r="BO106" s="3">
        <f ca="1">IF($BP$1=1,EC106,-IF(RTD("tos.rtd",,BO$83,"."&amp;$D$82&amp;$AW$82&amp;"P"&amp;$A106)="N/A",0,RTD("tos.rtd",,BO$83,"."&amp;$D$82&amp;$AW$82&amp;"P"&amp;$A106)))</f>
        <v>-4.7939587524933819E-3</v>
      </c>
      <c r="BQ106" s="3" t="e">
        <f t="shared" ca="1" si="454"/>
        <v>#NUM!</v>
      </c>
      <c r="BR106" s="3" t="e">
        <f t="shared" ca="1" si="492"/>
        <v>#NUM!</v>
      </c>
      <c r="BS106" s="3">
        <f t="shared" ca="1" si="455"/>
        <v>-525850.31840947352</v>
      </c>
      <c r="BT106" s="3" t="str">
        <f t="shared" ca="1" si="492"/>
        <v/>
      </c>
      <c r="BU106" s="3">
        <f t="shared" ca="1" si="456"/>
        <v>11534.998692024965</v>
      </c>
      <c r="BV106" s="3" t="str">
        <f t="shared" ca="1" si="492"/>
        <v>Cruce +</v>
      </c>
      <c r="BX106" s="3" t="e">
        <f t="shared" ca="1" si="457"/>
        <v>#NUM!</v>
      </c>
      <c r="BY106" s="3" t="e">
        <f t="shared" ca="1" si="507"/>
        <v>#NUM!</v>
      </c>
      <c r="BZ106" s="3">
        <f t="shared" ca="1" si="458"/>
        <v>3366.4776491392572</v>
      </c>
      <c r="CA106" s="3" t="str">
        <f t="shared" ca="1" si="507"/>
        <v/>
      </c>
      <c r="CB106" s="3">
        <f t="shared" ca="1" si="459"/>
        <v>821.64705057965909</v>
      </c>
      <c r="CC106" s="3" t="str">
        <f t="shared" ca="1" si="507"/>
        <v/>
      </c>
      <c r="CD106" s="3">
        <f>IF(RTD("tos.rtd",,CD$83,"."&amp;$B$82&amp;$AS$82&amp;"C"&amp;$A106)="N/A",0,RTD("tos.rtd",,CD$83,"."&amp;$B$82&amp;$AS$82&amp;"C"&amp;$A106))</f>
        <v>0.01</v>
      </c>
      <c r="CE106" s="3">
        <f>-IF(RTD("tos.rtd",,CE$83,"."&amp;$B$82&amp;$AS$82&amp;"P"&amp;$A106)="N/A",0,RTD("tos.rtd",,CE$83,"."&amp;$B$82&amp;$AS$82&amp;"P"&amp;$A106))</f>
        <v>0.89</v>
      </c>
      <c r="CF106" s="3">
        <f>IF(RTD("tos.rtd",,CF$83,"."&amp;$C$82&amp;$AU$82&amp;"C"&amp;$A106)="N/A",0,RTD("tos.rtd",,CF$83,"."&amp;$C$82&amp;$AU$82&amp;"C"&amp;$A106))</f>
        <v>0.42</v>
      </c>
      <c r="CG106" s="3">
        <f>-IF(RTD("tos.rtd",,CG$83,"."&amp;$C$82&amp;$AU$82&amp;"P"&amp;$A106)="N/A",0,RTD("tos.rtd",,CG$83,"."&amp;$C$82&amp;$AU$82&amp;"P"&amp;$A106))</f>
        <v>0.71</v>
      </c>
      <c r="CH106" s="3">
        <f>IF(RTD("tos.rtd",,CH$83,"."&amp;$D$82&amp;$AW$82&amp;"C"&amp;$A106)="N/A",0,RTD("tos.rtd",,CH$83,"."&amp;$D$82&amp;$AW$82&amp;"C"&amp;$A106))</f>
        <v>0.47</v>
      </c>
      <c r="CI106" s="3">
        <f>-IF(RTD("tos.rtd",,CI$83,"."&amp;$D$82&amp;$AW$82&amp;"P"&amp;$A106)="N/A",0,RTD("tos.rtd",,CI$83,"."&amp;$D$82&amp;$AW$82&amp;"P"&amp;$A106))</f>
        <v>0.56000000000000005</v>
      </c>
      <c r="CK106" s="3">
        <f t="shared" si="493"/>
        <v>-35545</v>
      </c>
      <c r="CL106" s="3"/>
      <c r="CM106" s="3">
        <f t="shared" si="494"/>
        <v>-17909.000000000004</v>
      </c>
      <c r="CN106" s="3"/>
      <c r="CO106" s="3">
        <f t="shared" si="495"/>
        <v>3737</v>
      </c>
      <c r="CP106" s="3">
        <f t="shared" si="460"/>
        <v>-49717</v>
      </c>
      <c r="CQ106" s="3">
        <f t="shared" si="461"/>
        <v>0</v>
      </c>
      <c r="CR106" s="3"/>
      <c r="CS106" s="3">
        <f t="shared" si="462"/>
        <v>8</v>
      </c>
      <c r="CT106" s="3"/>
      <c r="CU106" s="3">
        <f t="shared" si="463"/>
        <v>1</v>
      </c>
      <c r="CV106" s="3"/>
      <c r="CW106" s="3" t="e">
        <f t="shared" ca="1" si="464"/>
        <v>#NUM!</v>
      </c>
      <c r="CY106" s="3" t="e">
        <f t="shared" ca="1" si="465"/>
        <v>#NUM!</v>
      </c>
      <c r="CZ106" s="70" t="e">
        <f t="shared" ca="1" si="508"/>
        <v>#NUM!</v>
      </c>
      <c r="DA106" s="3">
        <f>IF(RTD("tos.rtd",,DA$83,"."&amp;$B$82&amp;$AS$82&amp;"C"&amp;$A106)="N/A",0,RTD("tos.rtd",,DA$83,"."&amp;$B$82&amp;$AS$82&amp;"C"&amp;$A106))</f>
        <v>0.03</v>
      </c>
      <c r="DB106" s="3">
        <f>IF(RTD("tos.rtd",,DB$83,"."&amp;$B$82&amp;$AS$82&amp;"P"&amp;$A106)="N/A",0,RTD("tos.rtd",,DB$83,"."&amp;$B$82&amp;$AS$82&amp;"P"&amp;$A106))</f>
        <v>30</v>
      </c>
      <c r="DC106" s="3">
        <f>IF(RTD("tos.rtd",,DC$83,"."&amp;$B$82&amp;$AS$82&amp;"C"&amp;$A106)="N/A",0,RTD("tos.rtd",,DC$83,"."&amp;$B$82&amp;$AS$82&amp;"C"&amp;$A106))</f>
        <v>0.05</v>
      </c>
      <c r="DD106" s="3">
        <f>IF(RTD("tos.rtd",,DD$83,"."&amp;$B$82&amp;$AS$82&amp;"P"&amp;$A106)="N/A",0,RTD("tos.rtd",,DD$83,"."&amp;$B$82&amp;$AS$82&amp;"P"&amp;$A106))</f>
        <v>31.6</v>
      </c>
      <c r="DE106" s="3">
        <f>IF(RTD("tos.rtd",,DE$83,"."&amp;$B$82&amp;$AS$82&amp;"C"&amp;$A106)="N/A",0,RTD("tos.rtd",,DE$83,"."&amp;$B$82&amp;$AS$82&amp;"C"&amp;$A106))</f>
        <v>0</v>
      </c>
      <c r="DF106" s="3">
        <f>IF(RTD("tos.rtd",,DF$83,"."&amp;$B$82&amp;$AS$82&amp;"P"&amp;$A106)="N/A",0,RTD("tos.rtd",,DF$83,"."&amp;$B$82&amp;$AS$82&amp;"P"&amp;$A106))</f>
        <v>28.3</v>
      </c>
      <c r="DG106" s="86">
        <f t="shared" si="497"/>
        <v>28.720000000000255</v>
      </c>
      <c r="DH106" s="3">
        <f t="shared" si="466"/>
        <v>-17558.399999999998</v>
      </c>
      <c r="DI106" s="3">
        <f t="shared" si="467"/>
        <v>645.48484848484804</v>
      </c>
      <c r="DJ106" s="3">
        <f t="shared" si="468"/>
        <v>-29264</v>
      </c>
      <c r="DK106" s="3">
        <f t="shared" si="469"/>
        <v>0</v>
      </c>
      <c r="DL106" s="3">
        <f t="shared" si="470"/>
        <v>-16912.91515151515</v>
      </c>
      <c r="DM106" s="3">
        <f t="shared" si="471"/>
        <v>-29264</v>
      </c>
      <c r="DN106" s="64" t="str">
        <f t="shared" si="472"/>
        <v>UNKNOWN</v>
      </c>
      <c r="DO106" s="64" t="str">
        <f t="shared" si="473"/>
        <v>UNKNOWN</v>
      </c>
      <c r="DP106" s="3">
        <f t="shared" si="474"/>
        <v>18837.793454545441</v>
      </c>
      <c r="DQ106" s="3">
        <f t="shared" si="475"/>
        <v>-877.92</v>
      </c>
      <c r="DR106" s="3" t="e">
        <f t="shared" ca="1" si="476"/>
        <v>#NUM!</v>
      </c>
      <c r="DS106" s="3">
        <f t="shared" si="477"/>
        <v>-292.64</v>
      </c>
      <c r="DT106" s="3">
        <f>BA106-VLOOKUP(AZ106,$AO$85:$AQ$130,2,FALSE)</f>
        <v>-29264</v>
      </c>
      <c r="DU106" s="3">
        <f t="shared" si="499"/>
        <v>1253</v>
      </c>
      <c r="DV106" s="3">
        <f t="shared" si="500"/>
        <v>3113</v>
      </c>
      <c r="DW106" s="3">
        <f t="shared" si="501"/>
        <v>219</v>
      </c>
      <c r="DX106" s="3" t="e">
        <f t="shared" ca="1" si="509"/>
        <v>#NUM!</v>
      </c>
      <c r="DY106" s="3" t="e">
        <f t="shared" ca="1" si="478"/>
        <v>#NUM!</v>
      </c>
      <c r="DZ106" s="3">
        <f t="shared" ca="1" si="502"/>
        <v>2.6444957609157989E-3</v>
      </c>
      <c r="EA106" s="3">
        <f t="shared" ca="1" si="503"/>
        <v>-6.1208921444548944E-3</v>
      </c>
      <c r="EB106" s="3">
        <f t="shared" ca="1" si="479"/>
        <v>3.4665299115939261E-3</v>
      </c>
      <c r="EC106" s="3">
        <f t="shared" ca="1" si="480"/>
        <v>-4.7939587524933819E-3</v>
      </c>
      <c r="ED106" s="63">
        <f t="shared" si="504"/>
        <v>3332</v>
      </c>
      <c r="EE106" s="59">
        <f t="shared" si="481"/>
        <v>0.27150000000000002</v>
      </c>
      <c r="EF106" s="59">
        <f t="shared" si="482"/>
        <v>0.54910000000000003</v>
      </c>
      <c r="EG106" s="59">
        <f t="shared" si="483"/>
        <v>0.32350000000000001</v>
      </c>
      <c r="EH106" s="59">
        <f t="shared" si="484"/>
        <v>0.1278</v>
      </c>
      <c r="EI106" s="59">
        <f t="shared" si="485"/>
        <v>0.2437</v>
      </c>
      <c r="EJ106" s="59">
        <f t="shared" si="486"/>
        <v>0.17100000000000001</v>
      </c>
      <c r="EL106" s="3" t="str">
        <f>RTD("tos.rtd",,EL$83,"."&amp;$B$82&amp;$AS$82&amp;"C"&amp;$A106)</f>
        <v>27.15%</v>
      </c>
      <c r="EM106" s="3" t="str">
        <f>RTD("tos.rtd",,EM$83,"."&amp;$B$82&amp;$AS$82&amp;"P"&amp;$A106)</f>
        <v>54.91%</v>
      </c>
      <c r="EN106" s="3" t="str">
        <f>RTD("tos.rtd",,EN$83,"."&amp;$C$82&amp;$AU$82&amp;"C"&amp;$A106)</f>
        <v>32.35%</v>
      </c>
      <c r="EO106" s="3" t="str">
        <f>RTD("tos.rtd",,EO$83,"."&amp;$C$82&amp;$AU$82&amp;"P"&amp;$A106)</f>
        <v>12.78%</v>
      </c>
      <c r="EP106" s="3" t="str">
        <f>RTD("tos.rtd",,EP$83,"."&amp;$D$82&amp;$AW$82&amp;"C"&amp;$A106)</f>
        <v>24.37%</v>
      </c>
      <c r="EQ106" s="3" t="str">
        <f>RTD("tos.rtd",,EQ$83,"."&amp;$D$82&amp;$AW$82&amp;"P"&amp;$A106)</f>
        <v>17.10%</v>
      </c>
      <c r="ES106" s="63" t="str">
        <f t="shared" si="487"/>
        <v>5660,3332.00</v>
      </c>
      <c r="ET106" s="64" t="str">
        <f t="shared" ca="1" si="488"/>
        <v>5660,00.00</v>
      </c>
      <c r="EU106" s="67">
        <v>562.19000000000005</v>
      </c>
      <c r="EV106" s="67" t="s">
        <v>868</v>
      </c>
      <c r="EW106" s="67">
        <v>484.51</v>
      </c>
      <c r="EX106" s="67" t="s">
        <v>869</v>
      </c>
      <c r="EY106" s="67">
        <v>5635.75</v>
      </c>
      <c r="EZ106" s="67" t="s">
        <v>870</v>
      </c>
      <c r="FA106" s="67">
        <v>19903.25</v>
      </c>
      <c r="FB106" s="67" t="s">
        <v>871</v>
      </c>
      <c r="FC106" s="67" t="s">
        <v>872</v>
      </c>
      <c r="FD106" s="67" t="s">
        <v>873</v>
      </c>
      <c r="FE106" s="68" t="s">
        <v>874</v>
      </c>
      <c r="FF106" s="68" t="s">
        <v>875</v>
      </c>
    </row>
    <row r="107" spans="1:162" s="63" customFormat="1" ht="12" customHeight="1" thickBot="1" x14ac:dyDescent="0.25">
      <c r="A107" s="2">
        <f t="shared" si="505"/>
        <v>5650</v>
      </c>
      <c r="B107" s="3">
        <f t="shared" si="449"/>
        <v>4058</v>
      </c>
      <c r="C107" s="3">
        <f t="shared" si="450"/>
        <v>4803</v>
      </c>
      <c r="D107" s="3">
        <f t="shared" si="451"/>
        <v>1451</v>
      </c>
      <c r="E107" s="3">
        <f t="shared" si="516"/>
        <v>10312</v>
      </c>
      <c r="F107" s="4">
        <f t="shared" si="519"/>
        <v>5698.8819593413928</v>
      </c>
      <c r="G107" s="4">
        <f t="shared" si="517"/>
        <v>566.20599579491704</v>
      </c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>
        <v>-873</v>
      </c>
      <c r="AN107" s="20">
        <v>-1090</v>
      </c>
      <c r="AO107" s="20">
        <v>5650</v>
      </c>
      <c r="AP107" s="20">
        <v>62480</v>
      </c>
      <c r="AQ107" s="20">
        <v>-5981</v>
      </c>
      <c r="AR107" s="20"/>
      <c r="AS107" s="54">
        <f>IF(RTD("tos.rtd",,AS$83,"."&amp;$B$82&amp;$AS$82&amp;"C"&amp;$A107)="N/A",0,RTD("tos.rtd",,AS$83,"."&amp;$B$82&amp;$AS$82&amp;"C"&amp;$A107))</f>
        <v>2313</v>
      </c>
      <c r="AT107" s="3">
        <f>-IF(RTD("tos.rtd",,AT$83,"."&amp;$B$82&amp;$AS$82&amp;"P"&amp;$A107)="N/A",0,RTD("tos.rtd",,AT$83,"."&amp;$B$82&amp;$AS$82&amp;"P"&amp;$A107))</f>
        <v>-1745</v>
      </c>
      <c r="AU107" s="54">
        <f>IF(RTD("tos.rtd",,AU$83,"."&amp;$C$82&amp;$AU$82&amp;"C"&amp;$A107)="N/A",0,RTD("tos.rtd",,AU$83,"."&amp;$C$82&amp;$AU$82&amp;"C"&amp;$A107))</f>
        <v>2897</v>
      </c>
      <c r="AV107" s="3">
        <f>-IF(RTD("tos.rtd",,AV$83,"."&amp;$C$82&amp;$AU$82&amp;"P"&amp;$A107)="N/A",0,RTD("tos.rtd",,AV$83,"."&amp;$C$82&amp;$AU$82&amp;"P"&amp;$A107))</f>
        <v>-1906</v>
      </c>
      <c r="AW107" s="54">
        <f>IF(RTD("tos.rtd",,AW$83,"."&amp;$D$82&amp;$AW$82&amp;"C"&amp;$A107)="N/A",0,RTD("tos.rtd",,AW$83,"."&amp;$D$82&amp;$AW$82&amp;"C"&amp;$A107))</f>
        <v>736</v>
      </c>
      <c r="AX107" s="3">
        <f>-IF(RTD("tos.rtd",,AX$83,"."&amp;$D$82&amp;$AW$82&amp;"P"&amp;$A107)="N/A",0,RTD("tos.rtd",,AX$83,"."&amp;$D$82&amp;$AW$82&amp;"P"&amp;$A107))</f>
        <v>-715</v>
      </c>
      <c r="AY107" s="79">
        <f t="shared" si="518"/>
        <v>1580</v>
      </c>
      <c r="AZ107" s="8">
        <f t="shared" si="453"/>
        <v>5650</v>
      </c>
      <c r="BA107" s="54">
        <f>IF(RTD("tos.rtd",,BA$83,"."&amp;$B$82&amp;$AS$82&amp;"C"&amp;$A107)="N/A",0,RTD("tos.rtd",,BA$83,"."&amp;$B$82&amp;$AS$82&amp;"C"&amp;$A107))</f>
        <v>0</v>
      </c>
      <c r="BB107" s="3">
        <f>-IF(RTD("tos.rtd",,BB$83,"."&amp;$B$82&amp;$AS$82&amp;"P"&amp;$A107)="N/A",0,RTD("tos.rtd",,BB$83,"."&amp;$B$82&amp;$AS$82&amp;"P"&amp;$A107))</f>
        <v>0</v>
      </c>
      <c r="BC107" s="54">
        <f>IF(RTD("tos.rtd",,BC$83,"."&amp;$C$82&amp;$AU$82&amp;"C"&amp;$A107)="N/A",0,RTD("tos.rtd",,BC$83,"."&amp;$C$82&amp;$AU$82&amp;"C"&amp;$A107))</f>
        <v>3</v>
      </c>
      <c r="BD107" s="3">
        <f>-IF(RTD("tos.rtd",,BD$83,"."&amp;$C$82&amp;$AU$82&amp;"P"&amp;$A107)="N/A",0,RTD("tos.rtd",,BD$83,"."&amp;$C$82&amp;$AU$82&amp;"P"&amp;$A107))</f>
        <v>-5</v>
      </c>
      <c r="BE107" s="54">
        <f>IF(RTD("tos.rtd",,BE$83,"."&amp;$D$82&amp;$AW$82&amp;"C"&amp;$A107)="N/A",0,RTD("tos.rtd",,BE$83,"."&amp;$D$82&amp;$AW$82&amp;"C"&amp;$A107))</f>
        <v>4</v>
      </c>
      <c r="BF107" s="3">
        <f>-IF(RTD("tos.rtd",,BF$83,"."&amp;$D$82&amp;$AW$82&amp;"P"&amp;$A107)="N/A",0,RTD("tos.rtd",,BF$83,"."&amp;$D$82&amp;$AW$82&amp;"P"&amp;$A107))</f>
        <v>-1</v>
      </c>
      <c r="BG107" s="3">
        <f ca="1">+Hoja2!Y108</f>
        <v>0</v>
      </c>
      <c r="BH107" s="55">
        <f t="shared" ca="1" si="491"/>
        <v>1</v>
      </c>
      <c r="BI107" s="32" t="str">
        <f t="shared" ca="1" si="510"/>
        <v/>
      </c>
      <c r="BJ107" s="3" t="e">
        <f ca="1">IF($BP$1=1,DX107,IF(RTD("tos.rtd",,BJ$83,"."&amp;$B$82&amp;$AS$82&amp;"C"&amp;$A107)="N/A",0,RTD("tos.rtd",,BJ$83,"."&amp;$B$82&amp;$AS$82&amp;"C"&amp;$A107)))</f>
        <v>#NUM!</v>
      </c>
      <c r="BK107" s="3" t="e">
        <f ca="1">IF($BP$1=1,DY107,-IF(RTD("tos.rtd",,BK$83,"."&amp;$B$82&amp;$AS$82&amp;"P"&amp;$A107)="N/A",0,RTD("tos.rtd",,BK$83,"."&amp;$B$82&amp;$AS$82&amp;"P"&amp;$A107)))</f>
        <v>#NUM!</v>
      </c>
      <c r="BL107" s="3">
        <f ca="1">IF($BP$1=1,DZ107,IF(RTD("tos.rtd",,BL$83,"."&amp;$C$82&amp;$AU$82&amp;"C"&amp;$A107)="N/A",0,RTD("tos.rtd",,BL$83,"."&amp;$C$82&amp;$AU$82&amp;"C"&amp;$A107)))</f>
        <v>2.5910844144314245E-3</v>
      </c>
      <c r="BM107" s="3">
        <f ca="1">IF($BP$1=1,EA107,-IF(RTD("tos.rtd",,BM$83,"."&amp;$C$82&amp;$AU$82&amp;"P"&amp;$A107)="N/A",0,RTD("tos.rtd",,BM$83,"."&amp;$C$82&amp;$AU$82&amp;"P"&amp;$A107)))</f>
        <v>-5.8143373559656686E-3</v>
      </c>
      <c r="BN107" s="3">
        <f ca="1">IF($BP$1=1,EB107,IF(RTD("tos.rtd",,BN$83,"."&amp;$D$82&amp;$AW$82&amp;"C"&amp;$A107)="N/A",0,RTD("tos.rtd",,BN$83,"."&amp;$D$82&amp;$AW$82&amp;"C"&amp;$A107)))</f>
        <v>3.4759320657666791E-3</v>
      </c>
      <c r="BO107" s="3">
        <f ca="1">IF($BP$1=1,EC107,-IF(RTD("tos.rtd",,BO$83,"."&amp;$D$82&amp;$AW$82&amp;"P"&amp;$A107)="N/A",0,RTD("tos.rtd",,BO$83,"."&amp;$D$82&amp;$AW$82&amp;"P"&amp;$A107)))</f>
        <v>-4.8603344576509432E-3</v>
      </c>
      <c r="BQ107" s="3" t="e">
        <f t="shared" ca="1" si="454"/>
        <v>#NUM!</v>
      </c>
      <c r="BR107" s="3" t="e">
        <f t="shared" ca="1" si="492"/>
        <v>#NUM!</v>
      </c>
      <c r="BS107" s="3">
        <f t="shared" ca="1" si="455"/>
        <v>-847536.0073458117</v>
      </c>
      <c r="BT107" s="3" t="str">
        <f t="shared" ca="1" si="492"/>
        <v/>
      </c>
      <c r="BU107" s="3">
        <f t="shared" ca="1" si="456"/>
        <v>-217315.20999145589</v>
      </c>
      <c r="BV107" s="3" t="str">
        <f t="shared" ca="1" si="492"/>
        <v>Cruce -</v>
      </c>
      <c r="BX107" s="3" t="e">
        <f t="shared" ca="1" si="457"/>
        <v>#NUM!</v>
      </c>
      <c r="BY107" s="3" t="e">
        <f t="shared" ca="1" si="507"/>
        <v>#NUM!</v>
      </c>
      <c r="BZ107" s="3">
        <f t="shared" ca="1" si="458"/>
        <v>-5048.2169615013154</v>
      </c>
      <c r="CA107" s="3" t="str">
        <f t="shared" ca="1" si="507"/>
        <v>Cruce -</v>
      </c>
      <c r="CB107" s="3">
        <f t="shared" ca="1" si="459"/>
        <v>2143.4916290780429</v>
      </c>
      <c r="CC107" s="3" t="str">
        <f t="shared" ca="1" si="507"/>
        <v/>
      </c>
      <c r="CD107" s="3">
        <f>IF(RTD("tos.rtd",,CD$83,"."&amp;$B$82&amp;$AS$82&amp;"C"&amp;$A107)="N/A",0,RTD("tos.rtd",,CD$83,"."&amp;$B$82&amp;$AS$82&amp;"C"&amp;$A107))</f>
        <v>0.01</v>
      </c>
      <c r="CE107" s="3">
        <f>-IF(RTD("tos.rtd",,CE$83,"."&amp;$B$82&amp;$AS$82&amp;"P"&amp;$A107)="N/A",0,RTD("tos.rtd",,CE$83,"."&amp;$B$82&amp;$AS$82&amp;"P"&amp;$A107))</f>
        <v>0.91</v>
      </c>
      <c r="CF107" s="3">
        <f>IF(RTD("tos.rtd",,CF$83,"."&amp;$C$82&amp;$AU$82&amp;"C"&amp;$A107)="N/A",0,RTD("tos.rtd",,CF$83,"."&amp;$C$82&amp;$AU$82&amp;"C"&amp;$A107))</f>
        <v>0.45</v>
      </c>
      <c r="CG107" s="3">
        <f>-IF(RTD("tos.rtd",,CG$83,"."&amp;$C$82&amp;$AU$82&amp;"P"&amp;$A107)="N/A",0,RTD("tos.rtd",,CG$83,"."&amp;$C$82&amp;$AU$82&amp;"P"&amp;$A107))</f>
        <v>0.62</v>
      </c>
      <c r="CH107" s="3">
        <f>IF(RTD("tos.rtd",,CH$83,"."&amp;$D$82&amp;$AW$82&amp;"C"&amp;$A107)="N/A",0,RTD("tos.rtd",,CH$83,"."&amp;$D$82&amp;$AW$82&amp;"C"&amp;$A107))</f>
        <v>0.48</v>
      </c>
      <c r="CI107" s="3">
        <f>-IF(RTD("tos.rtd",,CI$83,"."&amp;$D$82&amp;$AW$82&amp;"P"&amp;$A107)="N/A",0,RTD("tos.rtd",,CI$83,"."&amp;$D$82&amp;$AW$82&amp;"P"&amp;$A107))</f>
        <v>0.53</v>
      </c>
      <c r="CK107" s="3">
        <f t="shared" si="493"/>
        <v>-156482</v>
      </c>
      <c r="CL107" s="3"/>
      <c r="CM107" s="3">
        <f t="shared" si="494"/>
        <v>12193.000000000015</v>
      </c>
      <c r="CN107" s="3"/>
      <c r="CO107" s="3">
        <f t="shared" si="495"/>
        <v>-2567.0000000000073</v>
      </c>
      <c r="CP107" s="3">
        <f t="shared" si="460"/>
        <v>-146856</v>
      </c>
      <c r="CQ107" s="3">
        <f t="shared" si="461"/>
        <v>0</v>
      </c>
      <c r="CR107" s="3"/>
      <c r="CS107" s="3">
        <f t="shared" si="462"/>
        <v>-2</v>
      </c>
      <c r="CT107" s="3"/>
      <c r="CU107" s="3">
        <f t="shared" si="463"/>
        <v>3</v>
      </c>
      <c r="CV107" s="3"/>
      <c r="CW107" s="3" t="e">
        <f t="shared" ca="1" si="464"/>
        <v>#NUM!</v>
      </c>
      <c r="CY107" s="3" t="e">
        <f t="shared" ca="1" si="465"/>
        <v>#NUM!</v>
      </c>
      <c r="CZ107" s="70" t="e">
        <f t="shared" ca="1" si="508"/>
        <v>#NUM!</v>
      </c>
      <c r="DA107" s="3">
        <f>IF(RTD("tos.rtd",,DA$83,"."&amp;$B$82&amp;$AS$82&amp;"C"&amp;$A107)="N/A",0,RTD("tos.rtd",,DA$83,"."&amp;$B$82&amp;$AS$82&amp;"C"&amp;$A107))</f>
        <v>0.05</v>
      </c>
      <c r="DB107" s="3">
        <f>IF(RTD("tos.rtd",,DB$83,"."&amp;$B$82&amp;$AS$82&amp;"P"&amp;$A107)="N/A",0,RTD("tos.rtd",,DB$83,"."&amp;$B$82&amp;$AS$82&amp;"P"&amp;$A107))</f>
        <v>19.2</v>
      </c>
      <c r="DC107" s="3">
        <f>IF(RTD("tos.rtd",,DC$83,"."&amp;$B$82&amp;$AS$82&amp;"C"&amp;$A107)="N/A",0,RTD("tos.rtd",,DC$83,"."&amp;$B$82&amp;$AS$82&amp;"C"&amp;$A107))</f>
        <v>0.05</v>
      </c>
      <c r="DD107" s="3">
        <f>IF(RTD("tos.rtd",,DD$83,"."&amp;$B$82&amp;$AS$82&amp;"P"&amp;$A107)="N/A",0,RTD("tos.rtd",,DD$83,"."&amp;$B$82&amp;$AS$82&amp;"P"&amp;$A107))</f>
        <v>20.2</v>
      </c>
      <c r="DE107" s="3">
        <f>IF(RTD("tos.rtd",,DE$83,"."&amp;$B$82&amp;$AS$82&amp;"C"&amp;$A107)="N/A",0,RTD("tos.rtd",,DE$83,"."&amp;$B$82&amp;$AS$82&amp;"C"&amp;$A107))</f>
        <v>0</v>
      </c>
      <c r="DF107" s="3">
        <f>IF(RTD("tos.rtd",,DF$83,"."&amp;$B$82&amp;$AS$82&amp;"P"&amp;$A107)="N/A",0,RTD("tos.rtd",,DF$83,"."&amp;$B$82&amp;$AS$82&amp;"P"&amp;$A107))</f>
        <v>18.3</v>
      </c>
      <c r="DG107" s="86">
        <f t="shared" si="497"/>
        <v>18.720000000000255</v>
      </c>
      <c r="DH107" s="3">
        <f t="shared" si="466"/>
        <v>-62480</v>
      </c>
      <c r="DI107" s="3">
        <f t="shared" si="467"/>
        <v>2833.1052631578923</v>
      </c>
      <c r="DJ107" s="3">
        <f t="shared" si="468"/>
        <v>-62480</v>
      </c>
      <c r="DK107" s="3">
        <f t="shared" si="469"/>
        <v>0</v>
      </c>
      <c r="DL107" s="3">
        <f t="shared" si="470"/>
        <v>-59646.894736842107</v>
      </c>
      <c r="DM107" s="3">
        <f t="shared" si="471"/>
        <v>-62480</v>
      </c>
      <c r="DN107" s="64" t="str">
        <f t="shared" si="472"/>
        <v>UNKNOWN</v>
      </c>
      <c r="DO107" s="64" t="str">
        <f t="shared" si="473"/>
        <v>UNKNOWN</v>
      </c>
      <c r="DP107" s="3">
        <f t="shared" si="474"/>
        <v>51271.621052631534</v>
      </c>
      <c r="DQ107" s="3">
        <f t="shared" si="475"/>
        <v>-3124</v>
      </c>
      <c r="DR107" s="3" t="e">
        <f t="shared" ca="1" si="476"/>
        <v>#NUM!</v>
      </c>
      <c r="DS107" s="3">
        <f t="shared" si="477"/>
        <v>-624.80000000000007</v>
      </c>
      <c r="DT107" s="3">
        <f t="shared" si="498"/>
        <v>-62480</v>
      </c>
      <c r="DU107" s="3">
        <f t="shared" si="499"/>
        <v>5981</v>
      </c>
      <c r="DV107" s="3">
        <f t="shared" si="500"/>
        <v>-873</v>
      </c>
      <c r="DW107" s="3">
        <f t="shared" si="501"/>
        <v>-1090</v>
      </c>
      <c r="DX107" s="3" t="e">
        <f t="shared" ca="1" si="509"/>
        <v>#NUM!</v>
      </c>
      <c r="DY107" s="3" t="e">
        <f t="shared" ca="1" si="478"/>
        <v>#NUM!</v>
      </c>
      <c r="DZ107" s="3">
        <f t="shared" ca="1" si="502"/>
        <v>2.5910844144314245E-3</v>
      </c>
      <c r="EA107" s="3">
        <f t="shared" ca="1" si="503"/>
        <v>-5.8143373559656686E-3</v>
      </c>
      <c r="EB107" s="3">
        <f t="shared" ca="1" si="479"/>
        <v>3.4759320657666791E-3</v>
      </c>
      <c r="EC107" s="3">
        <f t="shared" ca="1" si="480"/>
        <v>-4.8603344576509432E-3</v>
      </c>
      <c r="ED107" s="63">
        <f t="shared" si="504"/>
        <v>-1963</v>
      </c>
      <c r="EE107" s="59">
        <f t="shared" si="481"/>
        <v>0.18690000000000001</v>
      </c>
      <c r="EF107" s="59">
        <f t="shared" si="482"/>
        <v>0.32200000000000001</v>
      </c>
      <c r="EG107" s="59">
        <f t="shared" si="483"/>
        <v>0.33329999999999999</v>
      </c>
      <c r="EH107" s="59">
        <f t="shared" si="484"/>
        <v>0.14460000000000001</v>
      </c>
      <c r="EI107" s="59">
        <f t="shared" si="485"/>
        <v>0.2472</v>
      </c>
      <c r="EJ107" s="59">
        <f t="shared" si="486"/>
        <v>0.17480000000000001</v>
      </c>
      <c r="EL107" s="3" t="str">
        <f>RTD("tos.rtd",,EL$83,"."&amp;$B$82&amp;$AS$82&amp;"C"&amp;$A107)</f>
        <v>18.69%</v>
      </c>
      <c r="EM107" s="3" t="str">
        <f>RTD("tos.rtd",,EM$83,"."&amp;$B$82&amp;$AS$82&amp;"P"&amp;$A107)</f>
        <v>32.20%</v>
      </c>
      <c r="EN107" s="3" t="str">
        <f>RTD("tos.rtd",,EN$83,"."&amp;$C$82&amp;$AU$82&amp;"C"&amp;$A107)</f>
        <v>33.33%</v>
      </c>
      <c r="EO107" s="3" t="str">
        <f>RTD("tos.rtd",,EO$83,"."&amp;$C$82&amp;$AU$82&amp;"P"&amp;$A107)</f>
        <v>14.46%</v>
      </c>
      <c r="EP107" s="3" t="str">
        <f>RTD("tos.rtd",,EP$83,"."&amp;$D$82&amp;$AW$82&amp;"C"&amp;$A107)</f>
        <v>24.72%</v>
      </c>
      <c r="EQ107" s="3" t="str">
        <f>RTD("tos.rtd",,EQ$83,"."&amp;$D$82&amp;$AW$82&amp;"P"&amp;$A107)</f>
        <v>17.48%</v>
      </c>
      <c r="ES107" s="63" t="str">
        <f t="shared" si="487"/>
        <v>5650,-1963.00</v>
      </c>
      <c r="ET107" s="64" t="str">
        <f t="shared" ca="1" si="488"/>
        <v>5650,00.00</v>
      </c>
      <c r="EU107" s="67">
        <v>562.07000000000005</v>
      </c>
      <c r="EV107" s="67" t="s">
        <v>876</v>
      </c>
      <c r="EW107" s="67">
        <v>484.43</v>
      </c>
      <c r="EX107" s="67" t="s">
        <v>877</v>
      </c>
      <c r="EY107" s="67">
        <v>5634.5</v>
      </c>
      <c r="EZ107" s="67" t="s">
        <v>878</v>
      </c>
      <c r="FA107" s="67">
        <v>19898.75</v>
      </c>
      <c r="FB107" s="67" t="s">
        <v>879</v>
      </c>
      <c r="FC107" s="67" t="s">
        <v>880</v>
      </c>
      <c r="FD107" s="67" t="s">
        <v>881</v>
      </c>
      <c r="FE107" s="68" t="s">
        <v>882</v>
      </c>
      <c r="FF107" s="68" t="s">
        <v>883</v>
      </c>
    </row>
    <row r="108" spans="1:162" s="63" customFormat="1" ht="12" customHeight="1" thickBot="1" x14ac:dyDescent="0.25">
      <c r="A108" s="2">
        <f t="shared" si="505"/>
        <v>5640</v>
      </c>
      <c r="B108" s="10">
        <f t="shared" si="449"/>
        <v>1744</v>
      </c>
      <c r="C108" s="10">
        <f t="shared" si="450"/>
        <v>1591</v>
      </c>
      <c r="D108" s="10">
        <f t="shared" si="451"/>
        <v>806</v>
      </c>
      <c r="E108" s="10">
        <f t="shared" si="516"/>
        <v>4141</v>
      </c>
      <c r="F108" s="11">
        <f t="shared" si="519"/>
        <v>5688.7954425991957</v>
      </c>
      <c r="G108" s="11">
        <f t="shared" si="517"/>
        <v>565.20386128908535</v>
      </c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>
        <v>-910</v>
      </c>
      <c r="AN108" s="10">
        <v>-773</v>
      </c>
      <c r="AO108" s="10">
        <v>5640</v>
      </c>
      <c r="AP108" s="10">
        <v>41161</v>
      </c>
      <c r="AQ108" s="10">
        <v>-7220</v>
      </c>
      <c r="AR108" s="10"/>
      <c r="AS108" s="54">
        <f>IF(RTD("tos.rtd",,AS$83,"."&amp;$B$82&amp;$AS$82&amp;"C"&amp;$A108)="N/A",0,RTD("tos.rtd",,AS$83,"."&amp;$B$82&amp;$AS$82&amp;"C"&amp;$A108))</f>
        <v>885</v>
      </c>
      <c r="AT108" s="3">
        <f>-IF(RTD("tos.rtd",,AT$83,"."&amp;$B$82&amp;$AS$82&amp;"P"&amp;$A108)="N/A",0,RTD("tos.rtd",,AT$83,"."&amp;$B$82&amp;$AS$82&amp;"P"&amp;$A108))</f>
        <v>-859</v>
      </c>
      <c r="AU108" s="54">
        <f>IF(RTD("tos.rtd",,AU$83,"."&amp;$C$82&amp;$AU$82&amp;"C"&amp;$A108)="N/A",0,RTD("tos.rtd",,AU$83,"."&amp;$C$82&amp;$AU$82&amp;"C"&amp;$A108))</f>
        <v>1159</v>
      </c>
      <c r="AV108" s="3">
        <f>-IF(RTD("tos.rtd",,AV$83,"."&amp;$C$82&amp;$AU$82&amp;"P"&amp;$A108)="N/A",0,RTD("tos.rtd",,AV$83,"."&amp;$C$82&amp;$AU$82&amp;"P"&amp;$A108))</f>
        <v>-432</v>
      </c>
      <c r="AW108" s="54">
        <f>IF(RTD("tos.rtd",,AW$83,"."&amp;$D$82&amp;$AW$82&amp;"C"&amp;$A108)="N/A",0,RTD("tos.rtd",,AW$83,"."&amp;$D$82&amp;$AW$82&amp;"C"&amp;$A108))</f>
        <v>235</v>
      </c>
      <c r="AX108" s="3">
        <f>-IF(RTD("tos.rtd",,AX$83,"."&amp;$D$82&amp;$AW$82&amp;"P"&amp;$A108)="N/A",0,RTD("tos.rtd",,AX$83,"."&amp;$D$82&amp;$AW$82&amp;"P"&amp;$A108))</f>
        <v>-571</v>
      </c>
      <c r="AY108" s="80">
        <f t="shared" si="518"/>
        <v>417</v>
      </c>
      <c r="AZ108" s="8">
        <f t="shared" si="453"/>
        <v>5640</v>
      </c>
      <c r="BA108" s="54">
        <f>IF(RTD("tos.rtd",,BA$83,"."&amp;$B$82&amp;$AS$82&amp;"C"&amp;$A108)="N/A",0,RTD("tos.rtd",,BA$83,"."&amp;$B$82&amp;$AS$82&amp;"C"&amp;$A108))</f>
        <v>0</v>
      </c>
      <c r="BB108" s="3">
        <f>-IF(RTD("tos.rtd",,BB$83,"."&amp;$B$82&amp;$AS$82&amp;"P"&amp;$A108)="N/A",0,RTD("tos.rtd",,BB$83,"."&amp;$B$82&amp;$AS$82&amp;"P"&amp;$A108))</f>
        <v>0</v>
      </c>
      <c r="BC108" s="54">
        <f>IF(RTD("tos.rtd",,BC$83,"."&amp;$C$82&amp;$AU$82&amp;"C"&amp;$A108)="N/A",0,RTD("tos.rtd",,BC$83,"."&amp;$C$82&amp;$AU$82&amp;"C"&amp;$A108))</f>
        <v>3</v>
      </c>
      <c r="BD108" s="3">
        <f>-IF(RTD("tos.rtd",,BD$83,"."&amp;$C$82&amp;$AU$82&amp;"P"&amp;$A108)="N/A",0,RTD("tos.rtd",,BD$83,"."&amp;$C$82&amp;$AU$82&amp;"P"&amp;$A108))</f>
        <v>-8</v>
      </c>
      <c r="BE108" s="54">
        <f>IF(RTD("tos.rtd",,BE$83,"."&amp;$D$82&amp;$AW$82&amp;"C"&amp;$A108)="N/A",0,RTD("tos.rtd",,BE$83,"."&amp;$D$82&amp;$AW$82&amp;"C"&amp;$A108))</f>
        <v>0</v>
      </c>
      <c r="BF108" s="3">
        <f>-IF(RTD("tos.rtd",,BF$83,"."&amp;$D$82&amp;$AW$82&amp;"P"&amp;$A108)="N/A",0,RTD("tos.rtd",,BF$83,"."&amp;$D$82&amp;$AW$82&amp;"P"&amp;$A108))</f>
        <v>0</v>
      </c>
      <c r="BG108" s="3">
        <f ca="1">+Hoja2!Y109</f>
        <v>0</v>
      </c>
      <c r="BH108" s="53">
        <f t="shared" ca="1" si="491"/>
        <v>-5</v>
      </c>
      <c r="BI108" s="32" t="str">
        <f t="shared" ca="1" si="510"/>
        <v>Cruce -</v>
      </c>
      <c r="BJ108" s="3" t="e">
        <f ca="1">IF($BP$1=1,DX108,IF(RTD("tos.rtd",,BJ$83,"."&amp;$B$82&amp;$AS$82&amp;"C"&amp;$A108)="N/A",0,RTD("tos.rtd",,BJ$83,"."&amp;$B$82&amp;$AS$82&amp;"C"&amp;$A108)))</f>
        <v>#NUM!</v>
      </c>
      <c r="BK108" s="3" t="e">
        <f ca="1">IF($BP$1=1,DY108,-IF(RTD("tos.rtd",,BK$83,"."&amp;$B$82&amp;$AS$82&amp;"P"&amp;$A108)="N/A",0,RTD("tos.rtd",,BK$83,"."&amp;$B$82&amp;$AS$82&amp;"P"&amp;$A108)))</f>
        <v>#NUM!</v>
      </c>
      <c r="BL108" s="3">
        <f ca="1">IF($BP$1=1,DZ108,IF(RTD("tos.rtd",,BL$83,"."&amp;$C$82&amp;$AU$82&amp;"C"&amp;$A108)="N/A",0,RTD("tos.rtd",,BL$83,"."&amp;$C$82&amp;$AU$82&amp;"C"&amp;$A108)))</f>
        <v>2.526505690334266E-3</v>
      </c>
      <c r="BM108" s="3">
        <f ca="1">IF($BP$1=1,EA108,-IF(RTD("tos.rtd",,BM$83,"."&amp;$C$82&amp;$AU$82&amp;"P"&amp;$A108)="N/A",0,RTD("tos.rtd",,BM$83,"."&amp;$C$82&amp;$AU$82&amp;"P"&amp;$A108)))</f>
        <v>-5.4691313186328791E-3</v>
      </c>
      <c r="BN108" s="3">
        <f ca="1">IF($BP$1=1,EB108,IF(RTD("tos.rtd",,BN$83,"."&amp;$D$82&amp;$AW$82&amp;"C"&amp;$A108)="N/A",0,RTD("tos.rtd",,BN$83,"."&amp;$D$82&amp;$AW$82&amp;"C"&amp;$A108)))</f>
        <v>3.4540292516506924E-3</v>
      </c>
      <c r="BO108" s="3">
        <f ca="1">IF($BP$1=1,EC108,-IF(RTD("tos.rtd",,BO$83,"."&amp;$D$82&amp;$AW$82&amp;"P"&amp;$A108)="N/A",0,RTD("tos.rtd",,BO$83,"."&amp;$D$82&amp;$AW$82&amp;"P"&amp;$A108)))</f>
        <v>-4.8326223868210959E-3</v>
      </c>
      <c r="BQ108" s="3" t="e">
        <f t="shared" ca="1" si="454"/>
        <v>#NUM!</v>
      </c>
      <c r="BR108" s="3" t="e">
        <f t="shared" ca="1" si="492"/>
        <v>#NUM!</v>
      </c>
      <c r="BS108" s="3">
        <f t="shared" ca="1" si="455"/>
        <v>134049.58555404283</v>
      </c>
      <c r="BT108" s="3" t="str">
        <f t="shared" ca="1" si="492"/>
        <v>Cruce +</v>
      </c>
      <c r="BU108" s="3">
        <f t="shared" ca="1" si="456"/>
        <v>-461656.77742323972</v>
      </c>
      <c r="BV108" s="3" t="str">
        <f t="shared" ca="1" si="492"/>
        <v/>
      </c>
      <c r="BX108" s="3" t="e">
        <f t="shared" ca="1" si="457"/>
        <v>#NUM!</v>
      </c>
      <c r="BY108" s="3" t="e">
        <f t="shared" ca="1" si="507"/>
        <v>#NUM!</v>
      </c>
      <c r="BZ108" s="3">
        <f t="shared" ca="1" si="458"/>
        <v>-8573.9566221214282</v>
      </c>
      <c r="CA108" s="3" t="str">
        <f t="shared" ca="1" si="507"/>
        <v/>
      </c>
      <c r="CB108" s="3">
        <f t="shared" ca="1" si="459"/>
        <v>0</v>
      </c>
      <c r="CC108" s="3" t="str">
        <f t="shared" ca="1" si="507"/>
        <v/>
      </c>
      <c r="CD108" s="3">
        <f>IF(RTD("tos.rtd",,CD$83,"."&amp;$B$82&amp;$AS$82&amp;"C"&amp;$A108)="N/A",0,RTD("tos.rtd",,CD$83,"."&amp;$B$82&amp;$AS$82&amp;"C"&amp;$A108))</f>
        <v>0.05</v>
      </c>
      <c r="CE108" s="3">
        <f>-IF(RTD("tos.rtd",,CE$83,"."&amp;$B$82&amp;$AS$82&amp;"P"&amp;$A108)="N/A",0,RTD("tos.rtd",,CE$83,"."&amp;$B$82&amp;$AS$82&amp;"P"&amp;$A108))</f>
        <v>0.83</v>
      </c>
      <c r="CF108" s="3">
        <f>IF(RTD("tos.rtd",,CF$83,"."&amp;$C$82&amp;$AU$82&amp;"C"&amp;$A108)="N/A",0,RTD("tos.rtd",,CF$83,"."&amp;$C$82&amp;$AU$82&amp;"C"&amp;$A108))</f>
        <v>0.48</v>
      </c>
      <c r="CG108" s="3">
        <f>-IF(RTD("tos.rtd",,CG$83,"."&amp;$C$82&amp;$AU$82&amp;"P"&amp;$A108)="N/A",0,RTD("tos.rtd",,CG$83,"."&amp;$C$82&amp;$AU$82&amp;"P"&amp;$A108))</f>
        <v>0.55000000000000004</v>
      </c>
      <c r="CH108" s="3">
        <f>IF(RTD("tos.rtd",,CH$83,"."&amp;$D$82&amp;$AW$82&amp;"C"&amp;$A108)="N/A",0,RTD("tos.rtd",,CH$83,"."&amp;$D$82&amp;$AW$82&amp;"C"&amp;$A108))</f>
        <v>0.5</v>
      </c>
      <c r="CI108" s="3">
        <f>-IF(RTD("tos.rtd",,CI$83,"."&amp;$D$82&amp;$AW$82&amp;"P"&amp;$A108)="N/A",0,RTD("tos.rtd",,CI$83,"."&amp;$D$82&amp;$AW$82&amp;"P"&amp;$A108))</f>
        <v>0.5</v>
      </c>
      <c r="CK108" s="3">
        <f t="shared" si="493"/>
        <v>-66871.999999999985</v>
      </c>
      <c r="CL108" s="3"/>
      <c r="CM108" s="3">
        <f t="shared" si="494"/>
        <v>31871.999999999989</v>
      </c>
      <c r="CN108" s="3"/>
      <c r="CO108" s="3">
        <f t="shared" si="495"/>
        <v>-16800</v>
      </c>
      <c r="CP108" s="3">
        <f t="shared" si="460"/>
        <v>-51800</v>
      </c>
      <c r="CQ108" s="3">
        <f t="shared" si="461"/>
        <v>0</v>
      </c>
      <c r="CR108" s="3"/>
      <c r="CS108" s="3">
        <f t="shared" si="462"/>
        <v>-5</v>
      </c>
      <c r="CT108" s="3"/>
      <c r="CU108" s="3">
        <f t="shared" si="463"/>
        <v>0</v>
      </c>
      <c r="CV108" s="3"/>
      <c r="CW108" s="3" t="e">
        <f t="shared" ca="1" si="464"/>
        <v>#NUM!</v>
      </c>
      <c r="CY108" s="3" t="e">
        <f t="shared" ca="1" si="465"/>
        <v>#NUM!</v>
      </c>
      <c r="CZ108" s="70" t="e">
        <f t="shared" ca="1" si="508"/>
        <v>#NUM!</v>
      </c>
      <c r="DA108" s="3">
        <f>IF(RTD("tos.rtd",,DA$83,"."&amp;$B$82&amp;$AS$82&amp;"C"&amp;$A108)="N/A",0,RTD("tos.rtd",,DA$83,"."&amp;$B$82&amp;$AS$82&amp;"C"&amp;$A108))</f>
        <v>0.15</v>
      </c>
      <c r="DB108" s="3">
        <f>IF(RTD("tos.rtd",,DB$83,"."&amp;$B$82&amp;$AS$82&amp;"P"&amp;$A108)="N/A",0,RTD("tos.rtd",,DB$83,"."&amp;$B$82&amp;$AS$82&amp;"P"&amp;$A108))</f>
        <v>9.1999999999999993</v>
      </c>
      <c r="DC108" s="3">
        <f>IF(RTD("tos.rtd",,DC$83,"."&amp;$B$82&amp;$AS$82&amp;"C"&amp;$A108)="N/A",0,RTD("tos.rtd",,DC$83,"."&amp;$B$82&amp;$AS$82&amp;"C"&amp;$A108))</f>
        <v>0.2</v>
      </c>
      <c r="DD108" s="3">
        <f>IF(RTD("tos.rtd",,DD$83,"."&amp;$B$82&amp;$AS$82&amp;"P"&amp;$A108)="N/A",0,RTD("tos.rtd",,DD$83,"."&amp;$B$82&amp;$AS$82&amp;"P"&amp;$A108))</f>
        <v>9.8000000000000007</v>
      </c>
      <c r="DE108" s="3">
        <f>IF(RTD("tos.rtd",,DE$83,"."&amp;$B$82&amp;$AS$82&amp;"C"&amp;$A108)="N/A",0,RTD("tos.rtd",,DE$83,"."&amp;$B$82&amp;$AS$82&amp;"C"&amp;$A108))</f>
        <v>0.05</v>
      </c>
      <c r="DF108" s="3">
        <f>IF(RTD("tos.rtd",,DF$83,"."&amp;$B$82&amp;$AS$82&amp;"P"&amp;$A108)="N/A",0,RTD("tos.rtd",,DF$83,"."&amp;$B$82&amp;$AS$82&amp;"P"&amp;$A108))</f>
        <v>9.1999999999999993</v>
      </c>
      <c r="DG108" s="86">
        <f t="shared" si="497"/>
        <v>8.7200000000002547</v>
      </c>
      <c r="DH108" s="3">
        <f t="shared" si="466"/>
        <v>-27440.666666666661</v>
      </c>
      <c r="DI108" s="3">
        <f t="shared" si="467"/>
        <v>0</v>
      </c>
      <c r="DJ108" s="3">
        <f t="shared" si="468"/>
        <v>-41161</v>
      </c>
      <c r="DK108" s="3">
        <f t="shared" si="469"/>
        <v>-7220</v>
      </c>
      <c r="DL108" s="3">
        <f t="shared" si="470"/>
        <v>-27440.666666666661</v>
      </c>
      <c r="DM108" s="3">
        <f t="shared" si="471"/>
        <v>-48381</v>
      </c>
      <c r="DN108" s="64" t="str">
        <f t="shared" si="472"/>
        <v>UNKNOWN</v>
      </c>
      <c r="DO108" s="64" t="str">
        <f t="shared" si="473"/>
        <v>UNKNOWN</v>
      </c>
      <c r="DP108" s="3">
        <f t="shared" si="474"/>
        <v>-4116.0999999999985</v>
      </c>
      <c r="DQ108" s="3">
        <f t="shared" si="475"/>
        <v>-72598.149999999994</v>
      </c>
      <c r="DR108" s="3" t="e">
        <f t="shared" ca="1" si="476"/>
        <v>#NUM!</v>
      </c>
      <c r="DS108" s="3">
        <f t="shared" si="477"/>
        <v>-8050.65</v>
      </c>
      <c r="DT108" s="3">
        <f t="shared" si="498"/>
        <v>-41161</v>
      </c>
      <c r="DU108" s="3">
        <f t="shared" si="499"/>
        <v>7220</v>
      </c>
      <c r="DV108" s="3">
        <f t="shared" si="500"/>
        <v>-910</v>
      </c>
      <c r="DW108" s="3">
        <f t="shared" si="501"/>
        <v>-773</v>
      </c>
      <c r="DX108" s="3" t="e">
        <f t="shared" ca="1" si="509"/>
        <v>#NUM!</v>
      </c>
      <c r="DY108" s="3" t="e">
        <f t="shared" ca="1" si="478"/>
        <v>#NUM!</v>
      </c>
      <c r="DZ108" s="3">
        <f t="shared" ca="1" si="502"/>
        <v>2.526505690334266E-3</v>
      </c>
      <c r="EA108" s="3">
        <f t="shared" ca="1" si="503"/>
        <v>-5.4691313186328791E-3</v>
      </c>
      <c r="EB108" s="3">
        <f t="shared" ca="1" si="479"/>
        <v>3.4540292516506924E-3</v>
      </c>
      <c r="EC108" s="3">
        <f t="shared" ca="1" si="480"/>
        <v>-4.8326223868210959E-3</v>
      </c>
      <c r="ED108" s="63">
        <f t="shared" si="504"/>
        <v>-1683</v>
      </c>
      <c r="EE108" s="59">
        <f t="shared" si="481"/>
        <v>0.1275</v>
      </c>
      <c r="EF108" s="59">
        <f t="shared" si="482"/>
        <v>0.2112</v>
      </c>
      <c r="EG108" s="59">
        <f t="shared" si="483"/>
        <v>0.34329999999999999</v>
      </c>
      <c r="EH108" s="59">
        <f t="shared" si="484"/>
        <v>0.158</v>
      </c>
      <c r="EI108" s="59">
        <f t="shared" si="485"/>
        <v>0.25090000000000001</v>
      </c>
      <c r="EJ108" s="59">
        <f t="shared" si="486"/>
        <v>0.17899999999999999</v>
      </c>
      <c r="EL108" s="3" t="str">
        <f>RTD("tos.rtd",,EL$83,"."&amp;$B$82&amp;$AS$82&amp;"C"&amp;$A108)</f>
        <v>12.75%</v>
      </c>
      <c r="EM108" s="3" t="str">
        <f>RTD("tos.rtd",,EM$83,"."&amp;$B$82&amp;$AS$82&amp;"P"&amp;$A108)</f>
        <v>21.12%</v>
      </c>
      <c r="EN108" s="3" t="str">
        <f>RTD("tos.rtd",,EN$83,"."&amp;$C$82&amp;$AU$82&amp;"C"&amp;$A108)</f>
        <v>34.33%</v>
      </c>
      <c r="EO108" s="3" t="str">
        <f>RTD("tos.rtd",,EO$83,"."&amp;$C$82&amp;$AU$82&amp;"P"&amp;$A108)</f>
        <v>15.80%</v>
      </c>
      <c r="EP108" s="3" t="str">
        <f>RTD("tos.rtd",,EP$83,"."&amp;$D$82&amp;$AW$82&amp;"C"&amp;$A108)</f>
        <v>25.09%</v>
      </c>
      <c r="EQ108" s="3" t="str">
        <f>RTD("tos.rtd",,EQ$83,"."&amp;$D$82&amp;$AW$82&amp;"P"&amp;$A108)</f>
        <v>17.90%</v>
      </c>
      <c r="ES108" s="63" t="str">
        <f t="shared" si="487"/>
        <v>5640,-1683.00</v>
      </c>
      <c r="ET108" s="64" t="str">
        <f t="shared" ca="1" si="488"/>
        <v>5640,00.00</v>
      </c>
      <c r="EU108" s="67">
        <v>562.02</v>
      </c>
      <c r="EV108" s="67" t="s">
        <v>884</v>
      </c>
      <c r="EW108" s="67">
        <v>484.38</v>
      </c>
      <c r="EX108" s="67" t="s">
        <v>885</v>
      </c>
      <c r="EY108" s="67">
        <v>5634</v>
      </c>
      <c r="EZ108" s="67" t="s">
        <v>886</v>
      </c>
      <c r="FA108" s="67">
        <v>19897.25</v>
      </c>
      <c r="FB108" s="67" t="s">
        <v>887</v>
      </c>
      <c r="FC108" s="67" t="s">
        <v>888</v>
      </c>
      <c r="FD108" s="67" t="s">
        <v>889</v>
      </c>
      <c r="FE108" s="68" t="s">
        <v>890</v>
      </c>
      <c r="FF108" s="68" t="s">
        <v>891</v>
      </c>
    </row>
    <row r="109" spans="1:162" s="63" customFormat="1" ht="12" customHeight="1" thickBot="1" x14ac:dyDescent="0.25">
      <c r="A109" s="2">
        <f t="shared" si="505"/>
        <v>5630</v>
      </c>
      <c r="B109" s="3">
        <f t="shared" si="449"/>
        <v>1019</v>
      </c>
      <c r="C109" s="3">
        <f t="shared" si="450"/>
        <v>1368</v>
      </c>
      <c r="D109" s="3">
        <f t="shared" si="451"/>
        <v>1235</v>
      </c>
      <c r="E109" s="3">
        <f t="shared" si="516"/>
        <v>3622</v>
      </c>
      <c r="F109" s="14">
        <f t="shared" si="519"/>
        <v>5678.7089258569986</v>
      </c>
      <c r="G109" s="14">
        <f t="shared" si="517"/>
        <v>564.20172678325366</v>
      </c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20"/>
      <c r="AM109" s="20">
        <v>4417</v>
      </c>
      <c r="AN109" s="20">
        <v>3791</v>
      </c>
      <c r="AO109" s="20">
        <v>5630</v>
      </c>
      <c r="AP109" s="20">
        <v>48842</v>
      </c>
      <c r="AQ109" s="20">
        <v>-23088</v>
      </c>
      <c r="AR109" s="20"/>
      <c r="AS109" s="54">
        <f>IF(RTD("tos.rtd",,AS$83,"."&amp;$B$82&amp;$AS$82&amp;"C"&amp;$A109)="N/A",0,RTD("tos.rtd",,AS$83,"."&amp;$B$82&amp;$AS$82&amp;"C"&amp;$A109))</f>
        <v>646</v>
      </c>
      <c r="AT109" s="3">
        <f>-IF(RTD("tos.rtd",,AT$83,"."&amp;$B$82&amp;$AS$82&amp;"P"&amp;$A109)="N/A",0,RTD("tos.rtd",,AT$83,"."&amp;$B$82&amp;$AS$82&amp;"P"&amp;$A109))</f>
        <v>-373</v>
      </c>
      <c r="AU109" s="54">
        <f>IF(RTD("tos.rtd",,AU$83,"."&amp;$C$82&amp;$AU$82&amp;"C"&amp;$A109)="N/A",0,RTD("tos.rtd",,AU$83,"."&amp;$C$82&amp;$AU$82&amp;"C"&amp;$A109))</f>
        <v>886</v>
      </c>
      <c r="AV109" s="3">
        <f>-IF(RTD("tos.rtd",,AV$83,"."&amp;$C$82&amp;$AU$82&amp;"P"&amp;$A109)="N/A",0,RTD("tos.rtd",,AV$83,"."&amp;$C$82&amp;$AU$82&amp;"P"&amp;$A109))</f>
        <v>-482</v>
      </c>
      <c r="AW109" s="54">
        <f>IF(RTD("tos.rtd",,AW$83,"."&amp;$D$82&amp;$AW$82&amp;"C"&amp;$A109)="N/A",0,RTD("tos.rtd",,AW$83,"."&amp;$D$82&amp;$AW$82&amp;"C"&amp;$A109))</f>
        <v>241</v>
      </c>
      <c r="AX109" s="3">
        <f>-IF(RTD("tos.rtd",,AX$83,"."&amp;$D$82&amp;$AW$82&amp;"P"&amp;$A109)="N/A",0,RTD("tos.rtd",,AX$83,"."&amp;$D$82&amp;$AW$82&amp;"P"&amp;$A109))</f>
        <v>-994</v>
      </c>
      <c r="AY109" s="79">
        <f t="shared" si="518"/>
        <v>-76</v>
      </c>
      <c r="AZ109" s="8">
        <f t="shared" si="453"/>
        <v>5630</v>
      </c>
      <c r="BA109" s="54">
        <f>IF(RTD("tos.rtd",,BA$83,"."&amp;$B$82&amp;$AS$82&amp;"C"&amp;$A109)="N/A",0,RTD("tos.rtd",,BA$83,"."&amp;$B$82&amp;$AS$82&amp;"C"&amp;$A109))</f>
        <v>0</v>
      </c>
      <c r="BB109" s="3">
        <f>-IF(RTD("tos.rtd",,BB$83,"."&amp;$B$82&amp;$AS$82&amp;"P"&amp;$A109)="N/A",0,RTD("tos.rtd",,BB$83,"."&amp;$B$82&amp;$AS$82&amp;"P"&amp;$A109))</f>
        <v>0</v>
      </c>
      <c r="BC109" s="54">
        <f>IF(RTD("tos.rtd",,BC$83,"."&amp;$C$82&amp;$AU$82&amp;"C"&amp;$A109)="N/A",0,RTD("tos.rtd",,BC$83,"."&amp;$C$82&amp;$AU$82&amp;"C"&amp;$A109))</f>
        <v>2</v>
      </c>
      <c r="BD109" s="3">
        <f>-IF(RTD("tos.rtd",,BD$83,"."&amp;$C$82&amp;$AU$82&amp;"P"&amp;$A109)="N/A",0,RTD("tos.rtd",,BD$83,"."&amp;$C$82&amp;$AU$82&amp;"P"&amp;$A109))</f>
        <v>-8</v>
      </c>
      <c r="BE109" s="54">
        <f>IF(RTD("tos.rtd",,BE$83,"."&amp;$D$82&amp;$AW$82&amp;"C"&amp;$A109)="N/A",0,RTD("tos.rtd",,BE$83,"."&amp;$D$82&amp;$AW$82&amp;"C"&amp;$A109))</f>
        <v>0</v>
      </c>
      <c r="BF109" s="3">
        <f>-IF(RTD("tos.rtd",,BF$83,"."&amp;$D$82&amp;$AW$82&amp;"P"&amp;$A109)="N/A",0,RTD("tos.rtd",,BF$83,"."&amp;$D$82&amp;$AW$82&amp;"P"&amp;$A109))</f>
        <v>-1</v>
      </c>
      <c r="BG109" s="3">
        <f ca="1">+Hoja2!Y110</f>
        <v>0</v>
      </c>
      <c r="BH109" s="55">
        <f t="shared" ca="1" si="491"/>
        <v>-7</v>
      </c>
      <c r="BI109" s="32" t="str">
        <f t="shared" ca="1" si="510"/>
        <v/>
      </c>
      <c r="BJ109" s="3" t="e">
        <f ca="1">IF($BP$1=1,DX109,IF(RTD("tos.rtd",,BJ$83,"."&amp;$B$82&amp;$AS$82&amp;"C"&amp;$A109)="N/A",0,RTD("tos.rtd",,BJ$83,"."&amp;$B$82&amp;$AS$82&amp;"C"&amp;$A109)))</f>
        <v>#NUM!</v>
      </c>
      <c r="BK109" s="3" t="e">
        <f ca="1">IF($BP$1=1,DY109,-IF(RTD("tos.rtd",,BK$83,"."&amp;$B$82&amp;$AS$82&amp;"P"&amp;$A109)="N/A",0,RTD("tos.rtd",,BK$83,"."&amp;$B$82&amp;$AS$82&amp;"P"&amp;$A109)))</f>
        <v>#NUM!</v>
      </c>
      <c r="BL109" s="3">
        <f ca="1">IF($BP$1=1,DZ109,IF(RTD("tos.rtd",,BL$83,"."&amp;$C$82&amp;$AU$82&amp;"C"&amp;$A109)="N/A",0,RTD("tos.rtd",,BL$83,"."&amp;$C$82&amp;$AU$82&amp;"C"&amp;$A109)))</f>
        <v>2.4466226407335125E-3</v>
      </c>
      <c r="BM109" s="3">
        <f ca="1">IF($BP$1=1,EA109,-IF(RTD("tos.rtd",,BM$83,"."&amp;$C$82&amp;$AU$82&amp;"P"&amp;$A109)="N/A",0,RTD("tos.rtd",,BM$83,"."&amp;$C$82&amp;$AU$82&amp;"P"&amp;$A109)))</f>
        <v>-5.1237964001142403E-3</v>
      </c>
      <c r="BN109" s="3">
        <f ca="1">IF($BP$1=1,EB109,IF(RTD("tos.rtd",,BN$83,"."&amp;$D$82&amp;$AW$82&amp;"C"&amp;$A109)="N/A",0,RTD("tos.rtd",,BN$83,"."&amp;$D$82&amp;$AW$82&amp;"C"&amp;$A109)))</f>
        <v>3.4076482255350517E-3</v>
      </c>
      <c r="BO109" s="3">
        <f ca="1">IF($BP$1=1,EC109,-IF(RTD("tos.rtd",,BO$83,"."&amp;$D$82&amp;$AW$82&amp;"P"&amp;$A109)="N/A",0,RTD("tos.rtd",,BO$83,"."&amp;$D$82&amp;$AW$82&amp;"P"&amp;$A109)))</f>
        <v>-4.753424046771074E-3</v>
      </c>
      <c r="BQ109" s="3" t="e">
        <f t="shared" ca="1" si="454"/>
        <v>#NUM!</v>
      </c>
      <c r="BR109" s="3" t="e">
        <f t="shared" ca="1" si="492"/>
        <v>#NUM!</v>
      </c>
      <c r="BS109" s="3">
        <f t="shared" ca="1" si="455"/>
        <v>-71571.964352793701</v>
      </c>
      <c r="BT109" s="3" t="str">
        <f t="shared" ca="1" si="492"/>
        <v>Cruce -</v>
      </c>
      <c r="BU109" s="3">
        <f t="shared" ca="1" si="456"/>
        <v>-925256.96804512199</v>
      </c>
      <c r="BV109" s="3" t="str">
        <f t="shared" ca="1" si="492"/>
        <v/>
      </c>
      <c r="BX109" s="3" t="e">
        <f t="shared" ca="1" si="457"/>
        <v>#NUM!</v>
      </c>
      <c r="BY109" s="3" t="e">
        <f t="shared" ca="1" si="507"/>
        <v>#NUM!</v>
      </c>
      <c r="BZ109" s="3">
        <f t="shared" ca="1" si="458"/>
        <v>-8555.8462792778046</v>
      </c>
      <c r="CA109" s="3" t="str">
        <f t="shared" ca="1" si="507"/>
        <v/>
      </c>
      <c r="CB109" s="3">
        <f t="shared" ca="1" si="459"/>
        <v>-1126.6704594474568</v>
      </c>
      <c r="CC109" s="3" t="str">
        <f t="shared" ca="1" si="507"/>
        <v/>
      </c>
      <c r="CD109" s="3">
        <f>IF(RTD("tos.rtd",,CD$83,"."&amp;$B$82&amp;$AS$82&amp;"C"&amp;$A109)="N/A",0,RTD("tos.rtd",,CD$83,"."&amp;$B$82&amp;$AS$82&amp;"C"&amp;$A109))</f>
        <v>0.68</v>
      </c>
      <c r="CE109" s="3">
        <f>-IF(RTD("tos.rtd",,CE$83,"."&amp;$B$82&amp;$AS$82&amp;"P"&amp;$A109)="N/A",0,RTD("tos.rtd",,CE$83,"."&amp;$B$82&amp;$AS$82&amp;"P"&amp;$A109))</f>
        <v>0.3</v>
      </c>
      <c r="CF109" s="3">
        <f>IF(RTD("tos.rtd",,CF$83,"."&amp;$C$82&amp;$AU$82&amp;"C"&amp;$A109)="N/A",0,RTD("tos.rtd",,CF$83,"."&amp;$C$82&amp;$AU$82&amp;"C"&amp;$A109))</f>
        <v>0.51</v>
      </c>
      <c r="CG109" s="3">
        <f>-IF(RTD("tos.rtd",,CG$83,"."&amp;$C$82&amp;$AU$82&amp;"P"&amp;$A109)="N/A",0,RTD("tos.rtd",,CG$83,"."&amp;$C$82&amp;$AU$82&amp;"P"&amp;$A109))</f>
        <v>0.48</v>
      </c>
      <c r="CH109" s="3">
        <f>IF(RTD("tos.rtd",,CH$83,"."&amp;$D$82&amp;$AW$82&amp;"C"&amp;$A109)="N/A",0,RTD("tos.rtd",,CH$83,"."&amp;$D$82&amp;$AW$82&amp;"C"&amp;$A109))</f>
        <v>0.52</v>
      </c>
      <c r="CI109" s="3">
        <f>-IF(RTD("tos.rtd",,CI$83,"."&amp;$D$82&amp;$AW$82&amp;"P"&amp;$A109)="N/A",0,RTD("tos.rtd",,CI$83,"."&amp;$D$82&amp;$AW$82&amp;"P"&amp;$A109))</f>
        <v>0.48</v>
      </c>
      <c r="CK109" s="3">
        <f t="shared" si="493"/>
        <v>32738</v>
      </c>
      <c r="CL109" s="3"/>
      <c r="CM109" s="3">
        <f t="shared" si="494"/>
        <v>22050</v>
      </c>
      <c r="CN109" s="3"/>
      <c r="CO109" s="3">
        <f t="shared" si="495"/>
        <v>-35180</v>
      </c>
      <c r="CP109" s="3">
        <f t="shared" si="460"/>
        <v>19608</v>
      </c>
      <c r="CQ109" s="3">
        <f t="shared" si="461"/>
        <v>0</v>
      </c>
      <c r="CR109" s="3"/>
      <c r="CS109" s="3">
        <f t="shared" si="462"/>
        <v>-6</v>
      </c>
      <c r="CT109" s="3"/>
      <c r="CU109" s="3">
        <f t="shared" si="463"/>
        <v>-1</v>
      </c>
      <c r="CV109" s="3"/>
      <c r="CW109" s="3" t="e">
        <f t="shared" ca="1" si="464"/>
        <v>#NUM!</v>
      </c>
      <c r="CY109" s="3" t="e">
        <f t="shared" ca="1" si="465"/>
        <v>#NUM!</v>
      </c>
      <c r="CZ109" s="70" t="e">
        <f t="shared" ca="1" si="508"/>
        <v>#NUM!</v>
      </c>
      <c r="DA109" s="3">
        <f>IF(RTD("tos.rtd",,DA$83,"."&amp;$B$82&amp;$AS$82&amp;"C"&amp;$A109)="N/A",0,RTD("tos.rtd",,DA$83,"."&amp;$B$82&amp;$AS$82&amp;"C"&amp;$A109))</f>
        <v>3.88</v>
      </c>
      <c r="DB109" s="3">
        <f>IF(RTD("tos.rtd",,DB$83,"."&amp;$B$82&amp;$AS$82&amp;"P"&amp;$A109)="N/A",0,RTD("tos.rtd",,DB$83,"."&amp;$B$82&amp;$AS$82&amp;"P"&amp;$A109))</f>
        <v>0.4</v>
      </c>
      <c r="DC109" s="3">
        <f>IF(RTD("tos.rtd",,DC$83,"."&amp;$B$82&amp;$AS$82&amp;"C"&amp;$A109)="N/A",0,RTD("tos.rtd",,DC$83,"."&amp;$B$82&amp;$AS$82&amp;"C"&amp;$A109))</f>
        <v>2.2999999999999998</v>
      </c>
      <c r="DD109" s="3">
        <f>IF(RTD("tos.rtd",,DD$83,"."&amp;$B$82&amp;$AS$82&amp;"P"&amp;$A109)="N/A",0,RTD("tos.rtd",,DD$83,"."&amp;$B$82&amp;$AS$82&amp;"P"&amp;$A109))</f>
        <v>0.5</v>
      </c>
      <c r="DE109" s="3">
        <f>IF(RTD("tos.rtd",,DE$83,"."&amp;$B$82&amp;$AS$82&amp;"C"&amp;$A109)="N/A",0,RTD("tos.rtd",,DE$83,"."&amp;$B$82&amp;$AS$82&amp;"C"&amp;$A109))</f>
        <v>1.4</v>
      </c>
      <c r="DF109" s="3">
        <f>IF(RTD("tos.rtd",,DF$83,"."&amp;$B$82&amp;$AS$82&amp;"P"&amp;$A109)="N/A",0,RTD("tos.rtd",,DF$83,"."&amp;$B$82&amp;$AS$82&amp;"P"&amp;$A109))</f>
        <v>0.4</v>
      </c>
      <c r="DG109" s="86">
        <f t="shared" si="497"/>
        <v>-1.2799999999997453</v>
      </c>
      <c r="DH109" s="3">
        <f t="shared" si="466"/>
        <v>-134586.84444444446</v>
      </c>
      <c r="DI109" s="3">
        <f t="shared" si="467"/>
        <v>0</v>
      </c>
      <c r="DJ109" s="3">
        <f t="shared" si="468"/>
        <v>-48842</v>
      </c>
      <c r="DK109" s="3">
        <f t="shared" si="469"/>
        <v>-23088</v>
      </c>
      <c r="DL109" s="3">
        <f t="shared" si="470"/>
        <v>-134586.84444444446</v>
      </c>
      <c r="DM109" s="3">
        <f t="shared" si="471"/>
        <v>-71930</v>
      </c>
      <c r="DN109" s="64" t="str">
        <f t="shared" si="472"/>
        <v>UNKNOWN</v>
      </c>
      <c r="DO109" s="64" t="str">
        <f t="shared" si="473"/>
        <v>UNKNOWN</v>
      </c>
      <c r="DP109" s="3">
        <f t="shared" si="474"/>
        <v>-522196.95644444448</v>
      </c>
      <c r="DQ109" s="3">
        <f t="shared" si="475"/>
        <v>-198742.16</v>
      </c>
      <c r="DR109" s="3" t="e">
        <f t="shared" ca="1" si="476"/>
        <v>#NUM!</v>
      </c>
      <c r="DS109" s="3">
        <f t="shared" si="477"/>
        <v>-40138.960000000006</v>
      </c>
      <c r="DT109" s="3">
        <f t="shared" si="498"/>
        <v>-48842</v>
      </c>
      <c r="DU109" s="3">
        <f t="shared" si="499"/>
        <v>23088</v>
      </c>
      <c r="DV109" s="3">
        <f t="shared" si="500"/>
        <v>4417</v>
      </c>
      <c r="DW109" s="3">
        <f t="shared" si="501"/>
        <v>3791</v>
      </c>
      <c r="DX109" s="3" t="e">
        <f t="shared" ca="1" si="509"/>
        <v>#NUM!</v>
      </c>
      <c r="DY109" s="3" t="e">
        <f t="shared" ca="1" si="478"/>
        <v>#NUM!</v>
      </c>
      <c r="DZ109" s="3">
        <f t="shared" ca="1" si="502"/>
        <v>2.4466226407335125E-3</v>
      </c>
      <c r="EA109" s="3">
        <f t="shared" ca="1" si="503"/>
        <v>-5.1237964001142403E-3</v>
      </c>
      <c r="EB109" s="3">
        <f t="shared" ca="1" si="479"/>
        <v>3.4076482255350517E-3</v>
      </c>
      <c r="EC109" s="3">
        <f t="shared" ca="1" si="480"/>
        <v>-4.753424046771074E-3</v>
      </c>
      <c r="ED109" s="63">
        <f t="shared" si="504"/>
        <v>8208</v>
      </c>
      <c r="EE109" s="59">
        <f t="shared" si="481"/>
        <v>6.3799999999999996E-2</v>
      </c>
      <c r="EF109" s="59">
        <f t="shared" si="482"/>
        <v>5.67E-2</v>
      </c>
      <c r="EG109" s="59">
        <f t="shared" si="483"/>
        <v>0.35449999999999998</v>
      </c>
      <c r="EH109" s="59">
        <f t="shared" si="484"/>
        <v>0.16919999999999999</v>
      </c>
      <c r="EI109" s="59">
        <f t="shared" si="485"/>
        <v>0.2545</v>
      </c>
      <c r="EJ109" s="59">
        <f t="shared" si="486"/>
        <v>0.18240000000000001</v>
      </c>
      <c r="EL109" s="3" t="str">
        <f>RTD("tos.rtd",,EL$83,"."&amp;$B$82&amp;$AS$82&amp;"C"&amp;$A109)</f>
        <v>6.38%</v>
      </c>
      <c r="EM109" s="3" t="str">
        <f>RTD("tos.rtd",,EM$83,"."&amp;$B$82&amp;$AS$82&amp;"P"&amp;$A109)</f>
        <v>5.67%</v>
      </c>
      <c r="EN109" s="3" t="str">
        <f>RTD("tos.rtd",,EN$83,"."&amp;$C$82&amp;$AU$82&amp;"C"&amp;$A109)</f>
        <v>35.45%</v>
      </c>
      <c r="EO109" s="3" t="str">
        <f>RTD("tos.rtd",,EO$83,"."&amp;$C$82&amp;$AU$82&amp;"P"&amp;$A109)</f>
        <v>16.92%</v>
      </c>
      <c r="EP109" s="3" t="str">
        <f>RTD("tos.rtd",,EP$83,"."&amp;$D$82&amp;$AW$82&amp;"C"&amp;$A109)</f>
        <v>25.45%</v>
      </c>
      <c r="EQ109" s="3" t="str">
        <f>RTD("tos.rtd",,EQ$83,"."&amp;$D$82&amp;$AW$82&amp;"P"&amp;$A109)</f>
        <v>18.24%</v>
      </c>
      <c r="ES109" s="63" t="str">
        <f t="shared" si="487"/>
        <v>5630,8208.00</v>
      </c>
      <c r="ET109" s="64" t="str">
        <f t="shared" ca="1" si="488"/>
        <v>5630,00.00</v>
      </c>
      <c r="EU109" s="67">
        <v>561.99</v>
      </c>
      <c r="EV109" s="67" t="s">
        <v>892</v>
      </c>
      <c r="EW109" s="67">
        <v>484.35</v>
      </c>
      <c r="EX109" s="67" t="s">
        <v>893</v>
      </c>
      <c r="EY109" s="67">
        <v>5633.75</v>
      </c>
      <c r="EZ109" s="67" t="s">
        <v>894</v>
      </c>
      <c r="FA109" s="67">
        <v>19894.25</v>
      </c>
      <c r="FB109" s="67" t="s">
        <v>895</v>
      </c>
      <c r="FC109" s="67" t="s">
        <v>896</v>
      </c>
      <c r="FD109" s="67" t="s">
        <v>897</v>
      </c>
      <c r="FE109" s="68" t="s">
        <v>898</v>
      </c>
      <c r="FF109" s="68" t="s">
        <v>899</v>
      </c>
    </row>
    <row r="110" spans="1:162" s="63" customFormat="1" ht="12" customHeight="1" thickBot="1" x14ac:dyDescent="0.25">
      <c r="A110" s="2">
        <f t="shared" si="505"/>
        <v>5620</v>
      </c>
      <c r="B110" s="3">
        <f t="shared" si="449"/>
        <v>2189</v>
      </c>
      <c r="C110" s="3">
        <f t="shared" si="450"/>
        <v>2943</v>
      </c>
      <c r="D110" s="3">
        <f t="shared" si="451"/>
        <v>1094</v>
      </c>
      <c r="E110" s="3">
        <f t="shared" si="516"/>
        <v>6226</v>
      </c>
      <c r="F110" s="4">
        <f t="shared" si="519"/>
        <v>5668.6224091148015</v>
      </c>
      <c r="G110" s="4">
        <f t="shared" si="517"/>
        <v>563.19959227742197</v>
      </c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20"/>
      <c r="AM110" s="20">
        <v>-5095</v>
      </c>
      <c r="AN110" s="20">
        <v>-2637</v>
      </c>
      <c r="AO110" s="20">
        <v>5620</v>
      </c>
      <c r="AP110" s="20">
        <v>39960</v>
      </c>
      <c r="AQ110" s="20">
        <v>-27716</v>
      </c>
      <c r="AR110" s="20"/>
      <c r="AS110" s="54">
        <f>IF(RTD("tos.rtd",,AS$83,"."&amp;$B$82&amp;$AS$82&amp;"C"&amp;$A110)="N/A",0,RTD("tos.rtd",,AS$83,"."&amp;$B$82&amp;$AS$82&amp;"C"&amp;$A110))</f>
        <v>1164</v>
      </c>
      <c r="AT110" s="3">
        <f>-IF(RTD("tos.rtd",,AT$83,"."&amp;$B$82&amp;$AS$82&amp;"P"&amp;$A110)="N/A",0,RTD("tos.rtd",,AT$83,"."&amp;$B$82&amp;$AS$82&amp;"P"&amp;$A110))</f>
        <v>-1025</v>
      </c>
      <c r="AU110" s="54">
        <f>IF(RTD("tos.rtd",,AU$83,"."&amp;$C$82&amp;$AU$82&amp;"C"&amp;$A110)="N/A",0,RTD("tos.rtd",,AU$83,"."&amp;$C$82&amp;$AU$82&amp;"C"&amp;$A110))</f>
        <v>1687</v>
      </c>
      <c r="AV110" s="3">
        <f>-IF(RTD("tos.rtd",,AV$83,"."&amp;$C$82&amp;$AU$82&amp;"P"&amp;$A110)="N/A",0,RTD("tos.rtd",,AV$83,"."&amp;$C$82&amp;$AU$82&amp;"P"&amp;$A110))</f>
        <v>-1256</v>
      </c>
      <c r="AW110" s="54">
        <f>IF(RTD("tos.rtd",,AW$83,"."&amp;$D$82&amp;$AW$82&amp;"C"&amp;$A110)="N/A",0,RTD("tos.rtd",,AW$83,"."&amp;$D$82&amp;$AW$82&amp;"C"&amp;$A110))</f>
        <v>573</v>
      </c>
      <c r="AX110" s="3">
        <f>-IF(RTD("tos.rtd",,AX$83,"."&amp;$D$82&amp;$AW$82&amp;"P"&amp;$A110)="N/A",0,RTD("tos.rtd",,AX$83,"."&amp;$D$82&amp;$AW$82&amp;"P"&amp;$A110))</f>
        <v>-521</v>
      </c>
      <c r="AY110" s="79">
        <f t="shared" si="518"/>
        <v>622</v>
      </c>
      <c r="AZ110" s="8">
        <f t="shared" si="453"/>
        <v>5620</v>
      </c>
      <c r="BA110" s="54">
        <f>IF(RTD("tos.rtd",,BA$83,"."&amp;$B$82&amp;$AS$82&amp;"C"&amp;$A110)="N/A",0,RTD("tos.rtd",,BA$83,"."&amp;$B$82&amp;$AS$82&amp;"C"&amp;$A110))</f>
        <v>0</v>
      </c>
      <c r="BB110" s="3">
        <f>-IF(RTD("tos.rtd",,BB$83,"."&amp;$B$82&amp;$AS$82&amp;"P"&amp;$A110)="N/A",0,RTD("tos.rtd",,BB$83,"."&amp;$B$82&amp;$AS$82&amp;"P"&amp;$A110))</f>
        <v>0</v>
      </c>
      <c r="BC110" s="54">
        <f>IF(RTD("tos.rtd",,BC$83,"."&amp;$C$82&amp;$AU$82&amp;"C"&amp;$A110)="N/A",0,RTD("tos.rtd",,BC$83,"."&amp;$C$82&amp;$AU$82&amp;"C"&amp;$A110))</f>
        <v>0</v>
      </c>
      <c r="BD110" s="3">
        <f>-IF(RTD("tos.rtd",,BD$83,"."&amp;$C$82&amp;$AU$82&amp;"P"&amp;$A110)="N/A",0,RTD("tos.rtd",,BD$83,"."&amp;$C$82&amp;$AU$82&amp;"P"&amp;$A110))</f>
        <v>-5</v>
      </c>
      <c r="BE110" s="54">
        <f>IF(RTD("tos.rtd",,BE$83,"."&amp;$D$82&amp;$AW$82&amp;"C"&amp;$A110)="N/A",0,RTD("tos.rtd",,BE$83,"."&amp;$D$82&amp;$AW$82&amp;"C"&amp;$A110))</f>
        <v>0</v>
      </c>
      <c r="BF110" s="3">
        <f>-IF(RTD("tos.rtd",,BF$83,"."&amp;$D$82&amp;$AW$82&amp;"P"&amp;$A110)="N/A",0,RTD("tos.rtd",,BF$83,"."&amp;$D$82&amp;$AW$82&amp;"P"&amp;$A110))</f>
        <v>0</v>
      </c>
      <c r="BG110" s="3">
        <f ca="1">+Hoja2!Y111</f>
        <v>0</v>
      </c>
      <c r="BH110" s="55">
        <f t="shared" ca="1" si="491"/>
        <v>-5</v>
      </c>
      <c r="BI110" s="32" t="str">
        <f t="shared" ca="1" si="510"/>
        <v/>
      </c>
      <c r="BJ110" s="3" t="e">
        <f ca="1">IF($BP$1=1,DX110,IF(RTD("tos.rtd",,BJ$83,"."&amp;$B$82&amp;$AS$82&amp;"C"&amp;$A110)="N/A",0,RTD("tos.rtd",,BJ$83,"."&amp;$B$82&amp;$AS$82&amp;"C"&amp;$A110)))</f>
        <v>#NUM!</v>
      </c>
      <c r="BK110" s="3" t="e">
        <f ca="1">IF($BP$1=1,DY110,-IF(RTD("tos.rtd",,BK$83,"."&amp;$B$82&amp;$AS$82&amp;"P"&amp;$A110)="N/A",0,RTD("tos.rtd",,BK$83,"."&amp;$B$82&amp;$AS$82&amp;"P"&amp;$A110)))</f>
        <v>#NUM!</v>
      </c>
      <c r="BL110" s="3">
        <f ca="1">IF($BP$1=1,DZ110,IF(RTD("tos.rtd",,BL$83,"."&amp;$C$82&amp;$AU$82&amp;"C"&amp;$A110)="N/A",0,RTD("tos.rtd",,BL$83,"."&amp;$C$82&amp;$AU$82&amp;"C"&amp;$A110)))</f>
        <v>2.3649306253674574E-3</v>
      </c>
      <c r="BM110" s="3">
        <f ca="1">IF($BP$1=1,EA110,-IF(RTD("tos.rtd",,BM$83,"."&amp;$C$82&amp;$AU$82&amp;"P"&amp;$A110)="N/A",0,RTD("tos.rtd",,BM$83,"."&amp;$C$82&amp;$AU$82&amp;"P"&amp;$A110)))</f>
        <v>-4.8043328646917918E-3</v>
      </c>
      <c r="BN110" s="3">
        <f ca="1">IF($BP$1=1,EB110,IF(RTD("tos.rtd",,BN$83,"."&amp;$D$82&amp;$AW$82&amp;"C"&amp;$A110)="N/A",0,RTD("tos.rtd",,BN$83,"."&amp;$D$82&amp;$AW$82&amp;"C"&amp;$A110)))</f>
        <v>3.3358851057849128E-3</v>
      </c>
      <c r="BO110" s="3">
        <f ca="1">IF($BP$1=1,EC110,-IF(RTD("tos.rtd",,BO$83,"."&amp;$D$82&amp;$AW$82&amp;"P"&amp;$A110)="N/A",0,RTD("tos.rtd",,BO$83,"."&amp;$D$82&amp;$AW$82&amp;"P"&amp;$A110)))</f>
        <v>-4.6099368573051039E-3</v>
      </c>
      <c r="BQ110" s="3" t="e">
        <f t="shared" ca="1" si="454"/>
        <v>#NUM!</v>
      </c>
      <c r="BR110" s="3" t="e">
        <f t="shared" ca="1" si="492"/>
        <v>#NUM!</v>
      </c>
      <c r="BS110" s="3">
        <f t="shared" ca="1" si="455"/>
        <v>-484618.0422325253</v>
      </c>
      <c r="BT110" s="3" t="str">
        <f t="shared" ca="1" si="492"/>
        <v/>
      </c>
      <c r="BU110" s="3">
        <f t="shared" ca="1" si="456"/>
        <v>-116215.87932290969</v>
      </c>
      <c r="BV110" s="3" t="str">
        <f t="shared" ca="1" si="492"/>
        <v/>
      </c>
      <c r="BX110" s="3" t="e">
        <f t="shared" ca="1" si="457"/>
        <v>#NUM!</v>
      </c>
      <c r="BY110" s="3" t="e">
        <f t="shared" ca="1" si="507"/>
        <v>#NUM!</v>
      </c>
      <c r="BZ110" s="3">
        <f t="shared" ca="1" si="458"/>
        <v>-5693.6850812602279</v>
      </c>
      <c r="CA110" s="3" t="str">
        <f t="shared" ca="1" si="507"/>
        <v/>
      </c>
      <c r="CB110" s="3">
        <f t="shared" ca="1" si="459"/>
        <v>0</v>
      </c>
      <c r="CC110" s="3" t="str">
        <f t="shared" ca="1" si="507"/>
        <v/>
      </c>
      <c r="CD110" s="3">
        <f>IF(RTD("tos.rtd",,CD$83,"."&amp;$B$82&amp;$AS$82&amp;"C"&amp;$A110)="N/A",0,RTD("tos.rtd",,CD$83,"."&amp;$B$82&amp;$AS$82&amp;"C"&amp;$A110))</f>
        <v>1</v>
      </c>
      <c r="CE110" s="3">
        <f>-IF(RTD("tos.rtd",,CE$83,"."&amp;$B$82&amp;$AS$82&amp;"P"&amp;$A110)="N/A",0,RTD("tos.rtd",,CE$83,"."&amp;$B$82&amp;$AS$82&amp;"P"&amp;$A110))</f>
        <v>0.01</v>
      </c>
      <c r="CF110" s="3">
        <f>IF(RTD("tos.rtd",,CF$83,"."&amp;$C$82&amp;$AU$82&amp;"C"&amp;$A110)="N/A",0,RTD("tos.rtd",,CF$83,"."&amp;$C$82&amp;$AU$82&amp;"C"&amp;$A110))</f>
        <v>0.54</v>
      </c>
      <c r="CG110" s="3">
        <f>-IF(RTD("tos.rtd",,CG$83,"."&amp;$C$82&amp;$AU$82&amp;"P"&amp;$A110)="N/A",0,RTD("tos.rtd",,CG$83,"."&amp;$C$82&amp;$AU$82&amp;"P"&amp;$A110))</f>
        <v>0.43</v>
      </c>
      <c r="CH110" s="3">
        <f>IF(RTD("tos.rtd",,CH$83,"."&amp;$D$82&amp;$AW$82&amp;"C"&amp;$A110)="N/A",0,RTD("tos.rtd",,CH$83,"."&amp;$D$82&amp;$AW$82&amp;"C"&amp;$A110))</f>
        <v>0.54</v>
      </c>
      <c r="CI110" s="3">
        <f>-IF(RTD("tos.rtd",,CI$83,"."&amp;$D$82&amp;$AW$82&amp;"P"&amp;$A110)="N/A",0,RTD("tos.rtd",,CI$83,"."&amp;$D$82&amp;$AW$82&amp;"P"&amp;$A110))</f>
        <v>0.45</v>
      </c>
      <c r="CK110" s="3">
        <f t="shared" si="493"/>
        <v>115375</v>
      </c>
      <c r="CL110" s="3"/>
      <c r="CM110" s="3">
        <f t="shared" si="494"/>
        <v>37089.999999999993</v>
      </c>
      <c r="CN110" s="3"/>
      <c r="CO110" s="3">
        <f t="shared" si="495"/>
        <v>7497</v>
      </c>
      <c r="CP110" s="3">
        <f t="shared" si="460"/>
        <v>159962</v>
      </c>
      <c r="CQ110" s="3">
        <f t="shared" si="461"/>
        <v>0</v>
      </c>
      <c r="CR110" s="3"/>
      <c r="CS110" s="3">
        <f t="shared" si="462"/>
        <v>-5</v>
      </c>
      <c r="CT110" s="3"/>
      <c r="CU110" s="3">
        <f t="shared" si="463"/>
        <v>0</v>
      </c>
      <c r="CV110" s="3"/>
      <c r="CW110" s="3" t="e">
        <f t="shared" ca="1" si="464"/>
        <v>#NUM!</v>
      </c>
      <c r="CY110" s="3" t="e">
        <f t="shared" ca="1" si="465"/>
        <v>#NUM!</v>
      </c>
      <c r="CZ110" s="70" t="e">
        <f t="shared" ca="1" si="508"/>
        <v>#NUM!</v>
      </c>
      <c r="DA110" s="3">
        <f>IF(RTD("tos.rtd",,DA$83,"."&amp;$B$82&amp;$AS$82&amp;"C"&amp;$A110)="N/A",0,RTD("tos.rtd",,DA$83,"."&amp;$B$82&amp;$AS$82&amp;"C"&amp;$A110))</f>
        <v>12.4</v>
      </c>
      <c r="DB110" s="3">
        <f>IF(RTD("tos.rtd",,DB$83,"."&amp;$B$82&amp;$AS$82&amp;"P"&amp;$A110)="N/A",0,RTD("tos.rtd",,DB$83,"."&amp;$B$82&amp;$AS$82&amp;"P"&amp;$A110))</f>
        <v>0.05</v>
      </c>
      <c r="DC110" s="3">
        <f>IF(RTD("tos.rtd",,DC$83,"."&amp;$B$82&amp;$AS$82&amp;"C"&amp;$A110)="N/A",0,RTD("tos.rtd",,DC$83,"."&amp;$B$82&amp;$AS$82&amp;"C"&amp;$A110))</f>
        <v>11.7</v>
      </c>
      <c r="DD110" s="3">
        <f>IF(RTD("tos.rtd",,DD$83,"."&amp;$B$82&amp;$AS$82&amp;"P"&amp;$A110)="N/A",0,RTD("tos.rtd",,DD$83,"."&amp;$B$82&amp;$AS$82&amp;"P"&amp;$A110))</f>
        <v>0.05</v>
      </c>
      <c r="DE110" s="3">
        <f>IF(RTD("tos.rtd",,DE$83,"."&amp;$B$82&amp;$AS$82&amp;"C"&amp;$A110)="N/A",0,RTD("tos.rtd",,DE$83,"."&amp;$B$82&amp;$AS$82&amp;"C"&amp;$A110))</f>
        <v>10.4</v>
      </c>
      <c r="DF110" s="3">
        <f>IF(RTD("tos.rtd",,DF$83,"."&amp;$B$82&amp;$AS$82&amp;"P"&amp;$A110)="N/A",0,RTD("tos.rtd",,DF$83,"."&amp;$B$82&amp;$AS$82&amp;"P"&amp;$A110))</f>
        <v>0</v>
      </c>
      <c r="DG110" s="86">
        <f t="shared" si="497"/>
        <v>-11.279999999999745</v>
      </c>
      <c r="DH110" s="3">
        <f t="shared" si="466"/>
        <v>-61476.923076923122</v>
      </c>
      <c r="DI110" s="3">
        <f t="shared" si="467"/>
        <v>27716</v>
      </c>
      <c r="DJ110" s="3">
        <f t="shared" si="468"/>
        <v>-39960</v>
      </c>
      <c r="DK110" s="3">
        <f t="shared" si="469"/>
        <v>27716</v>
      </c>
      <c r="DL110" s="3">
        <f t="shared" si="470"/>
        <v>-33760.923076923122</v>
      </c>
      <c r="DM110" s="3">
        <f t="shared" si="471"/>
        <v>-12244</v>
      </c>
      <c r="DN110" s="64" t="str">
        <f t="shared" si="472"/>
        <v>UNKNOWN</v>
      </c>
      <c r="DO110" s="64" t="str">
        <f t="shared" si="473"/>
        <v>UNKNOWN</v>
      </c>
      <c r="DP110" s="3">
        <f t="shared" si="474"/>
        <v>-760928.04615384666</v>
      </c>
      <c r="DQ110" s="3">
        <f t="shared" si="475"/>
        <v>-494118.2</v>
      </c>
      <c r="DR110" s="3" t="e">
        <f t="shared" ca="1" si="476"/>
        <v>#NUM!</v>
      </c>
      <c r="DS110" s="3">
        <f t="shared" si="477"/>
        <v>-39682.839999999997</v>
      </c>
      <c r="DT110" s="3">
        <f t="shared" si="498"/>
        <v>-39960</v>
      </c>
      <c r="DU110" s="3">
        <f t="shared" si="499"/>
        <v>27716</v>
      </c>
      <c r="DV110" s="3">
        <f t="shared" si="500"/>
        <v>-5095</v>
      </c>
      <c r="DW110" s="3">
        <f t="shared" si="501"/>
        <v>-2637</v>
      </c>
      <c r="DX110" s="3" t="e">
        <f t="shared" ca="1" si="509"/>
        <v>#NUM!</v>
      </c>
      <c r="DY110" s="3" t="e">
        <f t="shared" ca="1" si="478"/>
        <v>#NUM!</v>
      </c>
      <c r="DZ110" s="3">
        <f t="shared" ca="1" si="502"/>
        <v>2.3649306253674574E-3</v>
      </c>
      <c r="EA110" s="3">
        <f t="shared" ca="1" si="503"/>
        <v>-4.8043328646917918E-3</v>
      </c>
      <c r="EB110" s="3">
        <f t="shared" ca="1" si="479"/>
        <v>3.3358851057849128E-3</v>
      </c>
      <c r="EC110" s="3">
        <f t="shared" ca="1" si="480"/>
        <v>-4.6099368573051039E-3</v>
      </c>
      <c r="ED110" s="63">
        <f t="shared" si="504"/>
        <v>-7732</v>
      </c>
      <c r="EE110" s="59">
        <f t="shared" si="481"/>
        <v>0.25</v>
      </c>
      <c r="EF110" s="59">
        <f t="shared" si="482"/>
        <v>0.1208</v>
      </c>
      <c r="EG110" s="59">
        <f t="shared" si="483"/>
        <v>0.3654</v>
      </c>
      <c r="EH110" s="59">
        <f t="shared" si="484"/>
        <v>0.1782</v>
      </c>
      <c r="EI110" s="59">
        <f t="shared" si="485"/>
        <v>0.25829999999999997</v>
      </c>
      <c r="EJ110" s="59">
        <f t="shared" si="486"/>
        <v>0.18590000000000001</v>
      </c>
      <c r="EL110" s="3" t="str">
        <f>RTD("tos.rtd",,EL$83,"."&amp;$B$82&amp;$AS$82&amp;"C"&amp;$A110)</f>
        <v>--</v>
      </c>
      <c r="EM110" s="3" t="str">
        <f>RTD("tos.rtd",,EM$83,"."&amp;$B$82&amp;$AS$82&amp;"P"&amp;$A110)</f>
        <v>12.08%</v>
      </c>
      <c r="EN110" s="3" t="str">
        <f>RTD("tos.rtd",,EN$83,"."&amp;$C$82&amp;$AU$82&amp;"C"&amp;$A110)</f>
        <v>36.54%</v>
      </c>
      <c r="EO110" s="3" t="str">
        <f>RTD("tos.rtd",,EO$83,"."&amp;$C$82&amp;$AU$82&amp;"P"&amp;$A110)</f>
        <v>17.82%</v>
      </c>
      <c r="EP110" s="3" t="str">
        <f>RTD("tos.rtd",,EP$83,"."&amp;$D$82&amp;$AW$82&amp;"C"&amp;$A110)</f>
        <v>25.83%</v>
      </c>
      <c r="EQ110" s="3" t="str">
        <f>RTD("tos.rtd",,EQ$83,"."&amp;$D$82&amp;$AW$82&amp;"P"&amp;$A110)</f>
        <v>18.59%</v>
      </c>
      <c r="ES110" s="63" t="str">
        <f t="shared" si="487"/>
        <v>5620,-7732.00</v>
      </c>
      <c r="ET110" s="64" t="str">
        <f t="shared" ca="1" si="488"/>
        <v>5620,00.00</v>
      </c>
      <c r="EU110" s="67">
        <v>562.02</v>
      </c>
      <c r="EV110" s="67" t="s">
        <v>900</v>
      </c>
      <c r="EW110" s="67">
        <v>484.4</v>
      </c>
      <c r="EX110" s="67" t="s">
        <v>901</v>
      </c>
      <c r="EY110" s="67">
        <v>5633.75</v>
      </c>
      <c r="EZ110" s="67" t="s">
        <v>902</v>
      </c>
      <c r="FA110" s="67">
        <v>19897.5</v>
      </c>
      <c r="FB110" s="67" t="s">
        <v>903</v>
      </c>
      <c r="FC110" s="67" t="s">
        <v>904</v>
      </c>
      <c r="FD110" s="67" t="s">
        <v>905</v>
      </c>
      <c r="FE110" s="68" t="s">
        <v>906</v>
      </c>
      <c r="FF110" s="68" t="s">
        <v>907</v>
      </c>
    </row>
    <row r="111" spans="1:162" s="63" customFormat="1" ht="12" customHeight="1" thickBot="1" x14ac:dyDescent="0.25">
      <c r="A111" s="2">
        <f t="shared" si="505"/>
        <v>5610</v>
      </c>
      <c r="B111" s="3">
        <f t="shared" si="449"/>
        <v>2640</v>
      </c>
      <c r="C111" s="3">
        <f t="shared" si="450"/>
        <v>925</v>
      </c>
      <c r="D111" s="3">
        <f t="shared" si="451"/>
        <v>1531</v>
      </c>
      <c r="E111" s="3">
        <f t="shared" si="516"/>
        <v>5096</v>
      </c>
      <c r="F111" s="4">
        <f t="shared" si="519"/>
        <v>5658.5358923726044</v>
      </c>
      <c r="G111" s="4">
        <f t="shared" si="517"/>
        <v>562.19745777159017</v>
      </c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20"/>
      <c r="AM111" s="20">
        <v>-588</v>
      </c>
      <c r="AN111" s="20">
        <v>-2112</v>
      </c>
      <c r="AO111" s="20">
        <v>5610</v>
      </c>
      <c r="AP111" s="20">
        <v>25876</v>
      </c>
      <c r="AQ111" s="20">
        <v>-41058</v>
      </c>
      <c r="AR111" s="20"/>
      <c r="AS111" s="54">
        <f>IF(RTD("tos.rtd",,AS$83,"."&amp;$B$82&amp;$AS$82&amp;"C"&amp;$A111)="N/A",0,RTD("tos.rtd",,AS$83,"."&amp;$B$82&amp;$AS$82&amp;"C"&amp;$A111))</f>
        <v>1295</v>
      </c>
      <c r="AT111" s="3">
        <f>-IF(RTD("tos.rtd",,AT$83,"."&amp;$B$82&amp;$AS$82&amp;"P"&amp;$A111)="N/A",0,RTD("tos.rtd",,AT$83,"."&amp;$B$82&amp;$AS$82&amp;"P"&amp;$A111))</f>
        <v>-1345</v>
      </c>
      <c r="AU111" s="54">
        <f>IF(RTD("tos.rtd",,AU$83,"."&amp;$C$82&amp;$AU$82&amp;"C"&amp;$A111)="N/A",0,RTD("tos.rtd",,AU$83,"."&amp;$C$82&amp;$AU$82&amp;"C"&amp;$A111))</f>
        <v>344</v>
      </c>
      <c r="AV111" s="3">
        <f>-IF(RTD("tos.rtd",,AV$83,"."&amp;$C$82&amp;$AU$82&amp;"P"&amp;$A111)="N/A",0,RTD("tos.rtd",,AV$83,"."&amp;$C$82&amp;$AU$82&amp;"P"&amp;$A111))</f>
        <v>-581</v>
      </c>
      <c r="AW111" s="54">
        <f>IF(RTD("tos.rtd",,AW$83,"."&amp;$D$82&amp;$AW$82&amp;"C"&amp;$A111)="N/A",0,RTD("tos.rtd",,AW$83,"."&amp;$D$82&amp;$AW$82&amp;"C"&amp;$A111))</f>
        <v>1211</v>
      </c>
      <c r="AX111" s="3">
        <f>-IF(RTD("tos.rtd",,AX$83,"."&amp;$D$82&amp;$AW$82&amp;"P"&amp;$A111)="N/A",0,RTD("tos.rtd",,AX$83,"."&amp;$D$82&amp;$AW$82&amp;"P"&amp;$A111))</f>
        <v>-320</v>
      </c>
      <c r="AY111" s="79">
        <f t="shared" si="518"/>
        <v>604</v>
      </c>
      <c r="AZ111" s="8">
        <f t="shared" si="453"/>
        <v>5610</v>
      </c>
      <c r="BA111" s="54">
        <f>IF(RTD("tos.rtd",,BA$83,"."&amp;$B$82&amp;$AS$82&amp;"C"&amp;$A111)="N/A",0,RTD("tos.rtd",,BA$83,"."&amp;$B$82&amp;$AS$82&amp;"C"&amp;$A111))</f>
        <v>0</v>
      </c>
      <c r="BB111" s="3">
        <f>-IF(RTD("tos.rtd",,BB$83,"."&amp;$B$82&amp;$AS$82&amp;"P"&amp;$A111)="N/A",0,RTD("tos.rtd",,BB$83,"."&amp;$B$82&amp;$AS$82&amp;"P"&amp;$A111))</f>
        <v>0</v>
      </c>
      <c r="BC111" s="54">
        <f>IF(RTD("tos.rtd",,BC$83,"."&amp;$C$82&amp;$AU$82&amp;"C"&amp;$A111)="N/A",0,RTD("tos.rtd",,BC$83,"."&amp;$C$82&amp;$AU$82&amp;"C"&amp;$A111))</f>
        <v>3</v>
      </c>
      <c r="BD111" s="3">
        <f>-IF(RTD("tos.rtd",,BD$83,"."&amp;$C$82&amp;$AU$82&amp;"P"&amp;$A111)="N/A",0,RTD("tos.rtd",,BD$83,"."&amp;$C$82&amp;$AU$82&amp;"P"&amp;$A111))</f>
        <v>-4</v>
      </c>
      <c r="BE111" s="54">
        <f>IF(RTD("tos.rtd",,BE$83,"."&amp;$D$82&amp;$AW$82&amp;"C"&amp;$A111)="N/A",0,RTD("tos.rtd",,BE$83,"."&amp;$D$82&amp;$AW$82&amp;"C"&amp;$A111))</f>
        <v>0</v>
      </c>
      <c r="BF111" s="3">
        <f>-IF(RTD("tos.rtd",,BF$83,"."&amp;$D$82&amp;$AW$82&amp;"P"&amp;$A111)="N/A",0,RTD("tos.rtd",,BF$83,"."&amp;$D$82&amp;$AW$82&amp;"P"&amp;$A111))</f>
        <v>0</v>
      </c>
      <c r="BG111" s="3">
        <f ca="1">+Hoja2!Y112</f>
        <v>0</v>
      </c>
      <c r="BH111" s="55">
        <f t="shared" ca="1" si="491"/>
        <v>-1</v>
      </c>
      <c r="BI111" s="32" t="str">
        <f t="shared" ca="1" si="510"/>
        <v/>
      </c>
      <c r="BJ111" s="3" t="e">
        <f ca="1">IF($BP$1=1,DX111,IF(RTD("tos.rtd",,BJ$83,"."&amp;$B$82&amp;$AS$82&amp;"C"&amp;$A111)="N/A",0,RTD("tos.rtd",,BJ$83,"."&amp;$B$82&amp;$AS$82&amp;"C"&amp;$A111)))</f>
        <v>#NUM!</v>
      </c>
      <c r="BK111" s="3" t="e">
        <f ca="1">IF($BP$1=1,DY111,-IF(RTD("tos.rtd",,BK$83,"."&amp;$B$82&amp;$AS$82&amp;"P"&amp;$A111)="N/A",0,RTD("tos.rtd",,BK$83,"."&amp;$B$82&amp;$AS$82&amp;"P"&amp;$A111)))</f>
        <v>#NUM!</v>
      </c>
      <c r="BL111" s="3">
        <f ca="1">IF($BP$1=1,DZ111,IF(RTD("tos.rtd",,BL$83,"."&amp;$C$82&amp;$AU$82&amp;"C"&amp;$A111)="N/A",0,RTD("tos.rtd",,BL$83,"."&amp;$C$82&amp;$AU$82&amp;"C"&amp;$A111)))</f>
        <v>2.2733242515094662E-3</v>
      </c>
      <c r="BM111" s="3">
        <f ca="1">IF($BP$1=1,EA111,-IF(RTD("tos.rtd",,BM$83,"."&amp;$C$82&amp;$AU$82&amp;"P"&amp;$A111)="N/A",0,RTD("tos.rtd",,BM$83,"."&amp;$C$82&amp;$AU$82&amp;"P"&amp;$A111)))</f>
        <v>-4.4695659877128239E-3</v>
      </c>
      <c r="BN111" s="3">
        <f ca="1">IF($BP$1=1,EB111,IF(RTD("tos.rtd",,BN$83,"."&amp;$D$82&amp;$AW$82&amp;"C"&amp;$A111)="N/A",0,RTD("tos.rtd",,BN$83,"."&amp;$D$82&amp;$AW$82&amp;"C"&amp;$A111)))</f>
        <v>3.2460097377953771E-3</v>
      </c>
      <c r="BO111" s="3">
        <f ca="1">IF($BP$1=1,EC111,-IF(RTD("tos.rtd",,BO$83,"."&amp;$D$82&amp;$AW$82&amp;"P"&amp;$A111)="N/A",0,RTD("tos.rtd",,BO$83,"."&amp;$D$82&amp;$AW$82&amp;"P"&amp;$A111)))</f>
        <v>-4.4233912480577172E-3</v>
      </c>
      <c r="BQ111" s="3" t="e">
        <f t="shared" ca="1" si="454"/>
        <v>#NUM!</v>
      </c>
      <c r="BR111" s="3" t="e">
        <f t="shared" ca="1" si="492"/>
        <v>#NUM!</v>
      </c>
      <c r="BS111" s="3">
        <f t="shared" ca="1" si="455"/>
        <v>-430147.84785528679</v>
      </c>
      <c r="BT111" s="3" t="str">
        <f t="shared" ca="1" si="492"/>
        <v/>
      </c>
      <c r="BU111" s="3">
        <f t="shared" ca="1" si="456"/>
        <v>596215.18456635578</v>
      </c>
      <c r="BV111" s="3" t="str">
        <f t="shared" ca="1" si="492"/>
        <v>Cruce +</v>
      </c>
      <c r="BX111" s="3" t="e">
        <f t="shared" ca="1" si="457"/>
        <v>#NUM!</v>
      </c>
      <c r="BY111" s="3" t="e">
        <f t="shared" ca="1" si="507"/>
        <v>#NUM!</v>
      </c>
      <c r="BZ111" s="3">
        <f t="shared" ca="1" si="458"/>
        <v>-2621.0684972084737</v>
      </c>
      <c r="CA111" s="3" t="str">
        <f t="shared" ca="1" si="507"/>
        <v/>
      </c>
      <c r="CB111" s="3">
        <f t="shared" ca="1" si="459"/>
        <v>0</v>
      </c>
      <c r="CC111" s="3" t="str">
        <f t="shared" ca="1" si="507"/>
        <v/>
      </c>
      <c r="CD111" s="3">
        <f>IF(RTD("tos.rtd",,CD$83,"."&amp;$B$82&amp;$AS$82&amp;"C"&amp;$A111)="N/A",0,RTD("tos.rtd",,CD$83,"."&amp;$B$82&amp;$AS$82&amp;"C"&amp;$A111))</f>
        <v>1</v>
      </c>
      <c r="CE111" s="3">
        <f>-IF(RTD("tos.rtd",,CE$83,"."&amp;$B$82&amp;$AS$82&amp;"P"&amp;$A111)="N/A",0,RTD("tos.rtd",,CE$83,"."&amp;$B$82&amp;$AS$82&amp;"P"&amp;$A111))</f>
        <v>0.01</v>
      </c>
      <c r="CF111" s="3">
        <f>IF(RTD("tos.rtd",,CF$83,"."&amp;$C$82&amp;$AU$82&amp;"C"&amp;$A111)="N/A",0,RTD("tos.rtd",,CF$83,"."&amp;$C$82&amp;$AU$82&amp;"C"&amp;$A111))</f>
        <v>0.56999999999999995</v>
      </c>
      <c r="CG111" s="3">
        <f>-IF(RTD("tos.rtd",,CG$83,"."&amp;$C$82&amp;$AU$82&amp;"P"&amp;$A111)="N/A",0,RTD("tos.rtd",,CG$83,"."&amp;$C$82&amp;$AU$82&amp;"P"&amp;$A111))</f>
        <v>0.38</v>
      </c>
      <c r="CH111" s="3">
        <f>IF(RTD("tos.rtd",,CH$83,"."&amp;$D$82&amp;$AW$82&amp;"C"&amp;$A111)="N/A",0,RTD("tos.rtd",,CH$83,"."&amp;$D$82&amp;$AW$82&amp;"C"&amp;$A111))</f>
        <v>0.56000000000000005</v>
      </c>
      <c r="CI111" s="3">
        <f>-IF(RTD("tos.rtd",,CI$83,"."&amp;$D$82&amp;$AW$82&amp;"P"&amp;$A111)="N/A",0,RTD("tos.rtd",,CI$83,"."&amp;$D$82&amp;$AW$82&amp;"P"&amp;$A111))</f>
        <v>0.43</v>
      </c>
      <c r="CK111" s="3">
        <f t="shared" si="493"/>
        <v>128155</v>
      </c>
      <c r="CL111" s="3"/>
      <c r="CM111" s="3">
        <f t="shared" si="494"/>
        <v>-2470</v>
      </c>
      <c r="CN111" s="3"/>
      <c r="CO111" s="3">
        <f t="shared" si="495"/>
        <v>54056.000000000015</v>
      </c>
      <c r="CP111" s="3">
        <f t="shared" si="460"/>
        <v>179741</v>
      </c>
      <c r="CQ111" s="3">
        <f t="shared" si="461"/>
        <v>0</v>
      </c>
      <c r="CR111" s="3"/>
      <c r="CS111" s="3">
        <f t="shared" si="462"/>
        <v>-1</v>
      </c>
      <c r="CT111" s="3"/>
      <c r="CU111" s="3">
        <f t="shared" si="463"/>
        <v>0</v>
      </c>
      <c r="CV111" s="3"/>
      <c r="CW111" s="3" t="e">
        <f t="shared" ca="1" si="464"/>
        <v>#NUM!</v>
      </c>
      <c r="CY111" s="3" t="e">
        <f t="shared" ca="1" si="465"/>
        <v>#NUM!</v>
      </c>
      <c r="CZ111" s="70" t="e">
        <f t="shared" ca="1" si="508"/>
        <v>#NUM!</v>
      </c>
      <c r="DA111" s="3">
        <f>IF(RTD("tos.rtd",,DA$83,"."&amp;$B$82&amp;$AS$82&amp;"C"&amp;$A111)="N/A",0,RTD("tos.rtd",,DA$83,"."&amp;$B$82&amp;$AS$82&amp;"C"&amp;$A111))</f>
        <v>18.8</v>
      </c>
      <c r="DB111" s="3">
        <f>IF(RTD("tos.rtd",,DB$83,"."&amp;$B$82&amp;$AS$82&amp;"P"&amp;$A111)="N/A",0,RTD("tos.rtd",,DB$83,"."&amp;$B$82&amp;$AS$82&amp;"P"&amp;$A111))</f>
        <v>0.03</v>
      </c>
      <c r="DC111" s="3">
        <f>IF(RTD("tos.rtd",,DC$83,"."&amp;$B$82&amp;$AS$82&amp;"C"&amp;$A111)="N/A",0,RTD("tos.rtd",,DC$83,"."&amp;$B$82&amp;$AS$82&amp;"C"&amp;$A111))</f>
        <v>21.7</v>
      </c>
      <c r="DD111" s="3">
        <f>IF(RTD("tos.rtd",,DD$83,"."&amp;$B$82&amp;$AS$82&amp;"P"&amp;$A111)="N/A",0,RTD("tos.rtd",,DD$83,"."&amp;$B$82&amp;$AS$82&amp;"P"&amp;$A111))</f>
        <v>0.05</v>
      </c>
      <c r="DE111" s="3">
        <f>IF(RTD("tos.rtd",,DE$83,"."&amp;$B$82&amp;$AS$82&amp;"C"&amp;$A111)="N/A",0,RTD("tos.rtd",,DE$83,"."&amp;$B$82&amp;$AS$82&amp;"C"&amp;$A111))</f>
        <v>20.399999999999999</v>
      </c>
      <c r="DF111" s="3">
        <f>IF(RTD("tos.rtd",,DF$83,"."&amp;$B$82&amp;$AS$82&amp;"P"&amp;$A111)="N/A",0,RTD("tos.rtd",,DF$83,"."&amp;$B$82&amp;$AS$82&amp;"P"&amp;$A111))</f>
        <v>0</v>
      </c>
      <c r="DG111" s="86">
        <f t="shared" si="497"/>
        <v>-21.279999999999745</v>
      </c>
      <c r="DH111" s="3">
        <f t="shared" si="466"/>
        <v>31847.384615384555</v>
      </c>
      <c r="DI111" s="3">
        <f t="shared" si="467"/>
        <v>24634.799999999999</v>
      </c>
      <c r="DJ111" s="3">
        <f t="shared" si="468"/>
        <v>25876</v>
      </c>
      <c r="DK111" s="3">
        <f t="shared" si="469"/>
        <v>41058</v>
      </c>
      <c r="DL111" s="3">
        <f t="shared" si="470"/>
        <v>56482.184615384554</v>
      </c>
      <c r="DM111" s="3">
        <f t="shared" si="471"/>
        <v>66934</v>
      </c>
      <c r="DN111" s="64" t="str">
        <f t="shared" si="472"/>
        <v>UNKNOWN</v>
      </c>
      <c r="DO111" s="64" t="str">
        <f t="shared" si="473"/>
        <v>UNKNOWN</v>
      </c>
      <c r="DP111" s="3">
        <f t="shared" si="474"/>
        <v>599469.87476922967</v>
      </c>
      <c r="DQ111" s="3">
        <f t="shared" si="475"/>
        <v>487700.54000000004</v>
      </c>
      <c r="DR111" s="3" t="e">
        <f t="shared" ca="1" si="476"/>
        <v>#NUM!</v>
      </c>
      <c r="DS111" s="3">
        <f t="shared" si="477"/>
        <v>26286.58</v>
      </c>
      <c r="DT111" s="3">
        <f t="shared" si="498"/>
        <v>-25876</v>
      </c>
      <c r="DU111" s="3">
        <f t="shared" si="499"/>
        <v>41058</v>
      </c>
      <c r="DV111" s="3">
        <f t="shared" si="500"/>
        <v>-588</v>
      </c>
      <c r="DW111" s="3">
        <f t="shared" si="501"/>
        <v>-2112</v>
      </c>
      <c r="DX111" s="3" t="e">
        <f t="shared" ca="1" si="509"/>
        <v>#NUM!</v>
      </c>
      <c r="DY111" s="3" t="e">
        <f t="shared" ca="1" si="478"/>
        <v>#NUM!</v>
      </c>
      <c r="DZ111" s="3">
        <f t="shared" ca="1" si="502"/>
        <v>2.2733242515094662E-3</v>
      </c>
      <c r="EA111" s="3">
        <f t="shared" ca="1" si="503"/>
        <v>-4.4695659877128239E-3</v>
      </c>
      <c r="EB111" s="3">
        <f t="shared" ca="1" si="479"/>
        <v>3.2460097377953771E-3</v>
      </c>
      <c r="EC111" s="3">
        <f t="shared" ca="1" si="480"/>
        <v>-4.4233912480577172E-3</v>
      </c>
      <c r="ED111" s="63">
        <f t="shared" si="504"/>
        <v>-2700</v>
      </c>
      <c r="EE111" s="59">
        <f t="shared" si="481"/>
        <v>0.25</v>
      </c>
      <c r="EF111" s="59">
        <f t="shared" si="482"/>
        <v>0.21029999999999999</v>
      </c>
      <c r="EG111" s="59">
        <f t="shared" si="483"/>
        <v>0.37759999999999999</v>
      </c>
      <c r="EH111" s="59">
        <f t="shared" si="484"/>
        <v>0.187</v>
      </c>
      <c r="EI111" s="59">
        <f t="shared" si="485"/>
        <v>0.26200000000000001</v>
      </c>
      <c r="EJ111" s="59">
        <f t="shared" si="486"/>
        <v>0.18909999999999999</v>
      </c>
      <c r="EL111" s="3" t="str">
        <f>RTD("tos.rtd",,EL$83,"."&amp;$B$82&amp;$AS$82&amp;"C"&amp;$A111)</f>
        <v>--</v>
      </c>
      <c r="EM111" s="3" t="str">
        <f>RTD("tos.rtd",,EM$83,"."&amp;$B$82&amp;$AS$82&amp;"P"&amp;$A111)</f>
        <v>21.03%</v>
      </c>
      <c r="EN111" s="3" t="str">
        <f>RTD("tos.rtd",,EN$83,"."&amp;$C$82&amp;$AU$82&amp;"C"&amp;$A111)</f>
        <v>37.76%</v>
      </c>
      <c r="EO111" s="3" t="str">
        <f>RTD("tos.rtd",,EO$83,"."&amp;$C$82&amp;$AU$82&amp;"P"&amp;$A111)</f>
        <v>18.70%</v>
      </c>
      <c r="EP111" s="3" t="str">
        <f>RTD("tos.rtd",,EP$83,"."&amp;$D$82&amp;$AW$82&amp;"C"&amp;$A111)</f>
        <v>26.20%</v>
      </c>
      <c r="EQ111" s="3" t="str">
        <f>RTD("tos.rtd",,EQ$83,"."&amp;$D$82&amp;$AW$82&amp;"P"&amp;$A111)</f>
        <v>18.91%</v>
      </c>
      <c r="ES111" s="63" t="str">
        <f t="shared" si="487"/>
        <v>5610,-2700.00</v>
      </c>
      <c r="ET111" s="64" t="str">
        <f t="shared" ca="1" si="488"/>
        <v>5610,00.00</v>
      </c>
      <c r="EU111" s="67">
        <v>562.05999999999995</v>
      </c>
      <c r="EV111" s="67" t="s">
        <v>908</v>
      </c>
      <c r="EW111" s="67">
        <v>484.38</v>
      </c>
      <c r="EX111" s="67" t="s">
        <v>909</v>
      </c>
      <c r="EY111" s="67">
        <v>5634.25</v>
      </c>
      <c r="EZ111" s="67" t="s">
        <v>910</v>
      </c>
      <c r="FA111" s="67">
        <v>19897.5</v>
      </c>
      <c r="FB111" s="67" t="s">
        <v>911</v>
      </c>
      <c r="FC111" s="67" t="s">
        <v>912</v>
      </c>
      <c r="FD111" s="67" t="s">
        <v>913</v>
      </c>
      <c r="FE111" s="68" t="s">
        <v>914</v>
      </c>
      <c r="FF111" s="68" t="s">
        <v>915</v>
      </c>
    </row>
    <row r="112" spans="1:162" s="63" customFormat="1" ht="12" customHeight="1" thickBot="1" x14ac:dyDescent="0.25">
      <c r="A112" s="2">
        <f t="shared" si="505"/>
        <v>5600</v>
      </c>
      <c r="B112" s="3">
        <f t="shared" si="449"/>
        <v>3499</v>
      </c>
      <c r="C112" s="3">
        <f t="shared" si="450"/>
        <v>4713</v>
      </c>
      <c r="D112" s="3">
        <f t="shared" si="451"/>
        <v>5665</v>
      </c>
      <c r="E112" s="3">
        <f t="shared" ref="E112:E122" si="520">SUM(B112:D112)</f>
        <v>13877</v>
      </c>
      <c r="F112" s="4">
        <f t="shared" ref="F112:F122" si="521">+$F$84/$A$84*A112</f>
        <v>5648.4493756304073</v>
      </c>
      <c r="G112" s="4">
        <f t="shared" ref="G112:G122" si="522">+$G$84/$A$84*A112</f>
        <v>561.19532326575847</v>
      </c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20"/>
      <c r="AM112" s="20">
        <v>2688</v>
      </c>
      <c r="AN112" s="20">
        <v>5281</v>
      </c>
      <c r="AO112" s="20">
        <v>5600</v>
      </c>
      <c r="AP112" s="20">
        <v>22543</v>
      </c>
      <c r="AQ112" s="20">
        <v>-59889</v>
      </c>
      <c r="AR112" s="20"/>
      <c r="AS112" s="54">
        <f>IF(RTD("tos.rtd",,AS$83,"."&amp;$B$82&amp;$AS$82&amp;"C"&amp;$A112)="N/A",0,RTD("tos.rtd",,AS$83,"."&amp;$B$82&amp;$AS$82&amp;"C"&amp;$A112))</f>
        <v>1540</v>
      </c>
      <c r="AT112" s="3">
        <f>-IF(RTD("tos.rtd",,AT$83,"."&amp;$B$82&amp;$AS$82&amp;"P"&amp;$A112)="N/A",0,RTD("tos.rtd",,AT$83,"."&amp;$B$82&amp;$AS$82&amp;"P"&amp;$A112))</f>
        <v>-1959</v>
      </c>
      <c r="AU112" s="54">
        <f>IF(RTD("tos.rtd",,AU$83,"."&amp;$C$82&amp;$AU$82&amp;"C"&amp;$A112)="N/A",0,RTD("tos.rtd",,AU$83,"."&amp;$C$82&amp;$AU$82&amp;"C"&amp;$A112))</f>
        <v>1956</v>
      </c>
      <c r="AV112" s="3">
        <f>-IF(RTD("tos.rtd",,AV$83,"."&amp;$C$82&amp;$AU$82&amp;"P"&amp;$A112)="N/A",0,RTD("tos.rtd",,AV$83,"."&amp;$C$82&amp;$AU$82&amp;"P"&amp;$A112))</f>
        <v>-2757</v>
      </c>
      <c r="AW112" s="54">
        <f>IF(RTD("tos.rtd",,AW$83,"."&amp;$D$82&amp;$AW$82&amp;"C"&amp;$A112)="N/A",0,RTD("tos.rtd",,AW$83,"."&amp;$D$82&amp;$AW$82&amp;"C"&amp;$A112))</f>
        <v>3109</v>
      </c>
      <c r="AX112" s="3">
        <f>-IF(RTD("tos.rtd",,AX$83,"."&amp;$D$82&amp;$AW$82&amp;"P"&amp;$A112)="N/A",0,RTD("tos.rtd",,AX$83,"."&amp;$D$82&amp;$AW$82&amp;"P"&amp;$A112))</f>
        <v>-2556</v>
      </c>
      <c r="AY112" s="79">
        <f t="shared" ref="AY112:AY122" si="523">SUM(AS112:AX112)</f>
        <v>-667</v>
      </c>
      <c r="AZ112" s="8">
        <f t="shared" si="453"/>
        <v>5600</v>
      </c>
      <c r="BA112" s="54">
        <f>IF(RTD("tos.rtd",,BA$83,"."&amp;$B$82&amp;$AS$82&amp;"C"&amp;$A112)="N/A",0,RTD("tos.rtd",,BA$83,"."&amp;$B$82&amp;$AS$82&amp;"C"&amp;$A112))</f>
        <v>0</v>
      </c>
      <c r="BB112" s="3">
        <f>-IF(RTD("tos.rtd",,BB$83,"."&amp;$B$82&amp;$AS$82&amp;"P"&amp;$A112)="N/A",0,RTD("tos.rtd",,BB$83,"."&amp;$B$82&amp;$AS$82&amp;"P"&amp;$A112))</f>
        <v>0</v>
      </c>
      <c r="BC112" s="54">
        <f>IF(RTD("tos.rtd",,BC$83,"."&amp;$C$82&amp;$AU$82&amp;"C"&amp;$A112)="N/A",0,RTD("tos.rtd",,BC$83,"."&amp;$C$82&amp;$AU$82&amp;"C"&amp;$A112))</f>
        <v>2</v>
      </c>
      <c r="BD112" s="3">
        <f>-IF(RTD("tos.rtd",,BD$83,"."&amp;$C$82&amp;$AU$82&amp;"P"&amp;$A112)="N/A",0,RTD("tos.rtd",,BD$83,"."&amp;$C$82&amp;$AU$82&amp;"P"&amp;$A112))</f>
        <v>-1</v>
      </c>
      <c r="BE112" s="54">
        <f>IF(RTD("tos.rtd",,BE$83,"."&amp;$D$82&amp;$AW$82&amp;"C"&amp;$A112)="N/A",0,RTD("tos.rtd",,BE$83,"."&amp;$D$82&amp;$AW$82&amp;"C"&amp;$A112))</f>
        <v>0</v>
      </c>
      <c r="BF112" s="3">
        <f>-IF(RTD("tos.rtd",,BF$83,"."&amp;$D$82&amp;$AW$82&amp;"P"&amp;$A112)="N/A",0,RTD("tos.rtd",,BF$83,"."&amp;$D$82&amp;$AW$82&amp;"P"&amp;$A112))</f>
        <v>-4</v>
      </c>
      <c r="BG112" s="3">
        <f ca="1">+Hoja2!Y113</f>
        <v>-1</v>
      </c>
      <c r="BH112" s="55">
        <f t="shared" ca="1" si="491"/>
        <v>-4</v>
      </c>
      <c r="BI112" s="32" t="str">
        <f t="shared" ca="1" si="510"/>
        <v/>
      </c>
      <c r="BJ112" s="3" t="e">
        <f ca="1">IF($BP$1=1,DX112,IF(RTD("tos.rtd",,BJ$83,"."&amp;$B$82&amp;$AS$82&amp;"C"&amp;$A112)="N/A",0,RTD("tos.rtd",,BJ$83,"."&amp;$B$82&amp;$AS$82&amp;"C"&amp;$A112)))</f>
        <v>#NUM!</v>
      </c>
      <c r="BK112" s="3" t="e">
        <f ca="1">IF($BP$1=1,DY112,-IF(RTD("tos.rtd",,BK$83,"."&amp;$B$82&amp;$AS$82&amp;"P"&amp;$A112)="N/A",0,RTD("tos.rtd",,BK$83,"."&amp;$B$82&amp;$AS$82&amp;"P"&amp;$A112)))</f>
        <v>#NUM!</v>
      </c>
      <c r="BL112" s="3">
        <f ca="1">IF($BP$1=1,DZ112,IF(RTD("tos.rtd",,BL$83,"."&amp;$C$82&amp;$AU$82&amp;"C"&amp;$A112)="N/A",0,RTD("tos.rtd",,BL$83,"."&amp;$C$82&amp;$AU$82&amp;"C"&amp;$A112)))</f>
        <v>2.1528622457462681E-3</v>
      </c>
      <c r="BM112" s="3">
        <f ca="1">IF($BP$1=1,EA112,-IF(RTD("tos.rtd",,BM$83,"."&amp;$C$82&amp;$AU$82&amp;"P"&amp;$A112)="N/A",0,RTD("tos.rtd",,BM$83,"."&amp;$C$82&amp;$AU$82&amp;"P"&amp;$A112)))</f>
        <v>-4.1454403943995922E-3</v>
      </c>
      <c r="BN112" s="3">
        <f ca="1">IF($BP$1=1,EB112,IF(RTD("tos.rtd",,BN$83,"."&amp;$D$82&amp;$AW$82&amp;"C"&amp;$A112)="N/A",0,RTD("tos.rtd",,BN$83,"."&amp;$D$82&amp;$AW$82&amp;"C"&amp;$A112)))</f>
        <v>3.1344866352440558E-3</v>
      </c>
      <c r="BO112" s="3">
        <f ca="1">IF($BP$1=1,EC112,-IF(RTD("tos.rtd",,BO$83,"."&amp;$D$82&amp;$AW$82&amp;"P"&amp;$A112)="N/A",0,RTD("tos.rtd",,BO$83,"."&amp;$D$82&amp;$AW$82&amp;"P"&amp;$A112)))</f>
        <v>-4.1937344399868379E-3</v>
      </c>
      <c r="BQ112" s="3" t="e">
        <f t="shared" ca="1" si="454"/>
        <v>#NUM!</v>
      </c>
      <c r="BR112" s="3" t="e">
        <f t="shared" ca="1" si="492"/>
        <v>#NUM!</v>
      </c>
      <c r="BS112" s="3">
        <f t="shared" ca="1" si="455"/>
        <v>-1710826.8598397947</v>
      </c>
      <c r="BT112" s="3" t="str">
        <f t="shared" ca="1" si="492"/>
        <v/>
      </c>
      <c r="BU112" s="3">
        <f t="shared" ca="1" si="456"/>
        <v>-230876.03630721895</v>
      </c>
      <c r="BV112" s="3" t="str">
        <f t="shared" ca="1" si="492"/>
        <v>Cruce -</v>
      </c>
      <c r="BX112" s="3" t="e">
        <f t="shared" ca="1" si="457"/>
        <v>#NUM!</v>
      </c>
      <c r="BY112" s="3" t="e">
        <f t="shared" ca="1" si="507"/>
        <v>#NUM!</v>
      </c>
      <c r="BZ112" s="3">
        <f t="shared" ca="1" si="458"/>
        <v>37.991005123243326</v>
      </c>
      <c r="CA112" s="3" t="str">
        <f t="shared" ca="1" si="507"/>
        <v>Cruce +</v>
      </c>
      <c r="CB112" s="3">
        <f t="shared" ca="1" si="459"/>
        <v>-3976.0447726183252</v>
      </c>
      <c r="CC112" s="3" t="str">
        <f t="shared" ca="1" si="507"/>
        <v/>
      </c>
      <c r="CD112" s="3">
        <f>IF(RTD("tos.rtd",,CD$83,"."&amp;$B$82&amp;$AS$82&amp;"C"&amp;$A112)="N/A",0,RTD("tos.rtd",,CD$83,"."&amp;$B$82&amp;$AS$82&amp;"C"&amp;$A112))</f>
        <v>1</v>
      </c>
      <c r="CE112" s="3">
        <f>-IF(RTD("tos.rtd",,CE$83,"."&amp;$B$82&amp;$AS$82&amp;"P"&amp;$A112)="N/A",0,RTD("tos.rtd",,CE$83,"."&amp;$B$82&amp;$AS$82&amp;"P"&amp;$A112))</f>
        <v>0.01</v>
      </c>
      <c r="CF112" s="3">
        <f>IF(RTD("tos.rtd",,CF$83,"."&amp;$C$82&amp;$AU$82&amp;"C"&amp;$A112)="N/A",0,RTD("tos.rtd",,CF$83,"."&amp;$C$82&amp;$AU$82&amp;"C"&amp;$A112))</f>
        <v>0.59</v>
      </c>
      <c r="CG112" s="3">
        <f>-IF(RTD("tos.rtd",,CG$83,"."&amp;$C$82&amp;$AU$82&amp;"P"&amp;$A112)="N/A",0,RTD("tos.rtd",,CG$83,"."&amp;$C$82&amp;$AU$82&amp;"P"&amp;$A112))</f>
        <v>0.33</v>
      </c>
      <c r="CH112" s="3">
        <f>IF(RTD("tos.rtd",,CH$83,"."&amp;$D$82&amp;$AW$82&amp;"C"&amp;$A112)="N/A",0,RTD("tos.rtd",,CH$83,"."&amp;$D$82&amp;$AW$82&amp;"C"&amp;$A112))</f>
        <v>0.56999999999999995</v>
      </c>
      <c r="CI112" s="3">
        <f>-IF(RTD("tos.rtd",,CI$83,"."&amp;$D$82&amp;$AW$82&amp;"P"&amp;$A112)="N/A",0,RTD("tos.rtd",,CI$83,"."&amp;$D$82&amp;$AW$82&amp;"P"&amp;$A112))</f>
        <v>0.41</v>
      </c>
      <c r="CK112" s="3">
        <f t="shared" si="493"/>
        <v>152041</v>
      </c>
      <c r="CL112" s="3"/>
      <c r="CM112" s="3">
        <f t="shared" si="494"/>
        <v>24423</v>
      </c>
      <c r="CN112" s="3"/>
      <c r="CO112" s="3">
        <f t="shared" si="495"/>
        <v>72417</v>
      </c>
      <c r="CP112" s="3">
        <f t="shared" si="460"/>
        <v>248881</v>
      </c>
      <c r="CQ112" s="3">
        <f t="shared" si="461"/>
        <v>0</v>
      </c>
      <c r="CR112" s="3"/>
      <c r="CS112" s="3">
        <f t="shared" si="462"/>
        <v>1</v>
      </c>
      <c r="CT112" s="3"/>
      <c r="CU112" s="3">
        <f t="shared" si="463"/>
        <v>-4</v>
      </c>
      <c r="CV112" s="3"/>
      <c r="CW112" s="3" t="e">
        <f t="shared" ref="CW112:CW122" ca="1" si="524">+BQ112+BS112+BU112</f>
        <v>#NUM!</v>
      </c>
      <c r="CY112" s="3" t="e">
        <f t="shared" ca="1" si="465"/>
        <v>#NUM!</v>
      </c>
      <c r="CZ112" s="70" t="e">
        <f t="shared" ca="1" si="508"/>
        <v>#NUM!</v>
      </c>
      <c r="DA112" s="3">
        <f>IF(RTD("tos.rtd",,DA$83,"."&amp;$B$82&amp;$AS$82&amp;"C"&amp;$A112)="N/A",0,RTD("tos.rtd",,DA$83,"."&amp;$B$82&amp;$AS$82&amp;"C"&amp;$A112))</f>
        <v>30.8</v>
      </c>
      <c r="DB112" s="3">
        <f>IF(RTD("tos.rtd",,DB$83,"."&amp;$B$82&amp;$AS$82&amp;"P"&amp;$A112)="N/A",0,RTD("tos.rtd",,DB$83,"."&amp;$B$82&amp;$AS$82&amp;"P"&amp;$A112))</f>
        <v>0.05</v>
      </c>
      <c r="DC112" s="3">
        <f>IF(RTD("tos.rtd",,DC$83,"."&amp;$B$82&amp;$AS$82&amp;"C"&amp;$A112)="N/A",0,RTD("tos.rtd",,DC$83,"."&amp;$B$82&amp;$AS$82&amp;"C"&amp;$A112))</f>
        <v>31.7</v>
      </c>
      <c r="DD112" s="3">
        <f>IF(RTD("tos.rtd",,DD$83,"."&amp;$B$82&amp;$AS$82&amp;"P"&amp;$A112)="N/A",0,RTD("tos.rtd",,DD$83,"."&amp;$B$82&amp;$AS$82&amp;"P"&amp;$A112))</f>
        <v>0.05</v>
      </c>
      <c r="DE112" s="3">
        <f>IF(RTD("tos.rtd",,DE$83,"."&amp;$B$82&amp;$AS$82&amp;"C"&amp;$A112)="N/A",0,RTD("tos.rtd",,DE$83,"."&amp;$B$82&amp;$AS$82&amp;"C"&amp;$A112))</f>
        <v>28.5</v>
      </c>
      <c r="DF112" s="3">
        <f>IF(RTD("tos.rtd",,DF$83,"."&amp;$B$82&amp;$AS$82&amp;"P"&amp;$A112)="N/A",0,RTD("tos.rtd",,DF$83,"."&amp;$B$82&amp;$AS$82&amp;"P"&amp;$A112))</f>
        <v>0</v>
      </c>
      <c r="DG112" s="86">
        <f t="shared" si="497"/>
        <v>-31.279999999999745</v>
      </c>
      <c r="DH112" s="3">
        <f t="shared" si="466"/>
        <v>-16202.781250000007</v>
      </c>
      <c r="DI112" s="3">
        <f t="shared" si="467"/>
        <v>59889</v>
      </c>
      <c r="DJ112" s="3">
        <f t="shared" si="468"/>
        <v>-22543</v>
      </c>
      <c r="DK112" s="3">
        <f t="shared" si="469"/>
        <v>59889</v>
      </c>
      <c r="DL112" s="3">
        <f t="shared" si="470"/>
        <v>43686.218749999993</v>
      </c>
      <c r="DM112" s="3">
        <f t="shared" si="471"/>
        <v>37346</v>
      </c>
      <c r="DN112" s="64" t="str">
        <f t="shared" si="472"/>
        <v>UNKNOWN</v>
      </c>
      <c r="DO112" s="64" t="str">
        <f t="shared" si="473"/>
        <v>UNKNOWN</v>
      </c>
      <c r="DP112" s="3">
        <f t="shared" si="474"/>
        <v>-496051.2125000002</v>
      </c>
      <c r="DQ112" s="3">
        <f t="shared" si="475"/>
        <v>-691329.95000000007</v>
      </c>
      <c r="DR112" s="3" t="e">
        <f t="shared" ca="1" si="476"/>
        <v>#NUM!</v>
      </c>
      <c r="DS112" s="3">
        <f t="shared" si="477"/>
        <v>-21944.11</v>
      </c>
      <c r="DT112" s="3">
        <f t="shared" si="498"/>
        <v>-22543</v>
      </c>
      <c r="DU112" s="3">
        <f t="shared" si="499"/>
        <v>59889</v>
      </c>
      <c r="DV112" s="3">
        <f t="shared" si="500"/>
        <v>2688</v>
      </c>
      <c r="DW112" s="3">
        <f t="shared" si="501"/>
        <v>5281</v>
      </c>
      <c r="DX112" s="3" t="e">
        <f t="shared" ca="1" si="509"/>
        <v>#NUM!</v>
      </c>
      <c r="DY112" s="3" t="e">
        <f t="shared" ca="1" si="478"/>
        <v>#NUM!</v>
      </c>
      <c r="DZ112" s="3">
        <f t="shared" ca="1" si="502"/>
        <v>2.1528622457462681E-3</v>
      </c>
      <c r="EA112" s="3">
        <f t="shared" ca="1" si="503"/>
        <v>-4.1454403943995922E-3</v>
      </c>
      <c r="EB112" s="3">
        <f t="shared" ca="1" si="479"/>
        <v>3.1344866352440558E-3</v>
      </c>
      <c r="EC112" s="3">
        <f t="shared" ca="1" si="480"/>
        <v>-4.1937344399868379E-3</v>
      </c>
      <c r="ED112" s="63">
        <f t="shared" si="504"/>
        <v>7969</v>
      </c>
      <c r="EE112" s="59">
        <f t="shared" si="481"/>
        <v>0.25</v>
      </c>
      <c r="EF112" s="59">
        <f t="shared" si="482"/>
        <v>0.29449999999999998</v>
      </c>
      <c r="EG112" s="59">
        <f t="shared" si="483"/>
        <v>0.39529999999999998</v>
      </c>
      <c r="EH112" s="59">
        <f t="shared" si="484"/>
        <v>0.1951</v>
      </c>
      <c r="EI112" s="59">
        <f t="shared" si="485"/>
        <v>0.26619999999999999</v>
      </c>
      <c r="EJ112" s="59">
        <f t="shared" si="486"/>
        <v>0.1925</v>
      </c>
      <c r="EL112" s="3" t="str">
        <f>RTD("tos.rtd",,EL$83,"."&amp;$B$82&amp;$AS$82&amp;"C"&amp;$A112)</f>
        <v>--</v>
      </c>
      <c r="EM112" s="3" t="str">
        <f>RTD("tos.rtd",,EM$83,"."&amp;$B$82&amp;$AS$82&amp;"P"&amp;$A112)</f>
        <v>29.45%</v>
      </c>
      <c r="EN112" s="3" t="str">
        <f>RTD("tos.rtd",,EN$83,"."&amp;$C$82&amp;$AU$82&amp;"C"&amp;$A112)</f>
        <v>39.53%</v>
      </c>
      <c r="EO112" s="3" t="str">
        <f>RTD("tos.rtd",,EO$83,"."&amp;$C$82&amp;$AU$82&amp;"P"&amp;$A112)</f>
        <v>19.51%</v>
      </c>
      <c r="EP112" s="3" t="str">
        <f>RTD("tos.rtd",,EP$83,"."&amp;$D$82&amp;$AW$82&amp;"C"&amp;$A112)</f>
        <v>26.62%</v>
      </c>
      <c r="EQ112" s="3" t="str">
        <f>RTD("tos.rtd",,EQ$83,"."&amp;$D$82&amp;$AW$82&amp;"P"&amp;$A112)</f>
        <v>19.25%</v>
      </c>
      <c r="ES112" s="63" t="str">
        <f t="shared" si="487"/>
        <v>5600,7969.00</v>
      </c>
      <c r="ET112" s="64" t="str">
        <f t="shared" ca="1" si="488"/>
        <v>5600,00.00</v>
      </c>
      <c r="EU112" s="67">
        <v>562.05999999999995</v>
      </c>
      <c r="EV112" s="67" t="s">
        <v>916</v>
      </c>
      <c r="EW112" s="67">
        <v>484.37</v>
      </c>
      <c r="EX112" s="67" t="s">
        <v>917</v>
      </c>
      <c r="EY112" s="67">
        <v>5634.5</v>
      </c>
      <c r="EZ112" s="67" t="s">
        <v>918</v>
      </c>
      <c r="FA112" s="67">
        <v>19897.75</v>
      </c>
      <c r="FB112" s="67" t="s">
        <v>919</v>
      </c>
      <c r="FC112" s="67" t="s">
        <v>920</v>
      </c>
      <c r="FD112" s="67" t="s">
        <v>921</v>
      </c>
      <c r="FE112" s="68" t="s">
        <v>922</v>
      </c>
      <c r="FF112" s="68" t="s">
        <v>923</v>
      </c>
    </row>
    <row r="113" spans="1:162" s="63" customFormat="1" ht="12" customHeight="1" thickBot="1" x14ac:dyDescent="0.25">
      <c r="A113" s="2">
        <f t="shared" si="505"/>
        <v>5590</v>
      </c>
      <c r="B113" s="3">
        <f t="shared" si="449"/>
        <v>1413</v>
      </c>
      <c r="C113" s="3">
        <f t="shared" si="450"/>
        <v>1213</v>
      </c>
      <c r="D113" s="3">
        <f t="shared" si="451"/>
        <v>943</v>
      </c>
      <c r="E113" s="3">
        <f t="shared" si="520"/>
        <v>3569</v>
      </c>
      <c r="F113" s="4">
        <f t="shared" si="521"/>
        <v>5638.3628588882102</v>
      </c>
      <c r="G113" s="4">
        <f t="shared" si="522"/>
        <v>560.19318875992678</v>
      </c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20"/>
      <c r="AM113" s="20">
        <v>-298</v>
      </c>
      <c r="AN113" s="20">
        <v>-3219</v>
      </c>
      <c r="AO113" s="20">
        <v>5590</v>
      </c>
      <c r="AP113" s="20">
        <v>4280</v>
      </c>
      <c r="AQ113" s="20">
        <v>-29931</v>
      </c>
      <c r="AR113" s="20"/>
      <c r="AS113" s="54">
        <f>IF(RTD("tos.rtd",,AS$83,"."&amp;$B$82&amp;$AS$82&amp;"C"&amp;$A113)="N/A",0,RTD("tos.rtd",,AS$83,"."&amp;$B$82&amp;$AS$82&amp;"C"&amp;$A113))</f>
        <v>256</v>
      </c>
      <c r="AT113" s="3">
        <f>-IF(RTD("tos.rtd",,AT$83,"."&amp;$B$82&amp;$AS$82&amp;"P"&amp;$A113)="N/A",0,RTD("tos.rtd",,AT$83,"."&amp;$B$82&amp;$AS$82&amp;"P"&amp;$A113))</f>
        <v>-1157</v>
      </c>
      <c r="AU113" s="54">
        <f>IF(RTD("tos.rtd",,AU$83,"."&amp;$C$82&amp;$AU$82&amp;"C"&amp;$A113)="N/A",0,RTD("tos.rtd",,AU$83,"."&amp;$C$82&amp;$AU$82&amp;"C"&amp;$A113))</f>
        <v>610</v>
      </c>
      <c r="AV113" s="3">
        <f>-IF(RTD("tos.rtd",,AV$83,"."&amp;$C$82&amp;$AU$82&amp;"P"&amp;$A113)="N/A",0,RTD("tos.rtd",,AV$83,"."&amp;$C$82&amp;$AU$82&amp;"P"&amp;$A113))</f>
        <v>-603</v>
      </c>
      <c r="AW113" s="54">
        <f>IF(RTD("tos.rtd",,AW$83,"."&amp;$D$82&amp;$AW$82&amp;"C"&amp;$A113)="N/A",0,RTD("tos.rtd",,AW$83,"."&amp;$D$82&amp;$AW$82&amp;"C"&amp;$A113))</f>
        <v>338</v>
      </c>
      <c r="AX113" s="3">
        <f>-IF(RTD("tos.rtd",,AX$83,"."&amp;$D$82&amp;$AW$82&amp;"P"&amp;$A113)="N/A",0,RTD("tos.rtd",,AX$83,"."&amp;$D$82&amp;$AW$82&amp;"P"&amp;$A113))</f>
        <v>-605</v>
      </c>
      <c r="AY113" s="79">
        <f t="shared" si="523"/>
        <v>-1161</v>
      </c>
      <c r="AZ113" s="8">
        <f t="shared" si="453"/>
        <v>5590</v>
      </c>
      <c r="BA113" s="54">
        <f>IF(RTD("tos.rtd",,BA$83,"."&amp;$B$82&amp;$AS$82&amp;"C"&amp;$A113)="N/A",0,RTD("tos.rtd",,BA$83,"."&amp;$B$82&amp;$AS$82&amp;"C"&amp;$A113))</f>
        <v>0</v>
      </c>
      <c r="BB113" s="3">
        <f>-IF(RTD("tos.rtd",,BB$83,"."&amp;$B$82&amp;$AS$82&amp;"P"&amp;$A113)="N/A",0,RTD("tos.rtd",,BB$83,"."&amp;$B$82&amp;$AS$82&amp;"P"&amp;$A113))</f>
        <v>0</v>
      </c>
      <c r="BC113" s="54">
        <f>IF(RTD("tos.rtd",,BC$83,"."&amp;$C$82&amp;$AU$82&amp;"C"&amp;$A113)="N/A",0,RTD("tos.rtd",,BC$83,"."&amp;$C$82&amp;$AU$82&amp;"C"&amp;$A113))</f>
        <v>0</v>
      </c>
      <c r="BD113" s="3">
        <f>-IF(RTD("tos.rtd",,BD$83,"."&amp;$C$82&amp;$AU$82&amp;"P"&amp;$A113)="N/A",0,RTD("tos.rtd",,BD$83,"."&amp;$C$82&amp;$AU$82&amp;"P"&amp;$A113))</f>
        <v>-4</v>
      </c>
      <c r="BE113" s="54">
        <f>IF(RTD("tos.rtd",,BE$83,"."&amp;$D$82&amp;$AW$82&amp;"C"&amp;$A113)="N/A",0,RTD("tos.rtd",,BE$83,"."&amp;$D$82&amp;$AW$82&amp;"C"&amp;$A113))</f>
        <v>0</v>
      </c>
      <c r="BF113" s="3">
        <f>-IF(RTD("tos.rtd",,BF$83,"."&amp;$D$82&amp;$AW$82&amp;"P"&amp;$A113)="N/A",0,RTD("tos.rtd",,BF$83,"."&amp;$D$82&amp;$AW$82&amp;"P"&amp;$A113))</f>
        <v>0</v>
      </c>
      <c r="BG113" s="3">
        <f ca="1">+Hoja2!Y114</f>
        <v>0</v>
      </c>
      <c r="BH113" s="55">
        <f t="shared" ca="1" si="491"/>
        <v>-4</v>
      </c>
      <c r="BI113" s="32" t="str">
        <f t="shared" ca="1" si="510"/>
        <v/>
      </c>
      <c r="BJ113" s="3" t="e">
        <f ca="1">IF($BP$1=1,DX113,IF(RTD("tos.rtd",,BJ$83,"."&amp;$B$82&amp;$AS$82&amp;"C"&amp;$A113)="N/A",0,RTD("tos.rtd",,BJ$83,"."&amp;$B$82&amp;$AS$82&amp;"C"&amp;$A113)))</f>
        <v>#NUM!</v>
      </c>
      <c r="BK113" s="3" t="e">
        <f ca="1">IF($BP$1=1,DY113,-IF(RTD("tos.rtd",,BK$83,"."&amp;$B$82&amp;$AS$82&amp;"P"&amp;$A113)="N/A",0,RTD("tos.rtd",,BK$83,"."&amp;$B$82&amp;$AS$82&amp;"P"&amp;$A113)))</f>
        <v>#NUM!</v>
      </c>
      <c r="BL113" s="3">
        <f ca="1">IF($BP$1=1,DZ113,IF(RTD("tos.rtd",,BL$83,"."&amp;$C$82&amp;$AU$82&amp;"C"&amp;$A113)="N/A",0,RTD("tos.rtd",,BL$83,"."&amp;$C$82&amp;$AU$82&amp;"C"&amp;$A113)))</f>
        <v>2.063527518746788E-3</v>
      </c>
      <c r="BM113" s="3">
        <f ca="1">IF($BP$1=1,EA113,-IF(RTD("tos.rtd",,BM$83,"."&amp;$C$82&amp;$AU$82&amp;"P"&amp;$A113)="N/A",0,RTD("tos.rtd",,BM$83,"."&amp;$C$82&amp;$AU$82&amp;"P"&amp;$A113)))</f>
        <v>-3.832272949043215E-3</v>
      </c>
      <c r="BN113" s="3">
        <f ca="1">IF($BP$1=1,EB113,IF(RTD("tos.rtd",,BN$83,"."&amp;$D$82&amp;$AW$82&amp;"C"&amp;$A113)="N/A",0,RTD("tos.rtd",,BN$83,"."&amp;$D$82&amp;$AW$82&amp;"C"&amp;$A113)))</f>
        <v>3.0159877016507296E-3</v>
      </c>
      <c r="BO113" s="3">
        <f ca="1">IF($BP$1=1,EC113,-IF(RTD("tos.rtd",,BO$83,"."&amp;$D$82&amp;$AW$82&amp;"P"&amp;$A113)="N/A",0,RTD("tos.rtd",,BO$83,"."&amp;$D$82&amp;$AW$82&amp;"P"&amp;$A113)))</f>
        <v>-3.9464452887248746E-3</v>
      </c>
      <c r="BQ113" s="3" t="e">
        <f t="shared" ca="1" si="454"/>
        <v>#NUM!</v>
      </c>
      <c r="BR113" s="3" t="e">
        <f t="shared" ca="1" si="492"/>
        <v>#NUM!</v>
      </c>
      <c r="BS113" s="3">
        <f t="shared" ca="1" si="455"/>
        <v>-249373.90299950191</v>
      </c>
      <c r="BT113" s="3" t="str">
        <f t="shared" ca="1" si="492"/>
        <v/>
      </c>
      <c r="BU113" s="3">
        <f t="shared" ca="1" si="456"/>
        <v>-324293.70935802709</v>
      </c>
      <c r="BV113" s="3" t="str">
        <f t="shared" ca="1" si="492"/>
        <v/>
      </c>
      <c r="BX113" s="3" t="e">
        <f t="shared" ca="1" si="457"/>
        <v>#NUM!</v>
      </c>
      <c r="BY113" s="3" t="e">
        <f t="shared" ca="1" si="507"/>
        <v>#NUM!</v>
      </c>
      <c r="BZ113" s="3">
        <f t="shared" ca="1" si="458"/>
        <v>-3633.3461367996656</v>
      </c>
      <c r="CA113" s="3" t="str">
        <f t="shared" ca="1" si="507"/>
        <v>Cruce -</v>
      </c>
      <c r="CB113" s="3">
        <f t="shared" ca="1" si="459"/>
        <v>0</v>
      </c>
      <c r="CC113" s="3" t="str">
        <f t="shared" ca="1" si="507"/>
        <v/>
      </c>
      <c r="CD113" s="3">
        <f>IF(RTD("tos.rtd",,CD$83,"."&amp;$B$82&amp;$AS$82&amp;"C"&amp;$A113)="N/A",0,RTD("tos.rtd",,CD$83,"."&amp;$B$82&amp;$AS$82&amp;"C"&amp;$A113))</f>
        <v>1</v>
      </c>
      <c r="CE113" s="3">
        <f>-IF(RTD("tos.rtd",,CE$83,"."&amp;$B$82&amp;$AS$82&amp;"P"&amp;$A113)="N/A",0,RTD("tos.rtd",,CE$83,"."&amp;$B$82&amp;$AS$82&amp;"P"&amp;$A113))</f>
        <v>0</v>
      </c>
      <c r="CF113" s="3">
        <f>IF(RTD("tos.rtd",,CF$83,"."&amp;$C$82&amp;$AU$82&amp;"C"&amp;$A113)="N/A",0,RTD("tos.rtd",,CF$83,"."&amp;$C$82&amp;$AU$82&amp;"C"&amp;$A113))</f>
        <v>0.61</v>
      </c>
      <c r="CG113" s="3">
        <f>-IF(RTD("tos.rtd",,CG$83,"."&amp;$C$82&amp;$AU$82&amp;"P"&amp;$A113)="N/A",0,RTD("tos.rtd",,CG$83,"."&amp;$C$82&amp;$AU$82&amp;"P"&amp;$A113))</f>
        <v>0.28999999999999998</v>
      </c>
      <c r="CH113" s="3">
        <f>IF(RTD("tos.rtd",,CH$83,"."&amp;$D$82&amp;$AW$82&amp;"C"&amp;$A113)="N/A",0,RTD("tos.rtd",,CH$83,"."&amp;$D$82&amp;$AW$82&amp;"C"&amp;$A113))</f>
        <v>0.59</v>
      </c>
      <c r="CI113" s="3">
        <f>-IF(RTD("tos.rtd",,CI$83,"."&amp;$D$82&amp;$AW$82&amp;"P"&amp;$A113)="N/A",0,RTD("tos.rtd",,CI$83,"."&amp;$D$82&amp;$AW$82&amp;"P"&amp;$A113))</f>
        <v>0.38</v>
      </c>
      <c r="CK113" s="3">
        <f t="shared" si="493"/>
        <v>25600</v>
      </c>
      <c r="CL113" s="3"/>
      <c r="CM113" s="3">
        <f t="shared" si="494"/>
        <v>19723.000000000004</v>
      </c>
      <c r="CN113" s="3"/>
      <c r="CO113" s="3">
        <f t="shared" si="495"/>
        <v>-3048</v>
      </c>
      <c r="CP113" s="3">
        <f t="shared" si="460"/>
        <v>42275</v>
      </c>
      <c r="CQ113" s="3">
        <f t="shared" si="461"/>
        <v>0</v>
      </c>
      <c r="CR113" s="3"/>
      <c r="CS113" s="3">
        <f t="shared" si="462"/>
        <v>-4</v>
      </c>
      <c r="CT113" s="3"/>
      <c r="CU113" s="3">
        <f t="shared" si="463"/>
        <v>0</v>
      </c>
      <c r="CV113" s="3"/>
      <c r="CW113" s="3" t="e">
        <f t="shared" ca="1" si="524"/>
        <v>#NUM!</v>
      </c>
      <c r="CY113" s="3" t="e">
        <f t="shared" ca="1" si="465"/>
        <v>#NUM!</v>
      </c>
      <c r="CZ113" s="70" t="e">
        <f t="shared" ca="1" si="508"/>
        <v>#NUM!</v>
      </c>
      <c r="DA113" s="3">
        <f>IF(RTD("tos.rtd",,DA$83,"."&amp;$B$82&amp;$AS$82&amp;"C"&amp;$A113)="N/A",0,RTD("tos.rtd",,DA$83,"."&amp;$B$82&amp;$AS$82&amp;"C"&amp;$A113))</f>
        <v>40.700000000000003</v>
      </c>
      <c r="DB113" s="3">
        <f>IF(RTD("tos.rtd",,DB$83,"."&amp;$B$82&amp;$AS$82&amp;"P"&amp;$A113)="N/A",0,RTD("tos.rtd",,DB$83,"."&amp;$B$82&amp;$AS$82&amp;"P"&amp;$A113))</f>
        <v>0.05</v>
      </c>
      <c r="DC113" s="3">
        <f>IF(RTD("tos.rtd",,DC$83,"."&amp;$B$82&amp;$AS$82&amp;"C"&amp;$A113)="N/A",0,RTD("tos.rtd",,DC$83,"."&amp;$B$82&amp;$AS$82&amp;"C"&amp;$A113))</f>
        <v>41.7</v>
      </c>
      <c r="DD113" s="3">
        <f>IF(RTD("tos.rtd",,DD$83,"."&amp;$B$82&amp;$AS$82&amp;"P"&amp;$A113)="N/A",0,RTD("tos.rtd",,DD$83,"."&amp;$B$82&amp;$AS$82&amp;"P"&amp;$A113))</f>
        <v>0.05</v>
      </c>
      <c r="DE113" s="3">
        <f>IF(RTD("tos.rtd",,DE$83,"."&amp;$B$82&amp;$AS$82&amp;"C"&amp;$A113)="N/A",0,RTD("tos.rtd",,DE$83,"."&amp;$B$82&amp;$AS$82&amp;"C"&amp;$A113))</f>
        <v>38.5</v>
      </c>
      <c r="DF113" s="3">
        <f>IF(RTD("tos.rtd",,DF$83,"."&amp;$B$82&amp;$AS$82&amp;"P"&amp;$A113)="N/A",0,RTD("tos.rtd",,DF$83,"."&amp;$B$82&amp;$AS$82&amp;"P"&amp;$A113))</f>
        <v>0</v>
      </c>
      <c r="DG113" s="86">
        <f t="shared" si="497"/>
        <v>-41.279999999999745</v>
      </c>
      <c r="DH113" s="3">
        <f t="shared" si="466"/>
        <v>-2942.5000000000009</v>
      </c>
      <c r="DI113" s="3">
        <f t="shared" si="467"/>
        <v>29931</v>
      </c>
      <c r="DJ113" s="3">
        <f t="shared" si="468"/>
        <v>-4280</v>
      </c>
      <c r="DK113" s="3">
        <f t="shared" si="469"/>
        <v>29931</v>
      </c>
      <c r="DL113" s="3">
        <f t="shared" si="470"/>
        <v>26988.5</v>
      </c>
      <c r="DM113" s="3">
        <f t="shared" si="471"/>
        <v>25651</v>
      </c>
      <c r="DN113" s="64" t="str">
        <f t="shared" si="472"/>
        <v>UNKNOWN</v>
      </c>
      <c r="DO113" s="64" t="str">
        <f t="shared" si="473"/>
        <v>UNKNOWN</v>
      </c>
      <c r="DP113" s="3">
        <f t="shared" si="474"/>
        <v>-118263.20000000004</v>
      </c>
      <c r="DQ113" s="3">
        <f t="shared" si="475"/>
        <v>-172699.45</v>
      </c>
      <c r="DR113" s="3" t="e">
        <f t="shared" ca="1" si="476"/>
        <v>#NUM!</v>
      </c>
      <c r="DS113" s="3">
        <f t="shared" si="477"/>
        <v>-4280</v>
      </c>
      <c r="DT113" s="3">
        <f t="shared" si="498"/>
        <v>-4280</v>
      </c>
      <c r="DU113" s="3">
        <f t="shared" si="499"/>
        <v>29931</v>
      </c>
      <c r="DV113" s="3">
        <f t="shared" si="500"/>
        <v>-298</v>
      </c>
      <c r="DW113" s="3">
        <f t="shared" si="501"/>
        <v>-3219</v>
      </c>
      <c r="DX113" s="3" t="e">
        <f t="shared" ca="1" si="509"/>
        <v>#NUM!</v>
      </c>
      <c r="DY113" s="3" t="e">
        <f t="shared" ca="1" si="478"/>
        <v>#NUM!</v>
      </c>
      <c r="DZ113" s="3">
        <f t="shared" ca="1" si="502"/>
        <v>2.063527518746788E-3</v>
      </c>
      <c r="EA113" s="3">
        <f t="shared" ca="1" si="503"/>
        <v>-3.832272949043215E-3</v>
      </c>
      <c r="EB113" s="3">
        <f t="shared" ca="1" si="479"/>
        <v>3.0159877016507296E-3</v>
      </c>
      <c r="EC113" s="3">
        <f t="shared" ca="1" si="480"/>
        <v>-3.9464452887248746E-3</v>
      </c>
      <c r="ED113" s="63">
        <f t="shared" si="504"/>
        <v>-3517</v>
      </c>
      <c r="EE113" s="59">
        <f t="shared" si="481"/>
        <v>0.25</v>
      </c>
      <c r="EF113" s="59">
        <f t="shared" si="482"/>
        <v>0.37780000000000002</v>
      </c>
      <c r="EG113" s="59">
        <f t="shared" si="483"/>
        <v>0.40799999999999997</v>
      </c>
      <c r="EH113" s="59">
        <f t="shared" si="484"/>
        <v>0.20280000000000001</v>
      </c>
      <c r="EI113" s="59">
        <f t="shared" si="485"/>
        <v>0.26989999999999997</v>
      </c>
      <c r="EJ113" s="59">
        <f t="shared" si="486"/>
        <v>0.1953</v>
      </c>
      <c r="EL113" s="3" t="str">
        <f>RTD("tos.rtd",,EL$83,"."&amp;$B$82&amp;$AS$82&amp;"C"&amp;$A113)</f>
        <v>--</v>
      </c>
      <c r="EM113" s="3" t="str">
        <f>RTD("tos.rtd",,EM$83,"."&amp;$B$82&amp;$AS$82&amp;"P"&amp;$A113)</f>
        <v>37.78%</v>
      </c>
      <c r="EN113" s="3" t="str">
        <f>RTD("tos.rtd",,EN$83,"."&amp;$C$82&amp;$AU$82&amp;"C"&amp;$A113)</f>
        <v>40.80%</v>
      </c>
      <c r="EO113" s="3" t="str">
        <f>RTD("tos.rtd",,EO$83,"."&amp;$C$82&amp;$AU$82&amp;"P"&amp;$A113)</f>
        <v>20.28%</v>
      </c>
      <c r="EP113" s="3" t="str">
        <f>RTD("tos.rtd",,EP$83,"."&amp;$D$82&amp;$AW$82&amp;"C"&amp;$A113)</f>
        <v>26.99%</v>
      </c>
      <c r="EQ113" s="3" t="str">
        <f>RTD("tos.rtd",,EQ$83,"."&amp;$D$82&amp;$AW$82&amp;"P"&amp;$A113)</f>
        <v>19.53%</v>
      </c>
      <c r="ES113" s="63" t="str">
        <f t="shared" si="487"/>
        <v>5590,-3517.00</v>
      </c>
      <c r="ET113" s="64" t="str">
        <f t="shared" ca="1" si="488"/>
        <v>5590,00.00</v>
      </c>
      <c r="EU113" s="67">
        <v>562.07000000000005</v>
      </c>
      <c r="EV113" s="67" t="s">
        <v>924</v>
      </c>
      <c r="EW113" s="67">
        <v>484.44</v>
      </c>
      <c r="EX113" s="67" t="s">
        <v>925</v>
      </c>
      <c r="EY113" s="67">
        <v>5634.75</v>
      </c>
      <c r="EZ113" s="67" t="s">
        <v>926</v>
      </c>
      <c r="FA113" s="67">
        <v>19899.25</v>
      </c>
      <c r="FB113" s="67" t="s">
        <v>927</v>
      </c>
      <c r="FC113" s="67" t="s">
        <v>928</v>
      </c>
      <c r="FD113" s="67" t="s">
        <v>929</v>
      </c>
      <c r="FE113" s="68" t="s">
        <v>930</v>
      </c>
      <c r="FF113" s="68" t="s">
        <v>931</v>
      </c>
    </row>
    <row r="114" spans="1:162" s="63" customFormat="1" ht="12" customHeight="1" thickBot="1" x14ac:dyDescent="0.25">
      <c r="A114" s="2">
        <f t="shared" si="505"/>
        <v>5580</v>
      </c>
      <c r="B114" s="3">
        <f t="shared" si="449"/>
        <v>1051</v>
      </c>
      <c r="C114" s="3">
        <f t="shared" si="450"/>
        <v>1306</v>
      </c>
      <c r="D114" s="3">
        <f t="shared" si="451"/>
        <v>738</v>
      </c>
      <c r="E114" s="3">
        <f t="shared" si="520"/>
        <v>3095</v>
      </c>
      <c r="F114" s="4">
        <f t="shared" si="521"/>
        <v>5628.2763421460131</v>
      </c>
      <c r="G114" s="4">
        <f t="shared" si="522"/>
        <v>559.19105425409509</v>
      </c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20"/>
      <c r="AM114" s="20">
        <v>-667</v>
      </c>
      <c r="AN114" s="20">
        <v>-757</v>
      </c>
      <c r="AO114" s="20">
        <v>5580</v>
      </c>
      <c r="AP114" s="20">
        <v>3687</v>
      </c>
      <c r="AQ114" s="20">
        <v>-35279</v>
      </c>
      <c r="AR114" s="20"/>
      <c r="AS114" s="54">
        <f>IF(RTD("tos.rtd",,AS$83,"."&amp;$B$82&amp;$AS$82&amp;"C"&amp;$A114)="N/A",0,RTD("tos.rtd",,AS$83,"."&amp;$B$82&amp;$AS$82&amp;"C"&amp;$A114))</f>
        <v>184</v>
      </c>
      <c r="AT114" s="3">
        <f>-IF(RTD("tos.rtd",,AT$83,"."&amp;$B$82&amp;$AS$82&amp;"P"&amp;$A114)="N/A",0,RTD("tos.rtd",,AT$83,"."&amp;$B$82&amp;$AS$82&amp;"P"&amp;$A114))</f>
        <v>-867</v>
      </c>
      <c r="AU114" s="54">
        <f>IF(RTD("tos.rtd",,AU$83,"."&amp;$C$82&amp;$AU$82&amp;"C"&amp;$A114)="N/A",0,RTD("tos.rtd",,AU$83,"."&amp;$C$82&amp;$AU$82&amp;"C"&amp;$A114))</f>
        <v>407</v>
      </c>
      <c r="AV114" s="3">
        <f>-IF(RTD("tos.rtd",,AV$83,"."&amp;$C$82&amp;$AU$82&amp;"P"&amp;$A114)="N/A",0,RTD("tos.rtd",,AV$83,"."&amp;$C$82&amp;$AU$82&amp;"P"&amp;$A114))</f>
        <v>-899</v>
      </c>
      <c r="AW114" s="54">
        <f>IF(RTD("tos.rtd",,AW$83,"."&amp;$D$82&amp;$AW$82&amp;"C"&amp;$A114)="N/A",0,RTD("tos.rtd",,AW$83,"."&amp;$D$82&amp;$AW$82&amp;"C"&amp;$A114))</f>
        <v>314</v>
      </c>
      <c r="AX114" s="3">
        <f>-IF(RTD("tos.rtd",,AX$83,"."&amp;$D$82&amp;$AW$82&amp;"P"&amp;$A114)="N/A",0,RTD("tos.rtd",,AX$83,"."&amp;$D$82&amp;$AW$82&amp;"P"&amp;$A114))</f>
        <v>-424</v>
      </c>
      <c r="AY114" s="79">
        <f t="shared" si="523"/>
        <v>-1285</v>
      </c>
      <c r="AZ114" s="8">
        <f t="shared" si="453"/>
        <v>5580</v>
      </c>
      <c r="BA114" s="54">
        <f>IF(RTD("tos.rtd",,BA$83,"."&amp;$B$82&amp;$AS$82&amp;"C"&amp;$A114)="N/A",0,RTD("tos.rtd",,BA$83,"."&amp;$B$82&amp;$AS$82&amp;"C"&amp;$A114))</f>
        <v>0</v>
      </c>
      <c r="BB114" s="3">
        <f>-IF(RTD("tos.rtd",,BB$83,"."&amp;$B$82&amp;$AS$82&amp;"P"&amp;$A114)="N/A",0,RTD("tos.rtd",,BB$83,"."&amp;$B$82&amp;$AS$82&amp;"P"&amp;$A114))</f>
        <v>0</v>
      </c>
      <c r="BC114" s="54">
        <f>IF(RTD("tos.rtd",,BC$83,"."&amp;$C$82&amp;$AU$82&amp;"C"&amp;$A114)="N/A",0,RTD("tos.rtd",,BC$83,"."&amp;$C$82&amp;$AU$82&amp;"C"&amp;$A114))</f>
        <v>0</v>
      </c>
      <c r="BD114" s="3">
        <f>-IF(RTD("tos.rtd",,BD$83,"."&amp;$C$82&amp;$AU$82&amp;"P"&amp;$A114)="N/A",0,RTD("tos.rtd",,BD$83,"."&amp;$C$82&amp;$AU$82&amp;"P"&amp;$A114))</f>
        <v>-2</v>
      </c>
      <c r="BE114" s="54">
        <f>IF(RTD("tos.rtd",,BE$83,"."&amp;$D$82&amp;$AW$82&amp;"C"&amp;$A114)="N/A",0,RTD("tos.rtd",,BE$83,"."&amp;$D$82&amp;$AW$82&amp;"C"&amp;$A114))</f>
        <v>0</v>
      </c>
      <c r="BF114" s="3">
        <f>-IF(RTD("tos.rtd",,BF$83,"."&amp;$D$82&amp;$AW$82&amp;"P"&amp;$A114)="N/A",0,RTD("tos.rtd",,BF$83,"."&amp;$D$82&amp;$AW$82&amp;"P"&amp;$A114))</f>
        <v>0</v>
      </c>
      <c r="BG114" s="3">
        <f ca="1">+Hoja2!Y115</f>
        <v>0</v>
      </c>
      <c r="BH114" s="55">
        <f t="shared" ca="1" si="491"/>
        <v>-2</v>
      </c>
      <c r="BI114" s="32" t="str">
        <f t="shared" ca="1" si="510"/>
        <v/>
      </c>
      <c r="BJ114" s="3" t="e">
        <f ca="1">IF($BP$1=1,DX114,IF(RTD("tos.rtd",,BJ$83,"."&amp;$B$82&amp;$AS$82&amp;"C"&amp;$A114)="N/A",0,RTD("tos.rtd",,BJ$83,"."&amp;$B$82&amp;$AS$82&amp;"C"&amp;$A114)))</f>
        <v>#NUM!</v>
      </c>
      <c r="BK114" s="3" t="e">
        <f ca="1">IF($BP$1=1,DY114,-IF(RTD("tos.rtd",,BK$83,"."&amp;$B$82&amp;$AS$82&amp;"P"&amp;$A114)="N/A",0,RTD("tos.rtd",,BK$83,"."&amp;$B$82&amp;$AS$82&amp;"P"&amp;$A114)))</f>
        <v>#NUM!</v>
      </c>
      <c r="BL114" s="3">
        <f ca="1">IF($BP$1=1,DZ114,IF(RTD("tos.rtd",,BL$83,"."&amp;$C$82&amp;$AU$82&amp;"C"&amp;$A114)="N/A",0,RTD("tos.rtd",,BL$83,"."&amp;$C$82&amp;$AU$82&amp;"C"&amp;$A114)))</f>
        <v>1.9763502522304956E-3</v>
      </c>
      <c r="BM114" s="3">
        <f ca="1">IF($BP$1=1,EA114,-IF(RTD("tos.rtd",,BM$83,"."&amp;$C$82&amp;$AU$82&amp;"P"&amp;$A114)="N/A",0,RTD("tos.rtd",,BM$83,"."&amp;$C$82&amp;$AU$82&amp;"P"&amp;$A114)))</f>
        <v>-3.5496638757331798E-3</v>
      </c>
      <c r="BN114" s="3">
        <f ca="1">IF($BP$1=1,EB114,IF(RTD("tos.rtd",,BN$83,"."&amp;$D$82&amp;$AW$82&amp;"C"&amp;$A114)="N/A",0,RTD("tos.rtd",,BN$83,"."&amp;$D$82&amp;$AW$82&amp;"C"&amp;$A114)))</f>
        <v>2.8849438243099411E-3</v>
      </c>
      <c r="BO114" s="3">
        <f ca="1">IF($BP$1=1,EC114,-IF(RTD("tos.rtd",,BO$83,"."&amp;$D$82&amp;$AW$82&amp;"P"&amp;$A114)="N/A",0,RTD("tos.rtd",,BO$83,"."&amp;$D$82&amp;$AW$82&amp;"P"&amp;$A114)))</f>
        <v>-3.6723298004378712E-3</v>
      </c>
      <c r="BQ114" s="3" t="e">
        <f t="shared" ca="1" si="454"/>
        <v>#NUM!</v>
      </c>
      <c r="BR114" s="3" t="e">
        <f t="shared" ca="1" si="492"/>
        <v>#NUM!</v>
      </c>
      <c r="BS114" s="3">
        <f t="shared" ca="1" si="455"/>
        <v>-565719.97618575604</v>
      </c>
      <c r="BT114" s="3" t="str">
        <f t="shared" ca="1" si="492"/>
        <v/>
      </c>
      <c r="BU114" s="3">
        <f t="shared" ca="1" si="456"/>
        <v>-154348.25449716902</v>
      </c>
      <c r="BV114" s="3" t="str">
        <f t="shared" ca="1" si="492"/>
        <v/>
      </c>
      <c r="BX114" s="3" t="e">
        <f t="shared" ca="1" si="457"/>
        <v>#NUM!</v>
      </c>
      <c r="BY114" s="3" t="e">
        <f t="shared" ca="1" si="507"/>
        <v>#NUM!</v>
      </c>
      <c r="BZ114" s="3">
        <f t="shared" ca="1" si="458"/>
        <v>-1682.7034114379103</v>
      </c>
      <c r="CA114" s="3" t="str">
        <f t="shared" ca="1" si="507"/>
        <v/>
      </c>
      <c r="CB114" s="3">
        <f t="shared" ca="1" si="459"/>
        <v>0</v>
      </c>
      <c r="CC114" s="3" t="str">
        <f t="shared" ca="1" si="507"/>
        <v/>
      </c>
      <c r="CD114" s="3">
        <f>IF(RTD("tos.rtd",,CD$83,"."&amp;$B$82&amp;$AS$82&amp;"C"&amp;$A114)="N/A",0,RTD("tos.rtd",,CD$83,"."&amp;$B$82&amp;$AS$82&amp;"C"&amp;$A114))</f>
        <v>1</v>
      </c>
      <c r="CE114" s="3">
        <f>-IF(RTD("tos.rtd",,CE$83,"."&amp;$B$82&amp;$AS$82&amp;"P"&amp;$A114)="N/A",0,RTD("tos.rtd",,CE$83,"."&amp;$B$82&amp;$AS$82&amp;"P"&amp;$A114))</f>
        <v>0</v>
      </c>
      <c r="CF114" s="3">
        <f>IF(RTD("tos.rtd",,CF$83,"."&amp;$C$82&amp;$AU$82&amp;"C"&amp;$A114)="N/A",0,RTD("tos.rtd",,CF$83,"."&amp;$C$82&amp;$AU$82&amp;"C"&amp;$A114))</f>
        <v>0.63</v>
      </c>
      <c r="CG114" s="3">
        <f>-IF(RTD("tos.rtd",,CG$83,"."&amp;$C$82&amp;$AU$82&amp;"P"&amp;$A114)="N/A",0,RTD("tos.rtd",,CG$83,"."&amp;$C$82&amp;$AU$82&amp;"P"&amp;$A114))</f>
        <v>0.25</v>
      </c>
      <c r="CH114" s="3">
        <f>IF(RTD("tos.rtd",,CH$83,"."&amp;$D$82&amp;$AW$82&amp;"C"&amp;$A114)="N/A",0,RTD("tos.rtd",,CH$83,"."&amp;$D$82&amp;$AW$82&amp;"C"&amp;$A114))</f>
        <v>0.6</v>
      </c>
      <c r="CI114" s="3">
        <f>-IF(RTD("tos.rtd",,CI$83,"."&amp;$D$82&amp;$AW$82&amp;"P"&amp;$A114)="N/A",0,RTD("tos.rtd",,CI$83,"."&amp;$D$82&amp;$AW$82&amp;"P"&amp;$A114))</f>
        <v>0.36</v>
      </c>
      <c r="CK114" s="3">
        <f t="shared" si="493"/>
        <v>18400</v>
      </c>
      <c r="CL114" s="3"/>
      <c r="CM114" s="3">
        <f t="shared" si="494"/>
        <v>3166.0000000000036</v>
      </c>
      <c r="CN114" s="3"/>
      <c r="CO114" s="3">
        <f t="shared" si="495"/>
        <v>3576.0000000000018</v>
      </c>
      <c r="CP114" s="3">
        <f t="shared" si="460"/>
        <v>25142.000000000007</v>
      </c>
      <c r="CQ114" s="3">
        <f t="shared" si="461"/>
        <v>0</v>
      </c>
      <c r="CR114" s="3"/>
      <c r="CS114" s="3">
        <f t="shared" si="462"/>
        <v>-2</v>
      </c>
      <c r="CT114" s="3"/>
      <c r="CU114" s="3">
        <f t="shared" si="463"/>
        <v>0</v>
      </c>
      <c r="CV114" s="3"/>
      <c r="CW114" s="3" t="e">
        <f t="shared" ca="1" si="524"/>
        <v>#NUM!</v>
      </c>
      <c r="CY114" s="3" t="e">
        <f t="shared" ca="1" si="465"/>
        <v>#NUM!</v>
      </c>
      <c r="CZ114" s="70" t="e">
        <f t="shared" ca="1" si="508"/>
        <v>#NUM!</v>
      </c>
      <c r="DA114" s="3">
        <f>IF(RTD("tos.rtd",,DA$83,"."&amp;$B$82&amp;$AS$82&amp;"C"&amp;$A114)="N/A",0,RTD("tos.rtd",,DA$83,"."&amp;$B$82&amp;$AS$82&amp;"C"&amp;$A114))</f>
        <v>49.5</v>
      </c>
      <c r="DB114" s="3">
        <f>IF(RTD("tos.rtd",,DB$83,"."&amp;$B$82&amp;$AS$82&amp;"P"&amp;$A114)="N/A",0,RTD("tos.rtd",,DB$83,"."&amp;$B$82&amp;$AS$82&amp;"P"&amp;$A114))</f>
        <v>0.03</v>
      </c>
      <c r="DC114" s="3">
        <f>IF(RTD("tos.rtd",,DC$83,"."&amp;$B$82&amp;$AS$82&amp;"C"&amp;$A114)="N/A",0,RTD("tos.rtd",,DC$83,"."&amp;$B$82&amp;$AS$82&amp;"C"&amp;$A114))</f>
        <v>51.7</v>
      </c>
      <c r="DD114" s="3">
        <f>IF(RTD("tos.rtd",,DD$83,"."&amp;$B$82&amp;$AS$82&amp;"P"&amp;$A114)="N/A",0,RTD("tos.rtd",,DD$83,"."&amp;$B$82&amp;$AS$82&amp;"P"&amp;$A114))</f>
        <v>0.05</v>
      </c>
      <c r="DE114" s="3">
        <f>IF(RTD("tos.rtd",,DE$83,"."&amp;$B$82&amp;$AS$82&amp;"C"&amp;$A114)="N/A",0,RTD("tos.rtd",,DE$83,"."&amp;$B$82&amp;$AS$82&amp;"C"&amp;$A114))</f>
        <v>48.5</v>
      </c>
      <c r="DF114" s="3">
        <f>IF(RTD("tos.rtd",,DF$83,"."&amp;$B$82&amp;$AS$82&amp;"P"&amp;$A114)="N/A",0,RTD("tos.rtd",,DF$83,"."&amp;$B$82&amp;$AS$82&amp;"P"&amp;$A114))</f>
        <v>0</v>
      </c>
      <c r="DG114" s="86">
        <f t="shared" si="497"/>
        <v>-51.279999999999745</v>
      </c>
      <c r="DH114" s="3">
        <f t="shared" si="466"/>
        <v>-1152.1874999999989</v>
      </c>
      <c r="DI114" s="3">
        <f t="shared" si="467"/>
        <v>21167.399999999998</v>
      </c>
      <c r="DJ114" s="3">
        <f t="shared" si="468"/>
        <v>3687</v>
      </c>
      <c r="DK114" s="3">
        <f t="shared" si="469"/>
        <v>35279</v>
      </c>
      <c r="DL114" s="3">
        <f t="shared" si="470"/>
        <v>20015.212499999998</v>
      </c>
      <c r="DM114" s="3">
        <f t="shared" si="471"/>
        <v>38966</v>
      </c>
      <c r="DN114" s="64" t="str">
        <f t="shared" si="472"/>
        <v>UNKNOWN</v>
      </c>
      <c r="DO114" s="64" t="str">
        <f t="shared" si="473"/>
        <v>UNKNOWN</v>
      </c>
      <c r="DP114" s="3">
        <f t="shared" si="474"/>
        <v>-56398.259249999945</v>
      </c>
      <c r="DQ114" s="3">
        <f t="shared" si="475"/>
        <v>183564.87</v>
      </c>
      <c r="DR114" s="3" t="e">
        <f t="shared" ca="1" si="476"/>
        <v>#NUM!</v>
      </c>
      <c r="DS114" s="3">
        <f t="shared" si="477"/>
        <v>3687</v>
      </c>
      <c r="DT114" s="3">
        <f t="shared" si="498"/>
        <v>-3687</v>
      </c>
      <c r="DU114" s="3">
        <f t="shared" si="499"/>
        <v>35279</v>
      </c>
      <c r="DV114" s="3">
        <f t="shared" si="500"/>
        <v>-667</v>
      </c>
      <c r="DW114" s="3">
        <f t="shared" si="501"/>
        <v>-757</v>
      </c>
      <c r="DX114" s="3" t="e">
        <f t="shared" ca="1" si="509"/>
        <v>#NUM!</v>
      </c>
      <c r="DY114" s="3" t="e">
        <f t="shared" ca="1" si="478"/>
        <v>#NUM!</v>
      </c>
      <c r="DZ114" s="3">
        <f t="shared" ca="1" si="502"/>
        <v>1.9763502522304956E-3</v>
      </c>
      <c r="EA114" s="3">
        <f t="shared" ca="1" si="503"/>
        <v>-3.5496638757331798E-3</v>
      </c>
      <c r="EB114" s="3">
        <f t="shared" ca="1" si="479"/>
        <v>2.8849438243099411E-3</v>
      </c>
      <c r="EC114" s="3">
        <f t="shared" ca="1" si="480"/>
        <v>-3.6723298004378712E-3</v>
      </c>
      <c r="ED114" s="63">
        <f t="shared" si="504"/>
        <v>-1424</v>
      </c>
      <c r="EE114" s="59">
        <f t="shared" si="481"/>
        <v>0.25</v>
      </c>
      <c r="EF114" s="59">
        <f t="shared" si="482"/>
        <v>0.45889999999999997</v>
      </c>
      <c r="EG114" s="59">
        <f t="shared" si="483"/>
        <v>0.42080000000000001</v>
      </c>
      <c r="EH114" s="59">
        <f t="shared" si="484"/>
        <v>0.20880000000000001</v>
      </c>
      <c r="EI114" s="59">
        <f t="shared" si="485"/>
        <v>0.27389999999999998</v>
      </c>
      <c r="EJ114" s="59">
        <f t="shared" si="486"/>
        <v>0.1986</v>
      </c>
      <c r="EL114" s="3" t="str">
        <f>RTD("tos.rtd",,EL$83,"."&amp;$B$82&amp;$AS$82&amp;"C"&amp;$A114)</f>
        <v>--</v>
      </c>
      <c r="EM114" s="3" t="str">
        <f>RTD("tos.rtd",,EM$83,"."&amp;$B$82&amp;$AS$82&amp;"P"&amp;$A114)</f>
        <v>45.89%</v>
      </c>
      <c r="EN114" s="3" t="str">
        <f>RTD("tos.rtd",,EN$83,"."&amp;$C$82&amp;$AU$82&amp;"C"&amp;$A114)</f>
        <v>42.08%</v>
      </c>
      <c r="EO114" s="3" t="str">
        <f>RTD("tos.rtd",,EO$83,"."&amp;$C$82&amp;$AU$82&amp;"P"&amp;$A114)</f>
        <v>20.88%</v>
      </c>
      <c r="EP114" s="3" t="str">
        <f>RTD("tos.rtd",,EP$83,"."&amp;$D$82&amp;$AW$82&amp;"C"&amp;$A114)</f>
        <v>27.39%</v>
      </c>
      <c r="EQ114" s="3" t="str">
        <f>RTD("tos.rtd",,EQ$83,"."&amp;$D$82&amp;$AW$82&amp;"P"&amp;$A114)</f>
        <v>19.86%</v>
      </c>
      <c r="ES114" s="63" t="str">
        <f t="shared" si="487"/>
        <v>5580,-1424.00</v>
      </c>
      <c r="ET114" s="64" t="str">
        <f t="shared" ca="1" si="488"/>
        <v>5580,00.00</v>
      </c>
      <c r="EU114" s="67">
        <v>562.09</v>
      </c>
      <c r="EV114" s="67" t="s">
        <v>932</v>
      </c>
      <c r="EW114" s="67">
        <v>484.41</v>
      </c>
      <c r="EX114" s="67" t="s">
        <v>933</v>
      </c>
      <c r="EY114" s="67">
        <v>5634.5</v>
      </c>
      <c r="EZ114" s="67" t="s">
        <v>934</v>
      </c>
      <c r="FA114" s="67">
        <v>19898.25</v>
      </c>
      <c r="FB114" s="67" t="s">
        <v>935</v>
      </c>
      <c r="FC114" s="67" t="s">
        <v>936</v>
      </c>
      <c r="FD114" s="67" t="s">
        <v>937</v>
      </c>
      <c r="FE114" s="68" t="s">
        <v>938</v>
      </c>
      <c r="FF114" s="68" t="s">
        <v>939</v>
      </c>
    </row>
    <row r="115" spans="1:162" s="63" customFormat="1" ht="12" customHeight="1" thickBot="1" x14ac:dyDescent="0.25">
      <c r="A115" s="2">
        <f t="shared" si="505"/>
        <v>5570</v>
      </c>
      <c r="B115" s="3">
        <f t="shared" si="449"/>
        <v>1299</v>
      </c>
      <c r="C115" s="3">
        <f t="shared" si="450"/>
        <v>521</v>
      </c>
      <c r="D115" s="3">
        <f t="shared" si="451"/>
        <v>1525</v>
      </c>
      <c r="E115" s="3">
        <f t="shared" si="520"/>
        <v>3345</v>
      </c>
      <c r="F115" s="4">
        <f t="shared" si="521"/>
        <v>5618.189825403816</v>
      </c>
      <c r="G115" s="4">
        <f t="shared" si="522"/>
        <v>558.1889197482634</v>
      </c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20"/>
      <c r="AM115" s="20">
        <v>-416</v>
      </c>
      <c r="AN115" s="20">
        <v>-3057</v>
      </c>
      <c r="AO115" s="20">
        <v>5570</v>
      </c>
      <c r="AP115" s="20">
        <v>2071</v>
      </c>
      <c r="AQ115" s="20">
        <v>-31757</v>
      </c>
      <c r="AR115" s="20"/>
      <c r="AS115" s="54">
        <f>IF(RTD("tos.rtd",,AS$83,"."&amp;$B$82&amp;$AS$82&amp;"C"&amp;$A115)="N/A",0,RTD("tos.rtd",,AS$83,"."&amp;$B$82&amp;$AS$82&amp;"C"&amp;$A115))</f>
        <v>174</v>
      </c>
      <c r="AT115" s="3">
        <f>-IF(RTD("tos.rtd",,AT$83,"."&amp;$B$82&amp;$AS$82&amp;"P"&amp;$A115)="N/A",0,RTD("tos.rtd",,AT$83,"."&amp;$B$82&amp;$AS$82&amp;"P"&amp;$A115))</f>
        <v>-1125</v>
      </c>
      <c r="AU115" s="54">
        <f>IF(RTD("tos.rtd",,AU$83,"."&amp;$C$82&amp;$AU$82&amp;"C"&amp;$A115)="N/A",0,RTD("tos.rtd",,AU$83,"."&amp;$C$82&amp;$AU$82&amp;"C"&amp;$A115))</f>
        <v>151</v>
      </c>
      <c r="AV115" s="3">
        <f>-IF(RTD("tos.rtd",,AV$83,"."&amp;$C$82&amp;$AU$82&amp;"P"&amp;$A115)="N/A",0,RTD("tos.rtd",,AV$83,"."&amp;$C$82&amp;$AU$82&amp;"P"&amp;$A115))</f>
        <v>-370</v>
      </c>
      <c r="AW115" s="54">
        <f>IF(RTD("tos.rtd",,AW$83,"."&amp;$D$82&amp;$AW$82&amp;"C"&amp;$A115)="N/A",0,RTD("tos.rtd",,AW$83,"."&amp;$D$82&amp;$AW$82&amp;"C"&amp;$A115))</f>
        <v>219</v>
      </c>
      <c r="AX115" s="3">
        <f>-IF(RTD("tos.rtd",,AX$83,"."&amp;$D$82&amp;$AW$82&amp;"P"&amp;$A115)="N/A",0,RTD("tos.rtd",,AX$83,"."&amp;$D$82&amp;$AW$82&amp;"P"&amp;$A115))</f>
        <v>-1306</v>
      </c>
      <c r="AY115" s="79">
        <f t="shared" si="523"/>
        <v>-2257</v>
      </c>
      <c r="AZ115" s="8">
        <f t="shared" si="453"/>
        <v>5570</v>
      </c>
      <c r="BA115" s="54">
        <f>IF(RTD("tos.rtd",,BA$83,"."&amp;$B$82&amp;$AS$82&amp;"C"&amp;$A115)="N/A",0,RTD("tos.rtd",,BA$83,"."&amp;$B$82&amp;$AS$82&amp;"C"&amp;$A115))</f>
        <v>0</v>
      </c>
      <c r="BB115" s="3">
        <f>-IF(RTD("tos.rtd",,BB$83,"."&amp;$B$82&amp;$AS$82&amp;"P"&amp;$A115)="N/A",0,RTD("tos.rtd",,BB$83,"."&amp;$B$82&amp;$AS$82&amp;"P"&amp;$A115))</f>
        <v>0</v>
      </c>
      <c r="BC115" s="54">
        <f>IF(RTD("tos.rtd",,BC$83,"."&amp;$C$82&amp;$AU$82&amp;"C"&amp;$A115)="N/A",0,RTD("tos.rtd",,BC$83,"."&amp;$C$82&amp;$AU$82&amp;"C"&amp;$A115))</f>
        <v>0</v>
      </c>
      <c r="BD115" s="3">
        <f>-IF(RTD("tos.rtd",,BD$83,"."&amp;$C$82&amp;$AU$82&amp;"P"&amp;$A115)="N/A",0,RTD("tos.rtd",,BD$83,"."&amp;$C$82&amp;$AU$82&amp;"P"&amp;$A115))</f>
        <v>-6</v>
      </c>
      <c r="BE115" s="54">
        <f>IF(RTD("tos.rtd",,BE$83,"."&amp;$D$82&amp;$AW$82&amp;"C"&amp;$A115)="N/A",0,RTD("tos.rtd",,BE$83,"."&amp;$D$82&amp;$AW$82&amp;"C"&amp;$A115))</f>
        <v>0</v>
      </c>
      <c r="BF115" s="3">
        <f>-IF(RTD("tos.rtd",,BF$83,"."&amp;$D$82&amp;$AW$82&amp;"P"&amp;$A115)="N/A",0,RTD("tos.rtd",,BF$83,"."&amp;$D$82&amp;$AW$82&amp;"P"&amp;$A115))</f>
        <v>0</v>
      </c>
      <c r="BG115" s="3">
        <f ca="1">+Hoja2!Y116</f>
        <v>-1</v>
      </c>
      <c r="BH115" s="55">
        <f t="shared" ca="1" si="491"/>
        <v>-7</v>
      </c>
      <c r="BI115" s="32" t="str">
        <f t="shared" ca="1" si="510"/>
        <v/>
      </c>
      <c r="BJ115" s="3" t="e">
        <f ca="1">IF($BP$1=1,DX115,IF(RTD("tos.rtd",,BJ$83,"."&amp;$B$82&amp;$AS$82&amp;"C"&amp;$A115)="N/A",0,RTD("tos.rtd",,BJ$83,"."&amp;$B$82&amp;$AS$82&amp;"C"&amp;$A115)))</f>
        <v>#NUM!</v>
      </c>
      <c r="BK115" s="3" t="e">
        <f ca="1">IF($BP$1=1,DY115,-IF(RTD("tos.rtd",,BK$83,"."&amp;$B$82&amp;$AS$82&amp;"P"&amp;$A115)="N/A",0,RTD("tos.rtd",,BK$83,"."&amp;$B$82&amp;$AS$82&amp;"P"&amp;$A115)))</f>
        <v>#NUM!</v>
      </c>
      <c r="BL115" s="3">
        <f ca="1">IF($BP$1=1,DZ115,IF(RTD("tos.rtd",,BL$83,"."&amp;$C$82&amp;$AU$82&amp;"C"&amp;$A115)="N/A",0,RTD("tos.rtd",,BL$83,"."&amp;$C$82&amp;$AU$82&amp;"C"&amp;$A115)))</f>
        <v>1.892298063857611E-3</v>
      </c>
      <c r="BM115" s="3">
        <f ca="1">IF($BP$1=1,EA115,-IF(RTD("tos.rtd",,BM$83,"."&amp;$C$82&amp;$AU$82&amp;"P"&amp;$A115)="N/A",0,RTD("tos.rtd",,BM$83,"."&amp;$C$82&amp;$AU$82&amp;"P"&amp;$A115)))</f>
        <v>-3.2688849758692731E-3</v>
      </c>
      <c r="BN115" s="3">
        <f ca="1">IF($BP$1=1,EB115,IF(RTD("tos.rtd",,BN$83,"."&amp;$D$82&amp;$AW$82&amp;"C"&amp;$A115)="N/A",0,RTD("tos.rtd",,BN$83,"."&amp;$D$82&amp;$AW$82&amp;"C"&amp;$A115)))</f>
        <v>2.74669038760421E-3</v>
      </c>
      <c r="BO115" s="3">
        <f ca="1">IF($BP$1=1,EC115,-IF(RTD("tos.rtd",,BO$83,"."&amp;$D$82&amp;$AW$82&amp;"P"&amp;$A115)="N/A",0,RTD("tos.rtd",,BO$83,"."&amp;$D$82&amp;$AW$82&amp;"P"&amp;$A115)))</f>
        <v>-3.3915774970908392E-3</v>
      </c>
      <c r="BQ115" s="3" t="e">
        <f t="shared" ca="1" si="454"/>
        <v>#NUM!</v>
      </c>
      <c r="BR115" s="3" t="e">
        <f t="shared" ca="1" si="492"/>
        <v>#NUM!</v>
      </c>
      <c r="BS115" s="3">
        <f t="shared" ca="1" si="455"/>
        <v>-218950.02739201451</v>
      </c>
      <c r="BT115" s="3" t="str">
        <f t="shared" ca="1" si="492"/>
        <v/>
      </c>
      <c r="BU115" s="3">
        <f t="shared" ca="1" si="456"/>
        <v>-907294.12333179091</v>
      </c>
      <c r="BV115" s="3" t="str">
        <f t="shared" ca="1" si="492"/>
        <v/>
      </c>
      <c r="BX115" s="3" t="e">
        <f t="shared" ca="1" si="457"/>
        <v>#NUM!</v>
      </c>
      <c r="BY115" s="3" t="e">
        <f t="shared" ca="1" si="507"/>
        <v>#NUM!</v>
      </c>
      <c r="BZ115" s="3">
        <f t="shared" ca="1" si="458"/>
        <v>-4648.8040217812631</v>
      </c>
      <c r="CA115" s="3" t="str">
        <f t="shared" ca="1" si="507"/>
        <v/>
      </c>
      <c r="CB115" s="3">
        <f t="shared" ca="1" si="459"/>
        <v>0</v>
      </c>
      <c r="CC115" s="3" t="str">
        <f t="shared" ca="1" si="507"/>
        <v/>
      </c>
      <c r="CD115" s="3">
        <f>IF(RTD("tos.rtd",,CD$83,"."&amp;$B$82&amp;$AS$82&amp;"C"&amp;$A115)="N/A",0,RTD("tos.rtd",,CD$83,"."&amp;$B$82&amp;$AS$82&amp;"C"&amp;$A115))</f>
        <v>1</v>
      </c>
      <c r="CE115" s="3">
        <f>-IF(RTD("tos.rtd",,CE$83,"."&amp;$B$82&amp;$AS$82&amp;"P"&amp;$A115)="N/A",0,RTD("tos.rtd",,CE$83,"."&amp;$B$82&amp;$AS$82&amp;"P"&amp;$A115))</f>
        <v>0</v>
      </c>
      <c r="CF115" s="3">
        <f>IF(RTD("tos.rtd",,CF$83,"."&amp;$C$82&amp;$AU$82&amp;"C"&amp;$A115)="N/A",0,RTD("tos.rtd",,CF$83,"."&amp;$C$82&amp;$AU$82&amp;"C"&amp;$A115))</f>
        <v>0.65</v>
      </c>
      <c r="CG115" s="3">
        <f>-IF(RTD("tos.rtd",,CG$83,"."&amp;$C$82&amp;$AU$82&amp;"P"&amp;$A115)="N/A",0,RTD("tos.rtd",,CG$83,"."&amp;$C$82&amp;$AU$82&amp;"P"&amp;$A115))</f>
        <v>0.22</v>
      </c>
      <c r="CH115" s="3">
        <f>IF(RTD("tos.rtd",,CH$83,"."&amp;$D$82&amp;$AW$82&amp;"C"&amp;$A115)="N/A",0,RTD("tos.rtd",,CH$83,"."&amp;$D$82&amp;$AW$82&amp;"C"&amp;$A115))</f>
        <v>0.62</v>
      </c>
      <c r="CI115" s="3">
        <f>-IF(RTD("tos.rtd",,CI$83,"."&amp;$D$82&amp;$AW$82&amp;"P"&amp;$A115)="N/A",0,RTD("tos.rtd",,CI$83,"."&amp;$D$82&amp;$AW$82&amp;"P"&amp;$A115))</f>
        <v>0.34</v>
      </c>
      <c r="CK115" s="3">
        <f t="shared" si="493"/>
        <v>17400</v>
      </c>
      <c r="CL115" s="3"/>
      <c r="CM115" s="3">
        <f t="shared" si="494"/>
        <v>1674.9999999999991</v>
      </c>
      <c r="CN115" s="3"/>
      <c r="CO115" s="3">
        <f t="shared" si="495"/>
        <v>-30826</v>
      </c>
      <c r="CP115" s="3">
        <f t="shared" si="460"/>
        <v>-11751</v>
      </c>
      <c r="CQ115" s="3">
        <f t="shared" si="461"/>
        <v>0</v>
      </c>
      <c r="CR115" s="3"/>
      <c r="CS115" s="3">
        <f t="shared" si="462"/>
        <v>-6</v>
      </c>
      <c r="CT115" s="3"/>
      <c r="CU115" s="3">
        <f t="shared" si="463"/>
        <v>0</v>
      </c>
      <c r="CV115" s="3"/>
      <c r="CW115" s="3" t="e">
        <f t="shared" ca="1" si="524"/>
        <v>#NUM!</v>
      </c>
      <c r="CY115" s="3" t="e">
        <f t="shared" ca="1" si="465"/>
        <v>#NUM!</v>
      </c>
      <c r="CZ115" s="70" t="e">
        <f t="shared" ca="1" si="508"/>
        <v>#NUM!</v>
      </c>
      <c r="DA115" s="3">
        <f>IF(RTD("tos.rtd",,DA$83,"."&amp;$B$82&amp;$AS$82&amp;"C"&amp;$A115)="N/A",0,RTD("tos.rtd",,DA$83,"."&amp;$B$82&amp;$AS$82&amp;"C"&amp;$A115))</f>
        <v>62.51</v>
      </c>
      <c r="DB115" s="3">
        <f>IF(RTD("tos.rtd",,DB$83,"."&amp;$B$82&amp;$AS$82&amp;"P"&amp;$A115)="N/A",0,RTD("tos.rtd",,DB$83,"."&amp;$B$82&amp;$AS$82&amp;"P"&amp;$A115))</f>
        <v>0.03</v>
      </c>
      <c r="DC115" s="3">
        <f>IF(RTD("tos.rtd",,DC$83,"."&amp;$B$82&amp;$AS$82&amp;"C"&amp;$A115)="N/A",0,RTD("tos.rtd",,DC$83,"."&amp;$B$82&amp;$AS$82&amp;"C"&amp;$A115))</f>
        <v>61.7</v>
      </c>
      <c r="DD115" s="3">
        <f>IF(RTD("tos.rtd",,DD$83,"."&amp;$B$82&amp;$AS$82&amp;"P"&amp;$A115)="N/A",0,RTD("tos.rtd",,DD$83,"."&amp;$B$82&amp;$AS$82&amp;"P"&amp;$A115))</f>
        <v>0.05</v>
      </c>
      <c r="DE115" s="3">
        <f>IF(RTD("tos.rtd",,DE$83,"."&amp;$B$82&amp;$AS$82&amp;"C"&amp;$A115)="N/A",0,RTD("tos.rtd",,DE$83,"."&amp;$B$82&amp;$AS$82&amp;"C"&amp;$A115))</f>
        <v>58.5</v>
      </c>
      <c r="DF115" s="3">
        <f>IF(RTD("tos.rtd",,DF$83,"."&amp;$B$82&amp;$AS$82&amp;"P"&amp;$A115)="N/A",0,RTD("tos.rtd",,DF$83,"."&amp;$B$82&amp;$AS$82&amp;"P"&amp;$A115))</f>
        <v>0</v>
      </c>
      <c r="DG115" s="86">
        <f t="shared" si="497"/>
        <v>-61.279999999999745</v>
      </c>
      <c r="DH115" s="3">
        <f t="shared" si="466"/>
        <v>-2595.2218749999965</v>
      </c>
      <c r="DI115" s="3">
        <f t="shared" si="467"/>
        <v>19054.2</v>
      </c>
      <c r="DJ115" s="3">
        <f t="shared" si="468"/>
        <v>-2071</v>
      </c>
      <c r="DK115" s="3">
        <f t="shared" si="469"/>
        <v>31757</v>
      </c>
      <c r="DL115" s="3">
        <f t="shared" si="470"/>
        <v>16458.978125000005</v>
      </c>
      <c r="DM115" s="3">
        <f t="shared" si="471"/>
        <v>29686</v>
      </c>
      <c r="DN115" s="64" t="str">
        <f t="shared" si="472"/>
        <v>UNKNOWN</v>
      </c>
      <c r="DO115" s="64" t="str">
        <f t="shared" si="473"/>
        <v>UNKNOWN</v>
      </c>
      <c r="DP115" s="3">
        <f t="shared" si="474"/>
        <v>-161655.6934062498</v>
      </c>
      <c r="DQ115" s="3">
        <f t="shared" si="475"/>
        <v>-128505.49999999999</v>
      </c>
      <c r="DR115" s="3" t="e">
        <f t="shared" ca="1" si="476"/>
        <v>#NUM!</v>
      </c>
      <c r="DS115" s="3">
        <f t="shared" si="477"/>
        <v>-2071</v>
      </c>
      <c r="DT115" s="3">
        <f t="shared" si="498"/>
        <v>-2071</v>
      </c>
      <c r="DU115" s="3">
        <f t="shared" si="499"/>
        <v>31757</v>
      </c>
      <c r="DV115" s="3">
        <f t="shared" si="500"/>
        <v>-416</v>
      </c>
      <c r="DW115" s="3">
        <f t="shared" si="501"/>
        <v>-3057</v>
      </c>
      <c r="DX115" s="3" t="e">
        <f t="shared" ca="1" si="509"/>
        <v>#NUM!</v>
      </c>
      <c r="DY115" s="3" t="e">
        <f t="shared" ca="1" si="478"/>
        <v>#NUM!</v>
      </c>
      <c r="DZ115" s="3">
        <f t="shared" ca="1" si="502"/>
        <v>1.892298063857611E-3</v>
      </c>
      <c r="EA115" s="3">
        <f t="shared" ca="1" si="503"/>
        <v>-3.2688849758692731E-3</v>
      </c>
      <c r="EB115" s="3">
        <f t="shared" ca="1" si="479"/>
        <v>2.74669038760421E-3</v>
      </c>
      <c r="EC115" s="3">
        <f t="shared" ca="1" si="480"/>
        <v>-3.3915774970908392E-3</v>
      </c>
      <c r="ED115" s="63">
        <f t="shared" si="504"/>
        <v>-3473</v>
      </c>
      <c r="EE115" s="59">
        <f t="shared" si="481"/>
        <v>0.25</v>
      </c>
      <c r="EF115" s="59">
        <f t="shared" si="482"/>
        <v>0.53900000000000003</v>
      </c>
      <c r="EG115" s="59">
        <f t="shared" si="483"/>
        <v>0.43359999999999999</v>
      </c>
      <c r="EH115" s="59">
        <f t="shared" si="484"/>
        <v>0.21529999999999999</v>
      </c>
      <c r="EI115" s="59">
        <f t="shared" si="485"/>
        <v>0.27800000000000002</v>
      </c>
      <c r="EJ115" s="59">
        <f t="shared" si="486"/>
        <v>0.20169999999999999</v>
      </c>
      <c r="EL115" s="3" t="str">
        <f>RTD("tos.rtd",,EL$83,"."&amp;$B$82&amp;$AS$82&amp;"C"&amp;$A115)</f>
        <v>--</v>
      </c>
      <c r="EM115" s="3" t="str">
        <f>RTD("tos.rtd",,EM$83,"."&amp;$B$82&amp;$AS$82&amp;"P"&amp;$A115)</f>
        <v>53.90%</v>
      </c>
      <c r="EN115" s="3" t="str">
        <f>RTD("tos.rtd",,EN$83,"."&amp;$C$82&amp;$AU$82&amp;"C"&amp;$A115)</f>
        <v>43.36%</v>
      </c>
      <c r="EO115" s="3" t="str">
        <f>RTD("tos.rtd",,EO$83,"."&amp;$C$82&amp;$AU$82&amp;"P"&amp;$A115)</f>
        <v>21.53%</v>
      </c>
      <c r="EP115" s="3" t="str">
        <f>RTD("tos.rtd",,EP$83,"."&amp;$D$82&amp;$AW$82&amp;"C"&amp;$A115)</f>
        <v>27.80%</v>
      </c>
      <c r="EQ115" s="3" t="str">
        <f>RTD("tos.rtd",,EQ$83,"."&amp;$D$82&amp;$AW$82&amp;"P"&amp;$A115)</f>
        <v>20.17%</v>
      </c>
      <c r="ES115" s="63" t="str">
        <f t="shared" si="487"/>
        <v>5570,-3473.00</v>
      </c>
      <c r="ET115" s="64" t="str">
        <f t="shared" ca="1" si="488"/>
        <v>5570,00.00</v>
      </c>
      <c r="EU115" s="67">
        <v>562.1</v>
      </c>
      <c r="EV115" s="67" t="s">
        <v>940</v>
      </c>
      <c r="EW115" s="67">
        <v>484.41</v>
      </c>
      <c r="EX115" s="67" t="s">
        <v>941</v>
      </c>
      <c r="EY115" s="67">
        <v>5634.5</v>
      </c>
      <c r="EZ115" s="67" t="s">
        <v>942</v>
      </c>
      <c r="FA115" s="67">
        <v>19898</v>
      </c>
      <c r="FB115" s="67" t="s">
        <v>943</v>
      </c>
      <c r="FC115" s="67" t="s">
        <v>944</v>
      </c>
      <c r="FD115" s="67" t="s">
        <v>945</v>
      </c>
      <c r="FE115" s="68" t="s">
        <v>946</v>
      </c>
      <c r="FF115" s="68" t="s">
        <v>947</v>
      </c>
    </row>
    <row r="116" spans="1:162" s="63" customFormat="1" ht="12" customHeight="1" thickBot="1" x14ac:dyDescent="0.25">
      <c r="A116" s="2">
        <f t="shared" si="505"/>
        <v>5560</v>
      </c>
      <c r="B116" s="3">
        <f t="shared" si="449"/>
        <v>1399</v>
      </c>
      <c r="C116" s="3">
        <f t="shared" si="450"/>
        <v>516</v>
      </c>
      <c r="D116" s="3">
        <f t="shared" si="451"/>
        <v>609</v>
      </c>
      <c r="E116" s="3">
        <f t="shared" si="520"/>
        <v>2524</v>
      </c>
      <c r="F116" s="4">
        <f t="shared" si="521"/>
        <v>5608.1033086616189</v>
      </c>
      <c r="G116" s="4">
        <f t="shared" si="522"/>
        <v>557.1867852424316</v>
      </c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  <c r="AM116" s="20">
        <v>-111</v>
      </c>
      <c r="AN116" s="20">
        <v>-1198</v>
      </c>
      <c r="AO116" s="20">
        <v>5560</v>
      </c>
      <c r="AP116" s="20">
        <v>925</v>
      </c>
      <c r="AQ116" s="20">
        <v>-23758</v>
      </c>
      <c r="AR116" s="20"/>
      <c r="AS116" s="54">
        <f>IF(RTD("tos.rtd",,AS$83,"."&amp;$B$82&amp;$AS$82&amp;"C"&amp;$A116)="N/A",0,RTD("tos.rtd",,AS$83,"."&amp;$B$82&amp;$AS$82&amp;"C"&amp;$A116))</f>
        <v>496</v>
      </c>
      <c r="AT116" s="3">
        <f>-IF(RTD("tos.rtd",,AT$83,"."&amp;$B$82&amp;$AS$82&amp;"P"&amp;$A116)="N/A",0,RTD("tos.rtd",,AT$83,"."&amp;$B$82&amp;$AS$82&amp;"P"&amp;$A116))</f>
        <v>-903</v>
      </c>
      <c r="AU116" s="54">
        <f>IF(RTD("tos.rtd",,AU$83,"."&amp;$C$82&amp;$AU$82&amp;"C"&amp;$A116)="N/A",0,RTD("tos.rtd",,AU$83,"."&amp;$C$82&amp;$AU$82&amp;"C"&amp;$A116))</f>
        <v>255</v>
      </c>
      <c r="AV116" s="3">
        <f>-IF(RTD("tos.rtd",,AV$83,"."&amp;$C$82&amp;$AU$82&amp;"P"&amp;$A116)="N/A",0,RTD("tos.rtd",,AV$83,"."&amp;$C$82&amp;$AU$82&amp;"P"&amp;$A116))</f>
        <v>-261</v>
      </c>
      <c r="AW116" s="54">
        <f>IF(RTD("tos.rtd",,AW$83,"."&amp;$D$82&amp;$AW$82&amp;"C"&amp;$A116)="N/A",0,RTD("tos.rtd",,AW$83,"."&amp;$D$82&amp;$AW$82&amp;"C"&amp;$A116))</f>
        <v>212</v>
      </c>
      <c r="AX116" s="3">
        <f>-IF(RTD("tos.rtd",,AX$83,"."&amp;$D$82&amp;$AW$82&amp;"P"&amp;$A116)="N/A",0,RTD("tos.rtd",,AX$83,"."&amp;$D$82&amp;$AW$82&amp;"P"&amp;$A116))</f>
        <v>-397</v>
      </c>
      <c r="AY116" s="79">
        <f t="shared" si="523"/>
        <v>-598</v>
      </c>
      <c r="AZ116" s="8">
        <f t="shared" si="453"/>
        <v>5560</v>
      </c>
      <c r="BA116" s="54">
        <f>IF(RTD("tos.rtd",,BA$83,"."&amp;$B$82&amp;$AS$82&amp;"C"&amp;$A116)="N/A",0,RTD("tos.rtd",,BA$83,"."&amp;$B$82&amp;$AS$82&amp;"C"&amp;$A116))</f>
        <v>0</v>
      </c>
      <c r="BB116" s="3">
        <f>-IF(RTD("tos.rtd",,BB$83,"."&amp;$B$82&amp;$AS$82&amp;"P"&amp;$A116)="N/A",0,RTD("tos.rtd",,BB$83,"."&amp;$B$82&amp;$AS$82&amp;"P"&amp;$A116))</f>
        <v>0</v>
      </c>
      <c r="BC116" s="54">
        <f>IF(RTD("tos.rtd",,BC$83,"."&amp;$C$82&amp;$AU$82&amp;"C"&amp;$A116)="N/A",0,RTD("tos.rtd",,BC$83,"."&amp;$C$82&amp;$AU$82&amp;"C"&amp;$A116))</f>
        <v>0</v>
      </c>
      <c r="BD116" s="3">
        <f>-IF(RTD("tos.rtd",,BD$83,"."&amp;$C$82&amp;$AU$82&amp;"P"&amp;$A116)="N/A",0,RTD("tos.rtd",,BD$83,"."&amp;$C$82&amp;$AU$82&amp;"P"&amp;$A116))</f>
        <v>-2</v>
      </c>
      <c r="BE116" s="54">
        <f>IF(RTD("tos.rtd",,BE$83,"."&amp;$D$82&amp;$AW$82&amp;"C"&amp;$A116)="N/A",0,RTD("tos.rtd",,BE$83,"."&amp;$D$82&amp;$AW$82&amp;"C"&amp;$A116))</f>
        <v>0</v>
      </c>
      <c r="BF116" s="3">
        <f>-IF(RTD("tos.rtd",,BF$83,"."&amp;$D$82&amp;$AW$82&amp;"P"&amp;$A116)="N/A",0,RTD("tos.rtd",,BF$83,"."&amp;$D$82&amp;$AW$82&amp;"P"&amp;$A116))</f>
        <v>0</v>
      </c>
      <c r="BG116" s="3">
        <f ca="1">+Hoja2!Y117</f>
        <v>0</v>
      </c>
      <c r="BH116" s="55">
        <f t="shared" ca="1" si="491"/>
        <v>-2</v>
      </c>
      <c r="BI116" s="32" t="str">
        <f t="shared" ca="1" si="510"/>
        <v/>
      </c>
      <c r="BJ116" s="3" t="e">
        <f ca="1">IF($BP$1=1,DX116,IF(RTD("tos.rtd",,BJ$83,"."&amp;$B$82&amp;$AS$82&amp;"C"&amp;$A116)="N/A",0,RTD("tos.rtd",,BJ$83,"."&amp;$B$82&amp;$AS$82&amp;"C"&amp;$A116)))</f>
        <v>#NUM!</v>
      </c>
      <c r="BK116" s="3" t="e">
        <f ca="1">IF($BP$1=1,DY116,-IF(RTD("tos.rtd",,BK$83,"."&amp;$B$82&amp;$AS$82&amp;"P"&amp;$A116)="N/A",0,RTD("tos.rtd",,BK$83,"."&amp;$B$82&amp;$AS$82&amp;"P"&amp;$A116)))</f>
        <v>#NUM!</v>
      </c>
      <c r="BL116" s="3">
        <f ca="1">IF($BP$1=1,DZ116,IF(RTD("tos.rtd",,BL$83,"."&amp;$C$82&amp;$AU$82&amp;"C"&amp;$A116)="N/A",0,RTD("tos.rtd",,BL$83,"."&amp;$C$82&amp;$AU$82&amp;"C"&amp;$A116)))</f>
        <v>1.8259091567829819E-3</v>
      </c>
      <c r="BM116" s="3">
        <f ca="1">IF($BP$1=1,EA116,-IF(RTD("tos.rtd",,BM$83,"."&amp;$C$82&amp;$AU$82&amp;"P"&amp;$A116)="N/A",0,RTD("tos.rtd",,BM$83,"."&amp;$C$82&amp;$AU$82&amp;"P"&amp;$A116)))</f>
        <v>-3.0068397269790745E-3</v>
      </c>
      <c r="BN116" s="3">
        <f ca="1">IF($BP$1=1,EB116,IF(RTD("tos.rtd",,BN$83,"."&amp;$D$82&amp;$AW$82&amp;"C"&amp;$A116)="N/A",0,RTD("tos.rtd",,BN$83,"."&amp;$D$82&amp;$AW$82&amp;"C"&amp;$A116)))</f>
        <v>2.6009417136334434E-3</v>
      </c>
      <c r="BO116" s="3">
        <f ca="1">IF($BP$1=1,EC116,-IF(RTD("tos.rtd",,BO$83,"."&amp;$D$82&amp;$AW$82&amp;"P"&amp;$A116)="N/A",0,RTD("tos.rtd",,BO$83,"."&amp;$D$82&amp;$AW$82&amp;"P"&amp;$A116)))</f>
        <v>-3.108719195333677E-3</v>
      </c>
      <c r="BQ116" s="3" t="e">
        <f t="shared" ca="1" si="454"/>
        <v>#NUM!</v>
      </c>
      <c r="BR116" s="3" t="e">
        <f t="shared" ca="1" si="492"/>
        <v>#NUM!</v>
      </c>
      <c r="BS116" s="3">
        <f t="shared" ca="1" si="455"/>
        <v>-75652.581466920747</v>
      </c>
      <c r="BT116" s="3" t="str">
        <f t="shared" ca="1" si="492"/>
        <v/>
      </c>
      <c r="BU116" s="3">
        <f t="shared" ca="1" si="456"/>
        <v>-161830.21551908302</v>
      </c>
      <c r="BV116" s="3" t="str">
        <f t="shared" ca="1" si="492"/>
        <v/>
      </c>
      <c r="BX116" s="3" t="e">
        <f t="shared" ca="1" si="457"/>
        <v>#NUM!</v>
      </c>
      <c r="BY116" s="3" t="e">
        <f t="shared" ca="1" si="507"/>
        <v>#NUM!</v>
      </c>
      <c r="BZ116" s="3">
        <f t="shared" ca="1" si="458"/>
        <v>-1425.3798791553647</v>
      </c>
      <c r="CA116" s="3" t="str">
        <f t="shared" ca="1" si="507"/>
        <v/>
      </c>
      <c r="CB116" s="3">
        <f t="shared" ca="1" si="459"/>
        <v>0</v>
      </c>
      <c r="CC116" s="3" t="str">
        <f t="shared" ca="1" si="507"/>
        <v/>
      </c>
      <c r="CD116" s="3">
        <f>IF(RTD("tos.rtd",,CD$83,"."&amp;$B$82&amp;$AS$82&amp;"C"&amp;$A116)="N/A",0,RTD("tos.rtd",,CD$83,"."&amp;$B$82&amp;$AS$82&amp;"C"&amp;$A116))</f>
        <v>1</v>
      </c>
      <c r="CE116" s="3">
        <f>-IF(RTD("tos.rtd",,CE$83,"."&amp;$B$82&amp;$AS$82&amp;"P"&amp;$A116)="N/A",0,RTD("tos.rtd",,CE$83,"."&amp;$B$82&amp;$AS$82&amp;"P"&amp;$A116))</f>
        <v>0</v>
      </c>
      <c r="CF116" s="3">
        <f>IF(RTD("tos.rtd",,CF$83,"."&amp;$C$82&amp;$AU$82&amp;"C"&amp;$A116)="N/A",0,RTD("tos.rtd",,CF$83,"."&amp;$C$82&amp;$AU$82&amp;"C"&amp;$A116))</f>
        <v>0.67</v>
      </c>
      <c r="CG116" s="3">
        <f>-IF(RTD("tos.rtd",,CG$83,"."&amp;$C$82&amp;$AU$82&amp;"P"&amp;$A116)="N/A",0,RTD("tos.rtd",,CG$83,"."&amp;$C$82&amp;$AU$82&amp;"P"&amp;$A116))</f>
        <v>0.19</v>
      </c>
      <c r="CH116" s="3">
        <f>IF(RTD("tos.rtd",,CH$83,"."&amp;$D$82&amp;$AW$82&amp;"C"&amp;$A116)="N/A",0,RTD("tos.rtd",,CH$83,"."&amp;$D$82&amp;$AW$82&amp;"C"&amp;$A116))</f>
        <v>0.63</v>
      </c>
      <c r="CI116" s="3">
        <f>-IF(RTD("tos.rtd",,CI$83,"."&amp;$D$82&amp;$AW$82&amp;"P"&amp;$A116)="N/A",0,RTD("tos.rtd",,CI$83,"."&amp;$D$82&amp;$AW$82&amp;"P"&amp;$A116))</f>
        <v>0.33</v>
      </c>
      <c r="CK116" s="3">
        <f t="shared" si="493"/>
        <v>49600</v>
      </c>
      <c r="CL116" s="3"/>
      <c r="CM116" s="3">
        <f t="shared" si="494"/>
        <v>12126.000000000004</v>
      </c>
      <c r="CN116" s="3"/>
      <c r="CO116" s="3">
        <f t="shared" si="495"/>
        <v>254.99999999999818</v>
      </c>
      <c r="CP116" s="3">
        <f t="shared" si="460"/>
        <v>61981</v>
      </c>
      <c r="CQ116" s="3">
        <f t="shared" si="461"/>
        <v>0</v>
      </c>
      <c r="CR116" s="3"/>
      <c r="CS116" s="3">
        <f t="shared" si="462"/>
        <v>-2</v>
      </c>
      <c r="CT116" s="3"/>
      <c r="CU116" s="3">
        <f t="shared" si="463"/>
        <v>0</v>
      </c>
      <c r="CV116" s="3"/>
      <c r="CW116" s="3" t="e">
        <f t="shared" ca="1" si="524"/>
        <v>#NUM!</v>
      </c>
      <c r="CY116" s="3" t="e">
        <f t="shared" ca="1" si="465"/>
        <v>#NUM!</v>
      </c>
      <c r="CZ116" s="70" t="e">
        <f t="shared" ca="1" si="508"/>
        <v>#NUM!</v>
      </c>
      <c r="DA116" s="3">
        <f>IF(RTD("tos.rtd",,DA$83,"."&amp;$B$82&amp;$AS$82&amp;"C"&amp;$A116)="N/A",0,RTD("tos.rtd",,DA$83,"."&amp;$B$82&amp;$AS$82&amp;"C"&amp;$A116))</f>
        <v>71.03</v>
      </c>
      <c r="DB116" s="3">
        <f>IF(RTD("tos.rtd",,DB$83,"."&amp;$B$82&amp;$AS$82&amp;"P"&amp;$A116)="N/A",0,RTD("tos.rtd",,DB$83,"."&amp;$B$82&amp;$AS$82&amp;"P"&amp;$A116))</f>
        <v>0.05</v>
      </c>
      <c r="DC116" s="3">
        <f>IF(RTD("tos.rtd",,DC$83,"."&amp;$B$82&amp;$AS$82&amp;"C"&amp;$A116)="N/A",0,RTD("tos.rtd",,DC$83,"."&amp;$B$82&amp;$AS$82&amp;"C"&amp;$A116))</f>
        <v>71.7</v>
      </c>
      <c r="DD116" s="3">
        <f>IF(RTD("tos.rtd",,DD$83,"."&amp;$B$82&amp;$AS$82&amp;"P"&amp;$A116)="N/A",0,RTD("tos.rtd",,DD$83,"."&amp;$B$82&amp;$AS$82&amp;"P"&amp;$A116))</f>
        <v>0.05</v>
      </c>
      <c r="DE116" s="3">
        <f>IF(RTD("tos.rtd",,DE$83,"."&amp;$B$82&amp;$AS$82&amp;"C"&amp;$A116)="N/A",0,RTD("tos.rtd",,DE$83,"."&amp;$B$82&amp;$AS$82&amp;"C"&amp;$A116))</f>
        <v>68.5</v>
      </c>
      <c r="DF116" s="3">
        <f>IF(RTD("tos.rtd",,DF$83,"."&amp;$B$82&amp;$AS$82&amp;"P"&amp;$A116)="N/A",0,RTD("tos.rtd",,DF$83,"."&amp;$B$82&amp;$AS$82&amp;"P"&amp;$A116))</f>
        <v>0</v>
      </c>
      <c r="DG116" s="86">
        <f t="shared" si="497"/>
        <v>-71.279999999999745</v>
      </c>
      <c r="DH116" s="3">
        <f t="shared" si="466"/>
        <v>-731.32812499999966</v>
      </c>
      <c r="DI116" s="3">
        <f t="shared" si="467"/>
        <v>23758</v>
      </c>
      <c r="DJ116" s="3">
        <f t="shared" si="468"/>
        <v>-925</v>
      </c>
      <c r="DK116" s="3">
        <f t="shared" si="469"/>
        <v>23758</v>
      </c>
      <c r="DL116" s="3">
        <f t="shared" si="470"/>
        <v>23026.671875</v>
      </c>
      <c r="DM116" s="3">
        <f t="shared" si="471"/>
        <v>22833</v>
      </c>
      <c r="DN116" s="64" t="str">
        <f t="shared" si="472"/>
        <v>UNKNOWN</v>
      </c>
      <c r="DO116" s="64" t="str">
        <f t="shared" si="473"/>
        <v>UNKNOWN</v>
      </c>
      <c r="DP116" s="3">
        <f t="shared" si="474"/>
        <v>-50758.336718749975</v>
      </c>
      <c r="DQ116" s="3">
        <f t="shared" si="475"/>
        <v>-64514.85</v>
      </c>
      <c r="DR116" s="3" t="e">
        <f t="shared" ca="1" si="476"/>
        <v>#NUM!</v>
      </c>
      <c r="DS116" s="3">
        <f t="shared" si="477"/>
        <v>-925</v>
      </c>
      <c r="DT116" s="3">
        <f t="shared" si="498"/>
        <v>-925</v>
      </c>
      <c r="DU116" s="3">
        <f t="shared" si="499"/>
        <v>23758</v>
      </c>
      <c r="DV116" s="3">
        <f t="shared" si="500"/>
        <v>-111</v>
      </c>
      <c r="DW116" s="3">
        <f t="shared" si="501"/>
        <v>-1198</v>
      </c>
      <c r="DX116" s="3" t="e">
        <f t="shared" ca="1" si="509"/>
        <v>#NUM!</v>
      </c>
      <c r="DY116" s="3" t="e">
        <f t="shared" ca="1" si="478"/>
        <v>#NUM!</v>
      </c>
      <c r="DZ116" s="3">
        <f t="shared" ca="1" si="502"/>
        <v>1.8259091567829819E-3</v>
      </c>
      <c r="EA116" s="3">
        <f t="shared" ca="1" si="503"/>
        <v>-3.0068397269790745E-3</v>
      </c>
      <c r="EB116" s="3">
        <f t="shared" ca="1" si="479"/>
        <v>2.6009417136334434E-3</v>
      </c>
      <c r="EC116" s="3">
        <f t="shared" ca="1" si="480"/>
        <v>-3.108719195333677E-3</v>
      </c>
      <c r="ED116" s="63">
        <f t="shared" si="504"/>
        <v>-1309</v>
      </c>
      <c r="EE116" s="59">
        <f t="shared" si="481"/>
        <v>0.25</v>
      </c>
      <c r="EF116" s="59">
        <f t="shared" si="482"/>
        <v>0.61819999999999997</v>
      </c>
      <c r="EG116" s="59">
        <f t="shared" si="483"/>
        <v>0.44240000000000002</v>
      </c>
      <c r="EH116" s="59">
        <f t="shared" si="484"/>
        <v>0.221</v>
      </c>
      <c r="EI116" s="59">
        <f t="shared" si="485"/>
        <v>0.28270000000000001</v>
      </c>
      <c r="EJ116" s="59">
        <f t="shared" si="486"/>
        <v>0.20480000000000001</v>
      </c>
      <c r="EL116" s="3" t="str">
        <f>RTD("tos.rtd",,EL$83,"."&amp;$B$82&amp;$AS$82&amp;"C"&amp;$A116)</f>
        <v>--</v>
      </c>
      <c r="EM116" s="3" t="str">
        <f>RTD("tos.rtd",,EM$83,"."&amp;$B$82&amp;$AS$82&amp;"P"&amp;$A116)</f>
        <v>61.82%</v>
      </c>
      <c r="EN116" s="3" t="str">
        <f>RTD("tos.rtd",,EN$83,"."&amp;$C$82&amp;$AU$82&amp;"C"&amp;$A116)</f>
        <v>44.24%</v>
      </c>
      <c r="EO116" s="3" t="str">
        <f>RTD("tos.rtd",,EO$83,"."&amp;$C$82&amp;$AU$82&amp;"P"&amp;$A116)</f>
        <v>22.10%</v>
      </c>
      <c r="EP116" s="3" t="str">
        <f>RTD("tos.rtd",,EP$83,"."&amp;$D$82&amp;$AW$82&amp;"C"&amp;$A116)</f>
        <v>28.27%</v>
      </c>
      <c r="EQ116" s="3" t="str">
        <f>RTD("tos.rtd",,EQ$83,"."&amp;$D$82&amp;$AW$82&amp;"P"&amp;$A116)</f>
        <v>20.48%</v>
      </c>
      <c r="ES116" s="63" t="str">
        <f t="shared" si="487"/>
        <v>5560,-1309.00</v>
      </c>
      <c r="ET116" s="64" t="str">
        <f t="shared" ca="1" si="488"/>
        <v>5560,00.00</v>
      </c>
      <c r="EU116" s="67">
        <v>562.1</v>
      </c>
      <c r="EV116" s="67" t="s">
        <v>948</v>
      </c>
      <c r="EW116" s="67">
        <v>484.4</v>
      </c>
      <c r="EX116" s="67" t="s">
        <v>949</v>
      </c>
      <c r="EY116" s="67">
        <v>5634.25</v>
      </c>
      <c r="EZ116" s="67" t="s">
        <v>950</v>
      </c>
      <c r="FA116" s="67">
        <v>19896.25</v>
      </c>
      <c r="FB116" s="67" t="s">
        <v>951</v>
      </c>
      <c r="FC116" s="67" t="s">
        <v>952</v>
      </c>
      <c r="FD116" s="67" t="s">
        <v>953</v>
      </c>
      <c r="FE116" s="68" t="s">
        <v>954</v>
      </c>
      <c r="FF116" s="68" t="s">
        <v>955</v>
      </c>
    </row>
    <row r="117" spans="1:162" s="63" customFormat="1" ht="12" customHeight="1" thickBot="1" x14ac:dyDescent="0.25">
      <c r="A117" s="2">
        <f t="shared" si="505"/>
        <v>5550</v>
      </c>
      <c r="B117" s="3">
        <f t="shared" si="449"/>
        <v>4664</v>
      </c>
      <c r="C117" s="3">
        <f t="shared" si="450"/>
        <v>2708</v>
      </c>
      <c r="D117" s="3">
        <f t="shared" si="451"/>
        <v>1220</v>
      </c>
      <c r="E117" s="3">
        <f t="shared" ref="E117:E121" si="525">SUM(B117:D117)</f>
        <v>8592</v>
      </c>
      <c r="F117" s="4">
        <f t="shared" ref="F117:F121" si="526">+$F$84/$A$84*A117</f>
        <v>5598.0167919194218</v>
      </c>
      <c r="G117" s="4">
        <f t="shared" ref="G117:G121" si="527">+$G$84/$A$84*A117</f>
        <v>556.18465073659991</v>
      </c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20"/>
      <c r="AM117" s="20">
        <v>-478</v>
      </c>
      <c r="AN117" s="20">
        <v>-5325</v>
      </c>
      <c r="AO117" s="20">
        <v>5550</v>
      </c>
      <c r="AP117" s="20">
        <v>1290</v>
      </c>
      <c r="AQ117" s="20">
        <v>-43132</v>
      </c>
      <c r="AR117" s="20"/>
      <c r="AS117" s="54">
        <f>IF(RTD("tos.rtd",,AS$83,"."&amp;$B$82&amp;$AS$82&amp;"C"&amp;$A117)="N/A",0,RTD("tos.rtd",,AS$83,"."&amp;$B$82&amp;$AS$82&amp;"C"&amp;$A117))</f>
        <v>1088</v>
      </c>
      <c r="AT117" s="3">
        <f>-IF(RTD("tos.rtd",,AT$83,"."&amp;$B$82&amp;$AS$82&amp;"P"&amp;$A117)="N/A",0,RTD("tos.rtd",,AT$83,"."&amp;$B$82&amp;$AS$82&amp;"P"&amp;$A117))</f>
        <v>-3576</v>
      </c>
      <c r="AU117" s="54">
        <f>IF(RTD("tos.rtd",,AU$83,"."&amp;$C$82&amp;$AU$82&amp;"C"&amp;$A117)="N/A",0,RTD("tos.rtd",,AU$83,"."&amp;$C$82&amp;$AU$82&amp;"C"&amp;$A117))</f>
        <v>844</v>
      </c>
      <c r="AV117" s="3">
        <f>-IF(RTD("tos.rtd",,AV$83,"."&amp;$C$82&amp;$AU$82&amp;"P"&amp;$A117)="N/A",0,RTD("tos.rtd",,AV$83,"."&amp;$C$82&amp;$AU$82&amp;"P"&amp;$A117))</f>
        <v>-1864</v>
      </c>
      <c r="AW117" s="54">
        <f>IF(RTD("tos.rtd",,AW$83,"."&amp;$D$82&amp;$AW$82&amp;"C"&amp;$A117)="N/A",0,RTD("tos.rtd",,AW$83,"."&amp;$D$82&amp;$AW$82&amp;"C"&amp;$A117))</f>
        <v>756</v>
      </c>
      <c r="AX117" s="3">
        <f>-IF(RTD("tos.rtd",,AX$83,"."&amp;$D$82&amp;$AW$82&amp;"P"&amp;$A117)="N/A",0,RTD("tos.rtd",,AX$83,"."&amp;$D$82&amp;$AW$82&amp;"P"&amp;$A117))</f>
        <v>-464</v>
      </c>
      <c r="AY117" s="79">
        <f t="shared" ref="AY117:AY121" si="528">SUM(AS117:AX117)</f>
        <v>-3216</v>
      </c>
      <c r="AZ117" s="8">
        <f t="shared" si="453"/>
        <v>5550</v>
      </c>
      <c r="BA117" s="54">
        <f>IF(RTD("tos.rtd",,BA$83,"."&amp;$B$82&amp;$AS$82&amp;"C"&amp;$A117)="N/A",0,RTD("tos.rtd",,BA$83,"."&amp;$B$82&amp;$AS$82&amp;"C"&amp;$A117))</f>
        <v>0</v>
      </c>
      <c r="BB117" s="3">
        <f>-IF(RTD("tos.rtd",,BB$83,"."&amp;$B$82&amp;$AS$82&amp;"P"&amp;$A117)="N/A",0,RTD("tos.rtd",,BB$83,"."&amp;$B$82&amp;$AS$82&amp;"P"&amp;$A117))</f>
        <v>0</v>
      </c>
      <c r="BC117" s="54">
        <f>IF(RTD("tos.rtd",,BC$83,"."&amp;$C$82&amp;$AU$82&amp;"C"&amp;$A117)="N/A",0,RTD("tos.rtd",,BC$83,"."&amp;$C$82&amp;$AU$82&amp;"C"&amp;$A117))</f>
        <v>0</v>
      </c>
      <c r="BD117" s="3">
        <f>-IF(RTD("tos.rtd",,BD$83,"."&amp;$C$82&amp;$AU$82&amp;"P"&amp;$A117)="N/A",0,RTD("tos.rtd",,BD$83,"."&amp;$C$82&amp;$AU$82&amp;"P"&amp;$A117))</f>
        <v>-2</v>
      </c>
      <c r="BE117" s="54">
        <f>IF(RTD("tos.rtd",,BE$83,"."&amp;$D$82&amp;$AW$82&amp;"C"&amp;$A117)="N/A",0,RTD("tos.rtd",,BE$83,"."&amp;$D$82&amp;$AW$82&amp;"C"&amp;$A117))</f>
        <v>1</v>
      </c>
      <c r="BF117" s="3">
        <f>-IF(RTD("tos.rtd",,BF$83,"."&amp;$D$82&amp;$AW$82&amp;"P"&amp;$A117)="N/A",0,RTD("tos.rtd",,BF$83,"."&amp;$D$82&amp;$AW$82&amp;"P"&amp;$A117))</f>
        <v>0</v>
      </c>
      <c r="BG117" s="3">
        <f ca="1">+Hoja2!Y118</f>
        <v>0</v>
      </c>
      <c r="BH117" s="55">
        <f t="shared" ca="1" si="491"/>
        <v>-1</v>
      </c>
      <c r="BI117" s="32" t="str">
        <f t="shared" ca="1" si="510"/>
        <v/>
      </c>
      <c r="BJ117" s="3" t="e">
        <f ca="1">IF($BP$1=1,DX117,IF(RTD("tos.rtd",,BJ$83,"."&amp;$B$82&amp;$AS$82&amp;"C"&amp;$A117)="N/A",0,RTD("tos.rtd",,BJ$83,"."&amp;$B$82&amp;$AS$82&amp;"C"&amp;$A117)))</f>
        <v>#NUM!</v>
      </c>
      <c r="BK117" s="3" t="e">
        <f ca="1">IF($BP$1=1,DY117,-IF(RTD("tos.rtd",,BK$83,"."&amp;$B$82&amp;$AS$82&amp;"P"&amp;$A117)="N/A",0,RTD("tos.rtd",,BK$83,"."&amp;$B$82&amp;$AS$82&amp;"P"&amp;$A117)))</f>
        <v>#NUM!</v>
      </c>
      <c r="BL117" s="3">
        <f ca="1">IF($BP$1=1,DZ117,IF(RTD("tos.rtd",,BL$83,"."&amp;$C$82&amp;$AU$82&amp;"C"&amp;$A117)="N/A",0,RTD("tos.rtd",,BL$83,"."&amp;$C$82&amp;$AU$82&amp;"C"&amp;$A117)))</f>
        <v>1.7025259891843174E-3</v>
      </c>
      <c r="BM117" s="3">
        <f ca="1">IF($BP$1=1,EA117,-IF(RTD("tos.rtd",,BM$83,"."&amp;$C$82&amp;$AU$82&amp;"P"&amp;$A117)="N/A",0,RTD("tos.rtd",,BM$83,"."&amp;$C$82&amp;$AU$82&amp;"P"&amp;$A117)))</f>
        <v>-2.7539219960735916E-3</v>
      </c>
      <c r="BN117" s="3">
        <f ca="1">IF($BP$1=1,EB117,IF(RTD("tos.rtd",,BN$83,"."&amp;$D$82&amp;$AW$82&amp;"C"&amp;$A117)="N/A",0,RTD("tos.rtd",,BN$83,"."&amp;$D$82&amp;$AW$82&amp;"C"&amp;$A117)))</f>
        <v>2.457061189096102E-3</v>
      </c>
      <c r="BO117" s="3">
        <f ca="1">IF($BP$1=1,EC117,-IF(RTD("tos.rtd",,BO$83,"."&amp;$D$82&amp;$AW$82&amp;"P"&amp;$A117)="N/A",0,RTD("tos.rtd",,BO$83,"."&amp;$D$82&amp;$AW$82&amp;"P"&amp;$A117)))</f>
        <v>-2.830979588060163E-3</v>
      </c>
      <c r="BQ117" s="3" t="e">
        <f t="shared" ca="1" si="454"/>
        <v>#NUM!</v>
      </c>
      <c r="BR117" s="3" t="e">
        <f t="shared" ca="1" si="492"/>
        <v>#NUM!</v>
      </c>
      <c r="BS117" s="3">
        <f t="shared" ca="1" si="455"/>
        <v>-876126.47403684468</v>
      </c>
      <c r="BT117" s="3" t="str">
        <f t="shared" ca="1" si="492"/>
        <v/>
      </c>
      <c r="BU117" s="3">
        <f t="shared" ca="1" si="456"/>
        <v>128931.87304152997</v>
      </c>
      <c r="BV117" s="3" t="str">
        <f t="shared" ca="1" si="492"/>
        <v>Cruce +</v>
      </c>
      <c r="BX117" s="3" t="e">
        <f t="shared" ca="1" si="457"/>
        <v>#NUM!</v>
      </c>
      <c r="BY117" s="3" t="e">
        <f t="shared" ca="1" si="507"/>
        <v>#NUM!</v>
      </c>
      <c r="BZ117" s="3">
        <f t="shared" ca="1" si="458"/>
        <v>-1305.4852796927926</v>
      </c>
      <c r="CA117" s="3" t="str">
        <f t="shared" ca="1" si="507"/>
        <v/>
      </c>
      <c r="CB117" s="3">
        <f t="shared" ca="1" si="459"/>
        <v>582.37982380088329</v>
      </c>
      <c r="CC117" s="3" t="str">
        <f t="shared" ca="1" si="507"/>
        <v/>
      </c>
      <c r="CD117" s="3">
        <f>IF(RTD("tos.rtd",,CD$83,"."&amp;$B$82&amp;$AS$82&amp;"C"&amp;$A117)="N/A",0,RTD("tos.rtd",,CD$83,"."&amp;$B$82&amp;$AS$82&amp;"C"&amp;$A117))</f>
        <v>1</v>
      </c>
      <c r="CE117" s="3">
        <f>-IF(RTD("tos.rtd",,CE$83,"."&amp;$B$82&amp;$AS$82&amp;"P"&amp;$A117)="N/A",0,RTD("tos.rtd",,CE$83,"."&amp;$B$82&amp;$AS$82&amp;"P"&amp;$A117))</f>
        <v>0</v>
      </c>
      <c r="CF117" s="3">
        <f>IF(RTD("tos.rtd",,CF$83,"."&amp;$C$82&amp;$AU$82&amp;"C"&amp;$A117)="N/A",0,RTD("tos.rtd",,CF$83,"."&amp;$C$82&amp;$AU$82&amp;"C"&amp;$A117))</f>
        <v>0.68</v>
      </c>
      <c r="CG117" s="3">
        <f>-IF(RTD("tos.rtd",,CG$83,"."&amp;$C$82&amp;$AU$82&amp;"P"&amp;$A117)="N/A",0,RTD("tos.rtd",,CG$83,"."&amp;$C$82&amp;$AU$82&amp;"P"&amp;$A117))</f>
        <v>0.17</v>
      </c>
      <c r="CH117" s="3">
        <f>IF(RTD("tos.rtd",,CH$83,"."&amp;$D$82&amp;$AW$82&amp;"C"&amp;$A117)="N/A",0,RTD("tos.rtd",,CH$83,"."&amp;$D$82&amp;$AW$82&amp;"C"&amp;$A117))</f>
        <v>0.65</v>
      </c>
      <c r="CI117" s="3">
        <f>-IF(RTD("tos.rtd",,CI$83,"."&amp;$D$82&amp;$AW$82&amp;"P"&amp;$A117)="N/A",0,RTD("tos.rtd",,CI$83,"."&amp;$D$82&amp;$AW$82&amp;"P"&amp;$A117))</f>
        <v>0.31</v>
      </c>
      <c r="CK117" s="3">
        <f t="shared" ref="CK117:CK121" si="529">+AS117*CD117*100+AT117*CE117*100</f>
        <v>108800</v>
      </c>
      <c r="CL117" s="3"/>
      <c r="CM117" s="3">
        <f t="shared" ref="CM117:CM121" si="530">+AU117*CF117*100+AV117*CG117*100</f>
        <v>25704.000000000007</v>
      </c>
      <c r="CN117" s="3"/>
      <c r="CO117" s="3">
        <f t="shared" ref="CO117:CO121" si="531">+AW117*CH117*100+AX117*CI117*100</f>
        <v>34756</v>
      </c>
      <c r="CP117" s="3">
        <f t="shared" si="460"/>
        <v>169260</v>
      </c>
      <c r="CQ117" s="3">
        <f t="shared" si="461"/>
        <v>0</v>
      </c>
      <c r="CR117" s="3"/>
      <c r="CS117" s="3">
        <f t="shared" si="462"/>
        <v>-2</v>
      </c>
      <c r="CT117" s="3"/>
      <c r="CU117" s="3">
        <f t="shared" si="463"/>
        <v>1</v>
      </c>
      <c r="CV117" s="3"/>
      <c r="CW117" s="3" t="e">
        <f t="shared" ref="CW117:CW121" ca="1" si="532">+BQ117+BS117+BU117</f>
        <v>#NUM!</v>
      </c>
      <c r="CY117" s="3" t="e">
        <f t="shared" ca="1" si="465"/>
        <v>#NUM!</v>
      </c>
      <c r="CZ117" s="70" t="e">
        <f t="shared" ca="1" si="508"/>
        <v>#NUM!</v>
      </c>
      <c r="DA117" s="3">
        <f>IF(RTD("tos.rtd",,DA$83,"."&amp;$B$82&amp;$AS$82&amp;"C"&amp;$A117)="N/A",0,RTD("tos.rtd",,DA$83,"."&amp;$B$82&amp;$AS$82&amp;"C"&amp;$A117))</f>
        <v>81.2</v>
      </c>
      <c r="DB117" s="3">
        <f>IF(RTD("tos.rtd",,DB$83,"."&amp;$B$82&amp;$AS$82&amp;"P"&amp;$A117)="N/A",0,RTD("tos.rtd",,DB$83,"."&amp;$B$82&amp;$AS$82&amp;"P"&amp;$A117))</f>
        <v>0.03</v>
      </c>
      <c r="DC117" s="3">
        <f>IF(RTD("tos.rtd",,DC$83,"."&amp;$B$82&amp;$AS$82&amp;"C"&amp;$A117)="N/A",0,RTD("tos.rtd",,DC$83,"."&amp;$B$82&amp;$AS$82&amp;"C"&amp;$A117))</f>
        <v>81.7</v>
      </c>
      <c r="DD117" s="3">
        <f>IF(RTD("tos.rtd",,DD$83,"."&amp;$B$82&amp;$AS$82&amp;"P"&amp;$A117)="N/A",0,RTD("tos.rtd",,DD$83,"."&amp;$B$82&amp;$AS$82&amp;"P"&amp;$A117))</f>
        <v>0.05</v>
      </c>
      <c r="DE117" s="3">
        <f>IF(RTD("tos.rtd",,DE$83,"."&amp;$B$82&amp;$AS$82&amp;"C"&amp;$A117)="N/A",0,RTD("tos.rtd",,DE$83,"."&amp;$B$82&amp;$AS$82&amp;"C"&amp;$A117))</f>
        <v>78.5</v>
      </c>
      <c r="DF117" s="3">
        <f>IF(RTD("tos.rtd",,DF$83,"."&amp;$B$82&amp;$AS$82&amp;"P"&amp;$A117)="N/A",0,RTD("tos.rtd",,DF$83,"."&amp;$B$82&amp;$AS$82&amp;"P"&amp;$A117))</f>
        <v>0</v>
      </c>
      <c r="DG117" s="86">
        <f t="shared" si="497"/>
        <v>-81.279999999999745</v>
      </c>
      <c r="DH117" s="3">
        <f t="shared" si="466"/>
        <v>-1088.4375000000002</v>
      </c>
      <c r="DI117" s="3">
        <f t="shared" si="467"/>
        <v>25879.200000000001</v>
      </c>
      <c r="DJ117" s="3">
        <f t="shared" si="468"/>
        <v>-1290</v>
      </c>
      <c r="DK117" s="3">
        <f t="shared" si="469"/>
        <v>43132</v>
      </c>
      <c r="DL117" s="3">
        <f t="shared" si="470"/>
        <v>24790.762500000001</v>
      </c>
      <c r="DM117" s="3">
        <f t="shared" si="471"/>
        <v>41842</v>
      </c>
      <c r="DN117" s="64" t="str">
        <f t="shared" si="472"/>
        <v>UNKNOWN</v>
      </c>
      <c r="DO117" s="64" t="str">
        <f t="shared" si="473"/>
        <v>UNKNOWN</v>
      </c>
      <c r="DP117" s="3">
        <f t="shared" si="474"/>
        <v>-87604.749000000011</v>
      </c>
      <c r="DQ117" s="3">
        <f t="shared" si="475"/>
        <v>-103454.04</v>
      </c>
      <c r="DR117" s="3" t="e">
        <f t="shared" ca="1" si="476"/>
        <v>#NUM!</v>
      </c>
      <c r="DS117" s="3">
        <f t="shared" si="477"/>
        <v>-1290</v>
      </c>
      <c r="DT117" s="3">
        <f t="shared" si="498"/>
        <v>-1290</v>
      </c>
      <c r="DU117" s="3">
        <f t="shared" si="499"/>
        <v>43132</v>
      </c>
      <c r="DV117" s="3">
        <f t="shared" si="500"/>
        <v>-478</v>
      </c>
      <c r="DW117" s="3">
        <f t="shared" si="501"/>
        <v>-5325</v>
      </c>
      <c r="DX117" s="3" t="e">
        <f t="shared" ca="1" si="509"/>
        <v>#NUM!</v>
      </c>
      <c r="DY117" s="3" t="e">
        <f t="shared" ca="1" si="478"/>
        <v>#NUM!</v>
      </c>
      <c r="DZ117" s="3">
        <f t="shared" ca="1" si="502"/>
        <v>1.7025259891843174E-3</v>
      </c>
      <c r="EA117" s="3">
        <f t="shared" ca="1" si="503"/>
        <v>-2.7539219960735916E-3</v>
      </c>
      <c r="EB117" s="3">
        <f t="shared" ca="1" si="479"/>
        <v>2.457061189096102E-3</v>
      </c>
      <c r="EC117" s="3">
        <f t="shared" ca="1" si="480"/>
        <v>-2.830979588060163E-3</v>
      </c>
      <c r="ED117" s="63">
        <f t="shared" si="504"/>
        <v>-5803</v>
      </c>
      <c r="EE117" s="59">
        <f t="shared" si="481"/>
        <v>0.25</v>
      </c>
      <c r="EF117" s="59">
        <f t="shared" si="482"/>
        <v>0.69699999999999995</v>
      </c>
      <c r="EG117" s="59">
        <f t="shared" si="483"/>
        <v>0.46939999999999998</v>
      </c>
      <c r="EH117" s="59">
        <f t="shared" si="484"/>
        <v>0.22750000000000001</v>
      </c>
      <c r="EI117" s="59">
        <f t="shared" si="485"/>
        <v>0.28699999999999998</v>
      </c>
      <c r="EJ117" s="59">
        <f t="shared" si="486"/>
        <v>0.20760000000000001</v>
      </c>
      <c r="EL117" s="3" t="str">
        <f>RTD("tos.rtd",,EL$83,"."&amp;$B$82&amp;$AS$82&amp;"C"&amp;$A117)</f>
        <v>--</v>
      </c>
      <c r="EM117" s="3" t="str">
        <f>RTD("tos.rtd",,EM$83,"."&amp;$B$82&amp;$AS$82&amp;"P"&amp;$A117)</f>
        <v>69.70%</v>
      </c>
      <c r="EN117" s="3" t="str">
        <f>RTD("tos.rtd",,EN$83,"."&amp;$C$82&amp;$AU$82&amp;"C"&amp;$A117)</f>
        <v>46.94%</v>
      </c>
      <c r="EO117" s="3" t="str">
        <f>RTD("tos.rtd",,EO$83,"."&amp;$C$82&amp;$AU$82&amp;"P"&amp;$A117)</f>
        <v>22.75%</v>
      </c>
      <c r="EP117" s="3" t="str">
        <f>RTD("tos.rtd",,EP$83,"."&amp;$D$82&amp;$AW$82&amp;"C"&amp;$A117)</f>
        <v>28.70%</v>
      </c>
      <c r="EQ117" s="3" t="str">
        <f>RTD("tos.rtd",,EQ$83,"."&amp;$D$82&amp;$AW$82&amp;"P"&amp;$A117)</f>
        <v>20.76%</v>
      </c>
      <c r="ES117" s="63" t="str">
        <f t="shared" si="487"/>
        <v>5550,-5803.00</v>
      </c>
      <c r="ET117" s="64" t="str">
        <f t="shared" ca="1" si="488"/>
        <v>5550,00.00</v>
      </c>
      <c r="EU117" s="67">
        <v>562.12</v>
      </c>
      <c r="EV117" s="67" t="s">
        <v>956</v>
      </c>
      <c r="EW117" s="67">
        <v>484.45</v>
      </c>
      <c r="EX117" s="67" t="s">
        <v>957</v>
      </c>
      <c r="EY117" s="67">
        <v>5635</v>
      </c>
      <c r="EZ117" s="67" t="s">
        <v>958</v>
      </c>
      <c r="FA117" s="67">
        <v>19898.75</v>
      </c>
      <c r="FB117" s="67" t="s">
        <v>959</v>
      </c>
      <c r="FC117" s="67" t="s">
        <v>960</v>
      </c>
      <c r="FD117" s="67" t="s">
        <v>961</v>
      </c>
      <c r="FE117" s="68" t="s">
        <v>962</v>
      </c>
      <c r="FF117" s="68" t="s">
        <v>963</v>
      </c>
    </row>
    <row r="118" spans="1:162" s="63" customFormat="1" ht="12" customHeight="1" thickBot="1" x14ac:dyDescent="0.25">
      <c r="A118" s="2">
        <f t="shared" si="505"/>
        <v>5540</v>
      </c>
      <c r="B118" s="3">
        <f t="shared" si="449"/>
        <v>7527</v>
      </c>
      <c r="C118" s="3">
        <f t="shared" si="450"/>
        <v>2412</v>
      </c>
      <c r="D118" s="3">
        <f t="shared" si="451"/>
        <v>768</v>
      </c>
      <c r="E118" s="3">
        <f t="shared" si="525"/>
        <v>10707</v>
      </c>
      <c r="F118" s="4">
        <f t="shared" si="526"/>
        <v>5587.9302751772238</v>
      </c>
      <c r="G118" s="4">
        <f t="shared" si="527"/>
        <v>555.18251623076821</v>
      </c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20"/>
      <c r="AM118" s="20">
        <v>17</v>
      </c>
      <c r="AN118" s="20">
        <v>-4683</v>
      </c>
      <c r="AO118" s="20">
        <v>5540</v>
      </c>
      <c r="AP118" s="20">
        <v>514</v>
      </c>
      <c r="AQ118" s="20">
        <v>-24050</v>
      </c>
      <c r="AR118" s="20"/>
      <c r="AS118" s="54">
        <f>IF(RTD("tos.rtd",,AS$83,"."&amp;$B$82&amp;$AS$82&amp;"C"&amp;$A118)="N/A",0,RTD("tos.rtd",,AS$83,"."&amp;$B$82&amp;$AS$82&amp;"C"&amp;$A118))</f>
        <v>179</v>
      </c>
      <c r="AT118" s="3">
        <f>-IF(RTD("tos.rtd",,AT$83,"."&amp;$B$82&amp;$AS$82&amp;"P"&amp;$A118)="N/A",0,RTD("tos.rtd",,AT$83,"."&amp;$B$82&amp;$AS$82&amp;"P"&amp;$A118))</f>
        <v>-7348</v>
      </c>
      <c r="AU118" s="54">
        <f>IF(RTD("tos.rtd",,AU$83,"."&amp;$C$82&amp;$AU$82&amp;"C"&amp;$A118)="N/A",0,RTD("tos.rtd",,AU$83,"."&amp;$C$82&amp;$AU$82&amp;"C"&amp;$A118))</f>
        <v>402</v>
      </c>
      <c r="AV118" s="3">
        <f>-IF(RTD("tos.rtd",,AV$83,"."&amp;$C$82&amp;$AU$82&amp;"P"&amp;$A118)="N/A",0,RTD("tos.rtd",,AV$83,"."&amp;$C$82&amp;$AU$82&amp;"P"&amp;$A118))</f>
        <v>-2010</v>
      </c>
      <c r="AW118" s="54">
        <f>IF(RTD("tos.rtd",,AW$83,"."&amp;$D$82&amp;$AW$82&amp;"C"&amp;$A118)="N/A",0,RTD("tos.rtd",,AW$83,"."&amp;$D$82&amp;$AW$82&amp;"C"&amp;$A118))</f>
        <v>505</v>
      </c>
      <c r="AX118" s="3">
        <f>-IF(RTD("tos.rtd",,AX$83,"."&amp;$D$82&amp;$AW$82&amp;"P"&amp;$A118)="N/A",0,RTD("tos.rtd",,AX$83,"."&amp;$D$82&amp;$AW$82&amp;"P"&amp;$A118))</f>
        <v>-263</v>
      </c>
      <c r="AY118" s="79">
        <f t="shared" si="528"/>
        <v>-8535</v>
      </c>
      <c r="AZ118" s="8">
        <f t="shared" si="453"/>
        <v>5540</v>
      </c>
      <c r="BA118" s="54">
        <f>IF(RTD("tos.rtd",,BA$83,"."&amp;$B$82&amp;$AS$82&amp;"C"&amp;$A118)="N/A",0,RTD("tos.rtd",,BA$83,"."&amp;$B$82&amp;$AS$82&amp;"C"&amp;$A118))</f>
        <v>0</v>
      </c>
      <c r="BB118" s="3">
        <f>-IF(RTD("tos.rtd",,BB$83,"."&amp;$B$82&amp;$AS$82&amp;"P"&amp;$A118)="N/A",0,RTD("tos.rtd",,BB$83,"."&amp;$B$82&amp;$AS$82&amp;"P"&amp;$A118))</f>
        <v>0</v>
      </c>
      <c r="BC118" s="54">
        <f>IF(RTD("tos.rtd",,BC$83,"."&amp;$C$82&amp;$AU$82&amp;"C"&amp;$A118)="N/A",0,RTD("tos.rtd",,BC$83,"."&amp;$C$82&amp;$AU$82&amp;"C"&amp;$A118))</f>
        <v>0</v>
      </c>
      <c r="BD118" s="3">
        <f>-IF(RTD("tos.rtd",,BD$83,"."&amp;$C$82&amp;$AU$82&amp;"P"&amp;$A118)="N/A",0,RTD("tos.rtd",,BD$83,"."&amp;$C$82&amp;$AU$82&amp;"P"&amp;$A118))</f>
        <v>-7</v>
      </c>
      <c r="BE118" s="54">
        <f>IF(RTD("tos.rtd",,BE$83,"."&amp;$D$82&amp;$AW$82&amp;"C"&amp;$A118)="N/A",0,RTD("tos.rtd",,BE$83,"."&amp;$D$82&amp;$AW$82&amp;"C"&amp;$A118))</f>
        <v>0</v>
      </c>
      <c r="BF118" s="3">
        <f>-IF(RTD("tos.rtd",,BF$83,"."&amp;$D$82&amp;$AW$82&amp;"P"&amp;$A118)="N/A",0,RTD("tos.rtd",,BF$83,"."&amp;$D$82&amp;$AW$82&amp;"P"&amp;$A118))</f>
        <v>0</v>
      </c>
      <c r="BG118" s="3">
        <f ca="1">+Hoja2!Y119</f>
        <v>1</v>
      </c>
      <c r="BH118" s="55">
        <f t="shared" ca="1" si="491"/>
        <v>-6</v>
      </c>
      <c r="BI118" s="32" t="str">
        <f t="shared" ca="1" si="510"/>
        <v/>
      </c>
      <c r="BJ118" s="3" t="e">
        <f ca="1">IF($BP$1=1,DX118,IF(RTD("tos.rtd",,BJ$83,"."&amp;$B$82&amp;$AS$82&amp;"C"&amp;$A118)="N/A",0,RTD("tos.rtd",,BJ$83,"."&amp;$B$82&amp;$AS$82&amp;"C"&amp;$A118)))</f>
        <v>#NUM!</v>
      </c>
      <c r="BK118" s="3" t="e">
        <f ca="1">IF($BP$1=1,DY118,-IF(RTD("tos.rtd",,BK$83,"."&amp;$B$82&amp;$AS$82&amp;"P"&amp;$A118)="N/A",0,RTD("tos.rtd",,BK$83,"."&amp;$B$82&amp;$AS$82&amp;"P"&amp;$A118)))</f>
        <v>#NUM!</v>
      </c>
      <c r="BL118" s="3">
        <f ca="1">IF($BP$1=1,DZ118,IF(RTD("tos.rtd",,BL$83,"."&amp;$C$82&amp;$AU$82&amp;"C"&amp;$A118)="N/A",0,RTD("tos.rtd",,BL$83,"."&amp;$C$82&amp;$AU$82&amp;"C"&amp;$A118)))</f>
        <v>1.6235975334041469E-3</v>
      </c>
      <c r="BM118" s="3">
        <f ca="1">IF($BP$1=1,EA118,-IF(RTD("tos.rtd",,BM$83,"."&amp;$C$82&amp;$AU$82&amp;"P"&amp;$A118)="N/A",0,RTD("tos.rtd",,BM$83,"."&amp;$C$82&amp;$AU$82&amp;"P"&amp;$A118)))</f>
        <v>-2.5206753484243718E-3</v>
      </c>
      <c r="BN118" s="3">
        <f ca="1">IF($BP$1=1,EB118,IF(RTD("tos.rtd",,BN$83,"."&amp;$D$82&amp;$AW$82&amp;"C"&amp;$A118)="N/A",0,RTD("tos.rtd",,BN$83,"."&amp;$D$82&amp;$AW$82&amp;"C"&amp;$A118)))</f>
        <v>2.3142796361247287E-3</v>
      </c>
      <c r="BO118" s="3">
        <f ca="1">IF($BP$1=1,EC118,-IF(RTD("tos.rtd",,BO$83,"."&amp;$D$82&amp;$AW$82&amp;"P"&amp;$A118)="N/A",0,RTD("tos.rtd",,BO$83,"."&amp;$D$82&amp;$AW$82&amp;"P"&amp;$A118)))</f>
        <v>-2.560692401270822E-3</v>
      </c>
      <c r="BQ118" s="3" t="e">
        <f t="shared" ca="1" si="454"/>
        <v>#NUM!</v>
      </c>
      <c r="BR118" s="3" t="e">
        <f t="shared" ca="1" si="492"/>
        <v>#NUM!</v>
      </c>
      <c r="BS118" s="3">
        <f t="shared" ca="1" si="455"/>
        <v>-1046188.6612949141</v>
      </c>
      <c r="BT118" s="3" t="str">
        <f t="shared" ca="1" si="492"/>
        <v/>
      </c>
      <c r="BU118" s="3">
        <f t="shared" ca="1" si="456"/>
        <v>117385.39253380845</v>
      </c>
      <c r="BV118" s="3" t="str">
        <f t="shared" ca="1" si="492"/>
        <v/>
      </c>
      <c r="BX118" s="3" t="e">
        <f t="shared" ca="1" si="457"/>
        <v>#NUM!</v>
      </c>
      <c r="BY118" s="3" t="e">
        <f t="shared" ca="1" si="507"/>
        <v>#NUM!</v>
      </c>
      <c r="BZ118" s="3">
        <f t="shared" ca="1" si="458"/>
        <v>-4182.2048643007529</v>
      </c>
      <c r="CA118" s="3" t="str">
        <f t="shared" ca="1" si="507"/>
        <v/>
      </c>
      <c r="CB118" s="3">
        <f t="shared" ca="1" si="459"/>
        <v>0</v>
      </c>
      <c r="CC118" s="3" t="str">
        <f t="shared" ca="1" si="507"/>
        <v/>
      </c>
      <c r="CD118" s="3">
        <f>IF(RTD("tos.rtd",,CD$83,"."&amp;$B$82&amp;$AS$82&amp;"C"&amp;$A118)="N/A",0,RTD("tos.rtd",,CD$83,"."&amp;$B$82&amp;$AS$82&amp;"C"&amp;$A118))</f>
        <v>1</v>
      </c>
      <c r="CE118" s="3">
        <f>-IF(RTD("tos.rtd",,CE$83,"."&amp;$B$82&amp;$AS$82&amp;"P"&amp;$A118)="N/A",0,RTD("tos.rtd",,CE$83,"."&amp;$B$82&amp;$AS$82&amp;"P"&amp;$A118))</f>
        <v>0</v>
      </c>
      <c r="CF118" s="3">
        <f>IF(RTD("tos.rtd",,CF$83,"."&amp;$C$82&amp;$AU$82&amp;"C"&amp;$A118)="N/A",0,RTD("tos.rtd",,CF$83,"."&amp;$C$82&amp;$AU$82&amp;"C"&amp;$A118))</f>
        <v>0.7</v>
      </c>
      <c r="CG118" s="3">
        <f>-IF(RTD("tos.rtd",,CG$83,"."&amp;$C$82&amp;$AU$82&amp;"P"&amp;$A118)="N/A",0,RTD("tos.rtd",,CG$83,"."&amp;$C$82&amp;$AU$82&amp;"P"&amp;$A118))</f>
        <v>0.15</v>
      </c>
      <c r="CH118" s="3">
        <f>IF(RTD("tos.rtd",,CH$83,"."&amp;$D$82&amp;$AW$82&amp;"C"&amp;$A118)="N/A",0,RTD("tos.rtd",,CH$83,"."&amp;$D$82&amp;$AW$82&amp;"C"&amp;$A118))</f>
        <v>0.66</v>
      </c>
      <c r="CI118" s="3">
        <f>-IF(RTD("tos.rtd",,CI$83,"."&amp;$D$82&amp;$AW$82&amp;"P"&amp;$A118)="N/A",0,RTD("tos.rtd",,CI$83,"."&amp;$D$82&amp;$AW$82&amp;"P"&amp;$A118))</f>
        <v>0.28999999999999998</v>
      </c>
      <c r="CK118" s="3">
        <f t="shared" si="529"/>
        <v>17900</v>
      </c>
      <c r="CL118" s="3"/>
      <c r="CM118" s="3">
        <f t="shared" si="530"/>
        <v>-2010.0000000000036</v>
      </c>
      <c r="CN118" s="3"/>
      <c r="CO118" s="3">
        <f t="shared" si="531"/>
        <v>25703</v>
      </c>
      <c r="CP118" s="3">
        <f t="shared" si="460"/>
        <v>41593</v>
      </c>
      <c r="CQ118" s="3">
        <f t="shared" si="461"/>
        <v>0</v>
      </c>
      <c r="CR118" s="3"/>
      <c r="CS118" s="3">
        <f t="shared" si="462"/>
        <v>-7</v>
      </c>
      <c r="CT118" s="3"/>
      <c r="CU118" s="3">
        <f t="shared" si="463"/>
        <v>0</v>
      </c>
      <c r="CV118" s="3"/>
      <c r="CW118" s="3" t="e">
        <f t="shared" ca="1" si="532"/>
        <v>#NUM!</v>
      </c>
      <c r="CY118" s="3" t="e">
        <f t="shared" ca="1" si="465"/>
        <v>#NUM!</v>
      </c>
      <c r="CZ118" s="70" t="e">
        <f t="shared" ca="1" si="508"/>
        <v>#NUM!</v>
      </c>
      <c r="DA118" s="3">
        <f>IF(RTD("tos.rtd",,DA$83,"."&amp;$B$82&amp;$AS$82&amp;"C"&amp;$A118)="N/A",0,RTD("tos.rtd",,DA$83,"."&amp;$B$82&amp;$AS$82&amp;"C"&amp;$A118))</f>
        <v>83.6</v>
      </c>
      <c r="DB118" s="3">
        <f>IF(RTD("tos.rtd",,DB$83,"."&amp;$B$82&amp;$AS$82&amp;"P"&amp;$A118)="N/A",0,RTD("tos.rtd",,DB$83,"."&amp;$B$82&amp;$AS$82&amp;"P"&amp;$A118))</f>
        <v>0.03</v>
      </c>
      <c r="DC118" s="3">
        <f>IF(RTD("tos.rtd",,DC$83,"."&amp;$B$82&amp;$AS$82&amp;"C"&amp;$A118)="N/A",0,RTD("tos.rtd",,DC$83,"."&amp;$B$82&amp;$AS$82&amp;"C"&amp;$A118))</f>
        <v>91.7</v>
      </c>
      <c r="DD118" s="3">
        <f>IF(RTD("tos.rtd",,DD$83,"."&amp;$B$82&amp;$AS$82&amp;"P"&amp;$A118)="N/A",0,RTD("tos.rtd",,DD$83,"."&amp;$B$82&amp;$AS$82&amp;"P"&amp;$A118))</f>
        <v>0.05</v>
      </c>
      <c r="DE118" s="3">
        <f>IF(RTD("tos.rtd",,DE$83,"."&amp;$B$82&amp;$AS$82&amp;"C"&amp;$A118)="N/A",0,RTD("tos.rtd",,DE$83,"."&amp;$B$82&amp;$AS$82&amp;"C"&amp;$A118))</f>
        <v>88.5</v>
      </c>
      <c r="DF118" s="3">
        <f>IF(RTD("tos.rtd",,DF$83,"."&amp;$B$82&amp;$AS$82&amp;"P"&amp;$A118)="N/A",0,RTD("tos.rtd",,DF$83,"."&amp;$B$82&amp;$AS$82&amp;"P"&amp;$A118))</f>
        <v>0</v>
      </c>
      <c r="DG118" s="86">
        <f t="shared" si="497"/>
        <v>-91.279999999999745</v>
      </c>
      <c r="DH118" s="3">
        <f t="shared" si="466"/>
        <v>787.06250000000023</v>
      </c>
      <c r="DI118" s="3">
        <f t="shared" si="467"/>
        <v>14430</v>
      </c>
      <c r="DJ118" s="3">
        <f t="shared" si="468"/>
        <v>514</v>
      </c>
      <c r="DK118" s="3">
        <f t="shared" si="469"/>
        <v>24050</v>
      </c>
      <c r="DL118" s="3">
        <f t="shared" si="470"/>
        <v>15217.0625</v>
      </c>
      <c r="DM118" s="3">
        <f t="shared" si="471"/>
        <v>24564</v>
      </c>
      <c r="DN118" s="64" t="str">
        <f t="shared" si="472"/>
        <v>UNKNOWN</v>
      </c>
      <c r="DO118" s="64" t="str">
        <f t="shared" si="473"/>
        <v>UNKNOWN</v>
      </c>
      <c r="DP118" s="3">
        <f t="shared" si="474"/>
        <v>66231.325000000012</v>
      </c>
      <c r="DQ118" s="3">
        <f t="shared" si="475"/>
        <v>43691.899999999994</v>
      </c>
      <c r="DR118" s="3" t="e">
        <f t="shared" ca="1" si="476"/>
        <v>#NUM!</v>
      </c>
      <c r="DS118" s="3">
        <f t="shared" si="477"/>
        <v>514</v>
      </c>
      <c r="DT118" s="3">
        <f t="shared" si="498"/>
        <v>-514</v>
      </c>
      <c r="DU118" s="3">
        <f t="shared" si="499"/>
        <v>24050</v>
      </c>
      <c r="DV118" s="3">
        <f t="shared" si="500"/>
        <v>17</v>
      </c>
      <c r="DW118" s="3">
        <f t="shared" si="501"/>
        <v>-4683</v>
      </c>
      <c r="DX118" s="3" t="e">
        <f t="shared" ca="1" si="509"/>
        <v>#NUM!</v>
      </c>
      <c r="DY118" s="3" t="e">
        <f t="shared" ca="1" si="478"/>
        <v>#NUM!</v>
      </c>
      <c r="DZ118" s="3">
        <f t="shared" ca="1" si="502"/>
        <v>1.6235975334041469E-3</v>
      </c>
      <c r="EA118" s="3">
        <f t="shared" ca="1" si="503"/>
        <v>-2.5206753484243718E-3</v>
      </c>
      <c r="EB118" s="3">
        <f t="shared" ca="1" si="479"/>
        <v>2.3142796361247287E-3</v>
      </c>
      <c r="EC118" s="3">
        <f t="shared" ca="1" si="480"/>
        <v>-2.560692401270822E-3</v>
      </c>
      <c r="ED118" s="63">
        <f t="shared" si="504"/>
        <v>-4666</v>
      </c>
      <c r="EE118" s="59">
        <f t="shared" si="481"/>
        <v>0.25</v>
      </c>
      <c r="EF118" s="59">
        <f t="shared" si="482"/>
        <v>0.77349999999999997</v>
      </c>
      <c r="EG118" s="59">
        <f t="shared" si="483"/>
        <v>0.48530000000000001</v>
      </c>
      <c r="EH118" s="59">
        <f t="shared" si="484"/>
        <v>0.23319999999999999</v>
      </c>
      <c r="EI118" s="59">
        <f t="shared" si="485"/>
        <v>0.29120000000000001</v>
      </c>
      <c r="EJ118" s="59">
        <f t="shared" si="486"/>
        <v>0.21060000000000001</v>
      </c>
      <c r="EL118" s="3" t="str">
        <f>RTD("tos.rtd",,EL$83,"."&amp;$B$82&amp;$AS$82&amp;"C"&amp;$A118)</f>
        <v>--</v>
      </c>
      <c r="EM118" s="3" t="str">
        <f>RTD("tos.rtd",,EM$83,"."&amp;$B$82&amp;$AS$82&amp;"P"&amp;$A118)</f>
        <v>77.35%</v>
      </c>
      <c r="EN118" s="3" t="str">
        <f>RTD("tos.rtd",,EN$83,"."&amp;$C$82&amp;$AU$82&amp;"C"&amp;$A118)</f>
        <v>48.53%</v>
      </c>
      <c r="EO118" s="3" t="str">
        <f>RTD("tos.rtd",,EO$83,"."&amp;$C$82&amp;$AU$82&amp;"P"&amp;$A118)</f>
        <v>23.32%</v>
      </c>
      <c r="EP118" s="3" t="str">
        <f>RTD("tos.rtd",,EP$83,"."&amp;$D$82&amp;$AW$82&amp;"C"&amp;$A118)</f>
        <v>29.12%</v>
      </c>
      <c r="EQ118" s="3" t="str">
        <f>RTD("tos.rtd",,EQ$83,"."&amp;$D$82&amp;$AW$82&amp;"P"&amp;$A118)</f>
        <v>21.06%</v>
      </c>
      <c r="ES118" s="63" t="str">
        <f t="shared" si="487"/>
        <v>5540,-4666.00</v>
      </c>
      <c r="ET118" s="64" t="str">
        <f t="shared" ca="1" si="488"/>
        <v>5540,00.00</v>
      </c>
      <c r="EU118" s="67">
        <v>562.1</v>
      </c>
      <c r="EV118" s="67" t="s">
        <v>964</v>
      </c>
      <c r="EW118" s="67">
        <v>484.34</v>
      </c>
      <c r="EX118" s="67" t="s">
        <v>965</v>
      </c>
      <c r="EY118" s="67">
        <v>5634</v>
      </c>
      <c r="EZ118" s="67" t="s">
        <v>966</v>
      </c>
      <c r="FA118" s="67">
        <v>19895.75</v>
      </c>
      <c r="FB118" s="67" t="s">
        <v>967</v>
      </c>
      <c r="FC118" s="67" t="s">
        <v>968</v>
      </c>
      <c r="FD118" s="67" t="s">
        <v>969</v>
      </c>
      <c r="FE118" s="68" t="s">
        <v>970</v>
      </c>
      <c r="FF118" s="68" t="s">
        <v>971</v>
      </c>
    </row>
    <row r="119" spans="1:162" s="63" customFormat="1" ht="12" customHeight="1" thickBot="1" x14ac:dyDescent="0.25">
      <c r="A119" s="2">
        <f t="shared" si="505"/>
        <v>5530</v>
      </c>
      <c r="B119" s="3">
        <f t="shared" si="449"/>
        <v>910</v>
      </c>
      <c r="C119" s="3">
        <f t="shared" si="450"/>
        <v>326</v>
      </c>
      <c r="D119" s="3">
        <f t="shared" si="451"/>
        <v>1160</v>
      </c>
      <c r="E119" s="3">
        <f t="shared" si="525"/>
        <v>2396</v>
      </c>
      <c r="F119" s="4">
        <f t="shared" si="526"/>
        <v>5577.8437584350268</v>
      </c>
      <c r="G119" s="4">
        <f t="shared" si="527"/>
        <v>554.18038172493652</v>
      </c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20"/>
      <c r="AM119" s="20">
        <v>43</v>
      </c>
      <c r="AN119" s="20">
        <v>-658</v>
      </c>
      <c r="AO119" s="20">
        <v>5530</v>
      </c>
      <c r="AP119" s="20">
        <v>269</v>
      </c>
      <c r="AQ119" s="20">
        <v>-18539</v>
      </c>
      <c r="AR119" s="20"/>
      <c r="AS119" s="54">
        <f>IF(RTD("tos.rtd",,AS$83,"."&amp;$B$82&amp;$AS$82&amp;"C"&amp;$A119)="N/A",0,RTD("tos.rtd",,AS$83,"."&amp;$B$82&amp;$AS$82&amp;"C"&amp;$A119))</f>
        <v>123</v>
      </c>
      <c r="AT119" s="3">
        <f>-IF(RTD("tos.rtd",,AT$83,"."&amp;$B$82&amp;$AS$82&amp;"P"&amp;$A119)="N/A",0,RTD("tos.rtd",,AT$83,"."&amp;$B$82&amp;$AS$82&amp;"P"&amp;$A119))</f>
        <v>-787</v>
      </c>
      <c r="AU119" s="54">
        <f>IF(RTD("tos.rtd",,AU$83,"."&amp;$C$82&amp;$AU$82&amp;"C"&amp;$A119)="N/A",0,RTD("tos.rtd",,AU$83,"."&amp;$C$82&amp;$AU$82&amp;"C"&amp;$A119))</f>
        <v>136</v>
      </c>
      <c r="AV119" s="3">
        <f>-IF(RTD("tos.rtd",,AV$83,"."&amp;$C$82&amp;$AU$82&amp;"P"&amp;$A119)="N/A",0,RTD("tos.rtd",,AV$83,"."&amp;$C$82&amp;$AU$82&amp;"P"&amp;$A119))</f>
        <v>-190</v>
      </c>
      <c r="AW119" s="54">
        <f>IF(RTD("tos.rtd",,AW$83,"."&amp;$D$82&amp;$AW$82&amp;"C"&amp;$A119)="N/A",0,RTD("tos.rtd",,AW$83,"."&amp;$D$82&amp;$AW$82&amp;"C"&amp;$A119))</f>
        <v>141</v>
      </c>
      <c r="AX119" s="3">
        <f>-IF(RTD("tos.rtd",,AX$83,"."&amp;$D$82&amp;$AW$82&amp;"P"&amp;$A119)="N/A",0,RTD("tos.rtd",,AX$83,"."&amp;$D$82&amp;$AW$82&amp;"P"&amp;$A119))</f>
        <v>-1019</v>
      </c>
      <c r="AY119" s="79">
        <f t="shared" si="528"/>
        <v>-1596</v>
      </c>
      <c r="AZ119" s="8">
        <f t="shared" si="453"/>
        <v>5530</v>
      </c>
      <c r="BA119" s="54">
        <f>IF(RTD("tos.rtd",,BA$83,"."&amp;$B$82&amp;$AS$82&amp;"C"&amp;$A119)="N/A",0,RTD("tos.rtd",,BA$83,"."&amp;$B$82&amp;$AS$82&amp;"C"&amp;$A119))</f>
        <v>0</v>
      </c>
      <c r="BB119" s="3">
        <f>-IF(RTD("tos.rtd",,BB$83,"."&amp;$B$82&amp;$AS$82&amp;"P"&amp;$A119)="N/A",0,RTD("tos.rtd",,BB$83,"."&amp;$B$82&amp;$AS$82&amp;"P"&amp;$A119))</f>
        <v>0</v>
      </c>
      <c r="BC119" s="54">
        <f>IF(RTD("tos.rtd",,BC$83,"."&amp;$C$82&amp;$AU$82&amp;"C"&amp;$A119)="N/A",0,RTD("tos.rtd",,BC$83,"."&amp;$C$82&amp;$AU$82&amp;"C"&amp;$A119))</f>
        <v>0</v>
      </c>
      <c r="BD119" s="3">
        <f>-IF(RTD("tos.rtd",,BD$83,"."&amp;$C$82&amp;$AU$82&amp;"P"&amp;$A119)="N/A",0,RTD("tos.rtd",,BD$83,"."&amp;$C$82&amp;$AU$82&amp;"P"&amp;$A119))</f>
        <v>0</v>
      </c>
      <c r="BE119" s="54">
        <f>IF(RTD("tos.rtd",,BE$83,"."&amp;$D$82&amp;$AW$82&amp;"C"&amp;$A119)="N/A",0,RTD("tos.rtd",,BE$83,"."&amp;$D$82&amp;$AW$82&amp;"C"&amp;$A119))</f>
        <v>0</v>
      </c>
      <c r="BF119" s="3">
        <f>-IF(RTD("tos.rtd",,BF$83,"."&amp;$D$82&amp;$AW$82&amp;"P"&amp;$A119)="N/A",0,RTD("tos.rtd",,BF$83,"."&amp;$D$82&amp;$AW$82&amp;"P"&amp;$A119))</f>
        <v>0</v>
      </c>
      <c r="BG119" s="3">
        <f ca="1">+Hoja2!Y120</f>
        <v>0</v>
      </c>
      <c r="BH119" s="55">
        <f t="shared" ca="1" si="491"/>
        <v>0</v>
      </c>
      <c r="BI119" s="32" t="str">
        <f t="shared" ca="1" si="510"/>
        <v/>
      </c>
      <c r="BJ119" s="3" t="e">
        <f ca="1">IF($BP$1=1,DX119,IF(RTD("tos.rtd",,BJ$83,"."&amp;$B$82&amp;$AS$82&amp;"C"&amp;$A119)="N/A",0,RTD("tos.rtd",,BJ$83,"."&amp;$B$82&amp;$AS$82&amp;"C"&amp;$A119)))</f>
        <v>#NUM!</v>
      </c>
      <c r="BK119" s="3" t="e">
        <f ca="1">IF($BP$1=1,DY119,-IF(RTD("tos.rtd",,BK$83,"."&amp;$B$82&amp;$AS$82&amp;"P"&amp;$A119)="N/A",0,RTD("tos.rtd",,BK$83,"."&amp;$B$82&amp;$AS$82&amp;"P"&amp;$A119)))</f>
        <v>#NUM!</v>
      </c>
      <c r="BL119" s="3">
        <f ca="1">IF($BP$1=1,DZ119,IF(RTD("tos.rtd",,BL$83,"."&amp;$C$82&amp;$AU$82&amp;"C"&amp;$A119)="N/A",0,RTD("tos.rtd",,BL$83,"."&amp;$C$82&amp;$AU$82&amp;"C"&amp;$A119)))</f>
        <v>1.5504588953812245E-3</v>
      </c>
      <c r="BM119" s="3">
        <f ca="1">IF($BP$1=1,EA119,-IF(RTD("tos.rtd",,BM$83,"."&amp;$C$82&amp;$AU$82&amp;"P"&amp;$A119)="N/A",0,RTD("tos.rtd",,BM$83,"."&amp;$C$82&amp;$AU$82&amp;"P"&amp;$A119)))</f>
        <v>-2.3036888837979709E-3</v>
      </c>
      <c r="BN119" s="3">
        <f ca="1">IF($BP$1=1,EB119,IF(RTD("tos.rtd",,BN$83,"."&amp;$D$82&amp;$AW$82&amp;"C"&amp;$A119)="N/A",0,RTD("tos.rtd",,BN$83,"."&amp;$D$82&amp;$AW$82&amp;"C"&amp;$A119)))</f>
        <v>2.1698002919711152E-3</v>
      </c>
      <c r="BO119" s="3">
        <f ca="1">IF($BP$1=1,EC119,-IF(RTD("tos.rtd",,BO$83,"."&amp;$D$82&amp;$AW$82&amp;"P"&amp;$A119)="N/A",0,RTD("tos.rtd",,BO$83,"."&amp;$D$82&amp;$AW$82&amp;"P"&amp;$A119)))</f>
        <v>-2.3028300302792956E-3</v>
      </c>
      <c r="BQ119" s="3" t="e">
        <f t="shared" ca="1" si="454"/>
        <v>#NUM!</v>
      </c>
      <c r="BR119" s="3" t="e">
        <f t="shared" ca="1" si="492"/>
        <v>#NUM!</v>
      </c>
      <c r="BS119" s="3">
        <f t="shared" ca="1" si="455"/>
        <v>-53765.919026510404</v>
      </c>
      <c r="BT119" s="3" t="str">
        <f t="shared" ca="1" si="492"/>
        <v/>
      </c>
      <c r="BU119" s="3">
        <f t="shared" ca="1" si="456"/>
        <v>-483678.92106106295</v>
      </c>
      <c r="BV119" s="3" t="str">
        <f t="shared" ca="1" si="492"/>
        <v>Cruce -</v>
      </c>
      <c r="BX119" s="3" t="e">
        <f t="shared" ca="1" si="457"/>
        <v>#NUM!</v>
      </c>
      <c r="BY119" s="3" t="e">
        <f t="shared" ca="1" si="507"/>
        <v>#NUM!</v>
      </c>
      <c r="BZ119" s="3">
        <f t="shared" ca="1" si="458"/>
        <v>0</v>
      </c>
      <c r="CA119" s="3" t="str">
        <f t="shared" ca="1" si="507"/>
        <v/>
      </c>
      <c r="CB119" s="3">
        <f t="shared" ca="1" si="459"/>
        <v>0</v>
      </c>
      <c r="CC119" s="3" t="str">
        <f t="shared" ca="1" si="507"/>
        <v/>
      </c>
      <c r="CD119" s="3">
        <f>IF(RTD("tos.rtd",,CD$83,"."&amp;$B$82&amp;$AS$82&amp;"C"&amp;$A119)="N/A",0,RTD("tos.rtd",,CD$83,"."&amp;$B$82&amp;$AS$82&amp;"C"&amp;$A119))</f>
        <v>1</v>
      </c>
      <c r="CE119" s="3">
        <f>-IF(RTD("tos.rtd",,CE$83,"."&amp;$B$82&amp;$AS$82&amp;"P"&amp;$A119)="N/A",0,RTD("tos.rtd",,CE$83,"."&amp;$B$82&amp;$AS$82&amp;"P"&amp;$A119))</f>
        <v>0</v>
      </c>
      <c r="CF119" s="3">
        <f>IF(RTD("tos.rtd",,CF$83,"."&amp;$C$82&amp;$AU$82&amp;"C"&amp;$A119)="N/A",0,RTD("tos.rtd",,CF$83,"."&amp;$C$82&amp;$AU$82&amp;"C"&amp;$A119))</f>
        <v>0.71</v>
      </c>
      <c r="CG119" s="3">
        <f>-IF(RTD("tos.rtd",,CG$83,"."&amp;$C$82&amp;$AU$82&amp;"P"&amp;$A119)="N/A",0,RTD("tos.rtd",,CG$83,"."&amp;$C$82&amp;$AU$82&amp;"P"&amp;$A119))</f>
        <v>0.13</v>
      </c>
      <c r="CH119" s="3">
        <f>IF(RTD("tos.rtd",,CH$83,"."&amp;$D$82&amp;$AW$82&amp;"C"&amp;$A119)="N/A",0,RTD("tos.rtd",,CH$83,"."&amp;$D$82&amp;$AW$82&amp;"C"&amp;$A119))</f>
        <v>0.67</v>
      </c>
      <c r="CI119" s="3">
        <f>-IF(RTD("tos.rtd",,CI$83,"."&amp;$D$82&amp;$AW$82&amp;"P"&amp;$A119)="N/A",0,RTD("tos.rtd",,CI$83,"."&amp;$D$82&amp;$AW$82&amp;"P"&amp;$A119))</f>
        <v>0.27</v>
      </c>
      <c r="CK119" s="3">
        <f t="shared" si="529"/>
        <v>12300</v>
      </c>
      <c r="CL119" s="3"/>
      <c r="CM119" s="3">
        <f t="shared" si="530"/>
        <v>7186</v>
      </c>
      <c r="CN119" s="3"/>
      <c r="CO119" s="3">
        <f t="shared" si="531"/>
        <v>-18066</v>
      </c>
      <c r="CP119" s="3">
        <f t="shared" si="460"/>
        <v>1420</v>
      </c>
      <c r="CQ119" s="3">
        <f t="shared" si="461"/>
        <v>0</v>
      </c>
      <c r="CR119" s="3"/>
      <c r="CS119" s="3">
        <f t="shared" si="462"/>
        <v>0</v>
      </c>
      <c r="CT119" s="3"/>
      <c r="CU119" s="3">
        <f t="shared" si="463"/>
        <v>0</v>
      </c>
      <c r="CV119" s="3"/>
      <c r="CW119" s="3" t="e">
        <f t="shared" ca="1" si="532"/>
        <v>#NUM!</v>
      </c>
      <c r="CY119" s="3" t="e">
        <f t="shared" ca="1" si="465"/>
        <v>#NUM!</v>
      </c>
      <c r="CZ119" s="70" t="e">
        <f t="shared" ca="1" si="508"/>
        <v>#NUM!</v>
      </c>
      <c r="DA119" s="3">
        <f>IF(RTD("tos.rtd",,DA$83,"."&amp;$B$82&amp;$AS$82&amp;"C"&amp;$A119)="N/A",0,RTD("tos.rtd",,DA$83,"."&amp;$B$82&amp;$AS$82&amp;"C"&amp;$A119))</f>
        <v>74.7</v>
      </c>
      <c r="DB119" s="3">
        <f>IF(RTD("tos.rtd",,DB$83,"."&amp;$B$82&amp;$AS$82&amp;"P"&amp;$A119)="N/A",0,RTD("tos.rtd",,DB$83,"."&amp;$B$82&amp;$AS$82&amp;"P"&amp;$A119))</f>
        <v>0.03</v>
      </c>
      <c r="DC119" s="3">
        <f>IF(RTD("tos.rtd",,DC$83,"."&amp;$B$82&amp;$AS$82&amp;"C"&amp;$A119)="N/A",0,RTD("tos.rtd",,DC$83,"."&amp;$B$82&amp;$AS$82&amp;"C"&amp;$A119))</f>
        <v>101.7</v>
      </c>
      <c r="DD119" s="3">
        <f>IF(RTD("tos.rtd",,DD$83,"."&amp;$B$82&amp;$AS$82&amp;"P"&amp;$A119)="N/A",0,RTD("tos.rtd",,DD$83,"."&amp;$B$82&amp;$AS$82&amp;"P"&amp;$A119))</f>
        <v>0.05</v>
      </c>
      <c r="DE119" s="3">
        <f>IF(RTD("tos.rtd",,DE$83,"."&amp;$B$82&amp;$AS$82&amp;"C"&amp;$A119)="N/A",0,RTD("tos.rtd",,DE$83,"."&amp;$B$82&amp;$AS$82&amp;"C"&amp;$A119))</f>
        <v>98.4</v>
      </c>
      <c r="DF119" s="3">
        <f>IF(RTD("tos.rtd",,DF$83,"."&amp;$B$82&amp;$AS$82&amp;"P"&amp;$A119)="N/A",0,RTD("tos.rtd",,DF$83,"."&amp;$B$82&amp;$AS$82&amp;"P"&amp;$A119))</f>
        <v>0</v>
      </c>
      <c r="DG119" s="86">
        <f t="shared" si="497"/>
        <v>-101.27999999999975</v>
      </c>
      <c r="DH119" s="3">
        <f t="shared" si="466"/>
        <v>1931.9090909090928</v>
      </c>
      <c r="DI119" s="3">
        <f t="shared" si="467"/>
        <v>11123.4</v>
      </c>
      <c r="DJ119" s="3">
        <f t="shared" si="468"/>
        <v>269</v>
      </c>
      <c r="DK119" s="3">
        <f t="shared" si="469"/>
        <v>18539</v>
      </c>
      <c r="DL119" s="3">
        <f t="shared" si="470"/>
        <v>13055.309090909093</v>
      </c>
      <c r="DM119" s="3">
        <f t="shared" si="471"/>
        <v>18808</v>
      </c>
      <c r="DN119" s="64" t="str">
        <f t="shared" si="472"/>
        <v>UNKNOWN</v>
      </c>
      <c r="DO119" s="64" t="str">
        <f t="shared" si="473"/>
        <v>UNKNOWN</v>
      </c>
      <c r="DP119" s="3">
        <f t="shared" si="474"/>
        <v>144647.31109090924</v>
      </c>
      <c r="DQ119" s="3">
        <f t="shared" si="475"/>
        <v>20650.469999999998</v>
      </c>
      <c r="DR119" s="3" t="e">
        <f t="shared" ca="1" si="476"/>
        <v>#NUM!</v>
      </c>
      <c r="DS119" s="3">
        <f t="shared" si="477"/>
        <v>269</v>
      </c>
      <c r="DT119" s="3">
        <f t="shared" si="498"/>
        <v>-269</v>
      </c>
      <c r="DU119" s="3">
        <f t="shared" si="499"/>
        <v>18539</v>
      </c>
      <c r="DV119" s="3">
        <f t="shared" si="500"/>
        <v>43</v>
      </c>
      <c r="DW119" s="3">
        <f t="shared" si="501"/>
        <v>-658</v>
      </c>
      <c r="DX119" s="3" t="e">
        <f t="shared" ca="1" si="509"/>
        <v>#NUM!</v>
      </c>
      <c r="DY119" s="3" t="e">
        <f t="shared" ca="1" si="478"/>
        <v>#NUM!</v>
      </c>
      <c r="DZ119" s="3">
        <f t="shared" ca="1" si="502"/>
        <v>1.5504588953812245E-3</v>
      </c>
      <c r="EA119" s="3">
        <f t="shared" ca="1" si="503"/>
        <v>-2.3036888837979709E-3</v>
      </c>
      <c r="EB119" s="3">
        <f t="shared" ca="1" si="479"/>
        <v>2.1698002919711152E-3</v>
      </c>
      <c r="EC119" s="3">
        <f t="shared" ca="1" si="480"/>
        <v>-2.3028300302792956E-3</v>
      </c>
      <c r="ED119" s="63">
        <f t="shared" si="504"/>
        <v>-615</v>
      </c>
      <c r="EE119" s="59">
        <f t="shared" si="481"/>
        <v>0.25</v>
      </c>
      <c r="EF119" s="59">
        <f t="shared" si="482"/>
        <v>0.84960000000000002</v>
      </c>
      <c r="EG119" s="59">
        <f t="shared" si="483"/>
        <v>0.50090000000000001</v>
      </c>
      <c r="EH119" s="59">
        <f t="shared" si="484"/>
        <v>0.2382</v>
      </c>
      <c r="EI119" s="59">
        <f t="shared" si="485"/>
        <v>0.29659999999999997</v>
      </c>
      <c r="EJ119" s="59">
        <f t="shared" si="486"/>
        <v>0.21360000000000001</v>
      </c>
      <c r="EL119" s="3" t="str">
        <f>RTD("tos.rtd",,EL$83,"."&amp;$B$82&amp;$AS$82&amp;"C"&amp;$A119)</f>
        <v>--</v>
      </c>
      <c r="EM119" s="3" t="str">
        <f>RTD("tos.rtd",,EM$83,"."&amp;$B$82&amp;$AS$82&amp;"P"&amp;$A119)</f>
        <v>84.96%</v>
      </c>
      <c r="EN119" s="3" t="str">
        <f>RTD("tos.rtd",,EN$83,"."&amp;$C$82&amp;$AU$82&amp;"C"&amp;$A119)</f>
        <v>50.09%</v>
      </c>
      <c r="EO119" s="3" t="str">
        <f>RTD("tos.rtd",,EO$83,"."&amp;$C$82&amp;$AU$82&amp;"P"&amp;$A119)</f>
        <v>23.82%</v>
      </c>
      <c r="EP119" s="3" t="str">
        <f>RTD("tos.rtd",,EP$83,"."&amp;$D$82&amp;$AW$82&amp;"C"&amp;$A119)</f>
        <v>29.66%</v>
      </c>
      <c r="EQ119" s="3" t="str">
        <f>RTD("tos.rtd",,EQ$83,"."&amp;$D$82&amp;$AW$82&amp;"P"&amp;$A119)</f>
        <v>21.36%</v>
      </c>
      <c r="ES119" s="63" t="str">
        <f t="shared" si="487"/>
        <v>5530,-615.00</v>
      </c>
      <c r="ET119" s="64" t="str">
        <f t="shared" ca="1" si="488"/>
        <v>5530,00.00</v>
      </c>
      <c r="EU119" s="67">
        <v>562.14</v>
      </c>
      <c r="EV119" s="67" t="s">
        <v>972</v>
      </c>
      <c r="EW119" s="67">
        <v>484.43</v>
      </c>
      <c r="EX119" s="67" t="s">
        <v>973</v>
      </c>
      <c r="EY119" s="67">
        <v>5635.25</v>
      </c>
      <c r="EZ119" s="67" t="s">
        <v>974</v>
      </c>
      <c r="FA119" s="67">
        <v>19899.5</v>
      </c>
      <c r="FB119" s="67" t="s">
        <v>975</v>
      </c>
      <c r="FC119" s="67" t="s">
        <v>976</v>
      </c>
      <c r="FD119" s="67" t="s">
        <v>977</v>
      </c>
      <c r="FE119" s="68" t="s">
        <v>978</v>
      </c>
      <c r="FF119" s="68" t="s">
        <v>979</v>
      </c>
    </row>
    <row r="120" spans="1:162" s="63" customFormat="1" ht="12" customHeight="1" thickBot="1" x14ac:dyDescent="0.25">
      <c r="A120" s="2">
        <f t="shared" si="505"/>
        <v>5520</v>
      </c>
      <c r="B120" s="3">
        <f t="shared" si="449"/>
        <v>1344</v>
      </c>
      <c r="C120" s="3">
        <f t="shared" si="450"/>
        <v>730</v>
      </c>
      <c r="D120" s="3">
        <f t="shared" si="451"/>
        <v>488</v>
      </c>
      <c r="E120" s="3">
        <f t="shared" si="525"/>
        <v>2562</v>
      </c>
      <c r="F120" s="4">
        <f t="shared" si="526"/>
        <v>5567.7572416928297</v>
      </c>
      <c r="G120" s="4">
        <f t="shared" si="527"/>
        <v>553.17824721910483</v>
      </c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20"/>
      <c r="AM120" s="20">
        <v>109</v>
      </c>
      <c r="AN120" s="20">
        <v>-1776</v>
      </c>
      <c r="AO120" s="20">
        <v>5520</v>
      </c>
      <c r="AP120" s="20">
        <v>325</v>
      </c>
      <c r="AQ120" s="20">
        <v>-18093</v>
      </c>
      <c r="AR120" s="20"/>
      <c r="AS120" s="54">
        <f>IF(RTD("tos.rtd",,AS$83,"."&amp;$B$82&amp;$AS$82&amp;"C"&amp;$A120)="N/A",0,RTD("tos.rtd",,AS$83,"."&amp;$B$82&amp;$AS$82&amp;"C"&amp;$A120))</f>
        <v>205</v>
      </c>
      <c r="AT120" s="3">
        <f>-IF(RTD("tos.rtd",,AT$83,"."&amp;$B$82&amp;$AS$82&amp;"P"&amp;$A120)="N/A",0,RTD("tos.rtd",,AT$83,"."&amp;$B$82&amp;$AS$82&amp;"P"&amp;$A120))</f>
        <v>-1139</v>
      </c>
      <c r="AU120" s="54">
        <f>IF(RTD("tos.rtd",,AU$83,"."&amp;$C$82&amp;$AU$82&amp;"C"&amp;$A120)="N/A",0,RTD("tos.rtd",,AU$83,"."&amp;$C$82&amp;$AU$82&amp;"C"&amp;$A120))</f>
        <v>317</v>
      </c>
      <c r="AV120" s="3">
        <f>-IF(RTD("tos.rtd",,AV$83,"."&amp;$C$82&amp;$AU$82&amp;"P"&amp;$A120)="N/A",0,RTD("tos.rtd",,AV$83,"."&amp;$C$82&amp;$AU$82&amp;"P"&amp;$A120))</f>
        <v>-413</v>
      </c>
      <c r="AW120" s="54">
        <f>IF(RTD("tos.rtd",,AW$83,"."&amp;$D$82&amp;$AW$82&amp;"C"&amp;$A120)="N/A",0,RTD("tos.rtd",,AW$83,"."&amp;$D$82&amp;$AW$82&amp;"C"&amp;$A120))</f>
        <v>137</v>
      </c>
      <c r="AX120" s="3">
        <f>-IF(RTD("tos.rtd",,AX$83,"."&amp;$D$82&amp;$AW$82&amp;"P"&amp;$A120)="N/A",0,RTD("tos.rtd",,AX$83,"."&amp;$D$82&amp;$AW$82&amp;"P"&amp;$A120))</f>
        <v>-351</v>
      </c>
      <c r="AY120" s="79">
        <f t="shared" si="528"/>
        <v>-1244</v>
      </c>
      <c r="AZ120" s="8">
        <f t="shared" si="453"/>
        <v>5520</v>
      </c>
      <c r="BA120" s="54">
        <f>IF(RTD("tos.rtd",,BA$83,"."&amp;$B$82&amp;$AS$82&amp;"C"&amp;$A120)="N/A",0,RTD("tos.rtd",,BA$83,"."&amp;$B$82&amp;$AS$82&amp;"C"&amp;$A120))</f>
        <v>0</v>
      </c>
      <c r="BB120" s="3">
        <f>-IF(RTD("tos.rtd",,BB$83,"."&amp;$B$82&amp;$AS$82&amp;"P"&amp;$A120)="N/A",0,RTD("tos.rtd",,BB$83,"."&amp;$B$82&amp;$AS$82&amp;"P"&amp;$A120))</f>
        <v>0</v>
      </c>
      <c r="BC120" s="54">
        <f>IF(RTD("tos.rtd",,BC$83,"."&amp;$C$82&amp;$AU$82&amp;"C"&amp;$A120)="N/A",0,RTD("tos.rtd",,BC$83,"."&amp;$C$82&amp;$AU$82&amp;"C"&amp;$A120))</f>
        <v>1</v>
      </c>
      <c r="BD120" s="3">
        <f>-IF(RTD("tos.rtd",,BD$83,"."&amp;$C$82&amp;$AU$82&amp;"P"&amp;$A120)="N/A",0,RTD("tos.rtd",,BD$83,"."&amp;$C$82&amp;$AU$82&amp;"P"&amp;$A120))</f>
        <v>-2</v>
      </c>
      <c r="BE120" s="54">
        <f>IF(RTD("tos.rtd",,BE$83,"."&amp;$D$82&amp;$AW$82&amp;"C"&amp;$A120)="N/A",0,RTD("tos.rtd",,BE$83,"."&amp;$D$82&amp;$AW$82&amp;"C"&amp;$A120))</f>
        <v>0</v>
      </c>
      <c r="BF120" s="3">
        <f>-IF(RTD("tos.rtd",,BF$83,"."&amp;$D$82&amp;$AW$82&amp;"P"&amp;$A120)="N/A",0,RTD("tos.rtd",,BF$83,"."&amp;$D$82&amp;$AW$82&amp;"P"&amp;$A120))</f>
        <v>0</v>
      </c>
      <c r="BG120" s="3">
        <f ca="1">+Hoja2!Y121</f>
        <v>0</v>
      </c>
      <c r="BH120" s="55">
        <f t="shared" ca="1" si="491"/>
        <v>-1</v>
      </c>
      <c r="BI120" s="32" t="str">
        <f t="shared" ca="1" si="510"/>
        <v/>
      </c>
      <c r="BJ120" s="3" t="e">
        <f ca="1">IF($BP$1=1,DX120,IF(RTD("tos.rtd",,BJ$83,"."&amp;$B$82&amp;$AS$82&amp;"C"&amp;$A120)="N/A",0,RTD("tos.rtd",,BJ$83,"."&amp;$B$82&amp;$AS$82&amp;"C"&amp;$A120)))</f>
        <v>#NUM!</v>
      </c>
      <c r="BK120" s="3" t="e">
        <f ca="1">IF($BP$1=1,DY120,-IF(RTD("tos.rtd",,BK$83,"."&amp;$B$82&amp;$AS$82&amp;"P"&amp;$A120)="N/A",0,RTD("tos.rtd",,BK$83,"."&amp;$B$82&amp;$AS$82&amp;"P"&amp;$A120)))</f>
        <v>#NUM!</v>
      </c>
      <c r="BL120" s="3">
        <f ca="1">IF($BP$1=1,DZ120,IF(RTD("tos.rtd",,BL$83,"."&amp;$C$82&amp;$AU$82&amp;"C"&amp;$A120)="N/A",0,RTD("tos.rtd",,BL$83,"."&amp;$C$82&amp;$AU$82&amp;"C"&amp;$A120)))</f>
        <v>1.4799124362051793E-3</v>
      </c>
      <c r="BM120" s="3">
        <f ca="1">IF($BP$1=1,EA120,-IF(RTD("tos.rtd",,BM$83,"."&amp;$C$82&amp;$AU$82&amp;"P"&amp;$A120)="N/A",0,RTD("tos.rtd",,BM$83,"."&amp;$C$82&amp;$AU$82&amp;"P"&amp;$A120)))</f>
        <v>-2.1008369111840701E-3</v>
      </c>
      <c r="BN120" s="3">
        <f ca="1">IF($BP$1=1,EB120,IF(RTD("tos.rtd",,BN$83,"."&amp;$D$82&amp;$AW$82&amp;"C"&amp;$A120)="N/A",0,RTD("tos.rtd",,BN$83,"."&amp;$D$82&amp;$AW$82&amp;"C"&amp;$A120)))</f>
        <v>2.0354798596476532E-3</v>
      </c>
      <c r="BO120" s="3">
        <f ca="1">IF($BP$1=1,EC120,-IF(RTD("tos.rtd",,BO$83,"."&amp;$D$82&amp;$AW$82&amp;"P"&amp;$A120)="N/A",0,RTD("tos.rtd",,BO$83,"."&amp;$D$82&amp;$AW$82&amp;"P"&amp;$A120)))</f>
        <v>-2.0591719513312202E-3</v>
      </c>
      <c r="BQ120" s="3" t="e">
        <f t="shared" ca="1" si="454"/>
        <v>#NUM!</v>
      </c>
      <c r="BR120" s="3" t="e">
        <f t="shared" ca="1" si="492"/>
        <v>#NUM!</v>
      </c>
      <c r="BS120" s="3">
        <f t="shared" ca="1" si="455"/>
        <v>-94456.811207407358</v>
      </c>
      <c r="BT120" s="3" t="str">
        <f t="shared" ca="1" si="492"/>
        <v/>
      </c>
      <c r="BU120" s="3">
        <f t="shared" ca="1" si="456"/>
        <v>-105216.51704769832</v>
      </c>
      <c r="BV120" s="3" t="str">
        <f t="shared" ca="1" si="492"/>
        <v/>
      </c>
      <c r="BX120" s="3" t="e">
        <f t="shared" ca="1" si="457"/>
        <v>#NUM!</v>
      </c>
      <c r="BY120" s="3" t="e">
        <f t="shared" ca="1" si="507"/>
        <v>#NUM!</v>
      </c>
      <c r="BZ120" s="3">
        <f t="shared" ca="1" si="458"/>
        <v>-645.1198380959961</v>
      </c>
      <c r="CA120" s="3" t="str">
        <f t="shared" ca="1" si="507"/>
        <v/>
      </c>
      <c r="CB120" s="3">
        <f t="shared" ca="1" si="459"/>
        <v>0</v>
      </c>
      <c r="CC120" s="3" t="str">
        <f t="shared" ca="1" si="507"/>
        <v/>
      </c>
      <c r="CD120" s="3">
        <f>IF(RTD("tos.rtd",,CD$83,"."&amp;$B$82&amp;$AS$82&amp;"C"&amp;$A120)="N/A",0,RTD("tos.rtd",,CD$83,"."&amp;$B$82&amp;$AS$82&amp;"C"&amp;$A120))</f>
        <v>1</v>
      </c>
      <c r="CE120" s="3">
        <f>-IF(RTD("tos.rtd",,CE$83,"."&amp;$B$82&amp;$AS$82&amp;"P"&amp;$A120)="N/A",0,RTD("tos.rtd",,CE$83,"."&amp;$B$82&amp;$AS$82&amp;"P"&amp;$A120))</f>
        <v>0</v>
      </c>
      <c r="CF120" s="3">
        <f>IF(RTD("tos.rtd",,CF$83,"."&amp;$C$82&amp;$AU$82&amp;"C"&amp;$A120)="N/A",0,RTD("tos.rtd",,CF$83,"."&amp;$C$82&amp;$AU$82&amp;"C"&amp;$A120))</f>
        <v>0.72</v>
      </c>
      <c r="CG120" s="3">
        <f>-IF(RTD("tos.rtd",,CG$83,"."&amp;$C$82&amp;$AU$82&amp;"P"&amp;$A120)="N/A",0,RTD("tos.rtd",,CG$83,"."&amp;$C$82&amp;$AU$82&amp;"P"&amp;$A120))</f>
        <v>0.11</v>
      </c>
      <c r="CH120" s="3">
        <f>IF(RTD("tos.rtd",,CH$83,"."&amp;$D$82&amp;$AW$82&amp;"C"&amp;$A120)="N/A",0,RTD("tos.rtd",,CH$83,"."&amp;$D$82&amp;$AW$82&amp;"C"&amp;$A120))</f>
        <v>0.68</v>
      </c>
      <c r="CI120" s="3">
        <f>-IF(RTD("tos.rtd",,CI$83,"."&amp;$D$82&amp;$AW$82&amp;"P"&amp;$A120)="N/A",0,RTD("tos.rtd",,CI$83,"."&amp;$D$82&amp;$AW$82&amp;"P"&amp;$A120))</f>
        <v>0.26</v>
      </c>
      <c r="CK120" s="3">
        <f t="shared" si="529"/>
        <v>20500</v>
      </c>
      <c r="CL120" s="3"/>
      <c r="CM120" s="3">
        <f t="shared" si="530"/>
        <v>18280.999999999996</v>
      </c>
      <c r="CN120" s="3"/>
      <c r="CO120" s="3">
        <f t="shared" si="531"/>
        <v>190.00000000000182</v>
      </c>
      <c r="CP120" s="3">
        <f t="shared" si="460"/>
        <v>38971</v>
      </c>
      <c r="CQ120" s="3">
        <f t="shared" si="461"/>
        <v>0</v>
      </c>
      <c r="CR120" s="3"/>
      <c r="CS120" s="3">
        <f t="shared" si="462"/>
        <v>-1</v>
      </c>
      <c r="CT120" s="3"/>
      <c r="CU120" s="3">
        <f t="shared" si="463"/>
        <v>0</v>
      </c>
      <c r="CV120" s="3"/>
      <c r="CW120" s="3" t="e">
        <f t="shared" ca="1" si="532"/>
        <v>#NUM!</v>
      </c>
      <c r="CY120" s="3" t="e">
        <f t="shared" ca="1" si="465"/>
        <v>#NUM!</v>
      </c>
      <c r="CZ120" s="70" t="e">
        <f t="shared" ca="1" si="508"/>
        <v>#NUM!</v>
      </c>
      <c r="DA120" s="3">
        <f>IF(RTD("tos.rtd",,DA$83,"."&amp;$B$82&amp;$AS$82&amp;"C"&amp;$A120)="N/A",0,RTD("tos.rtd",,DA$83,"."&amp;$B$82&amp;$AS$82&amp;"C"&amp;$A120))</f>
        <v>104.3</v>
      </c>
      <c r="DB120" s="3">
        <f>IF(RTD("tos.rtd",,DB$83,"."&amp;$B$82&amp;$AS$82&amp;"P"&amp;$A120)="N/A",0,RTD("tos.rtd",,DB$83,"."&amp;$B$82&amp;$AS$82&amp;"P"&amp;$A120))</f>
        <v>0.03</v>
      </c>
      <c r="DC120" s="3">
        <f>IF(RTD("tos.rtd",,DC$83,"."&amp;$B$82&amp;$AS$82&amp;"C"&amp;$A120)="N/A",0,RTD("tos.rtd",,DC$83,"."&amp;$B$82&amp;$AS$82&amp;"C"&amp;$A120))</f>
        <v>111.7</v>
      </c>
      <c r="DD120" s="3">
        <f>IF(RTD("tos.rtd",,DD$83,"."&amp;$B$82&amp;$AS$82&amp;"P"&amp;$A120)="N/A",0,RTD("tos.rtd",,DD$83,"."&amp;$B$82&amp;$AS$82&amp;"P"&amp;$A120))</f>
        <v>0.05</v>
      </c>
      <c r="DE120" s="3">
        <f>IF(RTD("tos.rtd",,DE$83,"."&amp;$B$82&amp;$AS$82&amp;"C"&amp;$A120)="N/A",0,RTD("tos.rtd",,DE$83,"."&amp;$B$82&amp;$AS$82&amp;"C"&amp;$A120))</f>
        <v>108.5</v>
      </c>
      <c r="DF120" s="3">
        <f>IF(RTD("tos.rtd",,DF$83,"."&amp;$B$82&amp;$AS$82&amp;"P"&amp;$A120)="N/A",0,RTD("tos.rtd",,DF$83,"."&amp;$B$82&amp;$AS$82&amp;"P"&amp;$A120))</f>
        <v>0</v>
      </c>
      <c r="DG120" s="86">
        <f t="shared" si="497"/>
        <v>-111.27999999999975</v>
      </c>
      <c r="DH120" s="3">
        <f t="shared" si="466"/>
        <v>426.56249999999994</v>
      </c>
      <c r="DI120" s="3">
        <f t="shared" si="467"/>
        <v>10855.8</v>
      </c>
      <c r="DJ120" s="3">
        <f t="shared" si="468"/>
        <v>325</v>
      </c>
      <c r="DK120" s="3">
        <f t="shared" si="469"/>
        <v>18093</v>
      </c>
      <c r="DL120" s="3">
        <f t="shared" si="470"/>
        <v>11282.362499999999</v>
      </c>
      <c r="DM120" s="3">
        <f t="shared" si="471"/>
        <v>18418</v>
      </c>
      <c r="DN120" s="64" t="str">
        <f t="shared" si="472"/>
        <v>UNKNOWN</v>
      </c>
      <c r="DO120" s="64" t="str">
        <f t="shared" si="473"/>
        <v>UNKNOWN</v>
      </c>
      <c r="DP120" s="3">
        <f t="shared" si="474"/>
        <v>44816.142749999992</v>
      </c>
      <c r="DQ120" s="3">
        <f t="shared" si="475"/>
        <v>34440.29</v>
      </c>
      <c r="DR120" s="3" t="e">
        <f t="shared" ca="1" si="476"/>
        <v>#NUM!</v>
      </c>
      <c r="DS120" s="3">
        <f t="shared" si="477"/>
        <v>325</v>
      </c>
      <c r="DT120" s="3">
        <f t="shared" si="498"/>
        <v>-325</v>
      </c>
      <c r="DU120" s="3">
        <f t="shared" si="499"/>
        <v>18093</v>
      </c>
      <c r="DV120" s="3">
        <f t="shared" si="500"/>
        <v>109</v>
      </c>
      <c r="DW120" s="3">
        <f t="shared" si="501"/>
        <v>-1776</v>
      </c>
      <c r="DX120" s="3" t="e">
        <f t="shared" ca="1" si="509"/>
        <v>#NUM!</v>
      </c>
      <c r="DY120" s="3" t="e">
        <f t="shared" ca="1" si="478"/>
        <v>#NUM!</v>
      </c>
      <c r="DZ120" s="3">
        <f t="shared" ca="1" si="502"/>
        <v>1.4799124362051793E-3</v>
      </c>
      <c r="EA120" s="3">
        <f t="shared" ca="1" si="503"/>
        <v>-2.1008369111840701E-3</v>
      </c>
      <c r="EB120" s="3">
        <f t="shared" ca="1" si="479"/>
        <v>2.0354798596476532E-3</v>
      </c>
      <c r="EC120" s="3">
        <f t="shared" ca="1" si="480"/>
        <v>-2.0591719513312202E-3</v>
      </c>
      <c r="ED120" s="63">
        <f t="shared" si="504"/>
        <v>-1667</v>
      </c>
      <c r="EE120" s="59">
        <f t="shared" si="481"/>
        <v>0.25</v>
      </c>
      <c r="EF120" s="59">
        <f t="shared" si="482"/>
        <v>0.92589999999999995</v>
      </c>
      <c r="EG120" s="59">
        <f t="shared" si="483"/>
        <v>0.51739999999999997</v>
      </c>
      <c r="EH120" s="59">
        <f t="shared" si="484"/>
        <v>0.2432</v>
      </c>
      <c r="EI120" s="59">
        <f t="shared" si="485"/>
        <v>0.29980000000000001</v>
      </c>
      <c r="EJ120" s="59">
        <f t="shared" si="486"/>
        <v>0.21629999999999999</v>
      </c>
      <c r="EL120" s="3" t="str">
        <f>RTD("tos.rtd",,EL$83,"."&amp;$B$82&amp;$AS$82&amp;"C"&amp;$A120)</f>
        <v>--</v>
      </c>
      <c r="EM120" s="3" t="str">
        <f>RTD("tos.rtd",,EM$83,"."&amp;$B$82&amp;$AS$82&amp;"P"&amp;$A120)</f>
        <v>92.59%</v>
      </c>
      <c r="EN120" s="3" t="str">
        <f>RTD("tos.rtd",,EN$83,"."&amp;$C$82&amp;$AU$82&amp;"C"&amp;$A120)</f>
        <v>51.74%</v>
      </c>
      <c r="EO120" s="3" t="str">
        <f>RTD("tos.rtd",,EO$83,"."&amp;$C$82&amp;$AU$82&amp;"P"&amp;$A120)</f>
        <v>24.32%</v>
      </c>
      <c r="EP120" s="3" t="str">
        <f>RTD("tos.rtd",,EP$83,"."&amp;$D$82&amp;$AW$82&amp;"C"&amp;$A120)</f>
        <v>29.98%</v>
      </c>
      <c r="EQ120" s="3" t="str">
        <f>RTD("tos.rtd",,EQ$83,"."&amp;$D$82&amp;$AW$82&amp;"P"&amp;$A120)</f>
        <v>21.63%</v>
      </c>
      <c r="ES120" s="63" t="str">
        <f t="shared" si="487"/>
        <v>5520,-1667.00</v>
      </c>
      <c r="ET120" s="64" t="str">
        <f t="shared" ca="1" si="488"/>
        <v>5520,00.00</v>
      </c>
      <c r="EU120" s="67">
        <v>562.35</v>
      </c>
      <c r="EV120" s="67" t="s">
        <v>980</v>
      </c>
      <c r="EW120" s="67">
        <v>484.67</v>
      </c>
      <c r="EX120" s="67" t="s">
        <v>981</v>
      </c>
      <c r="EY120" s="67">
        <v>5637.25</v>
      </c>
      <c r="EZ120" s="67" t="s">
        <v>982</v>
      </c>
      <c r="FA120" s="67">
        <v>19909.5</v>
      </c>
      <c r="FB120" s="67" t="s">
        <v>983</v>
      </c>
      <c r="FC120" s="67" t="s">
        <v>984</v>
      </c>
      <c r="FD120" s="67" t="s">
        <v>985</v>
      </c>
      <c r="FE120" s="68" t="s">
        <v>986</v>
      </c>
      <c r="FF120" s="68" t="s">
        <v>987</v>
      </c>
    </row>
    <row r="121" spans="1:162" s="63" customFormat="1" ht="12" customHeight="1" thickBot="1" x14ac:dyDescent="0.25">
      <c r="A121" s="2">
        <f t="shared" si="505"/>
        <v>5510</v>
      </c>
      <c r="B121" s="3">
        <f t="shared" si="449"/>
        <v>1474</v>
      </c>
      <c r="C121" s="3">
        <f t="shared" si="450"/>
        <v>674</v>
      </c>
      <c r="D121" s="3">
        <f t="shared" si="451"/>
        <v>640</v>
      </c>
      <c r="E121" s="3">
        <f t="shared" si="525"/>
        <v>2788</v>
      </c>
      <c r="F121" s="4">
        <f t="shared" si="526"/>
        <v>5557.6707249506326</v>
      </c>
      <c r="G121" s="4">
        <f t="shared" si="527"/>
        <v>552.17611271327314</v>
      </c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20"/>
      <c r="AM121" s="20">
        <v>-10</v>
      </c>
      <c r="AN121" s="20">
        <v>-1456</v>
      </c>
      <c r="AO121" s="20">
        <v>5510</v>
      </c>
      <c r="AP121" s="20">
        <v>200</v>
      </c>
      <c r="AQ121" s="20">
        <v>-16593</v>
      </c>
      <c r="AR121" s="20"/>
      <c r="AS121" s="54">
        <f>IF(RTD("tos.rtd",,AS$83,"."&amp;$B$82&amp;$AS$82&amp;"C"&amp;$A121)="N/A",0,RTD("tos.rtd",,AS$83,"."&amp;$B$82&amp;$AS$82&amp;"C"&amp;$A121))</f>
        <v>178</v>
      </c>
      <c r="AT121" s="3">
        <f>-IF(RTD("tos.rtd",,AT$83,"."&amp;$B$82&amp;$AS$82&amp;"P"&amp;$A121)="N/A",0,RTD("tos.rtd",,AT$83,"."&amp;$B$82&amp;$AS$82&amp;"P"&amp;$A121))</f>
        <v>-1296</v>
      </c>
      <c r="AU121" s="54">
        <f>IF(RTD("tos.rtd",,AU$83,"."&amp;$C$82&amp;$AU$82&amp;"C"&amp;$A121)="N/A",0,RTD("tos.rtd",,AU$83,"."&amp;$C$82&amp;$AU$82&amp;"C"&amp;$A121))</f>
        <v>358</v>
      </c>
      <c r="AV121" s="3">
        <f>-IF(RTD("tos.rtd",,AV$83,"."&amp;$C$82&amp;$AU$82&amp;"P"&amp;$A121)="N/A",0,RTD("tos.rtd",,AV$83,"."&amp;$C$82&amp;$AU$82&amp;"P"&amp;$A121))</f>
        <v>-316</v>
      </c>
      <c r="AW121" s="54">
        <f>IF(RTD("tos.rtd",,AW$83,"."&amp;$D$82&amp;$AW$82&amp;"C"&amp;$A121)="N/A",0,RTD("tos.rtd",,AW$83,"."&amp;$D$82&amp;$AW$82&amp;"C"&amp;$A121))</f>
        <v>457</v>
      </c>
      <c r="AX121" s="3">
        <f>-IF(RTD("tos.rtd",,AX$83,"."&amp;$D$82&amp;$AW$82&amp;"P"&amp;$A121)="N/A",0,RTD("tos.rtd",,AX$83,"."&amp;$D$82&amp;$AW$82&amp;"P"&amp;$A121))</f>
        <v>-183</v>
      </c>
      <c r="AY121" s="79">
        <f t="shared" si="528"/>
        <v>-802</v>
      </c>
      <c r="AZ121" s="8">
        <f t="shared" si="453"/>
        <v>5510</v>
      </c>
      <c r="BA121" s="54">
        <f>IF(RTD("tos.rtd",,BA$83,"."&amp;$B$82&amp;$AS$82&amp;"C"&amp;$A121)="N/A",0,RTD("tos.rtd",,BA$83,"."&amp;$B$82&amp;$AS$82&amp;"C"&amp;$A121))</f>
        <v>0</v>
      </c>
      <c r="BB121" s="3">
        <f>-IF(RTD("tos.rtd",,BB$83,"."&amp;$B$82&amp;$AS$82&amp;"P"&amp;$A121)="N/A",0,RTD("tos.rtd",,BB$83,"."&amp;$B$82&amp;$AS$82&amp;"P"&amp;$A121))</f>
        <v>0</v>
      </c>
      <c r="BC121" s="54">
        <f>IF(RTD("tos.rtd",,BC$83,"."&amp;$C$82&amp;$AU$82&amp;"C"&amp;$A121)="N/A",0,RTD("tos.rtd",,BC$83,"."&amp;$C$82&amp;$AU$82&amp;"C"&amp;$A121))</f>
        <v>0</v>
      </c>
      <c r="BD121" s="3">
        <f>-IF(RTD("tos.rtd",,BD$83,"."&amp;$C$82&amp;$AU$82&amp;"P"&amp;$A121)="N/A",0,RTD("tos.rtd",,BD$83,"."&amp;$C$82&amp;$AU$82&amp;"P"&amp;$A121))</f>
        <v>0</v>
      </c>
      <c r="BE121" s="54">
        <f>IF(RTD("tos.rtd",,BE$83,"."&amp;$D$82&amp;$AW$82&amp;"C"&amp;$A121)="N/A",0,RTD("tos.rtd",,BE$83,"."&amp;$D$82&amp;$AW$82&amp;"C"&amp;$A121))</f>
        <v>0</v>
      </c>
      <c r="BF121" s="3">
        <f>-IF(RTD("tos.rtd",,BF$83,"."&amp;$D$82&amp;$AW$82&amp;"P"&amp;$A121)="N/A",0,RTD("tos.rtd",,BF$83,"."&amp;$D$82&amp;$AW$82&amp;"P"&amp;$A121))</f>
        <v>0</v>
      </c>
      <c r="BG121" s="3">
        <f ca="1">+Hoja2!Y122</f>
        <v>0</v>
      </c>
      <c r="BH121" s="55">
        <f t="shared" ca="1" si="491"/>
        <v>0</v>
      </c>
      <c r="BI121" s="32" t="str">
        <f t="shared" ca="1" si="510"/>
        <v/>
      </c>
      <c r="BJ121" s="3" t="e">
        <f ca="1">IF($BP$1=1,DX121,IF(RTD("tos.rtd",,BJ$83,"."&amp;$B$82&amp;$AS$82&amp;"C"&amp;$A121)="N/A",0,RTD("tos.rtd",,BJ$83,"."&amp;$B$82&amp;$AS$82&amp;"C"&amp;$A121)))</f>
        <v>#NUM!</v>
      </c>
      <c r="BK121" s="3" t="e">
        <f ca="1">IF($BP$1=1,DY121,-IF(RTD("tos.rtd",,BK$83,"."&amp;$B$82&amp;$AS$82&amp;"P"&amp;$A121)="N/A",0,RTD("tos.rtd",,BK$83,"."&amp;$B$82&amp;$AS$82&amp;"P"&amp;$A121)))</f>
        <v>#NUM!</v>
      </c>
      <c r="BL121" s="3">
        <f ca="1">IF($BP$1=1,DZ121,IF(RTD("tos.rtd",,BL$83,"."&amp;$C$82&amp;$AU$82&amp;"C"&amp;$A121)="N/A",0,RTD("tos.rtd",,BL$83,"."&amp;$C$82&amp;$AU$82&amp;"C"&amp;$A121)))</f>
        <v>1.4142687837800697E-3</v>
      </c>
      <c r="BM121" s="3">
        <f ca="1">IF($BP$1=1,EA121,-IF(RTD("tos.rtd",,BM$83,"."&amp;$C$82&amp;$AU$82&amp;"P"&amp;$A121)="N/A",0,RTD("tos.rtd",,BM$83,"."&amp;$C$82&amp;$AU$82&amp;"P"&amp;$A121)))</f>
        <v>-1.9130664464322919E-3</v>
      </c>
      <c r="BN121" s="3">
        <f ca="1">IF($BP$1=1,EB121,IF(RTD("tos.rtd",,BN$83,"."&amp;$D$82&amp;$AW$82&amp;"C"&amp;$A121)="N/A",0,RTD("tos.rtd",,BN$83,"."&amp;$D$82&amp;$AW$82&amp;"C"&amp;$A121)))</f>
        <v>1.8994348559133191E-3</v>
      </c>
      <c r="BO121" s="3">
        <f ca="1">IF($BP$1=1,EC121,-IF(RTD("tos.rtd",,BO$83,"."&amp;$D$82&amp;$AW$82&amp;"P"&amp;$A121)="N/A",0,RTD("tos.rtd",,BO$83,"."&amp;$D$82&amp;$AW$82&amp;"P"&amp;$A121)))</f>
        <v>-1.8323767832074196E-3</v>
      </c>
      <c r="BQ121" s="3" t="e">
        <f t="shared" ca="1" si="454"/>
        <v>#NUM!</v>
      </c>
      <c r="BR121" s="3" t="e">
        <f t="shared" ca="1" si="492"/>
        <v>#NUM!</v>
      </c>
      <c r="BS121" s="3">
        <f t="shared" ca="1" si="455"/>
        <v>-23280.574543260576</v>
      </c>
      <c r="BT121" s="3" t="str">
        <f t="shared" ca="1" si="492"/>
        <v/>
      </c>
      <c r="BU121" s="3">
        <f t="shared" ca="1" si="456"/>
        <v>126266.08754496642</v>
      </c>
      <c r="BV121" s="3" t="str">
        <f t="shared" ca="1" si="492"/>
        <v>Cruce +</v>
      </c>
      <c r="BX121" s="3" t="e">
        <f t="shared" ca="1" si="457"/>
        <v>#NUM!</v>
      </c>
      <c r="BY121" s="3" t="e">
        <f t="shared" ca="1" si="507"/>
        <v>#NUM!</v>
      </c>
      <c r="BZ121" s="3">
        <f t="shared" ca="1" si="458"/>
        <v>0</v>
      </c>
      <c r="CA121" s="3" t="str">
        <f t="shared" ca="1" si="507"/>
        <v/>
      </c>
      <c r="CB121" s="3">
        <f t="shared" ca="1" si="459"/>
        <v>0</v>
      </c>
      <c r="CC121" s="3" t="str">
        <f t="shared" ca="1" si="507"/>
        <v/>
      </c>
      <c r="CD121" s="3">
        <f>IF(RTD("tos.rtd",,CD$83,"."&amp;$B$82&amp;$AS$82&amp;"C"&amp;$A121)="N/A",0,RTD("tos.rtd",,CD$83,"."&amp;$B$82&amp;$AS$82&amp;"C"&amp;$A121))</f>
        <v>1</v>
      </c>
      <c r="CE121" s="3">
        <f>-IF(RTD("tos.rtd",,CE$83,"."&amp;$B$82&amp;$AS$82&amp;"P"&amp;$A121)="N/A",0,RTD("tos.rtd",,CE$83,"."&amp;$B$82&amp;$AS$82&amp;"P"&amp;$A121))</f>
        <v>0</v>
      </c>
      <c r="CF121" s="3">
        <f>IF(RTD("tos.rtd",,CF$83,"."&amp;$C$82&amp;$AU$82&amp;"C"&amp;$A121)="N/A",0,RTD("tos.rtd",,CF$83,"."&amp;$C$82&amp;$AU$82&amp;"C"&amp;$A121))</f>
        <v>0.73</v>
      </c>
      <c r="CG121" s="3">
        <f>-IF(RTD("tos.rtd",,CG$83,"."&amp;$C$82&amp;$AU$82&amp;"P"&amp;$A121)="N/A",0,RTD("tos.rtd",,CG$83,"."&amp;$C$82&amp;$AU$82&amp;"P"&amp;$A121))</f>
        <v>0.1</v>
      </c>
      <c r="CH121" s="3">
        <f>IF(RTD("tos.rtd",,CH$83,"."&amp;$D$82&amp;$AW$82&amp;"C"&amp;$A121)="N/A",0,RTD("tos.rtd",,CH$83,"."&amp;$D$82&amp;$AW$82&amp;"C"&amp;$A121))</f>
        <v>0.69</v>
      </c>
      <c r="CI121" s="3">
        <f>-IF(RTD("tos.rtd",,CI$83,"."&amp;$D$82&amp;$AW$82&amp;"P"&amp;$A121)="N/A",0,RTD("tos.rtd",,CI$83,"."&amp;$D$82&amp;$AW$82&amp;"P"&amp;$A121))</f>
        <v>0.24</v>
      </c>
      <c r="CK121" s="3">
        <f t="shared" si="529"/>
        <v>17800</v>
      </c>
      <c r="CL121" s="3"/>
      <c r="CM121" s="3">
        <f t="shared" si="530"/>
        <v>22973.999999999996</v>
      </c>
      <c r="CN121" s="3"/>
      <c r="CO121" s="3">
        <f t="shared" si="531"/>
        <v>27141</v>
      </c>
      <c r="CP121" s="3">
        <f t="shared" si="460"/>
        <v>67915</v>
      </c>
      <c r="CQ121" s="3">
        <f t="shared" si="461"/>
        <v>0</v>
      </c>
      <c r="CR121" s="3"/>
      <c r="CS121" s="3">
        <f t="shared" si="462"/>
        <v>0</v>
      </c>
      <c r="CT121" s="3"/>
      <c r="CU121" s="3">
        <f t="shared" si="463"/>
        <v>0</v>
      </c>
      <c r="CV121" s="3"/>
      <c r="CW121" s="3" t="e">
        <f t="shared" ca="1" si="532"/>
        <v>#NUM!</v>
      </c>
      <c r="CY121" s="3" t="e">
        <f t="shared" ca="1" si="465"/>
        <v>#NUM!</v>
      </c>
      <c r="CZ121" s="70" t="e">
        <f t="shared" ca="1" si="508"/>
        <v>#NUM!</v>
      </c>
      <c r="DA121" s="3">
        <f>IF(RTD("tos.rtd",,DA$83,"."&amp;$B$82&amp;$AS$82&amp;"C"&amp;$A121)="N/A",0,RTD("tos.rtd",,DA$83,"."&amp;$B$82&amp;$AS$82&amp;"C"&amp;$A121))</f>
        <v>119.49</v>
      </c>
      <c r="DB121" s="3">
        <f>IF(RTD("tos.rtd",,DB$83,"."&amp;$B$82&amp;$AS$82&amp;"P"&amp;$A121)="N/A",0,RTD("tos.rtd",,DB$83,"."&amp;$B$82&amp;$AS$82&amp;"P"&amp;$A121))</f>
        <v>0.05</v>
      </c>
      <c r="DC121" s="3">
        <f>IF(RTD("tos.rtd",,DC$83,"."&amp;$B$82&amp;$AS$82&amp;"C"&amp;$A121)="N/A",0,RTD("tos.rtd",,DC$83,"."&amp;$B$82&amp;$AS$82&amp;"C"&amp;$A121))</f>
        <v>121.7</v>
      </c>
      <c r="DD121" s="3">
        <f>IF(RTD("tos.rtd",,DD$83,"."&amp;$B$82&amp;$AS$82&amp;"P"&amp;$A121)="N/A",0,RTD("tos.rtd",,DD$83,"."&amp;$B$82&amp;$AS$82&amp;"P"&amp;$A121))</f>
        <v>0.05</v>
      </c>
      <c r="DE121" s="3">
        <f>IF(RTD("tos.rtd",,DE$83,"."&amp;$B$82&amp;$AS$82&amp;"C"&amp;$A121)="N/A",0,RTD("tos.rtd",,DE$83,"."&amp;$B$82&amp;$AS$82&amp;"C"&amp;$A121))</f>
        <v>118.5</v>
      </c>
      <c r="DF121" s="3">
        <f>IF(RTD("tos.rtd",,DF$83,"."&amp;$B$82&amp;$AS$82&amp;"P"&amp;$A121)="N/A",0,RTD("tos.rtd",,DF$83,"."&amp;$B$82&amp;$AS$82&amp;"P"&amp;$A121))</f>
        <v>0</v>
      </c>
      <c r="DG121" s="86">
        <f t="shared" si="497"/>
        <v>-121.27999999999975</v>
      </c>
      <c r="DH121" s="3">
        <f t="shared" si="466"/>
        <v>-61.874999999999623</v>
      </c>
      <c r="DI121" s="3">
        <f t="shared" si="467"/>
        <v>16593</v>
      </c>
      <c r="DJ121" s="3">
        <f t="shared" si="468"/>
        <v>200</v>
      </c>
      <c r="DK121" s="3">
        <f t="shared" si="469"/>
        <v>16593</v>
      </c>
      <c r="DL121" s="3">
        <f t="shared" si="470"/>
        <v>16531.125</v>
      </c>
      <c r="DM121" s="3">
        <f t="shared" si="471"/>
        <v>16793</v>
      </c>
      <c r="DN121" s="64" t="str">
        <f t="shared" si="472"/>
        <v>UNKNOWN</v>
      </c>
      <c r="DO121" s="64" t="str">
        <f t="shared" si="473"/>
        <v>UNKNOWN</v>
      </c>
      <c r="DP121" s="3">
        <f t="shared" si="474"/>
        <v>-6563.7937499999553</v>
      </c>
      <c r="DQ121" s="3">
        <f t="shared" si="475"/>
        <v>24727.65</v>
      </c>
      <c r="DR121" s="3" t="e">
        <f t="shared" ca="1" si="476"/>
        <v>#NUM!</v>
      </c>
      <c r="DS121" s="3">
        <f t="shared" si="477"/>
        <v>200</v>
      </c>
      <c r="DT121" s="3">
        <f t="shared" si="498"/>
        <v>-200</v>
      </c>
      <c r="DU121" s="3">
        <f t="shared" si="499"/>
        <v>16593</v>
      </c>
      <c r="DV121" s="3">
        <f t="shared" si="500"/>
        <v>-10</v>
      </c>
      <c r="DW121" s="3">
        <f t="shared" si="501"/>
        <v>-1456</v>
      </c>
      <c r="DX121" s="3" t="e">
        <f t="shared" ca="1" si="509"/>
        <v>#NUM!</v>
      </c>
      <c r="DY121" s="3" t="e">
        <f t="shared" ca="1" si="478"/>
        <v>#NUM!</v>
      </c>
      <c r="DZ121" s="3">
        <f t="shared" ca="1" si="502"/>
        <v>1.4142687837800697E-3</v>
      </c>
      <c r="EA121" s="3">
        <f t="shared" ca="1" si="503"/>
        <v>-1.9130664464322919E-3</v>
      </c>
      <c r="EB121" s="3">
        <f t="shared" ca="1" si="479"/>
        <v>1.8994348559133191E-3</v>
      </c>
      <c r="EC121" s="3">
        <f t="shared" ca="1" si="480"/>
        <v>-1.8323767832074196E-3</v>
      </c>
      <c r="ED121" s="63">
        <f t="shared" si="504"/>
        <v>-1466</v>
      </c>
      <c r="EE121" s="59">
        <f t="shared" si="481"/>
        <v>0.25</v>
      </c>
      <c r="EF121" s="59">
        <f t="shared" si="482"/>
        <v>1.0019</v>
      </c>
      <c r="EG121" s="59">
        <f t="shared" si="483"/>
        <v>0.53380000000000005</v>
      </c>
      <c r="EH121" s="59">
        <f t="shared" si="484"/>
        <v>0.24859999999999999</v>
      </c>
      <c r="EI121" s="59">
        <f t="shared" si="485"/>
        <v>0.30609999999999998</v>
      </c>
      <c r="EJ121" s="59">
        <f t="shared" si="486"/>
        <v>0.21920000000000001</v>
      </c>
      <c r="EL121" s="3" t="str">
        <f>RTD("tos.rtd",,EL$83,"."&amp;$B$82&amp;$AS$82&amp;"C"&amp;$A121)</f>
        <v>--</v>
      </c>
      <c r="EM121" s="3" t="str">
        <f>RTD("tos.rtd",,EM$83,"."&amp;$B$82&amp;$AS$82&amp;"P"&amp;$A121)</f>
        <v>100.19%</v>
      </c>
      <c r="EN121" s="3" t="str">
        <f>RTD("tos.rtd",,EN$83,"."&amp;$C$82&amp;$AU$82&amp;"C"&amp;$A121)</f>
        <v>53.38%</v>
      </c>
      <c r="EO121" s="3" t="str">
        <f>RTD("tos.rtd",,EO$83,"."&amp;$C$82&amp;$AU$82&amp;"P"&amp;$A121)</f>
        <v>24.86%</v>
      </c>
      <c r="EP121" s="3" t="str">
        <f>RTD("tos.rtd",,EP$83,"."&amp;$D$82&amp;$AW$82&amp;"C"&amp;$A121)</f>
        <v>30.61%</v>
      </c>
      <c r="EQ121" s="3" t="str">
        <f>RTD("tos.rtd",,EQ$83,"."&amp;$D$82&amp;$AW$82&amp;"P"&amp;$A121)</f>
        <v>21.92%</v>
      </c>
      <c r="ES121" s="63" t="str">
        <f t="shared" si="487"/>
        <v>5510,-1466.00</v>
      </c>
      <c r="ET121" s="64" t="str">
        <f t="shared" ca="1" si="488"/>
        <v>5510,00.00</v>
      </c>
      <c r="EU121" s="67">
        <v>562.30999999999995</v>
      </c>
      <c r="EV121" s="67" t="s">
        <v>988</v>
      </c>
      <c r="EW121" s="67">
        <v>484.58</v>
      </c>
      <c r="EX121" s="67" t="s">
        <v>989</v>
      </c>
      <c r="EY121" s="67">
        <v>5636.75</v>
      </c>
      <c r="EZ121" s="67" t="s">
        <v>990</v>
      </c>
      <c r="FA121" s="67">
        <v>19906</v>
      </c>
      <c r="FB121" s="67" t="s">
        <v>991</v>
      </c>
      <c r="FC121" s="67" t="s">
        <v>992</v>
      </c>
      <c r="FD121" s="67" t="s">
        <v>993</v>
      </c>
      <c r="FE121" s="68" t="s">
        <v>994</v>
      </c>
      <c r="FF121" s="68" t="s">
        <v>995</v>
      </c>
    </row>
    <row r="122" spans="1:162" s="63" customFormat="1" ht="12" customHeight="1" thickBot="1" x14ac:dyDescent="0.25">
      <c r="A122" s="2">
        <f t="shared" si="505"/>
        <v>5500</v>
      </c>
      <c r="B122" s="3">
        <f t="shared" si="449"/>
        <v>3156</v>
      </c>
      <c r="C122" s="3">
        <f t="shared" si="450"/>
        <v>6408</v>
      </c>
      <c r="D122" s="3">
        <f t="shared" si="451"/>
        <v>3693</v>
      </c>
      <c r="E122" s="3">
        <f t="shared" si="520"/>
        <v>13257</v>
      </c>
      <c r="F122" s="4">
        <f t="shared" si="521"/>
        <v>5547.5842082084355</v>
      </c>
      <c r="G122" s="4">
        <f t="shared" si="522"/>
        <v>551.17397820744134</v>
      </c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20"/>
      <c r="AM122" s="20">
        <v>406</v>
      </c>
      <c r="AN122" s="20">
        <v>-6314</v>
      </c>
      <c r="AO122" s="20">
        <v>5500</v>
      </c>
      <c r="AP122" s="20">
        <v>704</v>
      </c>
      <c r="AQ122" s="20">
        <v>-35274</v>
      </c>
      <c r="AR122" s="20"/>
      <c r="AS122" s="54">
        <f>IF(RTD("tos.rtd",,AS$83,"."&amp;$B$82&amp;$AS$82&amp;"C"&amp;$A122)="N/A",0,RTD("tos.rtd",,AS$83,"."&amp;$B$82&amp;$AS$82&amp;"C"&amp;$A122))</f>
        <v>544</v>
      </c>
      <c r="AT122" s="3">
        <f>-IF(RTD("tos.rtd",,AT$83,"."&amp;$B$82&amp;$AS$82&amp;"P"&amp;$A122)="N/A",0,RTD("tos.rtd",,AT$83,"."&amp;$B$82&amp;$AS$82&amp;"P"&amp;$A122))</f>
        <v>-2612</v>
      </c>
      <c r="AU122" s="54">
        <f>IF(RTD("tos.rtd",,AU$83,"."&amp;$C$82&amp;$AU$82&amp;"C"&amp;$A122)="N/A",0,RTD("tos.rtd",,AU$83,"."&amp;$C$82&amp;$AU$82&amp;"C"&amp;$A122))</f>
        <v>1612</v>
      </c>
      <c r="AV122" s="3">
        <f>-IF(RTD("tos.rtd",,AV$83,"."&amp;$C$82&amp;$AU$82&amp;"P"&amp;$A122)="N/A",0,RTD("tos.rtd",,AV$83,"."&amp;$C$82&amp;$AU$82&amp;"P"&amp;$A122))</f>
        <v>-4796</v>
      </c>
      <c r="AW122" s="54">
        <f>IF(RTD("tos.rtd",,AW$83,"."&amp;$D$82&amp;$AW$82&amp;"C"&amp;$A122)="N/A",0,RTD("tos.rtd",,AW$83,"."&amp;$D$82&amp;$AW$82&amp;"C"&amp;$A122))</f>
        <v>1042</v>
      </c>
      <c r="AX122" s="3">
        <f>-IF(RTD("tos.rtd",,AX$83,"."&amp;$D$82&amp;$AW$82&amp;"P"&amp;$A122)="N/A",0,RTD("tos.rtd",,AX$83,"."&amp;$D$82&amp;$AW$82&amp;"P"&amp;$A122))</f>
        <v>-2651</v>
      </c>
      <c r="AY122" s="79">
        <f t="shared" si="523"/>
        <v>-6861</v>
      </c>
      <c r="AZ122" s="8">
        <f t="shared" si="453"/>
        <v>5500</v>
      </c>
      <c r="BA122" s="54">
        <f>IF(RTD("tos.rtd",,BA$83,"."&amp;$B$82&amp;$AS$82&amp;"C"&amp;$A122)="N/A",0,RTD("tos.rtd",,BA$83,"."&amp;$B$82&amp;$AS$82&amp;"C"&amp;$A122))</f>
        <v>0</v>
      </c>
      <c r="BB122" s="3">
        <f>-IF(RTD("tos.rtd",,BB$83,"."&amp;$B$82&amp;$AS$82&amp;"P"&amp;$A122)="N/A",0,RTD("tos.rtd",,BB$83,"."&amp;$B$82&amp;$AS$82&amp;"P"&amp;$A122))</f>
        <v>0</v>
      </c>
      <c r="BC122" s="54">
        <f>IF(RTD("tos.rtd",,BC$83,"."&amp;$C$82&amp;$AU$82&amp;"C"&amp;$A122)="N/A",0,RTD("tos.rtd",,BC$83,"."&amp;$C$82&amp;$AU$82&amp;"C"&amp;$A122))</f>
        <v>0</v>
      </c>
      <c r="BD122" s="3">
        <f>-IF(RTD("tos.rtd",,BD$83,"."&amp;$C$82&amp;$AU$82&amp;"P"&amp;$A122)="N/A",0,RTD("tos.rtd",,BD$83,"."&amp;$C$82&amp;$AU$82&amp;"P"&amp;$A122))</f>
        <v>-10</v>
      </c>
      <c r="BE122" s="54">
        <f>IF(RTD("tos.rtd",,BE$83,"."&amp;$D$82&amp;$AW$82&amp;"C"&amp;$A122)="N/A",0,RTD("tos.rtd",,BE$83,"."&amp;$D$82&amp;$AW$82&amp;"C"&amp;$A122))</f>
        <v>1</v>
      </c>
      <c r="BF122" s="3">
        <f>-IF(RTD("tos.rtd",,BF$83,"."&amp;$D$82&amp;$AW$82&amp;"P"&amp;$A122)="N/A",0,RTD("tos.rtd",,BF$83,"."&amp;$D$82&amp;$AW$82&amp;"P"&amp;$A122))</f>
        <v>0</v>
      </c>
      <c r="BG122" s="3">
        <f ca="1">+Hoja2!Y123</f>
        <v>-1</v>
      </c>
      <c r="BH122" s="55">
        <f t="shared" ca="1" si="491"/>
        <v>-10</v>
      </c>
      <c r="BI122" s="32" t="str">
        <f t="shared" ca="1" si="510"/>
        <v/>
      </c>
      <c r="BJ122" s="3" t="e">
        <f ca="1">IF($BP$1=1,DX122,IF(RTD("tos.rtd",,BJ$83,"."&amp;$B$82&amp;$AS$82&amp;"C"&amp;$A122)="N/A",0,RTD("tos.rtd",,BJ$83,"."&amp;$B$82&amp;$AS$82&amp;"C"&amp;$A122)))</f>
        <v>#NUM!</v>
      </c>
      <c r="BK122" s="3" t="e">
        <f ca="1">IF($BP$1=1,DY122,-IF(RTD("tos.rtd",,BK$83,"."&amp;$B$82&amp;$AS$82&amp;"P"&amp;$A122)="N/A",0,RTD("tos.rtd",,BK$83,"."&amp;$B$82&amp;$AS$82&amp;"P"&amp;$A122)))</f>
        <v>#NUM!</v>
      </c>
      <c r="BL122" s="3">
        <f ca="1">IF($BP$1=1,DZ122,IF(RTD("tos.rtd",,BL$83,"."&amp;$C$82&amp;$AU$82&amp;"C"&amp;$A122)="N/A",0,RTD("tos.rtd",,BL$83,"."&amp;$C$82&amp;$AU$82&amp;"C"&amp;$A122)))</f>
        <v>1.3516986978981496E-3</v>
      </c>
      <c r="BM122" s="3">
        <f ca="1">IF($BP$1=1,EA122,-IF(RTD("tos.rtd",,BM$83,"."&amp;$C$82&amp;$AU$82&amp;"P"&amp;$A122)="N/A",0,RTD("tos.rtd",,BM$83,"."&amp;$C$82&amp;$AU$82&amp;"P"&amp;$A122)))</f>
        <v>-1.7363162872023341E-3</v>
      </c>
      <c r="BN122" s="3">
        <f ca="1">IF($BP$1=1,EB122,IF(RTD("tos.rtd",,BN$83,"."&amp;$D$82&amp;$AW$82&amp;"C"&amp;$A122)="N/A",0,RTD("tos.rtd",,BN$83,"."&amp;$D$82&amp;$AW$82&amp;"C"&amp;$A122)))</f>
        <v>1.7733714920721482E-3</v>
      </c>
      <c r="BO122" s="3">
        <f ca="1">IF($BP$1=1,EC122,-IF(RTD("tos.rtd",,BO$83,"."&amp;$D$82&amp;$AW$82&amp;"P"&amp;$A122)="N/A",0,RTD("tos.rtd",,BO$83,"."&amp;$D$82&amp;$AW$82&amp;"P"&amp;$A122)))</f>
        <v>-1.6231981202422571E-3</v>
      </c>
      <c r="BQ122" s="3" t="e">
        <f t="shared" ca="1" si="454"/>
        <v>#NUM!</v>
      </c>
      <c r="BR122" s="3" t="e">
        <f t="shared" ca="1" si="492"/>
        <v>#NUM!</v>
      </c>
      <c r="BS122" s="3">
        <f t="shared" ca="1" si="455"/>
        <v>-1457319.94063371</v>
      </c>
      <c r="BT122" s="3" t="str">
        <f t="shared" ca="1" si="492"/>
        <v/>
      </c>
      <c r="BU122" s="3">
        <f t="shared" ca="1" si="456"/>
        <v>-581949.3742757712</v>
      </c>
      <c r="BV122" s="3" t="str">
        <f t="shared" ca="1" si="492"/>
        <v>Cruce -</v>
      </c>
      <c r="BX122" s="3" t="e">
        <f t="shared" ca="1" si="457"/>
        <v>#NUM!</v>
      </c>
      <c r="BY122" s="3" t="e">
        <f t="shared" ca="1" si="507"/>
        <v>#NUM!</v>
      </c>
      <c r="BZ122" s="3">
        <f t="shared" ca="1" si="458"/>
        <v>-4115.4676077704662</v>
      </c>
      <c r="CA122" s="3" t="str">
        <f t="shared" ca="1" si="507"/>
        <v/>
      </c>
      <c r="CB122" s="3">
        <f t="shared" ca="1" si="459"/>
        <v>420.32969372912618</v>
      </c>
      <c r="CC122" s="3" t="str">
        <f t="shared" ca="1" si="507"/>
        <v/>
      </c>
      <c r="CD122" s="3">
        <f>IF(RTD("tos.rtd",,CD$83,"."&amp;$B$82&amp;$AS$82&amp;"C"&amp;$A122)="N/A",0,RTD("tos.rtd",,CD$83,"."&amp;$B$82&amp;$AS$82&amp;"C"&amp;$A122))</f>
        <v>1</v>
      </c>
      <c r="CE122" s="3">
        <f>-IF(RTD("tos.rtd",,CE$83,"."&amp;$B$82&amp;$AS$82&amp;"P"&amp;$A122)="N/A",0,RTD("tos.rtd",,CE$83,"."&amp;$B$82&amp;$AS$82&amp;"P"&amp;$A122))</f>
        <v>0</v>
      </c>
      <c r="CF122" s="3">
        <f>IF(RTD("tos.rtd",,CF$83,"."&amp;$C$82&amp;$AU$82&amp;"C"&amp;$A122)="N/A",0,RTD("tos.rtd",,CF$83,"."&amp;$C$82&amp;$AU$82&amp;"C"&amp;$A122))</f>
        <v>0.74</v>
      </c>
      <c r="CG122" s="3">
        <f>-IF(RTD("tos.rtd",,CG$83,"."&amp;$C$82&amp;$AU$82&amp;"P"&amp;$A122)="N/A",0,RTD("tos.rtd",,CG$83,"."&amp;$C$82&amp;$AU$82&amp;"P"&amp;$A122))</f>
        <v>0.08</v>
      </c>
      <c r="CH122" s="3">
        <f>IF(RTD("tos.rtd",,CH$83,"."&amp;$D$82&amp;$AW$82&amp;"C"&amp;$A122)="N/A",0,RTD("tos.rtd",,CH$83,"."&amp;$D$82&amp;$AW$82&amp;"C"&amp;$A122))</f>
        <v>0.71</v>
      </c>
      <c r="CI122" s="3">
        <f>-IF(RTD("tos.rtd",,CI$83,"."&amp;$D$82&amp;$AW$82&amp;"P"&amp;$A122)="N/A",0,RTD("tos.rtd",,CI$83,"."&amp;$D$82&amp;$AW$82&amp;"P"&amp;$A122))</f>
        <v>0.23</v>
      </c>
      <c r="CK122" s="3">
        <f t="shared" si="493"/>
        <v>54400</v>
      </c>
      <c r="CL122" s="3"/>
      <c r="CM122" s="3">
        <f t="shared" si="494"/>
        <v>80919.999999999985</v>
      </c>
      <c r="CN122" s="3"/>
      <c r="CO122" s="3">
        <f t="shared" si="495"/>
        <v>13009</v>
      </c>
      <c r="CP122" s="3">
        <f t="shared" si="460"/>
        <v>148329</v>
      </c>
      <c r="CQ122" s="3">
        <f t="shared" si="461"/>
        <v>0</v>
      </c>
      <c r="CR122" s="3"/>
      <c r="CS122" s="3">
        <f t="shared" si="462"/>
        <v>-10</v>
      </c>
      <c r="CT122" s="3"/>
      <c r="CU122" s="3">
        <f t="shared" si="463"/>
        <v>1</v>
      </c>
      <c r="CV122" s="3"/>
      <c r="CW122" s="3" t="e">
        <f t="shared" ca="1" si="524"/>
        <v>#NUM!</v>
      </c>
      <c r="CY122" s="3" t="e">
        <f t="shared" ca="1" si="465"/>
        <v>#NUM!</v>
      </c>
      <c r="CZ122" s="70" t="e">
        <f t="shared" ca="1" si="508"/>
        <v>#NUM!</v>
      </c>
      <c r="DA122" s="3">
        <f>IF(RTD("tos.rtd",,DA$83,"."&amp;$B$82&amp;$AS$82&amp;"C"&amp;$A122)="N/A",0,RTD("tos.rtd",,DA$83,"."&amp;$B$82&amp;$AS$82&amp;"C"&amp;$A122))</f>
        <v>108.37</v>
      </c>
      <c r="DB122" s="3">
        <f>IF(RTD("tos.rtd",,DB$83,"."&amp;$B$82&amp;$AS$82&amp;"P"&amp;$A122)="N/A",0,RTD("tos.rtd",,DB$83,"."&amp;$B$82&amp;$AS$82&amp;"P"&amp;$A122))</f>
        <v>0.05</v>
      </c>
      <c r="DC122" s="3">
        <f>IF(RTD("tos.rtd",,DC$83,"."&amp;$B$82&amp;$AS$82&amp;"C"&amp;$A122)="N/A",0,RTD("tos.rtd",,DC$83,"."&amp;$B$82&amp;$AS$82&amp;"C"&amp;$A122))</f>
        <v>131.9</v>
      </c>
      <c r="DD122" s="3">
        <f>IF(RTD("tos.rtd",,DD$83,"."&amp;$B$82&amp;$AS$82&amp;"P"&amp;$A122)="N/A",0,RTD("tos.rtd",,DD$83,"."&amp;$B$82&amp;$AS$82&amp;"P"&amp;$A122))</f>
        <v>0.05</v>
      </c>
      <c r="DE122" s="3">
        <f>IF(RTD("tos.rtd",,DE$83,"."&amp;$B$82&amp;$AS$82&amp;"C"&amp;$A122)="N/A",0,RTD("tos.rtd",,DE$83,"."&amp;$B$82&amp;$AS$82&amp;"C"&amp;$A122))</f>
        <v>130.19999999999999</v>
      </c>
      <c r="DF122" s="3">
        <f>IF(RTD("tos.rtd",,DF$83,"."&amp;$B$82&amp;$AS$82&amp;"P"&amp;$A122)="N/A",0,RTD("tos.rtd",,DF$83,"."&amp;$B$82&amp;$AS$82&amp;"P"&amp;$A122))</f>
        <v>0</v>
      </c>
      <c r="DG122" s="86">
        <f t="shared" si="497"/>
        <v>-131.27999999999975</v>
      </c>
      <c r="DH122" s="3">
        <f t="shared" si="466"/>
        <v>9040.1882352940211</v>
      </c>
      <c r="DI122" s="3">
        <f t="shared" si="467"/>
        <v>35274</v>
      </c>
      <c r="DJ122" s="3">
        <f t="shared" si="468"/>
        <v>704</v>
      </c>
      <c r="DK122" s="3">
        <f t="shared" si="469"/>
        <v>35274</v>
      </c>
      <c r="DL122" s="3">
        <f t="shared" si="470"/>
        <v>44314.188235294023</v>
      </c>
      <c r="DM122" s="3">
        <f t="shared" si="471"/>
        <v>35978</v>
      </c>
      <c r="DN122" s="64" t="str">
        <f t="shared" si="472"/>
        <v>UNKNOWN</v>
      </c>
      <c r="DO122" s="64" t="str">
        <f t="shared" si="473"/>
        <v>UNKNOWN</v>
      </c>
      <c r="DP122" s="3">
        <f t="shared" si="474"/>
        <v>981448.89905881311</v>
      </c>
      <c r="DQ122" s="3">
        <f t="shared" si="475"/>
        <v>78056.180000000008</v>
      </c>
      <c r="DR122" s="3" t="e">
        <f t="shared" ca="1" si="476"/>
        <v>#NUM!</v>
      </c>
      <c r="DS122" s="3">
        <f t="shared" si="477"/>
        <v>704</v>
      </c>
      <c r="DT122" s="3">
        <f t="shared" si="498"/>
        <v>-704</v>
      </c>
      <c r="DU122" s="3">
        <f t="shared" si="499"/>
        <v>35274</v>
      </c>
      <c r="DV122" s="3">
        <f t="shared" si="500"/>
        <v>406</v>
      </c>
      <c r="DW122" s="3">
        <f t="shared" si="501"/>
        <v>-6314</v>
      </c>
      <c r="DX122" s="3" t="e">
        <f t="shared" ca="1" si="509"/>
        <v>#NUM!</v>
      </c>
      <c r="DY122" s="3" t="e">
        <f t="shared" ca="1" si="478"/>
        <v>#NUM!</v>
      </c>
      <c r="DZ122" s="3">
        <f t="shared" ca="1" si="502"/>
        <v>1.3516986978981496E-3</v>
      </c>
      <c r="EA122" s="3">
        <f t="shared" ca="1" si="503"/>
        <v>-1.7363162872023341E-3</v>
      </c>
      <c r="EB122" s="3">
        <f t="shared" ca="1" si="479"/>
        <v>1.7733714920721482E-3</v>
      </c>
      <c r="EC122" s="3">
        <f t="shared" ca="1" si="480"/>
        <v>-1.6231981202422571E-3</v>
      </c>
      <c r="ED122" s="63">
        <f t="shared" si="504"/>
        <v>-5908</v>
      </c>
      <c r="EE122" s="59">
        <f t="shared" si="481"/>
        <v>0.25</v>
      </c>
      <c r="EF122" s="59">
        <f t="shared" si="482"/>
        <v>1.0774999999999999</v>
      </c>
      <c r="EG122" s="59">
        <f t="shared" si="483"/>
        <v>0.55089999999999995</v>
      </c>
      <c r="EH122" s="59">
        <f t="shared" si="484"/>
        <v>0.25219999999999998</v>
      </c>
      <c r="EI122" s="59">
        <f t="shared" si="485"/>
        <v>0.30919999999999997</v>
      </c>
      <c r="EJ122" s="59">
        <f t="shared" si="486"/>
        <v>0.22209999999999999</v>
      </c>
      <c r="EL122" s="3" t="str">
        <f>RTD("tos.rtd",,EL$83,"."&amp;$B$82&amp;$AS$82&amp;"C"&amp;$A122)</f>
        <v>--</v>
      </c>
      <c r="EM122" s="3" t="str">
        <f>RTD("tos.rtd",,EM$83,"."&amp;$B$82&amp;$AS$82&amp;"P"&amp;$A122)</f>
        <v>107.75%</v>
      </c>
      <c r="EN122" s="3" t="str">
        <f>RTD("tos.rtd",,EN$83,"."&amp;$C$82&amp;$AU$82&amp;"C"&amp;$A122)</f>
        <v>55.09%</v>
      </c>
      <c r="EO122" s="3" t="str">
        <f>RTD("tos.rtd",,EO$83,"."&amp;$C$82&amp;$AU$82&amp;"P"&amp;$A122)</f>
        <v>25.22%</v>
      </c>
      <c r="EP122" s="3" t="str">
        <f>RTD("tos.rtd",,EP$83,"."&amp;$D$82&amp;$AW$82&amp;"C"&amp;$A122)</f>
        <v>30.92%</v>
      </c>
      <c r="EQ122" s="3" t="str">
        <f>RTD("tos.rtd",,EQ$83,"."&amp;$D$82&amp;$AW$82&amp;"P"&amp;$A122)</f>
        <v>22.21%</v>
      </c>
      <c r="ES122" s="63" t="str">
        <f t="shared" si="487"/>
        <v>5500,-5908.00</v>
      </c>
      <c r="ET122" s="64" t="str">
        <f t="shared" ca="1" si="488"/>
        <v>5500,00.00</v>
      </c>
      <c r="EU122" s="67">
        <v>562.34</v>
      </c>
      <c r="EV122" s="67" t="s">
        <v>996</v>
      </c>
      <c r="EW122" s="67">
        <v>484.64</v>
      </c>
      <c r="EX122" s="67" t="s">
        <v>997</v>
      </c>
      <c r="EY122" s="67">
        <v>5637.25</v>
      </c>
      <c r="EZ122" s="67" t="s">
        <v>998</v>
      </c>
      <c r="FA122" s="67">
        <v>19908.25</v>
      </c>
      <c r="FB122" s="67" t="s">
        <v>999</v>
      </c>
      <c r="FC122" s="67" t="s">
        <v>1000</v>
      </c>
      <c r="FD122" s="67" t="s">
        <v>1001</v>
      </c>
      <c r="FE122" s="68" t="s">
        <v>1002</v>
      </c>
      <c r="FF122" s="68" t="s">
        <v>1003</v>
      </c>
    </row>
    <row r="123" spans="1:162" s="63" customFormat="1" ht="12" customHeight="1" thickBot="1" x14ac:dyDescent="0.25">
      <c r="A123" s="2">
        <f t="shared" si="505"/>
        <v>5490</v>
      </c>
      <c r="B123" s="3">
        <f t="shared" si="449"/>
        <v>602</v>
      </c>
      <c r="C123" s="3">
        <f t="shared" si="450"/>
        <v>656</v>
      </c>
      <c r="D123" s="3">
        <f t="shared" si="451"/>
        <v>876</v>
      </c>
      <c r="E123" s="3">
        <f t="shared" si="516"/>
        <v>2134</v>
      </c>
      <c r="F123" s="4">
        <f t="shared" si="519"/>
        <v>5537.4976914662384</v>
      </c>
      <c r="G123" s="4">
        <f t="shared" si="517"/>
        <v>550.17184370160965</v>
      </c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20"/>
      <c r="AM123" s="20">
        <v>-50</v>
      </c>
      <c r="AN123" s="20">
        <v>322</v>
      </c>
      <c r="AO123" s="20">
        <v>5490</v>
      </c>
      <c r="AP123" s="20">
        <v>76</v>
      </c>
      <c r="AQ123" s="20">
        <v>-9550</v>
      </c>
      <c r="AR123" s="20"/>
      <c r="AS123" s="54">
        <f>IF(RTD("tos.rtd",,AS$83,"."&amp;$B$82&amp;$AS$82&amp;"C"&amp;$A123)="N/A",0,RTD("tos.rtd",,AS$83,"."&amp;$B$82&amp;$AS$82&amp;"C"&amp;$A123))</f>
        <v>85</v>
      </c>
      <c r="AT123" s="3">
        <f>-IF(RTD("tos.rtd",,AT$83,"."&amp;$B$82&amp;$AS$82&amp;"P"&amp;$A123)="N/A",0,RTD("tos.rtd",,AT$83,"."&amp;$B$82&amp;$AS$82&amp;"P"&amp;$A123))</f>
        <v>-517</v>
      </c>
      <c r="AU123" s="54">
        <f>IF(RTD("tos.rtd",,AU$83,"."&amp;$C$82&amp;$AU$82&amp;"C"&amp;$A123)="N/A",0,RTD("tos.rtd",,AU$83,"."&amp;$C$82&amp;$AU$82&amp;"C"&amp;$A123))</f>
        <v>221</v>
      </c>
      <c r="AV123" s="3">
        <f>-IF(RTD("tos.rtd",,AV$83,"."&amp;$C$82&amp;$AU$82&amp;"P"&amp;$A123)="N/A",0,RTD("tos.rtd",,AV$83,"."&amp;$C$82&amp;$AU$82&amp;"P"&amp;$A123))</f>
        <v>-435</v>
      </c>
      <c r="AW123" s="54">
        <f>IF(RTD("tos.rtd",,AW$83,"."&amp;$D$82&amp;$AW$82&amp;"C"&amp;$A123)="N/A",0,RTD("tos.rtd",,AW$83,"."&amp;$D$82&amp;$AW$82&amp;"C"&amp;$A123))</f>
        <v>459</v>
      </c>
      <c r="AX123" s="3">
        <f>-IF(RTD("tos.rtd",,AX$83,"."&amp;$D$82&amp;$AW$82&amp;"P"&amp;$A123)="N/A",0,RTD("tos.rtd",,AX$83,"."&amp;$D$82&amp;$AW$82&amp;"P"&amp;$A123))</f>
        <v>-417</v>
      </c>
      <c r="AY123" s="79">
        <f t="shared" si="518"/>
        <v>-604</v>
      </c>
      <c r="AZ123" s="8">
        <f t="shared" si="453"/>
        <v>5490</v>
      </c>
      <c r="BA123" s="54">
        <f>IF(RTD("tos.rtd",,BA$83,"."&amp;$B$82&amp;$AS$82&amp;"C"&amp;$A123)="N/A",0,RTD("tos.rtd",,BA$83,"."&amp;$B$82&amp;$AS$82&amp;"C"&amp;$A123))</f>
        <v>0</v>
      </c>
      <c r="BB123" s="3">
        <f>-IF(RTD("tos.rtd",,BB$83,"."&amp;$B$82&amp;$AS$82&amp;"P"&amp;$A123)="N/A",0,RTD("tos.rtd",,BB$83,"."&amp;$B$82&amp;$AS$82&amp;"P"&amp;$A123))</f>
        <v>0</v>
      </c>
      <c r="BC123" s="54">
        <f>IF(RTD("tos.rtd",,BC$83,"."&amp;$C$82&amp;$AU$82&amp;"C"&amp;$A123)="N/A",0,RTD("tos.rtd",,BC$83,"."&amp;$C$82&amp;$AU$82&amp;"C"&amp;$A123))</f>
        <v>0</v>
      </c>
      <c r="BD123" s="3">
        <f>-IF(RTD("tos.rtd",,BD$83,"."&amp;$C$82&amp;$AU$82&amp;"P"&amp;$A123)="N/A",0,RTD("tos.rtd",,BD$83,"."&amp;$C$82&amp;$AU$82&amp;"P"&amp;$A123))</f>
        <v>0</v>
      </c>
      <c r="BE123" s="54">
        <f>IF(RTD("tos.rtd",,BE$83,"."&amp;$D$82&amp;$AW$82&amp;"C"&amp;$A123)="N/A",0,RTD("tos.rtd",,BE$83,"."&amp;$D$82&amp;$AW$82&amp;"C"&amp;$A123))</f>
        <v>0</v>
      </c>
      <c r="BF123" s="3">
        <f>-IF(RTD("tos.rtd",,BF$83,"."&amp;$D$82&amp;$AW$82&amp;"P"&amp;$A123)="N/A",0,RTD("tos.rtd",,BF$83,"."&amp;$D$82&amp;$AW$82&amp;"P"&amp;$A123))</f>
        <v>0</v>
      </c>
      <c r="BG123" s="3">
        <f ca="1">+Hoja2!Y124</f>
        <v>0</v>
      </c>
      <c r="BH123" s="55">
        <f t="shared" ca="1" si="491"/>
        <v>0</v>
      </c>
      <c r="BI123" s="32" t="str">
        <f t="shared" ca="1" si="510"/>
        <v/>
      </c>
      <c r="BJ123" s="3" t="e">
        <f ca="1">IF($BP$1=1,DX123,IF(RTD("tos.rtd",,BJ$83,"."&amp;$B$82&amp;$AS$82&amp;"C"&amp;$A123)="N/A",0,RTD("tos.rtd",,BJ$83,"."&amp;$B$82&amp;$AS$82&amp;"C"&amp;$A123)))</f>
        <v>#NUM!</v>
      </c>
      <c r="BK123" s="3" t="e">
        <f ca="1">IF($BP$1=1,DY123,-IF(RTD("tos.rtd",,BK$83,"."&amp;$B$82&amp;$AS$82&amp;"P"&amp;$A123)="N/A",0,RTD("tos.rtd",,BK$83,"."&amp;$B$82&amp;$AS$82&amp;"P"&amp;$A123)))</f>
        <v>#NUM!</v>
      </c>
      <c r="BL123" s="3">
        <f ca="1">IF($BP$1=1,DZ123,IF(RTD("tos.rtd",,BL$83,"."&amp;$C$82&amp;$AU$82&amp;"C"&amp;$A123)="N/A",0,RTD("tos.rtd",,BL$83,"."&amp;$C$82&amp;$AU$82&amp;"C"&amp;$A123)))</f>
        <v>1.294631362553612E-3</v>
      </c>
      <c r="BM123" s="3">
        <f ca="1">IF($BP$1=1,EA123,-IF(RTD("tos.rtd",,BM$83,"."&amp;$C$82&amp;$AU$82&amp;"P"&amp;$A123)="N/A",0,RTD("tos.rtd",,BM$83,"."&amp;$C$82&amp;$AU$82&amp;"P"&amp;$A123)))</f>
        <v>-1.5770983621805339E-3</v>
      </c>
      <c r="BN123" s="3">
        <f ca="1">IF($BP$1=1,EB123,IF(RTD("tos.rtd",,BN$83,"."&amp;$D$82&amp;$AW$82&amp;"C"&amp;$A123)="N/A",0,RTD("tos.rtd",,BN$83,"."&amp;$D$82&amp;$AW$82&amp;"C"&amp;$A123)))</f>
        <v>1.6512046517109114E-3</v>
      </c>
      <c r="BO123" s="3">
        <f ca="1">IF($BP$1=1,EC123,-IF(RTD("tos.rtd",,BO$83,"."&amp;$D$82&amp;$AW$82&amp;"P"&amp;$A123)="N/A",0,RTD("tos.rtd",,BO$83,"."&amp;$D$82&amp;$AW$82&amp;"P"&amp;$A123)))</f>
        <v>-1.4307665502181302E-3</v>
      </c>
      <c r="BQ123" s="3" t="e">
        <f t="shared" ca="1" si="454"/>
        <v>#NUM!</v>
      </c>
      <c r="BR123" s="3" t="e">
        <f t="shared" ca="1" si="492"/>
        <v>#NUM!</v>
      </c>
      <c r="BS123" s="3">
        <f t="shared" ca="1" si="455"/>
        <v>-94791.21603629952</v>
      </c>
      <c r="BT123" s="3" t="str">
        <f t="shared" ca="1" si="492"/>
        <v/>
      </c>
      <c r="BU123" s="3">
        <f t="shared" ca="1" si="456"/>
        <v>38225.465022405988</v>
      </c>
      <c r="BV123" s="3" t="str">
        <f t="shared" ca="1" si="492"/>
        <v>Cruce +</v>
      </c>
      <c r="BX123" s="3" t="e">
        <f t="shared" ca="1" si="457"/>
        <v>#NUM!</v>
      </c>
      <c r="BY123" s="3" t="e">
        <f t="shared" ca="1" si="507"/>
        <v>#NUM!</v>
      </c>
      <c r="BZ123" s="3">
        <f t="shared" ca="1" si="458"/>
        <v>0</v>
      </c>
      <c r="CA123" s="3" t="str">
        <f t="shared" ca="1" si="507"/>
        <v/>
      </c>
      <c r="CB123" s="3">
        <f t="shared" ca="1" si="459"/>
        <v>0</v>
      </c>
      <c r="CC123" s="3" t="str">
        <f t="shared" ca="1" si="507"/>
        <v/>
      </c>
      <c r="CD123" s="3">
        <f>IF(RTD("tos.rtd",,CD$83,"."&amp;$B$82&amp;$AS$82&amp;"C"&amp;$A123)="N/A",0,RTD("tos.rtd",,CD$83,"."&amp;$B$82&amp;$AS$82&amp;"C"&amp;$A123))</f>
        <v>1</v>
      </c>
      <c r="CE123" s="3">
        <f>-IF(RTD("tos.rtd",,CE$83,"."&amp;$B$82&amp;$AS$82&amp;"P"&amp;$A123)="N/A",0,RTD("tos.rtd",,CE$83,"."&amp;$B$82&amp;$AS$82&amp;"P"&amp;$A123))</f>
        <v>0</v>
      </c>
      <c r="CF123" s="3">
        <f>IF(RTD("tos.rtd",,CF$83,"."&amp;$C$82&amp;$AU$82&amp;"C"&amp;$A123)="N/A",0,RTD("tos.rtd",,CF$83,"."&amp;$C$82&amp;$AU$82&amp;"C"&amp;$A123))</f>
        <v>0.75</v>
      </c>
      <c r="CG123" s="3">
        <f>-IF(RTD("tos.rtd",,CG$83,"."&amp;$C$82&amp;$AU$82&amp;"P"&amp;$A123)="N/A",0,RTD("tos.rtd",,CG$83,"."&amp;$C$82&amp;$AU$82&amp;"P"&amp;$A123))</f>
        <v>7.0000000000000007E-2</v>
      </c>
      <c r="CH123" s="3">
        <f>IF(RTD("tos.rtd",,CH$83,"."&amp;$D$82&amp;$AW$82&amp;"C"&amp;$A123)="N/A",0,RTD("tos.rtd",,CH$83,"."&amp;$D$82&amp;$AW$82&amp;"C"&amp;$A123))</f>
        <v>0.72</v>
      </c>
      <c r="CI123" s="3">
        <f>-IF(RTD("tos.rtd",,CI$83,"."&amp;$D$82&amp;$AW$82&amp;"P"&amp;$A123)="N/A",0,RTD("tos.rtd",,CI$83,"."&amp;$D$82&amp;$AW$82&amp;"P"&amp;$A123))</f>
        <v>0.22</v>
      </c>
      <c r="CK123" s="3">
        <f t="shared" si="493"/>
        <v>8500</v>
      </c>
      <c r="CL123" s="3"/>
      <c r="CM123" s="3">
        <f t="shared" si="494"/>
        <v>13530</v>
      </c>
      <c r="CN123" s="3"/>
      <c r="CO123" s="3">
        <f t="shared" si="495"/>
        <v>23873.999999999993</v>
      </c>
      <c r="CP123" s="3">
        <f t="shared" si="460"/>
        <v>45903.999999999993</v>
      </c>
      <c r="CQ123" s="3">
        <f t="shared" si="461"/>
        <v>0</v>
      </c>
      <c r="CR123" s="3"/>
      <c r="CS123" s="3">
        <f t="shared" si="462"/>
        <v>0</v>
      </c>
      <c r="CT123" s="3"/>
      <c r="CU123" s="3">
        <f t="shared" si="463"/>
        <v>0</v>
      </c>
      <c r="CV123" s="3"/>
      <c r="CW123" s="3" t="e">
        <f t="shared" ca="1" si="464"/>
        <v>#NUM!</v>
      </c>
      <c r="CY123" s="3" t="e">
        <f t="shared" ca="1" si="465"/>
        <v>#NUM!</v>
      </c>
      <c r="CZ123" s="70" t="e">
        <f t="shared" ca="1" si="508"/>
        <v>#NUM!</v>
      </c>
      <c r="DA123" s="3">
        <f>IF(RTD("tos.rtd",,DA$83,"."&amp;$B$82&amp;$AS$82&amp;"C"&amp;$A123)="N/A",0,RTD("tos.rtd",,DA$83,"."&amp;$B$82&amp;$AS$82&amp;"C"&amp;$A123))</f>
        <v>131.07</v>
      </c>
      <c r="DB123" s="3">
        <f>IF(RTD("tos.rtd",,DB$83,"."&amp;$B$82&amp;$AS$82&amp;"P"&amp;$A123)="N/A",0,RTD("tos.rtd",,DB$83,"."&amp;$B$82&amp;$AS$82&amp;"P"&amp;$A123))</f>
        <v>0.03</v>
      </c>
      <c r="DC123" s="3">
        <f>IF(RTD("tos.rtd",,DC$83,"."&amp;$B$82&amp;$AS$82&amp;"C"&amp;$A123)="N/A",0,RTD("tos.rtd",,DC$83,"."&amp;$B$82&amp;$AS$82&amp;"C"&amp;$A123))</f>
        <v>141.69999999999999</v>
      </c>
      <c r="DD123" s="3">
        <f>IF(RTD("tos.rtd",,DD$83,"."&amp;$B$82&amp;$AS$82&amp;"P"&amp;$A123)="N/A",0,RTD("tos.rtd",,DD$83,"."&amp;$B$82&amp;$AS$82&amp;"P"&amp;$A123))</f>
        <v>0.05</v>
      </c>
      <c r="DE123" s="3">
        <f>IF(RTD("tos.rtd",,DE$83,"."&amp;$B$82&amp;$AS$82&amp;"C"&amp;$A123)="N/A",0,RTD("tos.rtd",,DE$83,"."&amp;$B$82&amp;$AS$82&amp;"C"&amp;$A123))</f>
        <v>137.30000000000001</v>
      </c>
      <c r="DF123" s="3">
        <f>IF(RTD("tos.rtd",,DF$83,"."&amp;$B$82&amp;$AS$82&amp;"P"&amp;$A123)="N/A",0,RTD("tos.rtd",,DF$83,"."&amp;$B$82&amp;$AS$82&amp;"P"&amp;$A123))</f>
        <v>0</v>
      </c>
      <c r="DG123" s="86">
        <f t="shared" si="497"/>
        <v>-141.27999999999975</v>
      </c>
      <c r="DH123" s="3">
        <f t="shared" si="466"/>
        <v>107.60909090909178</v>
      </c>
      <c r="DI123" s="3">
        <f t="shared" si="467"/>
        <v>5730</v>
      </c>
      <c r="DJ123" s="3">
        <f t="shared" si="468"/>
        <v>76</v>
      </c>
      <c r="DK123" s="3">
        <f t="shared" si="469"/>
        <v>9550</v>
      </c>
      <c r="DL123" s="3">
        <f t="shared" si="470"/>
        <v>5837.6090909090917</v>
      </c>
      <c r="DM123" s="3">
        <f t="shared" si="471"/>
        <v>9626</v>
      </c>
      <c r="DN123" s="64" t="str">
        <f t="shared" si="472"/>
        <v>UNKNOWN</v>
      </c>
      <c r="DO123" s="64" t="str">
        <f t="shared" si="473"/>
        <v>UNKNOWN</v>
      </c>
      <c r="DP123" s="3">
        <f t="shared" si="474"/>
        <v>14276.223545454657</v>
      </c>
      <c r="DQ123" s="3">
        <f t="shared" si="475"/>
        <v>10247.82</v>
      </c>
      <c r="DR123" s="3" t="e">
        <f t="shared" ca="1" si="476"/>
        <v>#NUM!</v>
      </c>
      <c r="DS123" s="3">
        <f t="shared" si="477"/>
        <v>76</v>
      </c>
      <c r="DT123" s="3">
        <f t="shared" si="498"/>
        <v>-76</v>
      </c>
      <c r="DU123" s="3">
        <f t="shared" si="499"/>
        <v>9550</v>
      </c>
      <c r="DV123" s="3">
        <f t="shared" si="500"/>
        <v>-50</v>
      </c>
      <c r="DW123" s="3">
        <f t="shared" si="501"/>
        <v>322</v>
      </c>
      <c r="DX123" s="3" t="e">
        <f t="shared" ca="1" si="509"/>
        <v>#NUM!</v>
      </c>
      <c r="DY123" s="3" t="e">
        <f t="shared" ca="1" si="478"/>
        <v>#NUM!</v>
      </c>
      <c r="DZ123" s="3">
        <f t="shared" ca="1" si="502"/>
        <v>1.294631362553612E-3</v>
      </c>
      <c r="EA123" s="3">
        <f t="shared" ca="1" si="503"/>
        <v>-1.5770983621805339E-3</v>
      </c>
      <c r="EB123" s="3">
        <f t="shared" ca="1" si="479"/>
        <v>1.6512046517109114E-3</v>
      </c>
      <c r="EC123" s="3">
        <f t="shared" ca="1" si="480"/>
        <v>-1.4307665502181302E-3</v>
      </c>
      <c r="ED123" s="63">
        <f t="shared" si="504"/>
        <v>272</v>
      </c>
      <c r="EE123" s="59">
        <f t="shared" si="481"/>
        <v>0.25</v>
      </c>
      <c r="EF123" s="59">
        <f t="shared" si="482"/>
        <v>1.1527000000000001</v>
      </c>
      <c r="EG123" s="59">
        <f t="shared" si="483"/>
        <v>0.56720000000000004</v>
      </c>
      <c r="EH123" s="59">
        <f t="shared" si="484"/>
        <v>0.2576</v>
      </c>
      <c r="EI123" s="59">
        <f t="shared" si="485"/>
        <v>0.31380000000000002</v>
      </c>
      <c r="EJ123" s="59">
        <f t="shared" si="486"/>
        <v>0.2248</v>
      </c>
      <c r="EL123" s="3" t="str">
        <f>RTD("tos.rtd",,EL$83,"."&amp;$B$82&amp;$AS$82&amp;"C"&amp;$A123)</f>
        <v>--</v>
      </c>
      <c r="EM123" s="3" t="str">
        <f>RTD("tos.rtd",,EM$83,"."&amp;$B$82&amp;$AS$82&amp;"P"&amp;$A123)</f>
        <v>115.27%</v>
      </c>
      <c r="EN123" s="3" t="str">
        <f>RTD("tos.rtd",,EN$83,"."&amp;$C$82&amp;$AU$82&amp;"C"&amp;$A123)</f>
        <v>56.72%</v>
      </c>
      <c r="EO123" s="3" t="str">
        <f>RTD("tos.rtd",,EO$83,"."&amp;$C$82&amp;$AU$82&amp;"P"&amp;$A123)</f>
        <v>25.76%</v>
      </c>
      <c r="EP123" s="3" t="str">
        <f>RTD("tos.rtd",,EP$83,"."&amp;$D$82&amp;$AW$82&amp;"C"&amp;$A123)</f>
        <v>31.38%</v>
      </c>
      <c r="EQ123" s="3" t="str">
        <f>RTD("tos.rtd",,EQ$83,"."&amp;$D$82&amp;$AW$82&amp;"P"&amp;$A123)</f>
        <v>22.48%</v>
      </c>
      <c r="ES123" s="63" t="str">
        <f t="shared" si="487"/>
        <v>5490,272.00</v>
      </c>
      <c r="ET123" s="64" t="str">
        <f t="shared" ca="1" si="488"/>
        <v>5490,00.00</v>
      </c>
      <c r="EU123" s="67">
        <v>562.48</v>
      </c>
      <c r="EV123" s="67" t="s">
        <v>1004</v>
      </c>
      <c r="EW123" s="67">
        <v>484.84</v>
      </c>
      <c r="EX123" s="67" t="s">
        <v>1005</v>
      </c>
      <c r="EY123" s="67">
        <v>5639</v>
      </c>
      <c r="EZ123" s="67" t="s">
        <v>1006</v>
      </c>
      <c r="FA123" s="67">
        <v>19915.5</v>
      </c>
      <c r="FB123" s="67" t="s">
        <v>1007</v>
      </c>
      <c r="FC123" s="67" t="s">
        <v>1008</v>
      </c>
      <c r="FD123" s="67" t="s">
        <v>1009</v>
      </c>
      <c r="FE123" s="68" t="s">
        <v>1010</v>
      </c>
      <c r="FF123" s="68" t="s">
        <v>1011</v>
      </c>
    </row>
    <row r="124" spans="1:162" s="63" customFormat="1" ht="12" customHeight="1" thickBot="1" x14ac:dyDescent="0.25">
      <c r="A124" s="2">
        <f t="shared" si="505"/>
        <v>5480</v>
      </c>
      <c r="B124" s="3">
        <f t="shared" si="449"/>
        <v>823</v>
      </c>
      <c r="C124" s="3">
        <f t="shared" si="450"/>
        <v>1487</v>
      </c>
      <c r="D124" s="3">
        <f t="shared" si="451"/>
        <v>2370</v>
      </c>
      <c r="E124" s="3">
        <f t="shared" si="516"/>
        <v>4680</v>
      </c>
      <c r="F124" s="4">
        <f t="shared" si="519"/>
        <v>5527.4111747240413</v>
      </c>
      <c r="G124" s="4">
        <f t="shared" si="517"/>
        <v>549.16970919577795</v>
      </c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20"/>
      <c r="AM124" s="20">
        <v>-25</v>
      </c>
      <c r="AN124" s="20">
        <v>202</v>
      </c>
      <c r="AO124" s="20">
        <v>5480</v>
      </c>
      <c r="AP124" s="20">
        <v>59</v>
      </c>
      <c r="AQ124" s="20">
        <v>-7637</v>
      </c>
      <c r="AR124" s="20"/>
      <c r="AS124" s="54">
        <f>IF(RTD("tos.rtd",,AS$83,"."&amp;$B$82&amp;$AS$82&amp;"C"&amp;$A124)="N/A",0,RTD("tos.rtd",,AS$83,"."&amp;$B$82&amp;$AS$82&amp;"C"&amp;$A124))</f>
        <v>60</v>
      </c>
      <c r="AT124" s="3">
        <f>-IF(RTD("tos.rtd",,AT$83,"."&amp;$B$82&amp;$AS$82&amp;"P"&amp;$A124)="N/A",0,RTD("tos.rtd",,AT$83,"."&amp;$B$82&amp;$AS$82&amp;"P"&amp;$A124))</f>
        <v>-763</v>
      </c>
      <c r="AU124" s="54">
        <f>IF(RTD("tos.rtd",,AU$83,"."&amp;$C$82&amp;$AU$82&amp;"C"&amp;$A124)="N/A",0,RTD("tos.rtd",,AU$83,"."&amp;$C$82&amp;$AU$82&amp;"C"&amp;$A124))</f>
        <v>811</v>
      </c>
      <c r="AV124" s="3">
        <f>-IF(RTD("tos.rtd",,AV$83,"."&amp;$C$82&amp;$AU$82&amp;"P"&amp;$A124)="N/A",0,RTD("tos.rtd",,AV$83,"."&amp;$C$82&amp;$AU$82&amp;"P"&amp;$A124))</f>
        <v>-676</v>
      </c>
      <c r="AW124" s="54">
        <f>IF(RTD("tos.rtd",,AW$83,"."&amp;$D$82&amp;$AW$82&amp;"C"&amp;$A124)="N/A",0,RTD("tos.rtd",,AW$83,"."&amp;$D$82&amp;$AW$82&amp;"C"&amp;$A124))</f>
        <v>183</v>
      </c>
      <c r="AX124" s="3">
        <f>-IF(RTD("tos.rtd",,AX$83,"."&amp;$D$82&amp;$AW$82&amp;"P"&amp;$A124)="N/A",0,RTD("tos.rtd",,AX$83,"."&amp;$D$82&amp;$AW$82&amp;"P"&amp;$A124))</f>
        <v>-2187</v>
      </c>
      <c r="AY124" s="79">
        <f t="shared" si="518"/>
        <v>-2572</v>
      </c>
      <c r="AZ124" s="8">
        <f t="shared" si="453"/>
        <v>5480</v>
      </c>
      <c r="BA124" s="54">
        <f>IF(RTD("tos.rtd",,BA$83,"."&amp;$B$82&amp;$AS$82&amp;"C"&amp;$A124)="N/A",0,RTD("tos.rtd",,BA$83,"."&amp;$B$82&amp;$AS$82&amp;"C"&amp;$A124))</f>
        <v>0</v>
      </c>
      <c r="BB124" s="3">
        <f>-IF(RTD("tos.rtd",,BB$83,"."&amp;$B$82&amp;$AS$82&amp;"P"&amp;$A124)="N/A",0,RTD("tos.rtd",,BB$83,"."&amp;$B$82&amp;$AS$82&amp;"P"&amp;$A124))</f>
        <v>0</v>
      </c>
      <c r="BC124" s="54">
        <f>IF(RTD("tos.rtd",,BC$83,"."&amp;$C$82&amp;$AU$82&amp;"C"&amp;$A124)="N/A",0,RTD("tos.rtd",,BC$83,"."&amp;$C$82&amp;$AU$82&amp;"C"&amp;$A124))</f>
        <v>0</v>
      </c>
      <c r="BD124" s="3">
        <f>-IF(RTD("tos.rtd",,BD$83,"."&amp;$C$82&amp;$AU$82&amp;"P"&amp;$A124)="N/A",0,RTD("tos.rtd",,BD$83,"."&amp;$C$82&amp;$AU$82&amp;"P"&amp;$A124))</f>
        <v>-27</v>
      </c>
      <c r="BE124" s="54">
        <f>IF(RTD("tos.rtd",,BE$83,"."&amp;$D$82&amp;$AW$82&amp;"C"&amp;$A124)="N/A",0,RTD("tos.rtd",,BE$83,"."&amp;$D$82&amp;$AW$82&amp;"C"&amp;$A124))</f>
        <v>0</v>
      </c>
      <c r="BF124" s="3">
        <f>-IF(RTD("tos.rtd",,BF$83,"."&amp;$D$82&amp;$AW$82&amp;"P"&amp;$A124)="N/A",0,RTD("tos.rtd",,BF$83,"."&amp;$D$82&amp;$AW$82&amp;"P"&amp;$A124))</f>
        <v>0</v>
      </c>
      <c r="BG124" s="3">
        <f ca="1">+Hoja2!Y125</f>
        <v>0</v>
      </c>
      <c r="BH124" s="55">
        <f t="shared" ca="1" si="491"/>
        <v>-27</v>
      </c>
      <c r="BI124" s="32" t="str">
        <f t="shared" ca="1" si="510"/>
        <v/>
      </c>
      <c r="BJ124" s="3" t="e">
        <f ca="1">IF($BP$1=1,DX124,IF(RTD("tos.rtd",,BJ$83,"."&amp;$B$82&amp;$AS$82&amp;"C"&amp;$A124)="N/A",0,RTD("tos.rtd",,BJ$83,"."&amp;$B$82&amp;$AS$82&amp;"C"&amp;$A124)))</f>
        <v>#NUM!</v>
      </c>
      <c r="BK124" s="3" t="e">
        <f ca="1">IF($BP$1=1,DY124,-IF(RTD("tos.rtd",,BK$83,"."&amp;$B$82&amp;$AS$82&amp;"P"&amp;$A124)="N/A",0,RTD("tos.rtd",,BK$83,"."&amp;$B$82&amp;$AS$82&amp;"P"&amp;$A124)))</f>
        <v>#NUM!</v>
      </c>
      <c r="BL124" s="3">
        <f ca="1">IF($BP$1=1,DZ124,IF(RTD("tos.rtd",,BL$83,"."&amp;$C$82&amp;$AU$82&amp;"C"&amp;$A124)="N/A",0,RTD("tos.rtd",,BL$83,"."&amp;$C$82&amp;$AU$82&amp;"C"&amp;$A124)))</f>
        <v>1.2377914091232373E-3</v>
      </c>
      <c r="BM124" s="3">
        <f ca="1">IF($BP$1=1,EA124,-IF(RTD("tos.rtd",,BM$83,"."&amp;$C$82&amp;$AU$82&amp;"P"&amp;$A124)="N/A",0,RTD("tos.rtd",,BM$83,"."&amp;$C$82&amp;$AU$82&amp;"P"&amp;$A124)))</f>
        <v>-1.4287969915729698E-3</v>
      </c>
      <c r="BN124" s="3">
        <f ca="1">IF($BP$1=1,EB124,IF(RTD("tos.rtd",,BN$83,"."&amp;$D$82&amp;$AW$82&amp;"C"&amp;$A124)="N/A",0,RTD("tos.rtd",,BN$83,"."&amp;$D$82&amp;$AW$82&amp;"C"&amp;$A124)))</f>
        <v>1.5353546193923476E-3</v>
      </c>
      <c r="BO124" s="3">
        <f ca="1">IF($BP$1=1,EC124,-IF(RTD("tos.rtd",,BO$83,"."&amp;$D$82&amp;$AW$82&amp;"P"&amp;$A124)="N/A",0,RTD("tos.rtd",,BO$83,"."&amp;$D$82&amp;$AW$82&amp;"P"&amp;$A124)))</f>
        <v>-1.2572577174912939E-3</v>
      </c>
      <c r="BQ124" s="3" t="e">
        <f t="shared" ca="1" si="454"/>
        <v>#NUM!</v>
      </c>
      <c r="BR124" s="3" t="e">
        <f t="shared" ca="1" si="492"/>
        <v>#NUM!</v>
      </c>
      <c r="BS124" s="3">
        <f t="shared" ca="1" si="455"/>
        <v>9002.6204033806571</v>
      </c>
      <c r="BT124" s="3" t="str">
        <f t="shared" ca="1" si="492"/>
        <v>Cruce +</v>
      </c>
      <c r="BU124" s="3">
        <f t="shared" ca="1" si="456"/>
        <v>-585127.28536697221</v>
      </c>
      <c r="BV124" s="3" t="str">
        <f t="shared" ca="1" si="492"/>
        <v>Cruce -</v>
      </c>
      <c r="BX124" s="3" t="e">
        <f t="shared" ca="1" si="457"/>
        <v>#NUM!</v>
      </c>
      <c r="BY124" s="3" t="e">
        <f t="shared" ca="1" si="507"/>
        <v>#NUM!</v>
      </c>
      <c r="BZ124" s="3">
        <f t="shared" ca="1" si="458"/>
        <v>-9143.7562422494957</v>
      </c>
      <c r="CA124" s="3" t="str">
        <f t="shared" ca="1" si="507"/>
        <v/>
      </c>
      <c r="CB124" s="3">
        <f t="shared" ca="1" si="459"/>
        <v>0</v>
      </c>
      <c r="CC124" s="3" t="str">
        <f t="shared" ca="1" si="507"/>
        <v/>
      </c>
      <c r="CD124" s="3">
        <f>IF(RTD("tos.rtd",,CD$83,"."&amp;$B$82&amp;$AS$82&amp;"C"&amp;$A124)="N/A",0,RTD("tos.rtd",,CD$83,"."&amp;$B$82&amp;$AS$82&amp;"C"&amp;$A124))</f>
        <v>1</v>
      </c>
      <c r="CE124" s="3">
        <f>-IF(RTD("tos.rtd",,CE$83,"."&amp;$B$82&amp;$AS$82&amp;"P"&amp;$A124)="N/A",0,RTD("tos.rtd",,CE$83,"."&amp;$B$82&amp;$AS$82&amp;"P"&amp;$A124))</f>
        <v>0</v>
      </c>
      <c r="CF124" s="3">
        <f>IF(RTD("tos.rtd",,CF$83,"."&amp;$C$82&amp;$AU$82&amp;"C"&amp;$A124)="N/A",0,RTD("tos.rtd",,CF$83,"."&amp;$C$82&amp;$AU$82&amp;"C"&amp;$A124))</f>
        <v>0.76</v>
      </c>
      <c r="CG124" s="3">
        <f>-IF(RTD("tos.rtd",,CG$83,"."&amp;$C$82&amp;$AU$82&amp;"P"&amp;$A124)="N/A",0,RTD("tos.rtd",,CG$83,"."&amp;$C$82&amp;$AU$82&amp;"P"&amp;$A124))</f>
        <v>0.06</v>
      </c>
      <c r="CH124" s="3">
        <f>IF(RTD("tos.rtd",,CH$83,"."&amp;$D$82&amp;$AW$82&amp;"C"&amp;$A124)="N/A",0,RTD("tos.rtd",,CH$83,"."&amp;$D$82&amp;$AW$82&amp;"C"&amp;$A124))</f>
        <v>0.73</v>
      </c>
      <c r="CI124" s="3">
        <f>-IF(RTD("tos.rtd",,CI$83,"."&amp;$D$82&amp;$AW$82&amp;"P"&amp;$A124)="N/A",0,RTD("tos.rtd",,CI$83,"."&amp;$D$82&amp;$AW$82&amp;"P"&amp;$A124))</f>
        <v>0.21</v>
      </c>
      <c r="CK124" s="3">
        <f t="shared" si="493"/>
        <v>6000</v>
      </c>
      <c r="CL124" s="3"/>
      <c r="CM124" s="3">
        <f t="shared" si="494"/>
        <v>57580</v>
      </c>
      <c r="CN124" s="3"/>
      <c r="CO124" s="3">
        <f t="shared" si="495"/>
        <v>-32568</v>
      </c>
      <c r="CP124" s="3">
        <f t="shared" si="460"/>
        <v>31012</v>
      </c>
      <c r="CQ124" s="3">
        <f t="shared" si="461"/>
        <v>0</v>
      </c>
      <c r="CR124" s="3"/>
      <c r="CS124" s="3">
        <f t="shared" si="462"/>
        <v>-27</v>
      </c>
      <c r="CT124" s="3"/>
      <c r="CU124" s="3">
        <f t="shared" si="463"/>
        <v>0</v>
      </c>
      <c r="CV124" s="3"/>
      <c r="CW124" s="3" t="e">
        <f t="shared" ca="1" si="464"/>
        <v>#NUM!</v>
      </c>
      <c r="CY124" s="3" t="e">
        <f t="shared" ca="1" si="465"/>
        <v>#NUM!</v>
      </c>
      <c r="CZ124" s="70" t="e">
        <f t="shared" ca="1" si="508"/>
        <v>#NUM!</v>
      </c>
      <c r="DA124" s="3">
        <f>IF(RTD("tos.rtd",,DA$83,"."&amp;$B$82&amp;$AS$82&amp;"C"&amp;$A124)="N/A",0,RTD("tos.rtd",,DA$83,"."&amp;$B$82&amp;$AS$82&amp;"C"&amp;$A124))</f>
        <v>149.44999999999999</v>
      </c>
      <c r="DB124" s="3">
        <f>IF(RTD("tos.rtd",,DB$83,"."&amp;$B$82&amp;$AS$82&amp;"P"&amp;$A124)="N/A",0,RTD("tos.rtd",,DB$83,"."&amp;$B$82&amp;$AS$82&amp;"P"&amp;$A124))</f>
        <v>0.05</v>
      </c>
      <c r="DC124" s="3">
        <f>IF(RTD("tos.rtd",,DC$83,"."&amp;$B$82&amp;$AS$82&amp;"C"&amp;$A124)="N/A",0,RTD("tos.rtd",,DC$83,"."&amp;$B$82&amp;$AS$82&amp;"C"&amp;$A124))</f>
        <v>151.69999999999999</v>
      </c>
      <c r="DD124" s="3">
        <f>IF(RTD("tos.rtd",,DD$83,"."&amp;$B$82&amp;$AS$82&amp;"P"&amp;$A124)="N/A",0,RTD("tos.rtd",,DD$83,"."&amp;$B$82&amp;$AS$82&amp;"P"&amp;$A124))</f>
        <v>0.05</v>
      </c>
      <c r="DE124" s="3">
        <f>IF(RTD("tos.rtd",,DE$83,"."&amp;$B$82&amp;$AS$82&amp;"C"&amp;$A124)="N/A",0,RTD("tos.rtd",,DE$83,"."&amp;$B$82&amp;$AS$82&amp;"C"&amp;$A124))</f>
        <v>138.19999999999999</v>
      </c>
      <c r="DF124" s="3">
        <f>IF(RTD("tos.rtd",,DF$83,"."&amp;$B$82&amp;$AS$82&amp;"P"&amp;$A124)="N/A",0,RTD("tos.rtd",,DF$83,"."&amp;$B$82&amp;$AS$82&amp;"P"&amp;$A124))</f>
        <v>0</v>
      </c>
      <c r="DG124" s="86">
        <f t="shared" si="497"/>
        <v>-151.27999999999975</v>
      </c>
      <c r="DH124" s="3">
        <f t="shared" si="466"/>
        <v>-49.166666666666671</v>
      </c>
      <c r="DI124" s="3">
        <f t="shared" si="467"/>
        <v>7637</v>
      </c>
      <c r="DJ124" s="3">
        <f t="shared" si="468"/>
        <v>-59</v>
      </c>
      <c r="DK124" s="3">
        <f t="shared" si="469"/>
        <v>7637</v>
      </c>
      <c r="DL124" s="3">
        <f t="shared" si="470"/>
        <v>7587.833333333333</v>
      </c>
      <c r="DM124" s="3">
        <f t="shared" si="471"/>
        <v>7578</v>
      </c>
      <c r="DN124" s="64" t="str">
        <f t="shared" si="472"/>
        <v>UNKNOWN</v>
      </c>
      <c r="DO124" s="64" t="str">
        <f t="shared" si="473"/>
        <v>UNKNOWN</v>
      </c>
      <c r="DP124" s="3">
        <f t="shared" si="474"/>
        <v>-6966.1083333333327</v>
      </c>
      <c r="DQ124" s="3">
        <f t="shared" si="475"/>
        <v>-8435.6999999999989</v>
      </c>
      <c r="DR124" s="3" t="e">
        <f t="shared" ca="1" si="476"/>
        <v>#NUM!</v>
      </c>
      <c r="DS124" s="3">
        <f t="shared" si="477"/>
        <v>-59</v>
      </c>
      <c r="DT124" s="3">
        <f t="shared" si="498"/>
        <v>-59</v>
      </c>
      <c r="DU124" s="3">
        <f t="shared" si="499"/>
        <v>7637</v>
      </c>
      <c r="DV124" s="3">
        <f t="shared" si="500"/>
        <v>-25</v>
      </c>
      <c r="DW124" s="3">
        <f t="shared" si="501"/>
        <v>202</v>
      </c>
      <c r="DX124" s="3" t="e">
        <f t="shared" ca="1" si="509"/>
        <v>#NUM!</v>
      </c>
      <c r="DY124" s="3" t="e">
        <f t="shared" ca="1" si="478"/>
        <v>#NUM!</v>
      </c>
      <c r="DZ124" s="3">
        <f t="shared" ca="1" si="502"/>
        <v>1.2377914091232373E-3</v>
      </c>
      <c r="EA124" s="3">
        <f t="shared" ca="1" si="503"/>
        <v>-1.4287969915729698E-3</v>
      </c>
      <c r="EB124" s="3">
        <f t="shared" ca="1" si="479"/>
        <v>1.5353546193923476E-3</v>
      </c>
      <c r="EC124" s="3">
        <f t="shared" ca="1" si="480"/>
        <v>-1.2572577174912939E-3</v>
      </c>
      <c r="ED124" s="63">
        <f t="shared" si="504"/>
        <v>177</v>
      </c>
      <c r="EE124" s="59">
        <f t="shared" si="481"/>
        <v>0.25</v>
      </c>
      <c r="EF124" s="59">
        <f t="shared" si="482"/>
        <v>1.2277</v>
      </c>
      <c r="EG124" s="59">
        <f t="shared" si="483"/>
        <v>0.58589999999999998</v>
      </c>
      <c r="EH124" s="59">
        <f t="shared" si="484"/>
        <v>0.2621</v>
      </c>
      <c r="EI124" s="59">
        <f t="shared" si="485"/>
        <v>0.31859999999999999</v>
      </c>
      <c r="EJ124" s="59">
        <f t="shared" si="486"/>
        <v>0.22770000000000001</v>
      </c>
      <c r="EL124" s="3" t="str">
        <f>RTD("tos.rtd",,EL$83,"."&amp;$B$82&amp;$AS$82&amp;"C"&amp;$A124)</f>
        <v>--</v>
      </c>
      <c r="EM124" s="3" t="str">
        <f>RTD("tos.rtd",,EM$83,"."&amp;$B$82&amp;$AS$82&amp;"P"&amp;$A124)</f>
        <v>122.77%</v>
      </c>
      <c r="EN124" s="3" t="str">
        <f>RTD("tos.rtd",,EN$83,"."&amp;$C$82&amp;$AU$82&amp;"C"&amp;$A124)</f>
        <v>58.59%</v>
      </c>
      <c r="EO124" s="3" t="str">
        <f>RTD("tos.rtd",,EO$83,"."&amp;$C$82&amp;$AU$82&amp;"P"&amp;$A124)</f>
        <v>26.21%</v>
      </c>
      <c r="EP124" s="3" t="str">
        <f>RTD("tos.rtd",,EP$83,"."&amp;$D$82&amp;$AW$82&amp;"C"&amp;$A124)</f>
        <v>31.86%</v>
      </c>
      <c r="EQ124" s="3" t="str">
        <f>RTD("tos.rtd",,EQ$83,"."&amp;$D$82&amp;$AW$82&amp;"P"&amp;$A124)</f>
        <v>22.77%</v>
      </c>
      <c r="ES124" s="63" t="str">
        <f t="shared" si="487"/>
        <v>5480,177.00</v>
      </c>
      <c r="ET124" s="64" t="str">
        <f t="shared" ca="1" si="488"/>
        <v>5480,00.00</v>
      </c>
      <c r="EU124" s="67">
        <v>562.44000000000005</v>
      </c>
      <c r="EV124" s="67" t="s">
        <v>1012</v>
      </c>
      <c r="EW124" s="67">
        <v>484.71</v>
      </c>
      <c r="EX124" s="67" t="s">
        <v>1013</v>
      </c>
      <c r="EY124" s="67">
        <v>5638</v>
      </c>
      <c r="EZ124" s="67" t="s">
        <v>1014</v>
      </c>
      <c r="FA124" s="67">
        <v>19911</v>
      </c>
      <c r="FB124" s="67" t="s">
        <v>1015</v>
      </c>
      <c r="FC124" s="67" t="s">
        <v>1016</v>
      </c>
      <c r="FD124" s="67" t="s">
        <v>1017</v>
      </c>
      <c r="FE124" s="68" t="s">
        <v>1018</v>
      </c>
      <c r="FF124" s="68" t="s">
        <v>1019</v>
      </c>
    </row>
    <row r="125" spans="1:162" s="63" customFormat="1" ht="12" customHeight="1" thickBot="1" x14ac:dyDescent="0.25">
      <c r="A125" s="2">
        <f t="shared" si="505"/>
        <v>5470</v>
      </c>
      <c r="B125" s="3">
        <f t="shared" si="449"/>
        <v>812</v>
      </c>
      <c r="C125" s="3">
        <f t="shared" si="450"/>
        <v>545</v>
      </c>
      <c r="D125" s="3">
        <f t="shared" si="451"/>
        <v>462</v>
      </c>
      <c r="E125" s="3">
        <f t="shared" si="516"/>
        <v>1819</v>
      </c>
      <c r="F125" s="4">
        <f t="shared" si="519"/>
        <v>5517.3246579818442</v>
      </c>
      <c r="G125" s="4">
        <f t="shared" si="517"/>
        <v>548.16757468994626</v>
      </c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20"/>
      <c r="AM125" s="20">
        <v>-18</v>
      </c>
      <c r="AN125" s="20">
        <v>913</v>
      </c>
      <c r="AO125" s="20">
        <v>5470</v>
      </c>
      <c r="AP125" s="20">
        <v>54</v>
      </c>
      <c r="AQ125" s="20">
        <v>-7193</v>
      </c>
      <c r="AR125" s="20"/>
      <c r="AS125" s="54">
        <f>IF(RTD("tos.rtd",,AS$83,"."&amp;$B$82&amp;$AS$82&amp;"C"&amp;$A125)="N/A",0,RTD("tos.rtd",,AS$83,"."&amp;$B$82&amp;$AS$82&amp;"C"&amp;$A125))</f>
        <v>115</v>
      </c>
      <c r="AT125" s="3">
        <f>-IF(RTD("tos.rtd",,AT$83,"."&amp;$B$82&amp;$AS$82&amp;"P"&amp;$A125)="N/A",0,RTD("tos.rtd",,AT$83,"."&amp;$B$82&amp;$AS$82&amp;"P"&amp;$A125))</f>
        <v>-697</v>
      </c>
      <c r="AU125" s="54">
        <f>IF(RTD("tos.rtd",,AU$83,"."&amp;$C$82&amp;$AU$82&amp;"C"&amp;$A125)="N/A",0,RTD("tos.rtd",,AU$83,"."&amp;$C$82&amp;$AU$82&amp;"C"&amp;$A125))</f>
        <v>132</v>
      </c>
      <c r="AV125" s="3">
        <f>-IF(RTD("tos.rtd",,AV$83,"."&amp;$C$82&amp;$AU$82&amp;"P"&amp;$A125)="N/A",0,RTD("tos.rtd",,AV$83,"."&amp;$C$82&amp;$AU$82&amp;"P"&amp;$A125))</f>
        <v>-413</v>
      </c>
      <c r="AW125" s="54">
        <f>IF(RTD("tos.rtd",,AW$83,"."&amp;$D$82&amp;$AW$82&amp;"C"&amp;$A125)="N/A",0,RTD("tos.rtd",,AW$83,"."&amp;$D$82&amp;$AW$82&amp;"C"&amp;$A125))</f>
        <v>117</v>
      </c>
      <c r="AX125" s="3">
        <f>-IF(RTD("tos.rtd",,AX$83,"."&amp;$D$82&amp;$AW$82&amp;"P"&amp;$A125)="N/A",0,RTD("tos.rtd",,AX$83,"."&amp;$D$82&amp;$AW$82&amp;"P"&amp;$A125))</f>
        <v>-345</v>
      </c>
      <c r="AY125" s="79">
        <f t="shared" si="518"/>
        <v>-1091</v>
      </c>
      <c r="AZ125" s="8">
        <f t="shared" si="453"/>
        <v>5470</v>
      </c>
      <c r="BA125" s="54">
        <f>IF(RTD("tos.rtd",,BA$83,"."&amp;$B$82&amp;$AS$82&amp;"C"&amp;$A125)="N/A",0,RTD("tos.rtd",,BA$83,"."&amp;$B$82&amp;$AS$82&amp;"C"&amp;$A125))</f>
        <v>0</v>
      </c>
      <c r="BB125" s="3">
        <f>-IF(RTD("tos.rtd",,BB$83,"."&amp;$B$82&amp;$AS$82&amp;"P"&amp;$A125)="N/A",0,RTD("tos.rtd",,BB$83,"."&amp;$B$82&amp;$AS$82&amp;"P"&amp;$A125))</f>
        <v>0</v>
      </c>
      <c r="BC125" s="54">
        <f>IF(RTD("tos.rtd",,BC$83,"."&amp;$C$82&amp;$AU$82&amp;"C"&amp;$A125)="N/A",0,RTD("tos.rtd",,BC$83,"."&amp;$C$82&amp;$AU$82&amp;"C"&amp;$A125))</f>
        <v>1</v>
      </c>
      <c r="BD125" s="3">
        <f>-IF(RTD("tos.rtd",,BD$83,"."&amp;$C$82&amp;$AU$82&amp;"P"&amp;$A125)="N/A",0,RTD("tos.rtd",,BD$83,"."&amp;$C$82&amp;$AU$82&amp;"P"&amp;$A125))</f>
        <v>-3</v>
      </c>
      <c r="BE125" s="54">
        <f>IF(RTD("tos.rtd",,BE$83,"."&amp;$D$82&amp;$AW$82&amp;"C"&amp;$A125)="N/A",0,RTD("tos.rtd",,BE$83,"."&amp;$D$82&amp;$AW$82&amp;"C"&amp;$A125))</f>
        <v>0</v>
      </c>
      <c r="BF125" s="3">
        <f>-IF(RTD("tos.rtd",,BF$83,"."&amp;$D$82&amp;$AW$82&amp;"P"&amp;$A125)="N/A",0,RTD("tos.rtd",,BF$83,"."&amp;$D$82&amp;$AW$82&amp;"P"&amp;$A125))</f>
        <v>0</v>
      </c>
      <c r="BG125" s="3">
        <f ca="1">+Hoja2!Y126</f>
        <v>0</v>
      </c>
      <c r="BH125" s="55">
        <f t="shared" ca="1" si="491"/>
        <v>-2</v>
      </c>
      <c r="BI125" s="32" t="str">
        <f t="shared" ca="1" si="510"/>
        <v/>
      </c>
      <c r="BJ125" s="3" t="e">
        <f ca="1">IF($BP$1=1,DX125,IF(RTD("tos.rtd",,BJ$83,"."&amp;$B$82&amp;$AS$82&amp;"C"&amp;$A125)="N/A",0,RTD("tos.rtd",,BJ$83,"."&amp;$B$82&amp;$AS$82&amp;"C"&amp;$A125)))</f>
        <v>#NUM!</v>
      </c>
      <c r="BK125" s="3" t="e">
        <f ca="1">IF($BP$1=1,DY125,-IF(RTD("tos.rtd",,BK$83,"."&amp;$B$82&amp;$AS$82&amp;"P"&amp;$A125)="N/A",0,RTD("tos.rtd",,BK$83,"."&amp;$B$82&amp;$AS$82&amp;"P"&amp;$A125)))</f>
        <v>#NUM!</v>
      </c>
      <c r="BL125" s="3">
        <f ca="1">IF($BP$1=1,DZ125,IF(RTD("tos.rtd",,BL$83,"."&amp;$C$82&amp;$AU$82&amp;"C"&amp;$A125)="N/A",0,RTD("tos.rtd",,BL$83,"."&amp;$C$82&amp;$AU$82&amp;"C"&amp;$A125)))</f>
        <v>1.1885569532488801E-3</v>
      </c>
      <c r="BM125" s="3">
        <f ca="1">IF($BP$1=1,EA125,-IF(RTD("tos.rtd",,BM$83,"."&amp;$C$82&amp;$AU$82&amp;"P"&amp;$A125)="N/A",0,RTD("tos.rtd",,BM$83,"."&amp;$C$82&amp;$AU$82&amp;"P"&amp;$A125)))</f>
        <v>-1.2906104520885736E-3</v>
      </c>
      <c r="BN125" s="3">
        <f ca="1">IF($BP$1=1,EB125,IF(RTD("tos.rtd",,BN$83,"."&amp;$D$82&amp;$AW$82&amp;"C"&amp;$A125)="N/A",0,RTD("tos.rtd",,BN$83,"."&amp;$D$82&amp;$AW$82&amp;"C"&amp;$A125)))</f>
        <v>1.4260297150935162E-3</v>
      </c>
      <c r="BO125" s="3">
        <f ca="1">IF($BP$1=1,EC125,-IF(RTD("tos.rtd",,BO$83,"."&amp;$D$82&amp;$AW$82&amp;"P"&amp;$A125)="N/A",0,RTD("tos.rtd",,BO$83,"."&amp;$D$82&amp;$AW$82&amp;"P"&amp;$A125)))</f>
        <v>-1.0976104777512534E-3</v>
      </c>
      <c r="BQ125" s="3" t="e">
        <f t="shared" ca="1" si="454"/>
        <v>#NUM!</v>
      </c>
      <c r="BR125" s="3" t="e">
        <f t="shared" ca="1" si="492"/>
        <v>#NUM!</v>
      </c>
      <c r="BS125" s="3">
        <f t="shared" ca="1" si="455"/>
        <v>-89152.047834941623</v>
      </c>
      <c r="BT125" s="3" t="str">
        <f t="shared" ca="1" si="492"/>
        <v>Cruce -</v>
      </c>
      <c r="BU125" s="3">
        <f t="shared" ca="1" si="456"/>
        <v>-50208.598419845061</v>
      </c>
      <c r="BV125" s="3" t="str">
        <f t="shared" ca="1" si="492"/>
        <v/>
      </c>
      <c r="BX125" s="3" t="e">
        <f t="shared" ca="1" si="457"/>
        <v>#NUM!</v>
      </c>
      <c r="BY125" s="3" t="e">
        <f t="shared" ca="1" si="507"/>
        <v>#NUM!</v>
      </c>
      <c r="BZ125" s="3">
        <f t="shared" ca="1" si="458"/>
        <v>-635.99754087249448</v>
      </c>
      <c r="CA125" s="3" t="str">
        <f t="shared" ca="1" si="507"/>
        <v/>
      </c>
      <c r="CB125" s="3">
        <f t="shared" ca="1" si="459"/>
        <v>0</v>
      </c>
      <c r="CC125" s="3" t="str">
        <f t="shared" ca="1" si="507"/>
        <v/>
      </c>
      <c r="CD125" s="3">
        <f>IF(RTD("tos.rtd",,CD$83,"."&amp;$B$82&amp;$AS$82&amp;"C"&amp;$A125)="N/A",0,RTD("tos.rtd",,CD$83,"."&amp;$B$82&amp;$AS$82&amp;"C"&amp;$A125))</f>
        <v>1</v>
      </c>
      <c r="CE125" s="3">
        <f>-IF(RTD("tos.rtd",,CE$83,"."&amp;$B$82&amp;$AS$82&amp;"P"&amp;$A125)="N/A",0,RTD("tos.rtd",,CE$83,"."&amp;$B$82&amp;$AS$82&amp;"P"&amp;$A125))</f>
        <v>0</v>
      </c>
      <c r="CF125" s="3">
        <f>IF(RTD("tos.rtd",,CF$83,"."&amp;$C$82&amp;$AU$82&amp;"C"&amp;$A125)="N/A",0,RTD("tos.rtd",,CF$83,"."&amp;$C$82&amp;$AU$82&amp;"C"&amp;$A125))</f>
        <v>0.77</v>
      </c>
      <c r="CG125" s="3">
        <f>-IF(RTD("tos.rtd",,CG$83,"."&amp;$C$82&amp;$AU$82&amp;"P"&amp;$A125)="N/A",0,RTD("tos.rtd",,CG$83,"."&amp;$C$82&amp;$AU$82&amp;"P"&amp;$A125))</f>
        <v>0.05</v>
      </c>
      <c r="CH125" s="3">
        <f>IF(RTD("tos.rtd",,CH$83,"."&amp;$D$82&amp;$AW$82&amp;"C"&amp;$A125)="N/A",0,RTD("tos.rtd",,CH$83,"."&amp;$D$82&amp;$AW$82&amp;"C"&amp;$A125))</f>
        <v>0.73</v>
      </c>
      <c r="CI125" s="3">
        <f>-IF(RTD("tos.rtd",,CI$83,"."&amp;$D$82&amp;$AW$82&amp;"P"&amp;$A125)="N/A",0,RTD("tos.rtd",,CI$83,"."&amp;$D$82&amp;$AW$82&amp;"P"&amp;$A125))</f>
        <v>0.19</v>
      </c>
      <c r="CK125" s="3">
        <f t="shared" si="493"/>
        <v>11500</v>
      </c>
      <c r="CL125" s="3"/>
      <c r="CM125" s="3">
        <f t="shared" si="494"/>
        <v>8099</v>
      </c>
      <c r="CN125" s="3"/>
      <c r="CO125" s="3">
        <f t="shared" si="495"/>
        <v>1986</v>
      </c>
      <c r="CP125" s="3">
        <f t="shared" si="460"/>
        <v>21585</v>
      </c>
      <c r="CQ125" s="3">
        <f t="shared" si="461"/>
        <v>0</v>
      </c>
      <c r="CR125" s="3"/>
      <c r="CS125" s="3">
        <f t="shared" si="462"/>
        <v>-2</v>
      </c>
      <c r="CT125" s="3"/>
      <c r="CU125" s="3">
        <f t="shared" si="463"/>
        <v>0</v>
      </c>
      <c r="CV125" s="3"/>
      <c r="CW125" s="3" t="e">
        <f t="shared" ca="1" si="464"/>
        <v>#NUM!</v>
      </c>
      <c r="CY125" s="3" t="e">
        <f t="shared" ca="1" si="465"/>
        <v>#NUM!</v>
      </c>
      <c r="CZ125" s="70" t="e">
        <f t="shared" ca="1" si="508"/>
        <v>#NUM!</v>
      </c>
      <c r="DA125" s="3">
        <f>IF(RTD("tos.rtd",,DA$83,"."&amp;$B$82&amp;$AS$82&amp;"C"&amp;$A125)="N/A",0,RTD("tos.rtd",,DA$83,"."&amp;$B$82&amp;$AS$82&amp;"C"&amp;$A125))</f>
        <v>148.16999999999999</v>
      </c>
      <c r="DB125" s="3">
        <f>IF(RTD("tos.rtd",,DB$83,"."&amp;$B$82&amp;$AS$82&amp;"P"&amp;$A125)="N/A",0,RTD("tos.rtd",,DB$83,"."&amp;$B$82&amp;$AS$82&amp;"P"&amp;$A125))</f>
        <v>0.03</v>
      </c>
      <c r="DC125" s="3">
        <f>IF(RTD("tos.rtd",,DC$83,"."&amp;$B$82&amp;$AS$82&amp;"C"&amp;$A125)="N/A",0,RTD("tos.rtd",,DC$83,"."&amp;$B$82&amp;$AS$82&amp;"C"&amp;$A125))</f>
        <v>161.69999999999999</v>
      </c>
      <c r="DD125" s="3">
        <f>IF(RTD("tos.rtd",,DD$83,"."&amp;$B$82&amp;$AS$82&amp;"P"&amp;$A125)="N/A",0,RTD("tos.rtd",,DD$83,"."&amp;$B$82&amp;$AS$82&amp;"P"&amp;$A125))</f>
        <v>0.05</v>
      </c>
      <c r="DE125" s="3">
        <f>IF(RTD("tos.rtd",,DE$83,"."&amp;$B$82&amp;$AS$82&amp;"C"&amp;$A125)="N/A",0,RTD("tos.rtd",,DE$83,"."&amp;$B$82&amp;$AS$82&amp;"C"&amp;$A125))</f>
        <v>148</v>
      </c>
      <c r="DF125" s="3">
        <f>IF(RTD("tos.rtd",,DF$83,"."&amp;$B$82&amp;$AS$82&amp;"P"&amp;$A125)="N/A",0,RTD("tos.rtd",,DF$83,"."&amp;$B$82&amp;$AS$82&amp;"P"&amp;$A125))</f>
        <v>0</v>
      </c>
      <c r="DG125" s="86">
        <f t="shared" si="497"/>
        <v>-161.27999999999975</v>
      </c>
      <c r="DH125" s="3">
        <f t="shared" si="466"/>
        <v>-0.67007299270068121</v>
      </c>
      <c r="DI125" s="3">
        <f t="shared" si="467"/>
        <v>4315.8</v>
      </c>
      <c r="DJ125" s="3">
        <f t="shared" si="468"/>
        <v>54</v>
      </c>
      <c r="DK125" s="3">
        <f t="shared" si="469"/>
        <v>7193</v>
      </c>
      <c r="DL125" s="3">
        <f t="shared" si="470"/>
        <v>4315.1299270072996</v>
      </c>
      <c r="DM125" s="3">
        <f t="shared" si="471"/>
        <v>7247</v>
      </c>
      <c r="DN125" s="64" t="str">
        <f t="shared" si="472"/>
        <v>UNKNOWN</v>
      </c>
      <c r="DO125" s="64" t="str">
        <f t="shared" si="473"/>
        <v>UNKNOWN</v>
      </c>
      <c r="DP125" s="3">
        <f t="shared" si="474"/>
        <v>30.189284671540065</v>
      </c>
      <c r="DQ125" s="3">
        <f t="shared" si="475"/>
        <v>8216.9699999999993</v>
      </c>
      <c r="DR125" s="3" t="e">
        <f t="shared" ca="1" si="476"/>
        <v>#NUM!</v>
      </c>
      <c r="DS125" s="3">
        <f t="shared" si="477"/>
        <v>54</v>
      </c>
      <c r="DT125" s="3">
        <f t="shared" si="498"/>
        <v>-54</v>
      </c>
      <c r="DU125" s="3">
        <f t="shared" si="499"/>
        <v>7193</v>
      </c>
      <c r="DV125" s="3">
        <f t="shared" si="500"/>
        <v>-18</v>
      </c>
      <c r="DW125" s="3">
        <f t="shared" si="501"/>
        <v>913</v>
      </c>
      <c r="DX125" s="3" t="e">
        <f t="shared" ca="1" si="509"/>
        <v>#NUM!</v>
      </c>
      <c r="DY125" s="3" t="e">
        <f t="shared" ca="1" si="478"/>
        <v>#NUM!</v>
      </c>
      <c r="DZ125" s="3">
        <f t="shared" ca="1" si="502"/>
        <v>1.1885569532488801E-3</v>
      </c>
      <c r="EA125" s="3">
        <f t="shared" ca="1" si="503"/>
        <v>-1.2906104520885736E-3</v>
      </c>
      <c r="EB125" s="3">
        <f t="shared" ca="1" si="479"/>
        <v>1.4260297150935162E-3</v>
      </c>
      <c r="EC125" s="3">
        <f t="shared" ca="1" si="480"/>
        <v>-1.0976104777512534E-3</v>
      </c>
      <c r="ED125" s="63">
        <f t="shared" si="504"/>
        <v>895</v>
      </c>
      <c r="EE125" s="59">
        <f t="shared" si="481"/>
        <v>0.25</v>
      </c>
      <c r="EF125" s="59">
        <f t="shared" si="482"/>
        <v>1.3025</v>
      </c>
      <c r="EG125" s="59">
        <f t="shared" si="483"/>
        <v>0.6018</v>
      </c>
      <c r="EH125" s="59">
        <f t="shared" si="484"/>
        <v>0.26600000000000001</v>
      </c>
      <c r="EI125" s="59">
        <f t="shared" si="485"/>
        <v>0.32340000000000002</v>
      </c>
      <c r="EJ125" s="59">
        <f t="shared" si="486"/>
        <v>0.2301</v>
      </c>
      <c r="EL125" s="3" t="str">
        <f>RTD("tos.rtd",,EL$83,"."&amp;$B$82&amp;$AS$82&amp;"C"&amp;$A125)</f>
        <v>--</v>
      </c>
      <c r="EM125" s="3" t="str">
        <f>RTD("tos.rtd",,EM$83,"."&amp;$B$82&amp;$AS$82&amp;"P"&amp;$A125)</f>
        <v>130.25%</v>
      </c>
      <c r="EN125" s="3" t="str">
        <f>RTD("tos.rtd",,EN$83,"."&amp;$C$82&amp;$AU$82&amp;"C"&amp;$A125)</f>
        <v>60.18%</v>
      </c>
      <c r="EO125" s="3" t="str">
        <f>RTD("tos.rtd",,EO$83,"."&amp;$C$82&amp;$AU$82&amp;"P"&amp;$A125)</f>
        <v>26.60%</v>
      </c>
      <c r="EP125" s="3" t="str">
        <f>RTD("tos.rtd",,EP$83,"."&amp;$D$82&amp;$AW$82&amp;"C"&amp;$A125)</f>
        <v>32.34%</v>
      </c>
      <c r="EQ125" s="3" t="str">
        <f>RTD("tos.rtd",,EQ$83,"."&amp;$D$82&amp;$AW$82&amp;"P"&amp;$A125)</f>
        <v>23.01%</v>
      </c>
      <c r="ES125" s="63" t="str">
        <f t="shared" si="487"/>
        <v>5470,895.00</v>
      </c>
      <c r="ET125" s="64" t="str">
        <f t="shared" ca="1" si="488"/>
        <v>5470,00.00</v>
      </c>
      <c r="EU125" s="67">
        <v>562.52</v>
      </c>
      <c r="EV125" s="67" t="s">
        <v>1020</v>
      </c>
      <c r="EW125" s="67">
        <v>484.88</v>
      </c>
      <c r="EX125" s="67" t="s">
        <v>1021</v>
      </c>
      <c r="EY125" s="67">
        <v>5639.25</v>
      </c>
      <c r="EZ125" s="67" t="s">
        <v>1022</v>
      </c>
      <c r="FA125" s="67">
        <v>19918</v>
      </c>
      <c r="FB125" s="67" t="s">
        <v>1023</v>
      </c>
      <c r="FC125" s="67" t="s">
        <v>1024</v>
      </c>
      <c r="FD125" s="67" t="s">
        <v>1025</v>
      </c>
      <c r="FE125" s="68" t="s">
        <v>1026</v>
      </c>
      <c r="FF125" s="68" t="s">
        <v>1027</v>
      </c>
    </row>
    <row r="126" spans="1:162" s="63" customFormat="1" ht="12" customHeight="1" thickBot="1" x14ac:dyDescent="0.25">
      <c r="A126" s="2">
        <f t="shared" si="505"/>
        <v>5460</v>
      </c>
      <c r="B126" s="3">
        <f t="shared" si="449"/>
        <v>1803</v>
      </c>
      <c r="C126" s="3">
        <f t="shared" si="450"/>
        <v>1335</v>
      </c>
      <c r="D126" s="3">
        <f t="shared" si="451"/>
        <v>769</v>
      </c>
      <c r="E126" s="3">
        <f t="shared" si="516"/>
        <v>3907</v>
      </c>
      <c r="F126" s="4">
        <f t="shared" si="519"/>
        <v>5507.2381412396471</v>
      </c>
      <c r="G126" s="4">
        <f t="shared" si="517"/>
        <v>547.16544018411457</v>
      </c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  <c r="AM126" s="20">
        <v>-8</v>
      </c>
      <c r="AN126" s="20">
        <v>-156</v>
      </c>
      <c r="AO126" s="20">
        <v>5460</v>
      </c>
      <c r="AP126" s="20">
        <v>20</v>
      </c>
      <c r="AQ126" s="20">
        <v>-6136</v>
      </c>
      <c r="AR126" s="20"/>
      <c r="AS126" s="54">
        <f>IF(RTD("tos.rtd",,AS$83,"."&amp;$B$82&amp;$AS$82&amp;"C"&amp;$A126)="N/A",0,RTD("tos.rtd",,AS$83,"."&amp;$B$82&amp;$AS$82&amp;"C"&amp;$A126))</f>
        <v>53</v>
      </c>
      <c r="AT126" s="3">
        <f>-IF(RTD("tos.rtd",,AT$83,"."&amp;$B$82&amp;$AS$82&amp;"P"&amp;$A126)="N/A",0,RTD("tos.rtd",,AT$83,"."&amp;$B$82&amp;$AS$82&amp;"P"&amp;$A126))</f>
        <v>-1750</v>
      </c>
      <c r="AU126" s="54">
        <f>IF(RTD("tos.rtd",,AU$83,"."&amp;$C$82&amp;$AU$82&amp;"C"&amp;$A126)="N/A",0,RTD("tos.rtd",,AU$83,"."&amp;$C$82&amp;$AU$82&amp;"C"&amp;$A126))</f>
        <v>308</v>
      </c>
      <c r="AV126" s="3">
        <f>-IF(RTD("tos.rtd",,AV$83,"."&amp;$C$82&amp;$AU$82&amp;"P"&amp;$A126)="N/A",0,RTD("tos.rtd",,AV$83,"."&amp;$C$82&amp;$AU$82&amp;"P"&amp;$A126))</f>
        <v>-1027</v>
      </c>
      <c r="AW126" s="54">
        <f>IF(RTD("tos.rtd",,AW$83,"."&amp;$D$82&amp;$AW$82&amp;"C"&amp;$A126)="N/A",0,RTD("tos.rtd",,AW$83,"."&amp;$D$82&amp;$AW$82&amp;"C"&amp;$A126))</f>
        <v>461</v>
      </c>
      <c r="AX126" s="3">
        <f>-IF(RTD("tos.rtd",,AX$83,"."&amp;$D$82&amp;$AW$82&amp;"P"&amp;$A126)="N/A",0,RTD("tos.rtd",,AX$83,"."&amp;$D$82&amp;$AW$82&amp;"P"&amp;$A126))</f>
        <v>-308</v>
      </c>
      <c r="AY126" s="79">
        <f t="shared" si="518"/>
        <v>-2263</v>
      </c>
      <c r="AZ126" s="8">
        <f t="shared" si="453"/>
        <v>5460</v>
      </c>
      <c r="BA126" s="54">
        <f>IF(RTD("tos.rtd",,BA$83,"."&amp;$B$82&amp;$AS$82&amp;"C"&amp;$A126)="N/A",0,RTD("tos.rtd",,BA$83,"."&amp;$B$82&amp;$AS$82&amp;"C"&amp;$A126))</f>
        <v>0</v>
      </c>
      <c r="BB126" s="3">
        <f>-IF(RTD("tos.rtd",,BB$83,"."&amp;$B$82&amp;$AS$82&amp;"P"&amp;$A126)="N/A",0,RTD("tos.rtd",,BB$83,"."&amp;$B$82&amp;$AS$82&amp;"P"&amp;$A126))</f>
        <v>0</v>
      </c>
      <c r="BC126" s="54">
        <f>IF(RTD("tos.rtd",,BC$83,"."&amp;$C$82&amp;$AU$82&amp;"C"&amp;$A126)="N/A",0,RTD("tos.rtd",,BC$83,"."&amp;$C$82&amp;$AU$82&amp;"C"&amp;$A126))</f>
        <v>0</v>
      </c>
      <c r="BD126" s="3">
        <f>-IF(RTD("tos.rtd",,BD$83,"."&amp;$C$82&amp;$AU$82&amp;"P"&amp;$A126)="N/A",0,RTD("tos.rtd",,BD$83,"."&amp;$C$82&amp;$AU$82&amp;"P"&amp;$A126))</f>
        <v>-2</v>
      </c>
      <c r="BE126" s="54">
        <f>IF(RTD("tos.rtd",,BE$83,"."&amp;$D$82&amp;$AW$82&amp;"C"&amp;$A126)="N/A",0,RTD("tos.rtd",,BE$83,"."&amp;$D$82&amp;$AW$82&amp;"C"&amp;$A126))</f>
        <v>0</v>
      </c>
      <c r="BF126" s="3">
        <f>-IF(RTD("tos.rtd",,BF$83,"."&amp;$D$82&amp;$AW$82&amp;"P"&amp;$A126)="N/A",0,RTD("tos.rtd",,BF$83,"."&amp;$D$82&amp;$AW$82&amp;"P"&amp;$A126))</f>
        <v>0</v>
      </c>
      <c r="BG126" s="3">
        <f ca="1">+Hoja2!Y127</f>
        <v>0</v>
      </c>
      <c r="BH126" s="55">
        <f t="shared" ca="1" si="491"/>
        <v>-2</v>
      </c>
      <c r="BI126" s="32" t="str">
        <f t="shared" ca="1" si="510"/>
        <v/>
      </c>
      <c r="BJ126" s="3" t="e">
        <f ca="1">IF($BP$1=1,DX126,IF(RTD("tos.rtd",,BJ$83,"."&amp;$B$82&amp;$AS$82&amp;"C"&amp;$A126)="N/A",0,RTD("tos.rtd",,BJ$83,"."&amp;$B$82&amp;$AS$82&amp;"C"&amp;$A126)))</f>
        <v>#NUM!</v>
      </c>
      <c r="BK126" s="3" t="e">
        <f ca="1">IF($BP$1=1,DY126,-IF(RTD("tos.rtd",,BK$83,"."&amp;$B$82&amp;$AS$82&amp;"P"&amp;$A126)="N/A",0,RTD("tos.rtd",,BK$83,"."&amp;$B$82&amp;$AS$82&amp;"P"&amp;$A126)))</f>
        <v>#NUM!</v>
      </c>
      <c r="BL126" s="3">
        <f ca="1">IF($BP$1=1,DZ126,IF(RTD("tos.rtd",,BL$83,"."&amp;$C$82&amp;$AU$82&amp;"C"&amp;$A126)="N/A",0,RTD("tos.rtd",,BL$83,"."&amp;$C$82&amp;$AU$82&amp;"C"&amp;$A126)))</f>
        <v>1.1406756498121081E-3</v>
      </c>
      <c r="BM126" s="3">
        <f ca="1">IF($BP$1=1,EA126,-IF(RTD("tos.rtd",,BM$83,"."&amp;$C$82&amp;$AU$82&amp;"P"&amp;$A126)="N/A",0,RTD("tos.rtd",,BM$83,"."&amp;$C$82&amp;$AU$82&amp;"P"&amp;$A126)))</f>
        <v>-1.1652276531559928E-3</v>
      </c>
      <c r="BN126" s="3">
        <f ca="1">IF($BP$1=1,EB126,IF(RTD("tos.rtd",,BN$83,"."&amp;$D$82&amp;$AW$82&amp;"C"&amp;$A126)="N/A",0,RTD("tos.rtd",,BN$83,"."&amp;$D$82&amp;$AW$82&amp;"C"&amp;$A126)))</f>
        <v>1.3227820102136259E-3</v>
      </c>
      <c r="BO126" s="3">
        <f ca="1">IF($BP$1=1,EC126,-IF(RTD("tos.rtd",,BO$83,"."&amp;$D$82&amp;$AW$82&amp;"P"&amp;$A126)="N/A",0,RTD("tos.rtd",,BO$83,"."&amp;$D$82&amp;$AW$82&amp;"P"&amp;$A126)))</f>
        <v>-9.5640164587812893E-4</v>
      </c>
      <c r="BQ126" s="3" t="e">
        <f t="shared" ca="1" si="454"/>
        <v>#NUM!</v>
      </c>
      <c r="BR126" s="3" t="e">
        <f t="shared" ca="1" si="492"/>
        <v>#NUM!</v>
      </c>
      <c r="BS126" s="3">
        <f t="shared" ca="1" si="455"/>
        <v>-200369.86359746859</v>
      </c>
      <c r="BT126" s="3" t="str">
        <f t="shared" ca="1" si="492"/>
        <v/>
      </c>
      <c r="BU126" s="3">
        <f t="shared" ca="1" si="456"/>
        <v>74716.925425398149</v>
      </c>
      <c r="BV126" s="3" t="str">
        <f t="shared" ca="1" si="492"/>
        <v>Cruce +</v>
      </c>
      <c r="BX126" s="3" t="e">
        <f t="shared" ca="1" si="457"/>
        <v>#NUM!</v>
      </c>
      <c r="BY126" s="3" t="e">
        <f t="shared" ca="1" si="507"/>
        <v>#NUM!</v>
      </c>
      <c r="BZ126" s="3">
        <f t="shared" ca="1" si="458"/>
        <v>-552.37132745769964</v>
      </c>
      <c r="CA126" s="3" t="str">
        <f t="shared" ca="1" si="507"/>
        <v/>
      </c>
      <c r="CB126" s="3">
        <f t="shared" ca="1" si="459"/>
        <v>0</v>
      </c>
      <c r="CC126" s="3" t="str">
        <f t="shared" ca="1" si="507"/>
        <v/>
      </c>
      <c r="CD126" s="3">
        <f>IF(RTD("tos.rtd",,CD$83,"."&amp;$B$82&amp;$AS$82&amp;"C"&amp;$A126)="N/A",0,RTD("tos.rtd",,CD$83,"."&amp;$B$82&amp;$AS$82&amp;"C"&amp;$A126))</f>
        <v>1</v>
      </c>
      <c r="CE126" s="3">
        <f>-IF(RTD("tos.rtd",,CE$83,"."&amp;$B$82&amp;$AS$82&amp;"P"&amp;$A126)="N/A",0,RTD("tos.rtd",,CE$83,"."&amp;$B$82&amp;$AS$82&amp;"P"&amp;$A126))</f>
        <v>0</v>
      </c>
      <c r="CF126" s="3">
        <f>IF(RTD("tos.rtd",,CF$83,"."&amp;$C$82&amp;$AU$82&amp;"C"&amp;$A126)="N/A",0,RTD("tos.rtd",,CF$83,"."&amp;$C$82&amp;$AU$82&amp;"C"&amp;$A126))</f>
        <v>0.77</v>
      </c>
      <c r="CG126" s="3">
        <f>-IF(RTD("tos.rtd",,CG$83,"."&amp;$C$82&amp;$AU$82&amp;"P"&amp;$A126)="N/A",0,RTD("tos.rtd",,CG$83,"."&amp;$C$82&amp;$AU$82&amp;"P"&amp;$A126))</f>
        <v>0.05</v>
      </c>
      <c r="CH126" s="3">
        <f>IF(RTD("tos.rtd",,CH$83,"."&amp;$D$82&amp;$AW$82&amp;"C"&amp;$A126)="N/A",0,RTD("tos.rtd",,CH$83,"."&amp;$D$82&amp;$AW$82&amp;"C"&amp;$A126))</f>
        <v>0.74</v>
      </c>
      <c r="CI126" s="3">
        <f>-IF(RTD("tos.rtd",,CI$83,"."&amp;$D$82&amp;$AW$82&amp;"P"&amp;$A126)="N/A",0,RTD("tos.rtd",,CI$83,"."&amp;$D$82&amp;$AW$82&amp;"P"&amp;$A126))</f>
        <v>0.18</v>
      </c>
      <c r="CK126" s="3">
        <f t="shared" si="493"/>
        <v>5300</v>
      </c>
      <c r="CL126" s="3"/>
      <c r="CM126" s="3">
        <f t="shared" si="494"/>
        <v>18581</v>
      </c>
      <c r="CN126" s="3"/>
      <c r="CO126" s="3">
        <f t="shared" si="495"/>
        <v>28570</v>
      </c>
      <c r="CP126" s="3">
        <f t="shared" si="460"/>
        <v>52451</v>
      </c>
      <c r="CQ126" s="3">
        <f t="shared" si="461"/>
        <v>0</v>
      </c>
      <c r="CR126" s="3"/>
      <c r="CS126" s="3">
        <f t="shared" si="462"/>
        <v>-2</v>
      </c>
      <c r="CT126" s="3"/>
      <c r="CU126" s="3">
        <f t="shared" si="463"/>
        <v>0</v>
      </c>
      <c r="CV126" s="3"/>
      <c r="CW126" s="3" t="e">
        <f t="shared" ca="1" si="464"/>
        <v>#NUM!</v>
      </c>
      <c r="CY126" s="3" t="e">
        <f t="shared" ca="1" si="465"/>
        <v>#NUM!</v>
      </c>
      <c r="CZ126" s="70" t="e">
        <f t="shared" ca="1" si="508"/>
        <v>#NUM!</v>
      </c>
      <c r="DA126" s="3">
        <f>IF(RTD("tos.rtd",,DA$83,"."&amp;$B$82&amp;$AS$82&amp;"C"&amp;$A126)="N/A",0,RTD("tos.rtd",,DA$83,"."&amp;$B$82&amp;$AS$82&amp;"C"&amp;$A126))</f>
        <v>151.05000000000001</v>
      </c>
      <c r="DB126" s="3">
        <f>IF(RTD("tos.rtd",,DB$83,"."&amp;$B$82&amp;$AS$82&amp;"P"&amp;$A126)="N/A",0,RTD("tos.rtd",,DB$83,"."&amp;$B$82&amp;$AS$82&amp;"P"&amp;$A126))</f>
        <v>0.05</v>
      </c>
      <c r="DC126" s="3">
        <f>IF(RTD("tos.rtd",,DC$83,"."&amp;$B$82&amp;$AS$82&amp;"C"&amp;$A126)="N/A",0,RTD("tos.rtd",,DC$83,"."&amp;$B$82&amp;$AS$82&amp;"C"&amp;$A126))</f>
        <v>171.7</v>
      </c>
      <c r="DD126" s="3">
        <f>IF(RTD("tos.rtd",,DD$83,"."&amp;$B$82&amp;$AS$82&amp;"P"&amp;$A126)="N/A",0,RTD("tos.rtd",,DD$83,"."&amp;$B$82&amp;$AS$82&amp;"P"&amp;$A126))</f>
        <v>0.05</v>
      </c>
      <c r="DE126" s="3">
        <f>IF(RTD("tos.rtd",,DE$83,"."&amp;$B$82&amp;$AS$82&amp;"C"&amp;$A126)="N/A",0,RTD("tos.rtd",,DE$83,"."&amp;$B$82&amp;$AS$82&amp;"C"&amp;$A126))</f>
        <v>157</v>
      </c>
      <c r="DF126" s="3">
        <f>IF(RTD("tos.rtd",,DF$83,"."&amp;$B$82&amp;$AS$82&amp;"P"&amp;$A126)="N/A",0,RTD("tos.rtd",,DF$83,"."&amp;$B$82&amp;$AS$82&amp;"P"&amp;$A126))</f>
        <v>0</v>
      </c>
      <c r="DG126" s="86">
        <f t="shared" si="497"/>
        <v>-171.27999999999975</v>
      </c>
      <c r="DH126" s="3">
        <f t="shared" si="466"/>
        <v>8.095238095238086</v>
      </c>
      <c r="DI126" s="3">
        <f t="shared" si="467"/>
        <v>6136</v>
      </c>
      <c r="DJ126" s="3">
        <f t="shared" si="468"/>
        <v>20</v>
      </c>
      <c r="DK126" s="3">
        <f t="shared" si="469"/>
        <v>6136</v>
      </c>
      <c r="DL126" s="3">
        <f t="shared" si="470"/>
        <v>6144.0952380952385</v>
      </c>
      <c r="DM126" s="3">
        <f t="shared" si="471"/>
        <v>6156</v>
      </c>
      <c r="DN126" s="64" t="str">
        <f t="shared" si="472"/>
        <v>UNKNOWN</v>
      </c>
      <c r="DO126" s="64" t="str">
        <f t="shared" si="473"/>
        <v>UNKNOWN</v>
      </c>
      <c r="DP126" s="3">
        <f t="shared" si="474"/>
        <v>1529.585714285713</v>
      </c>
      <c r="DQ126" s="3">
        <f t="shared" si="475"/>
        <v>3327.8</v>
      </c>
      <c r="DR126" s="3" t="e">
        <f t="shared" ca="1" si="476"/>
        <v>#NUM!</v>
      </c>
      <c r="DS126" s="3">
        <f t="shared" si="477"/>
        <v>20</v>
      </c>
      <c r="DT126" s="3">
        <f t="shared" si="498"/>
        <v>-20</v>
      </c>
      <c r="DU126" s="3">
        <f t="shared" si="499"/>
        <v>6136</v>
      </c>
      <c r="DV126" s="3">
        <f t="shared" si="500"/>
        <v>-8</v>
      </c>
      <c r="DW126" s="3">
        <f t="shared" si="501"/>
        <v>-156</v>
      </c>
      <c r="DX126" s="3" t="e">
        <f t="shared" ca="1" si="509"/>
        <v>#NUM!</v>
      </c>
      <c r="DY126" s="3" t="e">
        <f t="shared" ca="1" si="478"/>
        <v>#NUM!</v>
      </c>
      <c r="DZ126" s="3">
        <f t="shared" ca="1" si="502"/>
        <v>1.1406756498121081E-3</v>
      </c>
      <c r="EA126" s="3">
        <f t="shared" ca="1" si="503"/>
        <v>-1.1652276531559928E-3</v>
      </c>
      <c r="EB126" s="3">
        <f t="shared" ca="1" si="479"/>
        <v>1.3227820102136259E-3</v>
      </c>
      <c r="EC126" s="3">
        <f t="shared" ca="1" si="480"/>
        <v>-9.5640164587812893E-4</v>
      </c>
      <c r="ED126" s="63">
        <f t="shared" si="504"/>
        <v>-164</v>
      </c>
      <c r="EE126" s="59">
        <f t="shared" si="481"/>
        <v>0.25</v>
      </c>
      <c r="EF126" s="59">
        <f t="shared" si="482"/>
        <v>1.3795999999999999</v>
      </c>
      <c r="EG126" s="59">
        <f t="shared" si="483"/>
        <v>0.61909999999999998</v>
      </c>
      <c r="EH126" s="59">
        <f t="shared" si="484"/>
        <v>0.2702</v>
      </c>
      <c r="EI126" s="59">
        <f t="shared" si="485"/>
        <v>0.32790000000000002</v>
      </c>
      <c r="EJ126" s="59">
        <f t="shared" si="486"/>
        <v>0.23280000000000001</v>
      </c>
      <c r="EL126" s="3" t="str">
        <f>RTD("tos.rtd",,EL$83,"."&amp;$B$82&amp;$AS$82&amp;"C"&amp;$A126)</f>
        <v>--</v>
      </c>
      <c r="EM126" s="3" t="str">
        <f>RTD("tos.rtd",,EM$83,"."&amp;$B$82&amp;$AS$82&amp;"P"&amp;$A126)</f>
        <v>137.96%</v>
      </c>
      <c r="EN126" s="3" t="str">
        <f>RTD("tos.rtd",,EN$83,"."&amp;$C$82&amp;$AU$82&amp;"C"&amp;$A126)</f>
        <v>61.91%</v>
      </c>
      <c r="EO126" s="3" t="str">
        <f>RTD("tos.rtd",,EO$83,"."&amp;$C$82&amp;$AU$82&amp;"P"&amp;$A126)</f>
        <v>27.02%</v>
      </c>
      <c r="EP126" s="3" t="str">
        <f>RTD("tos.rtd",,EP$83,"."&amp;$D$82&amp;$AW$82&amp;"C"&amp;$A126)</f>
        <v>32.79%</v>
      </c>
      <c r="EQ126" s="3" t="str">
        <f>RTD("tos.rtd",,EQ$83,"."&amp;$D$82&amp;$AW$82&amp;"P"&amp;$A126)</f>
        <v>23.28%</v>
      </c>
      <c r="ES126" s="63" t="str">
        <f t="shared" si="487"/>
        <v>5460,-164.00</v>
      </c>
      <c r="ET126" s="64" t="str">
        <f t="shared" ca="1" si="488"/>
        <v>5460,00.00</v>
      </c>
      <c r="EU126" s="67">
        <v>562.35</v>
      </c>
      <c r="EV126" s="67" t="s">
        <v>1028</v>
      </c>
      <c r="EW126" s="67">
        <v>484.7</v>
      </c>
      <c r="EX126" s="67" t="s">
        <v>1029</v>
      </c>
      <c r="EY126" s="67">
        <v>5637.5</v>
      </c>
      <c r="EZ126" s="67" t="s">
        <v>1030</v>
      </c>
      <c r="FA126" s="67">
        <v>19911</v>
      </c>
      <c r="FB126" s="67" t="s">
        <v>1031</v>
      </c>
      <c r="FC126" s="67" t="s">
        <v>1032</v>
      </c>
      <c r="FD126" s="67" t="s">
        <v>1033</v>
      </c>
      <c r="FE126" s="68" t="s">
        <v>1034</v>
      </c>
      <c r="FF126" s="68" t="s">
        <v>1035</v>
      </c>
    </row>
    <row r="127" spans="1:162" s="63" customFormat="1" ht="12" customHeight="1" thickBot="1" x14ac:dyDescent="0.25">
      <c r="A127" s="2">
        <f t="shared" si="505"/>
        <v>5450</v>
      </c>
      <c r="B127" s="3">
        <f t="shared" si="449"/>
        <v>5134</v>
      </c>
      <c r="C127" s="3">
        <f t="shared" si="450"/>
        <v>4429</v>
      </c>
      <c r="D127" s="3">
        <f t="shared" si="451"/>
        <v>2524</v>
      </c>
      <c r="E127" s="3">
        <f t="shared" si="516"/>
        <v>12087</v>
      </c>
      <c r="F127" s="4">
        <f t="shared" si="519"/>
        <v>5497.15162449745</v>
      </c>
      <c r="G127" s="4">
        <f t="shared" si="517"/>
        <v>546.16330567828277</v>
      </c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 s="20">
        <v>-30</v>
      </c>
      <c r="AN127" s="20">
        <v>-945</v>
      </c>
      <c r="AO127" s="20">
        <v>5450</v>
      </c>
      <c r="AP127" s="20">
        <v>96</v>
      </c>
      <c r="AQ127" s="20">
        <v>-10693</v>
      </c>
      <c r="AR127" s="20"/>
      <c r="AS127" s="54">
        <f>IF(RTD("tos.rtd",,AS$83,"."&amp;$B$82&amp;$AS$82&amp;"C"&amp;$A127)="N/A",0,RTD("tos.rtd",,AS$83,"."&amp;$B$82&amp;$AS$82&amp;"C"&amp;$A127))</f>
        <v>207</v>
      </c>
      <c r="AT127" s="3">
        <f>-IF(RTD("tos.rtd",,AT$83,"."&amp;$B$82&amp;$AS$82&amp;"P"&amp;$A127)="N/A",0,RTD("tos.rtd",,AT$83,"."&amp;$B$82&amp;$AS$82&amp;"P"&amp;$A127))</f>
        <v>-4927</v>
      </c>
      <c r="AU127" s="54">
        <f>IF(RTD("tos.rtd",,AU$83,"."&amp;$C$82&amp;$AU$82&amp;"C"&amp;$A127)="N/A",0,RTD("tos.rtd",,AU$83,"."&amp;$C$82&amp;$AU$82&amp;"C"&amp;$A127))</f>
        <v>997</v>
      </c>
      <c r="AV127" s="3">
        <f>-IF(RTD("tos.rtd",,AV$83,"."&amp;$C$82&amp;$AU$82&amp;"P"&amp;$A127)="N/A",0,RTD("tos.rtd",,AV$83,"."&amp;$C$82&amp;$AU$82&amp;"P"&amp;$A127))</f>
        <v>-3432</v>
      </c>
      <c r="AW127" s="54">
        <f>IF(RTD("tos.rtd",,AW$83,"."&amp;$D$82&amp;$AW$82&amp;"C"&amp;$A127)="N/A",0,RTD("tos.rtd",,AW$83,"."&amp;$D$82&amp;$AW$82&amp;"C"&amp;$A127))</f>
        <v>738</v>
      </c>
      <c r="AX127" s="3">
        <f>-IF(RTD("tos.rtd",,AX$83,"."&amp;$D$82&amp;$AW$82&amp;"P"&amp;$A127)="N/A",0,RTD("tos.rtd",,AX$83,"."&amp;$D$82&amp;$AW$82&amp;"P"&amp;$A127))</f>
        <v>-1786</v>
      </c>
      <c r="AY127" s="79">
        <f t="shared" si="518"/>
        <v>-8203</v>
      </c>
      <c r="AZ127" s="8">
        <f t="shared" si="453"/>
        <v>5450</v>
      </c>
      <c r="BA127" s="54">
        <f>IF(RTD("tos.rtd",,BA$83,"."&amp;$B$82&amp;$AS$82&amp;"C"&amp;$A127)="N/A",0,RTD("tos.rtd",,BA$83,"."&amp;$B$82&amp;$AS$82&amp;"C"&amp;$A127))</f>
        <v>0</v>
      </c>
      <c r="BB127" s="3">
        <f>-IF(RTD("tos.rtd",,BB$83,"."&amp;$B$82&amp;$AS$82&amp;"P"&amp;$A127)="N/A",0,RTD("tos.rtd",,BB$83,"."&amp;$B$82&amp;$AS$82&amp;"P"&amp;$A127))</f>
        <v>0</v>
      </c>
      <c r="BC127" s="54">
        <f>IF(RTD("tos.rtd",,BC$83,"."&amp;$C$82&amp;$AU$82&amp;"C"&amp;$A127)="N/A",0,RTD("tos.rtd",,BC$83,"."&amp;$C$82&amp;$AU$82&amp;"C"&amp;$A127))</f>
        <v>0</v>
      </c>
      <c r="BD127" s="3">
        <f>-IF(RTD("tos.rtd",,BD$83,"."&amp;$C$82&amp;$AU$82&amp;"P"&amp;$A127)="N/A",0,RTD("tos.rtd",,BD$83,"."&amp;$C$82&amp;$AU$82&amp;"P"&amp;$A127))</f>
        <v>-17</v>
      </c>
      <c r="BE127" s="54">
        <f>IF(RTD("tos.rtd",,BE$83,"."&amp;$D$82&amp;$AW$82&amp;"C"&amp;$A127)="N/A",0,RTD("tos.rtd",,BE$83,"."&amp;$D$82&amp;$AW$82&amp;"C"&amp;$A127))</f>
        <v>0</v>
      </c>
      <c r="BF127" s="3">
        <f>-IF(RTD("tos.rtd",,BF$83,"."&amp;$D$82&amp;$AW$82&amp;"P"&amp;$A127)="N/A",0,RTD("tos.rtd",,BF$83,"."&amp;$D$82&amp;$AW$82&amp;"P"&amp;$A127))</f>
        <v>0</v>
      </c>
      <c r="BG127" s="3">
        <f ca="1">+Hoja2!Y128</f>
        <v>0</v>
      </c>
      <c r="BH127" s="55">
        <f t="shared" ca="1" si="491"/>
        <v>-17</v>
      </c>
      <c r="BI127" s="32" t="str">
        <f t="shared" ca="1" si="510"/>
        <v/>
      </c>
      <c r="BJ127" s="3" t="e">
        <f ca="1">IF($BP$1=1,DX127,IF(RTD("tos.rtd",,BJ$83,"."&amp;$B$82&amp;$AS$82&amp;"C"&amp;$A127)="N/A",0,RTD("tos.rtd",,BJ$83,"."&amp;$B$82&amp;$AS$82&amp;"C"&amp;$A127)))</f>
        <v>#NUM!</v>
      </c>
      <c r="BK127" s="3" t="e">
        <f ca="1">IF($BP$1=1,DY127,-IF(RTD("tos.rtd",,BK$83,"."&amp;$B$82&amp;$AS$82&amp;"P"&amp;$A127)="N/A",0,RTD("tos.rtd",,BK$83,"."&amp;$B$82&amp;$AS$82&amp;"P"&amp;$A127)))</f>
        <v>#NUM!</v>
      </c>
      <c r="BL127" s="3">
        <f ca="1">IF($BP$1=1,DZ127,IF(RTD("tos.rtd",,BL$83,"."&amp;$C$82&amp;$AU$82&amp;"C"&amp;$A127)="N/A",0,RTD("tos.rtd",,BL$83,"."&amp;$C$82&amp;$AU$82&amp;"C"&amp;$A127)))</f>
        <v>1.0974990067635555E-3</v>
      </c>
      <c r="BM127" s="3">
        <f ca="1">IF($BP$1=1,EA127,-IF(RTD("tos.rtd",,BM$83,"."&amp;$C$82&amp;$AU$82&amp;"P"&amp;$A127)="N/A",0,RTD("tos.rtd",,BM$83,"."&amp;$C$82&amp;$AU$82&amp;"P"&amp;$A127)))</f>
        <v>-1.0468931443545566E-3</v>
      </c>
      <c r="BN127" s="3">
        <f ca="1">IF($BP$1=1,EB127,IF(RTD("tos.rtd",,BN$83,"."&amp;$D$82&amp;$AW$82&amp;"C"&amp;$A127)="N/A",0,RTD("tos.rtd",,BN$83,"."&amp;$D$82&amp;$AW$82&amp;"C"&amp;$A127)))</f>
        <v>1.2315398248353012E-3</v>
      </c>
      <c r="BO127" s="3">
        <f ca="1">IF($BP$1=1,EC127,-IF(RTD("tos.rtd",,BO$83,"."&amp;$D$82&amp;$AW$82&amp;"P"&amp;$A127)="N/A",0,RTD("tos.rtd",,BO$83,"."&amp;$D$82&amp;$AW$82&amp;"P"&amp;$A127)))</f>
        <v>-8.3069812774071009E-4</v>
      </c>
      <c r="BQ127" s="3" t="e">
        <f t="shared" ca="1" si="454"/>
        <v>#NUM!</v>
      </c>
      <c r="BR127" s="3" t="e">
        <f t="shared" ca="1" si="492"/>
        <v>#NUM!</v>
      </c>
      <c r="BS127" s="3">
        <f t="shared" ca="1" si="455"/>
        <v>-592256.46767441765</v>
      </c>
      <c r="BT127" s="3" t="str">
        <f t="shared" ca="1" si="492"/>
        <v/>
      </c>
      <c r="BU127" s="3">
        <f t="shared" ca="1" si="456"/>
        <v>-136229.03502124362</v>
      </c>
      <c r="BV127" s="3" t="str">
        <f t="shared" ca="1" si="492"/>
        <v>Cruce -</v>
      </c>
      <c r="BX127" s="3" t="e">
        <f t="shared" ca="1" si="457"/>
        <v>#NUM!</v>
      </c>
      <c r="BY127" s="3" t="e">
        <f t="shared" ca="1" si="507"/>
        <v>#NUM!</v>
      </c>
      <c r="BZ127" s="3">
        <f t="shared" ca="1" si="458"/>
        <v>-4218.3404345422341</v>
      </c>
      <c r="CA127" s="3" t="str">
        <f t="shared" ca="1" si="507"/>
        <v/>
      </c>
      <c r="CB127" s="3">
        <f t="shared" ca="1" si="459"/>
        <v>0</v>
      </c>
      <c r="CC127" s="3" t="str">
        <f t="shared" ca="1" si="507"/>
        <v/>
      </c>
      <c r="CD127" s="3">
        <f>IF(RTD("tos.rtd",,CD$83,"."&amp;$B$82&amp;$AS$82&amp;"C"&amp;$A127)="N/A",0,RTD("tos.rtd",,CD$83,"."&amp;$B$82&amp;$AS$82&amp;"C"&amp;$A127))</f>
        <v>1</v>
      </c>
      <c r="CE127" s="3">
        <f>-IF(RTD("tos.rtd",,CE$83,"."&amp;$B$82&amp;$AS$82&amp;"P"&amp;$A127)="N/A",0,RTD("tos.rtd",,CE$83,"."&amp;$B$82&amp;$AS$82&amp;"P"&amp;$A127))</f>
        <v>0</v>
      </c>
      <c r="CF127" s="3">
        <f>IF(RTD("tos.rtd",,CF$83,"."&amp;$C$82&amp;$AU$82&amp;"C"&amp;$A127)="N/A",0,RTD("tos.rtd",,CF$83,"."&amp;$C$82&amp;$AU$82&amp;"C"&amp;$A127))</f>
        <v>0.78</v>
      </c>
      <c r="CG127" s="3">
        <f>-IF(RTD("tos.rtd",,CG$83,"."&amp;$C$82&amp;$AU$82&amp;"P"&amp;$A127)="N/A",0,RTD("tos.rtd",,CG$83,"."&amp;$C$82&amp;$AU$82&amp;"P"&amp;$A127))</f>
        <v>0.04</v>
      </c>
      <c r="CH127" s="3">
        <f>IF(RTD("tos.rtd",,CH$83,"."&amp;$D$82&amp;$AW$82&amp;"C"&amp;$A127)="N/A",0,RTD("tos.rtd",,CH$83,"."&amp;$D$82&amp;$AW$82&amp;"C"&amp;$A127))</f>
        <v>0.75</v>
      </c>
      <c r="CI127" s="3">
        <f>-IF(RTD("tos.rtd",,CI$83,"."&amp;$D$82&amp;$AW$82&amp;"P"&amp;$A127)="N/A",0,RTD("tos.rtd",,CI$83,"."&amp;$D$82&amp;$AW$82&amp;"P"&amp;$A127))</f>
        <v>0.17</v>
      </c>
      <c r="CK127" s="3">
        <f t="shared" si="493"/>
        <v>20700</v>
      </c>
      <c r="CL127" s="3"/>
      <c r="CM127" s="3">
        <f t="shared" si="494"/>
        <v>64038.000000000015</v>
      </c>
      <c r="CN127" s="3"/>
      <c r="CO127" s="3">
        <f t="shared" si="495"/>
        <v>24988</v>
      </c>
      <c r="CP127" s="3">
        <f t="shared" si="460"/>
        <v>109726.00000000001</v>
      </c>
      <c r="CQ127" s="3">
        <f t="shared" si="461"/>
        <v>0</v>
      </c>
      <c r="CR127" s="3"/>
      <c r="CS127" s="3">
        <f t="shared" si="462"/>
        <v>-17</v>
      </c>
      <c r="CT127" s="3"/>
      <c r="CU127" s="3">
        <f t="shared" si="463"/>
        <v>0</v>
      </c>
      <c r="CV127" s="3"/>
      <c r="CW127" s="3" t="e">
        <f t="shared" ca="1" si="464"/>
        <v>#NUM!</v>
      </c>
      <c r="CY127" s="3" t="e">
        <f t="shared" ca="1" si="465"/>
        <v>#NUM!</v>
      </c>
      <c r="CZ127" s="70" t="e">
        <f t="shared" ca="1" si="508"/>
        <v>#NUM!</v>
      </c>
      <c r="DA127" s="3">
        <f>IF(RTD("tos.rtd",,DA$83,"."&amp;$B$82&amp;$AS$82&amp;"C"&amp;$A127)="N/A",0,RTD("tos.rtd",,DA$83,"."&amp;$B$82&amp;$AS$82&amp;"C"&amp;$A127))</f>
        <v>176.2</v>
      </c>
      <c r="DB127" s="3">
        <f>IF(RTD("tos.rtd",,DB$83,"."&amp;$B$82&amp;$AS$82&amp;"P"&amp;$A127)="N/A",0,RTD("tos.rtd",,DB$83,"."&amp;$B$82&amp;$AS$82&amp;"P"&amp;$A127))</f>
        <v>0.03</v>
      </c>
      <c r="DC127" s="3">
        <f>IF(RTD("tos.rtd",,DC$83,"."&amp;$B$82&amp;$AS$82&amp;"C"&amp;$A127)="N/A",0,RTD("tos.rtd",,DC$83,"."&amp;$B$82&amp;$AS$82&amp;"C"&amp;$A127))</f>
        <v>181.7</v>
      </c>
      <c r="DD127" s="3">
        <f>IF(RTD("tos.rtd",,DD$83,"."&amp;$B$82&amp;$AS$82&amp;"P"&amp;$A127)="N/A",0,RTD("tos.rtd",,DD$83,"."&amp;$B$82&amp;$AS$82&amp;"P"&amp;$A127))</f>
        <v>0.05</v>
      </c>
      <c r="DE127" s="3">
        <f>IF(RTD("tos.rtd",,DE$83,"."&amp;$B$82&amp;$AS$82&amp;"C"&amp;$A127)="N/A",0,RTD("tos.rtd",,DE$83,"."&amp;$B$82&amp;$AS$82&amp;"C"&amp;$A127))</f>
        <v>167</v>
      </c>
      <c r="DF127" s="3">
        <f>IF(RTD("tos.rtd",,DF$83,"."&amp;$B$82&amp;$AS$82&amp;"P"&amp;$A127)="N/A",0,RTD("tos.rtd",,DF$83,"."&amp;$B$82&amp;$AS$82&amp;"P"&amp;$A127))</f>
        <v>0</v>
      </c>
      <c r="DG127" s="86">
        <f t="shared" si="497"/>
        <v>-181.27999999999975</v>
      </c>
      <c r="DH127" s="3">
        <f t="shared" si="466"/>
        <v>-60.081632653061192</v>
      </c>
      <c r="DI127" s="3">
        <f t="shared" si="467"/>
        <v>6415.8</v>
      </c>
      <c r="DJ127" s="3">
        <f t="shared" si="468"/>
        <v>-96</v>
      </c>
      <c r="DK127" s="3">
        <f t="shared" si="469"/>
        <v>10693</v>
      </c>
      <c r="DL127" s="3">
        <f t="shared" si="470"/>
        <v>6355.718367346939</v>
      </c>
      <c r="DM127" s="3">
        <f t="shared" si="471"/>
        <v>10597</v>
      </c>
      <c r="DN127" s="64" t="str">
        <f t="shared" si="472"/>
        <v>UNKNOWN</v>
      </c>
      <c r="DO127" s="64" t="str">
        <f t="shared" si="473"/>
        <v>UNKNOWN</v>
      </c>
      <c r="DP127" s="3">
        <f t="shared" si="474"/>
        <v>-10393.909673469381</v>
      </c>
      <c r="DQ127" s="3">
        <f t="shared" si="475"/>
        <v>-16594.409999999996</v>
      </c>
      <c r="DR127" s="3" t="e">
        <f t="shared" ca="1" si="476"/>
        <v>#NUM!</v>
      </c>
      <c r="DS127" s="3">
        <f t="shared" si="477"/>
        <v>-96</v>
      </c>
      <c r="DT127" s="3">
        <f t="shared" si="498"/>
        <v>-96</v>
      </c>
      <c r="DU127" s="3">
        <f t="shared" si="499"/>
        <v>10693</v>
      </c>
      <c r="DV127" s="3">
        <f t="shared" si="500"/>
        <v>-30</v>
      </c>
      <c r="DW127" s="3">
        <f t="shared" si="501"/>
        <v>-945</v>
      </c>
      <c r="DX127" s="3" t="e">
        <f t="shared" ca="1" si="509"/>
        <v>#NUM!</v>
      </c>
      <c r="DY127" s="3" t="e">
        <f t="shared" ca="1" si="478"/>
        <v>#NUM!</v>
      </c>
      <c r="DZ127" s="3">
        <f t="shared" ca="1" si="502"/>
        <v>1.0974990067635555E-3</v>
      </c>
      <c r="EA127" s="3">
        <f t="shared" ca="1" si="503"/>
        <v>-1.0468931443545566E-3</v>
      </c>
      <c r="EB127" s="3">
        <f t="shared" ca="1" si="479"/>
        <v>1.2315398248353012E-3</v>
      </c>
      <c r="EC127" s="3">
        <f t="shared" ca="1" si="480"/>
        <v>-8.3069812774071009E-4</v>
      </c>
      <c r="ED127" s="63">
        <f t="shared" si="504"/>
        <v>-975</v>
      </c>
      <c r="EE127" s="59">
        <f t="shared" si="481"/>
        <v>0.25</v>
      </c>
      <c r="EF127" s="59">
        <f t="shared" si="482"/>
        <v>1.4542999999999999</v>
      </c>
      <c r="EG127" s="59">
        <f t="shared" si="483"/>
        <v>0.63480000000000003</v>
      </c>
      <c r="EH127" s="59">
        <f t="shared" si="484"/>
        <v>0.27350000000000002</v>
      </c>
      <c r="EI127" s="59">
        <f t="shared" si="485"/>
        <v>0.33579999999999999</v>
      </c>
      <c r="EJ127" s="59">
        <f t="shared" si="486"/>
        <v>0.23549999999999999</v>
      </c>
      <c r="EL127" s="3" t="str">
        <f>RTD("tos.rtd",,EL$83,"."&amp;$B$82&amp;$AS$82&amp;"C"&amp;$A127)</f>
        <v>--</v>
      </c>
      <c r="EM127" s="3" t="str">
        <f>RTD("tos.rtd",,EM$83,"."&amp;$B$82&amp;$AS$82&amp;"P"&amp;$A127)</f>
        <v>145.43%</v>
      </c>
      <c r="EN127" s="3" t="str">
        <f>RTD("tos.rtd",,EN$83,"."&amp;$C$82&amp;$AU$82&amp;"C"&amp;$A127)</f>
        <v>63.48%</v>
      </c>
      <c r="EO127" s="3" t="str">
        <f>RTD("tos.rtd",,EO$83,"."&amp;$C$82&amp;$AU$82&amp;"P"&amp;$A127)</f>
        <v>27.35%</v>
      </c>
      <c r="EP127" s="3" t="str">
        <f>RTD("tos.rtd",,EP$83,"."&amp;$D$82&amp;$AW$82&amp;"C"&amp;$A127)</f>
        <v>33.58%</v>
      </c>
      <c r="EQ127" s="3" t="str">
        <f>RTD("tos.rtd",,EQ$83,"."&amp;$D$82&amp;$AW$82&amp;"P"&amp;$A127)</f>
        <v>23.55%</v>
      </c>
      <c r="ES127" s="63" t="str">
        <f t="shared" si="487"/>
        <v>5450,-975.00</v>
      </c>
      <c r="ET127" s="64" t="str">
        <f t="shared" ca="1" si="488"/>
        <v>5450,00.00</v>
      </c>
      <c r="EU127" s="67">
        <v>562.23</v>
      </c>
      <c r="EV127" s="67" t="s">
        <v>1036</v>
      </c>
      <c r="EW127" s="67">
        <v>484.55</v>
      </c>
      <c r="EX127" s="67" t="s">
        <v>1037</v>
      </c>
      <c r="EY127" s="67">
        <v>5636.25</v>
      </c>
      <c r="EZ127" s="67" t="s">
        <v>1038</v>
      </c>
      <c r="FA127" s="67">
        <v>19904.25</v>
      </c>
      <c r="FB127" s="67" t="s">
        <v>1039</v>
      </c>
      <c r="FC127" s="67" t="s">
        <v>1040</v>
      </c>
      <c r="FD127" s="67" t="s">
        <v>1041</v>
      </c>
      <c r="FE127" s="68" t="s">
        <v>1042</v>
      </c>
      <c r="FF127" s="68" t="s">
        <v>1043</v>
      </c>
    </row>
    <row r="128" spans="1:162" s="63" customFormat="1" ht="12" customHeight="1" thickBot="1" x14ac:dyDescent="0.25">
      <c r="A128" s="2">
        <f t="shared" si="505"/>
        <v>5440</v>
      </c>
      <c r="B128" s="3">
        <f t="shared" si="449"/>
        <v>1192</v>
      </c>
      <c r="C128" s="3">
        <f t="shared" si="450"/>
        <v>721</v>
      </c>
      <c r="D128" s="3">
        <f t="shared" si="451"/>
        <v>2001</v>
      </c>
      <c r="E128" s="3">
        <f t="shared" si="516"/>
        <v>3914</v>
      </c>
      <c r="F128" s="4">
        <f t="shared" si="519"/>
        <v>5487.0651077552529</v>
      </c>
      <c r="G128" s="4">
        <f t="shared" si="517"/>
        <v>545.16117117245108</v>
      </c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  <c r="AM128" s="20">
        <v>0</v>
      </c>
      <c r="AN128" s="20">
        <v>-517</v>
      </c>
      <c r="AO128" s="20">
        <v>5440</v>
      </c>
      <c r="AP128" s="20">
        <v>28</v>
      </c>
      <c r="AQ128" s="20">
        <v>-2274</v>
      </c>
      <c r="AR128" s="20"/>
      <c r="AS128" s="54">
        <f>IF(RTD("tos.rtd",,AS$83,"."&amp;$B$82&amp;$AS$82&amp;"C"&amp;$A128)="N/A",0,RTD("tos.rtd",,AS$83,"."&amp;$B$82&amp;$AS$82&amp;"C"&amp;$A128))</f>
        <v>83</v>
      </c>
      <c r="AT128" s="3">
        <f>-IF(RTD("tos.rtd",,AT$83,"."&amp;$B$82&amp;$AS$82&amp;"P"&amp;$A128)="N/A",0,RTD("tos.rtd",,AT$83,"."&amp;$B$82&amp;$AS$82&amp;"P"&amp;$A128))</f>
        <v>-1109</v>
      </c>
      <c r="AU128" s="54">
        <f>IF(RTD("tos.rtd",,AU$83,"."&amp;$C$82&amp;$AU$82&amp;"C"&amp;$A128)="N/A",0,RTD("tos.rtd",,AU$83,"."&amp;$C$82&amp;$AU$82&amp;"C"&amp;$A128))</f>
        <v>299</v>
      </c>
      <c r="AV128" s="3">
        <f>-IF(RTD("tos.rtd",,AV$83,"."&amp;$C$82&amp;$AU$82&amp;"P"&amp;$A128)="N/A",0,RTD("tos.rtd",,AV$83,"."&amp;$C$82&amp;$AU$82&amp;"P"&amp;$A128))</f>
        <v>-422</v>
      </c>
      <c r="AW128" s="54">
        <f>IF(RTD("tos.rtd",,AW$83,"."&amp;$D$82&amp;$AW$82&amp;"C"&amp;$A128)="N/A",0,RTD("tos.rtd",,AW$83,"."&amp;$D$82&amp;$AW$82&amp;"C"&amp;$A128))</f>
        <v>656</v>
      </c>
      <c r="AX128" s="3">
        <f>-IF(RTD("tos.rtd",,AX$83,"."&amp;$D$82&amp;$AW$82&amp;"P"&amp;$A128)="N/A",0,RTD("tos.rtd",,AX$83,"."&amp;$D$82&amp;$AW$82&amp;"P"&amp;$A128))</f>
        <v>-1345</v>
      </c>
      <c r="AY128" s="79">
        <f t="shared" si="518"/>
        <v>-1838</v>
      </c>
      <c r="AZ128" s="8">
        <f t="shared" si="453"/>
        <v>5440</v>
      </c>
      <c r="BA128" s="54">
        <f>IF(RTD("tos.rtd",,BA$83,"."&amp;$B$82&amp;$AS$82&amp;"C"&amp;$A128)="N/A",0,RTD("tos.rtd",,BA$83,"."&amp;$B$82&amp;$AS$82&amp;"C"&amp;$A128))</f>
        <v>0</v>
      </c>
      <c r="BB128" s="3">
        <f>-IF(RTD("tos.rtd",,BB$83,"."&amp;$B$82&amp;$AS$82&amp;"P"&amp;$A128)="N/A",0,RTD("tos.rtd",,BB$83,"."&amp;$B$82&amp;$AS$82&amp;"P"&amp;$A128))</f>
        <v>0</v>
      </c>
      <c r="BC128" s="54">
        <f>IF(RTD("tos.rtd",,BC$83,"."&amp;$C$82&amp;$AU$82&amp;"C"&amp;$A128)="N/A",0,RTD("tos.rtd",,BC$83,"."&amp;$C$82&amp;$AU$82&amp;"C"&amp;$A128))</f>
        <v>6</v>
      </c>
      <c r="BD128" s="3">
        <f>-IF(RTD("tos.rtd",,BD$83,"."&amp;$C$82&amp;$AU$82&amp;"P"&amp;$A128)="N/A",0,RTD("tos.rtd",,BD$83,"."&amp;$C$82&amp;$AU$82&amp;"P"&amp;$A128))</f>
        <v>0</v>
      </c>
      <c r="BE128" s="54">
        <f>IF(RTD("tos.rtd",,BE$83,"."&amp;$D$82&amp;$AW$82&amp;"C"&amp;$A128)="N/A",0,RTD("tos.rtd",,BE$83,"."&amp;$D$82&amp;$AW$82&amp;"C"&amp;$A128))</f>
        <v>0</v>
      </c>
      <c r="BF128" s="3">
        <f>-IF(RTD("tos.rtd",,BF$83,"."&amp;$D$82&amp;$AW$82&amp;"P"&amp;$A128)="N/A",0,RTD("tos.rtd",,BF$83,"."&amp;$D$82&amp;$AW$82&amp;"P"&amp;$A128))</f>
        <v>-2</v>
      </c>
      <c r="BG128" s="3">
        <f ca="1">+Hoja2!Y129</f>
        <v>0</v>
      </c>
      <c r="BH128" s="55">
        <f t="shared" ca="1" si="491"/>
        <v>4</v>
      </c>
      <c r="BI128" s="32" t="str">
        <f t="shared" ca="1" si="510"/>
        <v>Cruce +</v>
      </c>
      <c r="BJ128" s="3" t="e">
        <f ca="1">IF($BP$1=1,DX128,IF(RTD("tos.rtd",,BJ$83,"."&amp;$B$82&amp;$AS$82&amp;"C"&amp;$A128)="N/A",0,RTD("tos.rtd",,BJ$83,"."&amp;$B$82&amp;$AS$82&amp;"C"&amp;$A128)))</f>
        <v>#NUM!</v>
      </c>
      <c r="BK128" s="3" t="e">
        <f ca="1">IF($BP$1=1,DY128,-IF(RTD("tos.rtd",,BK$83,"."&amp;$B$82&amp;$AS$82&amp;"P"&amp;$A128)="N/A",0,RTD("tos.rtd",,BK$83,"."&amp;$B$82&amp;$AS$82&amp;"P"&amp;$A128)))</f>
        <v>#NUM!</v>
      </c>
      <c r="BL128" s="3">
        <f ca="1">IF($BP$1=1,DZ128,IF(RTD("tos.rtd",,BL$83,"."&amp;$C$82&amp;$AU$82&amp;"C"&amp;$A128)="N/A",0,RTD("tos.rtd",,BL$83,"."&amp;$C$82&amp;$AU$82&amp;"C"&amp;$A128)))</f>
        <v>1.0551349436384813E-3</v>
      </c>
      <c r="BM128" s="3">
        <f ca="1">IF($BP$1=1,EA128,-IF(RTD("tos.rtd",,BM$83,"."&amp;$C$82&amp;$AU$82&amp;"P"&amp;$A128)="N/A",0,RTD("tos.rtd",,BM$83,"."&amp;$C$82&amp;$AU$82&amp;"P"&amp;$A128)))</f>
        <v>-9.4662853118069549E-4</v>
      </c>
      <c r="BN128" s="3">
        <f ca="1">IF($BP$1=1,EB128,IF(RTD("tos.rtd",,BN$83,"."&amp;$D$82&amp;$AW$82&amp;"C"&amp;$A128)="N/A",0,RTD("tos.rtd",,BN$83,"."&amp;$D$82&amp;$AW$82&amp;"C"&amp;$A128)))</f>
        <v>1.1393846417321087E-3</v>
      </c>
      <c r="BO128" s="3">
        <f ca="1">IF($BP$1=1,EC128,-IF(RTD("tos.rtd",,BO$83,"."&amp;$D$82&amp;$AW$82&amp;"P"&amp;$A128)="N/A",0,RTD("tos.rtd",,BO$83,"."&amp;$D$82&amp;$AW$82&amp;"P"&amp;$A128)))</f>
        <v>-7.2007243856884377E-4</v>
      </c>
      <c r="BQ128" s="3" t="e">
        <f t="shared" ca="1" si="454"/>
        <v>#NUM!</v>
      </c>
      <c r="BR128" s="3" t="e">
        <f t="shared" ca="1" si="492"/>
        <v>#NUM!</v>
      </c>
      <c r="BS128" s="3">
        <f t="shared" ca="1" si="455"/>
        <v>-19908.003710596997</v>
      </c>
      <c r="BT128" s="3" t="str">
        <f t="shared" ca="1" si="492"/>
        <v/>
      </c>
      <c r="BU128" s="3">
        <f t="shared" ca="1" si="456"/>
        <v>-52396.549134200177</v>
      </c>
      <c r="BV128" s="3" t="str">
        <f t="shared" ca="1" si="492"/>
        <v/>
      </c>
      <c r="BX128" s="3" t="e">
        <f t="shared" ca="1" si="457"/>
        <v>#NUM!</v>
      </c>
      <c r="BY128" s="3" t="e">
        <f t="shared" ca="1" si="507"/>
        <v>#NUM!</v>
      </c>
      <c r="BZ128" s="3">
        <f t="shared" ca="1" si="458"/>
        <v>1500.5470078383939</v>
      </c>
      <c r="CA128" s="3" t="str">
        <f t="shared" ca="1" si="507"/>
        <v>Cruce +</v>
      </c>
      <c r="CB128" s="3">
        <f t="shared" ca="1" si="459"/>
        <v>-341.34734760257817</v>
      </c>
      <c r="CC128" s="3" t="str">
        <f t="shared" ca="1" si="507"/>
        <v/>
      </c>
      <c r="CD128" s="3">
        <f>IF(RTD("tos.rtd",,CD$83,"."&amp;$B$82&amp;$AS$82&amp;"C"&amp;$A128)="N/A",0,RTD("tos.rtd",,CD$83,"."&amp;$B$82&amp;$AS$82&amp;"C"&amp;$A128))</f>
        <v>1</v>
      </c>
      <c r="CE128" s="3">
        <f>-IF(RTD("tos.rtd",,CE$83,"."&amp;$B$82&amp;$AS$82&amp;"P"&amp;$A128)="N/A",0,RTD("tos.rtd",,CE$83,"."&amp;$B$82&amp;$AS$82&amp;"P"&amp;$A128))</f>
        <v>0</v>
      </c>
      <c r="CF128" s="3">
        <f>IF(RTD("tos.rtd",,CF$83,"."&amp;$C$82&amp;$AU$82&amp;"C"&amp;$A128)="N/A",0,RTD("tos.rtd",,CF$83,"."&amp;$C$82&amp;$AU$82&amp;"C"&amp;$A128))</f>
        <v>0.79</v>
      </c>
      <c r="CG128" s="3">
        <f>-IF(RTD("tos.rtd",,CG$83,"."&amp;$C$82&amp;$AU$82&amp;"P"&amp;$A128)="N/A",0,RTD("tos.rtd",,CG$83,"."&amp;$C$82&amp;$AU$82&amp;"P"&amp;$A128))</f>
        <v>0.03</v>
      </c>
      <c r="CH128" s="3">
        <f>IF(RTD("tos.rtd",,CH$83,"."&amp;$D$82&amp;$AW$82&amp;"C"&amp;$A128)="N/A",0,RTD("tos.rtd",,CH$83,"."&amp;$D$82&amp;$AW$82&amp;"C"&amp;$A128))</f>
        <v>0.76</v>
      </c>
      <c r="CI128" s="3">
        <f>-IF(RTD("tos.rtd",,CI$83,"."&amp;$D$82&amp;$AW$82&amp;"P"&amp;$A128)="N/A",0,RTD("tos.rtd",,CI$83,"."&amp;$D$82&amp;$AW$82&amp;"P"&amp;$A128))</f>
        <v>0.16</v>
      </c>
      <c r="CK128" s="3">
        <f t="shared" si="493"/>
        <v>8300</v>
      </c>
      <c r="CL128" s="3"/>
      <c r="CM128" s="3">
        <f t="shared" si="494"/>
        <v>22355</v>
      </c>
      <c r="CN128" s="3"/>
      <c r="CO128" s="3">
        <f t="shared" si="495"/>
        <v>28336</v>
      </c>
      <c r="CP128" s="3">
        <f t="shared" si="460"/>
        <v>58991</v>
      </c>
      <c r="CQ128" s="3">
        <f t="shared" si="461"/>
        <v>0</v>
      </c>
      <c r="CR128" s="3"/>
      <c r="CS128" s="3">
        <f t="shared" si="462"/>
        <v>6</v>
      </c>
      <c r="CT128" s="3"/>
      <c r="CU128" s="3">
        <f t="shared" si="463"/>
        <v>-2</v>
      </c>
      <c r="CV128" s="3"/>
      <c r="CW128" s="3" t="e">
        <f t="shared" ca="1" si="464"/>
        <v>#NUM!</v>
      </c>
      <c r="CY128" s="3" t="e">
        <f t="shared" ca="1" si="465"/>
        <v>#NUM!</v>
      </c>
      <c r="CZ128" s="70" t="e">
        <f t="shared" ca="1" si="508"/>
        <v>#NUM!</v>
      </c>
      <c r="DA128" s="3">
        <f>IF(RTD("tos.rtd",,DA$83,"."&amp;$B$82&amp;$AS$82&amp;"C"&amp;$A128)="N/A",0,RTD("tos.rtd",,DA$83,"."&amp;$B$82&amp;$AS$82&amp;"C"&amp;$A128))</f>
        <v>195.49</v>
      </c>
      <c r="DB128" s="3">
        <f>IF(RTD("tos.rtd",,DB$83,"."&amp;$B$82&amp;$AS$82&amp;"P"&amp;$A128)="N/A",0,RTD("tos.rtd",,DB$83,"."&amp;$B$82&amp;$AS$82&amp;"P"&amp;$A128))</f>
        <v>0.05</v>
      </c>
      <c r="DC128" s="3">
        <f>IF(RTD("tos.rtd",,DC$83,"."&amp;$B$82&amp;$AS$82&amp;"C"&amp;$A128)="N/A",0,RTD("tos.rtd",,DC$83,"."&amp;$B$82&amp;$AS$82&amp;"C"&amp;$A128))</f>
        <v>191.7</v>
      </c>
      <c r="DD128" s="3">
        <f>IF(RTD("tos.rtd",,DD$83,"."&amp;$B$82&amp;$AS$82&amp;"P"&amp;$A128)="N/A",0,RTD("tos.rtd",,DD$83,"."&amp;$B$82&amp;$AS$82&amp;"P"&amp;$A128))</f>
        <v>0.05</v>
      </c>
      <c r="DE128" s="3">
        <f>IF(RTD("tos.rtd",,DE$83,"."&amp;$B$82&amp;$AS$82&amp;"C"&amp;$A128)="N/A",0,RTD("tos.rtd",,DE$83,"."&amp;$B$82&amp;$AS$82&amp;"C"&amp;$A128))</f>
        <v>177</v>
      </c>
      <c r="DF128" s="3">
        <f>IF(RTD("tos.rtd",,DF$83,"."&amp;$B$82&amp;$AS$82&amp;"P"&amp;$A128)="N/A",0,RTD("tos.rtd",,DF$83,"."&amp;$B$82&amp;$AS$82&amp;"P"&amp;$A128))</f>
        <v>0</v>
      </c>
      <c r="DG128" s="86">
        <f t="shared" si="497"/>
        <v>-191.27999999999975</v>
      </c>
      <c r="DH128" s="3">
        <f t="shared" si="466"/>
        <v>-35.219047619047664</v>
      </c>
      <c r="DI128" s="3">
        <f t="shared" si="467"/>
        <v>2274</v>
      </c>
      <c r="DJ128" s="3">
        <f t="shared" si="468"/>
        <v>-28</v>
      </c>
      <c r="DK128" s="3">
        <f t="shared" si="469"/>
        <v>2274</v>
      </c>
      <c r="DL128" s="3">
        <f t="shared" si="470"/>
        <v>2238.7809523809524</v>
      </c>
      <c r="DM128" s="3">
        <f t="shared" si="471"/>
        <v>2246</v>
      </c>
      <c r="DN128" s="64" t="str">
        <f t="shared" si="472"/>
        <v>UNKNOWN</v>
      </c>
      <c r="DO128" s="64" t="str">
        <f t="shared" si="473"/>
        <v>UNKNOWN</v>
      </c>
      <c r="DP128" s="3">
        <f t="shared" si="474"/>
        <v>-6771.2716190476285</v>
      </c>
      <c r="DQ128" s="3">
        <f t="shared" si="475"/>
        <v>-5360.02</v>
      </c>
      <c r="DR128" s="3" t="e">
        <f t="shared" ca="1" si="476"/>
        <v>#NUM!</v>
      </c>
      <c r="DS128" s="3">
        <f t="shared" si="477"/>
        <v>-28</v>
      </c>
      <c r="DT128" s="3">
        <f t="shared" si="498"/>
        <v>-28</v>
      </c>
      <c r="DU128" s="3">
        <f t="shared" si="499"/>
        <v>2274</v>
      </c>
      <c r="DV128" s="3">
        <f t="shared" si="500"/>
        <v>0</v>
      </c>
      <c r="DW128" s="3">
        <f t="shared" si="501"/>
        <v>-517</v>
      </c>
      <c r="DX128" s="3" t="e">
        <f t="shared" ca="1" si="509"/>
        <v>#NUM!</v>
      </c>
      <c r="DY128" s="3" t="e">
        <f t="shared" ca="1" si="478"/>
        <v>#NUM!</v>
      </c>
      <c r="DZ128" s="3">
        <f t="shared" ca="1" si="502"/>
        <v>1.0551349436384813E-3</v>
      </c>
      <c r="EA128" s="3">
        <f t="shared" ca="1" si="503"/>
        <v>-9.4662853118069549E-4</v>
      </c>
      <c r="EB128" s="3">
        <f t="shared" ca="1" si="479"/>
        <v>1.1393846417321087E-3</v>
      </c>
      <c r="EC128" s="3">
        <f t="shared" ca="1" si="480"/>
        <v>-7.2007243856884377E-4</v>
      </c>
      <c r="ED128" s="63">
        <f t="shared" si="504"/>
        <v>-517</v>
      </c>
      <c r="EE128" s="59">
        <f t="shared" si="481"/>
        <v>0.25</v>
      </c>
      <c r="EF128" s="59">
        <f t="shared" si="482"/>
        <v>1.5287999999999999</v>
      </c>
      <c r="EG128" s="59">
        <f t="shared" si="483"/>
        <v>0.65229999999999999</v>
      </c>
      <c r="EH128" s="59">
        <f t="shared" si="484"/>
        <v>0.27850000000000003</v>
      </c>
      <c r="EI128" s="59">
        <f t="shared" si="485"/>
        <v>0.3392</v>
      </c>
      <c r="EJ128" s="59">
        <f t="shared" si="486"/>
        <v>0.23830000000000001</v>
      </c>
      <c r="EL128" s="3" t="str">
        <f>RTD("tos.rtd",,EL$83,"."&amp;$B$82&amp;$AS$82&amp;"C"&amp;$A128)</f>
        <v>--</v>
      </c>
      <c r="EM128" s="3" t="str">
        <f>RTD("tos.rtd",,EM$83,"."&amp;$B$82&amp;$AS$82&amp;"P"&amp;$A128)</f>
        <v>152.88%</v>
      </c>
      <c r="EN128" s="3" t="str">
        <f>RTD("tos.rtd",,EN$83,"."&amp;$C$82&amp;$AU$82&amp;"C"&amp;$A128)</f>
        <v>65.23%</v>
      </c>
      <c r="EO128" s="3" t="str">
        <f>RTD("tos.rtd",,EO$83,"."&amp;$C$82&amp;$AU$82&amp;"P"&amp;$A128)</f>
        <v>27.85%</v>
      </c>
      <c r="EP128" s="3" t="str">
        <f>RTD("tos.rtd",,EP$83,"."&amp;$D$82&amp;$AW$82&amp;"C"&amp;$A128)</f>
        <v>33.92%</v>
      </c>
      <c r="EQ128" s="3" t="str">
        <f>RTD("tos.rtd",,EQ$83,"."&amp;$D$82&amp;$AW$82&amp;"P"&amp;$A128)</f>
        <v>23.83%</v>
      </c>
      <c r="ES128" s="63" t="str">
        <f t="shared" si="487"/>
        <v>5440,-517.00</v>
      </c>
      <c r="ET128" s="64" t="str">
        <f t="shared" ca="1" si="488"/>
        <v>5440,00.00</v>
      </c>
      <c r="EU128" s="67">
        <v>562.20000000000005</v>
      </c>
      <c r="EV128" s="67" t="s">
        <v>1044</v>
      </c>
      <c r="EW128" s="67">
        <v>484.5</v>
      </c>
      <c r="EX128" s="67" t="s">
        <v>1045</v>
      </c>
      <c r="EY128" s="67">
        <v>5635.25</v>
      </c>
      <c r="EZ128" s="67" t="s">
        <v>1046</v>
      </c>
      <c r="FA128" s="67">
        <v>19901.75</v>
      </c>
      <c r="FB128" s="67" t="s">
        <v>1047</v>
      </c>
      <c r="FC128" s="67" t="s">
        <v>1048</v>
      </c>
      <c r="FD128" s="67" t="s">
        <v>1049</v>
      </c>
      <c r="FE128" s="68" t="s">
        <v>1050</v>
      </c>
      <c r="FF128" s="68" t="s">
        <v>1051</v>
      </c>
    </row>
    <row r="129" spans="1:162" s="63" customFormat="1" ht="12" customHeight="1" thickBot="1" x14ac:dyDescent="0.25">
      <c r="A129" s="2">
        <f t="shared" si="505"/>
        <v>5430</v>
      </c>
      <c r="B129" s="3">
        <f t="shared" si="449"/>
        <v>1773</v>
      </c>
      <c r="C129" s="3">
        <f t="shared" si="450"/>
        <v>1504</v>
      </c>
      <c r="D129" s="3">
        <f t="shared" si="451"/>
        <v>382</v>
      </c>
      <c r="E129" s="3">
        <f t="shared" si="516"/>
        <v>3659</v>
      </c>
      <c r="F129" s="11">
        <f t="shared" si="519"/>
        <v>5476.9785910130558</v>
      </c>
      <c r="G129" s="4">
        <f t="shared" si="517"/>
        <v>544.15903666661939</v>
      </c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20"/>
      <c r="AM129" s="20">
        <v>-2</v>
      </c>
      <c r="AN129" s="20">
        <v>320</v>
      </c>
      <c r="AO129" s="20">
        <v>5430</v>
      </c>
      <c r="AP129" s="20">
        <v>50</v>
      </c>
      <c r="AQ129" s="20">
        <v>-3919</v>
      </c>
      <c r="AR129" s="20"/>
      <c r="AS129" s="54">
        <f>IF(RTD("tos.rtd",,AS$83,"."&amp;$B$82&amp;$AS$82&amp;"C"&amp;$A129)="N/A",0,RTD("tos.rtd",,AS$83,"."&amp;$B$82&amp;$AS$82&amp;"C"&amp;$A129))</f>
        <v>285</v>
      </c>
      <c r="AT129" s="3">
        <f>-IF(RTD("tos.rtd",,AT$83,"."&amp;$B$82&amp;$AS$82&amp;"P"&amp;$A129)="N/A",0,RTD("tos.rtd",,AT$83,"."&amp;$B$82&amp;$AS$82&amp;"P"&amp;$A129))</f>
        <v>-1488</v>
      </c>
      <c r="AU129" s="54">
        <f>IF(RTD("tos.rtd",,AU$83,"."&amp;$C$82&amp;$AU$82&amp;"C"&amp;$A129)="N/A",0,RTD("tos.rtd",,AU$83,"."&amp;$C$82&amp;$AU$82&amp;"C"&amp;$A129))</f>
        <v>1118</v>
      </c>
      <c r="AV129" s="3">
        <f>-IF(RTD("tos.rtd",,AV$83,"."&amp;$C$82&amp;$AU$82&amp;"P"&amp;$A129)="N/A",0,RTD("tos.rtd",,AV$83,"."&amp;$C$82&amp;$AU$82&amp;"P"&amp;$A129))</f>
        <v>-386</v>
      </c>
      <c r="AW129" s="54">
        <f>IF(RTD("tos.rtd",,AW$83,"."&amp;$D$82&amp;$AW$82&amp;"C"&amp;$A129)="N/A",0,RTD("tos.rtd",,AW$83,"."&amp;$D$82&amp;$AW$82&amp;"C"&amp;$A129))</f>
        <v>116</v>
      </c>
      <c r="AX129" s="3">
        <f>-IF(RTD("tos.rtd",,AX$83,"."&amp;$D$82&amp;$AW$82&amp;"P"&amp;$A129)="N/A",0,RTD("tos.rtd",,AX$83,"."&amp;$D$82&amp;$AW$82&amp;"P"&amp;$A129))</f>
        <v>-266</v>
      </c>
      <c r="AY129" s="79">
        <f t="shared" si="518"/>
        <v>-621</v>
      </c>
      <c r="AZ129" s="8">
        <f t="shared" si="453"/>
        <v>5430</v>
      </c>
      <c r="BA129" s="54">
        <f>IF(RTD("tos.rtd",,BA$83,"."&amp;$B$82&amp;$AS$82&amp;"C"&amp;$A129)="N/A",0,RTD("tos.rtd",,BA$83,"."&amp;$B$82&amp;$AS$82&amp;"C"&amp;$A129))</f>
        <v>0</v>
      </c>
      <c r="BB129" s="3">
        <f>-IF(RTD("tos.rtd",,BB$83,"."&amp;$B$82&amp;$AS$82&amp;"P"&amp;$A129)="N/A",0,RTD("tos.rtd",,BB$83,"."&amp;$B$82&amp;$AS$82&amp;"P"&amp;$A129))</f>
        <v>0</v>
      </c>
      <c r="BC129" s="54">
        <f>IF(RTD("tos.rtd",,BC$83,"."&amp;$C$82&amp;$AU$82&amp;"C"&amp;$A129)="N/A",0,RTD("tos.rtd",,BC$83,"."&amp;$C$82&amp;$AU$82&amp;"C"&amp;$A129))</f>
        <v>0</v>
      </c>
      <c r="BD129" s="3">
        <f>-IF(RTD("tos.rtd",,BD$83,"."&amp;$C$82&amp;$AU$82&amp;"P"&amp;$A129)="N/A",0,RTD("tos.rtd",,BD$83,"."&amp;$C$82&amp;$AU$82&amp;"P"&amp;$A129))</f>
        <v>0</v>
      </c>
      <c r="BE129" s="54">
        <f>IF(RTD("tos.rtd",,BE$83,"."&amp;$D$82&amp;$AW$82&amp;"C"&amp;$A129)="N/A",0,RTD("tos.rtd",,BE$83,"."&amp;$D$82&amp;$AW$82&amp;"C"&amp;$A129))</f>
        <v>0</v>
      </c>
      <c r="BF129" s="3">
        <f>-IF(RTD("tos.rtd",,BF$83,"."&amp;$D$82&amp;$AW$82&amp;"P"&amp;$A129)="N/A",0,RTD("tos.rtd",,BF$83,"."&amp;$D$82&amp;$AW$82&amp;"P"&amp;$A129))</f>
        <v>-2</v>
      </c>
      <c r="BG129" s="3">
        <f ca="1">+Hoja2!Y130</f>
        <v>0</v>
      </c>
      <c r="BH129" s="55">
        <f t="shared" ca="1" si="491"/>
        <v>-2</v>
      </c>
      <c r="BI129" s="32" t="str">
        <f t="shared" ca="1" si="510"/>
        <v>Cruce -</v>
      </c>
      <c r="BJ129" s="3" t="e">
        <f ca="1">IF($BP$1=1,DX129,IF(RTD("tos.rtd",,BJ$83,"."&amp;$B$82&amp;$AS$82&amp;"C"&amp;$A129)="N/A",0,RTD("tos.rtd",,BJ$83,"."&amp;$B$82&amp;$AS$82&amp;"C"&amp;$A129)))</f>
        <v>#NUM!</v>
      </c>
      <c r="BK129" s="3" t="e">
        <f ca="1">IF($BP$1=1,DY129,-IF(RTD("tos.rtd",,BK$83,"."&amp;$B$82&amp;$AS$82&amp;"P"&amp;$A129)="N/A",0,RTD("tos.rtd",,BK$83,"."&amp;$B$82&amp;$AS$82&amp;"P"&amp;$A129)))</f>
        <v>#NUM!</v>
      </c>
      <c r="BL129" s="3">
        <f ca="1">IF($BP$1=1,DZ129,IF(RTD("tos.rtd",,BL$83,"."&amp;$C$82&amp;$AU$82&amp;"C"&amp;$A129)="N/A",0,RTD("tos.rtd",,BL$83,"."&amp;$C$82&amp;$AU$82&amp;"C"&amp;$A129)))</f>
        <v>1.0170745600033295E-3</v>
      </c>
      <c r="BM129" s="3">
        <f ca="1">IF($BP$1=1,EA129,-IF(RTD("tos.rtd",,BM$83,"."&amp;$C$82&amp;$AU$82&amp;"P"&amp;$A129)="N/A",0,RTD("tos.rtd",,BM$83,"."&amp;$C$82&amp;$AU$82&amp;"P"&amp;$A129)))</f>
        <v>-8.4597197424770925E-4</v>
      </c>
      <c r="BN129" s="3">
        <f ca="1">IF($BP$1=1,EB129,IF(RTD("tos.rtd",,BN$83,"."&amp;$D$82&amp;$AW$82&amp;"C"&amp;$A129)="N/A",0,RTD("tos.rtd",,BN$83,"."&amp;$D$82&amp;$AW$82&amp;"C"&amp;$A129)))</f>
        <v>1.0550785723162494E-3</v>
      </c>
      <c r="BO129" s="3">
        <f ca="1">IF($BP$1=1,EC129,-IF(RTD("tos.rtd",,BO$83,"."&amp;$D$82&amp;$AW$82&amp;"P"&amp;$A129)="N/A",0,RTD("tos.rtd",,BO$83,"."&amp;$D$82&amp;$AW$82&amp;"P"&amp;$A129)))</f>
        <v>-6.1879601002438086E-4</v>
      </c>
      <c r="BQ129" s="3" t="e">
        <f t="shared" ca="1" si="454"/>
        <v>#NUM!</v>
      </c>
      <c r="BR129" s="3" t="e">
        <f t="shared" ca="1" si="492"/>
        <v>#NUM!</v>
      </c>
      <c r="BS129" s="3">
        <f t="shared" ca="1" si="455"/>
        <v>192117.54941658818</v>
      </c>
      <c r="BT129" s="3" t="str">
        <f t="shared" ca="1" si="492"/>
        <v>Cruce +</v>
      </c>
      <c r="BU129" s="3">
        <f t="shared" ca="1" si="456"/>
        <v>-10004.885526873699</v>
      </c>
      <c r="BV129" s="3" t="str">
        <f t="shared" ca="1" si="492"/>
        <v/>
      </c>
      <c r="BX129" s="3" t="e">
        <f t="shared" ca="1" si="457"/>
        <v>#NUM!</v>
      </c>
      <c r="BY129" s="3" t="e">
        <f t="shared" ca="1" si="507"/>
        <v>#NUM!</v>
      </c>
      <c r="BZ129" s="3">
        <f t="shared" ca="1" si="458"/>
        <v>0</v>
      </c>
      <c r="CA129" s="3" t="str">
        <f t="shared" ca="1" si="507"/>
        <v/>
      </c>
      <c r="CB129" s="3">
        <f t="shared" ca="1" si="459"/>
        <v>-293.33767745463609</v>
      </c>
      <c r="CC129" s="3" t="str">
        <f t="shared" ca="1" si="507"/>
        <v/>
      </c>
      <c r="CD129" s="3">
        <f>IF(RTD("tos.rtd",,CD$83,"."&amp;$B$82&amp;$AS$82&amp;"C"&amp;$A129)="N/A",0,RTD("tos.rtd",,CD$83,"."&amp;$B$82&amp;$AS$82&amp;"C"&amp;$A129))</f>
        <v>1</v>
      </c>
      <c r="CE129" s="3">
        <f>-IF(RTD("tos.rtd",,CE$83,"."&amp;$B$82&amp;$AS$82&amp;"P"&amp;$A129)="N/A",0,RTD("tos.rtd",,CE$83,"."&amp;$B$82&amp;$AS$82&amp;"P"&amp;$A129))</f>
        <v>0</v>
      </c>
      <c r="CF129" s="3">
        <f>IF(RTD("tos.rtd",,CF$83,"."&amp;$C$82&amp;$AU$82&amp;"C"&amp;$A129)="N/A",0,RTD("tos.rtd",,CF$83,"."&amp;$C$82&amp;$AU$82&amp;"C"&amp;$A129))</f>
        <v>0.79</v>
      </c>
      <c r="CG129" s="3">
        <f>-IF(RTD("tos.rtd",,CG$83,"."&amp;$C$82&amp;$AU$82&amp;"P"&amp;$A129)="N/A",0,RTD("tos.rtd",,CG$83,"."&amp;$C$82&amp;$AU$82&amp;"P"&amp;$A129))</f>
        <v>0.03</v>
      </c>
      <c r="CH129" s="3">
        <f>IF(RTD("tos.rtd",,CH$83,"."&amp;$D$82&amp;$AW$82&amp;"C"&amp;$A129)="N/A",0,RTD("tos.rtd",,CH$83,"."&amp;$D$82&amp;$AW$82&amp;"C"&amp;$A129))</f>
        <v>0.77</v>
      </c>
      <c r="CI129" s="3">
        <f>-IF(RTD("tos.rtd",,CI$83,"."&amp;$D$82&amp;$AW$82&amp;"P"&amp;$A129)="N/A",0,RTD("tos.rtd",,CI$83,"."&amp;$D$82&amp;$AW$82&amp;"P"&amp;$A129))</f>
        <v>0.15</v>
      </c>
      <c r="CK129" s="3">
        <f t="shared" si="493"/>
        <v>28500</v>
      </c>
      <c r="CL129" s="3"/>
      <c r="CM129" s="3">
        <f t="shared" si="494"/>
        <v>87164</v>
      </c>
      <c r="CN129" s="3"/>
      <c r="CO129" s="3">
        <f t="shared" si="495"/>
        <v>4942</v>
      </c>
      <c r="CP129" s="3">
        <f t="shared" si="460"/>
        <v>120606</v>
      </c>
      <c r="CQ129" s="3">
        <f t="shared" si="461"/>
        <v>0</v>
      </c>
      <c r="CR129" s="3"/>
      <c r="CS129" s="3">
        <f t="shared" si="462"/>
        <v>0</v>
      </c>
      <c r="CT129" s="3"/>
      <c r="CU129" s="3">
        <f t="shared" si="463"/>
        <v>-2</v>
      </c>
      <c r="CV129" s="3"/>
      <c r="CW129" s="3" t="e">
        <f t="shared" ca="1" si="464"/>
        <v>#NUM!</v>
      </c>
      <c r="CY129" s="3" t="e">
        <f t="shared" ca="1" si="465"/>
        <v>#NUM!</v>
      </c>
      <c r="CZ129" s="70" t="e">
        <f t="shared" ca="1" si="508"/>
        <v>#NUM!</v>
      </c>
      <c r="DA129" s="3">
        <f>IF(RTD("tos.rtd",,DA$83,"."&amp;$B$82&amp;$AS$82&amp;"C"&amp;$A129)="N/A",0,RTD("tos.rtd",,DA$83,"."&amp;$B$82&amp;$AS$82&amp;"C"&amp;$A129))</f>
        <v>192.7</v>
      </c>
      <c r="DB129" s="3">
        <f>IF(RTD("tos.rtd",,DB$83,"."&amp;$B$82&amp;$AS$82&amp;"P"&amp;$A129)="N/A",0,RTD("tos.rtd",,DB$83,"."&amp;$B$82&amp;$AS$82&amp;"P"&amp;$A129))</f>
        <v>0.05</v>
      </c>
      <c r="DC129" s="3">
        <f>IF(RTD("tos.rtd",,DC$83,"."&amp;$B$82&amp;$AS$82&amp;"C"&amp;$A129)="N/A",0,RTD("tos.rtd",,DC$83,"."&amp;$B$82&amp;$AS$82&amp;"C"&amp;$A129))</f>
        <v>201.7</v>
      </c>
      <c r="DD129" s="3">
        <f>IF(RTD("tos.rtd",,DD$83,"."&amp;$B$82&amp;$AS$82&amp;"P"&amp;$A129)="N/A",0,RTD("tos.rtd",,DD$83,"."&amp;$B$82&amp;$AS$82&amp;"P"&amp;$A129))</f>
        <v>0.05</v>
      </c>
      <c r="DE129" s="3">
        <f>IF(RTD("tos.rtd",,DE$83,"."&amp;$B$82&amp;$AS$82&amp;"C"&amp;$A129)="N/A",0,RTD("tos.rtd",,DE$83,"."&amp;$B$82&amp;$AS$82&amp;"C"&amp;$A129))</f>
        <v>188</v>
      </c>
      <c r="DF129" s="3">
        <f>IF(RTD("tos.rtd",,DF$83,"."&amp;$B$82&amp;$AS$82&amp;"P"&amp;$A129)="N/A",0,RTD("tos.rtd",,DF$83,"."&amp;$B$82&amp;$AS$82&amp;"P"&amp;$A129))</f>
        <v>0</v>
      </c>
      <c r="DG129" s="86">
        <f t="shared" si="497"/>
        <v>-201.27999999999975</v>
      </c>
      <c r="DH129" s="3">
        <f t="shared" si="466"/>
        <v>-17.15328467153282</v>
      </c>
      <c r="DI129" s="3">
        <f t="shared" si="467"/>
        <v>3919</v>
      </c>
      <c r="DJ129" s="3">
        <f t="shared" si="468"/>
        <v>50</v>
      </c>
      <c r="DK129" s="3">
        <f t="shared" si="469"/>
        <v>3919</v>
      </c>
      <c r="DL129" s="3">
        <f t="shared" si="470"/>
        <v>3901.8467153284673</v>
      </c>
      <c r="DM129" s="3">
        <f t="shared" si="471"/>
        <v>3969</v>
      </c>
      <c r="DN129" s="64" t="str">
        <f t="shared" si="472"/>
        <v>UNKNOWN</v>
      </c>
      <c r="DO129" s="64" t="str">
        <f t="shared" si="473"/>
        <v>UNKNOWN</v>
      </c>
      <c r="DP129" s="3">
        <f t="shared" si="474"/>
        <v>-3109.4879562043743</v>
      </c>
      <c r="DQ129" s="3">
        <f t="shared" si="475"/>
        <v>9830.9500000000007</v>
      </c>
      <c r="DR129" s="3" t="e">
        <f t="shared" ca="1" si="476"/>
        <v>#NUM!</v>
      </c>
      <c r="DS129" s="3">
        <f t="shared" si="477"/>
        <v>50</v>
      </c>
      <c r="DT129" s="3">
        <f t="shared" si="498"/>
        <v>-50</v>
      </c>
      <c r="DU129" s="3">
        <f t="shared" si="499"/>
        <v>3919</v>
      </c>
      <c r="DV129" s="3">
        <f t="shared" si="500"/>
        <v>-2</v>
      </c>
      <c r="DW129" s="3">
        <f t="shared" si="501"/>
        <v>320</v>
      </c>
      <c r="DX129" s="3" t="e">
        <f t="shared" ca="1" si="509"/>
        <v>#NUM!</v>
      </c>
      <c r="DY129" s="3" t="e">
        <f t="shared" ca="1" si="478"/>
        <v>#NUM!</v>
      </c>
      <c r="DZ129" s="3">
        <f t="shared" ca="1" si="502"/>
        <v>1.0170745600033295E-3</v>
      </c>
      <c r="EA129" s="3">
        <f t="shared" ca="1" si="503"/>
        <v>-8.4597197424770925E-4</v>
      </c>
      <c r="EB129" s="3">
        <f t="shared" ca="1" si="479"/>
        <v>1.0550785723162494E-3</v>
      </c>
      <c r="EC129" s="3">
        <f t="shared" ca="1" si="480"/>
        <v>-6.1879601002438086E-4</v>
      </c>
      <c r="ED129" s="63">
        <f t="shared" si="504"/>
        <v>318</v>
      </c>
      <c r="EE129" s="59">
        <f t="shared" si="481"/>
        <v>0.25</v>
      </c>
      <c r="EF129" s="59">
        <f t="shared" si="482"/>
        <v>1.6031</v>
      </c>
      <c r="EG129" s="59">
        <f t="shared" si="483"/>
        <v>0.66779999999999995</v>
      </c>
      <c r="EH129" s="59">
        <f t="shared" si="484"/>
        <v>0.28129999999999999</v>
      </c>
      <c r="EI129" s="59">
        <f t="shared" si="485"/>
        <v>0.34379999999999999</v>
      </c>
      <c r="EJ129" s="59">
        <f t="shared" si="486"/>
        <v>0.24049999999999999</v>
      </c>
      <c r="EL129" s="3" t="str">
        <f>RTD("tos.rtd",,EL$83,"."&amp;$B$82&amp;$AS$82&amp;"C"&amp;$A129)</f>
        <v>--</v>
      </c>
      <c r="EM129" s="3" t="str">
        <f>RTD("tos.rtd",,EM$83,"."&amp;$B$82&amp;$AS$82&amp;"P"&amp;$A129)</f>
        <v>160.31%</v>
      </c>
      <c r="EN129" s="3" t="str">
        <f>RTD("tos.rtd",,EN$83,"."&amp;$C$82&amp;$AU$82&amp;"C"&amp;$A129)</f>
        <v>66.78%</v>
      </c>
      <c r="EO129" s="3" t="str">
        <f>RTD("tos.rtd",,EO$83,"."&amp;$C$82&amp;$AU$82&amp;"P"&amp;$A129)</f>
        <v>28.13%</v>
      </c>
      <c r="EP129" s="3" t="str">
        <f>RTD("tos.rtd",,EP$83,"."&amp;$D$82&amp;$AW$82&amp;"C"&amp;$A129)</f>
        <v>34.38%</v>
      </c>
      <c r="EQ129" s="3" t="str">
        <f>RTD("tos.rtd",,EQ$83,"."&amp;$D$82&amp;$AW$82&amp;"P"&amp;$A129)</f>
        <v>24.05%</v>
      </c>
      <c r="ES129" s="63" t="str">
        <f t="shared" si="487"/>
        <v>5430,318.00</v>
      </c>
      <c r="ET129" s="64" t="str">
        <f t="shared" ca="1" si="488"/>
        <v>5430,00.00</v>
      </c>
      <c r="EU129" s="67">
        <v>562.25</v>
      </c>
      <c r="EV129" s="67" t="s">
        <v>1052</v>
      </c>
      <c r="EW129" s="67">
        <v>484.62</v>
      </c>
      <c r="EX129" s="67" t="s">
        <v>1053</v>
      </c>
      <c r="EY129" s="67">
        <v>5636.25</v>
      </c>
      <c r="EZ129" s="67" t="s">
        <v>1054</v>
      </c>
      <c r="FA129" s="67">
        <v>19906.5</v>
      </c>
      <c r="FB129" s="67" t="s">
        <v>1055</v>
      </c>
      <c r="FC129" s="67" t="s">
        <v>1056</v>
      </c>
      <c r="FD129" s="67" t="s">
        <v>1057</v>
      </c>
      <c r="FE129" s="68" t="s">
        <v>1058</v>
      </c>
      <c r="FF129" s="68" t="s">
        <v>1059</v>
      </c>
    </row>
    <row r="130" spans="1:162" s="63" customFormat="1" ht="12" customHeight="1" thickBot="1" x14ac:dyDescent="0.25">
      <c r="A130" s="2">
        <f t="shared" si="505"/>
        <v>5420</v>
      </c>
      <c r="B130" s="3">
        <f t="shared" si="449"/>
        <v>727</v>
      </c>
      <c r="C130" s="3">
        <f t="shared" si="450"/>
        <v>734</v>
      </c>
      <c r="D130" s="3">
        <f t="shared" si="451"/>
        <v>657</v>
      </c>
      <c r="E130" s="3">
        <f>SUM(B130:D130)</f>
        <v>2118</v>
      </c>
      <c r="F130" s="11">
        <f>+$F$84/$A$84*A130</f>
        <v>5466.8920742708588</v>
      </c>
      <c r="G130" s="4">
        <f t="shared" si="517"/>
        <v>543.15690216078769</v>
      </c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  <c r="AM130" s="20">
        <v>13</v>
      </c>
      <c r="AN130" s="20">
        <v>-353</v>
      </c>
      <c r="AO130" s="20">
        <v>5420</v>
      </c>
      <c r="AP130" s="20">
        <v>33</v>
      </c>
      <c r="AQ130" s="20">
        <v>-1630</v>
      </c>
      <c r="AR130" s="20"/>
      <c r="AS130" s="56">
        <f>IF(RTD("tos.rtd",,AS$83,"."&amp;$B$82&amp;$AS$82&amp;"C"&amp;$A130)="N/A",0,RTD("tos.rtd",,AS$83,"."&amp;$B$82&amp;$AS$82&amp;"C"&amp;$A130))</f>
        <v>184</v>
      </c>
      <c r="AT130" s="35">
        <f>-IF(RTD("tos.rtd",,AT$83,"."&amp;$B$82&amp;$AS$82&amp;"P"&amp;$A130)="N/A",0,RTD("tos.rtd",,AT$83,"."&amp;$B$82&amp;$AS$82&amp;"P"&amp;$A130))</f>
        <v>-543</v>
      </c>
      <c r="AU130" s="56">
        <f>IF(RTD("tos.rtd",,AU$83,"."&amp;$C$82&amp;$AU$82&amp;"C"&amp;$A130)="N/A",0,RTD("tos.rtd",,AU$83,"."&amp;$C$82&amp;$AU$82&amp;"C"&amp;$A130))</f>
        <v>154</v>
      </c>
      <c r="AV130" s="35">
        <f>-IF(RTD("tos.rtd",,AV$83,"."&amp;$C$82&amp;$AU$82&amp;"P"&amp;$A130)="N/A",0,RTD("tos.rtd",,AV$83,"."&amp;$C$82&amp;$AU$82&amp;"P"&amp;$A130))</f>
        <v>-580</v>
      </c>
      <c r="AW130" s="56">
        <f>IF(RTD("tos.rtd",,AW$83,"."&amp;$D$82&amp;$AW$82&amp;"C"&amp;$A130)="N/A",0,RTD("tos.rtd",,AW$83,"."&amp;$D$82&amp;$AW$82&amp;"C"&amp;$A130))</f>
        <v>309</v>
      </c>
      <c r="AX130" s="35">
        <f>-IF(RTD("tos.rtd",,AX$83,"."&amp;$D$82&amp;$AW$82&amp;"P"&amp;$A130)="N/A",0,RTD("tos.rtd",,AX$83,"."&amp;$D$82&amp;$AW$82&amp;"P"&amp;$A130))</f>
        <v>-348</v>
      </c>
      <c r="AY130" s="81">
        <f t="shared" si="518"/>
        <v>-824</v>
      </c>
      <c r="AZ130" s="8">
        <f t="shared" si="453"/>
        <v>5420</v>
      </c>
      <c r="BA130" s="56">
        <f>IF(RTD("tos.rtd",,BA$83,"."&amp;$B$82&amp;$AS$82&amp;"C"&amp;$A130)="N/A",0,RTD("tos.rtd",,BA$83,"."&amp;$B$82&amp;$AS$82&amp;"C"&amp;$A130))</f>
        <v>0</v>
      </c>
      <c r="BB130" s="35">
        <f>-IF(RTD("tos.rtd",,BB$83,"."&amp;$B$82&amp;$AS$82&amp;"P"&amp;$A130)="N/A",0,RTD("tos.rtd",,BB$83,"."&amp;$B$82&amp;$AS$82&amp;"P"&amp;$A130))</f>
        <v>0</v>
      </c>
      <c r="BC130" s="56">
        <f>IF(RTD("tos.rtd",,BC$83,"."&amp;$C$82&amp;$AU$82&amp;"C"&amp;$A130)="N/A",0,RTD("tos.rtd",,BC$83,"."&amp;$C$82&amp;$AU$82&amp;"C"&amp;$A130))</f>
        <v>0</v>
      </c>
      <c r="BD130" s="35">
        <f>-IF(RTD("tos.rtd",,BD$83,"."&amp;$C$82&amp;$AU$82&amp;"P"&amp;$A130)="N/A",0,RTD("tos.rtd",,BD$83,"."&amp;$C$82&amp;$AU$82&amp;"P"&amp;$A130))</f>
        <v>-1</v>
      </c>
      <c r="BE130" s="56">
        <f>IF(RTD("tos.rtd",,BE$83,"."&amp;$D$82&amp;$AW$82&amp;"C"&amp;$A130)="N/A",0,RTD("tos.rtd",,BE$83,"."&amp;$D$82&amp;$AW$82&amp;"C"&amp;$A130))</f>
        <v>0</v>
      </c>
      <c r="BF130" s="35">
        <f>-IF(RTD("tos.rtd",,BF$83,"."&amp;$D$82&amp;$AW$82&amp;"P"&amp;$A130)="N/A",0,RTD("tos.rtd",,BF$83,"."&amp;$D$82&amp;$AW$82&amp;"P"&amp;$A130))</f>
        <v>0</v>
      </c>
      <c r="BG130" s="3">
        <f ca="1">+Hoja2!Y131</f>
        <v>0</v>
      </c>
      <c r="BH130" s="57">
        <f t="shared" ca="1" si="491"/>
        <v>-1</v>
      </c>
      <c r="BI130" s="32" t="str">
        <f t="shared" ca="1" si="510"/>
        <v/>
      </c>
      <c r="BJ130" s="3" t="e">
        <f ca="1">IF($BP$1=1,DX130,IF(RTD("tos.rtd",,BJ$83,"."&amp;$B$82&amp;$AS$82&amp;"C"&amp;$A130)="N/A",0,RTD("tos.rtd",,BJ$83,"."&amp;$B$82&amp;$AS$82&amp;"C"&amp;$A130)))</f>
        <v>#NUM!</v>
      </c>
      <c r="BK130" s="3" t="e">
        <f ca="1">IF($BP$1=1,DY130,-IF(RTD("tos.rtd",,BK$83,"."&amp;$B$82&amp;$AS$82&amp;"P"&amp;$A130)="N/A",0,RTD("tos.rtd",,BK$83,"."&amp;$B$82&amp;$AS$82&amp;"P"&amp;$A130)))</f>
        <v>#NUM!</v>
      </c>
      <c r="BL130" s="3">
        <f ca="1">IF($BP$1=1,DZ130,IF(RTD("tos.rtd",,BL$83,"."&amp;$C$82&amp;$AU$82&amp;"C"&amp;$A130)="N/A",0,RTD("tos.rtd",,BL$83,"."&amp;$C$82&amp;$AU$82&amp;"C"&amp;$A130)))</f>
        <v>9.7884675665772889E-4</v>
      </c>
      <c r="BM130" s="3">
        <f ca="1">IF($BP$1=1,EA130,-IF(RTD("tos.rtd",,BM$83,"."&amp;$C$82&amp;$AU$82&amp;"P"&amp;$A130)="N/A",0,RTD("tos.rtd",,BM$83,"."&amp;$C$82&amp;$AU$82&amp;"P"&amp;$A130)))</f>
        <v>-7.6129378251383044E-4</v>
      </c>
      <c r="BN130" s="3">
        <f ca="1">IF($BP$1=1,EB130,IF(RTD("tos.rtd",,BN$83,"."&amp;$D$82&amp;$AW$82&amp;"C"&amp;$A130)="N/A",0,RTD("tos.rtd",,BN$83,"."&amp;$D$82&amp;$AW$82&amp;"C"&amp;$A130)))</f>
        <v>9.8418107423896674E-4</v>
      </c>
      <c r="BO130" s="3">
        <f ca="1">IF($BP$1=1,EC130,-IF(RTD("tos.rtd",,BO$83,"."&amp;$D$82&amp;$AW$82&amp;"P"&amp;$A130)="N/A",0,RTD("tos.rtd",,BO$83,"."&amp;$D$82&amp;$AW$82&amp;"P"&amp;$A130)))</f>
        <v>-5.3354072368592411E-4</v>
      </c>
      <c r="BQ130" s="3" t="e">
        <f t="shared" ca="1" si="454"/>
        <v>#NUM!</v>
      </c>
      <c r="BR130" s="3" t="e">
        <f t="shared" ca="1" si="492"/>
        <v>#NUM!</v>
      </c>
      <c r="BS130" s="3">
        <f t="shared" ca="1" si="455"/>
        <v>-68928.160466084519</v>
      </c>
      <c r="BT130" s="3" t="str">
        <f t="shared" ca="1" si="492"/>
        <v>Cruce -</v>
      </c>
      <c r="BU130" s="3">
        <f t="shared" ca="1" si="456"/>
        <v>28072.942818881253</v>
      </c>
      <c r="BV130" s="3" t="str">
        <f t="shared" ca="1" si="492"/>
        <v>Cruce +</v>
      </c>
      <c r="BX130" s="3" t="e">
        <f t="shared" ca="1" si="457"/>
        <v>#NUM!</v>
      </c>
      <c r="BY130" s="3" t="e">
        <f t="shared" ca="1" si="507"/>
        <v>#NUM!</v>
      </c>
      <c r="BZ130" s="3">
        <f t="shared" ca="1" si="458"/>
        <v>-180.44407721250749</v>
      </c>
      <c r="CA130" s="3" t="str">
        <f t="shared" ca="1" si="507"/>
        <v/>
      </c>
      <c r="CB130" s="3">
        <f t="shared" ca="1" si="459"/>
        <v>0</v>
      </c>
      <c r="CC130" s="3" t="str">
        <f t="shared" ca="1" si="507"/>
        <v/>
      </c>
      <c r="CD130" s="3">
        <f>IF(RTD("tos.rtd",,CD$83,"."&amp;$B$82&amp;$AS$82&amp;"C"&amp;$A130)="N/A",0,RTD("tos.rtd",,CD$83,"."&amp;$B$82&amp;$AS$82&amp;"C"&amp;$A130))</f>
        <v>1</v>
      </c>
      <c r="CE130" s="3">
        <f>-IF(RTD("tos.rtd",,CE$83,"."&amp;$B$82&amp;$AS$82&amp;"P"&amp;$A130)="N/A",0,RTD("tos.rtd",,CE$83,"."&amp;$B$82&amp;$AS$82&amp;"P"&amp;$A130))</f>
        <v>0</v>
      </c>
      <c r="CF130" s="3">
        <f>IF(RTD("tos.rtd",,CF$83,"."&amp;$C$82&amp;$AU$82&amp;"C"&amp;$A130)="N/A",0,RTD("tos.rtd",,CF$83,"."&amp;$C$82&amp;$AU$82&amp;"C"&amp;$A130))</f>
        <v>0.8</v>
      </c>
      <c r="CG130" s="3">
        <f>-IF(RTD("tos.rtd",,CG$83,"."&amp;$C$82&amp;$AU$82&amp;"P"&amp;$A130)="N/A",0,RTD("tos.rtd",,CG$83,"."&amp;$C$82&amp;$AU$82&amp;"P"&amp;$A130))</f>
        <v>0.02</v>
      </c>
      <c r="CH130" s="3">
        <f>IF(RTD("tos.rtd",,CH$83,"."&amp;$D$82&amp;$AW$82&amp;"C"&amp;$A130)="N/A",0,RTD("tos.rtd",,CH$83,"."&amp;$D$82&amp;$AW$82&amp;"C"&amp;$A130))</f>
        <v>0.77</v>
      </c>
      <c r="CI130" s="3">
        <f>-IF(RTD("tos.rtd",,CI$83,"."&amp;$D$82&amp;$AW$82&amp;"P"&amp;$A130)="N/A",0,RTD("tos.rtd",,CI$83,"."&amp;$D$82&amp;$AW$82&amp;"P"&amp;$A130))</f>
        <v>0.14000000000000001</v>
      </c>
      <c r="CK130" s="3">
        <f t="shared" si="493"/>
        <v>18400</v>
      </c>
      <c r="CL130" s="3"/>
      <c r="CM130" s="3">
        <f t="shared" si="494"/>
        <v>11160</v>
      </c>
      <c r="CN130" s="3"/>
      <c r="CO130" s="3">
        <f t="shared" si="495"/>
        <v>18921</v>
      </c>
      <c r="CP130" s="3">
        <f t="shared" si="460"/>
        <v>48481</v>
      </c>
      <c r="CQ130" s="3">
        <f t="shared" si="461"/>
        <v>0</v>
      </c>
      <c r="CR130" s="3"/>
      <c r="CS130" s="3">
        <f t="shared" si="462"/>
        <v>-1</v>
      </c>
      <c r="CT130" s="3"/>
      <c r="CU130" s="3">
        <f t="shared" si="463"/>
        <v>0</v>
      </c>
      <c r="CV130" s="3"/>
      <c r="CW130" s="3" t="e">
        <f t="shared" ca="1" si="464"/>
        <v>#NUM!</v>
      </c>
      <c r="CY130" s="3" t="e">
        <f t="shared" ca="1" si="465"/>
        <v>#NUM!</v>
      </c>
      <c r="CZ130" s="70" t="e">
        <f t="shared" ca="1" si="508"/>
        <v>#NUM!</v>
      </c>
      <c r="DA130" s="3">
        <f>IF(RTD("tos.rtd",,DA$83,"."&amp;$B$82&amp;$AS$82&amp;"C"&amp;$A130)="N/A",0,RTD("tos.rtd",,DA$83,"."&amp;$B$82&amp;$AS$82&amp;"C"&amp;$A130))</f>
        <v>202.37</v>
      </c>
      <c r="DB130" s="3">
        <f>IF(RTD("tos.rtd",,DB$83,"."&amp;$B$82&amp;$AS$82&amp;"P"&amp;$A130)="N/A",0,RTD("tos.rtd",,DB$83,"."&amp;$B$82&amp;$AS$82&amp;"P"&amp;$A130))</f>
        <v>0.05</v>
      </c>
      <c r="DC130" s="3">
        <f>IF(RTD("tos.rtd",,DC$83,"."&amp;$B$82&amp;$AS$82&amp;"C"&amp;$A130)="N/A",0,RTD("tos.rtd",,DC$83,"."&amp;$B$82&amp;$AS$82&amp;"C"&amp;$A130))</f>
        <v>211.9</v>
      </c>
      <c r="DD130" s="3">
        <f>IF(RTD("tos.rtd",,DD$83,"."&amp;$B$82&amp;$AS$82&amp;"P"&amp;$A130)="N/A",0,RTD("tos.rtd",,DD$83,"."&amp;$B$82&amp;$AS$82&amp;"P"&amp;$A130))</f>
        <v>0.05</v>
      </c>
      <c r="DE130" s="3">
        <f>IF(RTD("tos.rtd",,DE$83,"."&amp;$B$82&amp;$AS$82&amp;"C"&amp;$A130)="N/A",0,RTD("tos.rtd",,DE$83,"."&amp;$B$82&amp;$AS$82&amp;"C"&amp;$A130))</f>
        <v>197.9</v>
      </c>
      <c r="DF130" s="3">
        <f>IF(RTD("tos.rtd",,DF$83,"."&amp;$B$82&amp;$AS$82&amp;"P"&amp;$A130)="N/A",0,RTD("tos.rtd",,DF$83,"."&amp;$B$82&amp;$AS$82&amp;"P"&amp;$A130))</f>
        <v>0</v>
      </c>
      <c r="DG130" s="86">
        <f t="shared" si="497"/>
        <v>-211.27999999999975</v>
      </c>
      <c r="DH130" s="3">
        <f t="shared" si="466"/>
        <v>-10.536428571428569</v>
      </c>
      <c r="DI130" s="3">
        <f t="shared" si="467"/>
        <v>1630</v>
      </c>
      <c r="DJ130" s="3">
        <f t="shared" si="468"/>
        <v>33</v>
      </c>
      <c r="DK130" s="3">
        <f t="shared" si="469"/>
        <v>1630</v>
      </c>
      <c r="DL130" s="3">
        <f t="shared" si="470"/>
        <v>1619.4635714285714</v>
      </c>
      <c r="DM130" s="3">
        <f t="shared" si="471"/>
        <v>1663</v>
      </c>
      <c r="DN130" s="64" t="str">
        <f t="shared" si="472"/>
        <v>UNKNOWN</v>
      </c>
      <c r="DO130" s="64" t="str">
        <f t="shared" si="473"/>
        <v>UNKNOWN</v>
      </c>
      <c r="DP130" s="3">
        <f t="shared" si="474"/>
        <v>-2050.7570499999997</v>
      </c>
      <c r="DQ130" s="3">
        <f t="shared" si="475"/>
        <v>6759.71</v>
      </c>
      <c r="DR130" s="3" t="e">
        <f t="shared" ca="1" si="476"/>
        <v>#NUM!</v>
      </c>
      <c r="DS130" s="3">
        <f t="shared" si="477"/>
        <v>33</v>
      </c>
      <c r="DT130" s="3">
        <f t="shared" si="498"/>
        <v>-33</v>
      </c>
      <c r="DU130" s="3">
        <f t="shared" si="499"/>
        <v>1630</v>
      </c>
      <c r="DV130" s="3">
        <f t="shared" si="500"/>
        <v>13</v>
      </c>
      <c r="DW130" s="3">
        <f t="shared" si="501"/>
        <v>-353</v>
      </c>
      <c r="DX130" s="3" t="e">
        <f t="shared" ca="1" si="509"/>
        <v>#NUM!</v>
      </c>
      <c r="DY130" s="3" t="e">
        <f t="shared" ca="1" si="478"/>
        <v>#NUM!</v>
      </c>
      <c r="DZ130" s="3">
        <f t="shared" ca="1" si="502"/>
        <v>9.7884675665772889E-4</v>
      </c>
      <c r="EA130" s="3">
        <f t="shared" ca="1" si="503"/>
        <v>-7.6129378251383044E-4</v>
      </c>
      <c r="EB130" s="3">
        <f t="shared" ca="1" si="479"/>
        <v>9.8418107423896674E-4</v>
      </c>
      <c r="EC130" s="3">
        <f t="shared" ca="1" si="480"/>
        <v>-5.3354072368592411E-4</v>
      </c>
      <c r="ED130" s="63">
        <f t="shared" si="504"/>
        <v>-340</v>
      </c>
      <c r="EE130" s="59">
        <f t="shared" si="481"/>
        <v>0.25</v>
      </c>
      <c r="EF130" s="59">
        <f t="shared" si="482"/>
        <v>1.6773</v>
      </c>
      <c r="EG130" s="59">
        <f t="shared" si="483"/>
        <v>0.68630000000000002</v>
      </c>
      <c r="EH130" s="59">
        <f t="shared" si="484"/>
        <v>0.28560000000000002</v>
      </c>
      <c r="EI130" s="59">
        <f t="shared" si="485"/>
        <v>0.3518</v>
      </c>
      <c r="EJ130" s="59">
        <f t="shared" si="486"/>
        <v>0.24329999999999999</v>
      </c>
      <c r="EL130" s="3" t="str">
        <f>RTD("tos.rtd",,EL$83,"."&amp;$B$82&amp;$AS$82&amp;"C"&amp;$A130)</f>
        <v>--</v>
      </c>
      <c r="EM130" s="3" t="str">
        <f>RTD("tos.rtd",,EM$83,"."&amp;$B$82&amp;$AS$82&amp;"P"&amp;$A130)</f>
        <v>167.73%</v>
      </c>
      <c r="EN130" s="3" t="str">
        <f>RTD("tos.rtd",,EN$83,"."&amp;$C$82&amp;$AU$82&amp;"C"&amp;$A130)</f>
        <v>68.63%</v>
      </c>
      <c r="EO130" s="3" t="str">
        <f>RTD("tos.rtd",,EO$83,"."&amp;$C$82&amp;$AU$82&amp;"P"&amp;$A130)</f>
        <v>28.56%</v>
      </c>
      <c r="EP130" s="3" t="str">
        <f>RTD("tos.rtd",,EP$83,"."&amp;$D$82&amp;$AW$82&amp;"C"&amp;$A130)</f>
        <v>35.18%</v>
      </c>
      <c r="EQ130" s="3" t="str">
        <f>RTD("tos.rtd",,EQ$83,"."&amp;$D$82&amp;$AW$82&amp;"P"&amp;$A130)</f>
        <v>24.33%</v>
      </c>
      <c r="ES130" s="63" t="str">
        <f t="shared" si="487"/>
        <v>5420,-340.00</v>
      </c>
      <c r="ET130" s="64" t="str">
        <f t="shared" ca="1" si="488"/>
        <v>5420,00.00</v>
      </c>
      <c r="EU130" s="67">
        <v>562.24</v>
      </c>
      <c r="EV130" s="67" t="s">
        <v>1060</v>
      </c>
      <c r="EW130" s="67">
        <v>484.54</v>
      </c>
      <c r="EX130" s="67" t="s">
        <v>1061</v>
      </c>
      <c r="EY130" s="67">
        <v>5635.75</v>
      </c>
      <c r="EZ130" s="67" t="s">
        <v>1062</v>
      </c>
      <c r="FA130" s="67">
        <v>19903.75</v>
      </c>
      <c r="FB130" s="67" t="s">
        <v>1063</v>
      </c>
      <c r="FC130" s="67" t="s">
        <v>1064</v>
      </c>
      <c r="FD130" s="67" t="s">
        <v>1065</v>
      </c>
      <c r="FE130" s="68" t="s">
        <v>1066</v>
      </c>
      <c r="FF130" s="68" t="s">
        <v>1067</v>
      </c>
    </row>
    <row r="131" spans="1:162" ht="13.5" thickBot="1" x14ac:dyDescent="0.25">
      <c r="A131" s="56"/>
      <c r="C131" s="35"/>
      <c r="D131" s="35"/>
      <c r="E131" s="35"/>
      <c r="F131" s="57"/>
      <c r="BH131" s="1">
        <f ca="1">MIN(BH85:BH130)</f>
        <v>-27</v>
      </c>
      <c r="BI131" s="1">
        <f ca="1">IFERROR(IF(MIN(BH85:BH130)&lt;&gt;0,INDEX(A85:A130,MATCH(MIN(BH85:BH130),BH85:BH130,0)),""),"")</f>
        <v>5480</v>
      </c>
      <c r="BP131" s="64" t="e">
        <f ca="1">INDEX(BQ131:BU131,MATCH(MAX(BQ84:BU84),BQ84:BU84,0))</f>
        <v>#NUM!</v>
      </c>
      <c r="BQ131" s="1" t="e">
        <f ca="1">IF(AND(BQ84&gt;0,ABS(MAX(BQ85:BQ130))&gt;ABS(MIN(BQ85:BQ130))),IF(MAX(BQ85:BQ130)&lt;&gt;0,INDEX($A85:$A130,MATCH(MAX(BQ85:BQ130),BQ85:BQ130,0)),""),"")</f>
        <v>#NUM!</v>
      </c>
      <c r="BS131" s="1" t="str">
        <f ca="1">IF(AND(BS84&gt;0,ABS(MAX(BS85:BS130))&gt;ABS(MIN(BS85:BS130))),IF(MAX(BS85:BS130)&lt;&gt;0,INDEX($A85:$A130,MATCH(MAX(BS85:BS130),BS85:BS130,0)),""),"")</f>
        <v/>
      </c>
      <c r="BU131" s="1" t="str">
        <f ca="1">IF(AND(BU84&gt;0,ABS(MAX(BU85:BU130))&gt;ABS(MIN(BU85:BU130))),IF(MAX(BU85:BU130)&lt;&gt;0,INDEX($A85:$A130,MATCH(MAX(BU85:BU130),BU85:BU130,0)),""),"")</f>
        <v/>
      </c>
      <c r="BW131" s="64" t="e">
        <f ca="1">INDEX(BX131:CB131,MATCH(MAX(BX84:CB84),BX84:CB84,0))</f>
        <v>#NUM!</v>
      </c>
      <c r="BX131" s="1" t="e">
        <f ca="1">IF(AND(BX84&gt;0,ABS(MAX(BX85:BX130))&gt;ABS(MIN(BX85:BX130))),IF(MAX(BX85:BX130)&lt;&gt;0,INDEX($A85:$A130,MATCH(MAX(BX85:BX130),BX85:BX130,0)),""),"")</f>
        <v>#NUM!</v>
      </c>
      <c r="BY131" s="1" t="e">
        <f ca="1">INDEX($A$85:$A$130,MATCH("Cruce -",BY85:BY130,)+1)</f>
        <v>#N/A</v>
      </c>
      <c r="BZ131" s="1">
        <f ca="1">IF(AND(BZ84&gt;0,ABS(MAX(BZ85:BZ130))&gt;ABS(MIN(BZ85:BZ130))),IF(MAX(BZ85:BZ130)&lt;&gt;0,INDEX($A85:$A130,MATCH(MAX(BZ85:BZ130),BZ85:BZ130,0)),""),"")</f>
        <v>5700</v>
      </c>
      <c r="CB131" s="1" t="str">
        <f ca="1">IF(AND(CB84&gt;0,ABS(MAX(CB85:CB130))&gt;ABS(MIN(CB85:CB130))),IF(MAX(CB85:CB130)&lt;&gt;0,INDEX($A85:$A130,MATCH(MAX(CB85:CB130),CB85:CB130,0)),""),"")</f>
        <v/>
      </c>
      <c r="CJ131" s="64">
        <f>INDEX(CK131:CO131,MATCH(MAX(CK84:CO84),CK84:CO84,0))</f>
        <v>5430</v>
      </c>
      <c r="CK131" s="1" t="str">
        <f>IF(AND(CK84&gt;0,ABS(MAX(CK85:CK130))&gt;ABS(MIN(CK85:CK130))),IF(MAX(CK85:CK130)&lt;&gt;0,INDEX($A85:$A130,MATCH(MAX(CK85:CK130),CK85:CK130,0)),""),"")</f>
        <v/>
      </c>
      <c r="CM131" s="1">
        <f>IF(AND(CM84&gt;0,ABS(MAX(CM85:CM130))&gt;ABS(MIN(CM85:CM130))),IF(MAX(CM85:CM130)&lt;&gt;0,INDEX($A85:$A130,MATCH(MAX(CM85:CM130),CM85:CM130,0)),""),"")</f>
        <v>5430</v>
      </c>
      <c r="CO131" s="1" t="str">
        <f>IF(AND(CO84&gt;0,ABS(MAX(CO85:CO130))&gt;ABS(MIN(CO85:CO130))),IF(MAX(CO85:CO130)&lt;&gt;0,INDEX($A85:$A130,MATCH(MAX(CO85:CO130),CO85:CO130,0)),""),"")</f>
        <v/>
      </c>
      <c r="CP131" s="1" t="str">
        <f>IF(ABS(MAX(CP85:CP130))&gt;ABS(MIN(CP85:CP130)),IF(MAX(CP85:CP130)&lt;&gt;0,INDEX($A85:$A130,MATCH(MAX(CP85:CP130),CP85:CP130,0)),""),"")</f>
        <v/>
      </c>
      <c r="CW131" s="1" t="e">
        <f ca="1">IF(ABS(MAX(CW85:CW130))&gt;ABS(MIN(CW85:CW130)),IF(MAX(CW85:CW130)&lt;&gt;0,INDEX($A85:$A130,MATCH(MAX(CW85:CW130),CW85:CW130,0)),""),"")</f>
        <v>#NUM!</v>
      </c>
      <c r="CY131" s="1" t="e">
        <f ca="1">IF(ABS(MAX(CY85:CY130))&gt;ABS(MIN(CY85:CY130)),IF(MAX(CY85:CY130)&lt;&gt;0,INDEX($A85:$A130,MATCH(MAX(CY85:CY130),CY85:CY130,0)),""),"")</f>
        <v>#NUM!</v>
      </c>
      <c r="DH131" s="1" t="str">
        <f t="shared" ref="DH131:DM131" si="533">IF(ABS(MAX(DH85:DH130))&gt;ABS(MIN(DH85:DH130)),IF(MAX(DH85:DH130)&lt;&gt;0,INDEX($A85:$A130,MATCH(MAX(DH85:DH130),DH85:DH130,0)),""),"")</f>
        <v/>
      </c>
      <c r="DI131" s="1">
        <f t="shared" si="533"/>
        <v>5600</v>
      </c>
      <c r="DJ131" s="89" t="str">
        <f>IF(AND(ABS(MAX(DJ85:DJ130))&gt;$DG$83,ABS(INDEX($DG$85:$DG$130,MATCH(MAX(DJ85:DJ130),DJ85:DJ130,0)))&lt;10,1),IF(MAX(DJ85:DJ130)&lt;&gt;0,INDEX($A85:$A130,MATCH(MAX(DJ85:DJ130),DJ85:DJ130,0)),""),"")</f>
        <v/>
      </c>
      <c r="DK131" s="89" t="str">
        <f>IF(AND(ABS(MAX(DK85:DK130))&gt;$DG$83,ABS(INDEX($DG$85:$DG$130,MATCH(MAX(DK85:DK130),DK85:DK130,0)))&lt;10,1),IF(MAX(DK85:DK130)&lt;&gt;0,INDEX($A85:$A130,MATCH(MAX(DK85:DK130),DK85:DK130,0)),""),"")</f>
        <v/>
      </c>
      <c r="DL131" s="1" t="str">
        <f t="shared" si="533"/>
        <v/>
      </c>
      <c r="DM131" s="1" t="str">
        <f t="shared" si="533"/>
        <v/>
      </c>
      <c r="DN131" s="64" t="str">
        <f>DJ131&amp;","&amp;DJ132&amp;","&amp;DK131&amp;","&amp;DK132</f>
        <v>,,,5630</v>
      </c>
      <c r="DP131" s="1">
        <f>IF(ABS(MAX(DP85:DP130))&gt;ABS(MIN(DP85:DP130)),IF(MAX(DP85:DP130)&lt;&gt;0,INDEX($A85:$A130,MATCH(MAX(DP85:DP130),DP85:DP130,0)),""),"")</f>
        <v>5500</v>
      </c>
      <c r="DQ131" s="1" t="str">
        <f>IF(ABS(MAX(DQ85:DQ130))&gt;ABS(MIN(DQ85:DQ130)),IF(MAX(DQ85:DQ130)&lt;&gt;0,INDEX($A85:$A130,MATCH(MAX(DQ85:DQ130),DQ85:DQ130,0)),""),"")</f>
        <v/>
      </c>
      <c r="DR131" s="1" t="e">
        <f ca="1">IF(ABS(MAX(DR85:DR130))&gt;ABS(MIN(DR85:DR130)),IF(MAX(DR85:DR130)&lt;&gt;0,INDEX($A85:$A130,MATCH(MAX(DR85:DR130),DR85:DR130,0)),""),"")</f>
        <v>#NUM!</v>
      </c>
      <c r="DS131" s="1" t="str">
        <f>IF(ABS(MAX(DS85:DS130))&gt;ABS(MIN(DS85:DS130)),IF(MAX(DS85:DS130)&lt;&gt;0,INDEX($A85:$A130,MATCH(MAX(DS85:DS130),DS85:DS130,0)),""),"")</f>
        <v/>
      </c>
      <c r="ED131" s="103">
        <f>IFERROR(IF(MAX(ED85:ED130)&lt;&gt;0,INDEX($A85:$A130,MATCH(MAX(ED85:ED130),ED85:ED130,0)),""),"")</f>
        <v>5630</v>
      </c>
      <c r="EU131" s="67">
        <v>562.20000000000005</v>
      </c>
      <c r="EV131" s="67" t="s">
        <v>1068</v>
      </c>
      <c r="EW131" s="67">
        <v>484.52</v>
      </c>
      <c r="EX131" s="67" t="s">
        <v>1069</v>
      </c>
      <c r="EY131" s="67">
        <v>5635.5</v>
      </c>
      <c r="EZ131" s="67" t="s">
        <v>1070</v>
      </c>
      <c r="FA131" s="67">
        <v>19903</v>
      </c>
      <c r="FB131" s="67" t="s">
        <v>1071</v>
      </c>
      <c r="FC131" s="67" t="s">
        <v>1072</v>
      </c>
      <c r="FD131" s="67" t="s">
        <v>1073</v>
      </c>
      <c r="FE131" s="68" t="s">
        <v>1074</v>
      </c>
      <c r="FF131" s="68" t="s">
        <v>1075</v>
      </c>
    </row>
    <row r="132" spans="1:162" x14ac:dyDescent="0.2">
      <c r="AP132" s="1">
        <v>5650</v>
      </c>
      <c r="AQ132" s="1">
        <v>5600</v>
      </c>
      <c r="BA132" s="1">
        <f>INDEX($A$85:$A$130,MATCH(MAX(BA85:BA130),BA85:BA130,0))</f>
        <v>5870</v>
      </c>
      <c r="BB132" s="38">
        <f>INDEX($A$85:$A$130,MATCH(MIN(BB85:BB130),BB85:BB130,0))</f>
        <v>5870</v>
      </c>
      <c r="BC132" s="1">
        <f>INDEX($A$85:$A$130,MATCH(MAX(BC85:BC130),BC85:BC130,0))</f>
        <v>5700</v>
      </c>
      <c r="BD132" s="38">
        <f>INDEX($A$85:$A$130,MATCH(MIN(BD85:BD130),BD85:BD130,0))</f>
        <v>5480</v>
      </c>
      <c r="BE132" s="1">
        <f>INDEX($A$85:$A$130,MATCH(MAX(BE85:BE130),BE85:BE130,0))</f>
        <v>5800</v>
      </c>
      <c r="BF132" s="38">
        <f>INDEX($A$85:$A$130,MATCH(MIN(BF85:BF130),BF85:BF130,0))</f>
        <v>5600</v>
      </c>
      <c r="BG132" s="38"/>
      <c r="BK132" s="38"/>
      <c r="BM132" s="38"/>
      <c r="BO132" s="38"/>
      <c r="BP132" s="64" t="e">
        <f ca="1">INDEX(BQ132:BU132,MATCH(MIN(BQ84:BU84),BQ84:BU84,0))</f>
        <v>#NUM!</v>
      </c>
      <c r="BQ132" s="1" t="e">
        <f ca="1">IF(AND(BQ84&lt;0,ABS(MIN(BQ85:BQ130))&gt;ABS(MAX(BQ85:BQ130))),IF(MIN(BQ85:BQ130)&lt;&gt;0,INDEX($A85:$A130,MATCH(MIN(BQ85:BQ130),BQ85:BQ130,0)),""),"")</f>
        <v>#NUM!</v>
      </c>
      <c r="BR132" s="38"/>
      <c r="BS132" s="1" t="str">
        <f ca="1">IF(AND(BS84&lt;0,ABS(MIN(BS85:BS130))&gt;ABS(MAX(BS85:BS130))),IF(MIN(BS85:BS130)&lt;&gt;0,INDEX($A85:$A130,MATCH(MIN(BS85:BS130),BS85:BS130,0)),""),"")</f>
        <v/>
      </c>
      <c r="BT132" s="38"/>
      <c r="BU132" s="1">
        <f ca="1">IF(AND(BU84&lt;0,ABS(MIN(BU85:BU130))&gt;ABS(MAX(BU85:BU130))),IF(MIN(BU85:BU130)&lt;&gt;0,INDEX($A85:$A130,MATCH(MIN(BU85:BU130),BU85:BU130,0)),""),"")</f>
        <v>5700</v>
      </c>
      <c r="BV132" s="38"/>
      <c r="BW132" s="64" t="e">
        <f ca="1">INDEX(BX132:CB132,MATCH(MIN(BX84:CB84),BX84:CB84,0))</f>
        <v>#NUM!</v>
      </c>
      <c r="BX132" s="1" t="e">
        <f ca="1">IF(AND(BX84&lt;0,ABS(MIN(BX85:BX130))&gt;ABS(MAX(BX85:BX130))),IF(MIN(BX85:BX130)&lt;&gt;0,INDEX($A85:$A130,MATCH(MIN(BX85:BX130),BX85:BX130,0)),""),"")</f>
        <v>#NUM!</v>
      </c>
      <c r="BY132" s="38" t="e">
        <f ca="1">INDEX($A$85:$A$130,MATCH("Cruce -",BY85:BY130,)-1)</f>
        <v>#N/A</v>
      </c>
      <c r="BZ132" s="1" t="str">
        <f ca="1">IF(AND(BZ84&lt;0,ABS(MIN(BZ85:BZ130))&gt;ABS(MAX(BZ85:BZ130))),IF(MIN(BZ85:BZ130)&lt;&gt;0,INDEX($A85:$A130,MATCH(MIN(BZ85:BZ130),BZ85:BZ130,0)),""),"")</f>
        <v/>
      </c>
      <c r="CA132" s="38"/>
      <c r="CB132" s="1" t="str">
        <f ca="1">IF(AND(CB84&lt;0,ABS(MIN(CB85:CB130))&gt;ABS(MAX(CB85:CB130))),IF(MIN(CB85:CB130)&lt;&gt;0,INDEX($A85:$A130,MATCH(MIN(CB85:CB130),CB85:CB130,0)),""),"")</f>
        <v/>
      </c>
      <c r="CC132" s="38"/>
      <c r="CE132" s="38"/>
      <c r="CG132" s="38"/>
      <c r="CI132" s="38"/>
      <c r="CJ132" s="64">
        <f>INDEX(CK132:CO132,MATCH(MIN(CK84:CO84),CK84:CO84,0))</f>
        <v>5800</v>
      </c>
      <c r="CK132" s="1" t="str">
        <f>IF(AND(CK84&lt;0,ABS(MIN(CK85:CK130))&gt;ABS(MAX(CK85:CK130))),IF(MIN(CK85:CK130)&lt;&gt;0,INDEX($A85:$A130,MATCH(MIN(CK85:CK130),CK85:CK130,0)),""),"")</f>
        <v/>
      </c>
      <c r="CL132" s="38"/>
      <c r="CM132" s="1" t="str">
        <f>IF(AND(CM84&lt;0,ABS(MIN(CM85:CM130))&gt;ABS(MAX(CM85:CM130))),IF(MIN(CM85:CM130)&lt;&gt;0,INDEX($A85:$A130,MATCH(MIN(CM85:CM130),CM85:CM130,0)),""),"")</f>
        <v/>
      </c>
      <c r="CN132" s="38"/>
      <c r="CO132" s="1">
        <f>IF(AND(CO84&lt;0,ABS(MIN(CO85:CO130))&gt;ABS(MAX(CO85:CO130))),IF(MIN(CO85:CO130)&lt;&gt;0,INDEX($A85:$A130,MATCH(MIN(CO85:CO130),CO85:CO130,0)),""),"")</f>
        <v>5800</v>
      </c>
      <c r="CP132" s="38">
        <f>IF(ABS(MIN(CP85:CP130))&gt;ABS(MAX(CP85:CP130)),IF(MIN(CP85:CP130)&lt;&gt;0,INDEX($A85:$A130,MATCH(MIN(CP85:CP130),CP85:CP130,0)),""),"")</f>
        <v>5700</v>
      </c>
      <c r="CR132" s="38"/>
      <c r="CT132" s="38"/>
      <c r="CV132" s="38"/>
      <c r="CW132" s="38" t="e">
        <f ca="1">IF(ABS(MIN(CW85:CW130))&gt;ABS(MAX(CW85:CW130)),IF(MIN(CW85:CW130)&lt;&gt;0,INDEX($A85:$A130,MATCH(MIN(CW85:CW130),CW85:CW130,0)),""),"")</f>
        <v>#NUM!</v>
      </c>
      <c r="CY132" s="38" t="e">
        <f ca="1">IF(ABS(MIN(CY85:CY130))&gt;ABS(MAX(CY85:CY130)),IF(MIN(CY85:CY130)&lt;&gt;0,INDEX($A85:$A130,MATCH(MIN(CY85:CY130),CY85:CY130,0)),""),"")</f>
        <v>#NUM!</v>
      </c>
      <c r="DB132" s="38"/>
      <c r="DD132" s="38"/>
      <c r="DH132" s="1">
        <f t="shared" ref="DH132:DM132" si="534">IF(ABS(MIN(DH85:DH130))&gt;ABS(MAX(DH85:DH130)),IF(MIN(DH85:DH130)&lt;&gt;0,INDEX($A85:$A130,MATCH(MIN(DH85:DH130),DH85:DH130,0)),""),"")</f>
        <v>5630</v>
      </c>
      <c r="DI132" s="38" t="str">
        <f t="shared" si="534"/>
        <v/>
      </c>
      <c r="DJ132" s="89" t="str">
        <f>IF(AND(ABS(MIN(DJ85:DJ130))&gt;$DG$83,ABS(INDEX($DG$85:$DG$130,MATCH(MIN(DJ85:DJ130),DJ85:DJ130,0)))&lt;10,1),IF(MIN(DJ85:DJ130)&lt;&gt;0,INDEX($A85:$A130,MATCH(MIN(DJ85:DJ130),DJ85:DJ130,0)),""),"")</f>
        <v/>
      </c>
      <c r="DK132" s="89">
        <f>IF(AND(ABS(MIN(DK85:DK130))&gt;$DG$83,ABS(INDEX($DG$85:$DG$130,MATCH(MIN(DK85:DK130),DK85:DK130,0)))&lt;10,1),IF(MIN(DK85:DK130)&lt;&gt;0,INDEX($A85:$A130,MATCH(MIN(DK85:DK130),DK85:DK130,0)),""),"")</f>
        <v>5630</v>
      </c>
      <c r="DL132" s="1">
        <f t="shared" si="534"/>
        <v>5630</v>
      </c>
      <c r="DM132" s="1">
        <f t="shared" si="534"/>
        <v>5630</v>
      </c>
      <c r="DN132" s="64" t="str">
        <f ca="1">BI82&amp;","&amp;BI131&amp;","&amp;ED131&amp;","&amp;ED132</f>
        <v>5700,5480,5630,5620</v>
      </c>
      <c r="DP132" s="1" t="str">
        <f>IF(ABS(MIN(DP85:DP130))&gt;ABS(MAX(DP85:DP130)),IF(MIN(DP85:DP130)&lt;&gt;0,INDEX($A85:$A130,MATCH(MIN(DP85:DP130),DP85:DP130,0)),""),"")</f>
        <v/>
      </c>
      <c r="DQ132" s="38">
        <f>IF(ABS(MIN(DQ85:DQ130))&gt;ABS(MAX(DQ85:DQ130)),IF(MIN(DQ85:DQ130)&lt;&gt;0,INDEX($A85:$A130,MATCH(MIN(DQ85:DQ130),DQ85:DQ130,0)),""),"")</f>
        <v>5600</v>
      </c>
      <c r="DR132" s="1" t="e">
        <f ca="1">IF(ABS(MIN(DR85:DR130))&gt;ABS(MAX(DR85:DR130)),IF(MIN(DR85:DR130)&lt;&gt;0,INDEX($A85:$A130,MATCH(MIN(DR85:DR130),DR85:DR130,0)),""),"")</f>
        <v>#NUM!</v>
      </c>
      <c r="DS132" s="38">
        <f>IF(ABS(MIN(DS85:DS130))&gt;ABS(MAX(DS85:DS130)),IF(MIN(DS85:DS130)&lt;&gt;0,INDEX($A85:$A130,MATCH(MIN(DS85:DS130),DS85:DS130,0)),""),"")</f>
        <v>5630</v>
      </c>
      <c r="DW132" s="38"/>
      <c r="DY132" s="38"/>
      <c r="EA132" s="38"/>
      <c r="ED132" s="103">
        <f>IFERROR(IF(MIN(ED85:ED130)&lt;&gt;0,INDEX($A85:$A130,MATCH(MIN(ED85:ED130),ED85:ED130,0)),""),"")</f>
        <v>5620</v>
      </c>
      <c r="EF132" s="38"/>
      <c r="EH132" s="38"/>
      <c r="EM132" s="38"/>
      <c r="EO132" s="38"/>
      <c r="EU132" s="67">
        <v>562.29999999999995</v>
      </c>
      <c r="EV132" s="67" t="s">
        <v>1076</v>
      </c>
      <c r="EW132" s="67">
        <v>484.7</v>
      </c>
      <c r="EX132" s="67" t="s">
        <v>1077</v>
      </c>
      <c r="EY132" s="67">
        <v>5636.75</v>
      </c>
      <c r="EZ132" s="67" t="s">
        <v>1078</v>
      </c>
      <c r="FA132" s="67">
        <v>19909.5</v>
      </c>
      <c r="FB132" s="67" t="s">
        <v>1079</v>
      </c>
      <c r="FC132" s="67" t="s">
        <v>1080</v>
      </c>
      <c r="FD132" s="67" t="s">
        <v>1081</v>
      </c>
      <c r="FE132" s="68" t="s">
        <v>1082</v>
      </c>
      <c r="FF132" s="68" t="s">
        <v>1083</v>
      </c>
    </row>
    <row r="133" spans="1:162" ht="13.5" thickBot="1" x14ac:dyDescent="0.25">
      <c r="A133" s="49">
        <v>25</v>
      </c>
      <c r="D133" s="50">
        <f>+F136-100</f>
        <v>19996</v>
      </c>
      <c r="E133" s="82">
        <v>19900</v>
      </c>
      <c r="EU133" s="67">
        <v>562.35</v>
      </c>
      <c r="EV133" s="67" t="s">
        <v>1084</v>
      </c>
      <c r="EW133" s="67">
        <v>484.71</v>
      </c>
      <c r="EX133" s="67" t="s">
        <v>1085</v>
      </c>
      <c r="EY133" s="67">
        <v>5637</v>
      </c>
      <c r="EZ133" s="67" t="s">
        <v>1086</v>
      </c>
      <c r="FA133" s="67">
        <v>19911</v>
      </c>
      <c r="FB133" s="67" t="s">
        <v>1087</v>
      </c>
      <c r="FC133" s="67" t="s">
        <v>1088</v>
      </c>
      <c r="FD133" s="67" t="s">
        <v>1089</v>
      </c>
      <c r="FE133" s="68" t="s">
        <v>1090</v>
      </c>
      <c r="FF133" s="68" t="s">
        <v>1091</v>
      </c>
    </row>
    <row r="134" spans="1:162" ht="13.5" thickBot="1" x14ac:dyDescent="0.25">
      <c r="A134" s="20" t="s">
        <v>14</v>
      </c>
      <c r="B134" s="45" t="s">
        <v>58</v>
      </c>
      <c r="C134" s="45" t="s">
        <v>58</v>
      </c>
      <c r="D134" s="45" t="s">
        <v>14</v>
      </c>
      <c r="E134" s="20">
        <f>RTD("tos.rtd", ,"MARK", A135)</f>
        <v>19867.973000000002</v>
      </c>
      <c r="F134" s="20">
        <f>+[3]Sheet1!$AD$2</f>
        <v>5826.8235213891576</v>
      </c>
      <c r="AP134" s="1">
        <v>250507</v>
      </c>
      <c r="AS134" s="22" t="str">
        <f>+B135</f>
        <v>250507</v>
      </c>
      <c r="AT134" s="22"/>
      <c r="AU134" s="22" t="str">
        <f>+C135</f>
        <v>250509</v>
      </c>
      <c r="AV134" s="22"/>
      <c r="AW134" s="22" t="str">
        <f>+D135</f>
        <v>250516</v>
      </c>
      <c r="AX134" s="22"/>
      <c r="BA134" s="22" t="str">
        <f>+B135</f>
        <v>250507</v>
      </c>
      <c r="BB134" s="22"/>
      <c r="BC134" s="22" t="str">
        <f>+C135</f>
        <v>250509</v>
      </c>
      <c r="BD134" s="22"/>
      <c r="BE134" s="22" t="str">
        <f>+D135</f>
        <v>250516</v>
      </c>
      <c r="BF134" s="22"/>
      <c r="BG134" s="96"/>
      <c r="BH134" s="1">
        <f ca="1">MAX(BH137:BH189)</f>
        <v>1922</v>
      </c>
      <c r="BI134" s="1">
        <f ca="1">IFERROR(IF(MAX(BH137:BH189)&lt;&gt;0,INDEX(A137:A189,MATCH(MAX(BH137:BH189),BH137:BH189,0)),""),"")</f>
        <v>20000</v>
      </c>
      <c r="BJ134" s="22"/>
      <c r="BK134" s="22"/>
      <c r="BL134" s="22"/>
      <c r="BM134" s="22"/>
      <c r="BN134" s="22"/>
      <c r="BO134" s="22"/>
      <c r="BQ134" s="22" t="e">
        <f ca="1">IF(BR134&gt;BS134,IF(MAX(BQ137:BQ189)&lt;&gt;0,INDEX(A137:A189,MATCH(MAX(BQ137:BQ189),BQ137:BQ189,0)),A136),IF(MIN(BQ137:BQ189)&lt;&gt;0,INDEX(A137:A189,MATCH(MIN(BQ137:BQ189),BQ137:BQ189,0))))</f>
        <v>#NUM!</v>
      </c>
      <c r="BR134" s="22" t="e">
        <f ca="1">+MAX(BQ137:BQ189)</f>
        <v>#NUM!</v>
      </c>
      <c r="BS134" s="22" t="e">
        <f ca="1">ABS(MIN(BQ137:BQ189))</f>
        <v>#NUM!</v>
      </c>
      <c r="BT134" s="22"/>
      <c r="BU134" s="22"/>
      <c r="BV134" s="22"/>
      <c r="BX134" s="22" t="e">
        <f ca="1">IF(BY134&gt;BZ134,IF(MAX(BX137:BX189)&lt;&gt;0,INDEX(G137:G189,MATCH(MAX(BX137:BX189),BX137:BX189,0)),G136),IF(MIN(BX137:BX189)&lt;&gt;0,INDEX(G137:G189,MATCH(MIN(BX137:BX189),BX137:BX189,0))))</f>
        <v>#NUM!</v>
      </c>
      <c r="BY134" s="22" t="e">
        <f ca="1">+MAX(BX137:BX189)</f>
        <v>#NUM!</v>
      </c>
      <c r="BZ134" s="22" t="e">
        <f ca="1">ABS(MIN(BX137:BX189))</f>
        <v>#NUM!</v>
      </c>
      <c r="CA134" s="22"/>
      <c r="CB134" s="22"/>
      <c r="CC134" s="22" t="e">
        <f ca="1">+AVERAGE(BY190:BY191,CA190:CA191,CC190:CC191)</f>
        <v>#N/A</v>
      </c>
      <c r="CD134" s="22"/>
      <c r="CE134" s="22"/>
      <c r="CF134" s="22"/>
      <c r="CG134" s="22"/>
      <c r="CH134" s="22"/>
      <c r="CI134" s="22"/>
      <c r="CK134" s="22">
        <f>IF(CL134&gt;CM134,IF(MAX(CK137:CK189)&lt;&gt;0,INDEX(N137:N189,MATCH(MAX(CK137:CK189),CK137:CK189,0)),N136),IF(MIN(CK137:CK189)&lt;&gt;0,INDEX(N137:N189,MATCH(MIN(CK137:CK189),CK137:CK189,0))))</f>
        <v>0</v>
      </c>
      <c r="CL134" s="22">
        <f>+MAX(CK137:CK189)</f>
        <v>4900</v>
      </c>
      <c r="CM134" s="22">
        <f>ABS(MIN(CK137:CK189))</f>
        <v>6435</v>
      </c>
      <c r="CN134" s="22"/>
      <c r="CO134" s="22"/>
      <c r="CP134" s="22"/>
      <c r="CQ134" s="22">
        <f>IF(CR134&gt;CS134,IF(MAX(CQ137:CQ189)&lt;&gt;0,INDEX(G137:G189,MATCH(MAX(CQ137:CQ189),CQ137:CQ189,0)),G136),IF(MIN(CQ137:CQ189)&lt;&gt;0,INDEX(G137:G189,MATCH(MIN(CQ137:CQ189),CQ137:CQ189,0))))</f>
        <v>474.15745431101601</v>
      </c>
      <c r="CR134" s="22">
        <f>+MAX(CQ137:CQ189)</f>
        <v>1853</v>
      </c>
      <c r="CS134" s="22">
        <f>ABS(MIN(CQ137:CQ189))</f>
        <v>2810</v>
      </c>
      <c r="CT134" s="22"/>
      <c r="CU134" s="22"/>
      <c r="CV134" s="22"/>
      <c r="CW134" s="22" t="e">
        <f ca="1">IF(CX134&gt;CY134,IF(MAX(CW137:CW189)&lt;&gt;0,INDEX(M137:M189,MATCH(MAX(CW137:CW189),CW137:CW189,0)),M136),IF(MIN(CW137:CW189)&lt;&gt;0,INDEX(M137:M189,MATCH(MIN(CW137:CW189),CW137:CW189,0))))</f>
        <v>#NUM!</v>
      </c>
      <c r="CX134" s="61" t="e">
        <f ca="1">+MAX(CW137:CW189)</f>
        <v>#NUM!</v>
      </c>
      <c r="CY134" s="22" t="e">
        <f ca="1">ABS(MIN(CW137:CW189))</f>
        <v>#NUM!</v>
      </c>
      <c r="DA134" s="22"/>
      <c r="DB134" s="22"/>
      <c r="DC134" s="22"/>
      <c r="DD134" s="22"/>
      <c r="DE134" s="22"/>
      <c r="DF134" s="22"/>
      <c r="DH134" s="22"/>
      <c r="DI134" s="22"/>
      <c r="DJ134" s="22"/>
      <c r="DK134" s="22"/>
      <c r="DL134" s="22"/>
      <c r="DM134" s="22"/>
      <c r="DP134" s="22"/>
      <c r="DQ134" s="22"/>
      <c r="DR134" s="22"/>
      <c r="DS134" s="22"/>
      <c r="DT134" s="22"/>
      <c r="DU134" s="22"/>
      <c r="DV134" s="22"/>
      <c r="DW134" s="22"/>
      <c r="DX134" s="22"/>
      <c r="DY134" s="22"/>
      <c r="DZ134" s="22"/>
      <c r="EA134" s="22"/>
      <c r="EB134" s="22"/>
      <c r="EC134" s="22"/>
      <c r="EE134" s="22"/>
      <c r="EF134" s="22"/>
      <c r="EG134" s="22"/>
      <c r="EH134" s="22"/>
      <c r="EI134" s="22"/>
      <c r="EJ134" s="22"/>
      <c r="EL134" s="22"/>
      <c r="EM134" s="22"/>
      <c r="EN134" s="22"/>
      <c r="EO134" s="22"/>
      <c r="EP134" s="22"/>
      <c r="EQ134" s="22"/>
      <c r="EU134" s="67">
        <v>562.35</v>
      </c>
      <c r="EV134" s="67" t="s">
        <v>1092</v>
      </c>
      <c r="EW134" s="67">
        <v>484.73</v>
      </c>
      <c r="EX134" s="67" t="s">
        <v>1093</v>
      </c>
      <c r="EY134" s="67">
        <v>5636.75</v>
      </c>
      <c r="EZ134" s="67" t="s">
        <v>1094</v>
      </c>
      <c r="FA134" s="67">
        <v>19911.25</v>
      </c>
      <c r="FB134" s="67" t="s">
        <v>1095</v>
      </c>
      <c r="FC134" s="67" t="s">
        <v>1096</v>
      </c>
      <c r="FD134" s="67" t="s">
        <v>1097</v>
      </c>
      <c r="FE134" s="68" t="s">
        <v>1098</v>
      </c>
      <c r="FF134" s="68" t="s">
        <v>1099</v>
      </c>
    </row>
    <row r="135" spans="1:162" ht="13.5" thickBot="1" x14ac:dyDescent="0.25">
      <c r="A135" s="45" t="s">
        <v>14</v>
      </c>
      <c r="B135" s="45" t="str">
        <f>+B83</f>
        <v>250507</v>
      </c>
      <c r="C135" s="45" t="str">
        <f>+C83</f>
        <v>250509</v>
      </c>
      <c r="D135" s="45" t="str">
        <f>+D83</f>
        <v>250516</v>
      </c>
      <c r="E135" s="45"/>
      <c r="F135" s="18" t="s">
        <v>3</v>
      </c>
      <c r="G135" s="22" t="s">
        <v>2</v>
      </c>
      <c r="AP135" s="1" t="s">
        <v>7</v>
      </c>
      <c r="AQ135" s="1" t="s">
        <v>7</v>
      </c>
      <c r="AS135" s="22" t="s">
        <v>1</v>
      </c>
      <c r="AT135" s="22" t="s">
        <v>1</v>
      </c>
      <c r="AU135" s="22" t="s">
        <v>1</v>
      </c>
      <c r="AV135" s="22" t="s">
        <v>1</v>
      </c>
      <c r="AW135" s="22" t="s">
        <v>1</v>
      </c>
      <c r="AX135" s="25" t="s">
        <v>1</v>
      </c>
      <c r="BA135" s="22" t="s">
        <v>7</v>
      </c>
      <c r="BB135" s="22" t="s">
        <v>7</v>
      </c>
      <c r="BC135" s="22" t="s">
        <v>7</v>
      </c>
      <c r="BD135" s="22" t="s">
        <v>7</v>
      </c>
      <c r="BE135" s="22" t="s">
        <v>7</v>
      </c>
      <c r="BF135" s="25" t="s">
        <v>7</v>
      </c>
      <c r="BG135" s="96"/>
      <c r="BH135" s="1" t="s">
        <v>12</v>
      </c>
      <c r="BJ135" s="22" t="str">
        <f>+BJ83</f>
        <v>GAMMA</v>
      </c>
      <c r="BK135" s="22" t="str">
        <f>+BJ135</f>
        <v>GAMMA</v>
      </c>
      <c r="BL135" s="22" t="str">
        <f>+BK135</f>
        <v>GAMMA</v>
      </c>
      <c r="BM135" s="22" t="str">
        <f>+BL135</f>
        <v>GAMMA</v>
      </c>
      <c r="BN135" s="22" t="str">
        <f>+BM135</f>
        <v>GAMMA</v>
      </c>
      <c r="BO135" s="25" t="str">
        <f>+BN135</f>
        <v>GAMMA</v>
      </c>
      <c r="BQ135" s="22" t="s">
        <v>11</v>
      </c>
      <c r="BR135" s="22"/>
      <c r="BS135" s="22" t="s">
        <v>11</v>
      </c>
      <c r="BT135" s="22"/>
      <c r="BU135" s="22" t="s">
        <v>11</v>
      </c>
      <c r="BV135" s="25"/>
      <c r="BX135" s="22" t="s">
        <v>11</v>
      </c>
      <c r="BY135" s="22"/>
      <c r="BZ135" s="22" t="s">
        <v>11</v>
      </c>
      <c r="CA135" s="22"/>
      <c r="CB135" s="22" t="s">
        <v>11</v>
      </c>
      <c r="CC135" s="25"/>
      <c r="CD135" s="22" t="str">
        <f>+CD83</f>
        <v>DELTA</v>
      </c>
      <c r="CE135" s="22" t="str">
        <f>+CD135</f>
        <v>DELTA</v>
      </c>
      <c r="CF135" s="22" t="str">
        <f>+CE135</f>
        <v>DELTA</v>
      </c>
      <c r="CG135" s="22" t="str">
        <f>+CF135</f>
        <v>DELTA</v>
      </c>
      <c r="CH135" s="22" t="str">
        <f>+CG135</f>
        <v>DELTA</v>
      </c>
      <c r="CI135" s="25" t="str">
        <f>+CH135</f>
        <v>DELTA</v>
      </c>
      <c r="CK135" s="22" t="s">
        <v>20</v>
      </c>
      <c r="CL135" s="22"/>
      <c r="CM135" s="22" t="s">
        <v>20</v>
      </c>
      <c r="CN135" s="22"/>
      <c r="CO135" s="22" t="s">
        <v>20</v>
      </c>
      <c r="CP135" s="25"/>
      <c r="CQ135" s="22" t="s">
        <v>16</v>
      </c>
      <c r="CR135" s="22"/>
      <c r="CS135" s="22" t="s">
        <v>16</v>
      </c>
      <c r="CT135" s="22"/>
      <c r="CU135" s="22" t="s">
        <v>16</v>
      </c>
      <c r="CV135" s="25"/>
      <c r="CW135" s="25" t="s">
        <v>11</v>
      </c>
      <c r="CX135" s="60"/>
      <c r="CY135" s="25" t="s">
        <v>11</v>
      </c>
      <c r="DA135" s="22" t="s">
        <v>25</v>
      </c>
      <c r="DB135" s="22" t="s">
        <v>25</v>
      </c>
      <c r="DC135" s="22" t="s">
        <v>27</v>
      </c>
      <c r="DD135" s="22" t="s">
        <v>27</v>
      </c>
      <c r="DE135" s="22" t="s">
        <v>26</v>
      </c>
      <c r="DF135" s="22" t="s">
        <v>26</v>
      </c>
      <c r="DG135" s="64">
        <v>50</v>
      </c>
      <c r="DH135" s="22"/>
      <c r="DI135" s="22"/>
      <c r="DJ135" s="22"/>
      <c r="DK135" s="22"/>
      <c r="DL135" s="22"/>
      <c r="DM135" s="22"/>
      <c r="DN135" s="60"/>
      <c r="DP135" s="22"/>
      <c r="DQ135" s="22"/>
      <c r="DR135" s="22"/>
      <c r="DS135" s="22"/>
      <c r="DT135" s="22"/>
      <c r="DU135" s="22"/>
      <c r="DV135" s="22"/>
      <c r="DW135" s="22"/>
      <c r="DX135" s="22"/>
      <c r="DY135" s="22"/>
      <c r="DZ135" s="22"/>
      <c r="EA135" s="22"/>
      <c r="EB135" s="22"/>
      <c r="EC135" s="22"/>
      <c r="EE135" s="22" t="str">
        <f>+EE83</f>
        <v>IMPL_VOL</v>
      </c>
      <c r="EF135" s="22" t="str">
        <f>+EE135</f>
        <v>IMPL_VOL</v>
      </c>
      <c r="EG135" s="22" t="str">
        <f>+EF135</f>
        <v>IMPL_VOL</v>
      </c>
      <c r="EH135" s="22" t="str">
        <f>+EG135</f>
        <v>IMPL_VOL</v>
      </c>
      <c r="EI135" s="22" t="str">
        <f>+EH135</f>
        <v>IMPL_VOL</v>
      </c>
      <c r="EJ135" s="22" t="str">
        <f>+EI135</f>
        <v>IMPL_VOL</v>
      </c>
      <c r="EL135" s="22" t="str">
        <f>+EL83</f>
        <v>IMPL_VOL</v>
      </c>
      <c r="EM135" s="22" t="str">
        <f>+EL135</f>
        <v>IMPL_VOL</v>
      </c>
      <c r="EN135" s="22" t="str">
        <f>+EM135</f>
        <v>IMPL_VOL</v>
      </c>
      <c r="EO135" s="22" t="str">
        <f>+EN135</f>
        <v>IMPL_VOL</v>
      </c>
      <c r="EP135" s="22" t="str">
        <f>+EO135</f>
        <v>IMPL_VOL</v>
      </c>
      <c r="EQ135" s="22" t="str">
        <f>+EP135</f>
        <v>IMPL_VOL</v>
      </c>
      <c r="EU135" s="67">
        <v>562.23</v>
      </c>
      <c r="EV135" s="67" t="s">
        <v>1100</v>
      </c>
      <c r="EW135" s="67">
        <v>484.66</v>
      </c>
      <c r="EX135" s="67" t="s">
        <v>1101</v>
      </c>
      <c r="EY135" s="67">
        <v>5636.5</v>
      </c>
      <c r="EZ135" s="67" t="s">
        <v>1102</v>
      </c>
      <c r="FA135" s="67">
        <v>19909.25</v>
      </c>
      <c r="FB135" s="67" t="s">
        <v>1103</v>
      </c>
      <c r="FC135" s="67" t="s">
        <v>1104</v>
      </c>
      <c r="FD135" s="67" t="s">
        <v>1105</v>
      </c>
      <c r="FE135" s="68" t="s">
        <v>1106</v>
      </c>
      <c r="FF135" s="68" t="s">
        <v>1107</v>
      </c>
    </row>
    <row r="136" spans="1:162" ht="13.5" thickBot="1" x14ac:dyDescent="0.25">
      <c r="A136" s="46">
        <f>+E134</f>
        <v>19867.973000000002</v>
      </c>
      <c r="B136" s="27">
        <f>+AS136/AT136</f>
        <v>-0.59250585480093676</v>
      </c>
      <c r="C136" s="27">
        <f>+AU136/AV136</f>
        <v>-1.5924170616113744</v>
      </c>
      <c r="D136" s="27">
        <f>+AW136/AX136</f>
        <v>-1.5753532182103611</v>
      </c>
      <c r="E136" s="28">
        <v>0</v>
      </c>
      <c r="F136" s="47">
        <f>RTD("tos.rtd", ,"MARK", F135)</f>
        <v>20096</v>
      </c>
      <c r="G136" s="58">
        <f>RTD("tos.rtd", ,"MARK", G135)</f>
        <v>486.85</v>
      </c>
      <c r="AO136" s="1">
        <v>0</v>
      </c>
      <c r="AP136" s="1">
        <v>9332</v>
      </c>
      <c r="AQ136" s="1">
        <v>-10677</v>
      </c>
      <c r="AS136" s="13">
        <f t="shared" ref="AS136:AX136" si="535">SUM(AS137:AS189)</f>
        <v>759</v>
      </c>
      <c r="AT136" s="29">
        <f t="shared" si="535"/>
        <v>-1281</v>
      </c>
      <c r="AU136" s="13">
        <f t="shared" si="535"/>
        <v>672</v>
      </c>
      <c r="AV136" s="29">
        <f t="shared" si="535"/>
        <v>-422</v>
      </c>
      <c r="AW136" s="13">
        <f t="shared" si="535"/>
        <v>2007</v>
      </c>
      <c r="AX136" s="29">
        <f t="shared" si="535"/>
        <v>-1274</v>
      </c>
      <c r="AY136" s="29">
        <f>SUM(AY137:AY189)</f>
        <v>461</v>
      </c>
      <c r="AZ136" s="1">
        <v>0</v>
      </c>
      <c r="BA136" s="13">
        <f t="shared" ref="BA136:BF136" si="536">SUM(BA137:BA189)</f>
        <v>9332</v>
      </c>
      <c r="BB136" s="29">
        <f t="shared" si="536"/>
        <v>-10677</v>
      </c>
      <c r="BC136" s="13">
        <f t="shared" si="536"/>
        <v>573</v>
      </c>
      <c r="BD136" s="29">
        <f t="shared" si="536"/>
        <v>-194</v>
      </c>
      <c r="BE136" s="13">
        <f t="shared" si="536"/>
        <v>290</v>
      </c>
      <c r="BF136" s="29">
        <f t="shared" si="536"/>
        <v>-287</v>
      </c>
      <c r="BG136" s="29"/>
      <c r="BH136" s="29">
        <f ca="1">SUM(BH137:BH189)</f>
        <v>-854</v>
      </c>
      <c r="BJ136" s="30" t="e">
        <f t="shared" ref="BJ136:BO136" ca="1" si="537">SUM(BJ137:BJ189)</f>
        <v>#NUM!</v>
      </c>
      <c r="BK136" s="31" t="e">
        <f t="shared" ca="1" si="537"/>
        <v>#NUM!</v>
      </c>
      <c r="BL136" s="30">
        <f t="shared" ca="1" si="537"/>
        <v>3.1698897329541079E-2</v>
      </c>
      <c r="BM136" s="31">
        <f t="shared" ca="1" si="537"/>
        <v>-3.549318583498199E-2</v>
      </c>
      <c r="BN136" s="30">
        <f t="shared" ca="1" si="537"/>
        <v>3.5703413093803989E-2</v>
      </c>
      <c r="BO136" s="31">
        <f t="shared" ca="1" si="537"/>
        <v>-3.6448353976148019E-2</v>
      </c>
      <c r="BQ136" s="30" t="e">
        <f ca="1">SUM(BQ137:BQ189)</f>
        <v>#NUM!</v>
      </c>
      <c r="BR136" s="31"/>
      <c r="BS136" s="30">
        <f ca="1">SUM(BS137:BS189)</f>
        <v>5658934.1023846827</v>
      </c>
      <c r="BT136" s="31"/>
      <c r="BU136" s="30">
        <f ca="1">SUM(BU137:BU189)</f>
        <v>17209789.208092242</v>
      </c>
      <c r="BV136" s="31"/>
      <c r="BX136" s="30" t="e">
        <f ca="1">SUM(BX137:BX189)</f>
        <v>#NUM!</v>
      </c>
      <c r="BY136" s="31"/>
      <c r="BZ136" s="30">
        <f ca="1">SUM(BZ137:BZ189)</f>
        <v>55800.106233134153</v>
      </c>
      <c r="CA136" s="31"/>
      <c r="CB136" s="30">
        <f ca="1">SUM(CB137:CB189)</f>
        <v>5757.551210336037</v>
      </c>
      <c r="CC136" s="31"/>
      <c r="CD136" s="30">
        <f t="shared" ref="CD136:CI136" si="538">SUM(CD154:CD188)</f>
        <v>28.56</v>
      </c>
      <c r="CE136" s="31">
        <f t="shared" si="538"/>
        <v>7.629999999999999</v>
      </c>
      <c r="CF136" s="30">
        <f t="shared" si="538"/>
        <v>23.8</v>
      </c>
      <c r="CG136" s="31">
        <f t="shared" si="538"/>
        <v>10.15</v>
      </c>
      <c r="CH136" s="30">
        <f t="shared" si="538"/>
        <v>22.300000000000004</v>
      </c>
      <c r="CI136" s="31">
        <f t="shared" si="538"/>
        <v>12.47</v>
      </c>
      <c r="CK136" s="30">
        <f>SUM(CK137:CK188)</f>
        <v>12043</v>
      </c>
      <c r="CL136" s="31"/>
      <c r="CM136" s="30">
        <f>SUM(CM137:CM188)</f>
        <v>20565</v>
      </c>
      <c r="CN136" s="31"/>
      <c r="CO136" s="30">
        <f>SUM(CO137:CO188)</f>
        <v>51999</v>
      </c>
      <c r="CP136" s="31">
        <f t="shared" ref="CP136:CP189" si="539">+CK136+CM136+CO136</f>
        <v>84607</v>
      </c>
      <c r="CQ136" s="30">
        <f>SUM(CQ137:CQ189)</f>
        <v>-1345</v>
      </c>
      <c r="CR136" s="31"/>
      <c r="CS136" s="30">
        <f>SUM(CS137:CS189)</f>
        <v>379</v>
      </c>
      <c r="CT136" s="31"/>
      <c r="CU136" s="30">
        <f>SUM(CU137:CU189)</f>
        <v>3</v>
      </c>
      <c r="CV136" s="31"/>
      <c r="CW136" s="31" t="e">
        <f ca="1">SUM(CW137:CW189)</f>
        <v>#NUM!</v>
      </c>
      <c r="CY136" s="31" t="e">
        <f ca="1">SUM(CY137:CY189)</f>
        <v>#NUM!</v>
      </c>
      <c r="DA136" s="30">
        <f t="shared" ref="DA136:DB136" si="540">SUM(DA137:DA189)</f>
        <v>7221.5</v>
      </c>
      <c r="DB136" s="31">
        <f t="shared" si="540"/>
        <v>2763.6500000000015</v>
      </c>
      <c r="DC136" s="30">
        <f t="shared" ref="DC136:DF136" si="541">SUM(DC137:DC189)</f>
        <v>11593.55</v>
      </c>
      <c r="DD136" s="31">
        <f t="shared" si="541"/>
        <v>7980.8500000000022</v>
      </c>
      <c r="DE136" s="30">
        <f t="shared" si="541"/>
        <v>9917.75</v>
      </c>
      <c r="DF136" s="30">
        <f t="shared" si="541"/>
        <v>6593.8499999999995</v>
      </c>
      <c r="DH136" s="30">
        <f t="shared" ref="DH136:DM136" si="542">SUM(DH137:DH189)</f>
        <v>0</v>
      </c>
      <c r="DI136" s="31">
        <f t="shared" si="542"/>
        <v>0</v>
      </c>
      <c r="DJ136" s="30">
        <f t="shared" si="542"/>
        <v>0</v>
      </c>
      <c r="DK136" s="31">
        <f t="shared" si="542"/>
        <v>0</v>
      </c>
      <c r="DL136" s="30">
        <f t="shared" si="542"/>
        <v>0</v>
      </c>
      <c r="DM136" s="30">
        <f t="shared" si="542"/>
        <v>0</v>
      </c>
      <c r="DP136" s="30">
        <f>SUM(DP137:DP189)</f>
        <v>0</v>
      </c>
      <c r="DQ136" s="31">
        <f>SUM(DQ137:DQ189)</f>
        <v>0</v>
      </c>
      <c r="DR136" s="30" t="e">
        <f ca="1">SUM(DR137:DR189)</f>
        <v>#NUM!</v>
      </c>
      <c r="DS136" s="31">
        <f>SUM(DS137:DS189)</f>
        <v>0</v>
      </c>
      <c r="DT136" s="30"/>
      <c r="DU136" s="30"/>
      <c r="DV136" s="30"/>
      <c r="DW136" s="31"/>
      <c r="DX136" s="30"/>
      <c r="DY136" s="31"/>
      <c r="DZ136" s="30"/>
      <c r="EA136" s="31"/>
      <c r="EB136" s="30"/>
      <c r="EC136" s="30"/>
      <c r="EE136" s="30">
        <f t="shared" ref="EE136:EJ136" si="543">SUM(EE137:EE189)</f>
        <v>39.981099999999998</v>
      </c>
      <c r="EF136" s="31">
        <f t="shared" si="543"/>
        <v>64.044399999999996</v>
      </c>
      <c r="EG136" s="30">
        <f t="shared" si="543"/>
        <v>17.998699999999999</v>
      </c>
      <c r="EH136" s="31">
        <f t="shared" si="543"/>
        <v>14.358700000000001</v>
      </c>
      <c r="EI136" s="30">
        <f t="shared" si="543"/>
        <v>13.597199999999994</v>
      </c>
      <c r="EJ136" s="30">
        <f t="shared" si="543"/>
        <v>12.762</v>
      </c>
      <c r="EL136" s="30">
        <f t="shared" ref="EL136:EQ136" si="544">SUM(EL137:EL189)</f>
        <v>0</v>
      </c>
      <c r="EM136" s="31">
        <f t="shared" si="544"/>
        <v>0</v>
      </c>
      <c r="EN136" s="30">
        <f t="shared" si="544"/>
        <v>0</v>
      </c>
      <c r="EO136" s="31">
        <f t="shared" si="544"/>
        <v>0</v>
      </c>
      <c r="EP136" s="30">
        <f t="shared" si="544"/>
        <v>0</v>
      </c>
      <c r="EQ136" s="30">
        <f t="shared" si="544"/>
        <v>0</v>
      </c>
      <c r="EU136" s="67">
        <v>562.28</v>
      </c>
      <c r="EV136" s="67" t="s">
        <v>1108</v>
      </c>
      <c r="EW136" s="67">
        <v>484.71</v>
      </c>
      <c r="EX136" s="67" t="s">
        <v>1109</v>
      </c>
      <c r="EY136" s="67">
        <v>5636.5</v>
      </c>
      <c r="EZ136" s="67" t="s">
        <v>1110</v>
      </c>
      <c r="FA136" s="67">
        <v>19910</v>
      </c>
      <c r="FB136" s="67" t="s">
        <v>1111</v>
      </c>
      <c r="FC136" s="67" t="s">
        <v>1112</v>
      </c>
      <c r="FD136" s="67" t="s">
        <v>1113</v>
      </c>
      <c r="FE136" s="68" t="s">
        <v>1114</v>
      </c>
      <c r="FF136" s="68" t="s">
        <v>1115</v>
      </c>
    </row>
    <row r="137" spans="1:162" ht="11.1" customHeight="1" thickBot="1" x14ac:dyDescent="0.25">
      <c r="A137" s="2">
        <f>ROUND(E133/A133,0)*A133+22*A133</f>
        <v>20450</v>
      </c>
      <c r="B137" s="3">
        <f>+IF($A$1="ABS",AS137-AT137,AS137+AT137)</f>
        <v>3</v>
      </c>
      <c r="C137" s="3">
        <f>+IF($A$1="ABS",AU137-AV137,AU137+AV137)</f>
        <v>10</v>
      </c>
      <c r="D137" s="3">
        <f>+IF($A$1="ABS",AW137-AX137,AW137+AX137)</f>
        <v>21</v>
      </c>
      <c r="E137" s="3">
        <f>SUM(B137:D137)</f>
        <v>34</v>
      </c>
      <c r="F137" s="4">
        <f>+$F$136/$A$136*A137</f>
        <v>20684.706990491683</v>
      </c>
      <c r="G137" s="5">
        <f>+$G$136/$A$136*A137</f>
        <v>501.11214163619007</v>
      </c>
      <c r="AM137" s="1">
        <v>-58</v>
      </c>
      <c r="AN137" s="1">
        <v>0</v>
      </c>
      <c r="AO137" s="1">
        <v>20450</v>
      </c>
      <c r="AP137" s="1">
        <v>130</v>
      </c>
      <c r="AQ137" s="1">
        <v>0</v>
      </c>
      <c r="AS137" s="73">
        <f>IF(RTD("tos.rtd",,AS$83,"."&amp;$B$134&amp;$AS$82&amp;"C"&amp;$A137)="N/A",0,RTD("tos.rtd",,AS$83,"."&amp;$B$134&amp;$AS$82&amp;"C"&amp;$A137))</f>
        <v>3</v>
      </c>
      <c r="AT137" s="28">
        <f>-IF(RTD("tos.rtd",,AT$83,"."&amp;$B$134&amp;$AS$82&amp;"P"&amp;$A137)="N/A",0,RTD("tos.rtd",,AT$83,"."&amp;$B$134&amp;$AS$82&amp;"P"&amp;$A137))</f>
        <v>0</v>
      </c>
      <c r="AU137" s="73">
        <f>IF(RTD("tos.rtd",,AU$2,"."&amp;$C$134&amp;$AU$134&amp;"C"&amp;$A137)="N/A",0,RTD("tos.rtd",,AU$2,"."&amp;$C$134&amp;$AU$134&amp;"C"&amp;$A137))</f>
        <v>8</v>
      </c>
      <c r="AV137" s="28">
        <f>-IF(RTD("tos.rtd",,AV$2,"."&amp;$C$134&amp;$AU$134&amp;"P"&amp;$A137)="N/A",0,RTD("tos.rtd",,AV$2,"."&amp;$C$134&amp;$AU$134&amp;"P"&amp;$A137))</f>
        <v>-2</v>
      </c>
      <c r="AW137" s="73">
        <f>IF(RTD("tos.rtd",,AW$2,"."&amp;$D$134&amp;$AW$134&amp;"C"&amp;$A137)="N/A",0,RTD("tos.rtd",,AW$2,"."&amp;$D$134&amp;$AW$134&amp;"C"&amp;$A137))</f>
        <v>16</v>
      </c>
      <c r="AX137" s="28">
        <f>-IF(RTD("tos.rtd",,AX$2,"."&amp;$D$134&amp;$AW$134&amp;"P"&amp;$A137)="N/A",0,RTD("tos.rtd",,AX$2,"."&amp;$D$134&amp;$AW$134&amp;"P"&amp;$A137))</f>
        <v>-5</v>
      </c>
      <c r="AY137" s="75">
        <f>SUM(AS137:AX137)</f>
        <v>20</v>
      </c>
      <c r="AZ137" s="8">
        <f t="shared" ref="AZ137:AZ189" si="545">+A137</f>
        <v>20450</v>
      </c>
      <c r="BA137" s="73">
        <f>IF(RTD("tos.rtd",,BA$43,"."&amp;$B$134&amp;$AS$82&amp;"C"&amp;$A137)="N/A",0,RTD("tos.rtd",,BA$43,"."&amp;$B$134&amp;$AS$82&amp;"C"&amp;$A137))</f>
        <v>130</v>
      </c>
      <c r="BB137" s="28">
        <f>-IF(RTD("tos.rtd",,BB$43,"."&amp;$B$134&amp;$AS$82&amp;"P"&amp;$A137)="N/A",0,RTD("tos.rtd",,BB$43,"."&amp;$B$134&amp;$AS$82&amp;"P"&amp;$A137))</f>
        <v>0</v>
      </c>
      <c r="BC137" s="73">
        <f>IF(RTD("tos.rtd",,BC$2,"."&amp;$C$134&amp;$AU$82&amp;"C"&amp;$A137)="N/A",0,RTD("tos.rtd",,BC$2,"."&amp;$C$134&amp;$AU$82&amp;"C"&amp;$A137))</f>
        <v>66</v>
      </c>
      <c r="BD137" s="28">
        <f>-IF(RTD("tos.rtd",,BD$2,"."&amp;$C$134&amp;$AU$82&amp;"P"&amp;$A137)="N/A",0,RTD("tos.rtd",,BD$2,"."&amp;$C$134&amp;$AU$82&amp;"P"&amp;$A137))</f>
        <v>0</v>
      </c>
      <c r="BE137" s="73">
        <f>IF(RTD("tos.rtd",,BE$2,"."&amp;$D$134&amp;$AW$82&amp;"C"&amp;$A137)="N/A",0,RTD("tos.rtd",,BE$2,"."&amp;$D$134&amp;$AW$82&amp;"C"&amp;$A137))</f>
        <v>0</v>
      </c>
      <c r="BF137" s="28">
        <f>-IF(RTD("tos.rtd",,BF$2,"."&amp;$D$134&amp;$AW$82&amp;"P"&amp;$A137)="N/A",0,RTD("tos.rtd",,BF$2,"."&amp;$D$134&amp;$AW$82&amp;"P"&amp;$A137))</f>
        <v>0</v>
      </c>
      <c r="BG137" s="28">
        <f ca="1">+Hoja2!Y138</f>
        <v>3</v>
      </c>
      <c r="BH137" s="31">
        <f t="shared" ref="BH137:BH189" ca="1" si="546">SUM(BA137:BG137)</f>
        <v>199</v>
      </c>
      <c r="BJ137" s="3" t="e">
        <f ca="1">IF($BP$1=1,DX137,IF(RTD("tos.rtd",,BJ$43,"."&amp;$B$134&amp;$AS$82&amp;"C"&amp;$A137)="N/A",0,RTD("tos.rtd",,BJ$43,"."&amp;$B$134&amp;$AS$82&amp;"C"&amp;$A137)))</f>
        <v>#NUM!</v>
      </c>
      <c r="BK137" s="3" t="e">
        <f ca="1">IF($BP$1=1,DY137,-IF(RTD("tos.rtd",,BK$43,"."&amp;$B$134&amp;$AS$82&amp;"P"&amp;$A137)="N/A",0,RTD("tos.rtd",,BK$43,"."&amp;$B$134&amp;$AS$82&amp;"P"&amp;$A137)))</f>
        <v>#NUM!</v>
      </c>
      <c r="BL137" s="3">
        <f ca="1">IF($BP$1=1,DZ137,IF(RTD("tos.rtd",,BL$2,"."&amp;$C$134&amp;$AU$82&amp;"C"&amp;$A137)="N/A",0,RTD("tos.rtd",,BL$2,"."&amp;$C$134&amp;$AU$82&amp;"C"&amp;$A137)))</f>
        <v>4.0476077106863694E-4</v>
      </c>
      <c r="BM137" s="3">
        <f ca="1">IF($BP$1=1,EA137,-IF(RTD("tos.rtd",,BM$2,"."&amp;$C$134&amp;$AU$82&amp;"P"&amp;$A137)="N/A",0,RTD("tos.rtd",,BM$2,"."&amp;$C$134&amp;$AU$82&amp;"P"&amp;$A137)))</f>
        <v>-3.7401793821539809E-4</v>
      </c>
      <c r="BN137" s="3">
        <f ca="1">IF($BP$1=1,EB137,IF(RTD("tos.rtd",,BN$2,"."&amp;$D$134&amp;$AW$82&amp;"C"&amp;$A137)="N/A",0,RTD("tos.rtd",,BN$2,"."&amp;$D$134&amp;$AW$82&amp;"C"&amp;$A137)))</f>
        <v>3.2738707232159723E-4</v>
      </c>
      <c r="BO137" s="3">
        <f ca="1">IF($BP$1=1,EC137,-IF(RTD("tos.rtd",,BO$2,"."&amp;$D$134&amp;$AW$82&amp;"P"&amp;$A137)="N/A",0,RTD("tos.rtd",,BO$2,"."&amp;$D$134&amp;$AW$82&amp;"P"&amp;$A137)))</f>
        <v>-2.7660800252030077E-4</v>
      </c>
      <c r="BQ137" s="3" t="e">
        <f ca="1">+$A$84*$A$84*AS137*BJ137-$A$84*$A$84*AT137*BK137</f>
        <v>#NUM!</v>
      </c>
      <c r="BR137" s="3" t="e">
        <f t="shared" ref="BR137:BR188" ca="1" si="547">IF(AND(BQ137&lt;0,BQ136&gt;0), "Cruce -", IF(AND(BQ137&gt;0,BQ136&lt;0),"Cruce +", ""))</f>
        <v>#NUM!</v>
      </c>
      <c r="BS137" s="3">
        <f ca="1">+$A$84*$A$84*AU137*BL137-$A$84*$A$84*AV137*BM137</f>
        <v>78962.767780793161</v>
      </c>
      <c r="BT137" s="3" t="str">
        <f t="shared" ref="BT137:BV188" ca="1" si="548">IF(AND(BS137&lt;0,BS136&gt;0), "Cruce -", IF(AND(BS137&gt;0,BS136&lt;0),"Cruce +", ""))</f>
        <v/>
      </c>
      <c r="BU137" s="3">
        <f ca="1">+$A$84*$A$84*AW137*BN137-$A$84*$A$84*AX137*BO137</f>
        <v>122251.97357482294</v>
      </c>
      <c r="BV137" s="3"/>
      <c r="BX137" s="3" t="e">
        <f ca="1">+$A$44*$A$44*BA137*BJ137-$A$44*$A$44*BB137*BK137</f>
        <v>#NUM!</v>
      </c>
      <c r="BY137" s="3"/>
      <c r="BZ137" s="3">
        <f ca="1">+$A$44*$A$44*BC137*BL137-$A$44*$A$44*BD137*BM137</f>
        <v>6331.8803375547577</v>
      </c>
      <c r="CA137" s="3"/>
      <c r="CB137" s="3">
        <f ca="1">+$A$44*$A$44*BE137*BN137-$A$44*$A$44*BF137*BO137</f>
        <v>0</v>
      </c>
      <c r="CC137" s="3"/>
      <c r="CD137" s="3">
        <f>IF(RTD("tos.rtd",,CD$43,"."&amp;$B$134&amp;$AS$82&amp;"C"&amp;$A137)="N/A",0,RTD("tos.rtd",,CD$43,"."&amp;$B$134&amp;$AS$82&amp;"C"&amp;$A137))</f>
        <v>0.06</v>
      </c>
      <c r="CE137" s="3">
        <f>-IF(RTD("tos.rtd",,CE$43,"."&amp;$B$134&amp;$AS$82&amp;"P"&amp;$A137)="N/A",0,RTD("tos.rtd",,CE$43,"."&amp;$B$134&amp;$AS$82&amp;"P"&amp;$A137))</f>
        <v>0.97</v>
      </c>
      <c r="CF137" s="3">
        <f>IF(RTD("tos.rtd",,CF$2,"."&amp;$C$134&amp;$AU$82&amp;"C"&amp;$A137)="N/A",0,RTD("tos.rtd",,CF$2,"."&amp;$C$134&amp;$AU$82&amp;"C"&amp;$A137))</f>
        <v>7.0000000000000007E-2</v>
      </c>
      <c r="CG137" s="3">
        <f>-IF(RTD("tos.rtd",,CG$2,"."&amp;$C$134&amp;$AU$82&amp;"P"&amp;$A137)="N/A",0,RTD("tos.rtd",,CG$2,"."&amp;$C$134&amp;$AU$82&amp;"P"&amp;$A137))</f>
        <v>1</v>
      </c>
      <c r="CH137" s="3">
        <f>IF(RTD("tos.rtd",,CH$2,"."&amp;$D$134&amp;$AW$82&amp;"C"&amp;$A137)="N/A",0,RTD("tos.rtd",,CH$2,"."&amp;$D$134&amp;$AW$82&amp;"C"&amp;$A137))</f>
        <v>0.21</v>
      </c>
      <c r="CI137" s="3">
        <f>-IF(RTD("tos.rtd",,CI$2,"."&amp;$D$134&amp;$AW$82&amp;"P"&amp;$A137)="N/A",0,RTD("tos.rtd",,CI$2,"."&amp;$D$134&amp;$AW$82&amp;"P"&amp;$A137))</f>
        <v>0.81</v>
      </c>
      <c r="CK137" s="3">
        <f>+AS137*CD137*100+AT137*CE137*100</f>
        <v>18</v>
      </c>
      <c r="CL137" s="3"/>
      <c r="CM137" s="3">
        <f>+AU137*CF137*100+AV137*CG137*100</f>
        <v>-144</v>
      </c>
      <c r="CN137" s="3"/>
      <c r="CO137" s="3">
        <f>+AW137*CH137*100+AX137*CI137*100</f>
        <v>-69.000000000000057</v>
      </c>
      <c r="CP137" s="3">
        <f t="shared" si="539"/>
        <v>-195.00000000000006</v>
      </c>
      <c r="CQ137" s="3">
        <f t="shared" ref="CQ137:CQ189" si="549">+BA137+BB137</f>
        <v>130</v>
      </c>
      <c r="CR137" s="3"/>
      <c r="CS137" s="3">
        <f t="shared" ref="CS137:CS189" si="550">+BC137+BD137</f>
        <v>66</v>
      </c>
      <c r="CT137" s="3"/>
      <c r="CU137" s="3">
        <f t="shared" ref="CU137:CU189" si="551">+BE137+BF137</f>
        <v>0</v>
      </c>
      <c r="CV137" s="3"/>
      <c r="CW137" s="3" t="e">
        <f t="shared" ref="CW137:CW189" ca="1" si="552">+BQ137+BS137+BU137</f>
        <v>#NUM!</v>
      </c>
      <c r="CY137" s="3" t="e">
        <f t="shared" ref="CY137:CY189" ca="1" si="553">+BX137+BZ137+CB137</f>
        <v>#NUM!</v>
      </c>
      <c r="DA137" s="3">
        <f>IF(RTD("tos.rtd",,DA$43,"."&amp;$B$134&amp;$AS$82&amp;"C"&amp;$A137)="N/A",0,RTD("tos.rtd",,DA$43,"."&amp;$B$134&amp;$AS$82&amp;"C"&amp;$A137))</f>
        <v>0.2</v>
      </c>
      <c r="DB137" s="3">
        <f>IF(RTD("tos.rtd",,DB$43,"."&amp;$B$134&amp;$AS$82&amp;"P"&amp;$A137)="N/A",0,RTD("tos.rtd",,DB$43,"."&amp;$B$134&amp;$AS$82&amp;"P"&amp;$A137))</f>
        <v>0</v>
      </c>
      <c r="DC137" s="3">
        <f>IF(RTD("tos.rtd",,DC$43,"."&amp;$B$134&amp;$AS$82&amp;"C"&amp;$A137)="N/A",0,RTD("tos.rtd",,DC$43,"."&amp;$B$134&amp;$AS$82&amp;"C"&amp;$A137))</f>
        <v>19.8</v>
      </c>
      <c r="DD137" s="3">
        <f>IF(RTD("tos.rtd",,DD$43,"."&amp;$B$134&amp;$AS$82&amp;"P"&amp;$A137)="N/A",0,RTD("tos.rtd",,DD$43,"."&amp;$B$134&amp;$AS$82&amp;"P"&amp;$A137))</f>
        <v>624</v>
      </c>
      <c r="DE137" s="3">
        <f>IF(RTD("tos.rtd",,DE$43,"."&amp;$B$134&amp;$AS$82&amp;"C"&amp;$A137)="N/A",0,RTD("tos.rtd",,DE$43,"."&amp;$B$134&amp;$AS$82&amp;"C"&amp;$A137))</f>
        <v>0</v>
      </c>
      <c r="DF137" s="3">
        <f>IF(RTD("tos.rtd",,DF$43,"."&amp;$B$134&amp;$AS$82&amp;"P"&amp;$A137)="N/A",0,RTD("tos.rtd",,DF$43,"."&amp;$B$134&amp;$AS$82&amp;"P"&amp;$A137))</f>
        <v>547.6</v>
      </c>
      <c r="DG137" s="86">
        <f>+$A137-$A$136</f>
        <v>582.02699999999822</v>
      </c>
      <c r="DH137" s="3">
        <f t="shared" ref="DH137:DH189" si="554">((DA137-DE137)/(DC137-DE137))*(BA137-AP137)</f>
        <v>0</v>
      </c>
      <c r="DI137" s="3">
        <f t="shared" ref="DI137:DI189" si="555">((DB137-DF137)/(DD137-DF137))*(BB137-AQ137)</f>
        <v>0</v>
      </c>
      <c r="DJ137" s="3">
        <f t="shared" ref="DJ137:DJ188" si="556">IF(DA137&gt;=(DE137+(DC137-DE137)*0.6),(BA137-AP137),IF(DA137&lt;=(DE137+(DC137-DE137)*0.4),-(BA137-AP137),0))</f>
        <v>0</v>
      </c>
      <c r="DK137" s="3">
        <f t="shared" ref="DK137:DK188" si="557">IF(DB137&lt;=(DF137+(DD137-DF137)*0.4),-(BB137-AQ137),IF(DB137&gt;=(DF137+(DD137-DF137)*0.6),(BB137-AQ137),0))</f>
        <v>0</v>
      </c>
      <c r="DL137" s="3">
        <f t="shared" ref="DL137:DL189" si="558">+DH137+DI137</f>
        <v>0</v>
      </c>
      <c r="DM137" s="3">
        <f t="shared" ref="DM137:DM189" si="559">+DJ137+DK137</f>
        <v>0</v>
      </c>
      <c r="DN137" s="64" t="str">
        <f t="shared" ref="DN137:DN189" si="560">IF(AND(DA137&gt;=(DE137+(DC137-DE137)*0.6),BA137&gt;AP137),"BUY",IF(AND(DA137&lt;=(DE137+(DC137-DE137)*0.4),BA137&gt;AP137),"SELL","UNKNOWN"))</f>
        <v>UNKNOWN</v>
      </c>
      <c r="DO137" s="64" t="str">
        <f t="shared" ref="DO137:DO189" si="561">IF(AND(DB137&gt;=(DF137+(DD137-DF137)*0.6),ABS(BB137)&gt;ABS(AQ137)),"BUY",IF(AND(DB137&lt;=(DF137+(DD137-DF137)*0.4),ABS(BB137)&gt;ABS(AQ137)),"SELL","UNKNOWN"))</f>
        <v>UNKNOWN</v>
      </c>
      <c r="DP137" s="3">
        <f t="shared" ref="DP137:DP189" si="562">+DH137*DA137+DI137*DB137</f>
        <v>0</v>
      </c>
      <c r="DQ137" s="3">
        <f t="shared" ref="DQ137:DQ189" si="563">+DA137*DJ137+DB137*DK137</f>
        <v>0</v>
      </c>
      <c r="DR137" s="3" t="e">
        <f t="shared" ref="DR137:DR189" ca="1" si="564">+BJ137*DJ137+BK137*DK137</f>
        <v>#NUM!</v>
      </c>
      <c r="DS137" s="3">
        <f t="shared" ref="DS137:DS189" si="565">+CD137*DJ137+CE137*DK137</f>
        <v>0</v>
      </c>
      <c r="DT137" s="3">
        <f>BA137-VLOOKUP(AZ137,$AO$137:$AQ$189,2,FALSE)</f>
        <v>0</v>
      </c>
      <c r="DU137" s="3">
        <f>BB137-VLOOKUP(AZ137,$AO$137:$AQ$189,3,FALSE)</f>
        <v>0</v>
      </c>
      <c r="DV137" s="3">
        <f t="shared" ref="DV137:DV189" si="566">AM137+IF(DN137="BUY",DT137,IF(DN137="SELL",-DT137,0))</f>
        <v>-58</v>
      </c>
      <c r="DW137" s="3">
        <f t="shared" ref="DW137:DW189" si="567">AN137+IF(DO137="BUY",DU137,IF(DO137="SELL",-DU137,0))</f>
        <v>0</v>
      </c>
      <c r="DX137" s="3" t="e">
        <f t="shared" ref="DX137:DX168" ca="1" si="568">(EXP(-POWER((LN($A$136/$A137)+($EC$1+POWER($EE137,2)/2)*($EM$1/$DY$1))/($EE137*SQRT($EM$1/$DY$1)),2)/2)/SQRT(2*PI())/($A$136*$EE137*SQRT($EM$1/$DY$1)))</f>
        <v>#NUM!</v>
      </c>
      <c r="DY137" s="3" t="e">
        <f t="shared" ref="DY137:DY168" ca="1" si="569">-(EXP(-POWER((LN($A$136/$A137)+($EC$1+POWER($EF137,2)/2)*($EM$1/$DY$1))/($EF137*SQRT($EM$1/$DY$1)),2)/2)/SQRT(2*PI())/($A$136*$EF137*SQRT($EM$1/$DY$1)))</f>
        <v>#NUM!</v>
      </c>
      <c r="DZ137" s="3">
        <f t="shared" ref="DZ137:DZ168" ca="1" si="570">(EXP(-POWER((LN($A$136/$A137)+($EC$1+POWER($EG137,2)/2)*($EO$1/$DY$1))/($EG137*SQRT($EO$1/$DY$1)),2)/2)/SQRT(2*PI())/($A$136*$EG137*SQRT($EO$1/$DY$1)))</f>
        <v>4.0476077106863694E-4</v>
      </c>
      <c r="EA137" s="3">
        <f t="shared" ref="EA137:EA168" ca="1" si="571">-(EXP(-POWER((LN($A$136/$A137)+($EC$1+POWER($EH137,2)/2)*($EO$1/$DY$1))/($EH137*SQRT($EO$1/$DY$1)),2)/2)/SQRT(2*PI())/($A$136*$EH137*SQRT($EO$1/$DY$1)))</f>
        <v>-3.7401793821539809E-4</v>
      </c>
      <c r="EB137" s="3">
        <f t="shared" ref="EB137:EB168" ca="1" si="572">(EXP(-POWER((LN($A$136/$A137)+($EC$1+POWER($EI137,2)/2)*($EO$1/$DY$1))/($EI137*SQRT($EO$1/$DY$1)),2)/2)/SQRT(2*PI())/($A$136*$EI137*SQRT($EO$1/$DY$1)))</f>
        <v>3.2738707232159723E-4</v>
      </c>
      <c r="EC137" s="3">
        <f t="shared" ref="EC137:EC168" ca="1" si="573">-(EXP(-POWER((LN($A$136/$A137)+($EC$1+POWER($EJ137,2)/2)*($EO$1/$DY$1))/($EJ137*SQRT($EO$1/$DY$1)),2)/2)/SQRT(2*PI())/($A$136*$EJ137*SQRT($EO$1/$DY$1)))</f>
        <v>-2.7660800252030077E-4</v>
      </c>
      <c r="ED137" s="63">
        <f>+DV137+DW137</f>
        <v>-58</v>
      </c>
      <c r="EE137" s="59">
        <f t="shared" ref="EE137:EE189" si="574">IFERROR(VALUE(IF(OR(EL137="--",EL137="0.00%"),$EE$1,EL137)),$EE$1)</f>
        <v>2.4712999999999998</v>
      </c>
      <c r="EF137" s="59">
        <f t="shared" ref="EF137:EF189" si="575">IFERROR(VALUE(IF(OR(EM137="--",EM137="0.00%"),$EE$1,EM137)),$EE$1)</f>
        <v>2.0543999999999998</v>
      </c>
      <c r="EG137" s="59">
        <f t="shared" ref="EG137:EG189" si="576">IFERROR(VALUE(IF(OR(EN137="--",EN137="0.00%"),$EE$1,EN137)),$EE$1)</f>
        <v>0.27679999999999999</v>
      </c>
      <c r="EH137" s="59">
        <f t="shared" ref="EH137:EH189" si="577">IFERROR(VALUE(IF(OR(EO137="--",EO137="0.00%"),$EE$1,EO137)),$EE$1)</f>
        <v>0.25</v>
      </c>
      <c r="EI137" s="59">
        <f t="shared" ref="EI137:EI189" si="578">IFERROR(VALUE(IF(OR(EP137="--",EP137="0.00%"),$EE$1,EP137)),$EE$1)</f>
        <v>0.22370000000000001</v>
      </c>
      <c r="EJ137" s="59">
        <f t="shared" ref="EJ137:EJ189" si="579">IFERROR(VALUE(IF(OR(EQ137="--",EQ137="0.00%"),$EE$1,EQ137)),$EE$1)</f>
        <v>0.20269999999999999</v>
      </c>
      <c r="EL137" s="3" t="str">
        <f>RTD("tos.rtd",,EL$43,"."&amp;$B$134&amp;$AS$82&amp;"C"&amp;$A137)</f>
        <v>247.13%</v>
      </c>
      <c r="EM137" s="3" t="str">
        <f>RTD("tos.rtd",,EM$43,"."&amp;$B$134&amp;$AS$82&amp;"P"&amp;$A137)</f>
        <v>205.44%</v>
      </c>
      <c r="EN137" s="3" t="str">
        <f>RTD("tos.rtd",,EN$2,"."&amp;$C$134&amp;$AU$82&amp;"C"&amp;$A137)</f>
        <v>27.68%</v>
      </c>
      <c r="EO137" s="3" t="str">
        <f>RTD("tos.rtd",,EO$2,"."&amp;$C$134&amp;$AU$82&amp;"P"&amp;$A137)</f>
        <v>--</v>
      </c>
      <c r="EP137" s="3" t="str">
        <f>RTD("tos.rtd",,EP$2,"."&amp;$D$134&amp;$AW$82&amp;"C"&amp;$A137)</f>
        <v>22.37%</v>
      </c>
      <c r="EQ137" s="3" t="str">
        <f>RTD("tos.rtd",,EQ$2,"."&amp;$D$134&amp;$AW$82&amp;"P"&amp;$A137)</f>
        <v>20.27%</v>
      </c>
      <c r="ES137" s="63" t="str">
        <f t="shared" ref="ES137:ES189" si="580">IFERROR(
    A137 &amp; "," &amp; TEXT(IF(ISNUMBER(DV137+DW137), DV137+DW137, 0), "00.00"),    "Error"
)</f>
        <v>20450,-58.00</v>
      </c>
      <c r="ET137" s="64" t="str">
        <f t="shared" ref="ET137:ET189" ca="1" si="581">IF(ISERROR(
    A137 &amp; "," &amp; TEXT(
        IF($E$1="GEX-VOL", IF(ISNUMBER(BX137+BZ137+CB137), (BX137+BZ137+CB137)/1000, 0),
           IF($E$1="GEX-OI", IF(ISNUMBER(BQ137+BS137+BU137), (BQ137+BS137+BU137)/1000, 0),
               IF($E$1="DEX",IF(ISNUMBER(CK137+CM137+CO137), (CK137+CM137+CO137)/1000, 0),
                  IF($E$1="VOLPRES",IF(ISNUMBER(DJ137+DK137), (DJ137+DK137), 0),
                     IF(ISNUMBER(DV137+DW137), (DV137+DW137), 0)
        )))),
    "00.00")
), "Error",
A137 &amp; "," &amp; TEXT(
        IF($E$1="GEX-VOL", IF(ISNUMBER(BX137+BZ137+CB137), (BX137+BZ137+CB137)/1000, 0),
           IF($E$1="GEX-OI", IF(ISNUMBER(BQ137+BS137+BU137), (BQ137+BS137+BU137)/1000, 0),
               IF($E$1="DEX", IF(ISNUMBER(CK137+CM137+CO137), (CK137+CM137+CO137)/1000, 0),
                  IF($E$1="VOLPRES",IF(ISNUMBER(DJ137+DK137), (DJ137+DK137), 0),
                    IF(ISNUMBER(DV137+DW137), (DV137+DW137), 0)
        )))),
    "00.00")
)</f>
        <v>20450,00.00</v>
      </c>
      <c r="EU137" s="67">
        <v>562.20000000000005</v>
      </c>
      <c r="EV137" s="67" t="s">
        <v>1116</v>
      </c>
      <c r="EW137" s="67">
        <v>484.58</v>
      </c>
      <c r="EX137" s="67" t="s">
        <v>1117</v>
      </c>
      <c r="EY137" s="67">
        <v>5635.75</v>
      </c>
      <c r="EZ137" s="67" t="s">
        <v>1118</v>
      </c>
      <c r="FA137" s="67">
        <v>19904.75</v>
      </c>
      <c r="FB137" s="67" t="s">
        <v>1119</v>
      </c>
      <c r="FC137" s="67" t="s">
        <v>1120</v>
      </c>
      <c r="FD137" s="67" t="s">
        <v>1121</v>
      </c>
      <c r="FE137" s="68" t="s">
        <v>1122</v>
      </c>
      <c r="FF137" s="68" t="s">
        <v>1123</v>
      </c>
    </row>
    <row r="138" spans="1:162" ht="11.1" customHeight="1" thickBot="1" x14ac:dyDescent="0.25">
      <c r="A138" s="2">
        <f>+A137-$A$133</f>
        <v>20425</v>
      </c>
      <c r="B138" s="3">
        <f>+IF($A$1="ABS",AS138-AT138,AS138+AT138)</f>
        <v>11</v>
      </c>
      <c r="C138" s="3">
        <f>+IF($A$1="ABS",AU138-AV138,AU138+AV138)</f>
        <v>5</v>
      </c>
      <c r="D138" s="3">
        <f>+IF($A$1="ABS",AW138-AX138,AW138+AX138)</f>
        <v>64</v>
      </c>
      <c r="E138" s="3">
        <f>SUM(B138:D138)</f>
        <v>80</v>
      </c>
      <c r="F138" s="4">
        <f>+$F$136/$A$136*A138</f>
        <v>20659.420062630445</v>
      </c>
      <c r="G138" s="5">
        <f>+$G$136/$A$136*A138</f>
        <v>500.49953510607247</v>
      </c>
      <c r="AM138" s="1">
        <v>56</v>
      </c>
      <c r="AN138" s="1">
        <v>0</v>
      </c>
      <c r="AO138" s="1">
        <v>20425</v>
      </c>
      <c r="AP138" s="1">
        <v>60</v>
      </c>
      <c r="AQ138" s="1">
        <v>0</v>
      </c>
      <c r="AS138" s="54">
        <f>IF(RTD("tos.rtd",,AS$83,"."&amp;$B$134&amp;$AS$82&amp;"C"&amp;$A138)="N/A",0,RTD("tos.rtd",,AS$83,"."&amp;$B$134&amp;$AS$82&amp;"C"&amp;$A138))</f>
        <v>11</v>
      </c>
      <c r="AT138" s="3">
        <f>-IF(RTD("tos.rtd",,AT$83,"."&amp;$B$134&amp;$AS$82&amp;"P"&amp;$A138)="N/A",0,RTD("tos.rtd",,AT$83,"."&amp;$B$134&amp;$AS$82&amp;"P"&amp;$A138))</f>
        <v>0</v>
      </c>
      <c r="AU138" s="54">
        <f>IF(RTD("tos.rtd",,AU$2,"."&amp;$C$134&amp;$AU$134&amp;"C"&amp;$A138)="N/A",0,RTD("tos.rtd",,AU$2,"."&amp;$C$134&amp;$AU$134&amp;"C"&amp;$A138))</f>
        <v>2</v>
      </c>
      <c r="AV138" s="3">
        <f>-IF(RTD("tos.rtd",,AV$2,"."&amp;$C$134&amp;$AU$134&amp;"P"&amp;$A138)="N/A",0,RTD("tos.rtd",,AV$2,"."&amp;$C$134&amp;$AU$134&amp;"P"&amp;$A138))</f>
        <v>-3</v>
      </c>
      <c r="AW138" s="54">
        <f>IF(RTD("tos.rtd",,AW$2,"."&amp;$D$134&amp;$AW$134&amp;"C"&amp;$A138)="N/A",0,RTD("tos.rtd",,AW$2,"."&amp;$D$134&amp;$AW$134&amp;"C"&amp;$A138))</f>
        <v>20</v>
      </c>
      <c r="AX138" s="3">
        <f>-IF(RTD("tos.rtd",,AX$2,"."&amp;$D$134&amp;$AW$134&amp;"P"&amp;$A138)="N/A",0,RTD("tos.rtd",,AX$2,"."&amp;$D$134&amp;$AW$134&amp;"P"&amp;$A138))</f>
        <v>-44</v>
      </c>
      <c r="AY138" s="76">
        <f>SUM(AS138:AX138)</f>
        <v>-14</v>
      </c>
      <c r="AZ138" s="8">
        <f t="shared" si="545"/>
        <v>20425</v>
      </c>
      <c r="BA138" s="54">
        <f>IF(RTD("tos.rtd",,BA$43,"."&amp;$B$134&amp;$AS$82&amp;"C"&amp;$A138)="N/A",0,RTD("tos.rtd",,BA$43,"."&amp;$B$134&amp;$AS$82&amp;"C"&amp;$A138))</f>
        <v>60</v>
      </c>
      <c r="BB138" s="3">
        <f>-IF(RTD("tos.rtd",,BB$43,"."&amp;$B$134&amp;$AS$82&amp;"P"&amp;$A138)="N/A",0,RTD("tos.rtd",,BB$43,"."&amp;$B$134&amp;$AS$82&amp;"P"&amp;$A138))</f>
        <v>0</v>
      </c>
      <c r="BC138" s="54">
        <f>IF(RTD("tos.rtd",,BC$2,"."&amp;$C$134&amp;$AU$82&amp;"C"&amp;$A138)="N/A",0,RTD("tos.rtd",,BC$2,"."&amp;$C$134&amp;$AU$82&amp;"C"&amp;$A138))</f>
        <v>0</v>
      </c>
      <c r="BD138" s="3">
        <f>-IF(RTD("tos.rtd",,BD$2,"."&amp;$C$134&amp;$AU$82&amp;"P"&amp;$A138)="N/A",0,RTD("tos.rtd",,BD$2,"."&amp;$C$134&amp;$AU$82&amp;"P"&amp;$A138))</f>
        <v>0</v>
      </c>
      <c r="BE138" s="54">
        <f>IF(RTD("tos.rtd",,BE$2,"."&amp;$D$134&amp;$AW$82&amp;"C"&amp;$A138)="N/A",0,RTD("tos.rtd",,BE$2,"."&amp;$D$134&amp;$AW$82&amp;"C"&amp;$A138))</f>
        <v>1</v>
      </c>
      <c r="BF138" s="3">
        <f>-IF(RTD("tos.rtd",,BF$2,"."&amp;$D$134&amp;$AW$82&amp;"P"&amp;$A138)="N/A",0,RTD("tos.rtd",,BF$2,"."&amp;$D$134&amp;$AW$82&amp;"P"&amp;$A138))</f>
        <v>0</v>
      </c>
      <c r="BG138" s="3">
        <f ca="1">+Hoja2!Y139</f>
        <v>0</v>
      </c>
      <c r="BH138" s="7">
        <f t="shared" ca="1" si="546"/>
        <v>61</v>
      </c>
      <c r="BI138" s="32"/>
      <c r="BJ138" s="3" t="e">
        <f ca="1">IF($BP$1=1,DX138,IF(RTD("tos.rtd",,BJ$43,"."&amp;$B$134&amp;$AS$82&amp;"C"&amp;$A138)="N/A",0,RTD("tos.rtd",,BJ$43,"."&amp;$B$134&amp;$AS$82&amp;"C"&amp;$A138)))</f>
        <v>#NUM!</v>
      </c>
      <c r="BK138" s="3" t="e">
        <f ca="1">IF($BP$1=1,DY138,-IF(RTD("tos.rtd",,BK$43,"."&amp;$B$134&amp;$AS$82&amp;"P"&amp;$A138)="N/A",0,RTD("tos.rtd",,BK$43,"."&amp;$B$134&amp;$AS$82&amp;"P"&amp;$A138)))</f>
        <v>#NUM!</v>
      </c>
      <c r="BL138" s="3">
        <f ca="1">IF($BP$1=1,DZ138,IF(RTD("tos.rtd",,BL$2,"."&amp;$C$134&amp;$AU$82&amp;"C"&amp;$A138)="N/A",0,RTD("tos.rtd",,BL$2,"."&amp;$C$134&amp;$AU$82&amp;"C"&amp;$A138)))</f>
        <v>4.3189317239858399E-4</v>
      </c>
      <c r="BM138" s="3">
        <f ca="1">IF($BP$1=1,EA138,-IF(RTD("tos.rtd",,BM$2,"."&amp;$C$134&amp;$AU$82&amp;"P"&amp;$A138)="N/A",0,RTD("tos.rtd",,BM$2,"."&amp;$C$134&amp;$AU$82&amp;"P"&amp;$A138)))</f>
        <v>-4.0580127579316366E-4</v>
      </c>
      <c r="BN138" s="3">
        <f ca="1">IF($BP$1=1,EB138,IF(RTD("tos.rtd",,BN$2,"."&amp;$D$134&amp;$AW$82&amp;"C"&amp;$A138)="N/A",0,RTD("tos.rtd",,BN$2,"."&amp;$D$134&amp;$AW$82&amp;"C"&amp;$A138)))</f>
        <v>3.6415517361919857E-4</v>
      </c>
      <c r="BO138" s="3">
        <f ca="1">IF($BP$1=1,EC138,-IF(RTD("tos.rtd",,BO$2,"."&amp;$D$134&amp;$AW$82&amp;"P"&amp;$A138)="N/A",0,RTD("tos.rtd",,BO$2,"."&amp;$D$134&amp;$AW$82&amp;"P"&amp;$A138)))</f>
        <v>-3.1723205027246569E-4</v>
      </c>
      <c r="BQ138" s="3" t="e">
        <f ca="1">+$A$84*$A$84*AS138*BJ138-$A$84*$A$84*AT138*BK138</f>
        <v>#NUM!</v>
      </c>
      <c r="BR138" s="3" t="e">
        <f t="shared" ca="1" si="547"/>
        <v>#NUM!</v>
      </c>
      <c r="BS138" s="3">
        <f ca="1">+$A$84*$A$84*AU138*BL138-$A$84*$A$84*AV138*BM138</f>
        <v>-11213.675181083472</v>
      </c>
      <c r="BT138" s="3" t="str">
        <f t="shared" ca="1" si="548"/>
        <v>Cruce -</v>
      </c>
      <c r="BU138" s="3">
        <f ca="1">+$A$84*$A$84*AW138*BN138-$A$84*$A$84*AX138*BO138</f>
        <v>-211676.40872948198</v>
      </c>
      <c r="BV138" s="3" t="str">
        <f t="shared" ca="1" si="548"/>
        <v>Cruce -</v>
      </c>
      <c r="BX138" s="3" t="e">
        <f t="shared" ref="BX138:BX189" ca="1" si="582">+$A$44*$A$44*BA138*BJ138-$A$44*$A$44*BB138*BK138</f>
        <v>#NUM!</v>
      </c>
      <c r="BY138" s="3" t="e">
        <f t="shared" ref="BY138:CC189" ca="1" si="583">IF(AND(BX138&lt;0,BX137&gt;0), "Cruce -", IF(AND(BX138&gt;0,BX137&lt;0),"Cruce +", ""))</f>
        <v>#NUM!</v>
      </c>
      <c r="BZ138" s="3">
        <f t="shared" ref="BZ138:BZ189" ca="1" si="584">+$A$44*$A$44*BC138*BL138-$A$44*$A$44*BD138*BM138</f>
        <v>0</v>
      </c>
      <c r="CA138" s="3" t="str">
        <f t="shared" ca="1" si="583"/>
        <v/>
      </c>
      <c r="CB138" s="3">
        <f t="shared" ref="CB138:CB189" ca="1" si="585">+$A$44*$A$44*BE138*BN138-$A$44*$A$44*BF138*BO138</f>
        <v>86.313123494717345</v>
      </c>
      <c r="CC138" s="3" t="str">
        <f t="shared" ca="1" si="583"/>
        <v/>
      </c>
      <c r="CD138" s="3">
        <f>IF(RTD("tos.rtd",,CD$43,"."&amp;$B$134&amp;$AS$82&amp;"C"&amp;$A138)="N/A",0,RTD("tos.rtd",,CD$43,"."&amp;$B$134&amp;$AS$82&amp;"C"&amp;$A138))</f>
        <v>0.06</v>
      </c>
      <c r="CE138" s="3">
        <f>-IF(RTD("tos.rtd",,CE$43,"."&amp;$B$134&amp;$AS$82&amp;"P"&amp;$A138)="N/A",0,RTD("tos.rtd",,CE$43,"."&amp;$B$134&amp;$AS$82&amp;"P"&amp;$A138))</f>
        <v>0.96</v>
      </c>
      <c r="CF138" s="3">
        <f>IF(RTD("tos.rtd",,CF$2,"."&amp;$C$134&amp;$AU$82&amp;"C"&amp;$A138)="N/A",0,RTD("tos.rtd",,CF$2,"."&amp;$C$134&amp;$AU$82&amp;"C"&amp;$A138))</f>
        <v>0.08</v>
      </c>
      <c r="CG138" s="3">
        <f>-IF(RTD("tos.rtd",,CG$2,"."&amp;$C$134&amp;$AU$82&amp;"P"&amp;$A138)="N/A",0,RTD("tos.rtd",,CG$2,"."&amp;$C$134&amp;$AU$82&amp;"P"&amp;$A138))</f>
        <v>1</v>
      </c>
      <c r="CH138" s="3">
        <f>IF(RTD("tos.rtd",,CH$2,"."&amp;$D$134&amp;$AW$82&amp;"C"&amp;$A138)="N/A",0,RTD("tos.rtd",,CH$2,"."&amp;$D$134&amp;$AW$82&amp;"C"&amp;$A138))</f>
        <v>0.22</v>
      </c>
      <c r="CI138" s="3">
        <f>-IF(RTD("tos.rtd",,CI$2,"."&amp;$D$134&amp;$AW$82&amp;"P"&amp;$A138)="N/A",0,RTD("tos.rtd",,CI$2,"."&amp;$D$134&amp;$AW$82&amp;"P"&amp;$A138))</f>
        <v>0.8</v>
      </c>
      <c r="CK138" s="3">
        <f>+AS138*CD138*100+AT138*CE138*100</f>
        <v>65.999999999999986</v>
      </c>
      <c r="CL138" s="3"/>
      <c r="CM138" s="3">
        <f>+AU138*CF138*100+AV138*CG138*100</f>
        <v>-284</v>
      </c>
      <c r="CN138" s="3"/>
      <c r="CO138" s="3">
        <f>+AW138*CH138*100+AX138*CI138*100</f>
        <v>-3080.0000000000005</v>
      </c>
      <c r="CP138" s="3">
        <f t="shared" si="539"/>
        <v>-3298.0000000000005</v>
      </c>
      <c r="CQ138" s="3">
        <f t="shared" si="549"/>
        <v>60</v>
      </c>
      <c r="CR138" s="3"/>
      <c r="CS138" s="3">
        <f t="shared" si="550"/>
        <v>0</v>
      </c>
      <c r="CT138" s="3"/>
      <c r="CU138" s="3">
        <f t="shared" si="551"/>
        <v>1</v>
      </c>
      <c r="CV138" s="3"/>
      <c r="CW138" s="3" t="e">
        <f t="shared" ca="1" si="552"/>
        <v>#NUM!</v>
      </c>
      <c r="CY138" s="3" t="e">
        <f t="shared" ca="1" si="553"/>
        <v>#NUM!</v>
      </c>
      <c r="CZ138" s="70" t="e">
        <f t="shared" ref="CZ138:CZ189" ca="1" si="586">IF(AND(CY138&lt;0,CY137&gt;0), "Cruce -", IF(AND(CY138&gt;0,CY137&lt;0),"Cruce +", ""))</f>
        <v>#NUM!</v>
      </c>
      <c r="DA138" s="3">
        <f>IF(RTD("tos.rtd",,DA$43,"."&amp;$B$134&amp;$AS$82&amp;"C"&amp;$A138)="N/A",0,RTD("tos.rtd",,DA$43,"."&amp;$B$134&amp;$AS$82&amp;"C"&amp;$A138))</f>
        <v>0.16</v>
      </c>
      <c r="DB138" s="3">
        <f>IF(RTD("tos.rtd",,DB$43,"."&amp;$B$134&amp;$AS$82&amp;"P"&amp;$A138)="N/A",0,RTD("tos.rtd",,DB$43,"."&amp;$B$134&amp;$AS$82&amp;"P"&amp;$A138))</f>
        <v>0</v>
      </c>
      <c r="DC138" s="3">
        <f>IF(RTD("tos.rtd",,DC$43,"."&amp;$B$134&amp;$AS$82&amp;"C"&amp;$A138)="N/A",0,RTD("tos.rtd",,DC$43,"."&amp;$B$134&amp;$AS$82&amp;"C"&amp;$A138))</f>
        <v>19.8</v>
      </c>
      <c r="DD138" s="3">
        <f>IF(RTD("tos.rtd",,DD$43,"."&amp;$B$134&amp;$AS$82&amp;"P"&amp;$A138)="N/A",0,RTD("tos.rtd",,DD$43,"."&amp;$B$134&amp;$AS$82&amp;"P"&amp;$A138))</f>
        <v>602.5</v>
      </c>
      <c r="DE138" s="3">
        <f>IF(RTD("tos.rtd",,DE$43,"."&amp;$B$134&amp;$AS$82&amp;"C"&amp;$A138)="N/A",0,RTD("tos.rtd",,DE$43,"."&amp;$B$134&amp;$AS$82&amp;"C"&amp;$A138))</f>
        <v>0</v>
      </c>
      <c r="DF138" s="3">
        <f>IF(RTD("tos.rtd",,DF$43,"."&amp;$B$134&amp;$AS$82&amp;"P"&amp;$A138)="N/A",0,RTD("tos.rtd",,DF$43,"."&amp;$B$134&amp;$AS$82&amp;"P"&amp;$A138))</f>
        <v>522.6</v>
      </c>
      <c r="DG138" s="86">
        <f t="shared" ref="DG138:DG189" si="587">+$A138-$A$136</f>
        <v>557.02699999999822</v>
      </c>
      <c r="DH138" s="3">
        <f t="shared" si="554"/>
        <v>0</v>
      </c>
      <c r="DI138" s="3">
        <f t="shared" si="555"/>
        <v>0</v>
      </c>
      <c r="DJ138" s="3">
        <f t="shared" si="556"/>
        <v>0</v>
      </c>
      <c r="DK138" s="3">
        <f t="shared" si="557"/>
        <v>0</v>
      </c>
      <c r="DL138" s="3">
        <f t="shared" si="558"/>
        <v>0</v>
      </c>
      <c r="DM138" s="3">
        <f t="shared" si="559"/>
        <v>0</v>
      </c>
      <c r="DN138" s="64" t="str">
        <f t="shared" si="560"/>
        <v>UNKNOWN</v>
      </c>
      <c r="DO138" s="64" t="str">
        <f t="shared" si="561"/>
        <v>UNKNOWN</v>
      </c>
      <c r="DP138" s="3">
        <f t="shared" si="562"/>
        <v>0</v>
      </c>
      <c r="DQ138" s="3">
        <f t="shared" si="563"/>
        <v>0</v>
      </c>
      <c r="DR138" s="3" t="e">
        <f t="shared" ca="1" si="564"/>
        <v>#NUM!</v>
      </c>
      <c r="DS138" s="3">
        <f t="shared" si="565"/>
        <v>0</v>
      </c>
      <c r="DT138" s="3">
        <f t="shared" ref="DT138:DT189" si="588">BA138-VLOOKUP(AZ138,$AO$137:$AQ$189,2,FALSE)</f>
        <v>0</v>
      </c>
      <c r="DU138" s="3">
        <f t="shared" ref="DU138:DU189" si="589">BB138-VLOOKUP(AZ138,$AO$137:$AQ$189,3,FALSE)</f>
        <v>0</v>
      </c>
      <c r="DV138" s="3">
        <f t="shared" si="566"/>
        <v>56</v>
      </c>
      <c r="DW138" s="3">
        <f t="shared" si="567"/>
        <v>0</v>
      </c>
      <c r="DX138" s="3" t="e">
        <f t="shared" ca="1" si="568"/>
        <v>#NUM!</v>
      </c>
      <c r="DY138" s="3" t="e">
        <f t="shared" ca="1" si="569"/>
        <v>#NUM!</v>
      </c>
      <c r="DZ138" s="3">
        <f t="shared" ca="1" si="570"/>
        <v>4.3189317239858399E-4</v>
      </c>
      <c r="EA138" s="3">
        <f t="shared" ca="1" si="571"/>
        <v>-4.0580127579316366E-4</v>
      </c>
      <c r="EB138" s="3">
        <f t="shared" ca="1" si="572"/>
        <v>3.6415517361919857E-4</v>
      </c>
      <c r="EC138" s="3">
        <f t="shared" ca="1" si="573"/>
        <v>-3.1723205027246569E-4</v>
      </c>
      <c r="ED138" s="63">
        <f t="shared" ref="ED138:ED189" si="590">+DV138+DW138</f>
        <v>56</v>
      </c>
      <c r="EE138" s="59">
        <f t="shared" si="574"/>
        <v>2.3895</v>
      </c>
      <c r="EF138" s="59">
        <f t="shared" si="575"/>
        <v>2.1236999999999999</v>
      </c>
      <c r="EG138" s="59">
        <f t="shared" si="576"/>
        <v>0.27589999999999998</v>
      </c>
      <c r="EH138" s="59">
        <f t="shared" si="577"/>
        <v>0.25</v>
      </c>
      <c r="EI138" s="59">
        <f t="shared" si="578"/>
        <v>0.22450000000000001</v>
      </c>
      <c r="EJ138" s="59">
        <f t="shared" si="579"/>
        <v>0.20419999999999999</v>
      </c>
      <c r="EL138" s="3" t="str">
        <f>RTD("tos.rtd",,EL$43,"."&amp;$B$134&amp;$AS$82&amp;"C"&amp;$A138)</f>
        <v>238.95%</v>
      </c>
      <c r="EM138" s="3" t="str">
        <f>RTD("tos.rtd",,EM$43,"."&amp;$B$134&amp;$AS$82&amp;"P"&amp;$A138)</f>
        <v>212.37%</v>
      </c>
      <c r="EN138" s="3" t="str">
        <f>RTD("tos.rtd",,EN$2,"."&amp;$C$134&amp;$AU$82&amp;"C"&amp;$A138)</f>
        <v>27.59%</v>
      </c>
      <c r="EO138" s="3" t="str">
        <f>RTD("tos.rtd",,EO$2,"."&amp;$C$134&amp;$AU$82&amp;"P"&amp;$A138)</f>
        <v>--</v>
      </c>
      <c r="EP138" s="3" t="str">
        <f>RTD("tos.rtd",,EP$2,"."&amp;$D$134&amp;$AW$82&amp;"C"&amp;$A138)</f>
        <v>22.45%</v>
      </c>
      <c r="EQ138" s="3" t="str">
        <f>RTD("tos.rtd",,EQ$2,"."&amp;$D$134&amp;$AW$82&amp;"P"&amp;$A138)</f>
        <v>20.42%</v>
      </c>
      <c r="ES138" s="63" t="str">
        <f t="shared" si="580"/>
        <v>20425,56.00</v>
      </c>
      <c r="ET138" s="64" t="str">
        <f t="shared" ca="1" si="581"/>
        <v>20425,00.00</v>
      </c>
      <c r="EU138" s="67">
        <v>562.20000000000005</v>
      </c>
      <c r="EV138" s="67" t="s">
        <v>1124</v>
      </c>
      <c r="EW138" s="67">
        <v>484.63</v>
      </c>
      <c r="EX138" s="67" t="s">
        <v>1125</v>
      </c>
      <c r="EY138" s="67">
        <v>5635.75</v>
      </c>
      <c r="EZ138" s="67" t="s">
        <v>1126</v>
      </c>
      <c r="FA138" s="67">
        <v>19907.5</v>
      </c>
      <c r="FB138" s="67" t="s">
        <v>1127</v>
      </c>
      <c r="FC138" s="67" t="s">
        <v>1128</v>
      </c>
      <c r="FD138" s="67" t="s">
        <v>1129</v>
      </c>
      <c r="FE138" s="68" t="s">
        <v>1130</v>
      </c>
      <c r="FF138" s="68" t="s">
        <v>1131</v>
      </c>
    </row>
    <row r="139" spans="1:162" ht="11.1" customHeight="1" thickBot="1" x14ac:dyDescent="0.25">
      <c r="A139" s="2">
        <f t="shared" ref="A139:A189" si="591">+A138-$A$133</f>
        <v>20400</v>
      </c>
      <c r="B139" s="3">
        <f t="shared" ref="B139:B144" si="592">+IF($A$1="ABS",AS139-AT139,AS139+AT139)</f>
        <v>29</v>
      </c>
      <c r="C139" s="3">
        <f t="shared" ref="C139:C144" si="593">+IF($A$1="ABS",AU139-AV139,AU139+AV139)</f>
        <v>24</v>
      </c>
      <c r="D139" s="3">
        <f>+IF($A$1="ABS",AW139-AX139,AW139+AX139)</f>
        <v>164</v>
      </c>
      <c r="E139" s="3">
        <f t="shared" ref="E139:E147" si="594">SUM(B139:D139)</f>
        <v>217</v>
      </c>
      <c r="F139" s="4">
        <f t="shared" ref="F139:F147" si="595">+$F$136/$A$136*A139</f>
        <v>20634.133134769207</v>
      </c>
      <c r="G139" s="5">
        <f t="shared" ref="G139:G147" si="596">+$G$136/$A$136*A139</f>
        <v>499.88692857595487</v>
      </c>
      <c r="AM139" s="1">
        <v>-42</v>
      </c>
      <c r="AN139" s="1">
        <v>0</v>
      </c>
      <c r="AO139" s="1">
        <v>20400</v>
      </c>
      <c r="AP139" s="1">
        <v>188</v>
      </c>
      <c r="AQ139" s="1">
        <v>0</v>
      </c>
      <c r="AS139" s="54">
        <f>IF(RTD("tos.rtd",,AS$83,"."&amp;$B$134&amp;$AS$82&amp;"C"&amp;$A139)="N/A",0,RTD("tos.rtd",,AS$83,"."&amp;$B$134&amp;$AS$82&amp;"C"&amp;$A139))</f>
        <v>29</v>
      </c>
      <c r="AT139" s="3">
        <f>-IF(RTD("tos.rtd",,AT$83,"."&amp;$B$134&amp;$AS$82&amp;"P"&amp;$A139)="N/A",0,RTD("tos.rtd",,AT$83,"."&amp;$B$134&amp;$AS$82&amp;"P"&amp;$A139))</f>
        <v>0</v>
      </c>
      <c r="AU139" s="54">
        <f>IF(RTD("tos.rtd",,AU$2,"."&amp;$C$134&amp;$AU$134&amp;"C"&amp;$A139)="N/A",0,RTD("tos.rtd",,AU$2,"."&amp;$C$134&amp;$AU$134&amp;"C"&amp;$A139))</f>
        <v>23</v>
      </c>
      <c r="AV139" s="3">
        <f>-IF(RTD("tos.rtd",,AV$2,"."&amp;$C$134&amp;$AU$134&amp;"P"&amp;$A139)="N/A",0,RTD("tos.rtd",,AV$2,"."&amp;$C$134&amp;$AU$134&amp;"P"&amp;$A139))</f>
        <v>-1</v>
      </c>
      <c r="AW139" s="54">
        <f>IF(RTD("tos.rtd",,AW$2,"."&amp;$D$134&amp;$AW$134&amp;"C"&amp;$A139)="N/A",0,RTD("tos.rtd",,AW$2,"."&amp;$D$134&amp;$AW$134&amp;"C"&amp;$A139))</f>
        <v>69</v>
      </c>
      <c r="AX139" s="3">
        <f>-IF(RTD("tos.rtd",,AX$2,"."&amp;$D$134&amp;$AW$134&amp;"P"&amp;$A139)="N/A",0,RTD("tos.rtd",,AX$2,"."&amp;$D$134&amp;$AW$134&amp;"P"&amp;$A139))</f>
        <v>-95</v>
      </c>
      <c r="AY139" s="76">
        <f t="shared" ref="AY139:AY147" si="597">SUM(AS139:AX139)</f>
        <v>25</v>
      </c>
      <c r="AZ139" s="8">
        <f t="shared" si="545"/>
        <v>20400</v>
      </c>
      <c r="BA139" s="54">
        <f>IF(RTD("tos.rtd",,BA$43,"."&amp;$B$134&amp;$AS$82&amp;"C"&amp;$A139)="N/A",0,RTD("tos.rtd",,BA$43,"."&amp;$B$134&amp;$AS$82&amp;"C"&amp;$A139))</f>
        <v>188</v>
      </c>
      <c r="BB139" s="3">
        <f>-IF(RTD("tos.rtd",,BB$43,"."&amp;$B$134&amp;$AS$82&amp;"P"&amp;$A139)="N/A",0,RTD("tos.rtd",,BB$43,"."&amp;$B$134&amp;$AS$82&amp;"P"&amp;$A139))</f>
        <v>0</v>
      </c>
      <c r="BC139" s="54">
        <f>IF(RTD("tos.rtd",,BC$2,"."&amp;$C$134&amp;$AU$82&amp;"C"&amp;$A139)="N/A",0,RTD("tos.rtd",,BC$2,"."&amp;$C$134&amp;$AU$82&amp;"C"&amp;$A139))</f>
        <v>45</v>
      </c>
      <c r="BD139" s="3">
        <f>-IF(RTD("tos.rtd",,BD$2,"."&amp;$C$134&amp;$AU$82&amp;"P"&amp;$A139)="N/A",0,RTD("tos.rtd",,BD$2,"."&amp;$C$134&amp;$AU$82&amp;"P"&amp;$A139))</f>
        <v>0</v>
      </c>
      <c r="BE139" s="54">
        <f>IF(RTD("tos.rtd",,BE$2,"."&amp;$D$134&amp;$AW$82&amp;"C"&amp;$A139)="N/A",0,RTD("tos.rtd",,BE$2,"."&amp;$D$134&amp;$AW$82&amp;"C"&amp;$A139))</f>
        <v>2</v>
      </c>
      <c r="BF139" s="3">
        <f>-IF(RTD("tos.rtd",,BF$2,"."&amp;$D$134&amp;$AW$82&amp;"P"&amp;$A139)="N/A",0,RTD("tos.rtd",,BF$2,"."&amp;$D$134&amp;$AW$82&amp;"P"&amp;$A139))</f>
        <v>0</v>
      </c>
      <c r="BG139" s="3">
        <f ca="1">+Hoja2!Y140</f>
        <v>2</v>
      </c>
      <c r="BH139" s="7">
        <f t="shared" ca="1" si="546"/>
        <v>237</v>
      </c>
      <c r="BI139" s="32" t="str">
        <f ca="1">IF(AND(BH139&lt;0,BH138&gt;0), "Cruce -", IF(AND(BH139&gt;0,BH138&lt;0),"Cruce +", ""))</f>
        <v/>
      </c>
      <c r="BJ139" s="3" t="e">
        <f ca="1">IF($BP$1=1,DX139,IF(RTD("tos.rtd",,BJ$43,"."&amp;$B$134&amp;$AS$82&amp;"C"&amp;$A139)="N/A",0,RTD("tos.rtd",,BJ$43,"."&amp;$B$134&amp;$AS$82&amp;"C"&amp;$A139)))</f>
        <v>#NUM!</v>
      </c>
      <c r="BK139" s="3" t="e">
        <f ca="1">IF($BP$1=1,DY139,-IF(RTD("tos.rtd",,BK$43,"."&amp;$B$134&amp;$AS$82&amp;"P"&amp;$A139)="N/A",0,RTD("tos.rtd",,BK$43,"."&amp;$B$134&amp;$AS$82&amp;"P"&amp;$A139)))</f>
        <v>#NUM!</v>
      </c>
      <c r="BL139" s="3">
        <f ca="1">IF($BP$1=1,DZ139,IF(RTD("tos.rtd",,BL$2,"."&amp;$C$134&amp;$AU$82&amp;"C"&amp;$A139)="N/A",0,RTD("tos.rtd",,BL$2,"."&amp;$C$134&amp;$AU$82&amp;"C"&amp;$A139)))</f>
        <v>4.6007944398716698E-4</v>
      </c>
      <c r="BM139" s="3">
        <f ca="1">IF($BP$1=1,EA139,-IF(RTD("tos.rtd",,BM$2,"."&amp;$C$134&amp;$AU$82&amp;"P"&amp;$A139)="N/A",0,RTD("tos.rtd",,BM$2,"."&amp;$C$134&amp;$AU$82&amp;"P"&amp;$A139)))</f>
        <v>-4.3874771182670372E-4</v>
      </c>
      <c r="BN139" s="3">
        <f ca="1">IF($BP$1=1,EB139,IF(RTD("tos.rtd",,BN$2,"."&amp;$D$134&amp;$AW$82&amp;"C"&amp;$A139)="N/A",0,RTD("tos.rtd",,BN$2,"."&amp;$D$134&amp;$AW$82&amp;"C"&amp;$A139)))</f>
        <v>4.0342408342471716E-4</v>
      </c>
      <c r="BO139" s="3">
        <f ca="1">IF($BP$1=1,EC139,-IF(RTD("tos.rtd",,BO$2,"."&amp;$D$134&amp;$AW$82&amp;"P"&amp;$A139)="N/A",0,RTD("tos.rtd",,BO$2,"."&amp;$D$134&amp;$AW$82&amp;"P"&amp;$A139)))</f>
        <v>-3.6075088219903779E-4</v>
      </c>
      <c r="BQ139" s="3" t="e">
        <f t="shared" ref="BQ139:BQ147" ca="1" si="598">+$A$84*$A$84*AS139*BJ139-$A$84*$A$84*AT139*BK139</f>
        <v>#NUM!</v>
      </c>
      <c r="BR139" s="3" t="e">
        <f t="shared" ca="1" si="547"/>
        <v>#NUM!</v>
      </c>
      <c r="BS139" s="3">
        <f t="shared" ref="BS139:BS147" ca="1" si="599">+$A$84*$A$84*AU139*BL139-$A$84*$A$84*AV139*BM139</f>
        <v>321650.38339432457</v>
      </c>
      <c r="BT139" s="3" t="str">
        <f t="shared" ca="1" si="548"/>
        <v>Cruce +</v>
      </c>
      <c r="BU139" s="3">
        <f t="shared" ref="BU139:BU147" ca="1" si="600">+$A$84*$A$84*AW139*BN139-$A$84*$A$84*AX139*BO139</f>
        <v>-204064.59329385718</v>
      </c>
      <c r="BV139" s="3" t="str">
        <f t="shared" ca="1" si="548"/>
        <v/>
      </c>
      <c r="BX139" s="3" t="e">
        <f t="shared" ca="1" si="582"/>
        <v>#NUM!</v>
      </c>
      <c r="BY139" s="3" t="e">
        <f t="shared" ca="1" si="583"/>
        <v>#NUM!</v>
      </c>
      <c r="BZ139" s="3">
        <f t="shared" ca="1" si="584"/>
        <v>4907.2218478206023</v>
      </c>
      <c r="CA139" s="3" t="str">
        <f t="shared" ca="1" si="583"/>
        <v/>
      </c>
      <c r="CB139" s="3">
        <f t="shared" ca="1" si="585"/>
        <v>191.24151052042055</v>
      </c>
      <c r="CC139" s="3" t="str">
        <f t="shared" ca="1" si="583"/>
        <v/>
      </c>
      <c r="CD139" s="3">
        <f>IF(RTD("tos.rtd",,CD$43,"."&amp;$B$134&amp;$AS$82&amp;"C"&amp;$A139)="N/A",0,RTD("tos.rtd",,CD$43,"."&amp;$B$134&amp;$AS$82&amp;"C"&amp;$A139))</f>
        <v>0</v>
      </c>
      <c r="CE139" s="3">
        <f>-IF(RTD("tos.rtd",,CE$43,"."&amp;$B$134&amp;$AS$82&amp;"P"&amp;$A139)="N/A",0,RTD("tos.rtd",,CE$43,"."&amp;$B$134&amp;$AS$82&amp;"P"&amp;$A139))</f>
        <v>0.97</v>
      </c>
      <c r="CF139" s="3">
        <f>IF(RTD("tos.rtd",,CF$2,"."&amp;$C$134&amp;$AU$82&amp;"C"&amp;$A139)="N/A",0,RTD("tos.rtd",,CF$2,"."&amp;$C$134&amp;$AU$82&amp;"C"&amp;$A139))</f>
        <v>0.08</v>
      </c>
      <c r="CG139" s="3">
        <f>-IF(RTD("tos.rtd",,CG$2,"."&amp;$C$134&amp;$AU$82&amp;"P"&amp;$A139)="N/A",0,RTD("tos.rtd",,CG$2,"."&amp;$C$134&amp;$AU$82&amp;"P"&amp;$A139))</f>
        <v>1</v>
      </c>
      <c r="CH139" s="3">
        <f>IF(RTD("tos.rtd",,CH$2,"."&amp;$D$134&amp;$AW$82&amp;"C"&amp;$A139)="N/A",0,RTD("tos.rtd",,CH$2,"."&amp;$D$134&amp;$AW$82&amp;"C"&amp;$A139))</f>
        <v>0.23</v>
      </c>
      <c r="CI139" s="3">
        <f>-IF(RTD("tos.rtd",,CI$2,"."&amp;$D$134&amp;$AW$82&amp;"P"&amp;$A139)="N/A",0,RTD("tos.rtd",,CI$2,"."&amp;$D$134&amp;$AW$82&amp;"P"&amp;$A139))</f>
        <v>0.79</v>
      </c>
      <c r="CK139" s="3">
        <f t="shared" ref="CK139:CK147" si="601">+AS139*CD139*100+AT139*CE139*100</f>
        <v>0</v>
      </c>
      <c r="CL139" s="3"/>
      <c r="CM139" s="3">
        <f t="shared" ref="CM139:CM147" si="602">+AU139*CF139*100+AV139*CG139*100</f>
        <v>84</v>
      </c>
      <c r="CN139" s="3"/>
      <c r="CO139" s="3">
        <f t="shared" ref="CO139:CO147" si="603">+AW139*CH139*100+AX139*CI139*100</f>
        <v>-5918</v>
      </c>
      <c r="CP139" s="3">
        <f t="shared" si="539"/>
        <v>-5834</v>
      </c>
      <c r="CQ139" s="3">
        <f t="shared" si="549"/>
        <v>188</v>
      </c>
      <c r="CR139" s="3"/>
      <c r="CS139" s="3">
        <f t="shared" si="550"/>
        <v>45</v>
      </c>
      <c r="CT139" s="3"/>
      <c r="CU139" s="3">
        <f t="shared" si="551"/>
        <v>2</v>
      </c>
      <c r="CV139" s="3"/>
      <c r="CW139" s="3" t="e">
        <f t="shared" ca="1" si="552"/>
        <v>#NUM!</v>
      </c>
      <c r="CY139" s="3" t="e">
        <f t="shared" ca="1" si="553"/>
        <v>#NUM!</v>
      </c>
      <c r="CZ139" s="70" t="e">
        <f t="shared" ca="1" si="586"/>
        <v>#NUM!</v>
      </c>
      <c r="DA139" s="3">
        <f>IF(RTD("tos.rtd",,DA$43,"."&amp;$B$134&amp;$AS$82&amp;"C"&amp;$A139)="N/A",0,RTD("tos.rtd",,DA$43,"."&amp;$B$134&amp;$AS$82&amp;"C"&amp;$A139))</f>
        <v>0.15</v>
      </c>
      <c r="DB139" s="3">
        <f>IF(RTD("tos.rtd",,DB$43,"."&amp;$B$134&amp;$AS$82&amp;"P"&amp;$A139)="N/A",0,RTD("tos.rtd",,DB$43,"."&amp;$B$134&amp;$AS$82&amp;"P"&amp;$A139))</f>
        <v>0</v>
      </c>
      <c r="DC139" s="3">
        <f>IF(RTD("tos.rtd",,DC$43,"."&amp;$B$134&amp;$AS$82&amp;"C"&amp;$A139)="N/A",0,RTD("tos.rtd",,DC$43,"."&amp;$B$134&amp;$AS$82&amp;"C"&amp;$A139))</f>
        <v>0.05</v>
      </c>
      <c r="DD139" s="3">
        <f>IF(RTD("tos.rtd",,DD$43,"."&amp;$B$134&amp;$AS$82&amp;"P"&amp;$A139)="N/A",0,RTD("tos.rtd",,DD$43,"."&amp;$B$134&amp;$AS$82&amp;"P"&amp;$A139))</f>
        <v>574</v>
      </c>
      <c r="DE139" s="3">
        <f>IF(RTD("tos.rtd",,DE$43,"."&amp;$B$134&amp;$AS$82&amp;"C"&amp;$A139)="N/A",0,RTD("tos.rtd",,DE$43,"."&amp;$B$134&amp;$AS$82&amp;"C"&amp;$A139))</f>
        <v>0</v>
      </c>
      <c r="DF139" s="3">
        <f>IF(RTD("tos.rtd",,DF$43,"."&amp;$B$134&amp;$AS$82&amp;"P"&amp;$A139)="N/A",0,RTD("tos.rtd",,DF$43,"."&amp;$B$134&amp;$AS$82&amp;"P"&amp;$A139))</f>
        <v>495.1</v>
      </c>
      <c r="DG139" s="86">
        <f t="shared" si="587"/>
        <v>532.02699999999822</v>
      </c>
      <c r="DH139" s="3">
        <f t="shared" si="554"/>
        <v>0</v>
      </c>
      <c r="DI139" s="3">
        <f t="shared" si="555"/>
        <v>0</v>
      </c>
      <c r="DJ139" s="3">
        <f t="shared" si="556"/>
        <v>0</v>
      </c>
      <c r="DK139" s="3">
        <f t="shared" si="557"/>
        <v>0</v>
      </c>
      <c r="DL139" s="3">
        <f t="shared" si="558"/>
        <v>0</v>
      </c>
      <c r="DM139" s="3">
        <f t="shared" si="559"/>
        <v>0</v>
      </c>
      <c r="DN139" s="64" t="str">
        <f t="shared" si="560"/>
        <v>UNKNOWN</v>
      </c>
      <c r="DO139" s="64" t="str">
        <f t="shared" si="561"/>
        <v>UNKNOWN</v>
      </c>
      <c r="DP139" s="3">
        <f t="shared" si="562"/>
        <v>0</v>
      </c>
      <c r="DQ139" s="3">
        <f t="shared" si="563"/>
        <v>0</v>
      </c>
      <c r="DR139" s="3" t="e">
        <f t="shared" ca="1" si="564"/>
        <v>#NUM!</v>
      </c>
      <c r="DS139" s="3">
        <f t="shared" si="565"/>
        <v>0</v>
      </c>
      <c r="DT139" s="3">
        <f t="shared" si="588"/>
        <v>0</v>
      </c>
      <c r="DU139" s="3">
        <f t="shared" si="589"/>
        <v>0</v>
      </c>
      <c r="DV139" s="3">
        <f t="shared" si="566"/>
        <v>-42</v>
      </c>
      <c r="DW139" s="3">
        <f t="shared" si="567"/>
        <v>0</v>
      </c>
      <c r="DX139" s="3" t="e">
        <f t="shared" ca="1" si="568"/>
        <v>#NUM!</v>
      </c>
      <c r="DY139" s="3" t="e">
        <f t="shared" ca="1" si="569"/>
        <v>#NUM!</v>
      </c>
      <c r="DZ139" s="3">
        <f t="shared" ca="1" si="570"/>
        <v>4.6007944398716698E-4</v>
      </c>
      <c r="EA139" s="3">
        <f t="shared" ca="1" si="571"/>
        <v>-4.3874771182670372E-4</v>
      </c>
      <c r="EB139" s="3">
        <f t="shared" ca="1" si="572"/>
        <v>4.0342408342471716E-4</v>
      </c>
      <c r="EC139" s="3">
        <f t="shared" ca="1" si="573"/>
        <v>-3.6075088219903779E-4</v>
      </c>
      <c r="ED139" s="63">
        <f t="shared" si="590"/>
        <v>-42</v>
      </c>
      <c r="EE139" s="59">
        <f t="shared" si="574"/>
        <v>1.0763</v>
      </c>
      <c r="EF139" s="59">
        <f t="shared" si="575"/>
        <v>1.7863</v>
      </c>
      <c r="EG139" s="59">
        <f t="shared" si="576"/>
        <v>0.27529999999999999</v>
      </c>
      <c r="EH139" s="59">
        <f t="shared" si="577"/>
        <v>0.25</v>
      </c>
      <c r="EI139" s="59">
        <f t="shared" si="578"/>
        <v>0.22570000000000001</v>
      </c>
      <c r="EJ139" s="59">
        <f t="shared" si="579"/>
        <v>0.20580000000000001</v>
      </c>
      <c r="EL139" s="3" t="str">
        <f>RTD("tos.rtd",,EL$43,"."&amp;$B$134&amp;$AS$82&amp;"C"&amp;$A139)</f>
        <v>107.63%</v>
      </c>
      <c r="EM139" s="3" t="str">
        <f>RTD("tos.rtd",,EM$43,"."&amp;$B$134&amp;$AS$82&amp;"P"&amp;$A139)</f>
        <v>178.63%</v>
      </c>
      <c r="EN139" s="3" t="str">
        <f>RTD("tos.rtd",,EN$2,"."&amp;$C$134&amp;$AU$82&amp;"C"&amp;$A139)</f>
        <v>27.53%</v>
      </c>
      <c r="EO139" s="3" t="str">
        <f>RTD("tos.rtd",,EO$2,"."&amp;$C$134&amp;$AU$82&amp;"P"&amp;$A139)</f>
        <v>--</v>
      </c>
      <c r="EP139" s="3" t="str">
        <f>RTD("tos.rtd",,EP$2,"."&amp;$D$134&amp;$AW$82&amp;"C"&amp;$A139)</f>
        <v>22.57%</v>
      </c>
      <c r="EQ139" s="3" t="str">
        <f>RTD("tos.rtd",,EQ$2,"."&amp;$D$134&amp;$AW$82&amp;"P"&amp;$A139)</f>
        <v>20.58%</v>
      </c>
      <c r="ES139" s="63" t="str">
        <f t="shared" si="580"/>
        <v>20400,-42.00</v>
      </c>
      <c r="ET139" s="64" t="str">
        <f t="shared" ca="1" si="581"/>
        <v>20400,00.00</v>
      </c>
      <c r="EU139" s="67">
        <v>562.25</v>
      </c>
      <c r="EV139" s="67" t="s">
        <v>1132</v>
      </c>
      <c r="EW139" s="67">
        <v>484.7</v>
      </c>
      <c r="EX139" s="67" t="s">
        <v>1133</v>
      </c>
      <c r="EY139" s="67">
        <v>5636.5</v>
      </c>
      <c r="EZ139" s="67" t="s">
        <v>1134</v>
      </c>
      <c r="FA139" s="67">
        <v>19910.75</v>
      </c>
      <c r="FB139" s="67" t="s">
        <v>1135</v>
      </c>
      <c r="FC139" s="67" t="s">
        <v>1136</v>
      </c>
      <c r="FD139" s="67" t="s">
        <v>1137</v>
      </c>
      <c r="FE139" s="68" t="s">
        <v>1138</v>
      </c>
      <c r="FF139" s="68" t="s">
        <v>1139</v>
      </c>
    </row>
    <row r="140" spans="1:162" ht="11.1" customHeight="1" thickBot="1" x14ac:dyDescent="0.25">
      <c r="A140" s="2">
        <f t="shared" si="591"/>
        <v>20375</v>
      </c>
      <c r="B140" s="3">
        <f t="shared" si="592"/>
        <v>4</v>
      </c>
      <c r="C140" s="3">
        <f t="shared" si="593"/>
        <v>7</v>
      </c>
      <c r="D140" s="3">
        <f t="shared" ref="D140:D144" si="604">+IF($A$1="ABS",AW140-AX140,AW140+AX140)</f>
        <v>17</v>
      </c>
      <c r="E140" s="3">
        <f t="shared" si="594"/>
        <v>28</v>
      </c>
      <c r="F140" s="4">
        <f t="shared" si="595"/>
        <v>20608.846206907972</v>
      </c>
      <c r="G140" s="5">
        <f t="shared" si="596"/>
        <v>499.27432204583727</v>
      </c>
      <c r="AM140" s="1">
        <v>10</v>
      </c>
      <c r="AN140" s="1">
        <v>0</v>
      </c>
      <c r="AO140" s="1">
        <v>20375</v>
      </c>
      <c r="AP140" s="1">
        <v>17</v>
      </c>
      <c r="AQ140" s="1">
        <v>0</v>
      </c>
      <c r="AS140" s="54">
        <f>IF(RTD("tos.rtd",,AS$83,"."&amp;$B$134&amp;$AS$82&amp;"C"&amp;$A140)="N/A",0,RTD("tos.rtd",,AS$83,"."&amp;$B$134&amp;$AS$82&amp;"C"&amp;$A140))</f>
        <v>4</v>
      </c>
      <c r="AT140" s="3">
        <f>-IF(RTD("tos.rtd",,AT$83,"."&amp;$B$134&amp;$AS$82&amp;"P"&amp;$A140)="N/A",0,RTD("tos.rtd",,AT$83,"."&amp;$B$134&amp;$AS$82&amp;"P"&amp;$A140))</f>
        <v>0</v>
      </c>
      <c r="AU140" s="54">
        <f>IF(RTD("tos.rtd",,AU$2,"."&amp;$C$134&amp;$AU$134&amp;"C"&amp;$A140)="N/A",0,RTD("tos.rtd",,AU$2,"."&amp;$C$134&amp;$AU$134&amp;"C"&amp;$A140))</f>
        <v>6</v>
      </c>
      <c r="AV140" s="3">
        <f>-IF(RTD("tos.rtd",,AV$2,"."&amp;$C$134&amp;$AU$134&amp;"P"&amp;$A140)="N/A",0,RTD("tos.rtd",,AV$2,"."&amp;$C$134&amp;$AU$134&amp;"P"&amp;$A140))</f>
        <v>-1</v>
      </c>
      <c r="AW140" s="54">
        <f>IF(RTD("tos.rtd",,AW$2,"."&amp;$D$134&amp;$AW$134&amp;"C"&amp;$A140)="N/A",0,RTD("tos.rtd",,AW$2,"."&amp;$D$134&amp;$AW$134&amp;"C"&amp;$A140))</f>
        <v>11</v>
      </c>
      <c r="AX140" s="3">
        <f>-IF(RTD("tos.rtd",,AX$2,"."&amp;$D$134&amp;$AW$134&amp;"P"&amp;$A140)="N/A",0,RTD("tos.rtd",,AX$2,"."&amp;$D$134&amp;$AW$134&amp;"P"&amp;$A140))</f>
        <v>-6</v>
      </c>
      <c r="AY140" s="76">
        <f t="shared" si="597"/>
        <v>14</v>
      </c>
      <c r="AZ140" s="8">
        <f t="shared" si="545"/>
        <v>20375</v>
      </c>
      <c r="BA140" s="54">
        <f>IF(RTD("tos.rtd",,BA$43,"."&amp;$B$134&amp;$AS$82&amp;"C"&amp;$A140)="N/A",0,RTD("tos.rtd",,BA$43,"."&amp;$B$134&amp;$AS$82&amp;"C"&amp;$A140))</f>
        <v>17</v>
      </c>
      <c r="BB140" s="3">
        <f>-IF(RTD("tos.rtd",,BB$43,"."&amp;$B$134&amp;$AS$82&amp;"P"&amp;$A140)="N/A",0,RTD("tos.rtd",,BB$43,"."&amp;$B$134&amp;$AS$82&amp;"P"&amp;$A140))</f>
        <v>0</v>
      </c>
      <c r="BC140" s="54">
        <f>IF(RTD("tos.rtd",,BC$2,"."&amp;$C$134&amp;$AU$82&amp;"C"&amp;$A140)="N/A",0,RTD("tos.rtd",,BC$2,"."&amp;$C$134&amp;$AU$82&amp;"C"&amp;$A140))</f>
        <v>0</v>
      </c>
      <c r="BD140" s="3">
        <f>-IF(RTD("tos.rtd",,BD$2,"."&amp;$C$134&amp;$AU$82&amp;"P"&amp;$A140)="N/A",0,RTD("tos.rtd",,BD$2,"."&amp;$C$134&amp;$AU$82&amp;"P"&amp;$A140))</f>
        <v>0</v>
      </c>
      <c r="BE140" s="54">
        <f>IF(RTD("tos.rtd",,BE$2,"."&amp;$D$134&amp;$AW$82&amp;"C"&amp;$A140)="N/A",0,RTD("tos.rtd",,BE$2,"."&amp;$D$134&amp;$AW$82&amp;"C"&amp;$A140))</f>
        <v>0</v>
      </c>
      <c r="BF140" s="3">
        <f>-IF(RTD("tos.rtd",,BF$2,"."&amp;$D$134&amp;$AW$82&amp;"P"&amp;$A140)="N/A",0,RTD("tos.rtd",,BF$2,"."&amp;$D$134&amp;$AW$82&amp;"P"&amp;$A140))</f>
        <v>0</v>
      </c>
      <c r="BG140" s="3">
        <f ca="1">+Hoja2!Y141</f>
        <v>0</v>
      </c>
      <c r="BH140" s="7">
        <f t="shared" ca="1" si="546"/>
        <v>17</v>
      </c>
      <c r="BI140" s="32" t="str">
        <f t="shared" ref="BI140:BI189" ca="1" si="605">IF(AND(BH140&lt;0,BH139&gt;0), "Cruce -", IF(AND(BH140&gt;0,BH139&lt;0),"Cruce +", ""))</f>
        <v/>
      </c>
      <c r="BJ140" s="3" t="e">
        <f ca="1">IF($BP$1=1,DX140,IF(RTD("tos.rtd",,BJ$43,"."&amp;$B$134&amp;$AS$82&amp;"C"&amp;$A140)="N/A",0,RTD("tos.rtd",,BJ$43,"."&amp;$B$134&amp;$AS$82&amp;"C"&amp;$A140)))</f>
        <v>#NUM!</v>
      </c>
      <c r="BK140" s="3" t="e">
        <f ca="1">IF($BP$1=1,DY140,-IF(RTD("tos.rtd",,BK$43,"."&amp;$B$134&amp;$AS$82&amp;"P"&amp;$A140)="N/A",0,RTD("tos.rtd",,BK$43,"."&amp;$B$134&amp;$AS$82&amp;"P"&amp;$A140)))</f>
        <v>#NUM!</v>
      </c>
      <c r="BL140" s="3">
        <f ca="1">IF($BP$1=1,DZ140,IF(RTD("tos.rtd",,BL$2,"."&amp;$C$134&amp;$AU$82&amp;"C"&amp;$A140)="N/A",0,RTD("tos.rtd",,BL$2,"."&amp;$C$134&amp;$AU$82&amp;"C"&amp;$A140)))</f>
        <v>4.8890918551877313E-4</v>
      </c>
      <c r="BM140" s="3">
        <f ca="1">IF($BP$1=1,EA140,-IF(RTD("tos.rtd",,BM$2,"."&amp;$C$134&amp;$AU$82&amp;"P"&amp;$A140)="N/A",0,RTD("tos.rtd",,BM$2,"."&amp;$C$134&amp;$AU$82&amp;"P"&amp;$A140)))</f>
        <v>-4.7270604588127196E-4</v>
      </c>
      <c r="BN140" s="3">
        <f ca="1">IF($BP$1=1,EB140,IF(RTD("tos.rtd",,BN$2,"."&amp;$D$134&amp;$AW$82&amp;"C"&amp;$A140)="N/A",0,RTD("tos.rtd",,BN$2,"."&amp;$D$134&amp;$AW$82&amp;"C"&amp;$A140)))</f>
        <v>4.4325401589457208E-4</v>
      </c>
      <c r="BO140" s="3">
        <f ca="1">IF($BP$1=1,EC140,-IF(RTD("tos.rtd",,BO$2,"."&amp;$D$134&amp;$AW$82&amp;"P"&amp;$A140)="N/A",0,RTD("tos.rtd",,BO$2,"."&amp;$D$134&amp;$AW$82&amp;"P"&amp;$A140)))</f>
        <v>-4.1830603581591085E-4</v>
      </c>
      <c r="BQ140" s="3" t="e">
        <f t="shared" ca="1" si="598"/>
        <v>#NUM!</v>
      </c>
      <c r="BR140" s="3" t="e">
        <f t="shared" ca="1" si="547"/>
        <v>#NUM!</v>
      </c>
      <c r="BS140" s="3">
        <f t="shared" ca="1" si="599"/>
        <v>78033.587424973375</v>
      </c>
      <c r="BT140" s="3" t="str">
        <f t="shared" ca="1" si="548"/>
        <v/>
      </c>
      <c r="BU140" s="3">
        <f t="shared" ca="1" si="600"/>
        <v>75027.636815845821</v>
      </c>
      <c r="BV140" s="3" t="str">
        <f t="shared" ca="1" si="548"/>
        <v>Cruce +</v>
      </c>
      <c r="BX140" s="3" t="e">
        <f t="shared" ca="1" si="582"/>
        <v>#NUM!</v>
      </c>
      <c r="BY140" s="3" t="e">
        <f t="shared" ca="1" si="583"/>
        <v>#NUM!</v>
      </c>
      <c r="BZ140" s="3">
        <f t="shared" ca="1" si="584"/>
        <v>0</v>
      </c>
      <c r="CA140" s="3" t="str">
        <f t="shared" ca="1" si="583"/>
        <v/>
      </c>
      <c r="CB140" s="3">
        <f t="shared" ca="1" si="585"/>
        <v>0</v>
      </c>
      <c r="CC140" s="3" t="str">
        <f t="shared" ca="1" si="583"/>
        <v/>
      </c>
      <c r="CD140" s="3">
        <f>IF(RTD("tos.rtd",,CD$43,"."&amp;$B$134&amp;$AS$82&amp;"C"&amp;$A140)="N/A",0,RTD("tos.rtd",,CD$43,"."&amp;$B$134&amp;$AS$82&amp;"C"&amp;$A140))</f>
        <v>0</v>
      </c>
      <c r="CE140" s="3">
        <f>-IF(RTD("tos.rtd",,CE$43,"."&amp;$B$134&amp;$AS$82&amp;"P"&amp;$A140)="N/A",0,RTD("tos.rtd",,CE$43,"."&amp;$B$134&amp;$AS$82&amp;"P"&amp;$A140))</f>
        <v>0.97</v>
      </c>
      <c r="CF140" s="3">
        <f>IF(RTD("tos.rtd",,CF$2,"."&amp;$C$134&amp;$AU$82&amp;"C"&amp;$A140)="N/A",0,RTD("tos.rtd",,CF$2,"."&amp;$C$134&amp;$AU$82&amp;"C"&amp;$A140))</f>
        <v>0.09</v>
      </c>
      <c r="CG140" s="3">
        <f>-IF(RTD("tos.rtd",,CG$2,"."&amp;$C$134&amp;$AU$82&amp;"P"&amp;$A140)="N/A",0,RTD("tos.rtd",,CG$2,"."&amp;$C$134&amp;$AU$82&amp;"P"&amp;$A140))</f>
        <v>1</v>
      </c>
      <c r="CH140" s="3">
        <f>IF(RTD("tos.rtd",,CH$2,"."&amp;$D$134&amp;$AW$82&amp;"C"&amp;$A140)="N/A",0,RTD("tos.rtd",,CH$2,"."&amp;$D$134&amp;$AW$82&amp;"C"&amp;$A140))</f>
        <v>0.25</v>
      </c>
      <c r="CI140" s="3">
        <f>-IF(RTD("tos.rtd",,CI$2,"."&amp;$D$134&amp;$AW$82&amp;"P"&amp;$A140)="N/A",0,RTD("tos.rtd",,CI$2,"."&amp;$D$134&amp;$AW$82&amp;"P"&amp;$A140))</f>
        <v>0.77</v>
      </c>
      <c r="CK140" s="3">
        <f t="shared" si="601"/>
        <v>0</v>
      </c>
      <c r="CL140" s="3"/>
      <c r="CM140" s="3">
        <f t="shared" si="602"/>
        <v>-46</v>
      </c>
      <c r="CN140" s="3"/>
      <c r="CO140" s="3">
        <f t="shared" si="603"/>
        <v>-187</v>
      </c>
      <c r="CP140" s="3">
        <f t="shared" si="539"/>
        <v>-233</v>
      </c>
      <c r="CQ140" s="3">
        <f t="shared" si="549"/>
        <v>17</v>
      </c>
      <c r="CR140" s="3"/>
      <c r="CS140" s="3">
        <f t="shared" si="550"/>
        <v>0</v>
      </c>
      <c r="CT140" s="3"/>
      <c r="CU140" s="3">
        <f t="shared" si="551"/>
        <v>0</v>
      </c>
      <c r="CV140" s="3"/>
      <c r="CW140" s="3" t="e">
        <f t="shared" ca="1" si="552"/>
        <v>#NUM!</v>
      </c>
      <c r="CY140" s="3" t="e">
        <f t="shared" ca="1" si="553"/>
        <v>#NUM!</v>
      </c>
      <c r="CZ140" s="70" t="e">
        <f t="shared" ca="1" si="586"/>
        <v>#NUM!</v>
      </c>
      <c r="DA140" s="3">
        <f>IF(RTD("tos.rtd",,DA$43,"."&amp;$B$134&amp;$AS$82&amp;"C"&amp;$A140)="N/A",0,RTD("tos.rtd",,DA$43,"."&amp;$B$134&amp;$AS$82&amp;"C"&amp;$A140))</f>
        <v>0.2</v>
      </c>
      <c r="DB140" s="3">
        <f>IF(RTD("tos.rtd",,DB$43,"."&amp;$B$134&amp;$AS$82&amp;"P"&amp;$A140)="N/A",0,RTD("tos.rtd",,DB$43,"."&amp;$B$134&amp;$AS$82&amp;"P"&amp;$A140))</f>
        <v>0</v>
      </c>
      <c r="DC140" s="3">
        <f>IF(RTD("tos.rtd",,DC$43,"."&amp;$B$134&amp;$AS$82&amp;"C"&amp;$A140)="N/A",0,RTD("tos.rtd",,DC$43,"."&amp;$B$134&amp;$AS$82&amp;"C"&amp;$A140))</f>
        <v>0.3</v>
      </c>
      <c r="DD140" s="3">
        <f>IF(RTD("tos.rtd",,DD$43,"."&amp;$B$134&amp;$AS$82&amp;"P"&amp;$A140)="N/A",0,RTD("tos.rtd",,DD$43,"."&amp;$B$134&amp;$AS$82&amp;"P"&amp;$A140))</f>
        <v>550</v>
      </c>
      <c r="DE140" s="3">
        <f>IF(RTD("tos.rtd",,DE$43,"."&amp;$B$134&amp;$AS$82&amp;"C"&amp;$A140)="N/A",0,RTD("tos.rtd",,DE$43,"."&amp;$B$134&amp;$AS$82&amp;"C"&amp;$A140))</f>
        <v>0</v>
      </c>
      <c r="DF140" s="3">
        <f>IF(RTD("tos.rtd",,DF$43,"."&amp;$B$134&amp;$AS$82&amp;"P"&amp;$A140)="N/A",0,RTD("tos.rtd",,DF$43,"."&amp;$B$134&amp;$AS$82&amp;"P"&amp;$A140))</f>
        <v>470.1</v>
      </c>
      <c r="DG140" s="86">
        <f t="shared" si="587"/>
        <v>507.02699999999822</v>
      </c>
      <c r="DH140" s="3">
        <f t="shared" si="554"/>
        <v>0</v>
      </c>
      <c r="DI140" s="3">
        <f t="shared" si="555"/>
        <v>0</v>
      </c>
      <c r="DJ140" s="3">
        <f t="shared" si="556"/>
        <v>0</v>
      </c>
      <c r="DK140" s="3">
        <f t="shared" si="557"/>
        <v>0</v>
      </c>
      <c r="DL140" s="3">
        <f t="shared" si="558"/>
        <v>0</v>
      </c>
      <c r="DM140" s="3">
        <f t="shared" si="559"/>
        <v>0</v>
      </c>
      <c r="DN140" s="64" t="str">
        <f t="shared" si="560"/>
        <v>UNKNOWN</v>
      </c>
      <c r="DO140" s="64" t="str">
        <f t="shared" si="561"/>
        <v>UNKNOWN</v>
      </c>
      <c r="DP140" s="3">
        <f t="shared" si="562"/>
        <v>0</v>
      </c>
      <c r="DQ140" s="3">
        <f t="shared" si="563"/>
        <v>0</v>
      </c>
      <c r="DR140" s="3" t="e">
        <f t="shared" ca="1" si="564"/>
        <v>#NUM!</v>
      </c>
      <c r="DS140" s="3">
        <f t="shared" si="565"/>
        <v>0</v>
      </c>
      <c r="DT140" s="3">
        <f t="shared" si="588"/>
        <v>0</v>
      </c>
      <c r="DU140" s="3">
        <f t="shared" si="589"/>
        <v>0</v>
      </c>
      <c r="DV140" s="3">
        <f t="shared" si="566"/>
        <v>10</v>
      </c>
      <c r="DW140" s="3">
        <f t="shared" si="567"/>
        <v>0</v>
      </c>
      <c r="DX140" s="3" t="e">
        <f t="shared" ca="1" si="568"/>
        <v>#NUM!</v>
      </c>
      <c r="DY140" s="3" t="e">
        <f t="shared" ca="1" si="569"/>
        <v>#NUM!</v>
      </c>
      <c r="DZ140" s="3">
        <f t="shared" ca="1" si="570"/>
        <v>4.8890918551877313E-4</v>
      </c>
      <c r="EA140" s="3">
        <f t="shared" ca="1" si="571"/>
        <v>-4.7270604588127196E-4</v>
      </c>
      <c r="EB140" s="3">
        <f t="shared" ca="1" si="572"/>
        <v>4.4325401589457208E-4</v>
      </c>
      <c r="EC140" s="3">
        <f t="shared" ca="1" si="573"/>
        <v>-4.1830603581591085E-4</v>
      </c>
      <c r="ED140" s="63">
        <f t="shared" si="590"/>
        <v>10</v>
      </c>
      <c r="EE140" s="59">
        <f t="shared" si="574"/>
        <v>1.2013</v>
      </c>
      <c r="EF140" s="59">
        <f t="shared" si="575"/>
        <v>1.7684</v>
      </c>
      <c r="EG140" s="59">
        <f t="shared" si="576"/>
        <v>0.27460000000000001</v>
      </c>
      <c r="EH140" s="59">
        <f t="shared" si="577"/>
        <v>0.25</v>
      </c>
      <c r="EI140" s="59">
        <f t="shared" si="578"/>
        <v>0.22639999999999999</v>
      </c>
      <c r="EJ140" s="59">
        <f t="shared" si="579"/>
        <v>0.21279999999999999</v>
      </c>
      <c r="EL140" s="3" t="str">
        <f>RTD("tos.rtd",,EL$43,"."&amp;$B$134&amp;$AS$82&amp;"C"&amp;$A140)</f>
        <v>120.13%</v>
      </c>
      <c r="EM140" s="3" t="str">
        <f>RTD("tos.rtd",,EM$43,"."&amp;$B$134&amp;$AS$82&amp;"P"&amp;$A140)</f>
        <v>176.84%</v>
      </c>
      <c r="EN140" s="3" t="str">
        <f>RTD("tos.rtd",,EN$2,"."&amp;$C$134&amp;$AU$82&amp;"C"&amp;$A140)</f>
        <v>27.46%</v>
      </c>
      <c r="EO140" s="3" t="str">
        <f>RTD("tos.rtd",,EO$2,"."&amp;$C$134&amp;$AU$82&amp;"P"&amp;$A140)</f>
        <v>--</v>
      </c>
      <c r="EP140" s="3" t="str">
        <f>RTD("tos.rtd",,EP$2,"."&amp;$D$134&amp;$AW$82&amp;"C"&amp;$A140)</f>
        <v>22.64%</v>
      </c>
      <c r="EQ140" s="3" t="str">
        <f>RTD("tos.rtd",,EQ$2,"."&amp;$D$134&amp;$AW$82&amp;"P"&amp;$A140)</f>
        <v>21.28%</v>
      </c>
      <c r="ES140" s="63" t="str">
        <f t="shared" si="580"/>
        <v>20375,10.00</v>
      </c>
      <c r="ET140" s="64" t="str">
        <f t="shared" ca="1" si="581"/>
        <v>20375,00.00</v>
      </c>
      <c r="EU140" s="67">
        <v>562.25</v>
      </c>
      <c r="EV140" s="67" t="s">
        <v>1140</v>
      </c>
      <c r="EW140" s="67">
        <v>484.67</v>
      </c>
      <c r="EX140" s="67" t="s">
        <v>1141</v>
      </c>
      <c r="EY140" s="67">
        <v>5636.25</v>
      </c>
      <c r="EZ140" s="67" t="s">
        <v>1142</v>
      </c>
      <c r="FA140" s="67">
        <v>19909.5</v>
      </c>
      <c r="FB140" s="67" t="s">
        <v>1143</v>
      </c>
      <c r="FC140" s="67" t="s">
        <v>1144</v>
      </c>
      <c r="FD140" s="67" t="s">
        <v>1145</v>
      </c>
      <c r="FE140" s="68" t="s">
        <v>1146</v>
      </c>
      <c r="FF140" s="68" t="s">
        <v>1147</v>
      </c>
    </row>
    <row r="141" spans="1:162" ht="11.1" customHeight="1" thickBot="1" x14ac:dyDescent="0.25">
      <c r="A141" s="2">
        <f t="shared" si="591"/>
        <v>20350</v>
      </c>
      <c r="B141" s="3">
        <f t="shared" si="592"/>
        <v>12</v>
      </c>
      <c r="C141" s="3">
        <f t="shared" si="593"/>
        <v>38</v>
      </c>
      <c r="D141" s="3">
        <f t="shared" si="604"/>
        <v>27</v>
      </c>
      <c r="E141" s="3">
        <f t="shared" si="594"/>
        <v>77</v>
      </c>
      <c r="F141" s="4">
        <f t="shared" si="595"/>
        <v>20583.559279046734</v>
      </c>
      <c r="G141" s="5">
        <f t="shared" si="596"/>
        <v>498.66171551571966</v>
      </c>
      <c r="AM141" s="1">
        <v>-38</v>
      </c>
      <c r="AN141" s="1">
        <v>0</v>
      </c>
      <c r="AO141" s="1">
        <v>20350</v>
      </c>
      <c r="AP141" s="1">
        <v>98</v>
      </c>
      <c r="AQ141" s="1">
        <v>0</v>
      </c>
      <c r="AS141" s="54">
        <f>IF(RTD("tos.rtd",,AS$83,"."&amp;$B$134&amp;$AS$82&amp;"C"&amp;$A141)="N/A",0,RTD("tos.rtd",,AS$83,"."&amp;$B$134&amp;$AS$82&amp;"C"&amp;$A141))</f>
        <v>12</v>
      </c>
      <c r="AT141" s="3">
        <f>-IF(RTD("tos.rtd",,AT$83,"."&amp;$B$134&amp;$AS$82&amp;"P"&amp;$A141)="N/A",0,RTD("tos.rtd",,AT$83,"."&amp;$B$134&amp;$AS$82&amp;"P"&amp;$A141))</f>
        <v>0</v>
      </c>
      <c r="AU141" s="54">
        <f>IF(RTD("tos.rtd",,AU$2,"."&amp;$C$134&amp;$AU$134&amp;"C"&amp;$A141)="N/A",0,RTD("tos.rtd",,AU$2,"."&amp;$C$134&amp;$AU$134&amp;"C"&amp;$A141))</f>
        <v>38</v>
      </c>
      <c r="AV141" s="3">
        <f>-IF(RTD("tos.rtd",,AV$2,"."&amp;$C$134&amp;$AU$134&amp;"P"&amp;$A141)="N/A",0,RTD("tos.rtd",,AV$2,"."&amp;$C$134&amp;$AU$134&amp;"P"&amp;$A141))</f>
        <v>0</v>
      </c>
      <c r="AW141" s="54">
        <f>IF(RTD("tos.rtd",,AW$2,"."&amp;$D$134&amp;$AW$134&amp;"C"&amp;$A141)="N/A",0,RTD("tos.rtd",,AW$2,"."&amp;$D$134&amp;$AW$134&amp;"C"&amp;$A141))</f>
        <v>16</v>
      </c>
      <c r="AX141" s="3">
        <f>-IF(RTD("tos.rtd",,AX$2,"."&amp;$D$134&amp;$AW$134&amp;"P"&amp;$A141)="N/A",0,RTD("tos.rtd",,AX$2,"."&amp;$D$134&amp;$AW$134&amp;"P"&amp;$A141))</f>
        <v>-11</v>
      </c>
      <c r="AY141" s="76">
        <f t="shared" si="597"/>
        <v>55</v>
      </c>
      <c r="AZ141" s="8">
        <f t="shared" si="545"/>
        <v>20350</v>
      </c>
      <c r="BA141" s="54">
        <f>IF(RTD("tos.rtd",,BA$43,"."&amp;$B$134&amp;$AS$82&amp;"C"&amp;$A141)="N/A",0,RTD("tos.rtd",,BA$43,"."&amp;$B$134&amp;$AS$82&amp;"C"&amp;$A141))</f>
        <v>98</v>
      </c>
      <c r="BB141" s="3">
        <f>-IF(RTD("tos.rtd",,BB$43,"."&amp;$B$134&amp;$AS$82&amp;"P"&amp;$A141)="N/A",0,RTD("tos.rtd",,BB$43,"."&amp;$B$134&amp;$AS$82&amp;"P"&amp;$A141))</f>
        <v>0</v>
      </c>
      <c r="BC141" s="54">
        <f>IF(RTD("tos.rtd",,BC$2,"."&amp;$C$134&amp;$AU$82&amp;"C"&amp;$A141)="N/A",0,RTD("tos.rtd",,BC$2,"."&amp;$C$134&amp;$AU$82&amp;"C"&amp;$A141))</f>
        <v>55</v>
      </c>
      <c r="BD141" s="3">
        <f>-IF(RTD("tos.rtd",,BD$2,"."&amp;$C$134&amp;$AU$82&amp;"P"&amp;$A141)="N/A",0,RTD("tos.rtd",,BD$2,"."&amp;$C$134&amp;$AU$82&amp;"P"&amp;$A141))</f>
        <v>0</v>
      </c>
      <c r="BE141" s="54">
        <f>IF(RTD("tos.rtd",,BE$2,"."&amp;$D$134&amp;$AW$82&amp;"C"&amp;$A141)="N/A",0,RTD("tos.rtd",,BE$2,"."&amp;$D$134&amp;$AW$82&amp;"C"&amp;$A141))</f>
        <v>0</v>
      </c>
      <c r="BF141" s="3">
        <f>-IF(RTD("tos.rtd",,BF$2,"."&amp;$D$134&amp;$AW$82&amp;"P"&amp;$A141)="N/A",0,RTD("tos.rtd",,BF$2,"."&amp;$D$134&amp;$AW$82&amp;"P"&amp;$A141))</f>
        <v>0</v>
      </c>
      <c r="BG141" s="3">
        <f ca="1">+Hoja2!Y142</f>
        <v>1</v>
      </c>
      <c r="BH141" s="7">
        <f t="shared" ca="1" si="546"/>
        <v>154</v>
      </c>
      <c r="BI141" s="32" t="str">
        <f t="shared" ca="1" si="605"/>
        <v/>
      </c>
      <c r="BJ141" s="3" t="e">
        <f ca="1">IF($BP$1=1,DX141,IF(RTD("tos.rtd",,BJ$43,"."&amp;$B$134&amp;$AS$82&amp;"C"&amp;$A141)="N/A",0,RTD("tos.rtd",,BJ$43,"."&amp;$B$134&amp;$AS$82&amp;"C"&amp;$A141)))</f>
        <v>#NUM!</v>
      </c>
      <c r="BK141" s="3" t="e">
        <f ca="1">IF($BP$1=1,DY141,-IF(RTD("tos.rtd",,BK$43,"."&amp;$B$134&amp;$AS$82&amp;"P"&amp;$A141)="N/A",0,RTD("tos.rtd",,BK$43,"."&amp;$B$134&amp;$AS$82&amp;"P"&amp;$A141)))</f>
        <v>#NUM!</v>
      </c>
      <c r="BL141" s="3">
        <f ca="1">IF($BP$1=1,DZ141,IF(RTD("tos.rtd",,BL$2,"."&amp;$C$134&amp;$AU$82&amp;"C"&amp;$A141)="N/A",0,RTD("tos.rtd",,BL$2,"."&amp;$C$134&amp;$AU$82&amp;"C"&amp;$A141)))</f>
        <v>5.1852225639224966E-4</v>
      </c>
      <c r="BM141" s="3">
        <f ca="1">IF($BP$1=1,EA141,-IF(RTD("tos.rtd",,BM$2,"."&amp;$C$134&amp;$AU$82&amp;"P"&amp;$A141)="N/A",0,RTD("tos.rtd",,BM$2,"."&amp;$C$134&amp;$AU$82&amp;"P"&amp;$A141)))</f>
        <v>-5.0750066484044965E-4</v>
      </c>
      <c r="BN141" s="3">
        <f ca="1">IF($BP$1=1,EB141,IF(RTD("tos.rtd",,BN$2,"."&amp;$D$134&amp;$AW$82&amp;"C"&amp;$A141)="N/A",0,RTD("tos.rtd",,BN$2,"."&amp;$D$134&amp;$AW$82&amp;"C"&amp;$A141)))</f>
        <v>4.8477400438545905E-4</v>
      </c>
      <c r="BO141" s="3">
        <f ca="1">IF($BP$1=1,EC141,-IF(RTD("tos.rtd",,BO$2,"."&amp;$D$134&amp;$AW$82&amp;"P"&amp;$A141)="N/A",0,RTD("tos.rtd",,BO$2,"."&amp;$D$134&amp;$AW$82&amp;"P"&amp;$A141)))</f>
        <v>-4.6352323918231856E-4</v>
      </c>
      <c r="BQ141" s="3" t="e">
        <f t="shared" ca="1" si="598"/>
        <v>#NUM!</v>
      </c>
      <c r="BR141" s="3" t="e">
        <f t="shared" ca="1" si="547"/>
        <v>#NUM!</v>
      </c>
      <c r="BS141" s="3">
        <f t="shared" ca="1" si="599"/>
        <v>624834.84799900511</v>
      </c>
      <c r="BT141" s="3" t="str">
        <f t="shared" ca="1" si="548"/>
        <v/>
      </c>
      <c r="BU141" s="3">
        <f t="shared" ca="1" si="600"/>
        <v>84276.891094695311</v>
      </c>
      <c r="BV141" s="3" t="str">
        <f t="shared" ca="1" si="548"/>
        <v/>
      </c>
      <c r="BX141" s="3" t="e">
        <f t="shared" ca="1" si="582"/>
        <v>#NUM!</v>
      </c>
      <c r="BY141" s="3" t="e">
        <f t="shared" ca="1" si="583"/>
        <v>#NUM!</v>
      </c>
      <c r="BZ141" s="3">
        <f t="shared" ca="1" si="584"/>
        <v>6759.5913325261927</v>
      </c>
      <c r="CA141" s="3" t="str">
        <f t="shared" ca="1" si="583"/>
        <v/>
      </c>
      <c r="CB141" s="3">
        <f t="shared" ca="1" si="585"/>
        <v>0</v>
      </c>
      <c r="CC141" s="3" t="str">
        <f t="shared" ca="1" si="583"/>
        <v/>
      </c>
      <c r="CD141" s="3">
        <f>IF(RTD("tos.rtd",,CD$43,"."&amp;$B$134&amp;$AS$82&amp;"C"&amp;$A141)="N/A",0,RTD("tos.rtd",,CD$43,"."&amp;$B$134&amp;$AS$82&amp;"C"&amp;$A141))</f>
        <v>0</v>
      </c>
      <c r="CE141" s="3">
        <f>-IF(RTD("tos.rtd",,CE$43,"."&amp;$B$134&amp;$AS$82&amp;"P"&amp;$A141)="N/A",0,RTD("tos.rtd",,CE$43,"."&amp;$B$134&amp;$AS$82&amp;"P"&amp;$A141))</f>
        <v>0.97</v>
      </c>
      <c r="CF141" s="3">
        <f>IF(RTD("tos.rtd",,CF$2,"."&amp;$C$134&amp;$AU$82&amp;"C"&amp;$A141)="N/A",0,RTD("tos.rtd",,CF$2,"."&amp;$C$134&amp;$AU$82&amp;"C"&amp;$A141))</f>
        <v>0.11</v>
      </c>
      <c r="CG141" s="3">
        <f>-IF(RTD("tos.rtd",,CG$2,"."&amp;$C$134&amp;$AU$82&amp;"P"&amp;$A141)="N/A",0,RTD("tos.rtd",,CG$2,"."&amp;$C$134&amp;$AU$82&amp;"P"&amp;$A141))</f>
        <v>1</v>
      </c>
      <c r="CH141" s="3">
        <f>IF(RTD("tos.rtd",,CH$2,"."&amp;$D$134&amp;$AW$82&amp;"C"&amp;$A141)="N/A",0,RTD("tos.rtd",,CH$2,"."&amp;$D$134&amp;$AW$82&amp;"C"&amp;$A141))</f>
        <v>0.26</v>
      </c>
      <c r="CI141" s="3">
        <f>-IF(RTD("tos.rtd",,CI$2,"."&amp;$D$134&amp;$AW$82&amp;"P"&amp;$A141)="N/A",0,RTD("tos.rtd",,CI$2,"."&amp;$D$134&amp;$AW$82&amp;"P"&amp;$A141))</f>
        <v>0.75</v>
      </c>
      <c r="CK141" s="3">
        <f t="shared" si="601"/>
        <v>0</v>
      </c>
      <c r="CL141" s="3"/>
      <c r="CM141" s="3">
        <f t="shared" si="602"/>
        <v>418</v>
      </c>
      <c r="CN141" s="3"/>
      <c r="CO141" s="3">
        <f t="shared" si="603"/>
        <v>-409</v>
      </c>
      <c r="CP141" s="3">
        <f t="shared" si="539"/>
        <v>9</v>
      </c>
      <c r="CQ141" s="3">
        <f t="shared" si="549"/>
        <v>98</v>
      </c>
      <c r="CR141" s="3"/>
      <c r="CS141" s="3">
        <f t="shared" si="550"/>
        <v>55</v>
      </c>
      <c r="CT141" s="3"/>
      <c r="CU141" s="3">
        <f t="shared" si="551"/>
        <v>0</v>
      </c>
      <c r="CV141" s="3"/>
      <c r="CW141" s="3" t="e">
        <f t="shared" ca="1" si="552"/>
        <v>#NUM!</v>
      </c>
      <c r="CY141" s="3" t="e">
        <f t="shared" ca="1" si="553"/>
        <v>#NUM!</v>
      </c>
      <c r="CZ141" s="70" t="e">
        <f t="shared" ca="1" si="586"/>
        <v>#NUM!</v>
      </c>
      <c r="DA141" s="3">
        <f>IF(RTD("tos.rtd",,DA$43,"."&amp;$B$134&amp;$AS$82&amp;"C"&amp;$A141)="N/A",0,RTD("tos.rtd",,DA$43,"."&amp;$B$134&amp;$AS$82&amp;"C"&amp;$A141))</f>
        <v>0.05</v>
      </c>
      <c r="DB141" s="3">
        <f>IF(RTD("tos.rtd",,DB$43,"."&amp;$B$134&amp;$AS$82&amp;"P"&amp;$A141)="N/A",0,RTD("tos.rtd",,DB$43,"."&amp;$B$134&amp;$AS$82&amp;"P"&amp;$A141))</f>
        <v>0</v>
      </c>
      <c r="DC141" s="3">
        <f>IF(RTD("tos.rtd",,DC$43,"."&amp;$B$134&amp;$AS$82&amp;"C"&amp;$A141)="N/A",0,RTD("tos.rtd",,DC$43,"."&amp;$B$134&amp;$AS$82&amp;"C"&amp;$A141))</f>
        <v>0.5</v>
      </c>
      <c r="DD141" s="3">
        <f>IF(RTD("tos.rtd",,DD$43,"."&amp;$B$134&amp;$AS$82&amp;"P"&amp;$A141)="N/A",0,RTD("tos.rtd",,DD$43,"."&amp;$B$134&amp;$AS$82&amp;"P"&amp;$A141))</f>
        <v>524</v>
      </c>
      <c r="DE141" s="3">
        <f>IF(RTD("tos.rtd",,DE$43,"."&amp;$B$134&amp;$AS$82&amp;"C"&amp;$A141)="N/A",0,RTD("tos.rtd",,DE$43,"."&amp;$B$134&amp;$AS$82&amp;"C"&amp;$A141))</f>
        <v>0</v>
      </c>
      <c r="DF141" s="3">
        <f>IF(RTD("tos.rtd",,DF$43,"."&amp;$B$134&amp;$AS$82&amp;"P"&amp;$A141)="N/A",0,RTD("tos.rtd",,DF$43,"."&amp;$B$134&amp;$AS$82&amp;"P"&amp;$A141))</f>
        <v>445.1</v>
      </c>
      <c r="DG141" s="86">
        <f t="shared" si="587"/>
        <v>482.02699999999822</v>
      </c>
      <c r="DH141" s="3">
        <f t="shared" si="554"/>
        <v>0</v>
      </c>
      <c r="DI141" s="3">
        <f t="shared" si="555"/>
        <v>0</v>
      </c>
      <c r="DJ141" s="3">
        <f t="shared" si="556"/>
        <v>0</v>
      </c>
      <c r="DK141" s="3">
        <f t="shared" si="557"/>
        <v>0</v>
      </c>
      <c r="DL141" s="3">
        <f t="shared" si="558"/>
        <v>0</v>
      </c>
      <c r="DM141" s="3">
        <f t="shared" si="559"/>
        <v>0</v>
      </c>
      <c r="DN141" s="64" t="str">
        <f t="shared" si="560"/>
        <v>UNKNOWN</v>
      </c>
      <c r="DO141" s="64" t="str">
        <f t="shared" si="561"/>
        <v>UNKNOWN</v>
      </c>
      <c r="DP141" s="3">
        <f t="shared" si="562"/>
        <v>0</v>
      </c>
      <c r="DQ141" s="3">
        <f t="shared" si="563"/>
        <v>0</v>
      </c>
      <c r="DR141" s="3" t="e">
        <f t="shared" ca="1" si="564"/>
        <v>#NUM!</v>
      </c>
      <c r="DS141" s="3">
        <f t="shared" si="565"/>
        <v>0</v>
      </c>
      <c r="DT141" s="3">
        <f t="shared" si="588"/>
        <v>0</v>
      </c>
      <c r="DU141" s="3">
        <f t="shared" si="589"/>
        <v>0</v>
      </c>
      <c r="DV141" s="3">
        <f t="shared" si="566"/>
        <v>-38</v>
      </c>
      <c r="DW141" s="3">
        <f t="shared" si="567"/>
        <v>0</v>
      </c>
      <c r="DX141" s="3" t="e">
        <f t="shared" ca="1" si="568"/>
        <v>#NUM!</v>
      </c>
      <c r="DY141" s="3" t="e">
        <f t="shared" ca="1" si="569"/>
        <v>#NUM!</v>
      </c>
      <c r="DZ141" s="3">
        <f t="shared" ca="1" si="570"/>
        <v>5.1852225639224966E-4</v>
      </c>
      <c r="EA141" s="3">
        <f t="shared" ca="1" si="571"/>
        <v>-5.0750066484044965E-4</v>
      </c>
      <c r="EB141" s="3">
        <f t="shared" ca="1" si="572"/>
        <v>4.8477400438545905E-4</v>
      </c>
      <c r="EC141" s="3">
        <f t="shared" ca="1" si="573"/>
        <v>-4.6352323918231856E-4</v>
      </c>
      <c r="ED141" s="63">
        <f t="shared" si="590"/>
        <v>-38</v>
      </c>
      <c r="EE141" s="59">
        <f t="shared" si="574"/>
        <v>1.21</v>
      </c>
      <c r="EF141" s="59">
        <f t="shared" si="575"/>
        <v>1.6468</v>
      </c>
      <c r="EG141" s="59">
        <f t="shared" si="576"/>
        <v>0.2747</v>
      </c>
      <c r="EH141" s="59">
        <f t="shared" si="577"/>
        <v>0.25</v>
      </c>
      <c r="EI141" s="59">
        <f t="shared" si="578"/>
        <v>0.22739999999999999</v>
      </c>
      <c r="EJ141" s="59">
        <f t="shared" si="579"/>
        <v>0.21390000000000001</v>
      </c>
      <c r="EL141" s="3" t="str">
        <f>RTD("tos.rtd",,EL$43,"."&amp;$B$134&amp;$AS$82&amp;"C"&amp;$A141)</f>
        <v>121.00%</v>
      </c>
      <c r="EM141" s="3" t="str">
        <f>RTD("tos.rtd",,EM$43,"."&amp;$B$134&amp;$AS$82&amp;"P"&amp;$A141)</f>
        <v>164.68%</v>
      </c>
      <c r="EN141" s="3" t="str">
        <f>RTD("tos.rtd",,EN$2,"."&amp;$C$134&amp;$AU$82&amp;"C"&amp;$A141)</f>
        <v>27.47%</v>
      </c>
      <c r="EO141" s="3" t="str">
        <f>RTD("tos.rtd",,EO$2,"."&amp;$C$134&amp;$AU$82&amp;"P"&amp;$A141)</f>
        <v>--</v>
      </c>
      <c r="EP141" s="3" t="str">
        <f>RTD("tos.rtd",,EP$2,"."&amp;$D$134&amp;$AW$82&amp;"C"&amp;$A141)</f>
        <v>22.74%</v>
      </c>
      <c r="EQ141" s="3" t="str">
        <f>RTD("tos.rtd",,EQ$2,"."&amp;$D$134&amp;$AW$82&amp;"P"&amp;$A141)</f>
        <v>21.39%</v>
      </c>
      <c r="ES141" s="63" t="str">
        <f t="shared" si="580"/>
        <v>20350,-38.00</v>
      </c>
      <c r="ET141" s="64" t="str">
        <f t="shared" ca="1" si="581"/>
        <v>20350,00.00</v>
      </c>
      <c r="EU141" s="67">
        <v>562.21</v>
      </c>
      <c r="EV141" s="67" t="s">
        <v>1148</v>
      </c>
      <c r="EW141" s="67">
        <v>484.64</v>
      </c>
      <c r="EX141" s="67" t="s">
        <v>1149</v>
      </c>
      <c r="EY141" s="67">
        <v>5635.75</v>
      </c>
      <c r="EZ141" s="67" t="s">
        <v>1150</v>
      </c>
      <c r="FA141" s="67">
        <v>19908</v>
      </c>
      <c r="FB141" s="67" t="s">
        <v>1151</v>
      </c>
      <c r="FC141" s="67" t="s">
        <v>1152</v>
      </c>
      <c r="FD141" s="67" t="s">
        <v>1153</v>
      </c>
      <c r="FE141" s="68" t="s">
        <v>1154</v>
      </c>
      <c r="FF141" s="68" t="s">
        <v>1155</v>
      </c>
    </row>
    <row r="142" spans="1:162" ht="11.1" customHeight="1" thickBot="1" x14ac:dyDescent="0.25">
      <c r="A142" s="2">
        <f t="shared" si="591"/>
        <v>20325</v>
      </c>
      <c r="B142" s="3">
        <f t="shared" si="592"/>
        <v>6</v>
      </c>
      <c r="C142" s="3">
        <f t="shared" si="593"/>
        <v>2</v>
      </c>
      <c r="D142" s="3">
        <f t="shared" si="604"/>
        <v>18</v>
      </c>
      <c r="E142" s="3">
        <f t="shared" si="594"/>
        <v>26</v>
      </c>
      <c r="F142" s="4">
        <f t="shared" si="595"/>
        <v>20558.272351185497</v>
      </c>
      <c r="G142" s="5">
        <f t="shared" si="596"/>
        <v>498.04910898560212</v>
      </c>
      <c r="AM142" s="1">
        <v>1</v>
      </c>
      <c r="AN142" s="1">
        <v>0</v>
      </c>
      <c r="AO142" s="1">
        <v>20325</v>
      </c>
      <c r="AP142" s="1">
        <v>9</v>
      </c>
      <c r="AQ142" s="1">
        <v>0</v>
      </c>
      <c r="AS142" s="54">
        <f>IF(RTD("tos.rtd",,AS$83,"."&amp;$B$134&amp;$AS$82&amp;"C"&amp;$A142)="N/A",0,RTD("tos.rtd",,AS$83,"."&amp;$B$134&amp;$AS$82&amp;"C"&amp;$A142))</f>
        <v>6</v>
      </c>
      <c r="AT142" s="3">
        <f>-IF(RTD("tos.rtd",,AT$83,"."&amp;$B$134&amp;$AS$82&amp;"P"&amp;$A142)="N/A",0,RTD("tos.rtd",,AT$83,"."&amp;$B$134&amp;$AS$82&amp;"P"&amp;$A142))</f>
        <v>0</v>
      </c>
      <c r="AU142" s="54">
        <f>IF(RTD("tos.rtd",,AU$2,"."&amp;$C$134&amp;$AU$134&amp;"C"&amp;$A142)="N/A",0,RTD("tos.rtd",,AU$2,"."&amp;$C$134&amp;$AU$134&amp;"C"&amp;$A142))</f>
        <v>2</v>
      </c>
      <c r="AV142" s="3">
        <f>-IF(RTD("tos.rtd",,AV$2,"."&amp;$C$134&amp;$AU$134&amp;"P"&amp;$A142)="N/A",0,RTD("tos.rtd",,AV$2,"."&amp;$C$134&amp;$AU$134&amp;"P"&amp;$A142))</f>
        <v>0</v>
      </c>
      <c r="AW142" s="54">
        <f>IF(RTD("tos.rtd",,AW$2,"."&amp;$D$134&amp;$AW$134&amp;"C"&amp;$A142)="N/A",0,RTD("tos.rtd",,AW$2,"."&amp;$D$134&amp;$AW$134&amp;"C"&amp;$A142))</f>
        <v>14</v>
      </c>
      <c r="AX142" s="3">
        <f>-IF(RTD("tos.rtd",,AX$2,"."&amp;$D$134&amp;$AW$134&amp;"P"&amp;$A142)="N/A",0,RTD("tos.rtd",,AX$2,"."&amp;$D$134&amp;$AW$134&amp;"P"&amp;$A142))</f>
        <v>-4</v>
      </c>
      <c r="AY142" s="76">
        <f t="shared" si="597"/>
        <v>18</v>
      </c>
      <c r="AZ142" s="8">
        <f t="shared" si="545"/>
        <v>20325</v>
      </c>
      <c r="BA142" s="54">
        <f>IF(RTD("tos.rtd",,BA$43,"."&amp;$B$134&amp;$AS$82&amp;"C"&amp;$A142)="N/A",0,RTD("tos.rtd",,BA$43,"."&amp;$B$134&amp;$AS$82&amp;"C"&amp;$A142))</f>
        <v>9</v>
      </c>
      <c r="BB142" s="3">
        <f>-IF(RTD("tos.rtd",,BB$43,"."&amp;$B$134&amp;$AS$82&amp;"P"&amp;$A142)="N/A",0,RTD("tos.rtd",,BB$43,"."&amp;$B$134&amp;$AS$82&amp;"P"&amp;$A142))</f>
        <v>0</v>
      </c>
      <c r="BC142" s="54">
        <f>IF(RTD("tos.rtd",,BC$2,"."&amp;$C$134&amp;$AU$82&amp;"C"&amp;$A142)="N/A",0,RTD("tos.rtd",,BC$2,"."&amp;$C$134&amp;$AU$82&amp;"C"&amp;$A142))</f>
        <v>0</v>
      </c>
      <c r="BD142" s="3">
        <f>-IF(RTD("tos.rtd",,BD$2,"."&amp;$C$134&amp;$AU$82&amp;"P"&amp;$A142)="N/A",0,RTD("tos.rtd",,BD$2,"."&amp;$C$134&amp;$AU$82&amp;"P"&amp;$A142))</f>
        <v>0</v>
      </c>
      <c r="BE142" s="54">
        <f>IF(RTD("tos.rtd",,BE$2,"."&amp;$D$134&amp;$AW$82&amp;"C"&amp;$A142)="N/A",0,RTD("tos.rtd",,BE$2,"."&amp;$D$134&amp;$AW$82&amp;"C"&amp;$A142))</f>
        <v>0</v>
      </c>
      <c r="BF142" s="3">
        <f>-IF(RTD("tos.rtd",,BF$2,"."&amp;$D$134&amp;$AW$82&amp;"P"&amp;$A142)="N/A",0,RTD("tos.rtd",,BF$2,"."&amp;$D$134&amp;$AW$82&amp;"P"&amp;$A142))</f>
        <v>0</v>
      </c>
      <c r="BG142" s="3">
        <f ca="1">+Hoja2!Y143</f>
        <v>1</v>
      </c>
      <c r="BH142" s="7">
        <f t="shared" ca="1" si="546"/>
        <v>10</v>
      </c>
      <c r="BI142" s="32" t="str">
        <f t="shared" ca="1" si="605"/>
        <v/>
      </c>
      <c r="BJ142" s="3" t="e">
        <f ca="1">IF($BP$1=1,DX142,IF(RTD("tos.rtd",,BJ$43,"."&amp;$B$134&amp;$AS$82&amp;"C"&amp;$A142)="N/A",0,RTD("tos.rtd",,BJ$43,"."&amp;$B$134&amp;$AS$82&amp;"C"&amp;$A142)))</f>
        <v>#NUM!</v>
      </c>
      <c r="BK142" s="3" t="e">
        <f ca="1">IF($BP$1=1,DY142,-IF(RTD("tos.rtd",,BK$43,"."&amp;$B$134&amp;$AS$82&amp;"P"&amp;$A142)="N/A",0,RTD("tos.rtd",,BK$43,"."&amp;$B$134&amp;$AS$82&amp;"P"&amp;$A142)))</f>
        <v>#NUM!</v>
      </c>
      <c r="BL142" s="3">
        <f ca="1">IF($BP$1=1,DZ142,IF(RTD("tos.rtd",,BL$2,"."&amp;$C$134&amp;$AU$82&amp;"C"&amp;$A142)="N/A",0,RTD("tos.rtd",,BL$2,"."&amp;$C$134&amp;$AU$82&amp;"C"&amp;$A142)))</f>
        <v>5.4826647418994518E-4</v>
      </c>
      <c r="BM142" s="3">
        <f ca="1">IF($BP$1=1,EA142,-IF(RTD("tos.rtd",,BM$2,"."&amp;$C$134&amp;$AU$82&amp;"P"&amp;$A142)="N/A",0,RTD("tos.rtd",,BM$2,"."&amp;$C$134&amp;$AU$82&amp;"P"&amp;$A142)))</f>
        <v>-5.4293213186316924E-4</v>
      </c>
      <c r="BN142" s="3">
        <f ca="1">IF($BP$1=1,EB142,IF(RTD("tos.rtd",,BN$2,"."&amp;$D$134&amp;$AW$82&amp;"C"&amp;$A142)="N/A",0,RTD("tos.rtd",,BN$2,"."&amp;$D$134&amp;$AW$82&amp;"C"&amp;$A142)))</f>
        <v>5.2730517519830448E-4</v>
      </c>
      <c r="BO142" s="3">
        <f ca="1">IF($BP$1=1,EC142,-IF(RTD("tos.rtd",,BO$2,"."&amp;$D$134&amp;$AW$82&amp;"P"&amp;$A142)="N/A",0,RTD("tos.rtd",,BO$2,"."&amp;$D$134&amp;$AW$82&amp;"P"&amp;$A142)))</f>
        <v>-5.0840045129193448E-4</v>
      </c>
      <c r="BQ142" s="3" t="e">
        <f t="shared" ca="1" si="598"/>
        <v>#NUM!</v>
      </c>
      <c r="BR142" s="3" t="e">
        <f t="shared" ca="1" si="547"/>
        <v>#NUM!</v>
      </c>
      <c r="BS142" s="3">
        <f t="shared" ca="1" si="599"/>
        <v>34772.501118140535</v>
      </c>
      <c r="BT142" s="3" t="str">
        <f t="shared" ca="1" si="548"/>
        <v/>
      </c>
      <c r="BU142" s="3">
        <f t="shared" ca="1" si="600"/>
        <v>169613.37673375447</v>
      </c>
      <c r="BV142" s="3" t="str">
        <f t="shared" ca="1" si="548"/>
        <v/>
      </c>
      <c r="BX142" s="3" t="e">
        <f t="shared" ca="1" si="582"/>
        <v>#NUM!</v>
      </c>
      <c r="BY142" s="3" t="e">
        <f t="shared" ca="1" si="583"/>
        <v>#NUM!</v>
      </c>
      <c r="BZ142" s="3">
        <f t="shared" ca="1" si="584"/>
        <v>0</v>
      </c>
      <c r="CA142" s="3" t="str">
        <f t="shared" ca="1" si="583"/>
        <v/>
      </c>
      <c r="CB142" s="3">
        <f t="shared" ca="1" si="585"/>
        <v>0</v>
      </c>
      <c r="CC142" s="3" t="str">
        <f t="shared" ca="1" si="583"/>
        <v/>
      </c>
      <c r="CD142" s="3">
        <f>IF(RTD("tos.rtd",,CD$43,"."&amp;$B$134&amp;$AS$82&amp;"C"&amp;$A142)="N/A",0,RTD("tos.rtd",,CD$43,"."&amp;$B$134&amp;$AS$82&amp;"C"&amp;$A142))</f>
        <v>7.0000000000000007E-2</v>
      </c>
      <c r="CE142" s="3">
        <f>-IF(RTD("tos.rtd",,CE$43,"."&amp;$B$134&amp;$AS$82&amp;"P"&amp;$A142)="N/A",0,RTD("tos.rtd",,CE$43,"."&amp;$B$134&amp;$AS$82&amp;"P"&amp;$A142))</f>
        <v>0.97</v>
      </c>
      <c r="CF142" s="3">
        <f>IF(RTD("tos.rtd",,CF$2,"."&amp;$C$134&amp;$AU$82&amp;"C"&amp;$A142)="N/A",0,RTD("tos.rtd",,CF$2,"."&amp;$C$134&amp;$AU$82&amp;"C"&amp;$A142))</f>
        <v>0.12</v>
      </c>
      <c r="CG142" s="3">
        <f>-IF(RTD("tos.rtd",,CG$2,"."&amp;$C$134&amp;$AU$82&amp;"P"&amp;$A142)="N/A",0,RTD("tos.rtd",,CG$2,"."&amp;$C$134&amp;$AU$82&amp;"P"&amp;$A142))</f>
        <v>1</v>
      </c>
      <c r="CH142" s="3">
        <f>IF(RTD("tos.rtd",,CH$2,"."&amp;$D$134&amp;$AW$82&amp;"C"&amp;$A142)="N/A",0,RTD("tos.rtd",,CH$2,"."&amp;$D$134&amp;$AW$82&amp;"C"&amp;$A142))</f>
        <v>0.27</v>
      </c>
      <c r="CI142" s="3">
        <f>-IF(RTD("tos.rtd",,CI$2,"."&amp;$D$134&amp;$AW$82&amp;"P"&amp;$A142)="N/A",0,RTD("tos.rtd",,CI$2,"."&amp;$D$134&amp;$AW$82&amp;"P"&amp;$A142))</f>
        <v>0.74</v>
      </c>
      <c r="CK142" s="3">
        <f t="shared" si="601"/>
        <v>42.000000000000007</v>
      </c>
      <c r="CL142" s="3"/>
      <c r="CM142" s="3">
        <f t="shared" si="602"/>
        <v>24</v>
      </c>
      <c r="CN142" s="3"/>
      <c r="CO142" s="3">
        <f t="shared" si="603"/>
        <v>82</v>
      </c>
      <c r="CP142" s="3">
        <f t="shared" si="539"/>
        <v>148</v>
      </c>
      <c r="CQ142" s="3">
        <f t="shared" si="549"/>
        <v>9</v>
      </c>
      <c r="CR142" s="3"/>
      <c r="CS142" s="3">
        <f t="shared" si="550"/>
        <v>0</v>
      </c>
      <c r="CT142" s="3"/>
      <c r="CU142" s="3">
        <f t="shared" si="551"/>
        <v>0</v>
      </c>
      <c r="CV142" s="3"/>
      <c r="CW142" s="3" t="e">
        <f t="shared" ca="1" si="552"/>
        <v>#NUM!</v>
      </c>
      <c r="CY142" s="3" t="e">
        <f t="shared" ca="1" si="553"/>
        <v>#NUM!</v>
      </c>
      <c r="CZ142" s="70" t="e">
        <f t="shared" ca="1" si="586"/>
        <v>#NUM!</v>
      </c>
      <c r="DA142" s="3">
        <f>IF(RTD("tos.rtd",,DA$43,"."&amp;$B$134&amp;$AS$82&amp;"C"&amp;$A142)="N/A",0,RTD("tos.rtd",,DA$43,"."&amp;$B$134&amp;$AS$82&amp;"C"&amp;$A142))</f>
        <v>0.82</v>
      </c>
      <c r="DB142" s="3">
        <f>IF(RTD("tos.rtd",,DB$43,"."&amp;$B$134&amp;$AS$82&amp;"P"&amp;$A142)="N/A",0,RTD("tos.rtd",,DB$43,"."&amp;$B$134&amp;$AS$82&amp;"P"&amp;$A142))</f>
        <v>0</v>
      </c>
      <c r="DC142" s="3">
        <f>IF(RTD("tos.rtd",,DC$43,"."&amp;$B$134&amp;$AS$82&amp;"C"&amp;$A142)="N/A",0,RTD("tos.rtd",,DC$43,"."&amp;$B$134&amp;$AS$82&amp;"C"&amp;$A142))</f>
        <v>19.8</v>
      </c>
      <c r="DD142" s="3">
        <f>IF(RTD("tos.rtd",,DD$43,"."&amp;$B$134&amp;$AS$82&amp;"P"&amp;$A142)="N/A",0,RTD("tos.rtd",,DD$43,"."&amp;$B$134&amp;$AS$82&amp;"P"&amp;$A142))</f>
        <v>500</v>
      </c>
      <c r="DE142" s="3">
        <f>IF(RTD("tos.rtd",,DE$43,"."&amp;$B$134&amp;$AS$82&amp;"C"&amp;$A142)="N/A",0,RTD("tos.rtd",,DE$43,"."&amp;$B$134&amp;$AS$82&amp;"C"&amp;$A142))</f>
        <v>0</v>
      </c>
      <c r="DF142" s="3">
        <f>IF(RTD("tos.rtd",,DF$43,"."&amp;$B$134&amp;$AS$82&amp;"P"&amp;$A142)="N/A",0,RTD("tos.rtd",,DF$43,"."&amp;$B$134&amp;$AS$82&amp;"P"&amp;$A142))</f>
        <v>420.1</v>
      </c>
      <c r="DG142" s="86">
        <f t="shared" si="587"/>
        <v>457.02699999999822</v>
      </c>
      <c r="DH142" s="3">
        <f t="shared" si="554"/>
        <v>0</v>
      </c>
      <c r="DI142" s="3">
        <f t="shared" si="555"/>
        <v>0</v>
      </c>
      <c r="DJ142" s="3">
        <f t="shared" si="556"/>
        <v>0</v>
      </c>
      <c r="DK142" s="3">
        <f t="shared" si="557"/>
        <v>0</v>
      </c>
      <c r="DL142" s="3">
        <f t="shared" si="558"/>
        <v>0</v>
      </c>
      <c r="DM142" s="3">
        <f t="shared" si="559"/>
        <v>0</v>
      </c>
      <c r="DN142" s="64" t="str">
        <f t="shared" si="560"/>
        <v>UNKNOWN</v>
      </c>
      <c r="DO142" s="64" t="str">
        <f t="shared" si="561"/>
        <v>UNKNOWN</v>
      </c>
      <c r="DP142" s="3">
        <f t="shared" si="562"/>
        <v>0</v>
      </c>
      <c r="DQ142" s="3">
        <f t="shared" si="563"/>
        <v>0</v>
      </c>
      <c r="DR142" s="3" t="e">
        <f t="shared" ca="1" si="564"/>
        <v>#NUM!</v>
      </c>
      <c r="DS142" s="3">
        <f t="shared" si="565"/>
        <v>0</v>
      </c>
      <c r="DT142" s="3">
        <f t="shared" si="588"/>
        <v>0</v>
      </c>
      <c r="DU142" s="3">
        <f t="shared" si="589"/>
        <v>0</v>
      </c>
      <c r="DV142" s="3">
        <f t="shared" si="566"/>
        <v>1</v>
      </c>
      <c r="DW142" s="3">
        <f t="shared" si="567"/>
        <v>0</v>
      </c>
      <c r="DX142" s="3" t="e">
        <f t="shared" ca="1" si="568"/>
        <v>#NUM!</v>
      </c>
      <c r="DY142" s="3" t="e">
        <f t="shared" ca="1" si="569"/>
        <v>#NUM!</v>
      </c>
      <c r="DZ142" s="3">
        <f t="shared" ca="1" si="570"/>
        <v>5.4826647418994518E-4</v>
      </c>
      <c r="EA142" s="3">
        <f t="shared" ca="1" si="571"/>
        <v>-5.4293213186316924E-4</v>
      </c>
      <c r="EB142" s="3">
        <f t="shared" ca="1" si="572"/>
        <v>5.2730517519830448E-4</v>
      </c>
      <c r="EC142" s="3">
        <f t="shared" ca="1" si="573"/>
        <v>-5.0840045129193448E-4</v>
      </c>
      <c r="ED142" s="63">
        <f t="shared" si="590"/>
        <v>1</v>
      </c>
      <c r="EE142" s="59">
        <f t="shared" si="574"/>
        <v>2.0554999999999999</v>
      </c>
      <c r="EF142" s="59">
        <f t="shared" si="575"/>
        <v>1.6247</v>
      </c>
      <c r="EG142" s="59">
        <f t="shared" si="576"/>
        <v>0.27410000000000001</v>
      </c>
      <c r="EH142" s="59">
        <f t="shared" si="577"/>
        <v>0.25</v>
      </c>
      <c r="EI142" s="59">
        <f t="shared" si="578"/>
        <v>0.2286</v>
      </c>
      <c r="EJ142" s="59">
        <f t="shared" si="579"/>
        <v>0.21390000000000001</v>
      </c>
      <c r="EL142" s="3" t="str">
        <f>RTD("tos.rtd",,EL$43,"."&amp;$B$134&amp;$AS$82&amp;"C"&amp;$A142)</f>
        <v>205.55%</v>
      </c>
      <c r="EM142" s="3" t="str">
        <f>RTD("tos.rtd",,EM$43,"."&amp;$B$134&amp;$AS$82&amp;"P"&amp;$A142)</f>
        <v>162.47%</v>
      </c>
      <c r="EN142" s="3" t="str">
        <f>RTD("tos.rtd",,EN$2,"."&amp;$C$134&amp;$AU$82&amp;"C"&amp;$A142)</f>
        <v>27.41%</v>
      </c>
      <c r="EO142" s="3" t="str">
        <f>RTD("tos.rtd",,EO$2,"."&amp;$C$134&amp;$AU$82&amp;"P"&amp;$A142)</f>
        <v>--</v>
      </c>
      <c r="EP142" s="3" t="str">
        <f>RTD("tos.rtd",,EP$2,"."&amp;$D$134&amp;$AW$82&amp;"C"&amp;$A142)</f>
        <v>22.86%</v>
      </c>
      <c r="EQ142" s="3" t="str">
        <f>RTD("tos.rtd",,EQ$2,"."&amp;$D$134&amp;$AW$82&amp;"P"&amp;$A142)</f>
        <v>21.39%</v>
      </c>
      <c r="ES142" s="63" t="str">
        <f t="shared" si="580"/>
        <v>20325,01.00</v>
      </c>
      <c r="ET142" s="64" t="str">
        <f t="shared" ca="1" si="581"/>
        <v>20325,00.00</v>
      </c>
      <c r="EU142" s="67">
        <v>562.27</v>
      </c>
      <c r="EV142" s="67" t="s">
        <v>1156</v>
      </c>
      <c r="EW142" s="67">
        <v>484.67</v>
      </c>
      <c r="EX142" s="67" t="s">
        <v>1157</v>
      </c>
      <c r="EY142" s="67">
        <v>5636.75</v>
      </c>
      <c r="EZ142" s="67" t="s">
        <v>1158</v>
      </c>
      <c r="FA142" s="67">
        <v>19910</v>
      </c>
      <c r="FB142" s="67" t="s">
        <v>1159</v>
      </c>
      <c r="FC142" s="67" t="s">
        <v>1160</v>
      </c>
      <c r="FD142" s="67" t="s">
        <v>1161</v>
      </c>
      <c r="FE142" s="68" t="s">
        <v>1162</v>
      </c>
      <c r="FF142" s="68" t="s">
        <v>1163</v>
      </c>
    </row>
    <row r="143" spans="1:162" ht="11.1" customHeight="1" thickBot="1" x14ac:dyDescent="0.25">
      <c r="A143" s="2">
        <f t="shared" si="591"/>
        <v>20300</v>
      </c>
      <c r="B143" s="3">
        <f t="shared" si="592"/>
        <v>125</v>
      </c>
      <c r="C143" s="3">
        <f t="shared" si="593"/>
        <v>8</v>
      </c>
      <c r="D143" s="3">
        <f t="shared" si="604"/>
        <v>91</v>
      </c>
      <c r="E143" s="3">
        <f t="shared" si="594"/>
        <v>224</v>
      </c>
      <c r="F143" s="4">
        <f t="shared" si="595"/>
        <v>20532.985423324262</v>
      </c>
      <c r="G143" s="5">
        <f t="shared" si="596"/>
        <v>497.43650245548451</v>
      </c>
      <c r="AM143" s="1">
        <v>-18</v>
      </c>
      <c r="AN143" s="1">
        <v>1</v>
      </c>
      <c r="AO143" s="1">
        <v>20300</v>
      </c>
      <c r="AP143" s="1">
        <v>273</v>
      </c>
      <c r="AQ143" s="1">
        <v>-4</v>
      </c>
      <c r="AS143" s="54">
        <f>IF(RTD("tos.rtd",,AS$83,"."&amp;$B$134&amp;$AS$82&amp;"C"&amp;$A143)="N/A",0,RTD("tos.rtd",,AS$83,"."&amp;$B$134&amp;$AS$82&amp;"C"&amp;$A143))</f>
        <v>106</v>
      </c>
      <c r="AT143" s="3">
        <f>-IF(RTD("tos.rtd",,AT$83,"."&amp;$B$134&amp;$AS$82&amp;"P"&amp;$A143)="N/A",0,RTD("tos.rtd",,AT$83,"."&amp;$B$134&amp;$AS$82&amp;"P"&amp;$A143))</f>
        <v>-19</v>
      </c>
      <c r="AU143" s="54">
        <f>IF(RTD("tos.rtd",,AU$2,"."&amp;$C$134&amp;$AU$134&amp;"C"&amp;$A143)="N/A",0,RTD("tos.rtd",,AU$2,"."&amp;$C$134&amp;$AU$134&amp;"C"&amp;$A143))</f>
        <v>6</v>
      </c>
      <c r="AV143" s="3">
        <f>-IF(RTD("tos.rtd",,AV$2,"."&amp;$C$134&amp;$AU$134&amp;"P"&amp;$A143)="N/A",0,RTD("tos.rtd",,AV$2,"."&amp;$C$134&amp;$AU$134&amp;"P"&amp;$A143))</f>
        <v>-2</v>
      </c>
      <c r="AW143" s="54">
        <f>IF(RTD("tos.rtd",,AW$2,"."&amp;$D$134&amp;$AW$134&amp;"C"&amp;$A143)="N/A",0,RTD("tos.rtd",,AW$2,"."&amp;$D$134&amp;$AW$134&amp;"C"&amp;$A143))</f>
        <v>64</v>
      </c>
      <c r="AX143" s="3">
        <f>-IF(RTD("tos.rtd",,AX$2,"."&amp;$D$134&amp;$AW$134&amp;"P"&amp;$A143)="N/A",0,RTD("tos.rtd",,AX$2,"."&amp;$D$134&amp;$AW$134&amp;"P"&amp;$A143))</f>
        <v>-27</v>
      </c>
      <c r="AY143" s="76">
        <f t="shared" si="597"/>
        <v>128</v>
      </c>
      <c r="AZ143" s="8">
        <f t="shared" si="545"/>
        <v>20300</v>
      </c>
      <c r="BA143" s="54">
        <f>IF(RTD("tos.rtd",,BA$43,"."&amp;$B$134&amp;$AS$82&amp;"C"&amp;$A143)="N/A",0,RTD("tos.rtd",,BA$43,"."&amp;$B$134&amp;$AS$82&amp;"C"&amp;$A143))</f>
        <v>273</v>
      </c>
      <c r="BB143" s="3">
        <f>-IF(RTD("tos.rtd",,BB$43,"."&amp;$B$134&amp;$AS$82&amp;"P"&amp;$A143)="N/A",0,RTD("tos.rtd",,BB$43,"."&amp;$B$134&amp;$AS$82&amp;"P"&amp;$A143))</f>
        <v>-4</v>
      </c>
      <c r="BC143" s="54">
        <f>IF(RTD("tos.rtd",,BC$2,"."&amp;$C$134&amp;$AU$82&amp;"C"&amp;$A143)="N/A",0,RTD("tos.rtd",,BC$2,"."&amp;$C$134&amp;$AU$82&amp;"C"&amp;$A143))</f>
        <v>40</v>
      </c>
      <c r="BD143" s="3">
        <f>-IF(RTD("tos.rtd",,BD$2,"."&amp;$C$134&amp;$AU$82&amp;"P"&amp;$A143)="N/A",0,RTD("tos.rtd",,BD$2,"."&amp;$C$134&amp;$AU$82&amp;"P"&amp;$A143))</f>
        <v>0</v>
      </c>
      <c r="BE143" s="54">
        <f>IF(RTD("tos.rtd",,BE$2,"."&amp;$D$134&amp;$AW$82&amp;"C"&amp;$A143)="N/A",0,RTD("tos.rtd",,BE$2,"."&amp;$D$134&amp;$AW$82&amp;"C"&amp;$A143))</f>
        <v>0</v>
      </c>
      <c r="BF143" s="3">
        <f>-IF(RTD("tos.rtd",,BF$2,"."&amp;$D$134&amp;$AW$82&amp;"P"&amp;$A143)="N/A",0,RTD("tos.rtd",,BF$2,"."&amp;$D$134&amp;$AW$82&amp;"P"&amp;$A143))</f>
        <v>0</v>
      </c>
      <c r="BG143" s="3">
        <f ca="1">+Hoja2!Y144</f>
        <v>-1</v>
      </c>
      <c r="BH143" s="7">
        <f t="shared" ca="1" si="546"/>
        <v>308</v>
      </c>
      <c r="BI143" s="32" t="str">
        <f t="shared" ca="1" si="605"/>
        <v/>
      </c>
      <c r="BJ143" s="3" t="e">
        <f ca="1">IF($BP$1=1,DX143,IF(RTD("tos.rtd",,BJ$43,"."&amp;$B$134&amp;$AS$82&amp;"C"&amp;$A143)="N/A",0,RTD("tos.rtd",,BJ$43,"."&amp;$B$134&amp;$AS$82&amp;"C"&amp;$A143)))</f>
        <v>#NUM!</v>
      </c>
      <c r="BK143" s="3" t="e">
        <f ca="1">IF($BP$1=1,DY143,-IF(RTD("tos.rtd",,BK$43,"."&amp;$B$134&amp;$AS$82&amp;"P"&amp;$A143)="N/A",0,RTD("tos.rtd",,BK$43,"."&amp;$B$134&amp;$AS$82&amp;"P"&amp;$A143)))</f>
        <v>#NUM!</v>
      </c>
      <c r="BL143" s="3">
        <f ca="1">IF($BP$1=1,DZ143,IF(RTD("tos.rtd",,BL$2,"."&amp;$C$134&amp;$AU$82&amp;"C"&amp;$A143)="N/A",0,RTD("tos.rtd",,BL$2,"."&amp;$C$134&amp;$AU$82&amp;"C"&amp;$A143)))</f>
        <v>5.7804949683899602E-4</v>
      </c>
      <c r="BM143" s="3">
        <f ca="1">IF($BP$1=1,EA143,-IF(RTD("tos.rtd",,BM$2,"."&amp;$C$134&amp;$AU$82&amp;"P"&amp;$A143)="N/A",0,RTD("tos.rtd",,BM$2,"."&amp;$C$134&amp;$AU$82&amp;"P"&amp;$A143)))</f>
        <v>-5.7877827859923066E-4</v>
      </c>
      <c r="BN143" s="3">
        <f ca="1">IF($BP$1=1,EB143,IF(RTD("tos.rtd",,BN$2,"."&amp;$D$134&amp;$AW$82&amp;"C"&amp;$A143)="N/A",0,RTD("tos.rtd",,BN$2,"."&amp;$D$134&amp;$AW$82&amp;"C"&amp;$A143)))</f>
        <v>5.6999377526077699E-4</v>
      </c>
      <c r="BO143" s="3">
        <f ca="1">IF($BP$1=1,EC143,-IF(RTD("tos.rtd",,BO$2,"."&amp;$D$134&amp;$AW$82&amp;"P"&amp;$A143)="N/A",0,RTD("tos.rtd",,BO$2,"."&amp;$D$134&amp;$AW$82&amp;"P"&amp;$A143)))</f>
        <v>-5.5858650340856171E-4</v>
      </c>
      <c r="BQ143" s="3" t="e">
        <f t="shared" ca="1" si="598"/>
        <v>#NUM!</v>
      </c>
      <c r="BR143" s="3" t="e">
        <f t="shared" ca="1" si="547"/>
        <v>#NUM!</v>
      </c>
      <c r="BS143" s="3">
        <f t="shared" ca="1" si="599"/>
        <v>73276.616165769694</v>
      </c>
      <c r="BT143" s="3" t="str">
        <f t="shared" ca="1" si="548"/>
        <v/>
      </c>
      <c r="BU143" s="3">
        <f t="shared" ca="1" si="600"/>
        <v>678551.28668726003</v>
      </c>
      <c r="BV143" s="3" t="str">
        <f t="shared" ca="1" si="548"/>
        <v/>
      </c>
      <c r="BX143" s="3" t="e">
        <f t="shared" ca="1" si="582"/>
        <v>#NUM!</v>
      </c>
      <c r="BY143" s="3" t="e">
        <f t="shared" ca="1" si="583"/>
        <v>#NUM!</v>
      </c>
      <c r="BZ143" s="3">
        <f t="shared" ca="1" si="584"/>
        <v>5480.4392436173339</v>
      </c>
      <c r="CA143" s="3" t="str">
        <f t="shared" ca="1" si="583"/>
        <v/>
      </c>
      <c r="CB143" s="3">
        <f t="shared" ca="1" si="585"/>
        <v>0</v>
      </c>
      <c r="CC143" s="3" t="str">
        <f t="shared" ca="1" si="583"/>
        <v/>
      </c>
      <c r="CD143" s="3">
        <f>IF(RTD("tos.rtd",,CD$43,"."&amp;$B$134&amp;$AS$82&amp;"C"&amp;$A143)="N/A",0,RTD("tos.rtd",,CD$43,"."&amp;$B$134&amp;$AS$82&amp;"C"&amp;$A143))</f>
        <v>0</v>
      </c>
      <c r="CE143" s="3">
        <f>-IF(RTD("tos.rtd",,CE$43,"."&amp;$B$134&amp;$AS$82&amp;"P"&amp;$A143)="N/A",0,RTD("tos.rtd",,CE$43,"."&amp;$B$134&amp;$AS$82&amp;"P"&amp;$A143))</f>
        <v>1</v>
      </c>
      <c r="CF143" s="3">
        <f>IF(RTD("tos.rtd",,CF$2,"."&amp;$C$134&amp;$AU$82&amp;"C"&amp;$A143)="N/A",0,RTD("tos.rtd",,CF$2,"."&amp;$C$134&amp;$AU$82&amp;"C"&amp;$A143))</f>
        <v>0.13</v>
      </c>
      <c r="CG143" s="3">
        <f>-IF(RTD("tos.rtd",,CG$2,"."&amp;$C$134&amp;$AU$82&amp;"P"&amp;$A143)="N/A",0,RTD("tos.rtd",,CG$2,"."&amp;$C$134&amp;$AU$82&amp;"P"&amp;$A143))</f>
        <v>1</v>
      </c>
      <c r="CH143" s="3">
        <f>IF(RTD("tos.rtd",,CH$2,"."&amp;$D$134&amp;$AW$82&amp;"C"&amp;$A143)="N/A",0,RTD("tos.rtd",,CH$2,"."&amp;$D$134&amp;$AW$82&amp;"C"&amp;$A143))</f>
        <v>0.28000000000000003</v>
      </c>
      <c r="CI143" s="3">
        <f>-IF(RTD("tos.rtd",,CI$2,"."&amp;$D$134&amp;$AW$82&amp;"P"&amp;$A143)="N/A",0,RTD("tos.rtd",,CI$2,"."&amp;$D$134&amp;$AW$82&amp;"P"&amp;$A143))</f>
        <v>0.73</v>
      </c>
      <c r="CK143" s="3">
        <f t="shared" si="601"/>
        <v>-1900</v>
      </c>
      <c r="CL143" s="3"/>
      <c r="CM143" s="3">
        <f t="shared" si="602"/>
        <v>-122</v>
      </c>
      <c r="CN143" s="3"/>
      <c r="CO143" s="3">
        <f t="shared" si="603"/>
        <v>-178.99999999999977</v>
      </c>
      <c r="CP143" s="3">
        <f t="shared" si="539"/>
        <v>-2201</v>
      </c>
      <c r="CQ143" s="3">
        <f t="shared" si="549"/>
        <v>269</v>
      </c>
      <c r="CR143" s="3"/>
      <c r="CS143" s="3">
        <f t="shared" si="550"/>
        <v>40</v>
      </c>
      <c r="CT143" s="3"/>
      <c r="CU143" s="3">
        <f t="shared" si="551"/>
        <v>0</v>
      </c>
      <c r="CV143" s="3"/>
      <c r="CW143" s="3" t="e">
        <f t="shared" ca="1" si="552"/>
        <v>#NUM!</v>
      </c>
      <c r="CY143" s="3" t="e">
        <f t="shared" ca="1" si="553"/>
        <v>#NUM!</v>
      </c>
      <c r="CZ143" s="70" t="e">
        <f t="shared" ca="1" si="586"/>
        <v>#NUM!</v>
      </c>
      <c r="DA143" s="3">
        <f>IF(RTD("tos.rtd",,DA$43,"."&amp;$B$134&amp;$AS$82&amp;"C"&amp;$A143)="N/A",0,RTD("tos.rtd",,DA$43,"."&amp;$B$134&amp;$AS$82&amp;"C"&amp;$A143))</f>
        <v>0.1</v>
      </c>
      <c r="DB143" s="3">
        <f>IF(RTD("tos.rtd",,DB$43,"."&amp;$B$134&amp;$AS$82&amp;"P"&amp;$A143)="N/A",0,RTD("tos.rtd",,DB$43,"."&amp;$B$134&amp;$AS$82&amp;"P"&amp;$A143))</f>
        <v>681.35</v>
      </c>
      <c r="DC143" s="3">
        <f>IF(RTD("tos.rtd",,DC$43,"."&amp;$B$134&amp;$AS$82&amp;"C"&amp;$A143)="N/A",0,RTD("tos.rtd",,DC$43,"."&amp;$B$134&amp;$AS$82&amp;"C"&amp;$A143))</f>
        <v>0.1</v>
      </c>
      <c r="DD143" s="3">
        <f>IF(RTD("tos.rtd",,DD$43,"."&amp;$B$134&amp;$AS$82&amp;"P"&amp;$A143)="N/A",0,RTD("tos.rtd",,DD$43,"."&amp;$B$134&amp;$AS$82&amp;"P"&amp;$A143))</f>
        <v>452.5</v>
      </c>
      <c r="DE143" s="3">
        <f>IF(RTD("tos.rtd",,DE$43,"."&amp;$B$134&amp;$AS$82&amp;"C"&amp;$A143)="N/A",0,RTD("tos.rtd",,DE$43,"."&amp;$B$134&amp;$AS$82&amp;"C"&amp;$A143))</f>
        <v>0</v>
      </c>
      <c r="DF143" s="3">
        <f>IF(RTD("tos.rtd",,DF$43,"."&amp;$B$134&amp;$AS$82&amp;"P"&amp;$A143)="N/A",0,RTD("tos.rtd",,DF$43,"."&amp;$B$134&amp;$AS$82&amp;"P"&amp;$A143))</f>
        <v>402.5</v>
      </c>
      <c r="DG143" s="86">
        <f t="shared" si="587"/>
        <v>432.02699999999822</v>
      </c>
      <c r="DH143" s="3">
        <f t="shared" si="554"/>
        <v>0</v>
      </c>
      <c r="DI143" s="3">
        <f t="shared" si="555"/>
        <v>0</v>
      </c>
      <c r="DJ143" s="3">
        <f t="shared" si="556"/>
        <v>0</v>
      </c>
      <c r="DK143" s="3">
        <f t="shared" si="557"/>
        <v>0</v>
      </c>
      <c r="DL143" s="3">
        <f t="shared" si="558"/>
        <v>0</v>
      </c>
      <c r="DM143" s="3">
        <f t="shared" si="559"/>
        <v>0</v>
      </c>
      <c r="DN143" s="64" t="str">
        <f t="shared" si="560"/>
        <v>UNKNOWN</v>
      </c>
      <c r="DO143" s="64" t="str">
        <f t="shared" si="561"/>
        <v>UNKNOWN</v>
      </c>
      <c r="DP143" s="3">
        <f t="shared" si="562"/>
        <v>0</v>
      </c>
      <c r="DQ143" s="3">
        <f t="shared" si="563"/>
        <v>0</v>
      </c>
      <c r="DR143" s="3" t="e">
        <f t="shared" ca="1" si="564"/>
        <v>#NUM!</v>
      </c>
      <c r="DS143" s="3">
        <f t="shared" si="565"/>
        <v>0</v>
      </c>
      <c r="DT143" s="3">
        <f t="shared" si="588"/>
        <v>0</v>
      </c>
      <c r="DU143" s="3">
        <f t="shared" si="589"/>
        <v>0</v>
      </c>
      <c r="DV143" s="3">
        <f t="shared" si="566"/>
        <v>-18</v>
      </c>
      <c r="DW143" s="3">
        <f t="shared" si="567"/>
        <v>1</v>
      </c>
      <c r="DX143" s="3" t="e">
        <f t="shared" ca="1" si="568"/>
        <v>#NUM!</v>
      </c>
      <c r="DY143" s="3" t="e">
        <f t="shared" ca="1" si="569"/>
        <v>#NUM!</v>
      </c>
      <c r="DZ143" s="3">
        <f t="shared" ca="1" si="570"/>
        <v>5.7804949683899602E-4</v>
      </c>
      <c r="EA143" s="3">
        <f t="shared" ca="1" si="571"/>
        <v>-5.7877827859923066E-4</v>
      </c>
      <c r="EB143" s="3">
        <f t="shared" ca="1" si="572"/>
        <v>5.6999377526077699E-4</v>
      </c>
      <c r="EC143" s="3">
        <f t="shared" ca="1" si="573"/>
        <v>-5.5858650340856171E-4</v>
      </c>
      <c r="ED143" s="63">
        <f t="shared" si="590"/>
        <v>-17</v>
      </c>
      <c r="EE143" s="59">
        <f t="shared" si="574"/>
        <v>0.94189999999999996</v>
      </c>
      <c r="EF143" s="59">
        <f t="shared" si="575"/>
        <v>0.25</v>
      </c>
      <c r="EG143" s="59">
        <f t="shared" si="576"/>
        <v>0.27460000000000001</v>
      </c>
      <c r="EH143" s="59">
        <f t="shared" si="577"/>
        <v>0.25</v>
      </c>
      <c r="EI143" s="59">
        <f t="shared" si="578"/>
        <v>0.2296</v>
      </c>
      <c r="EJ143" s="59">
        <f t="shared" si="579"/>
        <v>0.217</v>
      </c>
      <c r="EL143" s="3" t="str">
        <f>RTD("tos.rtd",,EL$43,"."&amp;$B$134&amp;$AS$82&amp;"C"&amp;$A143)</f>
        <v>94.19%</v>
      </c>
      <c r="EM143" s="3" t="str">
        <f>RTD("tos.rtd",,EM$43,"."&amp;$B$134&amp;$AS$82&amp;"P"&amp;$A143)</f>
        <v>--</v>
      </c>
      <c r="EN143" s="3" t="str">
        <f>RTD("tos.rtd",,EN$2,"."&amp;$C$134&amp;$AU$82&amp;"C"&amp;$A143)</f>
        <v>27.46%</v>
      </c>
      <c r="EO143" s="3" t="str">
        <f>RTD("tos.rtd",,EO$2,"."&amp;$C$134&amp;$AU$82&amp;"P"&amp;$A143)</f>
        <v>--</v>
      </c>
      <c r="EP143" s="3" t="str">
        <f>RTD("tos.rtd",,EP$2,"."&amp;$D$134&amp;$AW$82&amp;"C"&amp;$A143)</f>
        <v>22.96%</v>
      </c>
      <c r="EQ143" s="3" t="str">
        <f>RTD("tos.rtd",,EQ$2,"."&amp;$D$134&amp;$AW$82&amp;"P"&amp;$A143)</f>
        <v>21.70%</v>
      </c>
      <c r="ES143" s="63" t="str">
        <f t="shared" si="580"/>
        <v>20300,-17.00</v>
      </c>
      <c r="ET143" s="64" t="str">
        <f t="shared" ca="1" si="581"/>
        <v>20300,00.00</v>
      </c>
      <c r="EU143" s="67">
        <v>562.11</v>
      </c>
      <c r="EV143" s="67" t="s">
        <v>1164</v>
      </c>
      <c r="EW143" s="67">
        <v>484.57</v>
      </c>
      <c r="EX143" s="67" t="s">
        <v>1165</v>
      </c>
      <c r="EY143" s="67">
        <v>5635</v>
      </c>
      <c r="EZ143" s="67" t="s">
        <v>1166</v>
      </c>
      <c r="FA143" s="67">
        <v>19904.25</v>
      </c>
      <c r="FB143" s="67" t="s">
        <v>1167</v>
      </c>
      <c r="FC143" s="67" t="s">
        <v>1168</v>
      </c>
      <c r="FD143" s="67" t="s">
        <v>1169</v>
      </c>
      <c r="FE143" s="68" t="s">
        <v>1170</v>
      </c>
      <c r="FF143" s="68" t="s">
        <v>1171</v>
      </c>
    </row>
    <row r="144" spans="1:162" ht="11.1" customHeight="1" thickBot="1" x14ac:dyDescent="0.25">
      <c r="A144" s="2">
        <f t="shared" si="591"/>
        <v>20275</v>
      </c>
      <c r="B144" s="3">
        <f t="shared" si="592"/>
        <v>3</v>
      </c>
      <c r="C144" s="3">
        <f t="shared" si="593"/>
        <v>31</v>
      </c>
      <c r="D144" s="3">
        <f t="shared" si="604"/>
        <v>25</v>
      </c>
      <c r="E144" s="3">
        <f t="shared" si="594"/>
        <v>59</v>
      </c>
      <c r="F144" s="4">
        <f t="shared" si="595"/>
        <v>20507.698495463024</v>
      </c>
      <c r="G144" s="5">
        <f t="shared" si="596"/>
        <v>496.82389592536691</v>
      </c>
      <c r="AM144" s="1">
        <v>27</v>
      </c>
      <c r="AN144" s="1">
        <v>0</v>
      </c>
      <c r="AO144" s="1">
        <v>20275</v>
      </c>
      <c r="AP144" s="1">
        <v>58</v>
      </c>
      <c r="AQ144" s="1">
        <v>0</v>
      </c>
      <c r="AS144" s="54">
        <f>IF(RTD("tos.rtd",,AS$83,"."&amp;$B$134&amp;$AS$82&amp;"C"&amp;$A144)="N/A",0,RTD("tos.rtd",,AS$83,"."&amp;$B$134&amp;$AS$82&amp;"C"&amp;$A144))</f>
        <v>3</v>
      </c>
      <c r="AT144" s="3">
        <f>-IF(RTD("tos.rtd",,AT$83,"."&amp;$B$134&amp;$AS$82&amp;"P"&amp;$A144)="N/A",0,RTD("tos.rtd",,AT$83,"."&amp;$B$134&amp;$AS$82&amp;"P"&amp;$A144))</f>
        <v>0</v>
      </c>
      <c r="AU144" s="54">
        <f>IF(RTD("tos.rtd",,AU$2,"."&amp;$C$134&amp;$AU$134&amp;"C"&amp;$A144)="N/A",0,RTD("tos.rtd",,AU$2,"."&amp;$C$134&amp;$AU$134&amp;"C"&amp;$A144))</f>
        <v>31</v>
      </c>
      <c r="AV144" s="3">
        <f>-IF(RTD("tos.rtd",,AV$2,"."&amp;$C$134&amp;$AU$134&amp;"P"&amp;$A144)="N/A",0,RTD("tos.rtd",,AV$2,"."&amp;$C$134&amp;$AU$134&amp;"P"&amp;$A144))</f>
        <v>0</v>
      </c>
      <c r="AW144" s="54">
        <f>IF(RTD("tos.rtd",,AW$2,"."&amp;$D$134&amp;$AW$134&amp;"C"&amp;$A144)="N/A",0,RTD("tos.rtd",,AW$2,"."&amp;$D$134&amp;$AW$134&amp;"C"&amp;$A144))</f>
        <v>24</v>
      </c>
      <c r="AX144" s="3">
        <f>-IF(RTD("tos.rtd",,AX$2,"."&amp;$D$134&amp;$AW$134&amp;"P"&amp;$A144)="N/A",0,RTD("tos.rtd",,AX$2,"."&amp;$D$134&amp;$AW$134&amp;"P"&amp;$A144))</f>
        <v>-1</v>
      </c>
      <c r="AY144" s="76">
        <f t="shared" si="597"/>
        <v>57</v>
      </c>
      <c r="AZ144" s="8">
        <f t="shared" si="545"/>
        <v>20275</v>
      </c>
      <c r="BA144" s="54">
        <f>IF(RTD("tos.rtd",,BA$43,"."&amp;$B$134&amp;$AS$82&amp;"C"&amp;$A144)="N/A",0,RTD("tos.rtd",,BA$43,"."&amp;$B$134&amp;$AS$82&amp;"C"&amp;$A144))</f>
        <v>58</v>
      </c>
      <c r="BB144" s="3">
        <f>-IF(RTD("tos.rtd",,BB$43,"."&amp;$B$134&amp;$AS$82&amp;"P"&amp;$A144)="N/A",0,RTD("tos.rtd",,BB$43,"."&amp;$B$134&amp;$AS$82&amp;"P"&amp;$A144))</f>
        <v>0</v>
      </c>
      <c r="BC144" s="54">
        <f>IF(RTD("tos.rtd",,BC$2,"."&amp;$C$134&amp;$AU$82&amp;"C"&amp;$A144)="N/A",0,RTD("tos.rtd",,BC$2,"."&amp;$C$134&amp;$AU$82&amp;"C"&amp;$A144))</f>
        <v>41</v>
      </c>
      <c r="BD144" s="3">
        <f>-IF(RTD("tos.rtd",,BD$2,"."&amp;$C$134&amp;$AU$82&amp;"P"&amp;$A144)="N/A",0,RTD("tos.rtd",,BD$2,"."&amp;$C$134&amp;$AU$82&amp;"P"&amp;$A144))</f>
        <v>0</v>
      </c>
      <c r="BE144" s="54">
        <f>IF(RTD("tos.rtd",,BE$2,"."&amp;$D$134&amp;$AW$82&amp;"C"&amp;$A144)="N/A",0,RTD("tos.rtd",,BE$2,"."&amp;$D$134&amp;$AW$82&amp;"C"&amp;$A144))</f>
        <v>30</v>
      </c>
      <c r="BF144" s="3">
        <f>-IF(RTD("tos.rtd",,BF$2,"."&amp;$D$134&amp;$AW$82&amp;"P"&amp;$A144)="N/A",0,RTD("tos.rtd",,BF$2,"."&amp;$D$134&amp;$AW$82&amp;"P"&amp;$A144))</f>
        <v>0</v>
      </c>
      <c r="BG144" s="3">
        <f ca="1">+Hoja2!Y145</f>
        <v>0</v>
      </c>
      <c r="BH144" s="7">
        <f t="shared" ca="1" si="546"/>
        <v>129</v>
      </c>
      <c r="BI144" s="32" t="str">
        <f t="shared" ca="1" si="605"/>
        <v/>
      </c>
      <c r="BJ144" s="3" t="e">
        <f ca="1">IF($BP$1=1,DX144,IF(RTD("tos.rtd",,BJ$43,"."&amp;$B$134&amp;$AS$82&amp;"C"&amp;$A144)="N/A",0,RTD("tos.rtd",,BJ$43,"."&amp;$B$134&amp;$AS$82&amp;"C"&amp;$A144)))</f>
        <v>#NUM!</v>
      </c>
      <c r="BK144" s="3" t="e">
        <f ca="1">IF($BP$1=1,DY144,-IF(RTD("tos.rtd",,BK$43,"."&amp;$B$134&amp;$AS$82&amp;"P"&amp;$A144)="N/A",0,RTD("tos.rtd",,BK$43,"."&amp;$B$134&amp;$AS$82&amp;"P"&amp;$A144)))</f>
        <v>#NUM!</v>
      </c>
      <c r="BL144" s="3">
        <f ca="1">IF($BP$1=1,DZ144,IF(RTD("tos.rtd",,BL$2,"."&amp;$C$134&amp;$AU$82&amp;"C"&amp;$A144)="N/A",0,RTD("tos.rtd",,BL$2,"."&amp;$C$134&amp;$AU$82&amp;"C"&amp;$A144)))</f>
        <v>6.0737300991406753E-4</v>
      </c>
      <c r="BM144" s="3">
        <f ca="1">IF($BP$1=1,EA144,-IF(RTD("tos.rtd",,BM$2,"."&amp;$C$134&amp;$AU$82&amp;"P"&amp;$A144)="N/A",0,RTD("tos.rtd",,BM$2,"."&amp;$C$134&amp;$AU$82&amp;"P"&amp;$A144)))</f>
        <v>-6.1479581868937152E-4</v>
      </c>
      <c r="BN144" s="3">
        <f ca="1">IF($BP$1=1,EB144,IF(RTD("tos.rtd",,BN$2,"."&amp;$D$134&amp;$AW$82&amp;"C"&amp;$A144)="N/A",0,RTD("tos.rtd",,BN$2,"."&amp;$D$134&amp;$AW$82&amp;"C"&amp;$A144)))</f>
        <v>6.12745881147704E-4</v>
      </c>
      <c r="BO144" s="3">
        <f ca="1">IF($BP$1=1,EC144,-IF(RTD("tos.rtd",,BO$2,"."&amp;$D$134&amp;$AW$82&amp;"P"&amp;$A144)="N/A",0,RTD("tos.rtd",,BO$2,"."&amp;$D$134&amp;$AW$82&amp;"P"&amp;$A144)))</f>
        <v>-6.0620258556652205E-4</v>
      </c>
      <c r="BQ144" s="3" t="e">
        <f t="shared" ca="1" si="598"/>
        <v>#NUM!</v>
      </c>
      <c r="BR144" s="3" t="e">
        <f t="shared" ca="1" si="547"/>
        <v>#NUM!</v>
      </c>
      <c r="BS144" s="3">
        <f t="shared" ca="1" si="599"/>
        <v>597078.49146225548</v>
      </c>
      <c r="BT144" s="3" t="str">
        <f t="shared" ca="1" si="548"/>
        <v/>
      </c>
      <c r="BU144" s="3">
        <f t="shared" ca="1" si="600"/>
        <v>447119.97458555247</v>
      </c>
      <c r="BV144" s="3" t="str">
        <f t="shared" ca="1" si="548"/>
        <v/>
      </c>
      <c r="BX144" s="3" t="e">
        <f t="shared" ca="1" si="582"/>
        <v>#NUM!</v>
      </c>
      <c r="BY144" s="3" t="e">
        <f t="shared" ca="1" si="583"/>
        <v>#NUM!</v>
      </c>
      <c r="BZ144" s="3">
        <f t="shared" ca="1" si="584"/>
        <v>5902.4143601556043</v>
      </c>
      <c r="CA144" s="3" t="str">
        <f t="shared" ca="1" si="583"/>
        <v/>
      </c>
      <c r="CB144" s="3">
        <f t="shared" ca="1" si="585"/>
        <v>4357.0445849839944</v>
      </c>
      <c r="CC144" s="3" t="str">
        <f t="shared" ca="1" si="583"/>
        <v/>
      </c>
      <c r="CD144" s="3">
        <f>IF(RTD("tos.rtd",,CD$43,"."&amp;$B$134&amp;$AS$82&amp;"C"&amp;$A144)="N/A",0,RTD("tos.rtd",,CD$43,"."&amp;$B$134&amp;$AS$82&amp;"C"&amp;$A144))</f>
        <v>0.03</v>
      </c>
      <c r="CE144" s="3">
        <f>-IF(RTD("tos.rtd",,CE$43,"."&amp;$B$134&amp;$AS$82&amp;"P"&amp;$A144)="N/A",0,RTD("tos.rtd",,CE$43,"."&amp;$B$134&amp;$AS$82&amp;"P"&amp;$A144))</f>
        <v>1</v>
      </c>
      <c r="CF144" s="3">
        <f>IF(RTD("tos.rtd",,CF$2,"."&amp;$C$134&amp;$AU$82&amp;"C"&amp;$A144)="N/A",0,RTD("tos.rtd",,CF$2,"."&amp;$C$134&amp;$AU$82&amp;"C"&amp;$A144))</f>
        <v>0.15</v>
      </c>
      <c r="CG144" s="3">
        <f>-IF(RTD("tos.rtd",,CG$2,"."&amp;$C$134&amp;$AU$82&amp;"P"&amp;$A144)="N/A",0,RTD("tos.rtd",,CG$2,"."&amp;$C$134&amp;$AU$82&amp;"P"&amp;$A144))</f>
        <v>1</v>
      </c>
      <c r="CH144" s="3">
        <f>IF(RTD("tos.rtd",,CH$2,"."&amp;$D$134&amp;$AW$82&amp;"C"&amp;$A144)="N/A",0,RTD("tos.rtd",,CH$2,"."&amp;$D$134&amp;$AW$82&amp;"C"&amp;$A144))</f>
        <v>0.3</v>
      </c>
      <c r="CI144" s="3">
        <f>-IF(RTD("tos.rtd",,CI$2,"."&amp;$D$134&amp;$AW$82&amp;"P"&amp;$A144)="N/A",0,RTD("tos.rtd",,CI$2,"."&amp;$D$134&amp;$AW$82&amp;"P"&amp;$A144))</f>
        <v>0.71</v>
      </c>
      <c r="CK144" s="3">
        <f t="shared" si="601"/>
        <v>9</v>
      </c>
      <c r="CL144" s="3"/>
      <c r="CM144" s="3">
        <f t="shared" si="602"/>
        <v>464.99999999999994</v>
      </c>
      <c r="CN144" s="3"/>
      <c r="CO144" s="3">
        <f t="shared" si="603"/>
        <v>648.99999999999989</v>
      </c>
      <c r="CP144" s="3">
        <f t="shared" si="539"/>
        <v>1122.9999999999998</v>
      </c>
      <c r="CQ144" s="3">
        <f t="shared" si="549"/>
        <v>58</v>
      </c>
      <c r="CR144" s="3"/>
      <c r="CS144" s="3">
        <f t="shared" si="550"/>
        <v>41</v>
      </c>
      <c r="CT144" s="3"/>
      <c r="CU144" s="3">
        <f t="shared" si="551"/>
        <v>30</v>
      </c>
      <c r="CV144" s="3"/>
      <c r="CW144" s="3" t="e">
        <f t="shared" ca="1" si="552"/>
        <v>#NUM!</v>
      </c>
      <c r="CY144" s="3" t="e">
        <f t="shared" ca="1" si="553"/>
        <v>#NUM!</v>
      </c>
      <c r="CZ144" s="70" t="e">
        <f t="shared" ca="1" si="586"/>
        <v>#NUM!</v>
      </c>
      <c r="DA144" s="3">
        <f>IF(RTD("tos.rtd",,DA$43,"."&amp;$B$134&amp;$AS$82&amp;"C"&amp;$A144)="N/A",0,RTD("tos.rtd",,DA$43,"."&amp;$B$134&amp;$AS$82&amp;"C"&amp;$A144))</f>
        <v>0.25</v>
      </c>
      <c r="DB144" s="3">
        <f>IF(RTD("tos.rtd",,DB$43,"."&amp;$B$134&amp;$AS$82&amp;"P"&amp;$A144)="N/A",0,RTD("tos.rtd",,DB$43,"."&amp;$B$134&amp;$AS$82&amp;"P"&amp;$A144))</f>
        <v>0</v>
      </c>
      <c r="DC144" s="3">
        <f>IF(RTD("tos.rtd",,DC$43,"."&amp;$B$134&amp;$AS$82&amp;"C"&amp;$A144)="N/A",0,RTD("tos.rtd",,DC$43,"."&amp;$B$134&amp;$AS$82&amp;"C"&amp;$A144))</f>
        <v>5.0999999999999996</v>
      </c>
      <c r="DD144" s="3">
        <f>IF(RTD("tos.rtd",,DD$43,"."&amp;$B$134&amp;$AS$82&amp;"P"&amp;$A144)="N/A",0,RTD("tos.rtd",,DD$43,"."&amp;$B$134&amp;$AS$82&amp;"P"&amp;$A144))</f>
        <v>428.7</v>
      </c>
      <c r="DE144" s="3">
        <f>IF(RTD("tos.rtd",,DE$43,"."&amp;$B$134&amp;$AS$82&amp;"C"&amp;$A144)="N/A",0,RTD("tos.rtd",,DE$43,"."&amp;$B$134&amp;$AS$82&amp;"C"&amp;$A144))</f>
        <v>0</v>
      </c>
      <c r="DF144" s="3">
        <f>IF(RTD("tos.rtd",,DF$43,"."&amp;$B$134&amp;$AS$82&amp;"P"&amp;$A144)="N/A",0,RTD("tos.rtd",,DF$43,"."&amp;$B$134&amp;$AS$82&amp;"P"&amp;$A144))</f>
        <v>384</v>
      </c>
      <c r="DG144" s="86">
        <f t="shared" si="587"/>
        <v>407.02699999999822</v>
      </c>
      <c r="DH144" s="3">
        <f t="shared" si="554"/>
        <v>0</v>
      </c>
      <c r="DI144" s="3">
        <f t="shared" si="555"/>
        <v>0</v>
      </c>
      <c r="DJ144" s="3">
        <f t="shared" si="556"/>
        <v>0</v>
      </c>
      <c r="DK144" s="3">
        <f t="shared" si="557"/>
        <v>0</v>
      </c>
      <c r="DL144" s="3">
        <f t="shared" si="558"/>
        <v>0</v>
      </c>
      <c r="DM144" s="3">
        <f t="shared" si="559"/>
        <v>0</v>
      </c>
      <c r="DN144" s="64" t="str">
        <f t="shared" si="560"/>
        <v>UNKNOWN</v>
      </c>
      <c r="DO144" s="64" t="str">
        <f t="shared" si="561"/>
        <v>UNKNOWN</v>
      </c>
      <c r="DP144" s="3">
        <f t="shared" si="562"/>
        <v>0</v>
      </c>
      <c r="DQ144" s="3">
        <f t="shared" si="563"/>
        <v>0</v>
      </c>
      <c r="DR144" s="3" t="e">
        <f t="shared" ca="1" si="564"/>
        <v>#NUM!</v>
      </c>
      <c r="DS144" s="3">
        <f t="shared" si="565"/>
        <v>0</v>
      </c>
      <c r="DT144" s="3">
        <f t="shared" si="588"/>
        <v>0</v>
      </c>
      <c r="DU144" s="3">
        <f t="shared" si="589"/>
        <v>0</v>
      </c>
      <c r="DV144" s="3">
        <f t="shared" si="566"/>
        <v>27</v>
      </c>
      <c r="DW144" s="3">
        <f t="shared" si="567"/>
        <v>0</v>
      </c>
      <c r="DX144" s="3" t="e">
        <f t="shared" ca="1" si="568"/>
        <v>#NUM!</v>
      </c>
      <c r="DY144" s="3" t="e">
        <f t="shared" ca="1" si="569"/>
        <v>#NUM!</v>
      </c>
      <c r="DZ144" s="3">
        <f t="shared" ca="1" si="570"/>
        <v>6.0737300991406753E-4</v>
      </c>
      <c r="EA144" s="3">
        <f t="shared" ca="1" si="571"/>
        <v>-6.1479581868937152E-4</v>
      </c>
      <c r="EB144" s="3">
        <f t="shared" ca="1" si="572"/>
        <v>6.12745881147704E-4</v>
      </c>
      <c r="EC144" s="3">
        <f t="shared" ca="1" si="573"/>
        <v>-6.0620258556652205E-4</v>
      </c>
      <c r="ED144" s="63">
        <f t="shared" si="590"/>
        <v>27</v>
      </c>
      <c r="EE144" s="59">
        <f t="shared" si="574"/>
        <v>1.431</v>
      </c>
      <c r="EF144" s="59">
        <f t="shared" si="575"/>
        <v>0.25</v>
      </c>
      <c r="EG144" s="59">
        <f t="shared" si="576"/>
        <v>0.2752</v>
      </c>
      <c r="EH144" s="59">
        <f t="shared" si="577"/>
        <v>0.25</v>
      </c>
      <c r="EI144" s="59">
        <f t="shared" si="578"/>
        <v>0.23069999999999999</v>
      </c>
      <c r="EJ144" s="59">
        <f t="shared" si="579"/>
        <v>0.21820000000000001</v>
      </c>
      <c r="EL144" s="3" t="str">
        <f>RTD("tos.rtd",,EL$43,"."&amp;$B$134&amp;$AS$82&amp;"C"&amp;$A144)</f>
        <v>143.10%</v>
      </c>
      <c r="EM144" s="3" t="str">
        <f>RTD("tos.rtd",,EM$43,"."&amp;$B$134&amp;$AS$82&amp;"P"&amp;$A144)</f>
        <v>--</v>
      </c>
      <c r="EN144" s="3" t="str">
        <f>RTD("tos.rtd",,EN$2,"."&amp;$C$134&amp;$AU$82&amp;"C"&amp;$A144)</f>
        <v>27.52%</v>
      </c>
      <c r="EO144" s="3" t="str">
        <f>RTD("tos.rtd",,EO$2,"."&amp;$C$134&amp;$AU$82&amp;"P"&amp;$A144)</f>
        <v>--</v>
      </c>
      <c r="EP144" s="3" t="str">
        <f>RTD("tos.rtd",,EP$2,"."&amp;$D$134&amp;$AW$82&amp;"C"&amp;$A144)</f>
        <v>23.07%</v>
      </c>
      <c r="EQ144" s="3" t="str">
        <f>RTD("tos.rtd",,EQ$2,"."&amp;$D$134&amp;$AW$82&amp;"P"&amp;$A144)</f>
        <v>21.82%</v>
      </c>
      <c r="ES144" s="63" t="str">
        <f t="shared" si="580"/>
        <v>20275,27.00</v>
      </c>
      <c r="ET144" s="64" t="str">
        <f t="shared" ca="1" si="581"/>
        <v>20275,00.00</v>
      </c>
      <c r="EU144" s="67">
        <v>562.13</v>
      </c>
      <c r="EV144" s="67" t="s">
        <v>1172</v>
      </c>
      <c r="EW144" s="67">
        <v>484.57</v>
      </c>
      <c r="EX144" s="67" t="s">
        <v>1173</v>
      </c>
      <c r="EY144" s="67">
        <v>5635</v>
      </c>
      <c r="EZ144" s="67" t="s">
        <v>1174</v>
      </c>
      <c r="FA144" s="67">
        <v>19905.5</v>
      </c>
      <c r="FB144" s="67" t="s">
        <v>1175</v>
      </c>
      <c r="FC144" s="67" t="s">
        <v>1176</v>
      </c>
      <c r="FD144" s="67" t="s">
        <v>1177</v>
      </c>
      <c r="FE144" s="68" t="s">
        <v>1178</v>
      </c>
      <c r="FF144" s="68" t="s">
        <v>1179</v>
      </c>
    </row>
    <row r="145" spans="1:162" ht="11.1" customHeight="1" thickBot="1" x14ac:dyDescent="0.25">
      <c r="A145" s="2">
        <f t="shared" si="591"/>
        <v>20250</v>
      </c>
      <c r="B145" s="3">
        <f t="shared" ref="B145:B154" si="606">+IF($A$1="ABS",AS145-AT145,AS145+AT145)</f>
        <v>15</v>
      </c>
      <c r="C145" s="3">
        <f t="shared" ref="C145:C154" si="607">+IF($A$1="ABS",AU145-AV145,AU145+AV145)</f>
        <v>24</v>
      </c>
      <c r="D145" s="3">
        <f t="shared" ref="D145:D154" si="608">+IF($A$1="ABS",AW145-AX145,AW145+AX145)</f>
        <v>52</v>
      </c>
      <c r="E145" s="3">
        <f t="shared" si="594"/>
        <v>91</v>
      </c>
      <c r="F145" s="4">
        <f t="shared" si="595"/>
        <v>20482.411567601786</v>
      </c>
      <c r="G145" s="5">
        <f t="shared" si="596"/>
        <v>496.21128939524931</v>
      </c>
      <c r="AM145" s="1">
        <v>49</v>
      </c>
      <c r="AN145" s="1">
        <v>0</v>
      </c>
      <c r="AO145" s="1">
        <v>20250</v>
      </c>
      <c r="AP145" s="1">
        <v>287</v>
      </c>
      <c r="AQ145" s="1">
        <v>0</v>
      </c>
      <c r="AS145" s="54">
        <f>IF(RTD("tos.rtd",,AS$83,"."&amp;$B$134&amp;$AS$82&amp;"C"&amp;$A145)="N/A",0,RTD("tos.rtd",,AS$83,"."&amp;$B$134&amp;$AS$82&amp;"C"&amp;$A145))</f>
        <v>15</v>
      </c>
      <c r="AT145" s="3">
        <f>-IF(RTD("tos.rtd",,AT$83,"."&amp;$B$134&amp;$AS$82&amp;"P"&amp;$A145)="N/A",0,RTD("tos.rtd",,AT$83,"."&amp;$B$134&amp;$AS$82&amp;"P"&amp;$A145))</f>
        <v>0</v>
      </c>
      <c r="AU145" s="54">
        <f>IF(RTD("tos.rtd",,AU$2,"."&amp;$C$134&amp;$AU$134&amp;"C"&amp;$A145)="N/A",0,RTD("tos.rtd",,AU$2,"."&amp;$C$134&amp;$AU$134&amp;"C"&amp;$A145))</f>
        <v>20</v>
      </c>
      <c r="AV145" s="3">
        <f>-IF(RTD("tos.rtd",,AV$2,"."&amp;$C$134&amp;$AU$134&amp;"P"&amp;$A145)="N/A",0,RTD("tos.rtd",,AV$2,"."&amp;$C$134&amp;$AU$134&amp;"P"&amp;$A145))</f>
        <v>-4</v>
      </c>
      <c r="AW145" s="54">
        <f>IF(RTD("tos.rtd",,AW$2,"."&amp;$D$134&amp;$AW$134&amp;"C"&amp;$A145)="N/A",0,RTD("tos.rtd",,AW$2,"."&amp;$D$134&amp;$AW$134&amp;"C"&amp;$A145))</f>
        <v>48</v>
      </c>
      <c r="AX145" s="3">
        <f>-IF(RTD("tos.rtd",,AX$2,"."&amp;$D$134&amp;$AW$134&amp;"P"&amp;$A145)="N/A",0,RTD("tos.rtd",,AX$2,"."&amp;$D$134&amp;$AW$134&amp;"P"&amp;$A145))</f>
        <v>-4</v>
      </c>
      <c r="AY145" s="76">
        <f t="shared" si="597"/>
        <v>75</v>
      </c>
      <c r="AZ145" s="8">
        <f t="shared" si="545"/>
        <v>20250</v>
      </c>
      <c r="BA145" s="54">
        <f>IF(RTD("tos.rtd",,BA$43,"."&amp;$B$134&amp;$AS$82&amp;"C"&amp;$A145)="N/A",0,RTD("tos.rtd",,BA$43,"."&amp;$B$134&amp;$AS$82&amp;"C"&amp;$A145))</f>
        <v>287</v>
      </c>
      <c r="BB145" s="3">
        <f>-IF(RTD("tos.rtd",,BB$43,"."&amp;$B$134&amp;$AS$82&amp;"P"&amp;$A145)="N/A",0,RTD("tos.rtd",,BB$43,"."&amp;$B$134&amp;$AS$82&amp;"P"&amp;$A145))</f>
        <v>0</v>
      </c>
      <c r="BC145" s="54">
        <f>IF(RTD("tos.rtd",,BC$2,"."&amp;$C$134&amp;$AU$82&amp;"C"&amp;$A145)="N/A",0,RTD("tos.rtd",,BC$2,"."&amp;$C$134&amp;$AU$82&amp;"C"&amp;$A145))</f>
        <v>76</v>
      </c>
      <c r="BD145" s="3">
        <f>-IF(RTD("tos.rtd",,BD$2,"."&amp;$C$134&amp;$AU$82&amp;"P"&amp;$A145)="N/A",0,RTD("tos.rtd",,BD$2,"."&amp;$C$134&amp;$AU$82&amp;"P"&amp;$A145))</f>
        <v>0</v>
      </c>
      <c r="BE145" s="54">
        <f>IF(RTD("tos.rtd",,BE$2,"."&amp;$D$134&amp;$AW$82&amp;"C"&amp;$A145)="N/A",0,RTD("tos.rtd",,BE$2,"."&amp;$D$134&amp;$AW$82&amp;"C"&amp;$A145))</f>
        <v>0</v>
      </c>
      <c r="BF145" s="3">
        <f>-IF(RTD("tos.rtd",,BF$2,"."&amp;$D$134&amp;$AW$82&amp;"P"&amp;$A145)="N/A",0,RTD("tos.rtd",,BF$2,"."&amp;$D$134&amp;$AW$82&amp;"P"&amp;$A145))</f>
        <v>0</v>
      </c>
      <c r="BG145" s="3">
        <f ca="1">+Hoja2!Y146</f>
        <v>0</v>
      </c>
      <c r="BH145" s="7">
        <f t="shared" ca="1" si="546"/>
        <v>363</v>
      </c>
      <c r="BI145" s="32" t="str">
        <f t="shared" ca="1" si="605"/>
        <v/>
      </c>
      <c r="BJ145" s="3" t="e">
        <f ca="1">IF($BP$1=1,DX145,IF(RTD("tos.rtd",,BJ$43,"."&amp;$B$134&amp;$AS$82&amp;"C"&amp;$A145)="N/A",0,RTD("tos.rtd",,BJ$43,"."&amp;$B$134&amp;$AS$82&amp;"C"&amp;$A145)))</f>
        <v>#NUM!</v>
      </c>
      <c r="BK145" s="3" t="e">
        <f ca="1">IF($BP$1=1,DY145,-IF(RTD("tos.rtd",,BK$43,"."&amp;$B$134&amp;$AS$82&amp;"P"&amp;$A145)="N/A",0,RTD("tos.rtd",,BK$43,"."&amp;$B$134&amp;$AS$82&amp;"P"&amp;$A145)))</f>
        <v>#NUM!</v>
      </c>
      <c r="BL145" s="3">
        <f ca="1">IF($BP$1=1,DZ145,IF(RTD("tos.rtd",,BL$2,"."&amp;$C$134&amp;$AU$82&amp;"C"&amp;$A145)="N/A",0,RTD("tos.rtd",,BL$2,"."&amp;$C$134&amp;$AU$82&amp;"C"&amp;$A145)))</f>
        <v>6.3581557443765789E-4</v>
      </c>
      <c r="BM145" s="3">
        <f ca="1">IF($BP$1=1,EA145,-IF(RTD("tos.rtd",,BM$2,"."&amp;$C$134&amp;$AU$82&amp;"P"&amp;$A145)="N/A",0,RTD("tos.rtd",,BM$2,"."&amp;$C$134&amp;$AU$82&amp;"P"&amp;$A145)))</f>
        <v>-5.7370177360817234E-4</v>
      </c>
      <c r="BN145" s="3">
        <f ca="1">IF($BP$1=1,EB145,IF(RTD("tos.rtd",,BN$2,"."&amp;$D$134&amp;$AW$82&amp;"C"&amp;$A145)="N/A",0,RTD("tos.rtd",,BN$2,"."&amp;$D$134&amp;$AW$82&amp;"C"&amp;$A145)))</f>
        <v>6.550382074114445E-4</v>
      </c>
      <c r="BO145" s="3">
        <f ca="1">IF($BP$1=1,EC145,-IF(RTD("tos.rtd",,BO$2,"."&amp;$D$134&amp;$AW$82&amp;"P"&amp;$A145)="N/A",0,RTD("tos.rtd",,BO$2,"."&amp;$D$134&amp;$AW$82&amp;"P"&amp;$A145)))</f>
        <v>-6.5148797943288773E-4</v>
      </c>
      <c r="BQ145" s="3" t="e">
        <f t="shared" ca="1" si="598"/>
        <v>#NUM!</v>
      </c>
      <c r="BR145" s="3" t="e">
        <f t="shared" ca="1" si="547"/>
        <v>#NUM!</v>
      </c>
      <c r="BS145" s="3">
        <f t="shared" ca="1" si="599"/>
        <v>330479.60276946367</v>
      </c>
      <c r="BT145" s="3" t="str">
        <f t="shared" ca="1" si="548"/>
        <v/>
      </c>
      <c r="BU145" s="3">
        <f t="shared" ca="1" si="600"/>
        <v>914423.72241619241</v>
      </c>
      <c r="BV145" s="3" t="str">
        <f t="shared" ca="1" si="548"/>
        <v/>
      </c>
      <c r="BX145" s="3" t="e">
        <f t="shared" ca="1" si="582"/>
        <v>#NUM!</v>
      </c>
      <c r="BY145" s="3" t="e">
        <f t="shared" ca="1" si="583"/>
        <v>#NUM!</v>
      </c>
      <c r="BZ145" s="3">
        <f t="shared" ca="1" si="584"/>
        <v>11453.417787441476</v>
      </c>
      <c r="CA145" s="3" t="str">
        <f t="shared" ca="1" si="583"/>
        <v/>
      </c>
      <c r="CB145" s="3">
        <f t="shared" ca="1" si="585"/>
        <v>0</v>
      </c>
      <c r="CC145" s="3" t="str">
        <f t="shared" ca="1" si="583"/>
        <v/>
      </c>
      <c r="CD145" s="3">
        <f>IF(RTD("tos.rtd",,CD$43,"."&amp;$B$134&amp;$AS$82&amp;"C"&amp;$A145)="N/A",0,RTD("tos.rtd",,CD$43,"."&amp;$B$134&amp;$AS$82&amp;"C"&amp;$A145))</f>
        <v>0.01</v>
      </c>
      <c r="CE145" s="3">
        <f>-IF(RTD("tos.rtd",,CE$43,"."&amp;$B$134&amp;$AS$82&amp;"P"&amp;$A145)="N/A",0,RTD("tos.rtd",,CE$43,"."&amp;$B$134&amp;$AS$82&amp;"P"&amp;$A145))</f>
        <v>0.97</v>
      </c>
      <c r="CF145" s="3">
        <f>IF(RTD("tos.rtd",,CF$2,"."&amp;$C$134&amp;$AU$82&amp;"C"&amp;$A145)="N/A",0,RTD("tos.rtd",,CF$2,"."&amp;$C$134&amp;$AU$82&amp;"C"&amp;$A145))</f>
        <v>0.16</v>
      </c>
      <c r="CG145" s="3">
        <f>-IF(RTD("tos.rtd",,CG$2,"."&amp;$C$134&amp;$AU$82&amp;"P"&amp;$A145)="N/A",0,RTD("tos.rtd",,CG$2,"."&amp;$C$134&amp;$AU$82&amp;"P"&amp;$A145))</f>
        <v>0.95</v>
      </c>
      <c r="CH145" s="3">
        <f>IF(RTD("tos.rtd",,CH$2,"."&amp;$D$134&amp;$AW$82&amp;"C"&amp;$A145)="N/A",0,RTD("tos.rtd",,CH$2,"."&amp;$D$134&amp;$AW$82&amp;"C"&amp;$A145))</f>
        <v>0.31</v>
      </c>
      <c r="CI145" s="3">
        <f>-IF(RTD("tos.rtd",,CI$2,"."&amp;$D$134&amp;$AW$82&amp;"P"&amp;$A145)="N/A",0,RTD("tos.rtd",,CI$2,"."&amp;$D$134&amp;$AW$82&amp;"P"&amp;$A145))</f>
        <v>0.7</v>
      </c>
      <c r="CK145" s="3">
        <f t="shared" si="601"/>
        <v>15</v>
      </c>
      <c r="CL145" s="3"/>
      <c r="CM145" s="3">
        <f t="shared" si="602"/>
        <v>-60</v>
      </c>
      <c r="CN145" s="3"/>
      <c r="CO145" s="3">
        <f t="shared" si="603"/>
        <v>1208</v>
      </c>
      <c r="CP145" s="3">
        <f t="shared" si="539"/>
        <v>1163</v>
      </c>
      <c r="CQ145" s="3">
        <f t="shared" si="549"/>
        <v>287</v>
      </c>
      <c r="CR145" s="3"/>
      <c r="CS145" s="3">
        <f t="shared" si="550"/>
        <v>76</v>
      </c>
      <c r="CT145" s="3"/>
      <c r="CU145" s="3">
        <f t="shared" si="551"/>
        <v>0</v>
      </c>
      <c r="CV145" s="3"/>
      <c r="CW145" s="3" t="e">
        <f t="shared" ca="1" si="552"/>
        <v>#NUM!</v>
      </c>
      <c r="CY145" s="3" t="e">
        <f t="shared" ca="1" si="553"/>
        <v>#NUM!</v>
      </c>
      <c r="CZ145" s="70" t="e">
        <f t="shared" ca="1" si="586"/>
        <v>#NUM!</v>
      </c>
      <c r="DA145" s="3">
        <f>IF(RTD("tos.rtd",,DA$43,"."&amp;$B$134&amp;$AS$82&amp;"C"&amp;$A145)="N/A",0,RTD("tos.rtd",,DA$43,"."&amp;$B$134&amp;$AS$82&amp;"C"&amp;$A145))</f>
        <v>0.15</v>
      </c>
      <c r="DB145" s="3">
        <f>IF(RTD("tos.rtd",,DB$43,"."&amp;$B$134&amp;$AS$82&amp;"P"&amp;$A145)="N/A",0,RTD("tos.rtd",,DB$43,"."&amp;$B$134&amp;$AS$82&amp;"P"&amp;$A145))</f>
        <v>0</v>
      </c>
      <c r="DC145" s="3">
        <f>IF(RTD("tos.rtd",,DC$43,"."&amp;$B$134&amp;$AS$82&amp;"C"&amp;$A145)="N/A",0,RTD("tos.rtd",,DC$43,"."&amp;$B$134&amp;$AS$82&amp;"C"&amp;$A145))</f>
        <v>0.5</v>
      </c>
      <c r="DD145" s="3">
        <f>IF(RTD("tos.rtd",,DD$43,"."&amp;$B$134&amp;$AS$82&amp;"P"&amp;$A145)="N/A",0,RTD("tos.rtd",,DD$43,"."&amp;$B$134&amp;$AS$82&amp;"P"&amp;$A145))</f>
        <v>409.7</v>
      </c>
      <c r="DE145" s="3">
        <f>IF(RTD("tos.rtd",,DE$43,"."&amp;$B$134&amp;$AS$82&amp;"C"&amp;$A145)="N/A",0,RTD("tos.rtd",,DE$43,"."&amp;$B$134&amp;$AS$82&amp;"C"&amp;$A145))</f>
        <v>0</v>
      </c>
      <c r="DF145" s="3">
        <f>IF(RTD("tos.rtd",,DF$43,"."&amp;$B$134&amp;$AS$82&amp;"P"&amp;$A145)="N/A",0,RTD("tos.rtd",,DF$43,"."&amp;$B$134&amp;$AS$82&amp;"P"&amp;$A145))</f>
        <v>359.7</v>
      </c>
      <c r="DG145" s="86">
        <f t="shared" si="587"/>
        <v>382.02699999999822</v>
      </c>
      <c r="DH145" s="3">
        <f t="shared" si="554"/>
        <v>0</v>
      </c>
      <c r="DI145" s="3">
        <f t="shared" si="555"/>
        <v>0</v>
      </c>
      <c r="DJ145" s="3">
        <f t="shared" si="556"/>
        <v>0</v>
      </c>
      <c r="DK145" s="3">
        <f t="shared" si="557"/>
        <v>0</v>
      </c>
      <c r="DL145" s="3">
        <f t="shared" si="558"/>
        <v>0</v>
      </c>
      <c r="DM145" s="3">
        <f t="shared" si="559"/>
        <v>0</v>
      </c>
      <c r="DN145" s="64" t="str">
        <f t="shared" si="560"/>
        <v>UNKNOWN</v>
      </c>
      <c r="DO145" s="64" t="str">
        <f t="shared" si="561"/>
        <v>UNKNOWN</v>
      </c>
      <c r="DP145" s="3">
        <f t="shared" si="562"/>
        <v>0</v>
      </c>
      <c r="DQ145" s="3">
        <f t="shared" si="563"/>
        <v>0</v>
      </c>
      <c r="DR145" s="3" t="e">
        <f t="shared" ca="1" si="564"/>
        <v>#NUM!</v>
      </c>
      <c r="DS145" s="3">
        <f t="shared" si="565"/>
        <v>0</v>
      </c>
      <c r="DT145" s="3">
        <f t="shared" si="588"/>
        <v>0</v>
      </c>
      <c r="DU145" s="3">
        <f t="shared" si="589"/>
        <v>0</v>
      </c>
      <c r="DV145" s="3">
        <f t="shared" si="566"/>
        <v>49</v>
      </c>
      <c r="DW145" s="3">
        <f t="shared" si="567"/>
        <v>0</v>
      </c>
      <c r="DX145" s="3" t="e">
        <f t="shared" ca="1" si="568"/>
        <v>#NUM!</v>
      </c>
      <c r="DY145" s="3" t="e">
        <f t="shared" ca="1" si="569"/>
        <v>#NUM!</v>
      </c>
      <c r="DZ145" s="3">
        <f t="shared" ca="1" si="570"/>
        <v>6.3581557443765789E-4</v>
      </c>
      <c r="EA145" s="3">
        <f t="shared" ca="1" si="571"/>
        <v>-5.7370177360817234E-4</v>
      </c>
      <c r="EB145" s="3">
        <f t="shared" ca="1" si="572"/>
        <v>6.550382074114445E-4</v>
      </c>
      <c r="EC145" s="3">
        <f t="shared" ca="1" si="573"/>
        <v>-6.5148797943288773E-4</v>
      </c>
      <c r="ED145" s="63">
        <f t="shared" si="590"/>
        <v>49</v>
      </c>
      <c r="EE145" s="59">
        <f t="shared" si="574"/>
        <v>0.98580000000000001</v>
      </c>
      <c r="EF145" s="59">
        <f t="shared" si="575"/>
        <v>1.3746</v>
      </c>
      <c r="EG145" s="59">
        <f t="shared" si="576"/>
        <v>0.27610000000000001</v>
      </c>
      <c r="EH145" s="59">
        <f t="shared" si="577"/>
        <v>0.1661</v>
      </c>
      <c r="EI145" s="59">
        <f t="shared" si="578"/>
        <v>0.23180000000000001</v>
      </c>
      <c r="EJ145" s="59">
        <f t="shared" si="579"/>
        <v>0.21379999999999999</v>
      </c>
      <c r="EL145" s="3" t="str">
        <f>RTD("tos.rtd",,EL$43,"."&amp;$B$134&amp;$AS$82&amp;"C"&amp;$A145)</f>
        <v>98.58%</v>
      </c>
      <c r="EM145" s="3" t="str">
        <f>RTD("tos.rtd",,EM$43,"."&amp;$B$134&amp;$AS$82&amp;"P"&amp;$A145)</f>
        <v>137.46%</v>
      </c>
      <c r="EN145" s="3" t="str">
        <f>RTD("tos.rtd",,EN$2,"."&amp;$C$134&amp;$AU$82&amp;"C"&amp;$A145)</f>
        <v>27.61%</v>
      </c>
      <c r="EO145" s="3" t="str">
        <f>RTD("tos.rtd",,EO$2,"."&amp;$C$134&amp;$AU$82&amp;"P"&amp;$A145)</f>
        <v>16.61%</v>
      </c>
      <c r="EP145" s="3" t="str">
        <f>RTD("tos.rtd",,EP$2,"."&amp;$D$134&amp;$AW$82&amp;"C"&amp;$A145)</f>
        <v>23.18%</v>
      </c>
      <c r="EQ145" s="3" t="str">
        <f>RTD("tos.rtd",,EQ$2,"."&amp;$D$134&amp;$AW$82&amp;"P"&amp;$A145)</f>
        <v>21.38%</v>
      </c>
      <c r="ES145" s="63" t="str">
        <f t="shared" si="580"/>
        <v>20250,49.00</v>
      </c>
      <c r="ET145" s="64" t="str">
        <f t="shared" ca="1" si="581"/>
        <v>20250,00.00</v>
      </c>
      <c r="EU145" s="68">
        <v>562.11</v>
      </c>
      <c r="EV145" s="68" t="s">
        <v>1180</v>
      </c>
      <c r="EW145" s="68">
        <v>484.56</v>
      </c>
      <c r="EX145" s="68" t="s">
        <v>1181</v>
      </c>
      <c r="EY145" s="68">
        <v>5635</v>
      </c>
      <c r="EZ145" s="68" t="s">
        <v>1182</v>
      </c>
      <c r="FA145" s="68">
        <v>19905</v>
      </c>
      <c r="FB145" s="68" t="s">
        <v>1183</v>
      </c>
      <c r="FC145" s="68" t="s">
        <v>1184</v>
      </c>
      <c r="FD145" s="68" t="s">
        <v>1185</v>
      </c>
      <c r="FE145" s="68" t="s">
        <v>1186</v>
      </c>
      <c r="FF145" s="68" t="s">
        <v>1187</v>
      </c>
    </row>
    <row r="146" spans="1:162" ht="11.1" customHeight="1" thickBot="1" x14ac:dyDescent="0.25">
      <c r="A146" s="2">
        <f t="shared" si="591"/>
        <v>20225</v>
      </c>
      <c r="B146" s="3">
        <f t="shared" si="606"/>
        <v>5</v>
      </c>
      <c r="C146" s="3">
        <f t="shared" si="607"/>
        <v>6</v>
      </c>
      <c r="D146" s="3">
        <f t="shared" si="608"/>
        <v>15</v>
      </c>
      <c r="E146" s="3">
        <f t="shared" si="594"/>
        <v>26</v>
      </c>
      <c r="F146" s="4">
        <f t="shared" si="595"/>
        <v>20457.124639740552</v>
      </c>
      <c r="G146" s="5">
        <f t="shared" si="596"/>
        <v>495.59868286513171</v>
      </c>
      <c r="AM146" s="1">
        <v>-59</v>
      </c>
      <c r="AN146" s="1">
        <v>0</v>
      </c>
      <c r="AO146" s="1">
        <v>20225</v>
      </c>
      <c r="AP146" s="1">
        <v>103</v>
      </c>
      <c r="AQ146" s="1">
        <v>0</v>
      </c>
      <c r="AS146" s="54">
        <f>IF(RTD("tos.rtd",,AS$83,"."&amp;$B$134&amp;$AS$82&amp;"C"&amp;$A146)="N/A",0,RTD("tos.rtd",,AS$83,"."&amp;$B$134&amp;$AS$82&amp;"C"&amp;$A146))</f>
        <v>5</v>
      </c>
      <c r="AT146" s="3">
        <f>-IF(RTD("tos.rtd",,AT$83,"."&amp;$B$134&amp;$AS$82&amp;"P"&amp;$A146)="N/A",0,RTD("tos.rtd",,AT$83,"."&amp;$B$134&amp;$AS$82&amp;"P"&amp;$A146))</f>
        <v>0</v>
      </c>
      <c r="AU146" s="54">
        <f>IF(RTD("tos.rtd",,AU$2,"."&amp;$C$134&amp;$AU$134&amp;"C"&amp;$A146)="N/A",0,RTD("tos.rtd",,AU$2,"."&amp;$C$134&amp;$AU$134&amp;"C"&amp;$A146))</f>
        <v>5</v>
      </c>
      <c r="AV146" s="3">
        <f>-IF(RTD("tos.rtd",,AV$2,"."&amp;$C$134&amp;$AU$134&amp;"P"&amp;$A146)="N/A",0,RTD("tos.rtd",,AV$2,"."&amp;$C$134&amp;$AU$134&amp;"P"&amp;$A146))</f>
        <v>-1</v>
      </c>
      <c r="AW146" s="54">
        <f>IF(RTD("tos.rtd",,AW$2,"."&amp;$D$134&amp;$AW$134&amp;"C"&amp;$A146)="N/A",0,RTD("tos.rtd",,AW$2,"."&amp;$D$134&amp;$AW$134&amp;"C"&amp;$A146))</f>
        <v>15</v>
      </c>
      <c r="AX146" s="3">
        <f>-IF(RTD("tos.rtd",,AX$2,"."&amp;$D$134&amp;$AW$134&amp;"P"&amp;$A146)="N/A",0,RTD("tos.rtd",,AX$2,"."&amp;$D$134&amp;$AW$134&amp;"P"&amp;$A146))</f>
        <v>0</v>
      </c>
      <c r="AY146" s="76">
        <f t="shared" si="597"/>
        <v>24</v>
      </c>
      <c r="AZ146" s="8">
        <f t="shared" si="545"/>
        <v>20225</v>
      </c>
      <c r="BA146" s="54">
        <f>IF(RTD("tos.rtd",,BA$43,"."&amp;$B$134&amp;$AS$82&amp;"C"&amp;$A146)="N/A",0,RTD("tos.rtd",,BA$43,"."&amp;$B$134&amp;$AS$82&amp;"C"&amp;$A146))</f>
        <v>103</v>
      </c>
      <c r="BB146" s="3">
        <f>-IF(RTD("tos.rtd",,BB$43,"."&amp;$B$134&amp;$AS$82&amp;"P"&amp;$A146)="N/A",0,RTD("tos.rtd",,BB$43,"."&amp;$B$134&amp;$AS$82&amp;"P"&amp;$A146))</f>
        <v>0</v>
      </c>
      <c r="BC146" s="54">
        <f>IF(RTD("tos.rtd",,BC$2,"."&amp;$C$134&amp;$AU$82&amp;"C"&amp;$A146)="N/A",0,RTD("tos.rtd",,BC$2,"."&amp;$C$134&amp;$AU$82&amp;"C"&amp;$A146))</f>
        <v>1</v>
      </c>
      <c r="BD146" s="3">
        <f>-IF(RTD("tos.rtd",,BD$2,"."&amp;$C$134&amp;$AU$82&amp;"P"&amp;$A146)="N/A",0,RTD("tos.rtd",,BD$2,"."&amp;$C$134&amp;$AU$82&amp;"P"&amp;$A146))</f>
        <v>0</v>
      </c>
      <c r="BE146" s="54">
        <f>IF(RTD("tos.rtd",,BE$2,"."&amp;$D$134&amp;$AW$82&amp;"C"&amp;$A146)="N/A",0,RTD("tos.rtd",,BE$2,"."&amp;$D$134&amp;$AW$82&amp;"C"&amp;$A146))</f>
        <v>1</v>
      </c>
      <c r="BF146" s="3">
        <f>-IF(RTD("tos.rtd",,BF$2,"."&amp;$D$134&amp;$AW$82&amp;"P"&amp;$A146)="N/A",0,RTD("tos.rtd",,BF$2,"."&amp;$D$134&amp;$AW$82&amp;"P"&amp;$A146))</f>
        <v>0</v>
      </c>
      <c r="BG146" s="3">
        <f ca="1">+Hoja2!Y147</f>
        <v>5</v>
      </c>
      <c r="BH146" s="7">
        <f t="shared" ca="1" si="546"/>
        <v>110</v>
      </c>
      <c r="BI146" s="32" t="str">
        <f t="shared" ca="1" si="605"/>
        <v/>
      </c>
      <c r="BJ146" s="3" t="e">
        <f ca="1">IF($BP$1=1,DX146,IF(RTD("tos.rtd",,BJ$43,"."&amp;$B$134&amp;$AS$82&amp;"C"&amp;$A146)="N/A",0,RTD("tos.rtd",,BJ$43,"."&amp;$B$134&amp;$AS$82&amp;"C"&amp;$A146)))</f>
        <v>#NUM!</v>
      </c>
      <c r="BK146" s="3" t="e">
        <f ca="1">IF($BP$1=1,DY146,-IF(RTD("tos.rtd",,BK$43,"."&amp;$B$134&amp;$AS$82&amp;"P"&amp;$A146)="N/A",0,RTD("tos.rtd",,BK$43,"."&amp;$B$134&amp;$AS$82&amp;"P"&amp;$A146)))</f>
        <v>#NUM!</v>
      </c>
      <c r="BL146" s="3">
        <f ca="1">IF($BP$1=1,DZ146,IF(RTD("tos.rtd",,BL$2,"."&amp;$C$134&amp;$AU$82&amp;"C"&amp;$A146)="N/A",0,RTD("tos.rtd",,BL$2,"."&amp;$C$134&amp;$AU$82&amp;"C"&amp;$A146)))</f>
        <v>6.6275253692409401E-4</v>
      </c>
      <c r="BM146" s="3">
        <f ca="1">IF($BP$1=1,EA146,-IF(RTD("tos.rtd",,BM$2,"."&amp;$C$134&amp;$AU$82&amp;"P"&amp;$A146)="N/A",0,RTD("tos.rtd",,BM$2,"."&amp;$C$134&amp;$AU$82&amp;"P"&amp;$A146)))</f>
        <v>-6.5864479073194336E-4</v>
      </c>
      <c r="BN146" s="3">
        <f ca="1">IF($BP$1=1,EB146,IF(RTD("tos.rtd",,BN$2,"."&amp;$D$134&amp;$AW$82&amp;"C"&amp;$A146)="N/A",0,RTD("tos.rtd",,BN$2,"."&amp;$D$134&amp;$AW$82&amp;"C"&amp;$A146)))</f>
        <v>6.9639922590332512E-4</v>
      </c>
      <c r="BO146" s="3">
        <f ca="1">IF($BP$1=1,EC146,-IF(RTD("tos.rtd",,BO$2,"."&amp;$D$134&amp;$AW$82&amp;"P"&amp;$A146)="N/A",0,RTD("tos.rtd",,BO$2,"."&amp;$D$134&amp;$AW$82&amp;"P"&amp;$A146)))</f>
        <v>-7.0081261310569565E-4</v>
      </c>
      <c r="BQ146" s="3" t="e">
        <f t="shared" ca="1" si="598"/>
        <v>#NUM!</v>
      </c>
      <c r="BR146" s="3" t="e">
        <f t="shared" ca="1" si="547"/>
        <v>#NUM!</v>
      </c>
      <c r="BS146" s="3">
        <f t="shared" ca="1" si="599"/>
        <v>84197.278404121418</v>
      </c>
      <c r="BT146" s="3" t="str">
        <f t="shared" ca="1" si="548"/>
        <v/>
      </c>
      <c r="BU146" s="3">
        <f t="shared" ca="1" si="600"/>
        <v>331256.02240918047</v>
      </c>
      <c r="BV146" s="3" t="str">
        <f t="shared" ca="1" si="548"/>
        <v/>
      </c>
      <c r="BX146" s="3" t="e">
        <f t="shared" ca="1" si="582"/>
        <v>#NUM!</v>
      </c>
      <c r="BY146" s="3" t="e">
        <f t="shared" ca="1" si="583"/>
        <v>#NUM!</v>
      </c>
      <c r="BZ146" s="3">
        <f t="shared" ca="1" si="584"/>
        <v>157.08754319603793</v>
      </c>
      <c r="CA146" s="3" t="str">
        <f t="shared" ca="1" si="583"/>
        <v/>
      </c>
      <c r="CB146" s="3">
        <f t="shared" ca="1" si="585"/>
        <v>165.06257975034384</v>
      </c>
      <c r="CC146" s="3" t="str">
        <f t="shared" ca="1" si="583"/>
        <v/>
      </c>
      <c r="CD146" s="3">
        <f>IF(RTD("tos.rtd",,CD$43,"."&amp;$B$134&amp;$AS$82&amp;"C"&amp;$A146)="N/A",0,RTD("tos.rtd",,CD$43,"."&amp;$B$134&amp;$AS$82&amp;"C"&amp;$A146))</f>
        <v>0.08</v>
      </c>
      <c r="CE146" s="3">
        <f>-IF(RTD("tos.rtd",,CE$43,"."&amp;$B$134&amp;$AS$82&amp;"P"&amp;$A146)="N/A",0,RTD("tos.rtd",,CE$43,"."&amp;$B$134&amp;$AS$82&amp;"P"&amp;$A146))</f>
        <v>0.97</v>
      </c>
      <c r="CF146" s="3">
        <f>IF(RTD("tos.rtd",,CF$2,"."&amp;$C$134&amp;$AU$82&amp;"C"&amp;$A146)="N/A",0,RTD("tos.rtd",,CF$2,"."&amp;$C$134&amp;$AU$82&amp;"C"&amp;$A146))</f>
        <v>0.18</v>
      </c>
      <c r="CG146" s="3">
        <f>-IF(RTD("tos.rtd",,CG$2,"."&amp;$C$134&amp;$AU$82&amp;"P"&amp;$A146)="N/A",0,RTD("tos.rtd",,CG$2,"."&amp;$C$134&amp;$AU$82&amp;"P"&amp;$A146))</f>
        <v>0.93</v>
      </c>
      <c r="CH146" s="3">
        <f>IF(RTD("tos.rtd",,CH$2,"."&amp;$D$134&amp;$AW$82&amp;"C"&amp;$A146)="N/A",0,RTD("tos.rtd",,CH$2,"."&amp;$D$134&amp;$AW$82&amp;"C"&amp;$A146))</f>
        <v>0.32</v>
      </c>
      <c r="CI146" s="3">
        <f>-IF(RTD("tos.rtd",,CI$2,"."&amp;$D$134&amp;$AW$82&amp;"P"&amp;$A146)="N/A",0,RTD("tos.rtd",,CI$2,"."&amp;$D$134&amp;$AW$82&amp;"P"&amp;$A146))</f>
        <v>0.69</v>
      </c>
      <c r="CK146" s="3">
        <f t="shared" si="601"/>
        <v>40</v>
      </c>
      <c r="CL146" s="3"/>
      <c r="CM146" s="3">
        <f t="shared" si="602"/>
        <v>-3.0000000000000142</v>
      </c>
      <c r="CN146" s="3"/>
      <c r="CO146" s="3">
        <f t="shared" si="603"/>
        <v>480</v>
      </c>
      <c r="CP146" s="3">
        <f t="shared" si="539"/>
        <v>517</v>
      </c>
      <c r="CQ146" s="3">
        <f t="shared" si="549"/>
        <v>103</v>
      </c>
      <c r="CR146" s="3"/>
      <c r="CS146" s="3">
        <f t="shared" si="550"/>
        <v>1</v>
      </c>
      <c r="CT146" s="3"/>
      <c r="CU146" s="3">
        <f t="shared" si="551"/>
        <v>1</v>
      </c>
      <c r="CV146" s="3"/>
      <c r="CW146" s="3" t="e">
        <f t="shared" ca="1" si="552"/>
        <v>#NUM!</v>
      </c>
      <c r="CY146" s="3" t="e">
        <f t="shared" ca="1" si="553"/>
        <v>#NUM!</v>
      </c>
      <c r="CZ146" s="70" t="e">
        <f t="shared" ca="1" si="586"/>
        <v>#NUM!</v>
      </c>
      <c r="DA146" s="3">
        <f>IF(RTD("tos.rtd",,DA$43,"."&amp;$B$134&amp;$AS$82&amp;"C"&amp;$A146)="N/A",0,RTD("tos.rtd",,DA$43,"."&amp;$B$134&amp;$AS$82&amp;"C"&amp;$A146))</f>
        <v>0.15</v>
      </c>
      <c r="DB146" s="3">
        <f>IF(RTD("tos.rtd",,DB$43,"."&amp;$B$134&amp;$AS$82&amp;"P"&amp;$A146)="N/A",0,RTD("tos.rtd",,DB$43,"."&amp;$B$134&amp;$AS$82&amp;"P"&amp;$A146))</f>
        <v>0</v>
      </c>
      <c r="DC146" s="3">
        <f>IF(RTD("tos.rtd",,DC$43,"."&amp;$B$134&amp;$AS$82&amp;"C"&amp;$A146)="N/A",0,RTD("tos.rtd",,DC$43,"."&amp;$B$134&amp;$AS$82&amp;"C"&amp;$A146))</f>
        <v>19.8</v>
      </c>
      <c r="DD146" s="3">
        <f>IF(RTD("tos.rtd",,DD$43,"."&amp;$B$134&amp;$AS$82&amp;"P"&amp;$A146)="N/A",0,RTD("tos.rtd",,DD$43,"."&amp;$B$134&amp;$AS$82&amp;"P"&amp;$A146))</f>
        <v>383.7</v>
      </c>
      <c r="DE146" s="3">
        <f>IF(RTD("tos.rtd",,DE$43,"."&amp;$B$134&amp;$AS$82&amp;"C"&amp;$A146)="N/A",0,RTD("tos.rtd",,DE$43,"."&amp;$B$134&amp;$AS$82&amp;"C"&amp;$A146))</f>
        <v>0</v>
      </c>
      <c r="DF146" s="3">
        <f>IF(RTD("tos.rtd",,DF$43,"."&amp;$B$134&amp;$AS$82&amp;"P"&amp;$A146)="N/A",0,RTD("tos.rtd",,DF$43,"."&amp;$B$134&amp;$AS$82&amp;"P"&amp;$A146))</f>
        <v>334</v>
      </c>
      <c r="DG146" s="86">
        <f t="shared" si="587"/>
        <v>357.02699999999822</v>
      </c>
      <c r="DH146" s="3">
        <f t="shared" si="554"/>
        <v>0</v>
      </c>
      <c r="DI146" s="3">
        <f t="shared" si="555"/>
        <v>0</v>
      </c>
      <c r="DJ146" s="3">
        <f t="shared" si="556"/>
        <v>0</v>
      </c>
      <c r="DK146" s="3">
        <f t="shared" si="557"/>
        <v>0</v>
      </c>
      <c r="DL146" s="3">
        <f t="shared" si="558"/>
        <v>0</v>
      </c>
      <c r="DM146" s="3">
        <f t="shared" si="559"/>
        <v>0</v>
      </c>
      <c r="DN146" s="64" t="str">
        <f t="shared" si="560"/>
        <v>UNKNOWN</v>
      </c>
      <c r="DO146" s="64" t="str">
        <f t="shared" si="561"/>
        <v>UNKNOWN</v>
      </c>
      <c r="DP146" s="3">
        <f t="shared" si="562"/>
        <v>0</v>
      </c>
      <c r="DQ146" s="3">
        <f t="shared" si="563"/>
        <v>0</v>
      </c>
      <c r="DR146" s="3" t="e">
        <f t="shared" ca="1" si="564"/>
        <v>#NUM!</v>
      </c>
      <c r="DS146" s="3">
        <f t="shared" si="565"/>
        <v>0</v>
      </c>
      <c r="DT146" s="3">
        <f t="shared" si="588"/>
        <v>0</v>
      </c>
      <c r="DU146" s="3">
        <f t="shared" si="589"/>
        <v>0</v>
      </c>
      <c r="DV146" s="3">
        <f t="shared" si="566"/>
        <v>-59</v>
      </c>
      <c r="DW146" s="3">
        <f t="shared" si="567"/>
        <v>0</v>
      </c>
      <c r="DX146" s="3" t="e">
        <f t="shared" ca="1" si="568"/>
        <v>#NUM!</v>
      </c>
      <c r="DY146" s="3" t="e">
        <f t="shared" ca="1" si="569"/>
        <v>#NUM!</v>
      </c>
      <c r="DZ146" s="3">
        <f t="shared" ca="1" si="570"/>
        <v>6.6275253692409401E-4</v>
      </c>
      <c r="EA146" s="3">
        <f t="shared" ca="1" si="571"/>
        <v>-6.5864479073194336E-4</v>
      </c>
      <c r="EB146" s="3">
        <f t="shared" ca="1" si="572"/>
        <v>6.9639922590332512E-4</v>
      </c>
      <c r="EC146" s="3">
        <f t="shared" ca="1" si="573"/>
        <v>-7.0081261310569565E-4</v>
      </c>
      <c r="ED146" s="63">
        <f t="shared" si="590"/>
        <v>-59</v>
      </c>
      <c r="EE146" s="59">
        <f t="shared" si="574"/>
        <v>1.7081999999999999</v>
      </c>
      <c r="EF146" s="59">
        <f t="shared" si="575"/>
        <v>1.22</v>
      </c>
      <c r="EG146" s="59">
        <f t="shared" si="576"/>
        <v>0.27750000000000002</v>
      </c>
      <c r="EH146" s="59">
        <f t="shared" si="577"/>
        <v>0.1706</v>
      </c>
      <c r="EI146" s="59">
        <f t="shared" si="578"/>
        <v>0.23300000000000001</v>
      </c>
      <c r="EJ146" s="59">
        <f t="shared" si="579"/>
        <v>0.21529999999999999</v>
      </c>
      <c r="EL146" s="3" t="str">
        <f>RTD("tos.rtd",,EL$43,"."&amp;$B$134&amp;$AS$82&amp;"C"&amp;$A146)</f>
        <v>170.82%</v>
      </c>
      <c r="EM146" s="3" t="str">
        <f>RTD("tos.rtd",,EM$43,"."&amp;$B$134&amp;$AS$82&amp;"P"&amp;$A146)</f>
        <v>122.00%</v>
      </c>
      <c r="EN146" s="3" t="str">
        <f>RTD("tos.rtd",,EN$2,"."&amp;$C$134&amp;$AU$82&amp;"C"&amp;$A146)</f>
        <v>27.75%</v>
      </c>
      <c r="EO146" s="3" t="str">
        <f>RTD("tos.rtd",,EO$2,"."&amp;$C$134&amp;$AU$82&amp;"P"&amp;$A146)</f>
        <v>17.06%</v>
      </c>
      <c r="EP146" s="3" t="str">
        <f>RTD("tos.rtd",,EP$2,"."&amp;$D$134&amp;$AW$82&amp;"C"&amp;$A146)</f>
        <v>23.30%</v>
      </c>
      <c r="EQ146" s="3" t="str">
        <f>RTD("tos.rtd",,EQ$2,"."&amp;$D$134&amp;$AW$82&amp;"P"&amp;$A146)</f>
        <v>21.53%</v>
      </c>
      <c r="ES146" s="63" t="str">
        <f t="shared" si="580"/>
        <v>20225,-59.00</v>
      </c>
      <c r="ET146" s="64" t="str">
        <f t="shared" ca="1" si="581"/>
        <v>20225,00.00</v>
      </c>
      <c r="EU146" s="68">
        <v>562.1</v>
      </c>
      <c r="EV146" s="68" t="s">
        <v>1188</v>
      </c>
      <c r="EW146" s="68">
        <v>484.53</v>
      </c>
      <c r="EX146" s="68" t="s">
        <v>1189</v>
      </c>
      <c r="EY146" s="68">
        <v>5634.5</v>
      </c>
      <c r="EZ146" s="68" t="s">
        <v>1190</v>
      </c>
      <c r="FA146" s="68">
        <v>19903.25</v>
      </c>
      <c r="FB146" s="68" t="s">
        <v>1191</v>
      </c>
      <c r="FC146" s="68" t="s">
        <v>1192</v>
      </c>
      <c r="FD146" s="68" t="s">
        <v>1193</v>
      </c>
      <c r="FE146" s="68" t="s">
        <v>1194</v>
      </c>
      <c r="FF146" s="68" t="s">
        <v>1195</v>
      </c>
    </row>
    <row r="147" spans="1:162" ht="11.1" customHeight="1" thickBot="1" x14ac:dyDescent="0.25">
      <c r="A147" s="2">
        <f t="shared" si="591"/>
        <v>20200</v>
      </c>
      <c r="B147" s="3">
        <f t="shared" si="606"/>
        <v>31</v>
      </c>
      <c r="C147" s="3">
        <f t="shared" si="607"/>
        <v>21</v>
      </c>
      <c r="D147" s="3">
        <f t="shared" si="608"/>
        <v>97</v>
      </c>
      <c r="E147" s="3">
        <f t="shared" si="594"/>
        <v>149</v>
      </c>
      <c r="F147" s="4">
        <f t="shared" si="595"/>
        <v>20431.837711879314</v>
      </c>
      <c r="G147" s="5">
        <f t="shared" si="596"/>
        <v>494.98607633501416</v>
      </c>
      <c r="AM147" s="1">
        <v>-34</v>
      </c>
      <c r="AN147" s="1">
        <v>0</v>
      </c>
      <c r="AO147" s="1">
        <v>20200</v>
      </c>
      <c r="AP147" s="1">
        <v>355</v>
      </c>
      <c r="AQ147" s="1">
        <v>-1</v>
      </c>
      <c r="AS147" s="54">
        <f>IF(RTD("tos.rtd",,AS$83,"."&amp;$B$134&amp;$AS$82&amp;"C"&amp;$A147)="N/A",0,RTD("tos.rtd",,AS$83,"."&amp;$B$134&amp;$AS$82&amp;"C"&amp;$A147))</f>
        <v>28</v>
      </c>
      <c r="AT147" s="3">
        <f>-IF(RTD("tos.rtd",,AT$83,"."&amp;$B$134&amp;$AS$82&amp;"P"&amp;$A147)="N/A",0,RTD("tos.rtd",,AT$83,"."&amp;$B$134&amp;$AS$82&amp;"P"&amp;$A147))</f>
        <v>-3</v>
      </c>
      <c r="AU147" s="54">
        <f>IF(RTD("tos.rtd",,AU$2,"."&amp;$C$134&amp;$AU$134&amp;"C"&amp;$A147)="N/A",0,RTD("tos.rtd",,AU$2,"."&amp;$C$134&amp;$AU$134&amp;"C"&amp;$A147))</f>
        <v>17</v>
      </c>
      <c r="AV147" s="3">
        <f>-IF(RTD("tos.rtd",,AV$2,"."&amp;$C$134&amp;$AU$134&amp;"P"&amp;$A147)="N/A",0,RTD("tos.rtd",,AV$2,"."&amp;$C$134&amp;$AU$134&amp;"P"&amp;$A147))</f>
        <v>-4</v>
      </c>
      <c r="AW147" s="54">
        <f>IF(RTD("tos.rtd",,AW$2,"."&amp;$D$134&amp;$AW$134&amp;"C"&amp;$A147)="N/A",0,RTD("tos.rtd",,AW$2,"."&amp;$D$134&amp;$AW$134&amp;"C"&amp;$A147))</f>
        <v>78</v>
      </c>
      <c r="AX147" s="3">
        <f>-IF(RTD("tos.rtd",,AX$2,"."&amp;$D$134&amp;$AW$134&amp;"P"&amp;$A147)="N/A",0,RTD("tos.rtd",,AX$2,"."&amp;$D$134&amp;$AW$134&amp;"P"&amp;$A147))</f>
        <v>-19</v>
      </c>
      <c r="AY147" s="76">
        <f t="shared" si="597"/>
        <v>97</v>
      </c>
      <c r="AZ147" s="8">
        <f t="shared" si="545"/>
        <v>20200</v>
      </c>
      <c r="BA147" s="54">
        <f>IF(RTD("tos.rtd",,BA$43,"."&amp;$B$134&amp;$AS$82&amp;"C"&amp;$A147)="N/A",0,RTD("tos.rtd",,BA$43,"."&amp;$B$134&amp;$AS$82&amp;"C"&amp;$A147))</f>
        <v>355</v>
      </c>
      <c r="BB147" s="3">
        <f>-IF(RTD("tos.rtd",,BB$43,"."&amp;$B$134&amp;$AS$82&amp;"P"&amp;$A147)="N/A",0,RTD("tos.rtd",,BB$43,"."&amp;$B$134&amp;$AS$82&amp;"P"&amp;$A147))</f>
        <v>-1</v>
      </c>
      <c r="BC147" s="54">
        <f>IF(RTD("tos.rtd",,BC$2,"."&amp;$C$134&amp;$AU$82&amp;"C"&amp;$A147)="N/A",0,RTD("tos.rtd",,BC$2,"."&amp;$C$134&amp;$AU$82&amp;"C"&amp;$A147))</f>
        <v>37</v>
      </c>
      <c r="BD147" s="3">
        <f>-IF(RTD("tos.rtd",,BD$2,"."&amp;$C$134&amp;$AU$82&amp;"P"&amp;$A147)="N/A",0,RTD("tos.rtd",,BD$2,"."&amp;$C$134&amp;$AU$82&amp;"P"&amp;$A147))</f>
        <v>0</v>
      </c>
      <c r="BE147" s="54">
        <f>IF(RTD("tos.rtd",,BE$2,"."&amp;$D$134&amp;$AW$82&amp;"C"&amp;$A147)="N/A",0,RTD("tos.rtd",,BE$2,"."&amp;$D$134&amp;$AW$82&amp;"C"&amp;$A147))</f>
        <v>5</v>
      </c>
      <c r="BF147" s="3">
        <f>-IF(RTD("tos.rtd",,BF$2,"."&amp;$D$134&amp;$AW$82&amp;"P"&amp;$A147)="N/A",0,RTD("tos.rtd",,BF$2,"."&amp;$D$134&amp;$AW$82&amp;"P"&amp;$A147))</f>
        <v>-3</v>
      </c>
      <c r="BG147" s="3">
        <f ca="1">+Hoja2!Y148</f>
        <v>127</v>
      </c>
      <c r="BH147" s="7">
        <f t="shared" ca="1" si="546"/>
        <v>520</v>
      </c>
      <c r="BI147" s="32" t="str">
        <f t="shared" ca="1" si="605"/>
        <v/>
      </c>
      <c r="BJ147" s="3" t="e">
        <f ca="1">IF($BP$1=1,DX147,IF(RTD("tos.rtd",,BJ$43,"."&amp;$B$134&amp;$AS$82&amp;"C"&amp;$A147)="N/A",0,RTD("tos.rtd",,BJ$43,"."&amp;$B$134&amp;$AS$82&amp;"C"&amp;$A147)))</f>
        <v>#NUM!</v>
      </c>
      <c r="BK147" s="3" t="e">
        <f ca="1">IF($BP$1=1,DY147,-IF(RTD("tos.rtd",,BK$43,"."&amp;$B$134&amp;$AS$82&amp;"P"&amp;$A147)="N/A",0,RTD("tos.rtd",,BK$43,"."&amp;$B$134&amp;$AS$82&amp;"P"&amp;$A147)))</f>
        <v>#NUM!</v>
      </c>
      <c r="BL147" s="3">
        <f ca="1">IF($BP$1=1,DZ147,IF(RTD("tos.rtd",,BL$2,"."&amp;$C$134&amp;$AU$82&amp;"C"&amp;$A147)="N/A",0,RTD("tos.rtd",,BL$2,"."&amp;$C$134&amp;$AU$82&amp;"C"&amp;$A147)))</f>
        <v>6.8797091439693598E-4</v>
      </c>
      <c r="BM147" s="3">
        <f ca="1">IF($BP$1=1,EA147,-IF(RTD("tos.rtd",,BM$2,"."&amp;$C$134&amp;$AU$82&amp;"P"&amp;$A147)="N/A",0,RTD("tos.rtd",,BM$2,"."&amp;$C$134&amp;$AU$82&amp;"P"&amp;$A147)))</f>
        <v>-7.4976408615764296E-4</v>
      </c>
      <c r="BN147" s="3">
        <f ca="1">IF($BP$1=1,EB147,IF(RTD("tos.rtd",,BN$2,"."&amp;$D$134&amp;$AW$82&amp;"C"&amp;$A147)="N/A",0,RTD("tos.rtd",,BN$2,"."&amp;$D$134&amp;$AW$82&amp;"C"&amp;$A147)))</f>
        <v>7.3636651274440056E-4</v>
      </c>
      <c r="BO147" s="3">
        <f ca="1">IF($BP$1=1,EC147,-IF(RTD("tos.rtd",,BO$2,"."&amp;$D$134&amp;$AW$82&amp;"P"&amp;$A147)="N/A",0,RTD("tos.rtd",,BO$2,"."&amp;$D$134&amp;$AW$82&amp;"P"&amp;$A147)))</f>
        <v>-7.4835870620276897E-4</v>
      </c>
      <c r="BQ147" s="3" t="e">
        <f t="shared" ca="1" si="598"/>
        <v>#NUM!</v>
      </c>
      <c r="BR147" s="3" t="e">
        <f t="shared" ca="1" si="547"/>
        <v>#NUM!</v>
      </c>
      <c r="BS147" s="3">
        <f t="shared" ca="1" si="599"/>
        <v>275775.83508249308</v>
      </c>
      <c r="BT147" s="3" t="str">
        <f t="shared" ca="1" si="548"/>
        <v/>
      </c>
      <c r="BU147" s="3">
        <f t="shared" ca="1" si="600"/>
        <v>1370492.3754914757</v>
      </c>
      <c r="BV147" s="3" t="str">
        <f t="shared" ca="1" si="548"/>
        <v/>
      </c>
      <c r="BX147" s="3" t="e">
        <f t="shared" ca="1" si="582"/>
        <v>#NUM!</v>
      </c>
      <c r="BY147" s="3" t="e">
        <f t="shared" ca="1" si="583"/>
        <v>#NUM!</v>
      </c>
      <c r="BZ147" s="3">
        <f t="shared" ca="1" si="584"/>
        <v>6033.4004388382864</v>
      </c>
      <c r="CA147" s="3" t="str">
        <f t="shared" ca="1" si="583"/>
        <v/>
      </c>
      <c r="CB147" s="3">
        <f t="shared" ca="1" si="585"/>
        <v>340.54421154155898</v>
      </c>
      <c r="CC147" s="3" t="str">
        <f t="shared" ca="1" si="583"/>
        <v/>
      </c>
      <c r="CD147" s="3">
        <f>IF(RTD("tos.rtd",,CD$43,"."&amp;$B$134&amp;$AS$82&amp;"C"&amp;$A147)="N/A",0,RTD("tos.rtd",,CD$43,"."&amp;$B$134&amp;$AS$82&amp;"C"&amp;$A147))</f>
        <v>0.01</v>
      </c>
      <c r="CE147" s="3">
        <f>-IF(RTD("tos.rtd",,CE$43,"."&amp;$B$134&amp;$AS$82&amp;"P"&amp;$A147)="N/A",0,RTD("tos.rtd",,CE$43,"."&amp;$B$134&amp;$AS$82&amp;"P"&amp;$A147))</f>
        <v>0.97</v>
      </c>
      <c r="CF147" s="3">
        <f>IF(RTD("tos.rtd",,CF$2,"."&amp;$C$134&amp;$AU$82&amp;"C"&amp;$A147)="N/A",0,RTD("tos.rtd",,CF$2,"."&amp;$C$134&amp;$AU$82&amp;"C"&amp;$A147))</f>
        <v>0.2</v>
      </c>
      <c r="CG147" s="3">
        <f>-IF(RTD("tos.rtd",,CG$2,"."&amp;$C$134&amp;$AU$82&amp;"P"&amp;$A147)="N/A",0,RTD("tos.rtd",,CG$2,"."&amp;$C$134&amp;$AU$82&amp;"P"&amp;$A147))</f>
        <v>0.9</v>
      </c>
      <c r="CH147" s="3">
        <f>IF(RTD("tos.rtd",,CH$2,"."&amp;$D$134&amp;$AW$82&amp;"C"&amp;$A147)="N/A",0,RTD("tos.rtd",,CH$2,"."&amp;$D$134&amp;$AW$82&amp;"C"&amp;$A147))</f>
        <v>0.34</v>
      </c>
      <c r="CI147" s="3">
        <f>-IF(RTD("tos.rtd",,CI$2,"."&amp;$D$134&amp;$AW$82&amp;"P"&amp;$A147)="N/A",0,RTD("tos.rtd",,CI$2,"."&amp;$D$134&amp;$AW$82&amp;"P"&amp;$A147))</f>
        <v>0.67</v>
      </c>
      <c r="CK147" s="3">
        <f t="shared" si="601"/>
        <v>-263</v>
      </c>
      <c r="CL147" s="3"/>
      <c r="CM147" s="3">
        <f t="shared" si="602"/>
        <v>-19.999999999999943</v>
      </c>
      <c r="CN147" s="3"/>
      <c r="CO147" s="3">
        <f t="shared" si="603"/>
        <v>1379.0000000000005</v>
      </c>
      <c r="CP147" s="3">
        <f t="shared" si="539"/>
        <v>1096.0000000000005</v>
      </c>
      <c r="CQ147" s="3">
        <f t="shared" si="549"/>
        <v>354</v>
      </c>
      <c r="CR147" s="3"/>
      <c r="CS147" s="3">
        <f t="shared" si="550"/>
        <v>37</v>
      </c>
      <c r="CT147" s="3"/>
      <c r="CU147" s="3">
        <f t="shared" si="551"/>
        <v>2</v>
      </c>
      <c r="CV147" s="3"/>
      <c r="CW147" s="3" t="e">
        <f t="shared" ca="1" si="552"/>
        <v>#NUM!</v>
      </c>
      <c r="CY147" s="3" t="e">
        <f t="shared" ca="1" si="553"/>
        <v>#NUM!</v>
      </c>
      <c r="CZ147" s="70" t="e">
        <f t="shared" ca="1" si="586"/>
        <v>#NUM!</v>
      </c>
      <c r="DA147" s="3">
        <f>IF(RTD("tos.rtd",,DA$43,"."&amp;$B$134&amp;$AS$82&amp;"C"&amp;$A147)="N/A",0,RTD("tos.rtd",,DA$43,"."&amp;$B$134&amp;$AS$82&amp;"C"&amp;$A147))</f>
        <v>0.5</v>
      </c>
      <c r="DB147" s="3">
        <f>IF(RTD("tos.rtd",,DB$43,"."&amp;$B$134&amp;$AS$82&amp;"P"&amp;$A147)="N/A",0,RTD("tos.rtd",,DB$43,"."&amp;$B$134&amp;$AS$82&amp;"P"&amp;$A147))</f>
        <v>500.43</v>
      </c>
      <c r="DC147" s="3">
        <f>IF(RTD("tos.rtd",,DC$43,"."&amp;$B$134&amp;$AS$82&amp;"C"&amp;$A147)="N/A",0,RTD("tos.rtd",,DC$43,"."&amp;$B$134&amp;$AS$82&amp;"C"&amp;$A147))</f>
        <v>0.5</v>
      </c>
      <c r="DD147" s="3">
        <f>IF(RTD("tos.rtd",,DD$43,"."&amp;$B$134&amp;$AS$82&amp;"P"&amp;$A147)="N/A",0,RTD("tos.rtd",,DD$43,"."&amp;$B$134&amp;$AS$82&amp;"P"&amp;$A147))</f>
        <v>358.7</v>
      </c>
      <c r="DE147" s="3">
        <f>IF(RTD("tos.rtd",,DE$43,"."&amp;$B$134&amp;$AS$82&amp;"C"&amp;$A147)="N/A",0,RTD("tos.rtd",,DE$43,"."&amp;$B$134&amp;$AS$82&amp;"C"&amp;$A147))</f>
        <v>0</v>
      </c>
      <c r="DF147" s="3">
        <f>IF(RTD("tos.rtd",,DF$43,"."&amp;$B$134&amp;$AS$82&amp;"P"&amp;$A147)="N/A",0,RTD("tos.rtd",,DF$43,"."&amp;$B$134&amp;$AS$82&amp;"P"&amp;$A147))</f>
        <v>310</v>
      </c>
      <c r="DG147" s="86">
        <f t="shared" si="587"/>
        <v>332.02699999999822</v>
      </c>
      <c r="DH147" s="3">
        <f t="shared" si="554"/>
        <v>0</v>
      </c>
      <c r="DI147" s="3">
        <f t="shared" si="555"/>
        <v>0</v>
      </c>
      <c r="DJ147" s="3">
        <f t="shared" si="556"/>
        <v>0</v>
      </c>
      <c r="DK147" s="3">
        <f t="shared" si="557"/>
        <v>0</v>
      </c>
      <c r="DL147" s="3">
        <f t="shared" si="558"/>
        <v>0</v>
      </c>
      <c r="DM147" s="3">
        <f t="shared" si="559"/>
        <v>0</v>
      </c>
      <c r="DN147" s="64" t="str">
        <f t="shared" si="560"/>
        <v>UNKNOWN</v>
      </c>
      <c r="DO147" s="64" t="str">
        <f t="shared" si="561"/>
        <v>UNKNOWN</v>
      </c>
      <c r="DP147" s="3">
        <f t="shared" si="562"/>
        <v>0</v>
      </c>
      <c r="DQ147" s="3">
        <f t="shared" si="563"/>
        <v>0</v>
      </c>
      <c r="DR147" s="3" t="e">
        <f t="shared" ca="1" si="564"/>
        <v>#NUM!</v>
      </c>
      <c r="DS147" s="3">
        <f t="shared" si="565"/>
        <v>0</v>
      </c>
      <c r="DT147" s="3">
        <f t="shared" si="588"/>
        <v>0</v>
      </c>
      <c r="DU147" s="3">
        <f t="shared" si="589"/>
        <v>0</v>
      </c>
      <c r="DV147" s="3">
        <f t="shared" si="566"/>
        <v>-34</v>
      </c>
      <c r="DW147" s="3">
        <f t="shared" si="567"/>
        <v>0</v>
      </c>
      <c r="DX147" s="3" t="e">
        <f t="shared" ca="1" si="568"/>
        <v>#NUM!</v>
      </c>
      <c r="DY147" s="3" t="e">
        <f t="shared" ca="1" si="569"/>
        <v>#NUM!</v>
      </c>
      <c r="DZ147" s="3">
        <f t="shared" ca="1" si="570"/>
        <v>6.8797091439693598E-4</v>
      </c>
      <c r="EA147" s="3">
        <f t="shared" ca="1" si="571"/>
        <v>-7.4976408615764296E-4</v>
      </c>
      <c r="EB147" s="3">
        <f t="shared" ca="1" si="572"/>
        <v>7.3636651274440056E-4</v>
      </c>
      <c r="EC147" s="3">
        <f t="shared" ca="1" si="573"/>
        <v>-7.4835870620276897E-4</v>
      </c>
      <c r="ED147" s="63">
        <f t="shared" si="590"/>
        <v>-34</v>
      </c>
      <c r="EE147" s="59">
        <f t="shared" si="574"/>
        <v>0.87139999999999995</v>
      </c>
      <c r="EF147" s="59">
        <f t="shared" si="575"/>
        <v>1.1967000000000001</v>
      </c>
      <c r="EG147" s="59">
        <f t="shared" si="576"/>
        <v>0.27910000000000001</v>
      </c>
      <c r="EH147" s="59">
        <f t="shared" si="577"/>
        <v>0.1862</v>
      </c>
      <c r="EI147" s="59">
        <f t="shared" si="578"/>
        <v>0.23419999999999999</v>
      </c>
      <c r="EJ147" s="59">
        <f t="shared" si="579"/>
        <v>0.21740000000000001</v>
      </c>
      <c r="EL147" s="3" t="str">
        <f>RTD("tos.rtd",,EL$43,"."&amp;$B$134&amp;$AS$82&amp;"C"&amp;$A147)</f>
        <v>87.14%</v>
      </c>
      <c r="EM147" s="3" t="str">
        <f>RTD("tos.rtd",,EM$43,"."&amp;$B$134&amp;$AS$82&amp;"P"&amp;$A147)</f>
        <v>119.67%</v>
      </c>
      <c r="EN147" s="3" t="str">
        <f>RTD("tos.rtd",,EN$2,"."&amp;$C$134&amp;$AU$82&amp;"C"&amp;$A147)</f>
        <v>27.91%</v>
      </c>
      <c r="EO147" s="3" t="str">
        <f>RTD("tos.rtd",,EO$2,"."&amp;$C$134&amp;$AU$82&amp;"P"&amp;$A147)</f>
        <v>18.62%</v>
      </c>
      <c r="EP147" s="3" t="str">
        <f>RTD("tos.rtd",,EP$2,"."&amp;$D$134&amp;$AW$82&amp;"C"&amp;$A147)</f>
        <v>23.42%</v>
      </c>
      <c r="EQ147" s="3" t="str">
        <f>RTD("tos.rtd",,EQ$2,"."&amp;$D$134&amp;$AW$82&amp;"P"&amp;$A147)</f>
        <v>21.74%</v>
      </c>
      <c r="ES147" s="63" t="str">
        <f t="shared" si="580"/>
        <v>20200,-34.00</v>
      </c>
      <c r="ET147" s="64" t="str">
        <f t="shared" ca="1" si="581"/>
        <v>20200,00.00</v>
      </c>
      <c r="EU147" s="68">
        <v>562.1</v>
      </c>
      <c r="EV147" s="68" t="s">
        <v>1196</v>
      </c>
      <c r="EW147" s="68">
        <v>484.52</v>
      </c>
      <c r="EX147" s="68" t="s">
        <v>1197</v>
      </c>
      <c r="EY147" s="68">
        <v>5634.75</v>
      </c>
      <c r="EZ147" s="68" t="s">
        <v>1198</v>
      </c>
      <c r="FA147" s="68">
        <v>19903</v>
      </c>
      <c r="FB147" s="68" t="s">
        <v>1199</v>
      </c>
      <c r="FC147" s="68" t="s">
        <v>1200</v>
      </c>
      <c r="FD147" s="68" t="s">
        <v>1201</v>
      </c>
      <c r="FE147" s="68" t="s">
        <v>1202</v>
      </c>
      <c r="FF147" s="68" t="s">
        <v>1203</v>
      </c>
    </row>
    <row r="148" spans="1:162" ht="11.1" customHeight="1" thickBot="1" x14ac:dyDescent="0.25">
      <c r="A148" s="2">
        <f t="shared" si="591"/>
        <v>20175</v>
      </c>
      <c r="B148" s="3">
        <f t="shared" si="606"/>
        <v>1</v>
      </c>
      <c r="C148" s="3">
        <f t="shared" si="607"/>
        <v>29</v>
      </c>
      <c r="D148" s="3">
        <f t="shared" si="608"/>
        <v>22</v>
      </c>
      <c r="E148" s="3">
        <f t="shared" ref="E148:E166" si="609">SUM(B148:D148)</f>
        <v>52</v>
      </c>
      <c r="F148" s="4">
        <f t="shared" ref="F148:F153" si="610">+$F$136/$A$136*A148</f>
        <v>20406.550784018076</v>
      </c>
      <c r="G148" s="5">
        <f t="shared" ref="G148:G166" si="611">+$G$136/$A$136*A148</f>
        <v>494.37346980489656</v>
      </c>
      <c r="AM148" s="1">
        <v>27</v>
      </c>
      <c r="AN148" s="1">
        <v>0</v>
      </c>
      <c r="AO148" s="1">
        <v>20175</v>
      </c>
      <c r="AP148" s="1">
        <v>58</v>
      </c>
      <c r="AQ148" s="1">
        <v>0</v>
      </c>
      <c r="AS148" s="54">
        <f>IF(RTD("tos.rtd",,AS$83,"."&amp;$B$134&amp;$AS$82&amp;"C"&amp;$A148)="N/A",0,RTD("tos.rtd",,AS$83,"."&amp;$B$134&amp;$AS$82&amp;"C"&amp;$A148))</f>
        <v>1</v>
      </c>
      <c r="AT148" s="3">
        <f>-IF(RTD("tos.rtd",,AT$83,"."&amp;$B$134&amp;$AS$82&amp;"P"&amp;$A148)="N/A",0,RTD("tos.rtd",,AT$83,"."&amp;$B$134&amp;$AS$82&amp;"P"&amp;$A148))</f>
        <v>0</v>
      </c>
      <c r="AU148" s="54">
        <f>IF(RTD("tos.rtd",,AU$2,"."&amp;$C$134&amp;$AU$134&amp;"C"&amp;$A148)="N/A",0,RTD("tos.rtd",,AU$2,"."&amp;$C$134&amp;$AU$134&amp;"C"&amp;$A148))</f>
        <v>28</v>
      </c>
      <c r="AV148" s="3">
        <f>-IF(RTD("tos.rtd",,AV$2,"."&amp;$C$134&amp;$AU$134&amp;"P"&amp;$A148)="N/A",0,RTD("tos.rtd",,AV$2,"."&amp;$C$134&amp;$AU$134&amp;"P"&amp;$A148))</f>
        <v>-1</v>
      </c>
      <c r="AW148" s="54">
        <f>IF(RTD("tos.rtd",,AW$2,"."&amp;$D$134&amp;$AW$134&amp;"C"&amp;$A148)="N/A",0,RTD("tos.rtd",,AW$2,"."&amp;$D$134&amp;$AW$134&amp;"C"&amp;$A148))</f>
        <v>16</v>
      </c>
      <c r="AX148" s="3">
        <f>-IF(RTD("tos.rtd",,AX$2,"."&amp;$D$134&amp;$AW$134&amp;"P"&amp;$A148)="N/A",0,RTD("tos.rtd",,AX$2,"."&amp;$D$134&amp;$AW$134&amp;"P"&amp;$A148))</f>
        <v>-6</v>
      </c>
      <c r="AY148" s="76">
        <f t="shared" ref="AY148:AY153" si="612">SUM(AS148:AX148)</f>
        <v>38</v>
      </c>
      <c r="AZ148" s="8">
        <f t="shared" si="545"/>
        <v>20175</v>
      </c>
      <c r="BA148" s="54">
        <f>IF(RTD("tos.rtd",,BA$43,"."&amp;$B$134&amp;$AS$82&amp;"C"&amp;$A148)="N/A",0,RTD("tos.rtd",,BA$43,"."&amp;$B$134&amp;$AS$82&amp;"C"&amp;$A148))</f>
        <v>58</v>
      </c>
      <c r="BB148" s="3">
        <f>-IF(RTD("tos.rtd",,BB$43,"."&amp;$B$134&amp;$AS$82&amp;"P"&amp;$A148)="N/A",0,RTD("tos.rtd",,BB$43,"."&amp;$B$134&amp;$AS$82&amp;"P"&amp;$A148))</f>
        <v>0</v>
      </c>
      <c r="BC148" s="54">
        <f>IF(RTD("tos.rtd",,BC$2,"."&amp;$C$134&amp;$AU$82&amp;"C"&amp;$A148)="N/A",0,RTD("tos.rtd",,BC$2,"."&amp;$C$134&amp;$AU$82&amp;"C"&amp;$A148))</f>
        <v>42</v>
      </c>
      <c r="BD148" s="3">
        <f>-IF(RTD("tos.rtd",,BD$2,"."&amp;$C$134&amp;$AU$82&amp;"P"&amp;$A148)="N/A",0,RTD("tos.rtd",,BD$2,"."&amp;$C$134&amp;$AU$82&amp;"P"&amp;$A148))</f>
        <v>0</v>
      </c>
      <c r="BE148" s="54">
        <f>IF(RTD("tos.rtd",,BE$2,"."&amp;$D$134&amp;$AW$82&amp;"C"&amp;$A148)="N/A",0,RTD("tos.rtd",,BE$2,"."&amp;$D$134&amp;$AW$82&amp;"C"&amp;$A148))</f>
        <v>3</v>
      </c>
      <c r="BF148" s="3">
        <f>-IF(RTD("tos.rtd",,BF$2,"."&amp;$D$134&amp;$AW$82&amp;"P"&amp;$A148)="N/A",0,RTD("tos.rtd",,BF$2,"."&amp;$D$134&amp;$AW$82&amp;"P"&amp;$A148))</f>
        <v>0</v>
      </c>
      <c r="BG148" s="3">
        <f ca="1">+Hoja2!Y149</f>
        <v>1</v>
      </c>
      <c r="BH148" s="7">
        <f t="shared" ca="1" si="546"/>
        <v>104</v>
      </c>
      <c r="BI148" s="32" t="str">
        <f t="shared" ca="1" si="605"/>
        <v/>
      </c>
      <c r="BJ148" s="3" t="e">
        <f ca="1">IF($BP$1=1,DX148,IF(RTD("tos.rtd",,BJ$43,"."&amp;$B$134&amp;$AS$82&amp;"C"&amp;$A148)="N/A",0,RTD("tos.rtd",,BJ$43,"."&amp;$B$134&amp;$AS$82&amp;"C"&amp;$A148)))</f>
        <v>#NUM!</v>
      </c>
      <c r="BK148" s="3" t="e">
        <f ca="1">IF($BP$1=1,DY148,-IF(RTD("tos.rtd",,BK$43,"."&amp;$B$134&amp;$AS$82&amp;"P"&amp;$A148)="N/A",0,RTD("tos.rtd",,BK$43,"."&amp;$B$134&amp;$AS$82&amp;"P"&amp;$A148)))</f>
        <v>#NUM!</v>
      </c>
      <c r="BL148" s="3">
        <f ca="1">IF($BP$1=1,DZ148,IF(RTD("tos.rtd",,BL$2,"."&amp;$C$134&amp;$AU$82&amp;"C"&amp;$A148)="N/A",0,RTD("tos.rtd",,BL$2,"."&amp;$C$134&amp;$AU$82&amp;"C"&amp;$A148)))</f>
        <v>7.1056758835129276E-4</v>
      </c>
      <c r="BM148" s="3">
        <f ca="1">IF($BP$1=1,EA148,-IF(RTD("tos.rtd",,BM$2,"."&amp;$C$134&amp;$AU$82&amp;"P"&amp;$A148)="N/A",0,RTD("tos.rtd",,BM$2,"."&amp;$C$134&amp;$AU$82&amp;"P"&amp;$A148)))</f>
        <v>-8.1049673369407171E-4</v>
      </c>
      <c r="BN148" s="3">
        <f ca="1">IF($BP$1=1,EB148,IF(RTD("tos.rtd",,BN$2,"."&amp;$D$134&amp;$AW$82&amp;"C"&amp;$A148)="N/A",0,RTD("tos.rtd",,BN$2,"."&amp;$D$134&amp;$AW$82&amp;"C"&amp;$A148)))</f>
        <v>7.7426948843433243E-4</v>
      </c>
      <c r="BO148" s="3">
        <f ca="1">IF($BP$1=1,EC148,-IF(RTD("tos.rtd",,BO$2,"."&amp;$D$134&amp;$AW$82&amp;"P"&amp;$A148)="N/A",0,RTD("tos.rtd",,BO$2,"."&amp;$D$134&amp;$AW$82&amp;"P"&amp;$A148)))</f>
        <v>-7.9450083784118615E-4</v>
      </c>
      <c r="BQ148" s="3" t="e">
        <f t="shared" ref="BQ148:BQ153" ca="1" si="613">+$A$84*$A$84*AS148*BJ148-$A$84*$A$84*AT148*BK148</f>
        <v>#NUM!</v>
      </c>
      <c r="BR148" s="3" t="e">
        <f t="shared" ca="1" si="547"/>
        <v>#NUM!</v>
      </c>
      <c r="BS148" s="3">
        <f t="shared" ref="BS148:BS153" ca="1" si="614">+$A$84*$A$84*AU148*BL148-$A$84*$A$84*AV148*BM148</f>
        <v>605222.98549694673</v>
      </c>
      <c r="BT148" s="3" t="str">
        <f t="shared" ca="1" si="548"/>
        <v/>
      </c>
      <c r="BU148" s="3">
        <f t="shared" ref="BU148:BU153" ca="1" si="615">+$A$84*$A$84*AW148*BN148-$A$84*$A$84*AX148*BO148</f>
        <v>241681.65598267899</v>
      </c>
      <c r="BV148" s="3" t="str">
        <f t="shared" ca="1" si="548"/>
        <v/>
      </c>
      <c r="BX148" s="3" t="e">
        <f t="shared" ca="1" si="582"/>
        <v>#NUM!</v>
      </c>
      <c r="BY148" s="3" t="e">
        <f t="shared" ca="1" si="583"/>
        <v>#NUM!</v>
      </c>
      <c r="BZ148" s="3">
        <f t="shared" ca="1" si="584"/>
        <v>7073.6738698416166</v>
      </c>
      <c r="CA148" s="3" t="str">
        <f t="shared" ca="1" si="583"/>
        <v/>
      </c>
      <c r="CB148" s="3">
        <f t="shared" ca="1" si="585"/>
        <v>550.55885085385637</v>
      </c>
      <c r="CC148" s="3" t="str">
        <f t="shared" ca="1" si="583"/>
        <v/>
      </c>
      <c r="CD148" s="3">
        <f>IF(RTD("tos.rtd",,CD$43,"."&amp;$B$134&amp;$AS$82&amp;"C"&amp;$A148)="N/A",0,RTD("tos.rtd",,CD$43,"."&amp;$B$134&amp;$AS$82&amp;"C"&amp;$A148))</f>
        <v>0.09</v>
      </c>
      <c r="CE148" s="3">
        <f>-IF(RTD("tos.rtd",,CE$43,"."&amp;$B$134&amp;$AS$82&amp;"P"&amp;$A148)="N/A",0,RTD("tos.rtd",,CE$43,"."&amp;$B$134&amp;$AS$82&amp;"P"&amp;$A148))</f>
        <v>0.97</v>
      </c>
      <c r="CF148" s="3">
        <f>IF(RTD("tos.rtd",,CF$2,"."&amp;$C$134&amp;$AU$82&amp;"C"&amp;$A148)="N/A",0,RTD("tos.rtd",,CF$2,"."&amp;$C$134&amp;$AU$82&amp;"C"&amp;$A148))</f>
        <v>0.22</v>
      </c>
      <c r="CG148" s="3">
        <f>-IF(RTD("tos.rtd",,CG$2,"."&amp;$C$134&amp;$AU$82&amp;"P"&amp;$A148)="N/A",0,RTD("tos.rtd",,CG$2,"."&amp;$C$134&amp;$AU$82&amp;"P"&amp;$A148))</f>
        <v>0.86</v>
      </c>
      <c r="CH148" s="3">
        <f>IF(RTD("tos.rtd",,CH$2,"."&amp;$D$134&amp;$AW$82&amp;"C"&amp;$A148)="N/A",0,RTD("tos.rtd",,CH$2,"."&amp;$D$134&amp;$AW$82&amp;"C"&amp;$A148))</f>
        <v>0.35</v>
      </c>
      <c r="CI148" s="3">
        <f>-IF(RTD("tos.rtd",,CI$2,"."&amp;$D$134&amp;$AW$82&amp;"P"&amp;$A148)="N/A",0,RTD("tos.rtd",,CI$2,"."&amp;$D$134&amp;$AW$82&amp;"P"&amp;$A148))</f>
        <v>0.66</v>
      </c>
      <c r="CK148" s="3">
        <f t="shared" ref="CK148:CK167" si="616">+AS148*CD148*100+AT148*CE148*100</f>
        <v>9</v>
      </c>
      <c r="CL148" s="3"/>
      <c r="CM148" s="3">
        <f t="shared" ref="CM148:CM167" si="617">+AU148*CF148*100+AV148*CG148*100</f>
        <v>530</v>
      </c>
      <c r="CN148" s="3"/>
      <c r="CO148" s="3">
        <f t="shared" ref="CO148:CO167" si="618">+AW148*CH148*100+AX148*CI148*100</f>
        <v>164</v>
      </c>
      <c r="CP148" s="3">
        <f t="shared" si="539"/>
        <v>703</v>
      </c>
      <c r="CQ148" s="3">
        <f t="shared" si="549"/>
        <v>58</v>
      </c>
      <c r="CR148" s="3"/>
      <c r="CS148" s="3">
        <f t="shared" si="550"/>
        <v>42</v>
      </c>
      <c r="CT148" s="3"/>
      <c r="CU148" s="3">
        <f t="shared" si="551"/>
        <v>3</v>
      </c>
      <c r="CV148" s="3"/>
      <c r="CW148" s="3" t="e">
        <f t="shared" ca="1" si="552"/>
        <v>#NUM!</v>
      </c>
      <c r="CY148" s="3" t="e">
        <f t="shared" ca="1" si="553"/>
        <v>#NUM!</v>
      </c>
      <c r="CZ148" s="70" t="e">
        <f t="shared" ca="1" si="586"/>
        <v>#NUM!</v>
      </c>
      <c r="DA148" s="3">
        <f>IF(RTD("tos.rtd",,DA$43,"."&amp;$B$134&amp;$AS$82&amp;"C"&amp;$A148)="N/A",0,RTD("tos.rtd",,DA$43,"."&amp;$B$134&amp;$AS$82&amp;"C"&amp;$A148))</f>
        <v>0.35</v>
      </c>
      <c r="DB148" s="3">
        <f>IF(RTD("tos.rtd",,DB$43,"."&amp;$B$134&amp;$AS$82&amp;"P"&amp;$A148)="N/A",0,RTD("tos.rtd",,DB$43,"."&amp;$B$134&amp;$AS$82&amp;"P"&amp;$A148))</f>
        <v>0</v>
      </c>
      <c r="DC148" s="3">
        <f>IF(RTD("tos.rtd",,DC$43,"."&amp;$B$134&amp;$AS$82&amp;"C"&amp;$A148)="N/A",0,RTD("tos.rtd",,DC$43,"."&amp;$B$134&amp;$AS$82&amp;"C"&amp;$A148))</f>
        <v>19.8</v>
      </c>
      <c r="DD148" s="3">
        <f>IF(RTD("tos.rtd",,DD$43,"."&amp;$B$134&amp;$AS$82&amp;"P"&amp;$A148)="N/A",0,RTD("tos.rtd",,DD$43,"."&amp;$B$134&amp;$AS$82&amp;"P"&amp;$A148))</f>
        <v>333.7</v>
      </c>
      <c r="DE148" s="3">
        <f>IF(RTD("tos.rtd",,DE$43,"."&amp;$B$134&amp;$AS$82&amp;"C"&amp;$A148)="N/A",0,RTD("tos.rtd",,DE$43,"."&amp;$B$134&amp;$AS$82&amp;"C"&amp;$A148))</f>
        <v>0</v>
      </c>
      <c r="DF148" s="3">
        <f>IF(RTD("tos.rtd",,DF$43,"."&amp;$B$134&amp;$AS$82&amp;"P"&amp;$A148)="N/A",0,RTD("tos.rtd",,DF$43,"."&amp;$B$134&amp;$AS$82&amp;"P"&amp;$A148))</f>
        <v>284</v>
      </c>
      <c r="DG148" s="86">
        <f t="shared" si="587"/>
        <v>307.02699999999822</v>
      </c>
      <c r="DH148" s="3">
        <f t="shared" si="554"/>
        <v>0</v>
      </c>
      <c r="DI148" s="3">
        <f t="shared" si="555"/>
        <v>0</v>
      </c>
      <c r="DJ148" s="3">
        <f t="shared" si="556"/>
        <v>0</v>
      </c>
      <c r="DK148" s="3">
        <f t="shared" si="557"/>
        <v>0</v>
      </c>
      <c r="DL148" s="3">
        <f t="shared" si="558"/>
        <v>0</v>
      </c>
      <c r="DM148" s="3">
        <f t="shared" si="559"/>
        <v>0</v>
      </c>
      <c r="DN148" s="64" t="str">
        <f t="shared" si="560"/>
        <v>UNKNOWN</v>
      </c>
      <c r="DO148" s="64" t="str">
        <f t="shared" si="561"/>
        <v>UNKNOWN</v>
      </c>
      <c r="DP148" s="3">
        <f t="shared" si="562"/>
        <v>0</v>
      </c>
      <c r="DQ148" s="3">
        <f t="shared" si="563"/>
        <v>0</v>
      </c>
      <c r="DR148" s="3" t="e">
        <f t="shared" ca="1" si="564"/>
        <v>#NUM!</v>
      </c>
      <c r="DS148" s="3">
        <f t="shared" si="565"/>
        <v>0</v>
      </c>
      <c r="DT148" s="3">
        <f t="shared" si="588"/>
        <v>0</v>
      </c>
      <c r="DU148" s="3">
        <f t="shared" si="589"/>
        <v>0</v>
      </c>
      <c r="DV148" s="3">
        <f t="shared" si="566"/>
        <v>27</v>
      </c>
      <c r="DW148" s="3">
        <f t="shared" si="567"/>
        <v>0</v>
      </c>
      <c r="DX148" s="3" t="e">
        <f t="shared" ca="1" si="568"/>
        <v>#NUM!</v>
      </c>
      <c r="DY148" s="3" t="e">
        <f t="shared" ca="1" si="569"/>
        <v>#NUM!</v>
      </c>
      <c r="DZ148" s="3">
        <f t="shared" ca="1" si="570"/>
        <v>7.1056758835129276E-4</v>
      </c>
      <c r="EA148" s="3">
        <f t="shared" ca="1" si="571"/>
        <v>-8.1049673369407171E-4</v>
      </c>
      <c r="EB148" s="3">
        <f t="shared" ca="1" si="572"/>
        <v>7.7426948843433243E-4</v>
      </c>
      <c r="EC148" s="3">
        <f t="shared" ca="1" si="573"/>
        <v>-7.9450083784118615E-4</v>
      </c>
      <c r="ED148" s="63">
        <f t="shared" si="590"/>
        <v>27</v>
      </c>
      <c r="EE148" s="59">
        <f t="shared" si="574"/>
        <v>1.5282</v>
      </c>
      <c r="EF148" s="59">
        <f t="shared" si="575"/>
        <v>1.0772999999999999</v>
      </c>
      <c r="EG148" s="59">
        <f t="shared" si="576"/>
        <v>0.28129999999999999</v>
      </c>
      <c r="EH148" s="59">
        <f t="shared" si="577"/>
        <v>0.1991</v>
      </c>
      <c r="EI148" s="59">
        <f t="shared" si="578"/>
        <v>0.2356</v>
      </c>
      <c r="EJ148" s="59">
        <f t="shared" si="579"/>
        <v>0.21829999999999999</v>
      </c>
      <c r="EL148" s="3" t="str">
        <f>RTD("tos.rtd",,EL$43,"."&amp;$B$134&amp;$AS$82&amp;"C"&amp;$A148)</f>
        <v>152.82%</v>
      </c>
      <c r="EM148" s="3" t="str">
        <f>RTD("tos.rtd",,EM$43,"."&amp;$B$134&amp;$AS$82&amp;"P"&amp;$A148)</f>
        <v>107.73%</v>
      </c>
      <c r="EN148" s="3" t="str">
        <f>RTD("tos.rtd",,EN$2,"."&amp;$C$134&amp;$AU$82&amp;"C"&amp;$A148)</f>
        <v>28.13%</v>
      </c>
      <c r="EO148" s="3" t="str">
        <f>RTD("tos.rtd",,EO$2,"."&amp;$C$134&amp;$AU$82&amp;"P"&amp;$A148)</f>
        <v>19.91%</v>
      </c>
      <c r="EP148" s="3" t="str">
        <f>RTD("tos.rtd",,EP$2,"."&amp;$D$134&amp;$AW$82&amp;"C"&amp;$A148)</f>
        <v>23.56%</v>
      </c>
      <c r="EQ148" s="3" t="str">
        <f>RTD("tos.rtd",,EQ$2,"."&amp;$D$134&amp;$AW$82&amp;"P"&amp;$A148)</f>
        <v>21.83%</v>
      </c>
      <c r="ES148" s="63" t="str">
        <f t="shared" si="580"/>
        <v>20175,27.00</v>
      </c>
      <c r="ET148" s="64" t="str">
        <f t="shared" ca="1" si="581"/>
        <v>20175,00.00</v>
      </c>
      <c r="EU148" s="68">
        <v>562.21</v>
      </c>
      <c r="EV148" s="68" t="s">
        <v>1204</v>
      </c>
      <c r="EW148" s="68">
        <v>484.62</v>
      </c>
      <c r="EX148" s="68" t="s">
        <v>1205</v>
      </c>
      <c r="EY148" s="68">
        <v>5636</v>
      </c>
      <c r="EZ148" s="68" t="s">
        <v>1206</v>
      </c>
      <c r="FA148" s="68">
        <v>19908</v>
      </c>
      <c r="FB148" s="68" t="s">
        <v>1207</v>
      </c>
      <c r="FC148" s="68" t="s">
        <v>1208</v>
      </c>
      <c r="FD148" s="68" t="s">
        <v>1209</v>
      </c>
      <c r="FE148" s="68" t="s">
        <v>1210</v>
      </c>
      <c r="FF148" s="68" t="s">
        <v>1211</v>
      </c>
    </row>
    <row r="149" spans="1:162" ht="11.1" customHeight="1" thickBot="1" x14ac:dyDescent="0.25">
      <c r="A149" s="2">
        <f t="shared" si="591"/>
        <v>20150</v>
      </c>
      <c r="B149" s="3">
        <f t="shared" si="606"/>
        <v>22</v>
      </c>
      <c r="C149" s="3">
        <f t="shared" si="607"/>
        <v>20</v>
      </c>
      <c r="D149" s="3">
        <f t="shared" si="608"/>
        <v>14</v>
      </c>
      <c r="E149" s="3">
        <f t="shared" si="609"/>
        <v>56</v>
      </c>
      <c r="F149" s="4">
        <f t="shared" si="610"/>
        <v>20381.263856156838</v>
      </c>
      <c r="G149" s="5">
        <f t="shared" si="611"/>
        <v>493.76086327477896</v>
      </c>
      <c r="AM149" s="1">
        <v>-126</v>
      </c>
      <c r="AN149" s="1">
        <v>0</v>
      </c>
      <c r="AO149" s="1">
        <v>20150</v>
      </c>
      <c r="AP149" s="1">
        <v>479</v>
      </c>
      <c r="AQ149" s="1">
        <v>0</v>
      </c>
      <c r="AS149" s="54">
        <f>IF(RTD("tos.rtd",,AS$83,"."&amp;$B$134&amp;$AS$82&amp;"C"&amp;$A149)="N/A",0,RTD("tos.rtd",,AS$83,"."&amp;$B$134&amp;$AS$82&amp;"C"&amp;$A149))</f>
        <v>22</v>
      </c>
      <c r="AT149" s="3">
        <f>-IF(RTD("tos.rtd",,AT$83,"."&amp;$B$134&amp;$AS$82&amp;"P"&amp;$A149)="N/A",0,RTD("tos.rtd",,AT$83,"."&amp;$B$134&amp;$AS$82&amp;"P"&amp;$A149))</f>
        <v>0</v>
      </c>
      <c r="AU149" s="54">
        <f>IF(RTD("tos.rtd",,AU$2,"."&amp;$C$134&amp;$AU$134&amp;"C"&amp;$A149)="N/A",0,RTD("tos.rtd",,AU$2,"."&amp;$C$134&amp;$AU$134&amp;"C"&amp;$A149))</f>
        <v>3</v>
      </c>
      <c r="AV149" s="3">
        <f>-IF(RTD("tos.rtd",,AV$2,"."&amp;$C$134&amp;$AU$134&amp;"P"&amp;$A149)="N/A",0,RTD("tos.rtd",,AV$2,"."&amp;$C$134&amp;$AU$134&amp;"P"&amp;$A149))</f>
        <v>-17</v>
      </c>
      <c r="AW149" s="54">
        <f>IF(RTD("tos.rtd",,AW$2,"."&amp;$D$134&amp;$AW$134&amp;"C"&amp;$A149)="N/A",0,RTD("tos.rtd",,AW$2,"."&amp;$D$134&amp;$AW$134&amp;"C"&amp;$A149))</f>
        <v>9</v>
      </c>
      <c r="AX149" s="3">
        <f>-IF(RTD("tos.rtd",,AX$2,"."&amp;$D$134&amp;$AW$134&amp;"P"&amp;$A149)="N/A",0,RTD("tos.rtd",,AX$2,"."&amp;$D$134&amp;$AW$134&amp;"P"&amp;$A149))</f>
        <v>-5</v>
      </c>
      <c r="AY149" s="76">
        <f t="shared" si="612"/>
        <v>12</v>
      </c>
      <c r="AZ149" s="8">
        <f t="shared" si="545"/>
        <v>20150</v>
      </c>
      <c r="BA149" s="54">
        <f>IF(RTD("tos.rtd",,BA$43,"."&amp;$B$134&amp;$AS$82&amp;"C"&amp;$A149)="N/A",0,RTD("tos.rtd",,BA$43,"."&amp;$B$134&amp;$AS$82&amp;"C"&amp;$A149))</f>
        <v>479</v>
      </c>
      <c r="BB149" s="3">
        <f>-IF(RTD("tos.rtd",,BB$43,"."&amp;$B$134&amp;$AS$82&amp;"P"&amp;$A149)="N/A",0,RTD("tos.rtd",,BB$43,"."&amp;$B$134&amp;$AS$82&amp;"P"&amp;$A149))</f>
        <v>0</v>
      </c>
      <c r="BC149" s="54">
        <f>IF(RTD("tos.rtd",,BC$2,"."&amp;$C$134&amp;$AU$82&amp;"C"&amp;$A149)="N/A",0,RTD("tos.rtd",,BC$2,"."&amp;$C$134&amp;$AU$82&amp;"C"&amp;$A149))</f>
        <v>2</v>
      </c>
      <c r="BD149" s="3">
        <f>-IF(RTD("tos.rtd",,BD$2,"."&amp;$C$134&amp;$AU$82&amp;"P"&amp;$A149)="N/A",0,RTD("tos.rtd",,BD$2,"."&amp;$C$134&amp;$AU$82&amp;"P"&amp;$A149))</f>
        <v>0</v>
      </c>
      <c r="BE149" s="54">
        <f>IF(RTD("tos.rtd",,BE$2,"."&amp;$D$134&amp;$AW$82&amp;"C"&amp;$A149)="N/A",0,RTD("tos.rtd",,BE$2,"."&amp;$D$134&amp;$AW$82&amp;"C"&amp;$A149))</f>
        <v>3</v>
      </c>
      <c r="BF149" s="3">
        <f>-IF(RTD("tos.rtd",,BF$2,"."&amp;$D$134&amp;$AW$82&amp;"P"&amp;$A149)="N/A",0,RTD("tos.rtd",,BF$2,"."&amp;$D$134&amp;$AW$82&amp;"P"&amp;$A149))</f>
        <v>0</v>
      </c>
      <c r="BG149" s="3">
        <f ca="1">+Hoja2!Y150</f>
        <v>3</v>
      </c>
      <c r="BH149" s="7">
        <f t="shared" ca="1" si="546"/>
        <v>487</v>
      </c>
      <c r="BI149" s="32" t="str">
        <f t="shared" ca="1" si="605"/>
        <v/>
      </c>
      <c r="BJ149" s="3" t="e">
        <f ca="1">IF($BP$1=1,DX149,IF(RTD("tos.rtd",,BJ$43,"."&amp;$B$134&amp;$AS$82&amp;"C"&amp;$A149)="N/A",0,RTD("tos.rtd",,BJ$43,"."&amp;$B$134&amp;$AS$82&amp;"C"&amp;$A149)))</f>
        <v>#NUM!</v>
      </c>
      <c r="BK149" s="3" t="e">
        <f ca="1">IF($BP$1=1,DY149,-IF(RTD("tos.rtd",,BK$43,"."&amp;$B$134&amp;$AS$82&amp;"P"&amp;$A149)="N/A",0,RTD("tos.rtd",,BK$43,"."&amp;$B$134&amp;$AS$82&amp;"P"&amp;$A149)))</f>
        <v>#NUM!</v>
      </c>
      <c r="BL149" s="3">
        <f ca="1">IF($BP$1=1,DZ149,IF(RTD("tos.rtd",,BL$2,"."&amp;$C$134&amp;$AU$82&amp;"C"&amp;$A149)="N/A",0,RTD("tos.rtd",,BL$2,"."&amp;$C$134&amp;$AU$82&amp;"C"&amp;$A149)))</f>
        <v>7.2998607100217589E-4</v>
      </c>
      <c r="BM149" s="3">
        <f ca="1">IF($BP$1=1,EA149,-IF(RTD("tos.rtd",,BM$2,"."&amp;$C$134&amp;$AU$82&amp;"P"&amp;$A149)="N/A",0,RTD("tos.rtd",,BM$2,"."&amp;$C$134&amp;$AU$82&amp;"P"&amp;$A149)))</f>
        <v>-8.5529934593496146E-4</v>
      </c>
      <c r="BN149" s="3">
        <f ca="1">IF($BP$1=1,EB149,IF(RTD("tos.rtd",,BN$2,"."&amp;$D$134&amp;$AW$82&amp;"C"&amp;$A149)="N/A",0,RTD("tos.rtd",,BN$2,"."&amp;$D$134&amp;$AW$82&amp;"C"&amp;$A149)))</f>
        <v>8.1030816655849533E-4</v>
      </c>
      <c r="BO149" s="3">
        <f ca="1">IF($BP$1=1,EC149,-IF(RTD("tos.rtd",,BO$2,"."&amp;$D$134&amp;$AW$82&amp;"P"&amp;$A149)="N/A",0,RTD("tos.rtd",,BO$2,"."&amp;$D$134&amp;$AW$82&amp;"P"&amp;$A149)))</f>
        <v>-8.3632023859633094E-4</v>
      </c>
      <c r="BQ149" s="3" t="e">
        <f t="shared" ca="1" si="613"/>
        <v>#NUM!</v>
      </c>
      <c r="BR149" s="3" t="e">
        <f t="shared" ca="1" si="547"/>
        <v>#NUM!</v>
      </c>
      <c r="BS149" s="3">
        <f t="shared" ca="1" si="614"/>
        <v>-391638.87696471752</v>
      </c>
      <c r="BT149" s="3" t="str">
        <f t="shared" ca="1" si="548"/>
        <v>Cruce -</v>
      </c>
      <c r="BU149" s="3">
        <f t="shared" ca="1" si="615"/>
        <v>98659.363269028807</v>
      </c>
      <c r="BV149" s="3" t="str">
        <f t="shared" ca="1" si="548"/>
        <v/>
      </c>
      <c r="BX149" s="3" t="e">
        <f t="shared" ca="1" si="582"/>
        <v>#NUM!</v>
      </c>
      <c r="BY149" s="3" t="e">
        <f t="shared" ca="1" si="583"/>
        <v>#NUM!</v>
      </c>
      <c r="BZ149" s="3">
        <f t="shared" ca="1" si="584"/>
        <v>346.04686386645648</v>
      </c>
      <c r="CA149" s="3" t="str">
        <f t="shared" ca="1" si="583"/>
        <v/>
      </c>
      <c r="CB149" s="3">
        <f t="shared" ca="1" si="585"/>
        <v>576.1848292899341</v>
      </c>
      <c r="CC149" s="3" t="str">
        <f t="shared" ca="1" si="583"/>
        <v/>
      </c>
      <c r="CD149" s="3">
        <f>IF(RTD("tos.rtd",,CD$43,"."&amp;$B$134&amp;$AS$82&amp;"C"&amp;$A149)="N/A",0,RTD("tos.rtd",,CD$43,"."&amp;$B$134&amp;$AS$82&amp;"C"&amp;$A149))</f>
        <v>0.1</v>
      </c>
      <c r="CE149" s="3">
        <f>-IF(RTD("tos.rtd",,CE$43,"."&amp;$B$134&amp;$AS$82&amp;"P"&amp;$A149)="N/A",0,RTD("tos.rtd",,CE$43,"."&amp;$B$134&amp;$AS$82&amp;"P"&amp;$A149))</f>
        <v>0.96</v>
      </c>
      <c r="CF149" s="3">
        <f>IF(RTD("tos.rtd",,CF$2,"."&amp;$C$134&amp;$AU$82&amp;"C"&amp;$A149)="N/A",0,RTD("tos.rtd",,CF$2,"."&amp;$C$134&amp;$AU$82&amp;"C"&amp;$A149))</f>
        <v>0.24</v>
      </c>
      <c r="CG149" s="3">
        <f>-IF(RTD("tos.rtd",,CG$2,"."&amp;$C$134&amp;$AU$82&amp;"P"&amp;$A149)="N/A",0,RTD("tos.rtd",,CG$2,"."&amp;$C$134&amp;$AU$82&amp;"P"&amp;$A149))</f>
        <v>0.83</v>
      </c>
      <c r="CH149" s="3">
        <f>IF(RTD("tos.rtd",,CH$2,"."&amp;$D$134&amp;$AW$82&amp;"C"&amp;$A149)="N/A",0,RTD("tos.rtd",,CH$2,"."&amp;$D$134&amp;$AW$82&amp;"C"&amp;$A149))</f>
        <v>0.37</v>
      </c>
      <c r="CI149" s="3">
        <f>-IF(RTD("tos.rtd",,CI$2,"."&amp;$D$134&amp;$AW$82&amp;"P"&amp;$A149)="N/A",0,RTD("tos.rtd",,CI$2,"."&amp;$D$134&amp;$AW$82&amp;"P"&amp;$A149))</f>
        <v>0.65</v>
      </c>
      <c r="CK149" s="3">
        <f t="shared" si="616"/>
        <v>220.00000000000003</v>
      </c>
      <c r="CL149" s="3"/>
      <c r="CM149" s="3">
        <f t="shared" si="617"/>
        <v>-1339</v>
      </c>
      <c r="CN149" s="3"/>
      <c r="CO149" s="3">
        <f t="shared" si="618"/>
        <v>8</v>
      </c>
      <c r="CP149" s="3">
        <f t="shared" si="539"/>
        <v>-1111</v>
      </c>
      <c r="CQ149" s="3">
        <f t="shared" si="549"/>
        <v>479</v>
      </c>
      <c r="CR149" s="3"/>
      <c r="CS149" s="3">
        <f t="shared" si="550"/>
        <v>2</v>
      </c>
      <c r="CT149" s="3"/>
      <c r="CU149" s="3">
        <f t="shared" si="551"/>
        <v>3</v>
      </c>
      <c r="CV149" s="3"/>
      <c r="CW149" s="3" t="e">
        <f t="shared" ca="1" si="552"/>
        <v>#NUM!</v>
      </c>
      <c r="CY149" s="3" t="e">
        <f t="shared" ca="1" si="553"/>
        <v>#NUM!</v>
      </c>
      <c r="CZ149" s="70" t="e">
        <f t="shared" ca="1" si="586"/>
        <v>#NUM!</v>
      </c>
      <c r="DA149" s="3">
        <f>IF(RTD("tos.rtd",,DA$43,"."&amp;$B$134&amp;$AS$82&amp;"C"&amp;$A149)="N/A",0,RTD("tos.rtd",,DA$43,"."&amp;$B$134&amp;$AS$82&amp;"C"&amp;$A149))</f>
        <v>0.05</v>
      </c>
      <c r="DB149" s="3">
        <f>IF(RTD("tos.rtd",,DB$43,"."&amp;$B$134&amp;$AS$82&amp;"P"&amp;$A149)="N/A",0,RTD("tos.rtd",,DB$43,"."&amp;$B$134&amp;$AS$82&amp;"P"&amp;$A149))</f>
        <v>0</v>
      </c>
      <c r="DC149" s="3">
        <f>IF(RTD("tos.rtd",,DC$43,"."&amp;$B$134&amp;$AS$82&amp;"C"&amp;$A149)="N/A",0,RTD("tos.rtd",,DC$43,"."&amp;$B$134&amp;$AS$82&amp;"C"&amp;$A149))</f>
        <v>19.8</v>
      </c>
      <c r="DD149" s="3">
        <f>IF(RTD("tos.rtd",,DD$43,"."&amp;$B$134&amp;$AS$82&amp;"P"&amp;$A149)="N/A",0,RTD("tos.rtd",,DD$43,"."&amp;$B$134&amp;$AS$82&amp;"P"&amp;$A149))</f>
        <v>308.7</v>
      </c>
      <c r="DE149" s="3">
        <f>IF(RTD("tos.rtd",,DE$43,"."&amp;$B$134&amp;$AS$82&amp;"C"&amp;$A149)="N/A",0,RTD("tos.rtd",,DE$43,"."&amp;$B$134&amp;$AS$82&amp;"C"&amp;$A149))</f>
        <v>0</v>
      </c>
      <c r="DF149" s="3">
        <f>IF(RTD("tos.rtd",,DF$43,"."&amp;$B$134&amp;$AS$82&amp;"P"&amp;$A149)="N/A",0,RTD("tos.rtd",,DF$43,"."&amp;$B$134&amp;$AS$82&amp;"P"&amp;$A149))</f>
        <v>260</v>
      </c>
      <c r="DG149" s="86">
        <f t="shared" si="587"/>
        <v>282.02699999999822</v>
      </c>
      <c r="DH149" s="3">
        <f t="shared" si="554"/>
        <v>0</v>
      </c>
      <c r="DI149" s="3">
        <f t="shared" si="555"/>
        <v>0</v>
      </c>
      <c r="DJ149" s="3">
        <f t="shared" si="556"/>
        <v>0</v>
      </c>
      <c r="DK149" s="3">
        <f t="shared" si="557"/>
        <v>0</v>
      </c>
      <c r="DL149" s="3">
        <f t="shared" si="558"/>
        <v>0</v>
      </c>
      <c r="DM149" s="3">
        <f t="shared" si="559"/>
        <v>0</v>
      </c>
      <c r="DN149" s="64" t="str">
        <f t="shared" si="560"/>
        <v>UNKNOWN</v>
      </c>
      <c r="DO149" s="64" t="str">
        <f t="shared" si="561"/>
        <v>UNKNOWN</v>
      </c>
      <c r="DP149" s="3">
        <f t="shared" si="562"/>
        <v>0</v>
      </c>
      <c r="DQ149" s="3">
        <f t="shared" si="563"/>
        <v>0</v>
      </c>
      <c r="DR149" s="3" t="e">
        <f t="shared" ca="1" si="564"/>
        <v>#NUM!</v>
      </c>
      <c r="DS149" s="3">
        <f t="shared" si="565"/>
        <v>0</v>
      </c>
      <c r="DT149" s="3">
        <f t="shared" si="588"/>
        <v>0</v>
      </c>
      <c r="DU149" s="3">
        <f t="shared" si="589"/>
        <v>0</v>
      </c>
      <c r="DV149" s="3">
        <f t="shared" si="566"/>
        <v>-126</v>
      </c>
      <c r="DW149" s="3">
        <f t="shared" si="567"/>
        <v>0</v>
      </c>
      <c r="DX149" s="3" t="e">
        <f t="shared" ca="1" si="568"/>
        <v>#NUM!</v>
      </c>
      <c r="DY149" s="3" t="e">
        <f t="shared" ca="1" si="569"/>
        <v>#NUM!</v>
      </c>
      <c r="DZ149" s="3">
        <f t="shared" ca="1" si="570"/>
        <v>7.2998607100217589E-4</v>
      </c>
      <c r="EA149" s="3">
        <f t="shared" ca="1" si="571"/>
        <v>-8.5529934593496146E-4</v>
      </c>
      <c r="EB149" s="3">
        <f t="shared" ca="1" si="572"/>
        <v>8.1030816655849533E-4</v>
      </c>
      <c r="EC149" s="3">
        <f t="shared" ca="1" si="573"/>
        <v>-8.3632023859633094E-4</v>
      </c>
      <c r="ED149" s="63">
        <f t="shared" si="590"/>
        <v>-126</v>
      </c>
      <c r="EE149" s="59">
        <f t="shared" si="574"/>
        <v>1.4362999999999999</v>
      </c>
      <c r="EF149" s="59">
        <f t="shared" si="575"/>
        <v>1.048</v>
      </c>
      <c r="EG149" s="59">
        <f t="shared" si="576"/>
        <v>0.28410000000000002</v>
      </c>
      <c r="EH149" s="59">
        <f t="shared" si="577"/>
        <v>0.2079</v>
      </c>
      <c r="EI149" s="59">
        <f t="shared" si="578"/>
        <v>0.23669999999999999</v>
      </c>
      <c r="EJ149" s="59">
        <f t="shared" si="579"/>
        <v>0.22070000000000001</v>
      </c>
      <c r="EL149" s="3" t="str">
        <f>RTD("tos.rtd",,EL$43,"."&amp;$B$134&amp;$AS$82&amp;"C"&amp;$A149)</f>
        <v>143.63%</v>
      </c>
      <c r="EM149" s="3" t="str">
        <f>RTD("tos.rtd",,EM$43,"."&amp;$B$134&amp;$AS$82&amp;"P"&amp;$A149)</f>
        <v>104.80%</v>
      </c>
      <c r="EN149" s="3" t="str">
        <f>RTD("tos.rtd",,EN$2,"."&amp;$C$134&amp;$AU$82&amp;"C"&amp;$A149)</f>
        <v>28.41%</v>
      </c>
      <c r="EO149" s="3" t="str">
        <f>RTD("tos.rtd",,EO$2,"."&amp;$C$134&amp;$AU$82&amp;"P"&amp;$A149)</f>
        <v>20.79%</v>
      </c>
      <c r="EP149" s="3" t="str">
        <f>RTD("tos.rtd",,EP$2,"."&amp;$D$134&amp;$AW$82&amp;"C"&amp;$A149)</f>
        <v>23.67%</v>
      </c>
      <c r="EQ149" s="3" t="str">
        <f>RTD("tos.rtd",,EQ$2,"."&amp;$D$134&amp;$AW$82&amp;"P"&amp;$A149)</f>
        <v>22.07%</v>
      </c>
      <c r="ES149" s="63" t="str">
        <f t="shared" si="580"/>
        <v>20150,-126.00</v>
      </c>
      <c r="ET149" s="64" t="str">
        <f t="shared" ca="1" si="581"/>
        <v>20150,00.00</v>
      </c>
      <c r="EU149" s="68">
        <v>562.26</v>
      </c>
      <c r="EV149" s="68" t="s">
        <v>1212</v>
      </c>
      <c r="EW149" s="68">
        <v>484.71</v>
      </c>
      <c r="EX149" s="68" t="s">
        <v>1213</v>
      </c>
      <c r="EY149" s="68">
        <v>5636.5</v>
      </c>
      <c r="EZ149" s="68" t="s">
        <v>1214</v>
      </c>
      <c r="FA149" s="68">
        <v>19910.5</v>
      </c>
      <c r="FB149" s="68" t="s">
        <v>1215</v>
      </c>
      <c r="FC149" s="68" t="s">
        <v>1216</v>
      </c>
      <c r="FD149" s="68" t="s">
        <v>1217</v>
      </c>
      <c r="FE149" s="68" t="s">
        <v>1218</v>
      </c>
      <c r="FF149" s="68" t="s">
        <v>1219</v>
      </c>
    </row>
    <row r="150" spans="1:162" ht="11.1" customHeight="1" thickBot="1" x14ac:dyDescent="0.25">
      <c r="A150" s="2">
        <f t="shared" si="591"/>
        <v>20125</v>
      </c>
      <c r="B150" s="3">
        <f t="shared" si="606"/>
        <v>1</v>
      </c>
      <c r="C150" s="3">
        <f t="shared" si="607"/>
        <v>9</v>
      </c>
      <c r="D150" s="3">
        <f t="shared" si="608"/>
        <v>37</v>
      </c>
      <c r="E150" s="3">
        <f t="shared" si="609"/>
        <v>47</v>
      </c>
      <c r="F150" s="4">
        <f t="shared" si="610"/>
        <v>20355.976928295604</v>
      </c>
      <c r="G150" s="5">
        <f t="shared" si="611"/>
        <v>493.14825674466135</v>
      </c>
      <c r="AM150" s="1">
        <v>-19</v>
      </c>
      <c r="AN150" s="1">
        <v>0</v>
      </c>
      <c r="AO150" s="1">
        <v>20125</v>
      </c>
      <c r="AP150" s="1">
        <v>70</v>
      </c>
      <c r="AQ150" s="1">
        <v>0</v>
      </c>
      <c r="AS150" s="54">
        <f>IF(RTD("tos.rtd",,AS$83,"."&amp;$B$134&amp;$AS$82&amp;"C"&amp;$A150)="N/A",0,RTD("tos.rtd",,AS$83,"."&amp;$B$134&amp;$AS$82&amp;"C"&amp;$A150))</f>
        <v>1</v>
      </c>
      <c r="AT150" s="3">
        <f>-IF(RTD("tos.rtd",,AT$83,"."&amp;$B$134&amp;$AS$82&amp;"P"&amp;$A150)="N/A",0,RTD("tos.rtd",,AT$83,"."&amp;$B$134&amp;$AS$82&amp;"P"&amp;$A150))</f>
        <v>0</v>
      </c>
      <c r="AU150" s="54">
        <f>IF(RTD("tos.rtd",,AU$2,"."&amp;$C$134&amp;$AU$134&amp;"C"&amp;$A150)="N/A",0,RTD("tos.rtd",,AU$2,"."&amp;$C$134&amp;$AU$134&amp;"C"&amp;$A150))</f>
        <v>8</v>
      </c>
      <c r="AV150" s="3">
        <f>-IF(RTD("tos.rtd",,AV$2,"."&amp;$C$134&amp;$AU$134&amp;"P"&amp;$A150)="N/A",0,RTD("tos.rtd",,AV$2,"."&amp;$C$134&amp;$AU$134&amp;"P"&amp;$A150))</f>
        <v>-1</v>
      </c>
      <c r="AW150" s="54">
        <f>IF(RTD("tos.rtd",,AW$2,"."&amp;$D$134&amp;$AW$134&amp;"C"&amp;$A150)="N/A",0,RTD("tos.rtd",,AW$2,"."&amp;$D$134&amp;$AW$134&amp;"C"&amp;$A150))</f>
        <v>19</v>
      </c>
      <c r="AX150" s="3">
        <f>-IF(RTD("tos.rtd",,AX$2,"."&amp;$D$134&amp;$AW$134&amp;"P"&amp;$A150)="N/A",0,RTD("tos.rtd",,AX$2,"."&amp;$D$134&amp;$AW$134&amp;"P"&amp;$A150))</f>
        <v>-18</v>
      </c>
      <c r="AY150" s="76">
        <f t="shared" si="612"/>
        <v>9</v>
      </c>
      <c r="AZ150" s="8">
        <f t="shared" si="545"/>
        <v>20125</v>
      </c>
      <c r="BA150" s="54">
        <f>IF(RTD("tos.rtd",,BA$43,"."&amp;$B$134&amp;$AS$82&amp;"C"&amp;$A150)="N/A",0,RTD("tos.rtd",,BA$43,"."&amp;$B$134&amp;$AS$82&amp;"C"&amp;$A150))</f>
        <v>70</v>
      </c>
      <c r="BB150" s="3">
        <f>-IF(RTD("tos.rtd",,BB$43,"."&amp;$B$134&amp;$AS$82&amp;"P"&amp;$A150)="N/A",0,RTD("tos.rtd",,BB$43,"."&amp;$B$134&amp;$AS$82&amp;"P"&amp;$A150))</f>
        <v>0</v>
      </c>
      <c r="BC150" s="54">
        <f>IF(RTD("tos.rtd",,BC$2,"."&amp;$C$134&amp;$AU$82&amp;"C"&amp;$A150)="N/A",0,RTD("tos.rtd",,BC$2,"."&amp;$C$134&amp;$AU$82&amp;"C"&amp;$A150))</f>
        <v>2</v>
      </c>
      <c r="BD150" s="3">
        <f>-IF(RTD("tos.rtd",,BD$2,"."&amp;$C$134&amp;$AU$82&amp;"P"&amp;$A150)="N/A",0,RTD("tos.rtd",,BD$2,"."&amp;$C$134&amp;$AU$82&amp;"P"&amp;$A150))</f>
        <v>0</v>
      </c>
      <c r="BE150" s="54">
        <f>IF(RTD("tos.rtd",,BE$2,"."&amp;$D$134&amp;$AW$82&amp;"C"&amp;$A150)="N/A",0,RTD("tos.rtd",,BE$2,"."&amp;$D$134&amp;$AW$82&amp;"C"&amp;$A150))</f>
        <v>26</v>
      </c>
      <c r="BF150" s="3">
        <f>-IF(RTD("tos.rtd",,BF$2,"."&amp;$D$134&amp;$AW$82&amp;"P"&amp;$A150)="N/A",0,RTD("tos.rtd",,BF$2,"."&amp;$D$134&amp;$AW$82&amp;"P"&amp;$A150))</f>
        <v>-21</v>
      </c>
      <c r="BG150" s="3">
        <f ca="1">+Hoja2!Y151</f>
        <v>0</v>
      </c>
      <c r="BH150" s="7">
        <f t="shared" ca="1" si="546"/>
        <v>77</v>
      </c>
      <c r="BI150" s="32" t="str">
        <f t="shared" ca="1" si="605"/>
        <v/>
      </c>
      <c r="BJ150" s="3" t="e">
        <f ca="1">IF($BP$1=1,DX150,IF(RTD("tos.rtd",,BJ$43,"."&amp;$B$134&amp;$AS$82&amp;"C"&amp;$A150)="N/A",0,RTD("tos.rtd",,BJ$43,"."&amp;$B$134&amp;$AS$82&amp;"C"&amp;$A150)))</f>
        <v>#NUM!</v>
      </c>
      <c r="BK150" s="3" t="e">
        <f ca="1">IF($BP$1=1,DY150,-IF(RTD("tos.rtd",,BK$43,"."&amp;$B$134&amp;$AS$82&amp;"P"&amp;$A150)="N/A",0,RTD("tos.rtd",,BK$43,"."&amp;$B$134&amp;$AS$82&amp;"P"&amp;$A150)))</f>
        <v>#NUM!</v>
      </c>
      <c r="BL150" s="3">
        <f ca="1">IF($BP$1=1,DZ150,IF(RTD("tos.rtd",,BL$2,"."&amp;$C$134&amp;$AU$82&amp;"C"&amp;$A150)="N/A",0,RTD("tos.rtd",,BL$2,"."&amp;$C$134&amp;$AU$82&amp;"C"&amp;$A150)))</f>
        <v>7.4743340984742904E-4</v>
      </c>
      <c r="BM150" s="3">
        <f ca="1">IF($BP$1=1,EA150,-IF(RTD("tos.rtd",,BM$2,"."&amp;$C$134&amp;$AU$82&amp;"P"&amp;$A150)="N/A",0,RTD("tos.rtd",,BM$2,"."&amp;$C$134&amp;$AU$82&amp;"P"&amp;$A150)))</f>
        <v>-8.8618434099893724E-4</v>
      </c>
      <c r="BN150" s="3">
        <f ca="1">IF($BP$1=1,EB150,IF(RTD("tos.rtd",,BN$2,"."&amp;$D$134&amp;$AW$82&amp;"C"&amp;$A150)="N/A",0,RTD("tos.rtd",,BN$2,"."&amp;$D$134&amp;$AW$82&amp;"C"&amp;$A150)))</f>
        <v>8.434407812587235E-4</v>
      </c>
      <c r="BO150" s="3">
        <f ca="1">IF($BP$1=1,EC150,-IF(RTD("tos.rtd",,BO$2,"."&amp;$D$134&amp;$AW$82&amp;"P"&amp;$A150)="N/A",0,RTD("tos.rtd",,BO$2,"."&amp;$D$134&amp;$AW$82&amp;"P"&amp;$A150)))</f>
        <v>-8.7803410060049145E-4</v>
      </c>
      <c r="BQ150" s="3" t="e">
        <f t="shared" ca="1" si="613"/>
        <v>#NUM!</v>
      </c>
      <c r="BR150" s="3" t="e">
        <f t="shared" ca="1" si="547"/>
        <v>#NUM!</v>
      </c>
      <c r="BS150" s="3">
        <f t="shared" ca="1" si="614"/>
        <v>161514.69676369496</v>
      </c>
      <c r="BT150" s="3" t="str">
        <f t="shared" ca="1" si="548"/>
        <v>Cruce +</v>
      </c>
      <c r="BU150" s="3">
        <f t="shared" ca="1" si="615"/>
        <v>7000.6225365989376</v>
      </c>
      <c r="BV150" s="3" t="str">
        <f t="shared" ca="1" si="548"/>
        <v/>
      </c>
      <c r="BX150" s="3" t="e">
        <f t="shared" ca="1" si="582"/>
        <v>#NUM!</v>
      </c>
      <c r="BY150" s="3" t="e">
        <f t="shared" ca="1" si="583"/>
        <v>#NUM!</v>
      </c>
      <c r="BZ150" s="3">
        <f t="shared" ca="1" si="584"/>
        <v>354.31770235235587</v>
      </c>
      <c r="CA150" s="3" t="str">
        <f t="shared" ca="1" si="583"/>
        <v/>
      </c>
      <c r="CB150" s="3">
        <f t="shared" ca="1" si="585"/>
        <v>827.38639201153546</v>
      </c>
      <c r="CC150" s="3" t="str">
        <f t="shared" ca="1" si="583"/>
        <v/>
      </c>
      <c r="CD150" s="3">
        <f>IF(RTD("tos.rtd",,CD$43,"."&amp;$B$134&amp;$AS$82&amp;"C"&amp;$A150)="N/A",0,RTD("tos.rtd",,CD$43,"."&amp;$B$134&amp;$AS$82&amp;"C"&amp;$A150))</f>
        <v>0.1</v>
      </c>
      <c r="CE150" s="3">
        <f>-IF(RTD("tos.rtd",,CE$43,"."&amp;$B$134&amp;$AS$82&amp;"P"&amp;$A150)="N/A",0,RTD("tos.rtd",,CE$43,"."&amp;$B$134&amp;$AS$82&amp;"P"&amp;$A150))</f>
        <v>0.97</v>
      </c>
      <c r="CF150" s="3">
        <f>IF(RTD("tos.rtd",,CF$2,"."&amp;$C$134&amp;$AU$82&amp;"C"&amp;$A150)="N/A",0,RTD("tos.rtd",,CF$2,"."&amp;$C$134&amp;$AU$82&amp;"C"&amp;$A150))</f>
        <v>0.26</v>
      </c>
      <c r="CG150" s="3">
        <f>-IF(RTD("tos.rtd",,CG$2,"."&amp;$C$134&amp;$AU$82&amp;"P"&amp;$A150)="N/A",0,RTD("tos.rtd",,CG$2,"."&amp;$C$134&amp;$AU$82&amp;"P"&amp;$A150))</f>
        <v>0.8</v>
      </c>
      <c r="CH150" s="3">
        <f>IF(RTD("tos.rtd",,CH$2,"."&amp;$D$134&amp;$AW$82&amp;"C"&amp;$A150)="N/A",0,RTD("tos.rtd",,CH$2,"."&amp;$D$134&amp;$AW$82&amp;"C"&amp;$A150))</f>
        <v>0.38</v>
      </c>
      <c r="CI150" s="3">
        <f>-IF(RTD("tos.rtd",,CI$2,"."&amp;$D$134&amp;$AW$82&amp;"P"&amp;$A150)="N/A",0,RTD("tos.rtd",,CI$2,"."&amp;$D$134&amp;$AW$82&amp;"P"&amp;$A150))</f>
        <v>0.63</v>
      </c>
      <c r="CK150" s="3">
        <f t="shared" si="616"/>
        <v>10</v>
      </c>
      <c r="CL150" s="3"/>
      <c r="CM150" s="3">
        <f t="shared" si="617"/>
        <v>128</v>
      </c>
      <c r="CN150" s="3"/>
      <c r="CO150" s="3">
        <f t="shared" si="618"/>
        <v>-412</v>
      </c>
      <c r="CP150" s="3">
        <f t="shared" si="539"/>
        <v>-274</v>
      </c>
      <c r="CQ150" s="3">
        <f t="shared" si="549"/>
        <v>70</v>
      </c>
      <c r="CR150" s="3"/>
      <c r="CS150" s="3">
        <f t="shared" si="550"/>
        <v>2</v>
      </c>
      <c r="CT150" s="3"/>
      <c r="CU150" s="3">
        <f t="shared" si="551"/>
        <v>5</v>
      </c>
      <c r="CV150" s="3"/>
      <c r="CW150" s="3" t="e">
        <f t="shared" ca="1" si="552"/>
        <v>#NUM!</v>
      </c>
      <c r="CY150" s="3" t="e">
        <f t="shared" ca="1" si="553"/>
        <v>#NUM!</v>
      </c>
      <c r="CZ150" s="70" t="e">
        <f t="shared" ca="1" si="586"/>
        <v>#NUM!</v>
      </c>
      <c r="DA150" s="3">
        <f>IF(RTD("tos.rtd",,DA$43,"."&amp;$B$134&amp;$AS$82&amp;"C"&amp;$A150)="N/A",0,RTD("tos.rtd",,DA$43,"."&amp;$B$134&amp;$AS$82&amp;"C"&amp;$A150))</f>
        <v>0.1</v>
      </c>
      <c r="DB150" s="3">
        <f>IF(RTD("tos.rtd",,DB$43,"."&amp;$B$134&amp;$AS$82&amp;"P"&amp;$A150)="N/A",0,RTD("tos.rtd",,DB$43,"."&amp;$B$134&amp;$AS$82&amp;"P"&amp;$A150))</f>
        <v>0</v>
      </c>
      <c r="DC150" s="3">
        <f>IF(RTD("tos.rtd",,DC$43,"."&amp;$B$134&amp;$AS$82&amp;"C"&amp;$A150)="N/A",0,RTD("tos.rtd",,DC$43,"."&amp;$B$134&amp;$AS$82&amp;"C"&amp;$A150))</f>
        <v>19.8</v>
      </c>
      <c r="DD150" s="3">
        <f>IF(RTD("tos.rtd",,DD$43,"."&amp;$B$134&amp;$AS$82&amp;"P"&amp;$A150)="N/A",0,RTD("tos.rtd",,DD$43,"."&amp;$B$134&amp;$AS$82&amp;"P"&amp;$A150))</f>
        <v>283.5</v>
      </c>
      <c r="DE150" s="3">
        <f>IF(RTD("tos.rtd",,DE$43,"."&amp;$B$134&amp;$AS$82&amp;"C"&amp;$A150)="N/A",0,RTD("tos.rtd",,DE$43,"."&amp;$B$134&amp;$AS$82&amp;"C"&amp;$A150))</f>
        <v>0</v>
      </c>
      <c r="DF150" s="3">
        <f>IF(RTD("tos.rtd",,DF$43,"."&amp;$B$134&amp;$AS$82&amp;"P"&amp;$A150)="N/A",0,RTD("tos.rtd",,DF$43,"."&amp;$B$134&amp;$AS$82&amp;"P"&amp;$A150))</f>
        <v>234</v>
      </c>
      <c r="DG150" s="86">
        <f t="shared" si="587"/>
        <v>257.02699999999822</v>
      </c>
      <c r="DH150" s="3">
        <f t="shared" si="554"/>
        <v>0</v>
      </c>
      <c r="DI150" s="3">
        <f t="shared" si="555"/>
        <v>0</v>
      </c>
      <c r="DJ150" s="3">
        <f t="shared" si="556"/>
        <v>0</v>
      </c>
      <c r="DK150" s="3">
        <f t="shared" si="557"/>
        <v>0</v>
      </c>
      <c r="DL150" s="3">
        <f t="shared" si="558"/>
        <v>0</v>
      </c>
      <c r="DM150" s="3">
        <f t="shared" si="559"/>
        <v>0</v>
      </c>
      <c r="DN150" s="64" t="str">
        <f t="shared" si="560"/>
        <v>UNKNOWN</v>
      </c>
      <c r="DO150" s="64" t="str">
        <f t="shared" si="561"/>
        <v>UNKNOWN</v>
      </c>
      <c r="DP150" s="3">
        <f t="shared" si="562"/>
        <v>0</v>
      </c>
      <c r="DQ150" s="3">
        <f t="shared" si="563"/>
        <v>0</v>
      </c>
      <c r="DR150" s="3" t="e">
        <f t="shared" ca="1" si="564"/>
        <v>#NUM!</v>
      </c>
      <c r="DS150" s="3">
        <f t="shared" si="565"/>
        <v>0</v>
      </c>
      <c r="DT150" s="3">
        <f t="shared" si="588"/>
        <v>0</v>
      </c>
      <c r="DU150" s="3">
        <f t="shared" si="589"/>
        <v>0</v>
      </c>
      <c r="DV150" s="3">
        <f t="shared" si="566"/>
        <v>-19</v>
      </c>
      <c r="DW150" s="3">
        <f t="shared" si="567"/>
        <v>0</v>
      </c>
      <c r="DX150" s="3" t="e">
        <f t="shared" ca="1" si="568"/>
        <v>#NUM!</v>
      </c>
      <c r="DY150" s="3" t="e">
        <f t="shared" ca="1" si="569"/>
        <v>#NUM!</v>
      </c>
      <c r="DZ150" s="3">
        <f t="shared" ca="1" si="570"/>
        <v>7.4743340984742904E-4</v>
      </c>
      <c r="EA150" s="3">
        <f t="shared" ca="1" si="571"/>
        <v>-8.8618434099893724E-4</v>
      </c>
      <c r="EB150" s="3">
        <f t="shared" ca="1" si="572"/>
        <v>8.434407812587235E-4</v>
      </c>
      <c r="EC150" s="3">
        <f t="shared" ca="1" si="573"/>
        <v>-8.7803410060049145E-4</v>
      </c>
      <c r="ED150" s="63">
        <f t="shared" si="590"/>
        <v>-19</v>
      </c>
      <c r="EE150" s="59">
        <f t="shared" si="574"/>
        <v>1.343</v>
      </c>
      <c r="EF150" s="59">
        <f t="shared" si="575"/>
        <v>0.92230000000000001</v>
      </c>
      <c r="EG150" s="59">
        <f t="shared" si="576"/>
        <v>0.28660000000000002</v>
      </c>
      <c r="EH150" s="59">
        <f t="shared" si="577"/>
        <v>0.2172</v>
      </c>
      <c r="EI150" s="59">
        <f t="shared" si="578"/>
        <v>0.23799999999999999</v>
      </c>
      <c r="EJ150" s="59">
        <f t="shared" si="579"/>
        <v>0.22120000000000001</v>
      </c>
      <c r="EL150" s="3" t="str">
        <f>RTD("tos.rtd",,EL$43,"."&amp;$B$134&amp;$AS$82&amp;"C"&amp;$A150)</f>
        <v>134.30%</v>
      </c>
      <c r="EM150" s="3" t="str">
        <f>RTD("tos.rtd",,EM$43,"."&amp;$B$134&amp;$AS$82&amp;"P"&amp;$A150)</f>
        <v>92.23%</v>
      </c>
      <c r="EN150" s="3" t="str">
        <f>RTD("tos.rtd",,EN$2,"."&amp;$C$134&amp;$AU$82&amp;"C"&amp;$A150)</f>
        <v>28.66%</v>
      </c>
      <c r="EO150" s="3" t="str">
        <f>RTD("tos.rtd",,EO$2,"."&amp;$C$134&amp;$AU$82&amp;"P"&amp;$A150)</f>
        <v>21.72%</v>
      </c>
      <c r="EP150" s="3" t="str">
        <f>RTD("tos.rtd",,EP$2,"."&amp;$D$134&amp;$AW$82&amp;"C"&amp;$A150)</f>
        <v>23.80%</v>
      </c>
      <c r="EQ150" s="3" t="str">
        <f>RTD("tos.rtd",,EQ$2,"."&amp;$D$134&amp;$AW$82&amp;"P"&amp;$A150)</f>
        <v>22.12%</v>
      </c>
      <c r="ES150" s="63" t="str">
        <f t="shared" si="580"/>
        <v>20125,-19.00</v>
      </c>
      <c r="ET150" s="64" t="str">
        <f t="shared" ca="1" si="581"/>
        <v>20125,00.00</v>
      </c>
      <c r="EU150" s="68">
        <v>562.26</v>
      </c>
      <c r="EV150" s="68" t="s">
        <v>1220</v>
      </c>
      <c r="EW150" s="68">
        <v>484.71</v>
      </c>
      <c r="EX150" s="68" t="s">
        <v>1221</v>
      </c>
      <c r="EY150" s="68">
        <v>5636.25</v>
      </c>
      <c r="EZ150" s="68" t="s">
        <v>1222</v>
      </c>
      <c r="FA150" s="68">
        <v>19910.5</v>
      </c>
      <c r="FB150" s="68" t="s">
        <v>1223</v>
      </c>
      <c r="FC150" s="68" t="s">
        <v>1224</v>
      </c>
      <c r="FD150" s="68" t="s">
        <v>1225</v>
      </c>
      <c r="FE150" s="68" t="s">
        <v>1226</v>
      </c>
      <c r="FF150" s="68" t="s">
        <v>1227</v>
      </c>
    </row>
    <row r="151" spans="1:162" ht="11.1" customHeight="1" thickBot="1" x14ac:dyDescent="0.25">
      <c r="A151" s="2">
        <f t="shared" si="591"/>
        <v>20100</v>
      </c>
      <c r="B151" s="3">
        <f t="shared" si="606"/>
        <v>19</v>
      </c>
      <c r="C151" s="3">
        <f t="shared" si="607"/>
        <v>15</v>
      </c>
      <c r="D151" s="3">
        <f t="shared" si="608"/>
        <v>176</v>
      </c>
      <c r="E151" s="3">
        <f t="shared" si="609"/>
        <v>210</v>
      </c>
      <c r="F151" s="4">
        <f t="shared" si="610"/>
        <v>20330.690000434366</v>
      </c>
      <c r="G151" s="5">
        <f t="shared" si="611"/>
        <v>492.53565021454375</v>
      </c>
      <c r="AM151" s="1">
        <v>48</v>
      </c>
      <c r="AN151" s="1">
        <v>2</v>
      </c>
      <c r="AO151" s="1">
        <v>20100</v>
      </c>
      <c r="AP151" s="1">
        <v>750</v>
      </c>
      <c r="AQ151" s="1">
        <v>-4</v>
      </c>
      <c r="AS151" s="54">
        <f>IF(RTD("tos.rtd",,AS$83,"."&amp;$B$134&amp;$AS$82&amp;"C"&amp;$A151)="N/A",0,RTD("tos.rtd",,AS$83,"."&amp;$B$134&amp;$AS$82&amp;"C"&amp;$A151))</f>
        <v>15</v>
      </c>
      <c r="AT151" s="3">
        <f>-IF(RTD("tos.rtd",,AT$83,"."&amp;$B$134&amp;$AS$82&amp;"P"&amp;$A151)="N/A",0,RTD("tos.rtd",,AT$83,"."&amp;$B$134&amp;$AS$82&amp;"P"&amp;$A151))</f>
        <v>-4</v>
      </c>
      <c r="AU151" s="54">
        <f>IF(RTD("tos.rtd",,AU$2,"."&amp;$C$134&amp;$AU$134&amp;"C"&amp;$A151)="N/A",0,RTD("tos.rtd",,AU$2,"."&amp;$C$134&amp;$AU$134&amp;"C"&amp;$A151))</f>
        <v>13</v>
      </c>
      <c r="AV151" s="3">
        <f>-IF(RTD("tos.rtd",,AV$2,"."&amp;$C$134&amp;$AU$134&amp;"P"&amp;$A151)="N/A",0,RTD("tos.rtd",,AV$2,"."&amp;$C$134&amp;$AU$134&amp;"P"&amp;$A151))</f>
        <v>-2</v>
      </c>
      <c r="AW151" s="54">
        <f>IF(RTD("tos.rtd",,AW$2,"."&amp;$D$134&amp;$AW$134&amp;"C"&amp;$A151)="N/A",0,RTD("tos.rtd",,AW$2,"."&amp;$D$134&amp;$AW$134&amp;"C"&amp;$A151))</f>
        <v>103</v>
      </c>
      <c r="AX151" s="3">
        <f>-IF(RTD("tos.rtd",,AX$2,"."&amp;$D$134&amp;$AW$134&amp;"P"&amp;$A151)="N/A",0,RTD("tos.rtd",,AX$2,"."&amp;$D$134&amp;$AW$134&amp;"P"&amp;$A151))</f>
        <v>-73</v>
      </c>
      <c r="AY151" s="76">
        <f t="shared" si="612"/>
        <v>52</v>
      </c>
      <c r="AZ151" s="8">
        <f t="shared" si="545"/>
        <v>20100</v>
      </c>
      <c r="BA151" s="54">
        <f>IF(RTD("tos.rtd",,BA$43,"."&amp;$B$134&amp;$AS$82&amp;"C"&amp;$A151)="N/A",0,RTD("tos.rtd",,BA$43,"."&amp;$B$134&amp;$AS$82&amp;"C"&amp;$A151))</f>
        <v>750</v>
      </c>
      <c r="BB151" s="3">
        <f>-IF(RTD("tos.rtd",,BB$43,"."&amp;$B$134&amp;$AS$82&amp;"P"&amp;$A151)="N/A",0,RTD("tos.rtd",,BB$43,"."&amp;$B$134&amp;$AS$82&amp;"P"&amp;$A151))</f>
        <v>-4</v>
      </c>
      <c r="BC151" s="54">
        <f>IF(RTD("tos.rtd",,BC$2,"."&amp;$C$134&amp;$AU$82&amp;"C"&amp;$A151)="N/A",0,RTD("tos.rtd",,BC$2,"."&amp;$C$134&amp;$AU$82&amp;"C"&amp;$A151))</f>
        <v>17</v>
      </c>
      <c r="BD151" s="3">
        <f>-IF(RTD("tos.rtd",,BD$2,"."&amp;$C$134&amp;$AU$82&amp;"P"&amp;$A151)="N/A",0,RTD("tos.rtd",,BD$2,"."&amp;$C$134&amp;$AU$82&amp;"P"&amp;$A151))</f>
        <v>0</v>
      </c>
      <c r="BE151" s="54">
        <f>IF(RTD("tos.rtd",,BE$2,"."&amp;$D$134&amp;$AW$82&amp;"C"&amp;$A151)="N/A",0,RTD("tos.rtd",,BE$2,"."&amp;$D$134&amp;$AW$82&amp;"C"&amp;$A151))</f>
        <v>25</v>
      </c>
      <c r="BF151" s="3">
        <f>-IF(RTD("tos.rtd",,BF$2,"."&amp;$D$134&amp;$AW$82&amp;"P"&amp;$A151)="N/A",0,RTD("tos.rtd",,BF$2,"."&amp;$D$134&amp;$AW$82&amp;"P"&amp;$A151))</f>
        <v>-25</v>
      </c>
      <c r="BG151" s="3">
        <f ca="1">+Hoja2!Y152</f>
        <v>1</v>
      </c>
      <c r="BH151" s="7">
        <f t="shared" ca="1" si="546"/>
        <v>764</v>
      </c>
      <c r="BI151" s="32" t="str">
        <f t="shared" ca="1" si="605"/>
        <v/>
      </c>
      <c r="BJ151" s="3" t="e">
        <f ca="1">IF($BP$1=1,DX151,IF(RTD("tos.rtd",,BJ$43,"."&amp;$B$134&amp;$AS$82&amp;"C"&amp;$A151)="N/A",0,RTD("tos.rtd",,BJ$43,"."&amp;$B$134&amp;$AS$82&amp;"C"&amp;$A151)))</f>
        <v>#NUM!</v>
      </c>
      <c r="BK151" s="3" t="e">
        <f ca="1">IF($BP$1=1,DY151,-IF(RTD("tos.rtd",,BK$43,"."&amp;$B$134&amp;$AS$82&amp;"P"&amp;$A151)="N/A",0,RTD("tos.rtd",,BK$43,"."&amp;$B$134&amp;$AS$82&amp;"P"&amp;$A151)))</f>
        <v>#NUM!</v>
      </c>
      <c r="BL151" s="3">
        <f ca="1">IF($BP$1=1,DZ151,IF(RTD("tos.rtd",,BL$2,"."&amp;$C$134&amp;$AU$82&amp;"C"&amp;$A151)="N/A",0,RTD("tos.rtd",,BL$2,"."&amp;$C$134&amp;$AU$82&amp;"C"&amp;$A151)))</f>
        <v>7.6221492396380585E-4</v>
      </c>
      <c r="BM151" s="3">
        <f ca="1">IF($BP$1=1,EA151,-IF(RTD("tos.rtd",,BM$2,"."&amp;$C$134&amp;$AU$82&amp;"P"&amp;$A151)="N/A",0,RTD("tos.rtd",,BM$2,"."&amp;$C$134&amp;$AU$82&amp;"P"&amp;$A151)))</f>
        <v>-9.1662812847022866E-4</v>
      </c>
      <c r="BN151" s="3">
        <f ca="1">IF($BP$1=1,EB151,IF(RTD("tos.rtd",,BN$2,"."&amp;$D$134&amp;$AW$82&amp;"C"&amp;$A151)="N/A",0,RTD("tos.rtd",,BN$2,"."&amp;$D$134&amp;$AW$82&amp;"C"&amp;$A151)))</f>
        <v>8.7335186974994152E-4</v>
      </c>
      <c r="BO151" s="3">
        <f ca="1">IF($BP$1=1,EC151,-IF(RTD("tos.rtd",,BO$2,"."&amp;$D$134&amp;$AW$82&amp;"P"&amp;$A151)="N/A",0,RTD("tos.rtd",,BO$2,"."&amp;$D$134&amp;$AW$82&amp;"P"&amp;$A151)))</f>
        <v>-9.1185628681580793E-4</v>
      </c>
      <c r="BQ151" s="3" t="e">
        <f t="shared" ca="1" si="613"/>
        <v>#NUM!</v>
      </c>
      <c r="BR151" s="3" t="e">
        <f t="shared" ca="1" si="547"/>
        <v>#NUM!</v>
      </c>
      <c r="BS151" s="3">
        <f t="shared" ca="1" si="614"/>
        <v>256085.91699494305</v>
      </c>
      <c r="BT151" s="3" t="str">
        <f t="shared" ca="1" si="548"/>
        <v/>
      </c>
      <c r="BU151" s="3">
        <f t="shared" ca="1" si="615"/>
        <v>741719.19830061076</v>
      </c>
      <c r="BV151" s="3" t="str">
        <f t="shared" ca="1" si="548"/>
        <v/>
      </c>
      <c r="BX151" s="3" t="e">
        <f t="shared" ca="1" si="582"/>
        <v>#NUM!</v>
      </c>
      <c r="BY151" s="3" t="e">
        <f t="shared" ca="1" si="583"/>
        <v>#NUM!</v>
      </c>
      <c r="BZ151" s="3">
        <f t="shared" ca="1" si="584"/>
        <v>3071.2609504672814</v>
      </c>
      <c r="CA151" s="3" t="str">
        <f t="shared" ca="1" si="583"/>
        <v/>
      </c>
      <c r="CB151" s="3">
        <f t="shared" ca="1" si="585"/>
        <v>-228.1607365527625</v>
      </c>
      <c r="CC151" s="3" t="str">
        <f t="shared" ca="1" si="583"/>
        <v>Cruce -</v>
      </c>
      <c r="CD151" s="3">
        <f>IF(RTD("tos.rtd",,CD$43,"."&amp;$B$134&amp;$AS$82&amp;"C"&amp;$A151)="N/A",0,RTD("tos.rtd",,CD$43,"."&amp;$B$134&amp;$AS$82&amp;"C"&amp;$A151))</f>
        <v>0.03</v>
      </c>
      <c r="CE151" s="3">
        <f>-IF(RTD("tos.rtd",,CE$43,"."&amp;$B$134&amp;$AS$82&amp;"P"&amp;$A151)="N/A",0,RTD("tos.rtd",,CE$43,"."&amp;$B$134&amp;$AS$82&amp;"P"&amp;$A151))</f>
        <v>0.93</v>
      </c>
      <c r="CF151" s="3">
        <f>IF(RTD("tos.rtd",,CF$2,"."&amp;$C$134&amp;$AU$82&amp;"C"&amp;$A151)="N/A",0,RTD("tos.rtd",,CF$2,"."&amp;$C$134&amp;$AU$82&amp;"C"&amp;$A151))</f>
        <v>0.28999999999999998</v>
      </c>
      <c r="CG151" s="3">
        <f>-IF(RTD("tos.rtd",,CG$2,"."&amp;$C$134&amp;$AU$82&amp;"P"&amp;$A151)="N/A",0,RTD("tos.rtd",,CG$2,"."&amp;$C$134&amp;$AU$82&amp;"P"&amp;$A151))</f>
        <v>0.77</v>
      </c>
      <c r="CH151" s="3">
        <f>IF(RTD("tos.rtd",,CH$2,"."&amp;$D$134&amp;$AW$82&amp;"C"&amp;$A151)="N/A",0,RTD("tos.rtd",,CH$2,"."&amp;$D$134&amp;$AW$82&amp;"C"&amp;$A151))</f>
        <v>0.39</v>
      </c>
      <c r="CI151" s="3">
        <f>-IF(RTD("tos.rtd",,CI$2,"."&amp;$D$134&amp;$AW$82&amp;"P"&amp;$A151)="N/A",0,RTD("tos.rtd",,CI$2,"."&amp;$D$134&amp;$AW$82&amp;"P"&amp;$A151))</f>
        <v>0.62</v>
      </c>
      <c r="CK151" s="3">
        <f t="shared" si="616"/>
        <v>-327</v>
      </c>
      <c r="CL151" s="3"/>
      <c r="CM151" s="3">
        <f t="shared" si="617"/>
        <v>222.99999999999994</v>
      </c>
      <c r="CN151" s="3"/>
      <c r="CO151" s="3">
        <f t="shared" si="618"/>
        <v>-509</v>
      </c>
      <c r="CP151" s="3">
        <f t="shared" si="539"/>
        <v>-613</v>
      </c>
      <c r="CQ151" s="3">
        <f t="shared" si="549"/>
        <v>746</v>
      </c>
      <c r="CR151" s="3"/>
      <c r="CS151" s="3">
        <f t="shared" si="550"/>
        <v>17</v>
      </c>
      <c r="CT151" s="3"/>
      <c r="CU151" s="3">
        <f t="shared" si="551"/>
        <v>0</v>
      </c>
      <c r="CV151" s="3"/>
      <c r="CW151" s="3" t="e">
        <f t="shared" ca="1" si="552"/>
        <v>#NUM!</v>
      </c>
      <c r="CY151" s="3" t="e">
        <f t="shared" ca="1" si="553"/>
        <v>#NUM!</v>
      </c>
      <c r="CZ151" s="70" t="e">
        <f t="shared" ca="1" si="586"/>
        <v>#NUM!</v>
      </c>
      <c r="DA151" s="3">
        <f>IF(RTD("tos.rtd",,DA$43,"."&amp;$B$134&amp;$AS$82&amp;"C"&amp;$A151)="N/A",0,RTD("tos.rtd",,DA$43,"."&amp;$B$134&amp;$AS$82&amp;"C"&amp;$A151))</f>
        <v>0.3</v>
      </c>
      <c r="DB151" s="3">
        <f>IF(RTD("tos.rtd",,DB$43,"."&amp;$B$134&amp;$AS$82&amp;"P"&amp;$A151)="N/A",0,RTD("tos.rtd",,DB$43,"."&amp;$B$134&amp;$AS$82&amp;"P"&amp;$A151))</f>
        <v>238.14</v>
      </c>
      <c r="DC151" s="3">
        <f>IF(RTD("tos.rtd",,DC$43,"."&amp;$B$134&amp;$AS$82&amp;"C"&amp;$A151)="N/A",0,RTD("tos.rtd",,DC$43,"."&amp;$B$134&amp;$AS$82&amp;"C"&amp;$A151))</f>
        <v>3</v>
      </c>
      <c r="DD151" s="3">
        <f>IF(RTD("tos.rtd",,DD$43,"."&amp;$B$134&amp;$AS$82&amp;"P"&amp;$A151)="N/A",0,RTD("tos.rtd",,DD$43,"."&amp;$B$134&amp;$AS$82&amp;"P"&amp;$A151))</f>
        <v>260</v>
      </c>
      <c r="DE151" s="3">
        <f>IF(RTD("tos.rtd",,DE$43,"."&amp;$B$134&amp;$AS$82&amp;"C"&amp;$A151)="N/A",0,RTD("tos.rtd",,DE$43,"."&amp;$B$134&amp;$AS$82&amp;"C"&amp;$A151))</f>
        <v>0</v>
      </c>
      <c r="DF151" s="3">
        <f>IF(RTD("tos.rtd",,DF$43,"."&amp;$B$134&amp;$AS$82&amp;"P"&amp;$A151)="N/A",0,RTD("tos.rtd",,DF$43,"."&amp;$B$134&amp;$AS$82&amp;"P"&amp;$A151))</f>
        <v>212.6</v>
      </c>
      <c r="DG151" s="86">
        <f t="shared" si="587"/>
        <v>232.02699999999822</v>
      </c>
      <c r="DH151" s="3">
        <f t="shared" si="554"/>
        <v>0</v>
      </c>
      <c r="DI151" s="3">
        <f t="shared" si="555"/>
        <v>0</v>
      </c>
      <c r="DJ151" s="3">
        <f t="shared" si="556"/>
        <v>0</v>
      </c>
      <c r="DK151" s="3">
        <f t="shared" si="557"/>
        <v>0</v>
      </c>
      <c r="DL151" s="3">
        <f t="shared" si="558"/>
        <v>0</v>
      </c>
      <c r="DM151" s="3">
        <f t="shared" si="559"/>
        <v>0</v>
      </c>
      <c r="DN151" s="64" t="str">
        <f t="shared" si="560"/>
        <v>UNKNOWN</v>
      </c>
      <c r="DO151" s="64" t="str">
        <f t="shared" si="561"/>
        <v>UNKNOWN</v>
      </c>
      <c r="DP151" s="3">
        <f t="shared" si="562"/>
        <v>0</v>
      </c>
      <c r="DQ151" s="3">
        <f t="shared" si="563"/>
        <v>0</v>
      </c>
      <c r="DR151" s="3" t="e">
        <f t="shared" ca="1" si="564"/>
        <v>#NUM!</v>
      </c>
      <c r="DS151" s="3">
        <f t="shared" si="565"/>
        <v>0</v>
      </c>
      <c r="DT151" s="3">
        <f t="shared" si="588"/>
        <v>0</v>
      </c>
      <c r="DU151" s="3">
        <f t="shared" si="589"/>
        <v>0</v>
      </c>
      <c r="DV151" s="3">
        <f t="shared" si="566"/>
        <v>48</v>
      </c>
      <c r="DW151" s="3">
        <f t="shared" si="567"/>
        <v>2</v>
      </c>
      <c r="DX151" s="3" t="e">
        <f t="shared" ca="1" si="568"/>
        <v>#NUM!</v>
      </c>
      <c r="DY151" s="3" t="e">
        <f t="shared" ca="1" si="569"/>
        <v>#NUM!</v>
      </c>
      <c r="DZ151" s="3">
        <f t="shared" ca="1" si="570"/>
        <v>7.6221492396380585E-4</v>
      </c>
      <c r="EA151" s="3">
        <f t="shared" ca="1" si="571"/>
        <v>-9.1662812847022866E-4</v>
      </c>
      <c r="EB151" s="3">
        <f t="shared" ca="1" si="572"/>
        <v>8.7335186974994152E-4</v>
      </c>
      <c r="EC151" s="3">
        <f t="shared" ca="1" si="573"/>
        <v>-9.1185628681580793E-4</v>
      </c>
      <c r="ED151" s="63">
        <f t="shared" si="590"/>
        <v>50</v>
      </c>
      <c r="EE151" s="59">
        <f t="shared" si="574"/>
        <v>0.82369999999999999</v>
      </c>
      <c r="EF151" s="59">
        <f t="shared" si="575"/>
        <v>1.0139</v>
      </c>
      <c r="EG151" s="59">
        <f t="shared" si="576"/>
        <v>0.28920000000000001</v>
      </c>
      <c r="EH151" s="59">
        <f t="shared" si="577"/>
        <v>0.22189999999999999</v>
      </c>
      <c r="EI151" s="59">
        <f t="shared" si="578"/>
        <v>0.2394</v>
      </c>
      <c r="EJ151" s="59">
        <f t="shared" si="579"/>
        <v>0.2238</v>
      </c>
      <c r="EL151" s="3" t="str">
        <f>RTD("tos.rtd",,EL$43,"."&amp;$B$134&amp;$AS$82&amp;"C"&amp;$A151)</f>
        <v>82.37%</v>
      </c>
      <c r="EM151" s="3" t="str">
        <f>RTD("tos.rtd",,EM$43,"."&amp;$B$134&amp;$AS$82&amp;"P"&amp;$A151)</f>
        <v>101.39%</v>
      </c>
      <c r="EN151" s="3" t="str">
        <f>RTD("tos.rtd",,EN$2,"."&amp;$C$134&amp;$AU$82&amp;"C"&amp;$A151)</f>
        <v>28.92%</v>
      </c>
      <c r="EO151" s="3" t="str">
        <f>RTD("tos.rtd",,EO$2,"."&amp;$C$134&amp;$AU$82&amp;"P"&amp;$A151)</f>
        <v>22.19%</v>
      </c>
      <c r="EP151" s="3" t="str">
        <f>RTD("tos.rtd",,EP$2,"."&amp;$D$134&amp;$AW$82&amp;"C"&amp;$A151)</f>
        <v>23.94%</v>
      </c>
      <c r="EQ151" s="3" t="str">
        <f>RTD("tos.rtd",,EQ$2,"."&amp;$D$134&amp;$AW$82&amp;"P"&amp;$A151)</f>
        <v>22.38%</v>
      </c>
      <c r="ES151" s="63" t="str">
        <f t="shared" si="580"/>
        <v>20100,50.00</v>
      </c>
      <c r="ET151" s="64" t="str">
        <f t="shared" ca="1" si="581"/>
        <v>20100,00.00</v>
      </c>
      <c r="EU151" s="68">
        <v>562.24</v>
      </c>
      <c r="EV151" s="68" t="s">
        <v>1228</v>
      </c>
      <c r="EW151" s="68">
        <v>484.64</v>
      </c>
      <c r="EX151" s="68" t="s">
        <v>1229</v>
      </c>
      <c r="EY151" s="68">
        <v>5636</v>
      </c>
      <c r="EZ151" s="68" t="s">
        <v>1230</v>
      </c>
      <c r="FA151" s="68">
        <v>19907.5</v>
      </c>
      <c r="FB151" s="68" t="s">
        <v>1231</v>
      </c>
      <c r="FC151" s="68" t="s">
        <v>1232</v>
      </c>
      <c r="FD151" s="68" t="s">
        <v>1233</v>
      </c>
      <c r="FE151" s="68" t="s">
        <v>1234</v>
      </c>
      <c r="FF151" s="68" t="s">
        <v>1235</v>
      </c>
    </row>
    <row r="152" spans="1:162" ht="11.1" customHeight="1" thickBot="1" x14ac:dyDescent="0.25">
      <c r="A152" s="2">
        <f t="shared" si="591"/>
        <v>20075</v>
      </c>
      <c r="B152" s="3">
        <f t="shared" si="606"/>
        <v>23</v>
      </c>
      <c r="C152" s="3">
        <f t="shared" si="607"/>
        <v>13</v>
      </c>
      <c r="D152" s="3">
        <f t="shared" si="608"/>
        <v>33</v>
      </c>
      <c r="E152" s="3">
        <f t="shared" si="609"/>
        <v>69</v>
      </c>
      <c r="F152" s="4">
        <f t="shared" si="610"/>
        <v>20305.403072573128</v>
      </c>
      <c r="G152" s="5">
        <f t="shared" si="611"/>
        <v>491.9230436844262</v>
      </c>
      <c r="AM152" s="1">
        <v>1</v>
      </c>
      <c r="AN152" s="1">
        <v>1</v>
      </c>
      <c r="AO152" s="1">
        <v>20075</v>
      </c>
      <c r="AP152" s="1">
        <v>69</v>
      </c>
      <c r="AQ152" s="1">
        <v>-1</v>
      </c>
      <c r="AS152" s="54">
        <f>IF(RTD("tos.rtd",,AS$83,"."&amp;$B$134&amp;$AS$82&amp;"C"&amp;$A152)="N/A",0,RTD("tos.rtd",,AS$83,"."&amp;$B$134&amp;$AS$82&amp;"C"&amp;$A152))</f>
        <v>21</v>
      </c>
      <c r="AT152" s="3">
        <f>-IF(RTD("tos.rtd",,AT$83,"."&amp;$B$134&amp;$AS$82&amp;"P"&amp;$A152)="N/A",0,RTD("tos.rtd",,AT$83,"."&amp;$B$134&amp;$AS$82&amp;"P"&amp;$A152))</f>
        <v>-2</v>
      </c>
      <c r="AU152" s="54">
        <f>IF(RTD("tos.rtd",,AU$2,"."&amp;$C$134&amp;$AU$134&amp;"C"&amp;$A152)="N/A",0,RTD("tos.rtd",,AU$2,"."&amp;$C$134&amp;$AU$134&amp;"C"&amp;$A152))</f>
        <v>13</v>
      </c>
      <c r="AV152" s="3">
        <f>-IF(RTD("tos.rtd",,AV$2,"."&amp;$C$134&amp;$AU$134&amp;"P"&amp;$A152)="N/A",0,RTD("tos.rtd",,AV$2,"."&amp;$C$134&amp;$AU$134&amp;"P"&amp;$A152))</f>
        <v>0</v>
      </c>
      <c r="AW152" s="54">
        <f>IF(RTD("tos.rtd",,AW$2,"."&amp;$D$134&amp;$AW$134&amp;"C"&amp;$A152)="N/A",0,RTD("tos.rtd",,AW$2,"."&amp;$D$134&amp;$AW$134&amp;"C"&amp;$A152))</f>
        <v>32</v>
      </c>
      <c r="AX152" s="3">
        <f>-IF(RTD("tos.rtd",,AX$2,"."&amp;$D$134&amp;$AW$134&amp;"P"&amp;$A152)="N/A",0,RTD("tos.rtd",,AX$2,"."&amp;$D$134&amp;$AW$134&amp;"P"&amp;$A152))</f>
        <v>-1</v>
      </c>
      <c r="AY152" s="76">
        <f t="shared" si="612"/>
        <v>63</v>
      </c>
      <c r="AZ152" s="8">
        <f t="shared" si="545"/>
        <v>20075</v>
      </c>
      <c r="BA152" s="54">
        <f>IF(RTD("tos.rtd",,BA$43,"."&amp;$B$134&amp;$AS$82&amp;"C"&amp;$A152)="N/A",0,RTD("tos.rtd",,BA$43,"."&amp;$B$134&amp;$AS$82&amp;"C"&amp;$A152))</f>
        <v>69</v>
      </c>
      <c r="BB152" s="3">
        <f>-IF(RTD("tos.rtd",,BB$43,"."&amp;$B$134&amp;$AS$82&amp;"P"&amp;$A152)="N/A",0,RTD("tos.rtd",,BB$43,"."&amp;$B$134&amp;$AS$82&amp;"P"&amp;$A152))</f>
        <v>-1</v>
      </c>
      <c r="BC152" s="54">
        <f>IF(RTD("tos.rtd",,BC$2,"."&amp;$C$134&amp;$AU$82&amp;"C"&amp;$A152)="N/A",0,RTD("tos.rtd",,BC$2,"."&amp;$C$134&amp;$AU$82&amp;"C"&amp;$A152))</f>
        <v>6</v>
      </c>
      <c r="BD152" s="3">
        <f>-IF(RTD("tos.rtd",,BD$2,"."&amp;$C$134&amp;$AU$82&amp;"P"&amp;$A152)="N/A",0,RTD("tos.rtd",,BD$2,"."&amp;$C$134&amp;$AU$82&amp;"P"&amp;$A152))</f>
        <v>0</v>
      </c>
      <c r="BE152" s="54">
        <f>IF(RTD("tos.rtd",,BE$2,"."&amp;$D$134&amp;$AW$82&amp;"C"&amp;$A152)="N/A",0,RTD("tos.rtd",,BE$2,"."&amp;$D$134&amp;$AW$82&amp;"C"&amp;$A152))</f>
        <v>4</v>
      </c>
      <c r="BF152" s="3">
        <f>-IF(RTD("tos.rtd",,BF$2,"."&amp;$D$134&amp;$AW$82&amp;"P"&amp;$A152)="N/A",0,RTD("tos.rtd",,BF$2,"."&amp;$D$134&amp;$AW$82&amp;"P"&amp;$A152))</f>
        <v>0</v>
      </c>
      <c r="BG152" s="3">
        <f ca="1">+Hoja2!Y153</f>
        <v>1</v>
      </c>
      <c r="BH152" s="7">
        <f t="shared" ca="1" si="546"/>
        <v>79</v>
      </c>
      <c r="BI152" s="32" t="str">
        <f t="shared" ca="1" si="605"/>
        <v/>
      </c>
      <c r="BJ152" s="3" t="e">
        <f ca="1">IF($BP$1=1,DX152,IF(RTD("tos.rtd",,BJ$43,"."&amp;$B$134&amp;$AS$82&amp;"C"&amp;$A152)="N/A",0,RTD("tos.rtd",,BJ$43,"."&amp;$B$134&amp;$AS$82&amp;"C"&amp;$A152)))</f>
        <v>#NUM!</v>
      </c>
      <c r="BK152" s="3" t="e">
        <f ca="1">IF($BP$1=1,DY152,-IF(RTD("tos.rtd",,BK$43,"."&amp;$B$134&amp;$AS$82&amp;"P"&amp;$A152)="N/A",0,RTD("tos.rtd",,BK$43,"."&amp;$B$134&amp;$AS$82&amp;"P"&amp;$A152)))</f>
        <v>#NUM!</v>
      </c>
      <c r="BL152" s="3">
        <f ca="1">IF($BP$1=1,DZ152,IF(RTD("tos.rtd",,BL$2,"."&amp;$C$134&amp;$AU$82&amp;"C"&amp;$A152)="N/A",0,RTD("tos.rtd",,BL$2,"."&amp;$C$134&amp;$AU$82&amp;"C"&amp;$A152)))</f>
        <v>7.7229914848100413E-4</v>
      </c>
      <c r="BM152" s="3">
        <f ca="1">IF($BP$1=1,EA152,-IF(RTD("tos.rtd",,BM$2,"."&amp;$C$134&amp;$AU$82&amp;"P"&amp;$A152)="N/A",0,RTD("tos.rtd",,BM$2,"."&amp;$C$134&amp;$AU$82&amp;"P"&amp;$A152)))</f>
        <v>-9.3961610078229971E-4</v>
      </c>
      <c r="BN152" s="3">
        <f ca="1">IF($BP$1=1,EB152,IF(RTD("tos.rtd",,BN$2,"."&amp;$D$134&amp;$AW$82&amp;"C"&amp;$A152)="N/A",0,RTD("tos.rtd",,BN$2,"."&amp;$D$134&amp;$AW$82&amp;"C"&amp;$A152)))</f>
        <v>9.0020711420484272E-4</v>
      </c>
      <c r="BO152" s="3">
        <f ca="1">IF($BP$1=1,EC152,-IF(RTD("tos.rtd",,BO$2,"."&amp;$D$134&amp;$AW$82&amp;"P"&amp;$A152)="N/A",0,RTD("tos.rtd",,BO$2,"."&amp;$D$134&amp;$AW$82&amp;"P"&amp;$A152)))</f>
        <v>-9.4370633266968791E-4</v>
      </c>
      <c r="BQ152" s="3" t="e">
        <f t="shared" ca="1" si="613"/>
        <v>#NUM!</v>
      </c>
      <c r="BR152" s="3" t="e">
        <f t="shared" ca="1" si="547"/>
        <v>#NUM!</v>
      </c>
      <c r="BS152" s="3">
        <f t="shared" ca="1" si="614"/>
        <v>318378.07479386596</v>
      </c>
      <c r="BT152" s="3" t="str">
        <f t="shared" ca="1" si="548"/>
        <v/>
      </c>
      <c r="BU152" s="3">
        <f t="shared" ca="1" si="615"/>
        <v>883569.85921070375</v>
      </c>
      <c r="BV152" s="3" t="str">
        <f t="shared" ca="1" si="548"/>
        <v/>
      </c>
      <c r="BX152" s="3" t="e">
        <f t="shared" ca="1" si="582"/>
        <v>#NUM!</v>
      </c>
      <c r="BY152" s="3" t="e">
        <f t="shared" ca="1" si="583"/>
        <v>#NUM!</v>
      </c>
      <c r="BZ152" s="3">
        <f t="shared" ca="1" si="584"/>
        <v>1098.3156073033742</v>
      </c>
      <c r="CA152" s="3" t="str">
        <f t="shared" ca="1" si="583"/>
        <v/>
      </c>
      <c r="CB152" s="3">
        <f t="shared" ca="1" si="585"/>
        <v>853.47888425649239</v>
      </c>
      <c r="CC152" s="3" t="str">
        <f t="shared" ca="1" si="583"/>
        <v>Cruce +</v>
      </c>
      <c r="CD152" s="3">
        <f>IF(RTD("tos.rtd",,CD$43,"."&amp;$B$134&amp;$AS$82&amp;"C"&amp;$A152)="N/A",0,RTD("tos.rtd",,CD$43,"."&amp;$B$134&amp;$AS$82&amp;"C"&amp;$A152))</f>
        <v>0.12</v>
      </c>
      <c r="CE152" s="3">
        <f>-IF(RTD("tos.rtd",,CE$43,"."&amp;$B$134&amp;$AS$82&amp;"P"&amp;$A152)="N/A",0,RTD("tos.rtd",,CE$43,"."&amp;$B$134&amp;$AS$82&amp;"P"&amp;$A152))</f>
        <v>0.95</v>
      </c>
      <c r="CF152" s="3">
        <f>IF(RTD("tos.rtd",,CF$2,"."&amp;$C$134&amp;$AU$82&amp;"C"&amp;$A152)="N/A",0,RTD("tos.rtd",,CF$2,"."&amp;$C$134&amp;$AU$82&amp;"C"&amp;$A152))</f>
        <v>0.31</v>
      </c>
      <c r="CG152" s="3">
        <f>-IF(RTD("tos.rtd",,CG$2,"."&amp;$C$134&amp;$AU$82&amp;"P"&amp;$A152)="N/A",0,RTD("tos.rtd",,CG$2,"."&amp;$C$134&amp;$AU$82&amp;"P"&amp;$A152))</f>
        <v>0.74</v>
      </c>
      <c r="CH152" s="3">
        <f>IF(RTD("tos.rtd",,CH$2,"."&amp;$D$134&amp;$AW$82&amp;"C"&amp;$A152)="N/A",0,RTD("tos.rtd",,CH$2,"."&amp;$D$134&amp;$AW$82&amp;"C"&amp;$A152))</f>
        <v>0.41</v>
      </c>
      <c r="CI152" s="3">
        <f>-IF(RTD("tos.rtd",,CI$2,"."&amp;$D$134&amp;$AW$82&amp;"P"&amp;$A152)="N/A",0,RTD("tos.rtd",,CI$2,"."&amp;$D$134&amp;$AW$82&amp;"P"&amp;$A152))</f>
        <v>0.6</v>
      </c>
      <c r="CK152" s="3">
        <f t="shared" si="616"/>
        <v>62</v>
      </c>
      <c r="CL152" s="3"/>
      <c r="CM152" s="3">
        <f t="shared" si="617"/>
        <v>403</v>
      </c>
      <c r="CN152" s="3"/>
      <c r="CO152" s="3">
        <f t="shared" si="618"/>
        <v>1252</v>
      </c>
      <c r="CP152" s="3">
        <f t="shared" si="539"/>
        <v>1717</v>
      </c>
      <c r="CQ152" s="3">
        <f t="shared" si="549"/>
        <v>68</v>
      </c>
      <c r="CR152" s="3"/>
      <c r="CS152" s="3">
        <f t="shared" si="550"/>
        <v>6</v>
      </c>
      <c r="CT152" s="3"/>
      <c r="CU152" s="3">
        <f t="shared" si="551"/>
        <v>4</v>
      </c>
      <c r="CV152" s="3"/>
      <c r="CW152" s="3" t="e">
        <f t="shared" ca="1" si="552"/>
        <v>#NUM!</v>
      </c>
      <c r="CY152" s="3" t="e">
        <f t="shared" ca="1" si="553"/>
        <v>#NUM!</v>
      </c>
      <c r="CZ152" s="70" t="e">
        <f t="shared" ca="1" si="586"/>
        <v>#NUM!</v>
      </c>
      <c r="DA152" s="3">
        <f>IF(RTD("tos.rtd",,DA$43,"."&amp;$B$134&amp;$AS$82&amp;"C"&amp;$A152)="N/A",0,RTD("tos.rtd",,DA$43,"."&amp;$B$134&amp;$AS$82&amp;"C"&amp;$A152))</f>
        <v>1.05</v>
      </c>
      <c r="DB152" s="3">
        <f>IF(RTD("tos.rtd",,DB$43,"."&amp;$B$134&amp;$AS$82&amp;"P"&amp;$A152)="N/A",0,RTD("tos.rtd",,DB$43,"."&amp;$B$134&amp;$AS$82&amp;"P"&amp;$A152))</f>
        <v>298.14999999999998</v>
      </c>
      <c r="DC152" s="3">
        <f>IF(RTD("tos.rtd",,DC$43,"."&amp;$B$134&amp;$AS$82&amp;"C"&amp;$A152)="N/A",0,RTD("tos.rtd",,DC$43,"."&amp;$B$134&amp;$AS$82&amp;"C"&amp;$A152))</f>
        <v>19.8</v>
      </c>
      <c r="DD152" s="3">
        <f>IF(RTD("tos.rtd",,DD$43,"."&amp;$B$134&amp;$AS$82&amp;"P"&amp;$A152)="N/A",0,RTD("tos.rtd",,DD$43,"."&amp;$B$134&amp;$AS$82&amp;"P"&amp;$A152))</f>
        <v>219.7</v>
      </c>
      <c r="DE152" s="3">
        <f>IF(RTD("tos.rtd",,DE$43,"."&amp;$B$134&amp;$AS$82&amp;"C"&amp;$A152)="N/A",0,RTD("tos.rtd",,DE$43,"."&amp;$B$134&amp;$AS$82&amp;"C"&amp;$A152))</f>
        <v>0</v>
      </c>
      <c r="DF152" s="3">
        <f>IF(RTD("tos.rtd",,DF$43,"."&amp;$B$134&amp;$AS$82&amp;"P"&amp;$A152)="N/A",0,RTD("tos.rtd",,DF$43,"."&amp;$B$134&amp;$AS$82&amp;"P"&amp;$A152))</f>
        <v>200</v>
      </c>
      <c r="DG152" s="86">
        <f t="shared" si="587"/>
        <v>207.02699999999822</v>
      </c>
      <c r="DH152" s="3">
        <f t="shared" si="554"/>
        <v>0</v>
      </c>
      <c r="DI152" s="3">
        <f t="shared" si="555"/>
        <v>0</v>
      </c>
      <c r="DJ152" s="3">
        <f t="shared" si="556"/>
        <v>0</v>
      </c>
      <c r="DK152" s="3">
        <f t="shared" si="557"/>
        <v>0</v>
      </c>
      <c r="DL152" s="3">
        <f t="shared" si="558"/>
        <v>0</v>
      </c>
      <c r="DM152" s="3">
        <f t="shared" si="559"/>
        <v>0</v>
      </c>
      <c r="DN152" s="64" t="str">
        <f t="shared" si="560"/>
        <v>UNKNOWN</v>
      </c>
      <c r="DO152" s="64" t="str">
        <f t="shared" si="561"/>
        <v>UNKNOWN</v>
      </c>
      <c r="DP152" s="3">
        <f t="shared" si="562"/>
        <v>0</v>
      </c>
      <c r="DQ152" s="3">
        <f t="shared" si="563"/>
        <v>0</v>
      </c>
      <c r="DR152" s="3" t="e">
        <f t="shared" ca="1" si="564"/>
        <v>#NUM!</v>
      </c>
      <c r="DS152" s="3">
        <f t="shared" si="565"/>
        <v>0</v>
      </c>
      <c r="DT152" s="3">
        <f t="shared" si="588"/>
        <v>0</v>
      </c>
      <c r="DU152" s="3">
        <f t="shared" si="589"/>
        <v>0</v>
      </c>
      <c r="DV152" s="3">
        <f t="shared" si="566"/>
        <v>1</v>
      </c>
      <c r="DW152" s="3">
        <f t="shared" si="567"/>
        <v>1</v>
      </c>
      <c r="DX152" s="3" t="e">
        <f t="shared" ca="1" si="568"/>
        <v>#NUM!</v>
      </c>
      <c r="DY152" s="3" t="e">
        <f t="shared" ca="1" si="569"/>
        <v>#NUM!</v>
      </c>
      <c r="DZ152" s="3">
        <f t="shared" ca="1" si="570"/>
        <v>7.7229914848100413E-4</v>
      </c>
      <c r="EA152" s="3">
        <f t="shared" ca="1" si="571"/>
        <v>-9.3961610078229971E-4</v>
      </c>
      <c r="EB152" s="3">
        <f t="shared" ca="1" si="572"/>
        <v>9.0020711420484272E-4</v>
      </c>
      <c r="EC152" s="3">
        <f t="shared" ca="1" si="573"/>
        <v>-9.4370633266968791E-4</v>
      </c>
      <c r="ED152" s="63">
        <f t="shared" si="590"/>
        <v>2</v>
      </c>
      <c r="EE152" s="59">
        <f t="shared" si="574"/>
        <v>1.1511</v>
      </c>
      <c r="EF152" s="59">
        <f t="shared" si="575"/>
        <v>0.84960000000000002</v>
      </c>
      <c r="EG152" s="59">
        <f t="shared" si="576"/>
        <v>0.2928</v>
      </c>
      <c r="EH152" s="59">
        <f t="shared" si="577"/>
        <v>0.2268</v>
      </c>
      <c r="EI152" s="59">
        <f t="shared" si="578"/>
        <v>0.2407</v>
      </c>
      <c r="EJ152" s="59">
        <f t="shared" si="579"/>
        <v>0.22539999999999999</v>
      </c>
      <c r="EL152" s="3" t="str">
        <f>RTD("tos.rtd",,EL$43,"."&amp;$B$134&amp;$AS$82&amp;"C"&amp;$A152)</f>
        <v>115.11%</v>
      </c>
      <c r="EM152" s="3" t="str">
        <f>RTD("tos.rtd",,EM$43,"."&amp;$B$134&amp;$AS$82&amp;"P"&amp;$A152)</f>
        <v>84.96%</v>
      </c>
      <c r="EN152" s="3" t="str">
        <f>RTD("tos.rtd",,EN$2,"."&amp;$C$134&amp;$AU$82&amp;"C"&amp;$A152)</f>
        <v>29.28%</v>
      </c>
      <c r="EO152" s="3" t="str">
        <f>RTD("tos.rtd",,EO$2,"."&amp;$C$134&amp;$AU$82&amp;"P"&amp;$A152)</f>
        <v>22.68%</v>
      </c>
      <c r="EP152" s="3" t="str">
        <f>RTD("tos.rtd",,EP$2,"."&amp;$D$134&amp;$AW$82&amp;"C"&amp;$A152)</f>
        <v>24.07%</v>
      </c>
      <c r="EQ152" s="3" t="str">
        <f>RTD("tos.rtd",,EQ$2,"."&amp;$D$134&amp;$AW$82&amp;"P"&amp;$A152)</f>
        <v>22.54%</v>
      </c>
      <c r="ES152" s="63" t="str">
        <f t="shared" si="580"/>
        <v>20075,02.00</v>
      </c>
      <c r="ET152" s="64" t="str">
        <f t="shared" ca="1" si="581"/>
        <v>20075,00.00</v>
      </c>
      <c r="EU152" s="68">
        <v>562.29</v>
      </c>
      <c r="EV152" s="68" t="s">
        <v>1236</v>
      </c>
      <c r="EW152" s="68">
        <v>484.72</v>
      </c>
      <c r="EX152" s="68" t="s">
        <v>1237</v>
      </c>
      <c r="EY152" s="68">
        <v>5636.5</v>
      </c>
      <c r="EZ152" s="68" t="s">
        <v>1238</v>
      </c>
      <c r="FA152" s="68">
        <v>19911</v>
      </c>
      <c r="FB152" s="68" t="s">
        <v>1239</v>
      </c>
      <c r="FC152" s="68" t="s">
        <v>1240</v>
      </c>
      <c r="FD152" s="68" t="s">
        <v>1241</v>
      </c>
      <c r="FE152" s="68" t="s">
        <v>1242</v>
      </c>
      <c r="FF152" s="68" t="s">
        <v>1243</v>
      </c>
    </row>
    <row r="153" spans="1:162" ht="11.1" customHeight="1" thickBot="1" x14ac:dyDescent="0.25">
      <c r="A153" s="2">
        <f t="shared" si="591"/>
        <v>20050</v>
      </c>
      <c r="B153" s="3">
        <f t="shared" si="606"/>
        <v>21</v>
      </c>
      <c r="C153" s="3">
        <f t="shared" si="607"/>
        <v>33</v>
      </c>
      <c r="D153" s="3">
        <f t="shared" si="608"/>
        <v>41</v>
      </c>
      <c r="E153" s="3">
        <f t="shared" si="609"/>
        <v>95</v>
      </c>
      <c r="F153" s="4">
        <f t="shared" si="610"/>
        <v>20280.116144711894</v>
      </c>
      <c r="G153" s="5">
        <f t="shared" si="611"/>
        <v>491.3104371543086</v>
      </c>
      <c r="AM153" s="1">
        <v>30</v>
      </c>
      <c r="AN153" s="1">
        <v>6</v>
      </c>
      <c r="AO153" s="1">
        <v>20050</v>
      </c>
      <c r="AP153" s="1">
        <v>337</v>
      </c>
      <c r="AQ153" s="1">
        <v>-24</v>
      </c>
      <c r="AS153" s="54">
        <f>IF(RTD("tos.rtd",,AS$83,"."&amp;$B$134&amp;$AS$82&amp;"C"&amp;$A153)="N/A",0,RTD("tos.rtd",,AS$83,"."&amp;$B$134&amp;$AS$82&amp;"C"&amp;$A153))</f>
        <v>11</v>
      </c>
      <c r="AT153" s="3">
        <f>-IF(RTD("tos.rtd",,AT$83,"."&amp;$B$134&amp;$AS$82&amp;"P"&amp;$A153)="N/A",0,RTD("tos.rtd",,AT$83,"."&amp;$B$134&amp;$AS$82&amp;"P"&amp;$A153))</f>
        <v>-10</v>
      </c>
      <c r="AU153" s="54">
        <f>IF(RTD("tos.rtd",,AU$2,"."&amp;$C$134&amp;$AU$134&amp;"C"&amp;$A153)="N/A",0,RTD("tos.rtd",,AU$2,"."&amp;$C$134&amp;$AU$134&amp;"C"&amp;$A153))</f>
        <v>26</v>
      </c>
      <c r="AV153" s="3">
        <f>-IF(RTD("tos.rtd",,AV$2,"."&amp;$C$134&amp;$AU$134&amp;"P"&amp;$A153)="N/A",0,RTD("tos.rtd",,AV$2,"."&amp;$C$134&amp;$AU$134&amp;"P"&amp;$A153))</f>
        <v>-7</v>
      </c>
      <c r="AW153" s="54">
        <f>IF(RTD("tos.rtd",,AW$2,"."&amp;$D$134&amp;$AW$134&amp;"C"&amp;$A153)="N/A",0,RTD("tos.rtd",,AW$2,"."&amp;$D$134&amp;$AW$134&amp;"C"&amp;$A153))</f>
        <v>29</v>
      </c>
      <c r="AX153" s="3">
        <f>-IF(RTD("tos.rtd",,AX$2,"."&amp;$D$134&amp;$AW$134&amp;"P"&amp;$A153)="N/A",0,RTD("tos.rtd",,AX$2,"."&amp;$D$134&amp;$AW$134&amp;"P"&amp;$A153))</f>
        <v>-12</v>
      </c>
      <c r="AY153" s="76">
        <f t="shared" si="612"/>
        <v>37</v>
      </c>
      <c r="AZ153" s="8">
        <f t="shared" si="545"/>
        <v>20050</v>
      </c>
      <c r="BA153" s="54">
        <f>IF(RTD("tos.rtd",,BA$43,"."&amp;$B$134&amp;$AS$82&amp;"C"&amp;$A153)="N/A",0,RTD("tos.rtd",,BA$43,"."&amp;$B$134&amp;$AS$82&amp;"C"&amp;$A153))</f>
        <v>337</v>
      </c>
      <c r="BB153" s="3">
        <f>-IF(RTD("tos.rtd",,BB$43,"."&amp;$B$134&amp;$AS$82&amp;"P"&amp;$A153)="N/A",0,RTD("tos.rtd",,BB$43,"."&amp;$B$134&amp;$AS$82&amp;"P"&amp;$A153))</f>
        <v>-24</v>
      </c>
      <c r="BC153" s="54">
        <f>IF(RTD("tos.rtd",,BC$2,"."&amp;$C$134&amp;$AU$82&amp;"C"&amp;$A153)="N/A",0,RTD("tos.rtd",,BC$2,"."&amp;$C$134&amp;$AU$82&amp;"C"&amp;$A153))</f>
        <v>12</v>
      </c>
      <c r="BD153" s="3">
        <f>-IF(RTD("tos.rtd",,BD$2,"."&amp;$C$134&amp;$AU$82&amp;"P"&amp;$A153)="N/A",0,RTD("tos.rtd",,BD$2,"."&amp;$C$134&amp;$AU$82&amp;"P"&amp;$A153))</f>
        <v>-3</v>
      </c>
      <c r="BE153" s="54">
        <f>IF(RTD("tos.rtd",,BE$2,"."&amp;$D$134&amp;$AW$82&amp;"C"&amp;$A153)="N/A",0,RTD("tos.rtd",,BE$2,"."&amp;$D$134&amp;$AW$82&amp;"C"&amp;$A153))</f>
        <v>5</v>
      </c>
      <c r="BF153" s="3">
        <f>-IF(RTD("tos.rtd",,BF$2,"."&amp;$D$134&amp;$AW$82&amp;"P"&amp;$A153)="N/A",0,RTD("tos.rtd",,BF$2,"."&amp;$D$134&amp;$AW$82&amp;"P"&amp;$A153))</f>
        <v>-2</v>
      </c>
      <c r="BG153" s="3">
        <f ca="1">+Hoja2!Y154</f>
        <v>32</v>
      </c>
      <c r="BH153" s="7">
        <f t="shared" ca="1" si="546"/>
        <v>357</v>
      </c>
      <c r="BI153" s="32" t="str">
        <f t="shared" ca="1" si="605"/>
        <v/>
      </c>
      <c r="BJ153" s="3" t="e">
        <f ca="1">IF($BP$1=1,DX153,IF(RTD("tos.rtd",,BJ$43,"."&amp;$B$134&amp;$AS$82&amp;"C"&amp;$A153)="N/A",0,RTD("tos.rtd",,BJ$43,"."&amp;$B$134&amp;$AS$82&amp;"C"&amp;$A153)))</f>
        <v>#NUM!</v>
      </c>
      <c r="BK153" s="3" t="e">
        <f ca="1">IF($BP$1=1,DY153,-IF(RTD("tos.rtd",,BK$43,"."&amp;$B$134&amp;$AS$82&amp;"P"&amp;$A153)="N/A",0,RTD("tos.rtd",,BK$43,"."&amp;$B$134&amp;$AS$82&amp;"P"&amp;$A153)))</f>
        <v>#NUM!</v>
      </c>
      <c r="BL153" s="3">
        <f ca="1">IF($BP$1=1,DZ153,IF(RTD("tos.rtd",,BL$2,"."&amp;$C$134&amp;$AU$82&amp;"C"&amp;$A153)="N/A",0,RTD("tos.rtd",,BL$2,"."&amp;$C$134&amp;$AU$82&amp;"C"&amp;$A153)))</f>
        <v>7.8122573610172219E-4</v>
      </c>
      <c r="BM153" s="3">
        <f ca="1">IF($BP$1=1,EA153,-IF(RTD("tos.rtd",,BM$2,"."&amp;$C$134&amp;$AU$82&amp;"P"&amp;$A153)="N/A",0,RTD("tos.rtd",,BM$2,"."&amp;$C$134&amp;$AU$82&amp;"P"&amp;$A153)))</f>
        <v>-9.5427492637382093E-4</v>
      </c>
      <c r="BN153" s="3">
        <f ca="1">IF($BP$1=1,EB153,IF(RTD("tos.rtd",,BN$2,"."&amp;$D$134&amp;$AW$82&amp;"C"&amp;$A153)="N/A",0,RTD("tos.rtd",,BN$2,"."&amp;$D$134&amp;$AW$82&amp;"C"&amp;$A153)))</f>
        <v>9.2356177944216374E-4</v>
      </c>
      <c r="BO153" s="3">
        <f ca="1">IF($BP$1=1,EC153,-IF(RTD("tos.rtd",,BO$2,"."&amp;$D$134&amp;$AW$82&amp;"P"&amp;$A153)="N/A",0,RTD("tos.rtd",,BO$2,"."&amp;$D$134&amp;$AW$82&amp;"P"&amp;$A153)))</f>
        <v>-9.7056999764981292E-4</v>
      </c>
      <c r="BQ153" s="3" t="e">
        <f t="shared" ca="1" si="613"/>
        <v>#NUM!</v>
      </c>
      <c r="BR153" s="3" t="e">
        <f t="shared" ca="1" si="547"/>
        <v>#NUM!</v>
      </c>
      <c r="BS153" s="3">
        <f t="shared" ca="1" si="614"/>
        <v>432286.88333074877</v>
      </c>
      <c r="BT153" s="3" t="str">
        <f t="shared" ca="1" si="548"/>
        <v/>
      </c>
      <c r="BU153" s="3">
        <f t="shared" ca="1" si="615"/>
        <v>479996.77718477737</v>
      </c>
      <c r="BV153" s="3" t="str">
        <f t="shared" ca="1" si="548"/>
        <v/>
      </c>
      <c r="BX153" s="3" t="e">
        <f t="shared" ca="1" si="582"/>
        <v>#NUM!</v>
      </c>
      <c r="BY153" s="3" t="e">
        <f t="shared" ca="1" si="583"/>
        <v>#NUM!</v>
      </c>
      <c r="BZ153" s="3">
        <f t="shared" ca="1" si="584"/>
        <v>1543.4657894837414</v>
      </c>
      <c r="CA153" s="3" t="str">
        <f t="shared" ca="1" si="583"/>
        <v/>
      </c>
      <c r="CB153" s="3">
        <f t="shared" ca="1" si="585"/>
        <v>634.43188569585686</v>
      </c>
      <c r="CC153" s="3" t="str">
        <f t="shared" ca="1" si="583"/>
        <v/>
      </c>
      <c r="CD153" s="3">
        <f>IF(RTD("tos.rtd",,CD$43,"."&amp;$B$134&amp;$AS$82&amp;"C"&amp;$A153)="N/A",0,RTD("tos.rtd",,CD$43,"."&amp;$B$134&amp;$AS$82&amp;"C"&amp;$A153))</f>
        <v>0.13</v>
      </c>
      <c r="CE153" s="3">
        <f>-IF(RTD("tos.rtd",,CE$43,"."&amp;$B$134&amp;$AS$82&amp;"P"&amp;$A153)="N/A",0,RTD("tos.rtd",,CE$43,"."&amp;$B$134&amp;$AS$82&amp;"P"&amp;$A153))</f>
        <v>0.95</v>
      </c>
      <c r="CF153" s="3">
        <f>IF(RTD("tos.rtd",,CF$2,"."&amp;$C$134&amp;$AU$82&amp;"C"&amp;$A153)="N/A",0,RTD("tos.rtd",,CF$2,"."&amp;$C$134&amp;$AU$82&amp;"C"&amp;$A153))</f>
        <v>0.33</v>
      </c>
      <c r="CG153" s="3">
        <f>-IF(RTD("tos.rtd",,CG$2,"."&amp;$C$134&amp;$AU$82&amp;"P"&amp;$A153)="N/A",0,RTD("tos.rtd",,CG$2,"."&amp;$C$134&amp;$AU$82&amp;"P"&amp;$A153))</f>
        <v>0.71</v>
      </c>
      <c r="CH153" s="3">
        <f>IF(RTD("tos.rtd",,CH$2,"."&amp;$D$134&amp;$AW$82&amp;"C"&amp;$A153)="N/A",0,RTD("tos.rtd",,CH$2,"."&amp;$D$134&amp;$AW$82&amp;"C"&amp;$A153))</f>
        <v>0.42</v>
      </c>
      <c r="CI153" s="3">
        <f>-IF(RTD("tos.rtd",,CI$2,"."&amp;$D$134&amp;$AW$82&amp;"P"&amp;$A153)="N/A",0,RTD("tos.rtd",,CI$2,"."&amp;$D$134&amp;$AW$82&amp;"P"&amp;$A153))</f>
        <v>0.59</v>
      </c>
      <c r="CK153" s="3">
        <f t="shared" si="616"/>
        <v>-807</v>
      </c>
      <c r="CL153" s="3"/>
      <c r="CM153" s="3">
        <f t="shared" si="617"/>
        <v>361</v>
      </c>
      <c r="CN153" s="3"/>
      <c r="CO153" s="3">
        <f t="shared" si="618"/>
        <v>510</v>
      </c>
      <c r="CP153" s="3">
        <f t="shared" si="539"/>
        <v>64</v>
      </c>
      <c r="CQ153" s="3">
        <f t="shared" si="549"/>
        <v>313</v>
      </c>
      <c r="CR153" s="3"/>
      <c r="CS153" s="3">
        <f t="shared" si="550"/>
        <v>9</v>
      </c>
      <c r="CT153" s="3"/>
      <c r="CU153" s="3">
        <f t="shared" si="551"/>
        <v>3</v>
      </c>
      <c r="CV153" s="3"/>
      <c r="CW153" s="3" t="e">
        <f t="shared" ca="1" si="552"/>
        <v>#NUM!</v>
      </c>
      <c r="CY153" s="3" t="e">
        <f t="shared" ca="1" si="553"/>
        <v>#NUM!</v>
      </c>
      <c r="CZ153" s="70" t="e">
        <f t="shared" ca="1" si="586"/>
        <v>#NUM!</v>
      </c>
      <c r="DA153" s="3">
        <f>IF(RTD("tos.rtd",,DA$43,"."&amp;$B$134&amp;$AS$82&amp;"C"&amp;$A153)="N/A",0,RTD("tos.rtd",,DA$43,"."&amp;$B$134&amp;$AS$82&amp;"C"&amp;$A153))</f>
        <v>0.5</v>
      </c>
      <c r="DB153" s="3">
        <f>IF(RTD("tos.rtd",,DB$43,"."&amp;$B$134&amp;$AS$82&amp;"P"&amp;$A153)="N/A",0,RTD("tos.rtd",,DB$43,"."&amp;$B$134&amp;$AS$82&amp;"P"&amp;$A153))</f>
        <v>187.18</v>
      </c>
      <c r="DC153" s="3">
        <f>IF(RTD("tos.rtd",,DC$43,"."&amp;$B$134&amp;$AS$82&amp;"C"&amp;$A153)="N/A",0,RTD("tos.rtd",,DC$43,"."&amp;$B$134&amp;$AS$82&amp;"C"&amp;$A153))</f>
        <v>19.8</v>
      </c>
      <c r="DD153" s="3">
        <f>IF(RTD("tos.rtd",,DD$43,"."&amp;$B$134&amp;$AS$82&amp;"P"&amp;$A153)="N/A",0,RTD("tos.rtd",,DD$43,"."&amp;$B$134&amp;$AS$82&amp;"P"&amp;$A153))</f>
        <v>194</v>
      </c>
      <c r="DE153" s="3">
        <f>IF(RTD("tos.rtd",,DE$43,"."&amp;$B$134&amp;$AS$82&amp;"C"&amp;$A153)="N/A",0,RTD("tos.rtd",,DE$43,"."&amp;$B$134&amp;$AS$82&amp;"C"&amp;$A153))</f>
        <v>0</v>
      </c>
      <c r="DF153" s="3">
        <f>IF(RTD("tos.rtd",,DF$43,"."&amp;$B$134&amp;$AS$82&amp;"P"&amp;$A153)="N/A",0,RTD("tos.rtd",,DF$43,"."&amp;$B$134&amp;$AS$82&amp;"P"&amp;$A153))</f>
        <v>175.1</v>
      </c>
      <c r="DG153" s="86">
        <f t="shared" si="587"/>
        <v>182.02699999999822</v>
      </c>
      <c r="DH153" s="3">
        <f t="shared" si="554"/>
        <v>0</v>
      </c>
      <c r="DI153" s="3">
        <f t="shared" si="555"/>
        <v>0</v>
      </c>
      <c r="DJ153" s="3">
        <f t="shared" si="556"/>
        <v>0</v>
      </c>
      <c r="DK153" s="3">
        <f t="shared" si="557"/>
        <v>0</v>
      </c>
      <c r="DL153" s="3">
        <f t="shared" si="558"/>
        <v>0</v>
      </c>
      <c r="DM153" s="3">
        <f t="shared" si="559"/>
        <v>0</v>
      </c>
      <c r="DN153" s="64" t="str">
        <f t="shared" si="560"/>
        <v>UNKNOWN</v>
      </c>
      <c r="DO153" s="64" t="str">
        <f t="shared" si="561"/>
        <v>UNKNOWN</v>
      </c>
      <c r="DP153" s="3">
        <f t="shared" si="562"/>
        <v>0</v>
      </c>
      <c r="DQ153" s="3">
        <f t="shared" si="563"/>
        <v>0</v>
      </c>
      <c r="DR153" s="3" t="e">
        <f t="shared" ca="1" si="564"/>
        <v>#NUM!</v>
      </c>
      <c r="DS153" s="3">
        <f t="shared" si="565"/>
        <v>0</v>
      </c>
      <c r="DT153" s="3">
        <f t="shared" si="588"/>
        <v>0</v>
      </c>
      <c r="DU153" s="3">
        <f t="shared" si="589"/>
        <v>0</v>
      </c>
      <c r="DV153" s="3">
        <f t="shared" si="566"/>
        <v>30</v>
      </c>
      <c r="DW153" s="3">
        <f t="shared" si="567"/>
        <v>6</v>
      </c>
      <c r="DX153" s="3" t="e">
        <f t="shared" ca="1" si="568"/>
        <v>#NUM!</v>
      </c>
      <c r="DY153" s="3" t="e">
        <f t="shared" ca="1" si="569"/>
        <v>#NUM!</v>
      </c>
      <c r="DZ153" s="3">
        <f t="shared" ca="1" si="570"/>
        <v>7.8122573610172219E-4</v>
      </c>
      <c r="EA153" s="3">
        <f t="shared" ca="1" si="571"/>
        <v>-9.5427492637382093E-4</v>
      </c>
      <c r="EB153" s="3">
        <f t="shared" ca="1" si="572"/>
        <v>9.2356177944216374E-4</v>
      </c>
      <c r="EC153" s="3">
        <f t="shared" ca="1" si="573"/>
        <v>-9.7056999764981292E-4</v>
      </c>
      <c r="ED153" s="63">
        <f t="shared" si="590"/>
        <v>36</v>
      </c>
      <c r="EE153" s="59">
        <f t="shared" si="574"/>
        <v>1.0521</v>
      </c>
      <c r="EF153" s="59">
        <f t="shared" si="575"/>
        <v>0.75029999999999997</v>
      </c>
      <c r="EG153" s="59">
        <f t="shared" si="576"/>
        <v>0.29570000000000002</v>
      </c>
      <c r="EH153" s="59">
        <f t="shared" si="577"/>
        <v>0.23219999999999999</v>
      </c>
      <c r="EI153" s="59">
        <f t="shared" si="578"/>
        <v>0.24199999999999999</v>
      </c>
      <c r="EJ153" s="59">
        <f t="shared" si="579"/>
        <v>0.22720000000000001</v>
      </c>
      <c r="EL153" s="3" t="str">
        <f>RTD("tos.rtd",,EL$43,"."&amp;$B$134&amp;$AS$82&amp;"C"&amp;$A153)</f>
        <v>105.21%</v>
      </c>
      <c r="EM153" s="3" t="str">
        <f>RTD("tos.rtd",,EM$43,"."&amp;$B$134&amp;$AS$82&amp;"P"&amp;$A153)</f>
        <v>75.03%</v>
      </c>
      <c r="EN153" s="3" t="str">
        <f>RTD("tos.rtd",,EN$2,"."&amp;$C$134&amp;$AU$82&amp;"C"&amp;$A153)</f>
        <v>29.57%</v>
      </c>
      <c r="EO153" s="3" t="str">
        <f>RTD("tos.rtd",,EO$2,"."&amp;$C$134&amp;$AU$82&amp;"P"&amp;$A153)</f>
        <v>23.22%</v>
      </c>
      <c r="EP153" s="3" t="str">
        <f>RTD("tos.rtd",,EP$2,"."&amp;$D$134&amp;$AW$82&amp;"C"&amp;$A153)</f>
        <v>24.20%</v>
      </c>
      <c r="EQ153" s="3" t="str">
        <f>RTD("tos.rtd",,EQ$2,"."&amp;$D$134&amp;$AW$82&amp;"P"&amp;$A153)</f>
        <v>22.72%</v>
      </c>
      <c r="ES153" s="63" t="str">
        <f t="shared" si="580"/>
        <v>20050,36.00</v>
      </c>
      <c r="ET153" s="64" t="str">
        <f t="shared" ca="1" si="581"/>
        <v>20050,00.00</v>
      </c>
      <c r="EU153" s="68">
        <v>562.14</v>
      </c>
      <c r="EV153" s="68" t="s">
        <v>1244</v>
      </c>
      <c r="EW153" s="68">
        <v>484.59</v>
      </c>
      <c r="EX153" s="68" t="s">
        <v>1245</v>
      </c>
      <c r="EY153" s="68">
        <v>5635.25</v>
      </c>
      <c r="EZ153" s="68" t="s">
        <v>1246</v>
      </c>
      <c r="FA153" s="68">
        <v>19906</v>
      </c>
      <c r="FB153" s="68" t="s">
        <v>1247</v>
      </c>
      <c r="FC153" s="68" t="s">
        <v>1248</v>
      </c>
      <c r="FD153" s="68" t="s">
        <v>1249</v>
      </c>
      <c r="FE153" s="68" t="s">
        <v>1250</v>
      </c>
      <c r="FF153" s="68" t="s">
        <v>1251</v>
      </c>
    </row>
    <row r="154" spans="1:162" ht="11.1" customHeight="1" thickBot="1" x14ac:dyDescent="0.25">
      <c r="A154" s="2">
        <f t="shared" si="591"/>
        <v>20025</v>
      </c>
      <c r="B154" s="3">
        <f t="shared" si="606"/>
        <v>12</v>
      </c>
      <c r="C154" s="3">
        <f t="shared" si="607"/>
        <v>12</v>
      </c>
      <c r="D154" s="3">
        <f t="shared" si="608"/>
        <v>60</v>
      </c>
      <c r="E154" s="3">
        <f t="shared" si="609"/>
        <v>84</v>
      </c>
      <c r="F154" s="4">
        <f t="shared" ref="F154:F189" si="619">+$F$136/$A$136*A154</f>
        <v>20254.829216850656</v>
      </c>
      <c r="G154" s="5">
        <f t="shared" si="611"/>
        <v>490.697830624191</v>
      </c>
      <c r="AM154" s="1">
        <v>85</v>
      </c>
      <c r="AN154" s="1">
        <v>0</v>
      </c>
      <c r="AO154" s="1">
        <v>20025</v>
      </c>
      <c r="AP154" s="1">
        <v>171</v>
      </c>
      <c r="AQ154" s="1">
        <v>-2</v>
      </c>
      <c r="AS154" s="54">
        <f>IF(RTD("tos.rtd",,AS$83,"."&amp;$B$134&amp;$AS$82&amp;"C"&amp;$A154)="N/A",0,RTD("tos.rtd",,AS$83,"."&amp;$B$134&amp;$AS$82&amp;"C"&amp;$A154))</f>
        <v>10</v>
      </c>
      <c r="AT154" s="3">
        <f>-IF(RTD("tos.rtd",,AT$83,"."&amp;$B$134&amp;$AS$82&amp;"P"&amp;$A154)="N/A",0,RTD("tos.rtd",,AT$83,"."&amp;$B$134&amp;$AS$82&amp;"P"&amp;$A154))</f>
        <v>-2</v>
      </c>
      <c r="AU154" s="54">
        <f>IF(RTD("tos.rtd",,AU$2,"."&amp;$C$134&amp;$AU$134&amp;"C"&amp;$A154)="N/A",0,RTD("tos.rtd",,AU$2,"."&amp;$C$134&amp;$AU$134&amp;"C"&amp;$A154))</f>
        <v>11</v>
      </c>
      <c r="AV154" s="3">
        <f>-IF(RTD("tos.rtd",,AV$2,"."&amp;$C$134&amp;$AU$134&amp;"P"&amp;$A154)="N/A",0,RTD("tos.rtd",,AV$2,"."&amp;$C$134&amp;$AU$134&amp;"P"&amp;$A154))</f>
        <v>-1</v>
      </c>
      <c r="AW154" s="54">
        <f>IF(RTD("tos.rtd",,AW$2,"."&amp;$D$134&amp;$AW$134&amp;"C"&amp;$A154)="N/A",0,RTD("tos.rtd",,AW$2,"."&amp;$D$134&amp;$AW$134&amp;"C"&amp;$A154))</f>
        <v>35</v>
      </c>
      <c r="AX154" s="3">
        <f>-IF(RTD("tos.rtd",,AX$2,"."&amp;$D$134&amp;$AW$134&amp;"P"&amp;$A154)="N/A",0,RTD("tos.rtd",,AX$2,"."&amp;$D$134&amp;$AW$134&amp;"P"&amp;$A154))</f>
        <v>-25</v>
      </c>
      <c r="AY154" s="76">
        <f t="shared" ref="AY154:AY189" si="620">SUM(AS154:AX154)</f>
        <v>28</v>
      </c>
      <c r="AZ154" s="8">
        <f t="shared" si="545"/>
        <v>20025</v>
      </c>
      <c r="BA154" s="54">
        <f>IF(RTD("tos.rtd",,BA$43,"."&amp;$B$134&amp;$AS$82&amp;"C"&amp;$A154)="N/A",0,RTD("tos.rtd",,BA$43,"."&amp;$B$134&amp;$AS$82&amp;"C"&amp;$A154))</f>
        <v>171</v>
      </c>
      <c r="BB154" s="3">
        <f>-IF(RTD("tos.rtd",,BB$43,"."&amp;$B$134&amp;$AS$82&amp;"P"&amp;$A154)="N/A",0,RTD("tos.rtd",,BB$43,"."&amp;$B$134&amp;$AS$82&amp;"P"&amp;$A154))</f>
        <v>-2</v>
      </c>
      <c r="BC154" s="54">
        <f>IF(RTD("tos.rtd",,BC$2,"."&amp;$C$134&amp;$AU$82&amp;"C"&amp;$A154)="N/A",0,RTD("tos.rtd",,BC$2,"."&amp;$C$134&amp;$AU$82&amp;"C"&amp;$A154))</f>
        <v>6</v>
      </c>
      <c r="BD154" s="3">
        <f>-IF(RTD("tos.rtd",,BD$2,"."&amp;$C$134&amp;$AU$82&amp;"P"&amp;$A154)="N/A",0,RTD("tos.rtd",,BD$2,"."&amp;$C$134&amp;$AU$82&amp;"P"&amp;$A154))</f>
        <v>0</v>
      </c>
      <c r="BE154" s="54">
        <f>IF(RTD("tos.rtd",,BE$2,"."&amp;$D$134&amp;$AW$82&amp;"C"&amp;$A154)="N/A",0,RTD("tos.rtd",,BE$2,"."&amp;$D$134&amp;$AW$82&amp;"C"&amp;$A154))</f>
        <v>1</v>
      </c>
      <c r="BF154" s="3">
        <f>-IF(RTD("tos.rtd",,BF$2,"."&amp;$D$134&amp;$AW$82&amp;"P"&amp;$A154)="N/A",0,RTD("tos.rtd",,BF$2,"."&amp;$D$134&amp;$AW$82&amp;"P"&amp;$A154))</f>
        <v>-1</v>
      </c>
      <c r="BG154" s="3">
        <f ca="1">+Hoja2!Y155</f>
        <v>29</v>
      </c>
      <c r="BH154" s="7">
        <f t="shared" ca="1" si="546"/>
        <v>204</v>
      </c>
      <c r="BI154" s="32" t="str">
        <f t="shared" ca="1" si="605"/>
        <v/>
      </c>
      <c r="BJ154" s="3" t="e">
        <f ca="1">IF($BP$1=1,DX154,IF(RTD("tos.rtd",,BJ$43,"."&amp;$B$134&amp;$AS$82&amp;"C"&amp;$A154)="N/A",0,RTD("tos.rtd",,BJ$43,"."&amp;$B$134&amp;$AS$82&amp;"C"&amp;$A154)))</f>
        <v>#NUM!</v>
      </c>
      <c r="BK154" s="3" t="e">
        <f ca="1">IF($BP$1=1,DY154,-IF(RTD("tos.rtd",,BK$43,"."&amp;$B$134&amp;$AS$82&amp;"P"&amp;$A154)="N/A",0,RTD("tos.rtd",,BK$43,"."&amp;$B$134&amp;$AS$82&amp;"P"&amp;$A154)))</f>
        <v>#NUM!</v>
      </c>
      <c r="BL154" s="3">
        <f ca="1">IF($BP$1=1,DZ154,IF(RTD("tos.rtd",,BL$2,"."&amp;$C$134&amp;$AU$82&amp;"C"&amp;$A154)="N/A",0,RTD("tos.rtd",,BL$2,"."&amp;$C$134&amp;$AU$82&amp;"C"&amp;$A154)))</f>
        <v>7.8596376361390983E-4</v>
      </c>
      <c r="BM154" s="3">
        <f ca="1">IF($BP$1=1,EA154,-IF(RTD("tos.rtd",,BM$2,"."&amp;$C$134&amp;$AU$82&amp;"P"&amp;$A154)="N/A",0,RTD("tos.rtd",,BM$2,"."&amp;$C$134&amp;$AU$82&amp;"P"&amp;$A154)))</f>
        <v>-9.5867569956158106E-4</v>
      </c>
      <c r="BN154" s="3">
        <f ca="1">IF($BP$1=1,EB154,IF(RTD("tos.rtd",,BN$2,"."&amp;$D$134&amp;$AW$82&amp;"C"&amp;$A154)="N/A",0,RTD("tos.rtd",,BN$2,"."&amp;$D$134&amp;$AW$82&amp;"C"&amp;$A154)))</f>
        <v>9.4322627278991351E-4</v>
      </c>
      <c r="BO154" s="3">
        <f ca="1">IF($BP$1=1,EC154,-IF(RTD("tos.rtd",,BO$2,"."&amp;$D$134&amp;$AW$82&amp;"P"&amp;$A154)="N/A",0,RTD("tos.rtd",,BO$2,"."&amp;$D$134&amp;$AW$82&amp;"P"&amp;$A154)))</f>
        <v>-9.9419718212379331E-4</v>
      </c>
      <c r="BQ154" s="3" t="e">
        <f t="shared" ref="BQ154:BQ189" ca="1" si="621">+$A$84*$A$84*AS154*BJ154-$A$84*$A$84*AT154*BK154</f>
        <v>#NUM!</v>
      </c>
      <c r="BR154" s="3" t="e">
        <f t="shared" ca="1" si="547"/>
        <v>#NUM!</v>
      </c>
      <c r="BS154" s="3">
        <f t="shared" ref="BS154:BS189" ca="1" si="622">+$A$84*$A$84*AU154*BL154-$A$84*$A$84*AV154*BM154</f>
        <v>243762.5179433884</v>
      </c>
      <c r="BT154" s="3" t="str">
        <f t="shared" ca="1" si="548"/>
        <v/>
      </c>
      <c r="BU154" s="3">
        <f t="shared" ref="BU154:BU189" ca="1" si="623">+$A$84*$A$84*AW154*BN154-$A$84*$A$84*AX154*BO154</f>
        <v>258700.58590256399</v>
      </c>
      <c r="BV154" s="3" t="str">
        <f t="shared" ca="1" si="548"/>
        <v/>
      </c>
      <c r="BX154" s="3" t="e">
        <f t="shared" ca="1" si="582"/>
        <v>#NUM!</v>
      </c>
      <c r="BY154" s="3" t="e">
        <f t="shared" ca="1" si="583"/>
        <v>#NUM!</v>
      </c>
      <c r="BZ154" s="3">
        <f t="shared" ca="1" si="584"/>
        <v>1117.7485693852086</v>
      </c>
      <c r="CA154" s="3" t="str">
        <f t="shared" ca="1" si="583"/>
        <v/>
      </c>
      <c r="CB154" s="3">
        <f t="shared" ca="1" si="585"/>
        <v>-12.08127389279872</v>
      </c>
      <c r="CC154" s="3" t="str">
        <f t="shared" ca="1" si="583"/>
        <v>Cruce -</v>
      </c>
      <c r="CD154" s="3">
        <f>IF(RTD("tos.rtd",,CD$43,"."&amp;$B$134&amp;$AS$82&amp;"C"&amp;$A154)="N/A",0,RTD("tos.rtd",,CD$43,"."&amp;$B$134&amp;$AS$82&amp;"C"&amp;$A154))</f>
        <v>0.14000000000000001</v>
      </c>
      <c r="CE154" s="3">
        <f>-IF(RTD("tos.rtd",,CE$43,"."&amp;$B$134&amp;$AS$82&amp;"P"&amp;$A154)="N/A",0,RTD("tos.rtd",,CE$43,"."&amp;$B$134&amp;$AS$82&amp;"P"&amp;$A154))</f>
        <v>0.93</v>
      </c>
      <c r="CF154" s="3">
        <f>IF(RTD("tos.rtd",,CF$2,"."&amp;$C$134&amp;$AU$82&amp;"C"&amp;$A154)="N/A",0,RTD("tos.rtd",,CF$2,"."&amp;$C$134&amp;$AU$82&amp;"C"&amp;$A154))</f>
        <v>0.36</v>
      </c>
      <c r="CG154" s="3">
        <f>-IF(RTD("tos.rtd",,CG$2,"."&amp;$C$134&amp;$AU$82&amp;"P"&amp;$A154)="N/A",0,RTD("tos.rtd",,CG$2,"."&amp;$C$134&amp;$AU$82&amp;"P"&amp;$A154))</f>
        <v>0.68</v>
      </c>
      <c r="CH154" s="3">
        <f>IF(RTD("tos.rtd",,CH$2,"."&amp;$D$134&amp;$AW$82&amp;"C"&amp;$A154)="N/A",0,RTD("tos.rtd",,CH$2,"."&amp;$D$134&amp;$AW$82&amp;"C"&amp;$A154))</f>
        <v>0.43</v>
      </c>
      <c r="CI154" s="3">
        <f>-IF(RTD("tos.rtd",,CI$2,"."&amp;$D$134&amp;$AW$82&amp;"P"&amp;$A154)="N/A",0,RTD("tos.rtd",,CI$2,"."&amp;$D$134&amp;$AW$82&amp;"P"&amp;$A154))</f>
        <v>0.56999999999999995</v>
      </c>
      <c r="CK154" s="3">
        <f t="shared" si="616"/>
        <v>-46</v>
      </c>
      <c r="CL154" s="3"/>
      <c r="CM154" s="3">
        <f t="shared" si="617"/>
        <v>328</v>
      </c>
      <c r="CN154" s="3"/>
      <c r="CO154" s="3">
        <f t="shared" si="618"/>
        <v>80.000000000000227</v>
      </c>
      <c r="CP154" s="3">
        <f t="shared" si="539"/>
        <v>362.00000000000023</v>
      </c>
      <c r="CQ154" s="3">
        <f t="shared" si="549"/>
        <v>169</v>
      </c>
      <c r="CR154" s="3"/>
      <c r="CS154" s="3">
        <f t="shared" si="550"/>
        <v>6</v>
      </c>
      <c r="CT154" s="3"/>
      <c r="CU154" s="3">
        <f t="shared" si="551"/>
        <v>0</v>
      </c>
      <c r="CV154" s="3"/>
      <c r="CW154" s="3" t="e">
        <f t="shared" ca="1" si="552"/>
        <v>#NUM!</v>
      </c>
      <c r="CY154" s="3" t="e">
        <f t="shared" ca="1" si="553"/>
        <v>#NUM!</v>
      </c>
      <c r="CZ154" s="70" t="e">
        <f t="shared" ca="1" si="586"/>
        <v>#NUM!</v>
      </c>
      <c r="DA154" s="3">
        <f>IF(RTD("tos.rtd",,DA$43,"."&amp;$B$134&amp;$AS$82&amp;"C"&amp;$A154)="N/A",0,RTD("tos.rtd",,DA$43,"."&amp;$B$134&amp;$AS$82&amp;"C"&amp;$A154))</f>
        <v>0.67</v>
      </c>
      <c r="DB154" s="3">
        <f>IF(RTD("tos.rtd",,DB$43,"."&amp;$B$134&amp;$AS$82&amp;"P"&amp;$A154)="N/A",0,RTD("tos.rtd",,DB$43,"."&amp;$B$134&amp;$AS$82&amp;"P"&amp;$A154))</f>
        <v>221.4</v>
      </c>
      <c r="DC154" s="3">
        <f>IF(RTD("tos.rtd",,DC$43,"."&amp;$B$134&amp;$AS$82&amp;"C"&amp;$A154)="N/A",0,RTD("tos.rtd",,DC$43,"."&amp;$B$134&amp;$AS$82&amp;"C"&amp;$A154))</f>
        <v>19.8</v>
      </c>
      <c r="DD154" s="3">
        <f>IF(RTD("tos.rtd",,DD$43,"."&amp;$B$134&amp;$AS$82&amp;"P"&amp;$A154)="N/A",0,RTD("tos.rtd",,DD$43,"."&amp;$B$134&amp;$AS$82&amp;"P"&amp;$A154))</f>
        <v>170</v>
      </c>
      <c r="DE154" s="3">
        <f>IF(RTD("tos.rtd",,DE$43,"."&amp;$B$134&amp;$AS$82&amp;"C"&amp;$A154)="N/A",0,RTD("tos.rtd",,DE$43,"."&amp;$B$134&amp;$AS$82&amp;"C"&amp;$A154))</f>
        <v>0</v>
      </c>
      <c r="DF154" s="3">
        <f>IF(RTD("tos.rtd",,DF$43,"."&amp;$B$134&amp;$AS$82&amp;"P"&amp;$A154)="N/A",0,RTD("tos.rtd",,DF$43,"."&amp;$B$134&amp;$AS$82&amp;"P"&amp;$A154))</f>
        <v>150.4</v>
      </c>
      <c r="DG154" s="86">
        <f t="shared" si="587"/>
        <v>157.02699999999822</v>
      </c>
      <c r="DH154" s="3">
        <f t="shared" si="554"/>
        <v>0</v>
      </c>
      <c r="DI154" s="3">
        <f t="shared" si="555"/>
        <v>0</v>
      </c>
      <c r="DJ154" s="3">
        <f t="shared" si="556"/>
        <v>0</v>
      </c>
      <c r="DK154" s="3">
        <f t="shared" si="557"/>
        <v>0</v>
      </c>
      <c r="DL154" s="3">
        <f t="shared" si="558"/>
        <v>0</v>
      </c>
      <c r="DM154" s="3">
        <f t="shared" si="559"/>
        <v>0</v>
      </c>
      <c r="DN154" s="64" t="str">
        <f t="shared" si="560"/>
        <v>UNKNOWN</v>
      </c>
      <c r="DO154" s="64" t="str">
        <f t="shared" si="561"/>
        <v>UNKNOWN</v>
      </c>
      <c r="DP154" s="3">
        <f t="shared" si="562"/>
        <v>0</v>
      </c>
      <c r="DQ154" s="3">
        <f t="shared" si="563"/>
        <v>0</v>
      </c>
      <c r="DR154" s="3" t="e">
        <f t="shared" ca="1" si="564"/>
        <v>#NUM!</v>
      </c>
      <c r="DS154" s="3">
        <f t="shared" si="565"/>
        <v>0</v>
      </c>
      <c r="DT154" s="3">
        <f t="shared" si="588"/>
        <v>0</v>
      </c>
      <c r="DU154" s="3">
        <f t="shared" si="589"/>
        <v>0</v>
      </c>
      <c r="DV154" s="3">
        <f t="shared" si="566"/>
        <v>85</v>
      </c>
      <c r="DW154" s="3">
        <f t="shared" si="567"/>
        <v>0</v>
      </c>
      <c r="DX154" s="3" t="e">
        <f t="shared" ca="1" si="568"/>
        <v>#NUM!</v>
      </c>
      <c r="DY154" s="3" t="e">
        <f t="shared" ca="1" si="569"/>
        <v>#NUM!</v>
      </c>
      <c r="DZ154" s="3">
        <f t="shared" ca="1" si="570"/>
        <v>7.8596376361390983E-4</v>
      </c>
      <c r="EA154" s="3">
        <f t="shared" ca="1" si="571"/>
        <v>-9.5867569956158106E-4</v>
      </c>
      <c r="EB154" s="3">
        <f t="shared" ca="1" si="572"/>
        <v>9.4322627278991351E-4</v>
      </c>
      <c r="EC154" s="3">
        <f t="shared" ca="1" si="573"/>
        <v>-9.9419718212379331E-4</v>
      </c>
      <c r="ED154" s="63">
        <f t="shared" si="590"/>
        <v>85</v>
      </c>
      <c r="EE154" s="59">
        <f t="shared" si="574"/>
        <v>0.9506</v>
      </c>
      <c r="EF154" s="59">
        <f t="shared" si="575"/>
        <v>0.7026</v>
      </c>
      <c r="EG154" s="59">
        <f t="shared" si="576"/>
        <v>0.29930000000000001</v>
      </c>
      <c r="EH154" s="59">
        <f t="shared" si="577"/>
        <v>0.2387</v>
      </c>
      <c r="EI154" s="59">
        <f t="shared" si="578"/>
        <v>0.24329999999999999</v>
      </c>
      <c r="EJ154" s="59">
        <f t="shared" si="579"/>
        <v>0.2286</v>
      </c>
      <c r="EL154" s="3" t="str">
        <f>RTD("tos.rtd",,EL$43,"."&amp;$B$134&amp;$AS$82&amp;"C"&amp;$A154)</f>
        <v>95.06%</v>
      </c>
      <c r="EM154" s="3" t="str">
        <f>RTD("tos.rtd",,EM$43,"."&amp;$B$134&amp;$AS$82&amp;"P"&amp;$A154)</f>
        <v>70.26%</v>
      </c>
      <c r="EN154" s="3" t="str">
        <f>RTD("tos.rtd",,EN$2,"."&amp;$C$134&amp;$AU$82&amp;"C"&amp;$A154)</f>
        <v>29.93%</v>
      </c>
      <c r="EO154" s="3" t="str">
        <f>RTD("tos.rtd",,EO$2,"."&amp;$C$134&amp;$AU$82&amp;"P"&amp;$A154)</f>
        <v>23.87%</v>
      </c>
      <c r="EP154" s="3" t="str">
        <f>RTD("tos.rtd",,EP$2,"."&amp;$D$134&amp;$AW$82&amp;"C"&amp;$A154)</f>
        <v>24.33%</v>
      </c>
      <c r="EQ154" s="3" t="str">
        <f>RTD("tos.rtd",,EQ$2,"."&amp;$D$134&amp;$AW$82&amp;"P"&amp;$A154)</f>
        <v>22.86%</v>
      </c>
      <c r="ES154" s="63" t="str">
        <f t="shared" si="580"/>
        <v>20025,85.00</v>
      </c>
      <c r="ET154" s="64" t="str">
        <f t="shared" ca="1" si="581"/>
        <v>20025,00.00</v>
      </c>
      <c r="EU154" s="68">
        <v>562.16</v>
      </c>
      <c r="EV154" s="68" t="s">
        <v>1252</v>
      </c>
      <c r="EW154" s="68">
        <v>484.61</v>
      </c>
      <c r="EX154" s="68" t="s">
        <v>1253</v>
      </c>
      <c r="EY154" s="68">
        <v>5635.25</v>
      </c>
      <c r="EZ154" s="68" t="s">
        <v>1254</v>
      </c>
      <c r="FA154" s="68">
        <v>19906</v>
      </c>
      <c r="FB154" s="68" t="s">
        <v>1255</v>
      </c>
      <c r="FC154" s="68" t="s">
        <v>1256</v>
      </c>
      <c r="FD154" s="68" t="s">
        <v>1257</v>
      </c>
      <c r="FE154" s="68" t="s">
        <v>1258</v>
      </c>
      <c r="FF154" s="68" t="s">
        <v>1259</v>
      </c>
    </row>
    <row r="155" spans="1:162" ht="11.1" customHeight="1" thickBot="1" x14ac:dyDescent="0.25">
      <c r="A155" s="2">
        <f t="shared" si="591"/>
        <v>20000</v>
      </c>
      <c r="B155" s="3">
        <f t="shared" ref="B155:B189" si="624">+IF($A$1="ABS",AS155-AT155,AS155+AT155)</f>
        <v>57</v>
      </c>
      <c r="C155" s="3">
        <f t="shared" ref="C155:C189" si="625">+IF($A$1="ABS",AU155-AV155,AU155+AV155)</f>
        <v>48</v>
      </c>
      <c r="D155" s="3">
        <f t="shared" ref="D155:D189" si="626">+IF($A$1="ABS",AW155-AX155,AW155+AX155)</f>
        <v>264</v>
      </c>
      <c r="E155" s="3">
        <f t="shared" si="609"/>
        <v>369</v>
      </c>
      <c r="F155" s="4">
        <f t="shared" si="619"/>
        <v>20229.542288989418</v>
      </c>
      <c r="G155" s="5">
        <f t="shared" si="611"/>
        <v>490.0852240940734</v>
      </c>
      <c r="AM155" s="1">
        <v>580</v>
      </c>
      <c r="AN155" s="1">
        <v>-1</v>
      </c>
      <c r="AO155" s="1">
        <v>20000</v>
      </c>
      <c r="AP155" s="1">
        <v>1878</v>
      </c>
      <c r="AQ155" s="1">
        <v>-25</v>
      </c>
      <c r="AS155" s="54">
        <f>IF(RTD("tos.rtd",,AS$83,"."&amp;$B$134&amp;$AS$82&amp;"C"&amp;$A155)="N/A",0,RTD("tos.rtd",,AS$83,"."&amp;$B$134&amp;$AS$82&amp;"C"&amp;$A155))</f>
        <v>47</v>
      </c>
      <c r="AT155" s="3">
        <f>-IF(RTD("tos.rtd",,AT$83,"."&amp;$B$134&amp;$AS$82&amp;"P"&amp;$A155)="N/A",0,RTD("tos.rtd",,AT$83,"."&amp;$B$134&amp;$AS$82&amp;"P"&amp;$A155))</f>
        <v>-10</v>
      </c>
      <c r="AU155" s="54">
        <f>IF(RTD("tos.rtd",,AU$2,"."&amp;$C$134&amp;$AU$134&amp;"C"&amp;$A155)="N/A",0,RTD("tos.rtd",,AU$2,"."&amp;$C$134&amp;$AU$134&amp;"C"&amp;$A155))</f>
        <v>38</v>
      </c>
      <c r="AV155" s="3">
        <f>-IF(RTD("tos.rtd",,AV$2,"."&amp;$C$134&amp;$AU$134&amp;"P"&amp;$A155)="N/A",0,RTD("tos.rtd",,AV$2,"."&amp;$C$134&amp;$AU$134&amp;"P"&amp;$A155))</f>
        <v>-10</v>
      </c>
      <c r="AW155" s="54">
        <f>IF(RTD("tos.rtd",,AW$2,"."&amp;$D$134&amp;$AW$134&amp;"C"&amp;$A155)="N/A",0,RTD("tos.rtd",,AW$2,"."&amp;$D$134&amp;$AW$134&amp;"C"&amp;$A155))</f>
        <v>145</v>
      </c>
      <c r="AX155" s="3">
        <f>-IF(RTD("tos.rtd",,AX$2,"."&amp;$D$134&amp;$AW$134&amp;"P"&amp;$A155)="N/A",0,RTD("tos.rtd",,AX$2,"."&amp;$D$134&amp;$AW$134&amp;"P"&amp;$A155))</f>
        <v>-119</v>
      </c>
      <c r="AY155" s="76">
        <f t="shared" si="620"/>
        <v>91</v>
      </c>
      <c r="AZ155" s="8">
        <f t="shared" si="545"/>
        <v>20000</v>
      </c>
      <c r="BA155" s="54">
        <f>IF(RTD("tos.rtd",,BA$43,"."&amp;$B$134&amp;$AS$82&amp;"C"&amp;$A155)="N/A",0,RTD("tos.rtd",,BA$43,"."&amp;$B$134&amp;$AS$82&amp;"C"&amp;$A155))</f>
        <v>1878</v>
      </c>
      <c r="BB155" s="3">
        <f>-IF(RTD("tos.rtd",,BB$43,"."&amp;$B$134&amp;$AS$82&amp;"P"&amp;$A155)="N/A",0,RTD("tos.rtd",,BB$43,"."&amp;$B$134&amp;$AS$82&amp;"P"&amp;$A155))</f>
        <v>-25</v>
      </c>
      <c r="BC155" s="54">
        <f>IF(RTD("tos.rtd",,BC$2,"."&amp;$C$134&amp;$AU$82&amp;"C"&amp;$A155)="N/A",0,RTD("tos.rtd",,BC$2,"."&amp;$C$134&amp;$AU$82&amp;"C"&amp;$A155))</f>
        <v>54</v>
      </c>
      <c r="BD155" s="3">
        <f>-IF(RTD("tos.rtd",,BD$2,"."&amp;$C$134&amp;$AU$82&amp;"P"&amp;$A155)="N/A",0,RTD("tos.rtd",,BD$2,"."&amp;$C$134&amp;$AU$82&amp;"P"&amp;$A155))</f>
        <v>-3</v>
      </c>
      <c r="BE155" s="54">
        <f>IF(RTD("tos.rtd",,BE$2,"."&amp;$D$134&amp;$AW$82&amp;"C"&amp;$A155)="N/A",0,RTD("tos.rtd",,BE$2,"."&amp;$D$134&amp;$AW$82&amp;"C"&amp;$A155))</f>
        <v>27</v>
      </c>
      <c r="BF155" s="3">
        <f>-IF(RTD("tos.rtd",,BF$2,"."&amp;$D$134&amp;$AW$82&amp;"P"&amp;$A155)="N/A",0,RTD("tos.rtd",,BF$2,"."&amp;$D$134&amp;$AW$82&amp;"P"&amp;$A155))</f>
        <v>-12</v>
      </c>
      <c r="BG155" s="3">
        <f ca="1">+Hoja2!Y156</f>
        <v>3</v>
      </c>
      <c r="BH155" s="7">
        <f t="shared" ca="1" si="546"/>
        <v>1922</v>
      </c>
      <c r="BI155" s="32" t="str">
        <f t="shared" ca="1" si="605"/>
        <v/>
      </c>
      <c r="BJ155" s="3" t="e">
        <f ca="1">IF($BP$1=1,DX155,IF(RTD("tos.rtd",,BJ$43,"."&amp;$B$134&amp;$AS$82&amp;"C"&amp;$A155)="N/A",0,RTD("tos.rtd",,BJ$43,"."&amp;$B$134&amp;$AS$82&amp;"C"&amp;$A155)))</f>
        <v>#NUM!</v>
      </c>
      <c r="BK155" s="3" t="e">
        <f ca="1">IF($BP$1=1,DY155,-IF(RTD("tos.rtd",,BK$43,"."&amp;$B$134&amp;$AS$82&amp;"P"&amp;$A155)="N/A",0,RTD("tos.rtd",,BK$43,"."&amp;$B$134&amp;$AS$82&amp;"P"&amp;$A155)))</f>
        <v>#NUM!</v>
      </c>
      <c r="BL155" s="3">
        <f ca="1">IF($BP$1=1,DZ155,IF(RTD("tos.rtd",,BL$2,"."&amp;$C$134&amp;$AU$82&amp;"C"&amp;$A155)="N/A",0,RTD("tos.rtd",,BL$2,"."&amp;$C$134&amp;$AU$82&amp;"C"&amp;$A155)))</f>
        <v>7.8913544230247768E-4</v>
      </c>
      <c r="BM155" s="3">
        <f ca="1">IF($BP$1=1,EA155,-IF(RTD("tos.rtd",,BM$2,"."&amp;$C$134&amp;$AU$82&amp;"P"&amp;$A155)="N/A",0,RTD("tos.rtd",,BM$2,"."&amp;$C$134&amp;$AU$82&amp;"P"&amp;$A155)))</f>
        <v>-9.6473402524058921E-4</v>
      </c>
      <c r="BN155" s="3">
        <f ca="1">IF($BP$1=1,EB155,IF(RTD("tos.rtd",,BN$2,"."&amp;$D$134&amp;$AW$82&amp;"C"&amp;$A155)="N/A",0,RTD("tos.rtd",,BN$2,"."&amp;$D$134&amp;$AW$82&amp;"C"&amp;$A155)))</f>
        <v>9.5800527458774919E-4</v>
      </c>
      <c r="BO155" s="3">
        <f ca="1">IF($BP$1=1,EC155,-IF(RTD("tos.rtd",,BO$2,"."&amp;$D$134&amp;$AW$82&amp;"P"&amp;$A155)="N/A",0,RTD("tos.rtd",,BO$2,"."&amp;$D$134&amp;$AW$82&amp;"P"&amp;$A155)))</f>
        <v>-1.0128388558868406E-3</v>
      </c>
      <c r="BQ155" s="3" t="e">
        <f t="shared" ca="1" si="621"/>
        <v>#NUM!</v>
      </c>
      <c r="BR155" s="3" t="e">
        <f t="shared" ca="1" si="547"/>
        <v>#NUM!</v>
      </c>
      <c r="BS155" s="3">
        <f t="shared" ca="1" si="622"/>
        <v>645002.0012846333</v>
      </c>
      <c r="BT155" s="3" t="str">
        <f t="shared" ca="1" si="548"/>
        <v/>
      </c>
      <c r="BU155" s="3">
        <f t="shared" ca="1" si="623"/>
        <v>582947.22123381635</v>
      </c>
      <c r="BV155" s="3" t="str">
        <f t="shared" ca="1" si="548"/>
        <v/>
      </c>
      <c r="BX155" s="3" t="e">
        <f t="shared" ca="1" si="582"/>
        <v>#NUM!</v>
      </c>
      <c r="BY155" s="3" t="e">
        <f t="shared" ca="1" si="583"/>
        <v>#NUM!</v>
      </c>
      <c r="BZ155" s="3">
        <f t="shared" ca="1" si="584"/>
        <v>9414.3399599814838</v>
      </c>
      <c r="CA155" s="3" t="str">
        <f t="shared" ca="1" si="583"/>
        <v/>
      </c>
      <c r="CB155" s="3">
        <f t="shared" ca="1" si="585"/>
        <v>3250.0763610102258</v>
      </c>
      <c r="CC155" s="3" t="str">
        <f t="shared" ca="1" si="583"/>
        <v>Cruce +</v>
      </c>
      <c r="CD155" s="3">
        <f>IF(RTD("tos.rtd",,CD$43,"."&amp;$B$134&amp;$AS$82&amp;"C"&amp;$A155)="N/A",0,RTD("tos.rtd",,CD$43,"."&amp;$B$134&amp;$AS$82&amp;"C"&amp;$A155))</f>
        <v>0</v>
      </c>
      <c r="CE155" s="3">
        <f>-IF(RTD("tos.rtd",,CE$43,"."&amp;$B$134&amp;$AS$82&amp;"P"&amp;$A155)="N/A",0,RTD("tos.rtd",,CE$43,"."&amp;$B$134&amp;$AS$82&amp;"P"&amp;$A155))</f>
        <v>0.93</v>
      </c>
      <c r="CF155" s="3">
        <f>IF(RTD("tos.rtd",,CF$2,"."&amp;$C$134&amp;$AU$82&amp;"C"&amp;$A155)="N/A",0,RTD("tos.rtd",,CF$2,"."&amp;$C$134&amp;$AU$82&amp;"C"&amp;$A155))</f>
        <v>0.38</v>
      </c>
      <c r="CG155" s="3">
        <f>-IF(RTD("tos.rtd",,CG$2,"."&amp;$C$134&amp;$AU$82&amp;"P"&amp;$A155)="N/A",0,RTD("tos.rtd",,CG$2,"."&amp;$C$134&amp;$AU$82&amp;"P"&amp;$A155))</f>
        <v>0.65</v>
      </c>
      <c r="CH155" s="3">
        <f>IF(RTD("tos.rtd",,CH$2,"."&amp;$D$134&amp;$AW$82&amp;"C"&amp;$A155)="N/A",0,RTD("tos.rtd",,CH$2,"."&amp;$D$134&amp;$AW$82&amp;"C"&amp;$A155))</f>
        <v>0.45</v>
      </c>
      <c r="CI155" s="3">
        <f>-IF(RTD("tos.rtd",,CI$2,"."&amp;$D$134&amp;$AW$82&amp;"P"&amp;$A155)="N/A",0,RTD("tos.rtd",,CI$2,"."&amp;$D$134&amp;$AW$82&amp;"P"&amp;$A155))</f>
        <v>0.56000000000000005</v>
      </c>
      <c r="CK155" s="3">
        <f t="shared" si="616"/>
        <v>-930.00000000000011</v>
      </c>
      <c r="CL155" s="3"/>
      <c r="CM155" s="3">
        <f t="shared" si="617"/>
        <v>794</v>
      </c>
      <c r="CN155" s="3"/>
      <c r="CO155" s="3">
        <f t="shared" si="618"/>
        <v>-139</v>
      </c>
      <c r="CP155" s="3">
        <f t="shared" si="539"/>
        <v>-275.00000000000011</v>
      </c>
      <c r="CQ155" s="3">
        <f t="shared" si="549"/>
        <v>1853</v>
      </c>
      <c r="CR155" s="3"/>
      <c r="CS155" s="3">
        <f t="shared" si="550"/>
        <v>51</v>
      </c>
      <c r="CT155" s="3"/>
      <c r="CU155" s="3">
        <f t="shared" si="551"/>
        <v>15</v>
      </c>
      <c r="CV155" s="3"/>
      <c r="CW155" s="3" t="e">
        <f t="shared" ca="1" si="552"/>
        <v>#NUM!</v>
      </c>
      <c r="CY155" s="3" t="e">
        <f t="shared" ca="1" si="553"/>
        <v>#NUM!</v>
      </c>
      <c r="CZ155" s="70" t="e">
        <f t="shared" ca="1" si="586"/>
        <v>#NUM!</v>
      </c>
      <c r="DA155" s="3">
        <f>IF(RTD("tos.rtd",,DA$43,"."&amp;$B$134&amp;$AS$82&amp;"C"&amp;$A155)="N/A",0,RTD("tos.rtd",,DA$43,"."&amp;$B$134&amp;$AS$82&amp;"C"&amp;$A155))</f>
        <v>0.05</v>
      </c>
      <c r="DB155" s="3">
        <f>IF(RTD("tos.rtd",,DB$43,"."&amp;$B$134&amp;$AS$82&amp;"P"&amp;$A155)="N/A",0,RTD("tos.rtd",,DB$43,"."&amp;$B$134&amp;$AS$82&amp;"P"&amp;$A155))</f>
        <v>311.58</v>
      </c>
      <c r="DC155" s="3">
        <f>IF(RTD("tos.rtd",,DC$43,"."&amp;$B$134&amp;$AS$82&amp;"C"&amp;$A155)="N/A",0,RTD("tos.rtd",,DC$43,"."&amp;$B$134&amp;$AS$82&amp;"C"&amp;$A155))</f>
        <v>0.05</v>
      </c>
      <c r="DD155" s="3">
        <f>IF(RTD("tos.rtd",,DD$43,"."&amp;$B$134&amp;$AS$82&amp;"P"&amp;$A155)="N/A",0,RTD("tos.rtd",,DD$43,"."&amp;$B$134&amp;$AS$82&amp;"P"&amp;$A155))</f>
        <v>144</v>
      </c>
      <c r="DE155" s="3">
        <f>IF(RTD("tos.rtd",,DE$43,"."&amp;$B$134&amp;$AS$82&amp;"C"&amp;$A155)="N/A",0,RTD("tos.rtd",,DE$43,"."&amp;$B$134&amp;$AS$82&amp;"C"&amp;$A155))</f>
        <v>0</v>
      </c>
      <c r="DF155" s="3">
        <f>IF(RTD("tos.rtd",,DF$43,"."&amp;$B$134&amp;$AS$82&amp;"P"&amp;$A155)="N/A",0,RTD("tos.rtd",,DF$43,"."&amp;$B$134&amp;$AS$82&amp;"P"&amp;$A155))</f>
        <v>125.4</v>
      </c>
      <c r="DG155" s="86">
        <f t="shared" si="587"/>
        <v>132.02699999999822</v>
      </c>
      <c r="DH155" s="3">
        <f t="shared" si="554"/>
        <v>0</v>
      </c>
      <c r="DI155" s="3">
        <f t="shared" si="555"/>
        <v>0</v>
      </c>
      <c r="DJ155" s="3">
        <f t="shared" si="556"/>
        <v>0</v>
      </c>
      <c r="DK155" s="3">
        <f t="shared" si="557"/>
        <v>0</v>
      </c>
      <c r="DL155" s="3">
        <f t="shared" si="558"/>
        <v>0</v>
      </c>
      <c r="DM155" s="3">
        <f t="shared" si="559"/>
        <v>0</v>
      </c>
      <c r="DN155" s="64" t="str">
        <f t="shared" si="560"/>
        <v>UNKNOWN</v>
      </c>
      <c r="DO155" s="64" t="str">
        <f t="shared" si="561"/>
        <v>UNKNOWN</v>
      </c>
      <c r="DP155" s="3">
        <f t="shared" si="562"/>
        <v>0</v>
      </c>
      <c r="DQ155" s="3">
        <f t="shared" si="563"/>
        <v>0</v>
      </c>
      <c r="DR155" s="3" t="e">
        <f t="shared" ca="1" si="564"/>
        <v>#NUM!</v>
      </c>
      <c r="DS155" s="3">
        <f t="shared" si="565"/>
        <v>0</v>
      </c>
      <c r="DT155" s="3">
        <f t="shared" si="588"/>
        <v>0</v>
      </c>
      <c r="DU155" s="3">
        <f t="shared" si="589"/>
        <v>0</v>
      </c>
      <c r="DV155" s="3">
        <f t="shared" si="566"/>
        <v>580</v>
      </c>
      <c r="DW155" s="3">
        <f t="shared" si="567"/>
        <v>-1</v>
      </c>
      <c r="DX155" s="3" t="e">
        <f t="shared" ca="1" si="568"/>
        <v>#NUM!</v>
      </c>
      <c r="DY155" s="3" t="e">
        <f t="shared" ca="1" si="569"/>
        <v>#NUM!</v>
      </c>
      <c r="DZ155" s="3">
        <f t="shared" ca="1" si="570"/>
        <v>7.8913544230247768E-4</v>
      </c>
      <c r="EA155" s="3">
        <f t="shared" ca="1" si="571"/>
        <v>-9.6473402524058921E-4</v>
      </c>
      <c r="EB155" s="3">
        <f t="shared" ca="1" si="572"/>
        <v>9.5800527458774919E-4</v>
      </c>
      <c r="EC155" s="3">
        <f t="shared" ca="1" si="573"/>
        <v>-1.0128388558868406E-3</v>
      </c>
      <c r="ED155" s="63">
        <f t="shared" si="590"/>
        <v>579</v>
      </c>
      <c r="EE155" s="59">
        <f t="shared" si="574"/>
        <v>0.30270000000000002</v>
      </c>
      <c r="EF155" s="59">
        <f t="shared" si="575"/>
        <v>0.59179999999999999</v>
      </c>
      <c r="EG155" s="59">
        <f t="shared" si="576"/>
        <v>0.30249999999999999</v>
      </c>
      <c r="EH155" s="59">
        <f t="shared" si="577"/>
        <v>0.24299999999999999</v>
      </c>
      <c r="EI155" s="59">
        <f t="shared" si="578"/>
        <v>0.24490000000000001</v>
      </c>
      <c r="EJ155" s="59">
        <f t="shared" si="579"/>
        <v>0.2301</v>
      </c>
      <c r="EL155" s="3" t="str">
        <f>RTD("tos.rtd",,EL$43,"."&amp;$B$134&amp;$AS$82&amp;"C"&amp;$A155)</f>
        <v>30.27%</v>
      </c>
      <c r="EM155" s="3" t="str">
        <f>RTD("tos.rtd",,EM$43,"."&amp;$B$134&amp;$AS$82&amp;"P"&amp;$A155)</f>
        <v>59.18%</v>
      </c>
      <c r="EN155" s="3" t="str">
        <f>RTD("tos.rtd",,EN$2,"."&amp;$C$134&amp;$AU$82&amp;"C"&amp;$A155)</f>
        <v>30.25%</v>
      </c>
      <c r="EO155" s="3" t="str">
        <f>RTD("tos.rtd",,EO$2,"."&amp;$C$134&amp;$AU$82&amp;"P"&amp;$A155)</f>
        <v>24.30%</v>
      </c>
      <c r="EP155" s="3" t="str">
        <f>RTD("tos.rtd",,EP$2,"."&amp;$D$134&amp;$AW$82&amp;"C"&amp;$A155)</f>
        <v>24.49%</v>
      </c>
      <c r="EQ155" s="3" t="str">
        <f>RTD("tos.rtd",,EQ$2,"."&amp;$D$134&amp;$AW$82&amp;"P"&amp;$A155)</f>
        <v>23.01%</v>
      </c>
      <c r="ES155" s="63" t="str">
        <f t="shared" si="580"/>
        <v>20000,579.00</v>
      </c>
      <c r="ET155" s="64" t="str">
        <f t="shared" ca="1" si="581"/>
        <v>20000,00.00</v>
      </c>
      <c r="EU155" s="68">
        <v>562.35</v>
      </c>
      <c r="EV155" s="68" t="s">
        <v>1260</v>
      </c>
      <c r="EW155" s="68">
        <v>484.88</v>
      </c>
      <c r="EX155" s="68" t="s">
        <v>1261</v>
      </c>
      <c r="EY155" s="68">
        <v>5637.75</v>
      </c>
      <c r="EZ155" s="68" t="s">
        <v>1262</v>
      </c>
      <c r="FA155" s="68">
        <v>19917.75</v>
      </c>
      <c r="FB155" s="68" t="s">
        <v>1263</v>
      </c>
      <c r="FC155" s="68" t="s">
        <v>1264</v>
      </c>
      <c r="FD155" s="68" t="s">
        <v>1265</v>
      </c>
      <c r="FE155" s="68" t="s">
        <v>1266</v>
      </c>
      <c r="FF155" s="68" t="s">
        <v>1267</v>
      </c>
    </row>
    <row r="156" spans="1:162" ht="11.1" customHeight="1" thickBot="1" x14ac:dyDescent="0.25">
      <c r="A156" s="2">
        <f t="shared" si="591"/>
        <v>19975</v>
      </c>
      <c r="B156" s="3">
        <f t="shared" si="624"/>
        <v>105</v>
      </c>
      <c r="C156" s="3">
        <f t="shared" si="625"/>
        <v>10</v>
      </c>
      <c r="D156" s="3">
        <f t="shared" si="626"/>
        <v>24</v>
      </c>
      <c r="E156" s="3">
        <f t="shared" si="609"/>
        <v>139</v>
      </c>
      <c r="F156" s="4">
        <f t="shared" si="619"/>
        <v>20204.255361128184</v>
      </c>
      <c r="G156" s="5">
        <f t="shared" si="611"/>
        <v>489.47261756395579</v>
      </c>
      <c r="AM156" s="1">
        <v>-168</v>
      </c>
      <c r="AN156" s="1">
        <v>1</v>
      </c>
      <c r="AO156" s="1">
        <v>19975</v>
      </c>
      <c r="AP156" s="1">
        <v>256</v>
      </c>
      <c r="AQ156" s="1">
        <v>-23</v>
      </c>
      <c r="AS156" s="54">
        <f>IF(RTD("tos.rtd",,AS$83,"."&amp;$B$134&amp;$AS$82&amp;"C"&amp;$A156)="N/A",0,RTD("tos.rtd",,AS$83,"."&amp;$B$134&amp;$AS$82&amp;"C"&amp;$A156))</f>
        <v>100</v>
      </c>
      <c r="AT156" s="3">
        <f>-IF(RTD("tos.rtd",,AT$83,"."&amp;$B$134&amp;$AS$82&amp;"P"&amp;$A156)="N/A",0,RTD("tos.rtd",,AT$83,"."&amp;$B$134&amp;$AS$82&amp;"P"&amp;$A156))</f>
        <v>-5</v>
      </c>
      <c r="AU156" s="54">
        <f>IF(RTD("tos.rtd",,AU$2,"."&amp;$C$134&amp;$AU$134&amp;"C"&amp;$A156)="N/A",0,RTD("tos.rtd",,AU$2,"."&amp;$C$134&amp;$AU$134&amp;"C"&amp;$A156))</f>
        <v>3</v>
      </c>
      <c r="AV156" s="3">
        <f>-IF(RTD("tos.rtd",,AV$2,"."&amp;$C$134&amp;$AU$134&amp;"P"&amp;$A156)="N/A",0,RTD("tos.rtd",,AV$2,"."&amp;$C$134&amp;$AU$134&amp;"P"&amp;$A156))</f>
        <v>-7</v>
      </c>
      <c r="AW156" s="54">
        <f>IF(RTD("tos.rtd",,AW$2,"."&amp;$D$134&amp;$AW$134&amp;"C"&amp;$A156)="N/A",0,RTD("tos.rtd",,AW$2,"."&amp;$D$134&amp;$AW$134&amp;"C"&amp;$A156))</f>
        <v>18</v>
      </c>
      <c r="AX156" s="3">
        <f>-IF(RTD("tos.rtd",,AX$2,"."&amp;$D$134&amp;$AW$134&amp;"P"&amp;$A156)="N/A",0,RTD("tos.rtd",,AX$2,"."&amp;$D$134&amp;$AW$134&amp;"P"&amp;$A156))</f>
        <v>-6</v>
      </c>
      <c r="AY156" s="76">
        <f t="shared" si="620"/>
        <v>103</v>
      </c>
      <c r="AZ156" s="8">
        <f t="shared" si="545"/>
        <v>19975</v>
      </c>
      <c r="BA156" s="54">
        <f>IF(RTD("tos.rtd",,BA$43,"."&amp;$B$134&amp;$AS$82&amp;"C"&amp;$A156)="N/A",0,RTD("tos.rtd",,BA$43,"."&amp;$B$134&amp;$AS$82&amp;"C"&amp;$A156))</f>
        <v>256</v>
      </c>
      <c r="BB156" s="3">
        <f>-IF(RTD("tos.rtd",,BB$43,"."&amp;$B$134&amp;$AS$82&amp;"P"&amp;$A156)="N/A",0,RTD("tos.rtd",,BB$43,"."&amp;$B$134&amp;$AS$82&amp;"P"&amp;$A156))</f>
        <v>-23</v>
      </c>
      <c r="BC156" s="54">
        <f>IF(RTD("tos.rtd",,BC$2,"."&amp;$C$134&amp;$AU$82&amp;"C"&amp;$A156)="N/A",0,RTD("tos.rtd",,BC$2,"."&amp;$C$134&amp;$AU$82&amp;"C"&amp;$A156))</f>
        <v>0</v>
      </c>
      <c r="BD156" s="3">
        <f>-IF(RTD("tos.rtd",,BD$2,"."&amp;$C$134&amp;$AU$82&amp;"P"&amp;$A156)="N/A",0,RTD("tos.rtd",,BD$2,"."&amp;$C$134&amp;$AU$82&amp;"P"&amp;$A156))</f>
        <v>0</v>
      </c>
      <c r="BE156" s="54">
        <f>IF(RTD("tos.rtd",,BE$2,"."&amp;$D$134&amp;$AW$82&amp;"C"&amp;$A156)="N/A",0,RTD("tos.rtd",,BE$2,"."&amp;$D$134&amp;$AW$82&amp;"C"&amp;$A156))</f>
        <v>3</v>
      </c>
      <c r="BF156" s="3">
        <f>-IF(RTD("tos.rtd",,BF$2,"."&amp;$D$134&amp;$AW$82&amp;"P"&amp;$A156)="N/A",0,RTD("tos.rtd",,BF$2,"."&amp;$D$134&amp;$AW$82&amp;"P"&amp;$A156))</f>
        <v>0</v>
      </c>
      <c r="BG156" s="3">
        <f ca="1">+Hoja2!Y157</f>
        <v>2</v>
      </c>
      <c r="BH156" s="7">
        <f t="shared" ca="1" si="546"/>
        <v>238</v>
      </c>
      <c r="BI156" s="32" t="str">
        <f t="shared" ca="1" si="605"/>
        <v/>
      </c>
      <c r="BJ156" s="3" t="e">
        <f ca="1">IF($BP$1=1,DX156,IF(RTD("tos.rtd",,BJ$43,"."&amp;$B$134&amp;$AS$82&amp;"C"&amp;$A156)="N/A",0,RTD("tos.rtd",,BJ$43,"."&amp;$B$134&amp;$AS$82&amp;"C"&amp;$A156)))</f>
        <v>#NUM!</v>
      </c>
      <c r="BK156" s="3" t="e">
        <f ca="1">IF($BP$1=1,DY156,-IF(RTD("tos.rtd",,BK$43,"."&amp;$B$134&amp;$AS$82&amp;"P"&amp;$A156)="N/A",0,RTD("tos.rtd",,BK$43,"."&amp;$B$134&amp;$AS$82&amp;"P"&amp;$A156)))</f>
        <v>#NUM!</v>
      </c>
      <c r="BL156" s="3">
        <f ca="1">IF($BP$1=1,DZ156,IF(RTD("tos.rtd",,BL$2,"."&amp;$C$134&amp;$AU$82&amp;"C"&amp;$A156)="N/A",0,RTD("tos.rtd",,BL$2,"."&amp;$C$134&amp;$AU$82&amp;"C"&amp;$A156)))</f>
        <v>7.8919798358953485E-4</v>
      </c>
      <c r="BM156" s="3">
        <f ca="1">IF($BP$1=1,EA156,-IF(RTD("tos.rtd",,BM$2,"."&amp;$C$134&amp;$AU$82&amp;"P"&amp;$A156)="N/A",0,RTD("tos.rtd",,BM$2,"."&amp;$C$134&amp;$AU$82&amp;"P"&amp;$A156)))</f>
        <v>-9.6074034475545809E-4</v>
      </c>
      <c r="BN156" s="3">
        <f ca="1">IF($BP$1=1,EB156,IF(RTD("tos.rtd",,BN$2,"."&amp;$D$134&amp;$AW$82&amp;"C"&amp;$A156)="N/A",0,RTD("tos.rtd",,BN$2,"."&amp;$D$134&amp;$AW$82&amp;"C"&amp;$A156)))</f>
        <v>9.6987412336412753E-4</v>
      </c>
      <c r="BO156" s="3">
        <f ca="1">IF($BP$1=1,EC156,-IF(RTD("tos.rtd",,BO$2,"."&amp;$D$134&amp;$AW$82&amp;"P"&amp;$A156)="N/A",0,RTD("tos.rtd",,BO$2,"."&amp;$D$134&amp;$AW$82&amp;"P"&amp;$A156)))</f>
        <v>-1.0275488793167729E-3</v>
      </c>
      <c r="BQ156" s="3" t="e">
        <f t="shared" ca="1" si="621"/>
        <v>#NUM!</v>
      </c>
      <c r="BR156" s="3" t="e">
        <f t="shared" ca="1" si="547"/>
        <v>#NUM!</v>
      </c>
      <c r="BS156" s="3">
        <f t="shared" ca="1" si="622"/>
        <v>-138184.8579281031</v>
      </c>
      <c r="BT156" s="3" t="str">
        <f t="shared" ca="1" si="548"/>
        <v>Cruce -</v>
      </c>
      <c r="BU156" s="3">
        <f t="shared" ca="1" si="623"/>
        <v>358098.14557297481</v>
      </c>
      <c r="BV156" s="3" t="str">
        <f t="shared" ca="1" si="548"/>
        <v/>
      </c>
      <c r="BX156" s="3" t="e">
        <f t="shared" ca="1" si="582"/>
        <v>#NUM!</v>
      </c>
      <c r="BY156" s="3" t="e">
        <f t="shared" ca="1" si="583"/>
        <v>#NUM!</v>
      </c>
      <c r="BZ156" s="3">
        <f t="shared" ca="1" si="584"/>
        <v>0</v>
      </c>
      <c r="CA156" s="3" t="str">
        <f t="shared" ca="1" si="583"/>
        <v/>
      </c>
      <c r="CB156" s="3">
        <f t="shared" ca="1" si="585"/>
        <v>689.64719753067322</v>
      </c>
      <c r="CC156" s="3" t="str">
        <f t="shared" ca="1" si="583"/>
        <v/>
      </c>
      <c r="CD156" s="3">
        <f>IF(RTD("tos.rtd",,CD$43,"."&amp;$B$134&amp;$AS$82&amp;"C"&amp;$A156)="N/A",0,RTD("tos.rtd",,CD$43,"."&amp;$B$134&amp;$AS$82&amp;"C"&amp;$A156))</f>
        <v>0.17</v>
      </c>
      <c r="CE156" s="3">
        <f>-IF(RTD("tos.rtd",,CE$43,"."&amp;$B$134&amp;$AS$82&amp;"P"&amp;$A156)="N/A",0,RTD("tos.rtd",,CE$43,"."&amp;$B$134&amp;$AS$82&amp;"P"&amp;$A156))</f>
        <v>0.91</v>
      </c>
      <c r="CF156" s="3">
        <f>IF(RTD("tos.rtd",,CF$2,"."&amp;$C$134&amp;$AU$82&amp;"C"&amp;$A156)="N/A",0,RTD("tos.rtd",,CF$2,"."&amp;$C$134&amp;$AU$82&amp;"C"&amp;$A156))</f>
        <v>0.41</v>
      </c>
      <c r="CG156" s="3">
        <f>-IF(RTD("tos.rtd",,CG$2,"."&amp;$C$134&amp;$AU$82&amp;"P"&amp;$A156)="N/A",0,RTD("tos.rtd",,CG$2,"."&amp;$C$134&amp;$AU$82&amp;"P"&amp;$A156))</f>
        <v>0.62</v>
      </c>
      <c r="CH156" s="3">
        <f>IF(RTD("tos.rtd",,CH$2,"."&amp;$D$134&amp;$AW$82&amp;"C"&amp;$A156)="N/A",0,RTD("tos.rtd",,CH$2,"."&amp;$D$134&amp;$AW$82&amp;"C"&amp;$A156))</f>
        <v>0.46</v>
      </c>
      <c r="CI156" s="3">
        <f>-IF(RTD("tos.rtd",,CI$2,"."&amp;$D$134&amp;$AW$82&amp;"P"&amp;$A156)="N/A",0,RTD("tos.rtd",,CI$2,"."&amp;$D$134&amp;$AW$82&amp;"P"&amp;$A156))</f>
        <v>0.54</v>
      </c>
      <c r="CK156" s="3">
        <f t="shared" si="616"/>
        <v>1245</v>
      </c>
      <c r="CL156" s="3"/>
      <c r="CM156" s="3">
        <f t="shared" si="617"/>
        <v>-311</v>
      </c>
      <c r="CN156" s="3"/>
      <c r="CO156" s="3">
        <f t="shared" si="618"/>
        <v>504.00000000000011</v>
      </c>
      <c r="CP156" s="3">
        <f t="shared" si="539"/>
        <v>1438</v>
      </c>
      <c r="CQ156" s="3">
        <f t="shared" si="549"/>
        <v>233</v>
      </c>
      <c r="CR156" s="3"/>
      <c r="CS156" s="3">
        <f t="shared" si="550"/>
        <v>0</v>
      </c>
      <c r="CT156" s="3"/>
      <c r="CU156" s="3">
        <f t="shared" si="551"/>
        <v>3</v>
      </c>
      <c r="CV156" s="3"/>
      <c r="CW156" s="3" t="e">
        <f t="shared" ca="1" si="552"/>
        <v>#NUM!</v>
      </c>
      <c r="CY156" s="3" t="e">
        <f t="shared" ca="1" si="553"/>
        <v>#NUM!</v>
      </c>
      <c r="CZ156" s="70" t="e">
        <f t="shared" ca="1" si="586"/>
        <v>#NUM!</v>
      </c>
      <c r="DA156" s="3">
        <f>IF(RTD("tos.rtd",,DA$43,"."&amp;$B$134&amp;$AS$82&amp;"C"&amp;$A156)="N/A",0,RTD("tos.rtd",,DA$43,"."&amp;$B$134&amp;$AS$82&amp;"C"&amp;$A156))</f>
        <v>1.6</v>
      </c>
      <c r="DB156" s="3">
        <f>IF(RTD("tos.rtd",,DB$43,"."&amp;$B$134&amp;$AS$82&amp;"P"&amp;$A156)="N/A",0,RTD("tos.rtd",,DB$43,"."&amp;$B$134&amp;$AS$82&amp;"P"&amp;$A156))</f>
        <v>56.71</v>
      </c>
      <c r="DC156" s="3">
        <f>IF(RTD("tos.rtd",,DC$43,"."&amp;$B$134&amp;$AS$82&amp;"C"&amp;$A156)="N/A",0,RTD("tos.rtd",,DC$43,"."&amp;$B$134&amp;$AS$82&amp;"C"&amp;$A156))</f>
        <v>19.8</v>
      </c>
      <c r="DD156" s="3">
        <f>IF(RTD("tos.rtd",,DD$43,"."&amp;$B$134&amp;$AS$82&amp;"P"&amp;$A156)="N/A",0,RTD("tos.rtd",,DD$43,"."&amp;$B$134&amp;$AS$82&amp;"P"&amp;$A156))</f>
        <v>120</v>
      </c>
      <c r="DE156" s="3">
        <f>IF(RTD("tos.rtd",,DE$43,"."&amp;$B$134&amp;$AS$82&amp;"C"&amp;$A156)="N/A",0,RTD("tos.rtd",,DE$43,"."&amp;$B$134&amp;$AS$82&amp;"C"&amp;$A156))</f>
        <v>0</v>
      </c>
      <c r="DF156" s="3">
        <f>IF(RTD("tos.rtd",,DF$43,"."&amp;$B$134&amp;$AS$82&amp;"P"&amp;$A156)="N/A",0,RTD("tos.rtd",,DF$43,"."&amp;$B$134&amp;$AS$82&amp;"P"&amp;$A156))</f>
        <v>100.8</v>
      </c>
      <c r="DG156" s="86">
        <f t="shared" si="587"/>
        <v>107.02699999999822</v>
      </c>
      <c r="DH156" s="3">
        <f t="shared" si="554"/>
        <v>0</v>
      </c>
      <c r="DI156" s="3">
        <f t="shared" si="555"/>
        <v>0</v>
      </c>
      <c r="DJ156" s="3">
        <f t="shared" si="556"/>
        <v>0</v>
      </c>
      <c r="DK156" s="3">
        <f t="shared" si="557"/>
        <v>0</v>
      </c>
      <c r="DL156" s="3">
        <f t="shared" si="558"/>
        <v>0</v>
      </c>
      <c r="DM156" s="3">
        <f t="shared" si="559"/>
        <v>0</v>
      </c>
      <c r="DN156" s="64" t="str">
        <f t="shared" si="560"/>
        <v>UNKNOWN</v>
      </c>
      <c r="DO156" s="64" t="str">
        <f t="shared" si="561"/>
        <v>UNKNOWN</v>
      </c>
      <c r="DP156" s="3">
        <f t="shared" si="562"/>
        <v>0</v>
      </c>
      <c r="DQ156" s="3">
        <f t="shared" si="563"/>
        <v>0</v>
      </c>
      <c r="DR156" s="3" t="e">
        <f t="shared" ca="1" si="564"/>
        <v>#NUM!</v>
      </c>
      <c r="DS156" s="3">
        <f t="shared" si="565"/>
        <v>0</v>
      </c>
      <c r="DT156" s="3">
        <f t="shared" si="588"/>
        <v>0</v>
      </c>
      <c r="DU156" s="3">
        <f t="shared" si="589"/>
        <v>0</v>
      </c>
      <c r="DV156" s="3">
        <f t="shared" si="566"/>
        <v>-168</v>
      </c>
      <c r="DW156" s="3">
        <f t="shared" si="567"/>
        <v>1</v>
      </c>
      <c r="DX156" s="3" t="e">
        <f t="shared" ca="1" si="568"/>
        <v>#NUM!</v>
      </c>
      <c r="DY156" s="3" t="e">
        <f t="shared" ca="1" si="569"/>
        <v>#NUM!</v>
      </c>
      <c r="DZ156" s="3">
        <f t="shared" ca="1" si="570"/>
        <v>7.8919798358953485E-4</v>
      </c>
      <c r="EA156" s="3">
        <f t="shared" ca="1" si="571"/>
        <v>-9.6074034475545809E-4</v>
      </c>
      <c r="EB156" s="3">
        <f t="shared" ca="1" si="572"/>
        <v>9.6987412336412753E-4</v>
      </c>
      <c r="EC156" s="3">
        <f t="shared" ca="1" si="573"/>
        <v>-1.0275488793167729E-3</v>
      </c>
      <c r="ED156" s="63">
        <f t="shared" si="590"/>
        <v>-167</v>
      </c>
      <c r="EE156" s="59">
        <f t="shared" si="574"/>
        <v>0.73760000000000003</v>
      </c>
      <c r="EF156" s="59">
        <f t="shared" si="575"/>
        <v>0.53420000000000001</v>
      </c>
      <c r="EG156" s="59">
        <f t="shared" si="576"/>
        <v>0.30599999999999999</v>
      </c>
      <c r="EH156" s="59">
        <f t="shared" si="577"/>
        <v>0.2487</v>
      </c>
      <c r="EI156" s="59">
        <f t="shared" si="578"/>
        <v>0.2462</v>
      </c>
      <c r="EJ156" s="59">
        <f t="shared" si="579"/>
        <v>0.23139999999999999</v>
      </c>
      <c r="EL156" s="3" t="str">
        <f>RTD("tos.rtd",,EL$43,"."&amp;$B$134&amp;$AS$82&amp;"C"&amp;$A156)</f>
        <v>73.76%</v>
      </c>
      <c r="EM156" s="3" t="str">
        <f>RTD("tos.rtd",,EM$43,"."&amp;$B$134&amp;$AS$82&amp;"P"&amp;$A156)</f>
        <v>53.42%</v>
      </c>
      <c r="EN156" s="3" t="str">
        <f>RTD("tos.rtd",,EN$2,"."&amp;$C$134&amp;$AU$82&amp;"C"&amp;$A156)</f>
        <v>30.60%</v>
      </c>
      <c r="EO156" s="3" t="str">
        <f>RTD("tos.rtd",,EO$2,"."&amp;$C$134&amp;$AU$82&amp;"P"&amp;$A156)</f>
        <v>24.87%</v>
      </c>
      <c r="EP156" s="3" t="str">
        <f>RTD("tos.rtd",,EP$2,"."&amp;$D$134&amp;$AW$82&amp;"C"&amp;$A156)</f>
        <v>24.62%</v>
      </c>
      <c r="EQ156" s="3" t="str">
        <f>RTD("tos.rtd",,EQ$2,"."&amp;$D$134&amp;$AW$82&amp;"P"&amp;$A156)</f>
        <v>23.14%</v>
      </c>
      <c r="ES156" s="63" t="str">
        <f t="shared" si="580"/>
        <v>19975,-167.00</v>
      </c>
      <c r="ET156" s="64" t="str">
        <f t="shared" ca="1" si="581"/>
        <v>19975,00.00</v>
      </c>
      <c r="EU156" s="68">
        <v>562.4</v>
      </c>
      <c r="EV156" s="68" t="s">
        <v>1268</v>
      </c>
      <c r="EW156" s="68">
        <v>484.89</v>
      </c>
      <c r="EX156" s="68" t="s">
        <v>1269</v>
      </c>
      <c r="EY156" s="68">
        <v>5638</v>
      </c>
      <c r="EZ156" s="68" t="s">
        <v>1270</v>
      </c>
      <c r="FA156" s="68">
        <v>19918</v>
      </c>
      <c r="FB156" s="68" t="s">
        <v>1271</v>
      </c>
      <c r="FC156" s="68" t="s">
        <v>1272</v>
      </c>
      <c r="FD156" s="68" t="s">
        <v>1273</v>
      </c>
      <c r="FE156" s="68" t="s">
        <v>1274</v>
      </c>
      <c r="FF156" s="68" t="s">
        <v>1275</v>
      </c>
    </row>
    <row r="157" spans="1:162" ht="11.1" customHeight="1" thickBot="1" x14ac:dyDescent="0.25">
      <c r="A157" s="2">
        <f t="shared" si="591"/>
        <v>19950</v>
      </c>
      <c r="B157" s="3">
        <f t="shared" si="624"/>
        <v>15</v>
      </c>
      <c r="C157" s="3">
        <f t="shared" si="625"/>
        <v>8</v>
      </c>
      <c r="D157" s="3">
        <f t="shared" si="626"/>
        <v>35</v>
      </c>
      <c r="E157" s="3">
        <f t="shared" si="609"/>
        <v>58</v>
      </c>
      <c r="F157" s="4">
        <f t="shared" si="619"/>
        <v>20178.968433266946</v>
      </c>
      <c r="G157" s="5">
        <f t="shared" si="611"/>
        <v>488.86001103383819</v>
      </c>
      <c r="AM157" s="1">
        <v>-225</v>
      </c>
      <c r="AN157" s="1">
        <v>0</v>
      </c>
      <c r="AO157" s="1">
        <v>19950</v>
      </c>
      <c r="AP157" s="1">
        <v>659</v>
      </c>
      <c r="AQ157" s="1">
        <v>-10</v>
      </c>
      <c r="AS157" s="54">
        <f>IF(RTD("tos.rtd",,AS$83,"."&amp;$B$134&amp;$AS$82&amp;"C"&amp;$A157)="N/A",0,RTD("tos.rtd",,AS$83,"."&amp;$B$134&amp;$AS$82&amp;"C"&amp;$A157))</f>
        <v>7</v>
      </c>
      <c r="AT157" s="3">
        <f>-IF(RTD("tos.rtd",,AT$83,"."&amp;$B$134&amp;$AS$82&amp;"P"&amp;$A157)="N/A",0,RTD("tos.rtd",,AT$83,"."&amp;$B$134&amp;$AS$82&amp;"P"&amp;$A157))</f>
        <v>-8</v>
      </c>
      <c r="AU157" s="54">
        <f>IF(RTD("tos.rtd",,AU$2,"."&amp;$C$134&amp;$AU$134&amp;"C"&amp;$A157)="N/A",0,RTD("tos.rtd",,AU$2,"."&amp;$C$134&amp;$AU$134&amp;"C"&amp;$A157))</f>
        <v>5</v>
      </c>
      <c r="AV157" s="3">
        <f>-IF(RTD("tos.rtd",,AV$2,"."&amp;$C$134&amp;$AU$134&amp;"P"&amp;$A157)="N/A",0,RTD("tos.rtd",,AV$2,"."&amp;$C$134&amp;$AU$134&amp;"P"&amp;$A157))</f>
        <v>-3</v>
      </c>
      <c r="AW157" s="54">
        <f>IF(RTD("tos.rtd",,AW$2,"."&amp;$D$134&amp;$AW$134&amp;"C"&amp;$A157)="N/A",0,RTD("tos.rtd",,AW$2,"."&amp;$D$134&amp;$AW$134&amp;"C"&amp;$A157))</f>
        <v>30</v>
      </c>
      <c r="AX157" s="3">
        <f>-IF(RTD("tos.rtd",,AX$2,"."&amp;$D$134&amp;$AW$134&amp;"P"&amp;$A157)="N/A",0,RTD("tos.rtd",,AX$2,"."&amp;$D$134&amp;$AW$134&amp;"P"&amp;$A157))</f>
        <v>-5</v>
      </c>
      <c r="AY157" s="76">
        <f t="shared" si="620"/>
        <v>26</v>
      </c>
      <c r="AZ157" s="8">
        <f t="shared" si="545"/>
        <v>19950</v>
      </c>
      <c r="BA157" s="54">
        <f>IF(RTD("tos.rtd",,BA$43,"."&amp;$B$134&amp;$AS$82&amp;"C"&amp;$A157)="N/A",0,RTD("tos.rtd",,BA$43,"."&amp;$B$134&amp;$AS$82&amp;"C"&amp;$A157))</f>
        <v>659</v>
      </c>
      <c r="BB157" s="3">
        <f>-IF(RTD("tos.rtd",,BB$43,"."&amp;$B$134&amp;$AS$82&amp;"P"&amp;$A157)="N/A",0,RTD("tos.rtd",,BB$43,"."&amp;$B$134&amp;$AS$82&amp;"P"&amp;$A157))</f>
        <v>-10</v>
      </c>
      <c r="BC157" s="54">
        <f>IF(RTD("tos.rtd",,BC$2,"."&amp;$C$134&amp;$AU$82&amp;"C"&amp;$A157)="N/A",0,RTD("tos.rtd",,BC$2,"."&amp;$C$134&amp;$AU$82&amp;"C"&amp;$A157))</f>
        <v>5</v>
      </c>
      <c r="BD157" s="3">
        <f>-IF(RTD("tos.rtd",,BD$2,"."&amp;$C$134&amp;$AU$82&amp;"P"&amp;$A157)="N/A",0,RTD("tos.rtd",,BD$2,"."&amp;$C$134&amp;$AU$82&amp;"P"&amp;$A157))</f>
        <v>0</v>
      </c>
      <c r="BE157" s="54">
        <f>IF(RTD("tos.rtd",,BE$2,"."&amp;$D$134&amp;$AW$82&amp;"C"&amp;$A157)="N/A",0,RTD("tos.rtd",,BE$2,"."&amp;$D$134&amp;$AW$82&amp;"C"&amp;$A157))</f>
        <v>2</v>
      </c>
      <c r="BF157" s="3">
        <f>-IF(RTD("tos.rtd",,BF$2,"."&amp;$D$134&amp;$AW$82&amp;"P"&amp;$A157)="N/A",0,RTD("tos.rtd",,BF$2,"."&amp;$D$134&amp;$AW$82&amp;"P"&amp;$A157))</f>
        <v>-4</v>
      </c>
      <c r="BG157" s="3">
        <f ca="1">+Hoja2!Y158</f>
        <v>4</v>
      </c>
      <c r="BH157" s="7">
        <f t="shared" ca="1" si="546"/>
        <v>656</v>
      </c>
      <c r="BI157" s="32" t="str">
        <f t="shared" ca="1" si="605"/>
        <v/>
      </c>
      <c r="BJ157" s="3" t="e">
        <f ca="1">IF($BP$1=1,DX157,IF(RTD("tos.rtd",,BJ$43,"."&amp;$B$134&amp;$AS$82&amp;"C"&amp;$A157)="N/A",0,RTD("tos.rtd",,BJ$43,"."&amp;$B$134&amp;$AS$82&amp;"C"&amp;$A157)))</f>
        <v>#NUM!</v>
      </c>
      <c r="BK157" s="3" t="e">
        <f ca="1">IF($BP$1=1,DY157,-IF(RTD("tos.rtd",,BK$43,"."&amp;$B$134&amp;$AS$82&amp;"P"&amp;$A157)="N/A",0,RTD("tos.rtd",,BK$43,"."&amp;$B$134&amp;$AS$82&amp;"P"&amp;$A157)))</f>
        <v>#NUM!</v>
      </c>
      <c r="BL157" s="3">
        <f ca="1">IF($BP$1=1,DZ157,IF(RTD("tos.rtd",,BL$2,"."&amp;$C$134&amp;$AU$82&amp;"C"&amp;$A157)="N/A",0,RTD("tos.rtd",,BL$2,"."&amp;$C$134&amp;$AU$82&amp;"C"&amp;$A157)))</f>
        <v>7.865163571086247E-4</v>
      </c>
      <c r="BM157" s="3">
        <f ca="1">IF($BP$1=1,EA157,-IF(RTD("tos.rtd",,BM$2,"."&amp;$C$134&amp;$AU$82&amp;"P"&amp;$A157)="N/A",0,RTD("tos.rtd",,BM$2,"."&amp;$C$134&amp;$AU$82&amp;"P"&amp;$A157)))</f>
        <v>-9.5802028868308858E-4</v>
      </c>
      <c r="BN157" s="3">
        <f ca="1">IF($BP$1=1,EB157,IF(RTD("tos.rtd",,BN$2,"."&amp;$D$134&amp;$AW$82&amp;"C"&amp;$A157)="N/A",0,RTD("tos.rtd",,BN$2,"."&amp;$D$134&amp;$AW$82&amp;"C"&amp;$A157)))</f>
        <v>9.7704354365521972E-4</v>
      </c>
      <c r="BO157" s="3">
        <f ca="1">IF($BP$1=1,EC157,-IF(RTD("tos.rtd",,BO$2,"."&amp;$D$134&amp;$AW$82&amp;"P"&amp;$A157)="N/A",0,RTD("tos.rtd",,BO$2,"."&amp;$D$134&amp;$AW$82&amp;"P"&amp;$A157)))</f>
        <v>-1.0362565526863263E-3</v>
      </c>
      <c r="BQ157" s="3" t="e">
        <f t="shared" ca="1" si="621"/>
        <v>#NUM!</v>
      </c>
      <c r="BR157" s="3" t="e">
        <f t="shared" ca="1" si="547"/>
        <v>#NUM!</v>
      </c>
      <c r="BS157" s="3">
        <f t="shared" ca="1" si="622"/>
        <v>33567.089717694005</v>
      </c>
      <c r="BT157" s="3" t="str">
        <f t="shared" ca="1" si="548"/>
        <v>Cruce +</v>
      </c>
      <c r="BU157" s="3">
        <f t="shared" ca="1" si="623"/>
        <v>765194.76408033562</v>
      </c>
      <c r="BV157" s="3" t="str">
        <f t="shared" ca="1" si="548"/>
        <v/>
      </c>
      <c r="BX157" s="3" t="e">
        <f t="shared" ca="1" si="582"/>
        <v>#NUM!</v>
      </c>
      <c r="BY157" s="3" t="e">
        <f t="shared" ca="1" si="583"/>
        <v>#NUM!</v>
      </c>
      <c r="BZ157" s="3">
        <f t="shared" ca="1" si="584"/>
        <v>932.11202777969936</v>
      </c>
      <c r="CA157" s="3" t="str">
        <f t="shared" ca="1" si="583"/>
        <v/>
      </c>
      <c r="CB157" s="3">
        <f t="shared" ca="1" si="585"/>
        <v>-519.30279405612009</v>
      </c>
      <c r="CC157" s="3" t="str">
        <f t="shared" ca="1" si="583"/>
        <v>Cruce -</v>
      </c>
      <c r="CD157" s="3">
        <f>IF(RTD("tos.rtd",,CD$43,"."&amp;$B$134&amp;$AS$82&amp;"C"&amp;$A157)="N/A",0,RTD("tos.rtd",,CD$43,"."&amp;$B$134&amp;$AS$82&amp;"C"&amp;$A157))</f>
        <v>0.03</v>
      </c>
      <c r="CE157" s="3">
        <f>-IF(RTD("tos.rtd",,CE$43,"."&amp;$B$134&amp;$AS$82&amp;"P"&amp;$A157)="N/A",0,RTD("tos.rtd",,CE$43,"."&amp;$B$134&amp;$AS$82&amp;"P"&amp;$A157))</f>
        <v>0.9</v>
      </c>
      <c r="CF157" s="3">
        <f>IF(RTD("tos.rtd",,CF$2,"."&amp;$C$134&amp;$AU$82&amp;"C"&amp;$A157)="N/A",0,RTD("tos.rtd",,CF$2,"."&amp;$C$134&amp;$AU$82&amp;"C"&amp;$A157))</f>
        <v>0.43</v>
      </c>
      <c r="CG157" s="3">
        <f>-IF(RTD("tos.rtd",,CG$2,"."&amp;$C$134&amp;$AU$82&amp;"P"&amp;$A157)="N/A",0,RTD("tos.rtd",,CG$2,"."&amp;$C$134&amp;$AU$82&amp;"P"&amp;$A157))</f>
        <v>0.59</v>
      </c>
      <c r="CH157" s="3">
        <f>IF(RTD("tos.rtd",,CH$2,"."&amp;$D$134&amp;$AW$82&amp;"C"&amp;$A157)="N/A",0,RTD("tos.rtd",,CH$2,"."&amp;$D$134&amp;$AW$82&amp;"C"&amp;$A157))</f>
        <v>0.47</v>
      </c>
      <c r="CI157" s="3">
        <f>-IF(RTD("tos.rtd",,CI$2,"."&amp;$D$134&amp;$AW$82&amp;"P"&amp;$A157)="N/A",0,RTD("tos.rtd",,CI$2,"."&amp;$D$134&amp;$AW$82&amp;"P"&amp;$A157))</f>
        <v>0.53</v>
      </c>
      <c r="CK157" s="3">
        <f t="shared" si="616"/>
        <v>-699</v>
      </c>
      <c r="CL157" s="3"/>
      <c r="CM157" s="3">
        <f t="shared" si="617"/>
        <v>38</v>
      </c>
      <c r="CN157" s="3"/>
      <c r="CO157" s="3">
        <f t="shared" si="618"/>
        <v>1145</v>
      </c>
      <c r="CP157" s="3">
        <f t="shared" si="539"/>
        <v>484</v>
      </c>
      <c r="CQ157" s="3">
        <f t="shared" si="549"/>
        <v>649</v>
      </c>
      <c r="CR157" s="3"/>
      <c r="CS157" s="3">
        <f t="shared" si="550"/>
        <v>5</v>
      </c>
      <c r="CT157" s="3"/>
      <c r="CU157" s="3">
        <f t="shared" si="551"/>
        <v>-2</v>
      </c>
      <c r="CV157" s="3"/>
      <c r="CW157" s="3" t="e">
        <f t="shared" ca="1" si="552"/>
        <v>#NUM!</v>
      </c>
      <c r="CY157" s="3" t="e">
        <f t="shared" ca="1" si="553"/>
        <v>#NUM!</v>
      </c>
      <c r="CZ157" s="70" t="e">
        <f t="shared" ca="1" si="586"/>
        <v>#NUM!</v>
      </c>
      <c r="DA157" s="3">
        <f>IF(RTD("tos.rtd",,DA$43,"."&amp;$B$134&amp;$AS$82&amp;"C"&amp;$A157)="N/A",0,RTD("tos.rtd",,DA$43,"."&amp;$B$134&amp;$AS$82&amp;"C"&amp;$A157))</f>
        <v>0.05</v>
      </c>
      <c r="DB157" s="3">
        <f>IF(RTD("tos.rtd",,DB$43,"."&amp;$B$134&amp;$AS$82&amp;"P"&amp;$A157)="N/A",0,RTD("tos.rtd",,DB$43,"."&amp;$B$134&amp;$AS$82&amp;"P"&amp;$A157))</f>
        <v>82</v>
      </c>
      <c r="DC157" s="3">
        <f>IF(RTD("tos.rtd",,DC$43,"."&amp;$B$134&amp;$AS$82&amp;"C"&amp;$A157)="N/A",0,RTD("tos.rtd",,DC$43,"."&amp;$B$134&amp;$AS$82&amp;"C"&amp;$A157))</f>
        <v>1</v>
      </c>
      <c r="DD157" s="3">
        <f>IF(RTD("tos.rtd",,DD$43,"."&amp;$B$134&amp;$AS$82&amp;"P"&amp;$A157)="N/A",0,RTD("tos.rtd",,DD$43,"."&amp;$B$134&amp;$AS$82&amp;"P"&amp;$A157))</f>
        <v>94</v>
      </c>
      <c r="DE157" s="3">
        <f>IF(RTD("tos.rtd",,DE$43,"."&amp;$B$134&amp;$AS$82&amp;"C"&amp;$A157)="N/A",0,RTD("tos.rtd",,DE$43,"."&amp;$B$134&amp;$AS$82&amp;"C"&amp;$A157))</f>
        <v>0</v>
      </c>
      <c r="DF157" s="3">
        <f>IF(RTD("tos.rtd",,DF$43,"."&amp;$B$134&amp;$AS$82&amp;"P"&amp;$A157)="N/A",0,RTD("tos.rtd",,DF$43,"."&amp;$B$134&amp;$AS$82&amp;"P"&amp;$A157))</f>
        <v>75.900000000000006</v>
      </c>
      <c r="DG157" s="86">
        <f t="shared" si="587"/>
        <v>82.026999999998225</v>
      </c>
      <c r="DH157" s="3">
        <f t="shared" si="554"/>
        <v>0</v>
      </c>
      <c r="DI157" s="3">
        <f t="shared" si="555"/>
        <v>0</v>
      </c>
      <c r="DJ157" s="3">
        <f t="shared" si="556"/>
        <v>0</v>
      </c>
      <c r="DK157" s="3">
        <f t="shared" si="557"/>
        <v>0</v>
      </c>
      <c r="DL157" s="3">
        <f t="shared" si="558"/>
        <v>0</v>
      </c>
      <c r="DM157" s="3">
        <f t="shared" si="559"/>
        <v>0</v>
      </c>
      <c r="DN157" s="64" t="str">
        <f t="shared" si="560"/>
        <v>UNKNOWN</v>
      </c>
      <c r="DO157" s="64" t="str">
        <f t="shared" si="561"/>
        <v>UNKNOWN</v>
      </c>
      <c r="DP157" s="3">
        <f t="shared" si="562"/>
        <v>0</v>
      </c>
      <c r="DQ157" s="3">
        <f t="shared" si="563"/>
        <v>0</v>
      </c>
      <c r="DR157" s="3" t="e">
        <f t="shared" ca="1" si="564"/>
        <v>#NUM!</v>
      </c>
      <c r="DS157" s="3">
        <f t="shared" si="565"/>
        <v>0</v>
      </c>
      <c r="DT157" s="3">
        <f t="shared" si="588"/>
        <v>0</v>
      </c>
      <c r="DU157" s="3">
        <f t="shared" si="589"/>
        <v>0</v>
      </c>
      <c r="DV157" s="3">
        <f t="shared" si="566"/>
        <v>-225</v>
      </c>
      <c r="DW157" s="3">
        <f t="shared" si="567"/>
        <v>0</v>
      </c>
      <c r="DX157" s="3" t="e">
        <f t="shared" ca="1" si="568"/>
        <v>#NUM!</v>
      </c>
      <c r="DY157" s="3" t="e">
        <f t="shared" ca="1" si="569"/>
        <v>#NUM!</v>
      </c>
      <c r="DZ157" s="3">
        <f t="shared" ca="1" si="570"/>
        <v>7.865163571086247E-4</v>
      </c>
      <c r="EA157" s="3">
        <f t="shared" ca="1" si="571"/>
        <v>-9.5802028868308858E-4</v>
      </c>
      <c r="EB157" s="3">
        <f t="shared" ca="1" si="572"/>
        <v>9.7704354365521972E-4</v>
      </c>
      <c r="EC157" s="3">
        <f t="shared" ca="1" si="573"/>
        <v>-1.0362565526863263E-3</v>
      </c>
      <c r="ED157" s="63">
        <f t="shared" si="590"/>
        <v>-225</v>
      </c>
      <c r="EE157" s="59">
        <f t="shared" si="574"/>
        <v>0.2893</v>
      </c>
      <c r="EF157" s="59">
        <f t="shared" si="575"/>
        <v>0.42330000000000001</v>
      </c>
      <c r="EG157" s="59">
        <f t="shared" si="576"/>
        <v>0.30969999999999998</v>
      </c>
      <c r="EH157" s="59">
        <f t="shared" si="577"/>
        <v>0.25280000000000002</v>
      </c>
      <c r="EI157" s="59">
        <f t="shared" si="578"/>
        <v>0.2477</v>
      </c>
      <c r="EJ157" s="59">
        <f t="shared" si="579"/>
        <v>0.23300000000000001</v>
      </c>
      <c r="EL157" s="3" t="str">
        <f>RTD("tos.rtd",,EL$43,"."&amp;$B$134&amp;$AS$82&amp;"C"&amp;$A157)</f>
        <v>28.93%</v>
      </c>
      <c r="EM157" s="3" t="str">
        <f>RTD("tos.rtd",,EM$43,"."&amp;$B$134&amp;$AS$82&amp;"P"&amp;$A157)</f>
        <v>42.33%</v>
      </c>
      <c r="EN157" s="3" t="str">
        <f>RTD("tos.rtd",,EN$2,"."&amp;$C$134&amp;$AU$82&amp;"C"&amp;$A157)</f>
        <v>30.97%</v>
      </c>
      <c r="EO157" s="3" t="str">
        <f>RTD("tos.rtd",,EO$2,"."&amp;$C$134&amp;$AU$82&amp;"P"&amp;$A157)</f>
        <v>25.28%</v>
      </c>
      <c r="EP157" s="3" t="str">
        <f>RTD("tos.rtd",,EP$2,"."&amp;$D$134&amp;$AW$82&amp;"C"&amp;$A157)</f>
        <v>24.77%</v>
      </c>
      <c r="EQ157" s="3" t="str">
        <f>RTD("tos.rtd",,EQ$2,"."&amp;$D$134&amp;$AW$82&amp;"P"&amp;$A157)</f>
        <v>23.30%</v>
      </c>
      <c r="ES157" s="63" t="str">
        <f t="shared" si="580"/>
        <v>19950,-225.00</v>
      </c>
      <c r="ET157" s="64" t="str">
        <f t="shared" ca="1" si="581"/>
        <v>19950,00.00</v>
      </c>
      <c r="EU157" s="68">
        <v>562.45000000000005</v>
      </c>
      <c r="EV157" s="68" t="s">
        <v>1276</v>
      </c>
      <c r="EW157" s="68">
        <v>484.86</v>
      </c>
      <c r="EX157" s="68" t="s">
        <v>1277</v>
      </c>
      <c r="EY157" s="68">
        <v>5638</v>
      </c>
      <c r="EZ157" s="68" t="s">
        <v>1278</v>
      </c>
      <c r="FA157" s="68">
        <v>19916.75</v>
      </c>
      <c r="FB157" s="68" t="s">
        <v>1279</v>
      </c>
      <c r="FC157" s="68" t="s">
        <v>1280</v>
      </c>
      <c r="FD157" s="68" t="s">
        <v>1281</v>
      </c>
      <c r="FE157" s="68" t="s">
        <v>1282</v>
      </c>
      <c r="FF157" s="68" t="s">
        <v>1283</v>
      </c>
    </row>
    <row r="158" spans="1:162" ht="11.1" customHeight="1" thickBot="1" x14ac:dyDescent="0.25">
      <c r="A158" s="2">
        <f t="shared" si="591"/>
        <v>19925</v>
      </c>
      <c r="B158" s="3">
        <f t="shared" si="624"/>
        <v>84</v>
      </c>
      <c r="C158" s="3">
        <f t="shared" si="625"/>
        <v>7</v>
      </c>
      <c r="D158" s="3">
        <f t="shared" si="626"/>
        <v>20</v>
      </c>
      <c r="E158" s="3">
        <f t="shared" si="609"/>
        <v>111</v>
      </c>
      <c r="F158" s="4">
        <f t="shared" si="619"/>
        <v>20153.681505405708</v>
      </c>
      <c r="G158" s="5">
        <f t="shared" si="611"/>
        <v>488.24740450372065</v>
      </c>
      <c r="AM158" s="1">
        <v>-33</v>
      </c>
      <c r="AN158" s="1">
        <v>13</v>
      </c>
      <c r="AO158" s="1">
        <v>19925</v>
      </c>
      <c r="AP158" s="1">
        <v>127</v>
      </c>
      <c r="AQ158" s="1">
        <v>-120</v>
      </c>
      <c r="AS158" s="54">
        <f>IF(RTD("tos.rtd",,AS$83,"."&amp;$B$134&amp;$AS$82&amp;"C"&amp;$A158)="N/A",0,RTD("tos.rtd",,AS$83,"."&amp;$B$134&amp;$AS$82&amp;"C"&amp;$A158))</f>
        <v>9</v>
      </c>
      <c r="AT158" s="3">
        <f>-IF(RTD("tos.rtd",,AT$83,"."&amp;$B$134&amp;$AS$82&amp;"P"&amp;$A158)="N/A",0,RTD("tos.rtd",,AT$83,"."&amp;$B$134&amp;$AS$82&amp;"P"&amp;$A158))</f>
        <v>-75</v>
      </c>
      <c r="AU158" s="54">
        <f>IF(RTD("tos.rtd",,AU$2,"."&amp;$C$134&amp;$AU$134&amp;"C"&amp;$A158)="N/A",0,RTD("tos.rtd",,AU$2,"."&amp;$C$134&amp;$AU$134&amp;"C"&amp;$A158))</f>
        <v>4</v>
      </c>
      <c r="AV158" s="3">
        <f>-IF(RTD("tos.rtd",,AV$2,"."&amp;$C$134&amp;$AU$134&amp;"P"&amp;$A158)="N/A",0,RTD("tos.rtd",,AV$2,"."&amp;$C$134&amp;$AU$134&amp;"P"&amp;$A158))</f>
        <v>-3</v>
      </c>
      <c r="AW158" s="54">
        <f>IF(RTD("tos.rtd",,AW$2,"."&amp;$D$134&amp;$AW$134&amp;"C"&amp;$A158)="N/A",0,RTD("tos.rtd",,AW$2,"."&amp;$D$134&amp;$AW$134&amp;"C"&amp;$A158))</f>
        <v>15</v>
      </c>
      <c r="AX158" s="3">
        <f>-IF(RTD("tos.rtd",,AX$2,"."&amp;$D$134&amp;$AW$134&amp;"P"&amp;$A158)="N/A",0,RTD("tos.rtd",,AX$2,"."&amp;$D$134&amp;$AW$134&amp;"P"&amp;$A158))</f>
        <v>-5</v>
      </c>
      <c r="AY158" s="76">
        <f t="shared" si="620"/>
        <v>-55</v>
      </c>
      <c r="AZ158" s="8">
        <f t="shared" si="545"/>
        <v>19925</v>
      </c>
      <c r="BA158" s="54">
        <f>IF(RTD("tos.rtd",,BA$43,"."&amp;$B$134&amp;$AS$82&amp;"C"&amp;$A158)="N/A",0,RTD("tos.rtd",,BA$43,"."&amp;$B$134&amp;$AS$82&amp;"C"&amp;$A158))</f>
        <v>127</v>
      </c>
      <c r="BB158" s="3">
        <f>-IF(RTD("tos.rtd",,BB$43,"."&amp;$B$134&amp;$AS$82&amp;"P"&amp;$A158)="N/A",0,RTD("tos.rtd",,BB$43,"."&amp;$B$134&amp;$AS$82&amp;"P"&amp;$A158))</f>
        <v>-120</v>
      </c>
      <c r="BC158" s="54">
        <f>IF(RTD("tos.rtd",,BC$2,"."&amp;$C$134&amp;$AU$82&amp;"C"&amp;$A158)="N/A",0,RTD("tos.rtd",,BC$2,"."&amp;$C$134&amp;$AU$82&amp;"C"&amp;$A158))</f>
        <v>0</v>
      </c>
      <c r="BD158" s="3">
        <f>-IF(RTD("tos.rtd",,BD$2,"."&amp;$C$134&amp;$AU$82&amp;"P"&amp;$A158)="N/A",0,RTD("tos.rtd",,BD$2,"."&amp;$C$134&amp;$AU$82&amp;"P"&amp;$A158))</f>
        <v>0</v>
      </c>
      <c r="BE158" s="54">
        <f>IF(RTD("tos.rtd",,BE$2,"."&amp;$D$134&amp;$AW$82&amp;"C"&amp;$A158)="N/A",0,RTD("tos.rtd",,BE$2,"."&amp;$D$134&amp;$AW$82&amp;"C"&amp;$A158))</f>
        <v>3</v>
      </c>
      <c r="BF158" s="3">
        <f>-IF(RTD("tos.rtd",,BF$2,"."&amp;$D$134&amp;$AW$82&amp;"P"&amp;$A158)="N/A",0,RTD("tos.rtd",,BF$2,"."&amp;$D$134&amp;$AW$82&amp;"P"&amp;$A158))</f>
        <v>-1</v>
      </c>
      <c r="BG158" s="3">
        <f ca="1">+Hoja2!Y159</f>
        <v>2</v>
      </c>
      <c r="BH158" s="7">
        <f t="shared" ca="1" si="546"/>
        <v>11</v>
      </c>
      <c r="BI158" s="32" t="str">
        <f t="shared" ca="1" si="605"/>
        <v/>
      </c>
      <c r="BJ158" s="3" t="e">
        <f ca="1">IF($BP$1=1,DX158,IF(RTD("tos.rtd",,BJ$43,"."&amp;$B$134&amp;$AS$82&amp;"C"&amp;$A158)="N/A",0,RTD("tos.rtd",,BJ$43,"."&amp;$B$134&amp;$AS$82&amp;"C"&amp;$A158)))</f>
        <v>#NUM!</v>
      </c>
      <c r="BK158" s="3" t="e">
        <f ca="1">IF($BP$1=1,DY158,-IF(RTD("tos.rtd",,BK$43,"."&amp;$B$134&amp;$AS$82&amp;"P"&amp;$A158)="N/A",0,RTD("tos.rtd",,BK$43,"."&amp;$B$134&amp;$AS$82&amp;"P"&amp;$A158)))</f>
        <v>#NUM!</v>
      </c>
      <c r="BL158" s="3">
        <f ca="1">IF($BP$1=1,DZ158,IF(RTD("tos.rtd",,BL$2,"."&amp;$C$134&amp;$AU$82&amp;"C"&amp;$A158)="N/A",0,RTD("tos.rtd",,BL$2,"."&amp;$C$134&amp;$AU$82&amp;"C"&amp;$A158)))</f>
        <v>7.8323360582872935E-4</v>
      </c>
      <c r="BM158" s="3">
        <f ca="1">IF($BP$1=1,EA158,-IF(RTD("tos.rtd",,BM$2,"."&amp;$C$134&amp;$AU$82&amp;"P"&amp;$A158)="N/A",0,RTD("tos.rtd",,BM$2,"."&amp;$C$134&amp;$AU$82&amp;"P"&amp;$A158)))</f>
        <v>-9.5279012282867563E-4</v>
      </c>
      <c r="BN158" s="3">
        <f ca="1">IF($BP$1=1,EB158,IF(RTD("tos.rtd",,BN$2,"."&amp;$D$134&amp;$AW$82&amp;"C"&amp;$A158)="N/A",0,RTD("tos.rtd",,BN$2,"."&amp;$D$134&amp;$AW$82&amp;"C"&amp;$A158)))</f>
        <v>9.8064658996888381E-4</v>
      </c>
      <c r="BO158" s="3">
        <f ca="1">IF($BP$1=1,EC158,-IF(RTD("tos.rtd",,BO$2,"."&amp;$D$134&amp;$AW$82&amp;"P"&amp;$A158)="N/A",0,RTD("tos.rtd",,BO$2,"."&amp;$D$134&amp;$AW$82&amp;"P"&amp;$A158)))</f>
        <v>-1.0406268489928602E-3</v>
      </c>
      <c r="BQ158" s="3" t="e">
        <f t="shared" ca="1" si="621"/>
        <v>#NUM!</v>
      </c>
      <c r="BR158" s="3" t="e">
        <f t="shared" ca="1" si="547"/>
        <v>#NUM!</v>
      </c>
      <c r="BS158" s="3">
        <f t="shared" ca="1" si="622"/>
        <v>8706.7870761610393</v>
      </c>
      <c r="BT158" s="3" t="str">
        <f t="shared" ca="1" si="548"/>
        <v/>
      </c>
      <c r="BU158" s="3">
        <f t="shared" ca="1" si="623"/>
        <v>301465.65940444992</v>
      </c>
      <c r="BV158" s="3" t="str">
        <f t="shared" ca="1" si="548"/>
        <v/>
      </c>
      <c r="BX158" s="3" t="e">
        <f t="shared" ca="1" si="582"/>
        <v>#NUM!</v>
      </c>
      <c r="BY158" s="3" t="e">
        <f t="shared" ca="1" si="583"/>
        <v>#NUM!</v>
      </c>
      <c r="BZ158" s="3">
        <f t="shared" ca="1" si="584"/>
        <v>0</v>
      </c>
      <c r="CA158" s="3" t="str">
        <f t="shared" ca="1" si="583"/>
        <v/>
      </c>
      <c r="CB158" s="3">
        <f t="shared" ca="1" si="585"/>
        <v>450.65474510199823</v>
      </c>
      <c r="CC158" s="3" t="str">
        <f t="shared" ca="1" si="583"/>
        <v>Cruce +</v>
      </c>
      <c r="CD158" s="3">
        <f>IF(RTD("tos.rtd",,CD$43,"."&amp;$B$134&amp;$AS$82&amp;"C"&amp;$A158)="N/A",0,RTD("tos.rtd",,CD$43,"."&amp;$B$134&amp;$AS$82&amp;"C"&amp;$A158))</f>
        <v>0.1</v>
      </c>
      <c r="CE158" s="3">
        <f>-IF(RTD("tos.rtd",,CE$43,"."&amp;$B$134&amp;$AS$82&amp;"P"&amp;$A158)="N/A",0,RTD("tos.rtd",,CE$43,"."&amp;$B$134&amp;$AS$82&amp;"P"&amp;$A158))</f>
        <v>0.87</v>
      </c>
      <c r="CF158" s="3">
        <f>IF(RTD("tos.rtd",,CF$2,"."&amp;$C$134&amp;$AU$82&amp;"C"&amp;$A158)="N/A",0,RTD("tos.rtd",,CF$2,"."&amp;$C$134&amp;$AU$82&amp;"C"&amp;$A158))</f>
        <v>0.46</v>
      </c>
      <c r="CG158" s="3">
        <f>-IF(RTD("tos.rtd",,CG$2,"."&amp;$C$134&amp;$AU$82&amp;"P"&amp;$A158)="N/A",0,RTD("tos.rtd",,CG$2,"."&amp;$C$134&amp;$AU$82&amp;"P"&amp;$A158))</f>
        <v>0.56000000000000005</v>
      </c>
      <c r="CH158" s="3">
        <f>IF(RTD("tos.rtd",,CH$2,"."&amp;$D$134&amp;$AW$82&amp;"C"&amp;$A158)="N/A",0,RTD("tos.rtd",,CH$2,"."&amp;$D$134&amp;$AW$82&amp;"C"&amp;$A158))</f>
        <v>0.49</v>
      </c>
      <c r="CI158" s="3">
        <f>-IF(RTD("tos.rtd",,CI$2,"."&amp;$D$134&amp;$AW$82&amp;"P"&amp;$A158)="N/A",0,RTD("tos.rtd",,CI$2,"."&amp;$D$134&amp;$AW$82&amp;"P"&amp;$A158))</f>
        <v>0.51</v>
      </c>
      <c r="CK158" s="3">
        <f t="shared" si="616"/>
        <v>-6435</v>
      </c>
      <c r="CL158" s="3"/>
      <c r="CM158" s="3">
        <f t="shared" si="617"/>
        <v>15.999999999999972</v>
      </c>
      <c r="CN158" s="3"/>
      <c r="CO158" s="3">
        <f t="shared" si="618"/>
        <v>480</v>
      </c>
      <c r="CP158" s="3">
        <f t="shared" si="539"/>
        <v>-5939</v>
      </c>
      <c r="CQ158" s="3">
        <f t="shared" si="549"/>
        <v>7</v>
      </c>
      <c r="CR158" s="3"/>
      <c r="CS158" s="3">
        <f t="shared" si="550"/>
        <v>0</v>
      </c>
      <c r="CT158" s="3"/>
      <c r="CU158" s="3">
        <f t="shared" si="551"/>
        <v>2</v>
      </c>
      <c r="CV158" s="3"/>
      <c r="CW158" s="3" t="e">
        <f t="shared" ca="1" si="552"/>
        <v>#NUM!</v>
      </c>
      <c r="CY158" s="3" t="e">
        <f t="shared" ca="1" si="553"/>
        <v>#NUM!</v>
      </c>
      <c r="CZ158" s="70" t="e">
        <f t="shared" ca="1" si="586"/>
        <v>#NUM!</v>
      </c>
      <c r="DA158" s="3">
        <f>IF(RTD("tos.rtd",,DA$43,"."&amp;$B$134&amp;$AS$82&amp;"C"&amp;$A158)="N/A",0,RTD("tos.rtd",,DA$43,"."&amp;$B$134&amp;$AS$82&amp;"C"&amp;$A158))</f>
        <v>0.45</v>
      </c>
      <c r="DB158" s="3">
        <f>IF(RTD("tos.rtd",,DB$43,"."&amp;$B$134&amp;$AS$82&amp;"P"&amp;$A158)="N/A",0,RTD("tos.rtd",,DB$43,"."&amp;$B$134&amp;$AS$82&amp;"P"&amp;$A158))</f>
        <v>97.98</v>
      </c>
      <c r="DC158" s="3">
        <f>IF(RTD("tos.rtd",,DC$43,"."&amp;$B$134&amp;$AS$82&amp;"C"&amp;$A158)="N/A",0,RTD("tos.rtd",,DC$43,"."&amp;$B$134&amp;$AS$82&amp;"C"&amp;$A158))</f>
        <v>4</v>
      </c>
      <c r="DD158" s="3">
        <f>IF(RTD("tos.rtd",,DD$43,"."&amp;$B$134&amp;$AS$82&amp;"P"&amp;$A158)="N/A",0,RTD("tos.rtd",,DD$43,"."&amp;$B$134&amp;$AS$82&amp;"P"&amp;$A158))</f>
        <v>70</v>
      </c>
      <c r="DE158" s="3">
        <f>IF(RTD("tos.rtd",,DE$43,"."&amp;$B$134&amp;$AS$82&amp;"C"&amp;$A158)="N/A",0,RTD("tos.rtd",,DE$43,"."&amp;$B$134&amp;$AS$82&amp;"C"&amp;$A158))</f>
        <v>0</v>
      </c>
      <c r="DF158" s="3">
        <f>IF(RTD("tos.rtd",,DF$43,"."&amp;$B$134&amp;$AS$82&amp;"P"&amp;$A158)="N/A",0,RTD("tos.rtd",,DF$43,"."&amp;$B$134&amp;$AS$82&amp;"P"&amp;$A158))</f>
        <v>50.8</v>
      </c>
      <c r="DG158" s="86">
        <f t="shared" si="587"/>
        <v>57.026999999998225</v>
      </c>
      <c r="DH158" s="3">
        <f t="shared" si="554"/>
        <v>0</v>
      </c>
      <c r="DI158" s="3">
        <f t="shared" si="555"/>
        <v>0</v>
      </c>
      <c r="DJ158" s="3">
        <f t="shared" si="556"/>
        <v>0</v>
      </c>
      <c r="DK158" s="3">
        <f t="shared" si="557"/>
        <v>0</v>
      </c>
      <c r="DL158" s="3">
        <f t="shared" si="558"/>
        <v>0</v>
      </c>
      <c r="DM158" s="3">
        <f t="shared" si="559"/>
        <v>0</v>
      </c>
      <c r="DN158" s="64" t="str">
        <f t="shared" si="560"/>
        <v>UNKNOWN</v>
      </c>
      <c r="DO158" s="64" t="str">
        <f t="shared" si="561"/>
        <v>UNKNOWN</v>
      </c>
      <c r="DP158" s="3">
        <f t="shared" si="562"/>
        <v>0</v>
      </c>
      <c r="DQ158" s="3">
        <f t="shared" si="563"/>
        <v>0</v>
      </c>
      <c r="DR158" s="3" t="e">
        <f t="shared" ca="1" si="564"/>
        <v>#NUM!</v>
      </c>
      <c r="DS158" s="3">
        <f t="shared" si="565"/>
        <v>0</v>
      </c>
      <c r="DT158" s="3">
        <f t="shared" si="588"/>
        <v>0</v>
      </c>
      <c r="DU158" s="3">
        <f t="shared" si="589"/>
        <v>0</v>
      </c>
      <c r="DV158" s="3">
        <f t="shared" si="566"/>
        <v>-33</v>
      </c>
      <c r="DW158" s="3">
        <f t="shared" si="567"/>
        <v>13</v>
      </c>
      <c r="DX158" s="3" t="e">
        <f t="shared" ca="1" si="568"/>
        <v>#NUM!</v>
      </c>
      <c r="DY158" s="3" t="e">
        <f t="shared" ca="1" si="569"/>
        <v>#NUM!</v>
      </c>
      <c r="DZ158" s="3">
        <f t="shared" ca="1" si="570"/>
        <v>7.8323360582872935E-4</v>
      </c>
      <c r="EA158" s="3">
        <f t="shared" ca="1" si="571"/>
        <v>-9.5279012282867563E-4</v>
      </c>
      <c r="EB158" s="3">
        <f t="shared" ca="1" si="572"/>
        <v>9.8064658996888381E-4</v>
      </c>
      <c r="EC158" s="3">
        <f t="shared" ca="1" si="573"/>
        <v>-1.0406268489928602E-3</v>
      </c>
      <c r="ED158" s="63">
        <f t="shared" si="590"/>
        <v>-20</v>
      </c>
      <c r="EE158" s="59">
        <f t="shared" si="574"/>
        <v>0.2918</v>
      </c>
      <c r="EF158" s="59">
        <f t="shared" si="575"/>
        <v>0.3407</v>
      </c>
      <c r="EG158" s="59">
        <f t="shared" si="576"/>
        <v>0.31280000000000002</v>
      </c>
      <c r="EH158" s="59">
        <f t="shared" si="577"/>
        <v>0.25650000000000001</v>
      </c>
      <c r="EI158" s="59">
        <f t="shared" si="578"/>
        <v>0.24909999999999999</v>
      </c>
      <c r="EJ158" s="59">
        <f t="shared" si="579"/>
        <v>0.23449999999999999</v>
      </c>
      <c r="EL158" s="3" t="str">
        <f>RTD("tos.rtd",,EL$43,"."&amp;$B$134&amp;$AS$82&amp;"C"&amp;$A158)</f>
        <v>29.18%</v>
      </c>
      <c r="EM158" s="3" t="str">
        <f>RTD("tos.rtd",,EM$43,"."&amp;$B$134&amp;$AS$82&amp;"P"&amp;$A158)</f>
        <v>34.07%</v>
      </c>
      <c r="EN158" s="3" t="str">
        <f>RTD("tos.rtd",,EN$2,"."&amp;$C$134&amp;$AU$82&amp;"C"&amp;$A158)</f>
        <v>31.28%</v>
      </c>
      <c r="EO158" s="3" t="str">
        <f>RTD("tos.rtd",,EO$2,"."&amp;$C$134&amp;$AU$82&amp;"P"&amp;$A158)</f>
        <v>25.65%</v>
      </c>
      <c r="EP158" s="3" t="str">
        <f>RTD("tos.rtd",,EP$2,"."&amp;$D$134&amp;$AW$82&amp;"C"&amp;$A158)</f>
        <v>24.91%</v>
      </c>
      <c r="EQ158" s="3" t="str">
        <f>RTD("tos.rtd",,EQ$2,"."&amp;$D$134&amp;$AW$82&amp;"P"&amp;$A158)</f>
        <v>23.45%</v>
      </c>
      <c r="ES158" s="63" t="str">
        <f t="shared" si="580"/>
        <v>19925,-20.00</v>
      </c>
      <c r="ET158" s="64" t="str">
        <f t="shared" ca="1" si="581"/>
        <v>19925,00.00</v>
      </c>
      <c r="EU158" s="68">
        <v>562.44000000000005</v>
      </c>
      <c r="EV158" s="68" t="s">
        <v>1284</v>
      </c>
      <c r="EW158" s="68">
        <v>484.9</v>
      </c>
      <c r="EX158" s="68" t="s">
        <v>1285</v>
      </c>
      <c r="EY158" s="68">
        <v>5638</v>
      </c>
      <c r="EZ158" s="68" t="s">
        <v>1286</v>
      </c>
      <c r="FA158" s="68">
        <v>19918.5</v>
      </c>
      <c r="FB158" s="68" t="s">
        <v>1287</v>
      </c>
      <c r="FC158" s="68" t="s">
        <v>1288</v>
      </c>
      <c r="FD158" s="68" t="s">
        <v>1289</v>
      </c>
      <c r="FE158" s="68" t="s">
        <v>1290</v>
      </c>
      <c r="FF158" s="68" t="s">
        <v>1291</v>
      </c>
    </row>
    <row r="159" spans="1:162" ht="11.1" customHeight="1" thickBot="1" x14ac:dyDescent="0.25">
      <c r="A159" s="2">
        <f t="shared" si="591"/>
        <v>19900</v>
      </c>
      <c r="B159" s="3">
        <f t="shared" si="624"/>
        <v>30</v>
      </c>
      <c r="C159" s="3">
        <f t="shared" si="625"/>
        <v>25</v>
      </c>
      <c r="D159" s="3">
        <f t="shared" si="626"/>
        <v>104</v>
      </c>
      <c r="E159" s="3">
        <f t="shared" si="609"/>
        <v>159</v>
      </c>
      <c r="F159" s="4">
        <f t="shared" si="619"/>
        <v>20128.394577544474</v>
      </c>
      <c r="G159" s="5">
        <f t="shared" si="611"/>
        <v>487.63479797360304</v>
      </c>
      <c r="AM159" s="1">
        <v>83</v>
      </c>
      <c r="AN159" s="1">
        <v>-15</v>
      </c>
      <c r="AO159" s="1">
        <v>19900</v>
      </c>
      <c r="AP159" s="1">
        <v>726</v>
      </c>
      <c r="AQ159" s="1">
        <v>-76</v>
      </c>
      <c r="AS159" s="54">
        <f>IF(RTD("tos.rtd",,AS$83,"."&amp;$B$134&amp;$AS$82&amp;"C"&amp;$A159)="N/A",0,RTD("tos.rtd",,AS$83,"."&amp;$B$134&amp;$AS$82&amp;"C"&amp;$A159))</f>
        <v>18</v>
      </c>
      <c r="AT159" s="3">
        <f>-IF(RTD("tos.rtd",,AT$83,"."&amp;$B$134&amp;$AS$82&amp;"P"&amp;$A159)="N/A",0,RTD("tos.rtd",,AT$83,"."&amp;$B$134&amp;$AS$82&amp;"P"&amp;$A159))</f>
        <v>-12</v>
      </c>
      <c r="AU159" s="54">
        <f>IF(RTD("tos.rtd",,AU$2,"."&amp;$C$134&amp;$AU$134&amp;"C"&amp;$A159)="N/A",0,RTD("tos.rtd",,AU$2,"."&amp;$C$134&amp;$AU$134&amp;"C"&amp;$A159))</f>
        <v>20</v>
      </c>
      <c r="AV159" s="3">
        <f>-IF(RTD("tos.rtd",,AV$2,"."&amp;$C$134&amp;$AU$134&amp;"P"&amp;$A159)="N/A",0,RTD("tos.rtd",,AV$2,"."&amp;$C$134&amp;$AU$134&amp;"P"&amp;$A159))</f>
        <v>-5</v>
      </c>
      <c r="AW159" s="54">
        <f>IF(RTD("tos.rtd",,AW$2,"."&amp;$D$134&amp;$AW$134&amp;"C"&amp;$A159)="N/A",0,RTD("tos.rtd",,AW$2,"."&amp;$D$134&amp;$AW$134&amp;"C"&amp;$A159))</f>
        <v>50</v>
      </c>
      <c r="AX159" s="3">
        <f>-IF(RTD("tos.rtd",,AX$2,"."&amp;$D$134&amp;$AW$134&amp;"P"&amp;$A159)="N/A",0,RTD("tos.rtd",,AX$2,"."&amp;$D$134&amp;$AW$134&amp;"P"&amp;$A159))</f>
        <v>-54</v>
      </c>
      <c r="AY159" s="76">
        <f t="shared" si="620"/>
        <v>17</v>
      </c>
      <c r="AZ159" s="8">
        <f t="shared" si="545"/>
        <v>19900</v>
      </c>
      <c r="BA159" s="54">
        <f>IF(RTD("tos.rtd",,BA$43,"."&amp;$B$134&amp;$AS$82&amp;"C"&amp;$A159)="N/A",0,RTD("tos.rtd",,BA$43,"."&amp;$B$134&amp;$AS$82&amp;"C"&amp;$A159))</f>
        <v>726</v>
      </c>
      <c r="BB159" s="3">
        <f>-IF(RTD("tos.rtd",,BB$43,"."&amp;$B$134&amp;$AS$82&amp;"P"&amp;$A159)="N/A",0,RTD("tos.rtd",,BB$43,"."&amp;$B$134&amp;$AS$82&amp;"P"&amp;$A159))</f>
        <v>-76</v>
      </c>
      <c r="BC159" s="54">
        <f>IF(RTD("tos.rtd",,BC$2,"."&amp;$C$134&amp;$AU$82&amp;"C"&amp;$A159)="N/A",0,RTD("tos.rtd",,BC$2,"."&amp;$C$134&amp;$AU$82&amp;"C"&amp;$A159))</f>
        <v>10</v>
      </c>
      <c r="BD159" s="3">
        <f>-IF(RTD("tos.rtd",,BD$2,"."&amp;$C$134&amp;$AU$82&amp;"P"&amp;$A159)="N/A",0,RTD("tos.rtd",,BD$2,"."&amp;$C$134&amp;$AU$82&amp;"P"&amp;$A159))</f>
        <v>0</v>
      </c>
      <c r="BE159" s="54">
        <f>IF(RTD("tos.rtd",,BE$2,"."&amp;$D$134&amp;$AW$82&amp;"C"&amp;$A159)="N/A",0,RTD("tos.rtd",,BE$2,"."&amp;$D$134&amp;$AW$82&amp;"C"&amp;$A159))</f>
        <v>18</v>
      </c>
      <c r="BF159" s="3">
        <f>-IF(RTD("tos.rtd",,BF$2,"."&amp;$D$134&amp;$AW$82&amp;"P"&amp;$A159)="N/A",0,RTD("tos.rtd",,BF$2,"."&amp;$D$134&amp;$AW$82&amp;"P"&amp;$A159))</f>
        <v>-16</v>
      </c>
      <c r="BG159" s="3">
        <f ca="1">+Hoja2!Y160</f>
        <v>14</v>
      </c>
      <c r="BH159" s="7">
        <f t="shared" ca="1" si="546"/>
        <v>676</v>
      </c>
      <c r="BI159" s="32" t="str">
        <f t="shared" ca="1" si="605"/>
        <v/>
      </c>
      <c r="BJ159" s="3" t="e">
        <f ca="1">IF($BP$1=1,DX159,IF(RTD("tos.rtd",,BJ$43,"."&amp;$B$134&amp;$AS$82&amp;"C"&amp;$A159)="N/A",0,RTD("tos.rtd",,BJ$43,"."&amp;$B$134&amp;$AS$82&amp;"C"&amp;$A159)))</f>
        <v>#NUM!</v>
      </c>
      <c r="BK159" s="3" t="e">
        <f ca="1">IF($BP$1=1,DY159,-IF(RTD("tos.rtd",,BK$43,"."&amp;$B$134&amp;$AS$82&amp;"P"&amp;$A159)="N/A",0,RTD("tos.rtd",,BK$43,"."&amp;$B$134&amp;$AS$82&amp;"P"&amp;$A159)))</f>
        <v>#NUM!</v>
      </c>
      <c r="BL159" s="3">
        <f ca="1">IF($BP$1=1,DZ159,IF(RTD("tos.rtd",,BL$2,"."&amp;$C$134&amp;$AU$82&amp;"C"&amp;$A159)="N/A",0,RTD("tos.rtd",,BL$2,"."&amp;$C$134&amp;$AU$82&amp;"C"&amp;$A159)))</f>
        <v>7.7776261090208108E-4</v>
      </c>
      <c r="BM159" s="3">
        <f ca="1">IF($BP$1=1,EA159,-IF(RTD("tos.rtd",,BM$2,"."&amp;$C$134&amp;$AU$82&amp;"P"&amp;$A159)="N/A",0,RTD("tos.rtd",,BM$2,"."&amp;$C$134&amp;$AU$82&amp;"P"&amp;$A159)))</f>
        <v>-9.4470618050759034E-4</v>
      </c>
      <c r="BN159" s="3">
        <f ca="1">IF($BP$1=1,EB159,IF(RTD("tos.rtd",,BN$2,"."&amp;$D$134&amp;$AW$82&amp;"C"&amp;$A159)="N/A",0,RTD("tos.rtd",,BN$2,"."&amp;$D$134&amp;$AW$82&amp;"C"&amp;$A159)))</f>
        <v>9.8038839777341057E-4</v>
      </c>
      <c r="BO159" s="3">
        <f ca="1">IF($BP$1=1,EC159,-IF(RTD("tos.rtd",,BO$2,"."&amp;$D$134&amp;$AW$82&amp;"P"&amp;$A159)="N/A",0,RTD("tos.rtd",,BO$2,"."&amp;$D$134&amp;$AW$82&amp;"P"&amp;$A159)))</f>
        <v>-1.0390365907316219E-3</v>
      </c>
      <c r="BQ159" s="3" t="e">
        <f t="shared" ca="1" si="621"/>
        <v>#NUM!</v>
      </c>
      <c r="BR159" s="3" t="e">
        <f t="shared" ca="1" si="547"/>
        <v>#NUM!</v>
      </c>
      <c r="BS159" s="3">
        <f t="shared" ca="1" si="622"/>
        <v>343488.12054505653</v>
      </c>
      <c r="BT159" s="3" t="str">
        <f t="shared" ca="1" si="548"/>
        <v/>
      </c>
      <c r="BU159" s="3">
        <f t="shared" ca="1" si="623"/>
        <v>-224787.42857386405</v>
      </c>
      <c r="BV159" s="3" t="str">
        <f t="shared" ca="1" si="548"/>
        <v>Cruce -</v>
      </c>
      <c r="BX159" s="3" t="e">
        <f t="shared" ca="1" si="582"/>
        <v>#NUM!</v>
      </c>
      <c r="BY159" s="3" t="e">
        <f t="shared" ca="1" si="583"/>
        <v>#NUM!</v>
      </c>
      <c r="BZ159" s="3">
        <f t="shared" ca="1" si="584"/>
        <v>1843.4756704724161</v>
      </c>
      <c r="CA159" s="3" t="str">
        <f t="shared" ca="1" si="583"/>
        <v/>
      </c>
      <c r="CB159" s="3">
        <f t="shared" ca="1" si="585"/>
        <v>242.33358894190633</v>
      </c>
      <c r="CC159" s="3" t="str">
        <f t="shared" ca="1" si="583"/>
        <v/>
      </c>
      <c r="CD159" s="3">
        <f>IF(RTD("tos.rtd",,CD$43,"."&amp;$B$134&amp;$AS$82&amp;"C"&amp;$A159)="N/A",0,RTD("tos.rtd",,CD$43,"."&amp;$B$134&amp;$AS$82&amp;"C"&amp;$A159))</f>
        <v>0.11</v>
      </c>
      <c r="CE159" s="3">
        <f>-IF(RTD("tos.rtd",,CE$43,"."&amp;$B$134&amp;$AS$82&amp;"P"&amp;$A159)="N/A",0,RTD("tos.rtd",,CE$43,"."&amp;$B$134&amp;$AS$82&amp;"P"&amp;$A159))</f>
        <v>0.82</v>
      </c>
      <c r="CF159" s="3">
        <f>IF(RTD("tos.rtd",,CF$2,"."&amp;$C$134&amp;$AU$82&amp;"C"&amp;$A159)="N/A",0,RTD("tos.rtd",,CF$2,"."&amp;$C$134&amp;$AU$82&amp;"C"&amp;$A159))</f>
        <v>0.48</v>
      </c>
      <c r="CG159" s="3">
        <f>-IF(RTD("tos.rtd",,CG$2,"."&amp;$C$134&amp;$AU$82&amp;"P"&amp;$A159)="N/A",0,RTD("tos.rtd",,CG$2,"."&amp;$C$134&amp;$AU$82&amp;"P"&amp;$A159))</f>
        <v>0.53</v>
      </c>
      <c r="CH159" s="3">
        <f>IF(RTD("tos.rtd",,CH$2,"."&amp;$D$134&amp;$AW$82&amp;"C"&amp;$A159)="N/A",0,RTD("tos.rtd",,CH$2,"."&amp;$D$134&amp;$AW$82&amp;"C"&amp;$A159))</f>
        <v>0.5</v>
      </c>
      <c r="CI159" s="3">
        <f>-IF(RTD("tos.rtd",,CI$2,"."&amp;$D$134&amp;$AW$82&amp;"P"&amp;$A159)="N/A",0,RTD("tos.rtd",,CI$2,"."&amp;$D$134&amp;$AW$82&amp;"P"&amp;$A159))</f>
        <v>0.5</v>
      </c>
      <c r="CK159" s="3">
        <f t="shared" si="616"/>
        <v>-786</v>
      </c>
      <c r="CL159" s="3"/>
      <c r="CM159" s="3">
        <f t="shared" si="617"/>
        <v>695</v>
      </c>
      <c r="CN159" s="3"/>
      <c r="CO159" s="3">
        <f t="shared" si="618"/>
        <v>-200</v>
      </c>
      <c r="CP159" s="3">
        <f t="shared" si="539"/>
        <v>-291</v>
      </c>
      <c r="CQ159" s="3">
        <f t="shared" si="549"/>
        <v>650</v>
      </c>
      <c r="CR159" s="3"/>
      <c r="CS159" s="3">
        <f t="shared" si="550"/>
        <v>10</v>
      </c>
      <c r="CT159" s="3"/>
      <c r="CU159" s="3">
        <f t="shared" si="551"/>
        <v>2</v>
      </c>
      <c r="CV159" s="3"/>
      <c r="CW159" s="3" t="e">
        <f t="shared" ca="1" si="552"/>
        <v>#NUM!</v>
      </c>
      <c r="CY159" s="3" t="e">
        <f t="shared" ca="1" si="553"/>
        <v>#NUM!</v>
      </c>
      <c r="CZ159" s="70" t="e">
        <f t="shared" ca="1" si="586"/>
        <v>#NUM!</v>
      </c>
      <c r="DA159" s="3">
        <f>IF(RTD("tos.rtd",,DA$43,"."&amp;$B$134&amp;$AS$82&amp;"C"&amp;$A159)="N/A",0,RTD("tos.rtd",,DA$43,"."&amp;$B$134&amp;$AS$82&amp;"C"&amp;$A159))</f>
        <v>0.5</v>
      </c>
      <c r="DB159" s="3">
        <f>IF(RTD("tos.rtd",,DB$43,"."&amp;$B$134&amp;$AS$82&amp;"P"&amp;$A159)="N/A",0,RTD("tos.rtd",,DB$43,"."&amp;$B$134&amp;$AS$82&amp;"P"&amp;$A159))</f>
        <v>43.9</v>
      </c>
      <c r="DC159" s="3">
        <f>IF(RTD("tos.rtd",,DC$43,"."&amp;$B$134&amp;$AS$82&amp;"C"&amp;$A159)="N/A",0,RTD("tos.rtd",,DC$43,"."&amp;$B$134&amp;$AS$82&amp;"C"&amp;$A159))</f>
        <v>2.75</v>
      </c>
      <c r="DD159" s="3">
        <f>IF(RTD("tos.rtd",,DD$43,"."&amp;$B$134&amp;$AS$82&amp;"P"&amp;$A159)="N/A",0,RTD("tos.rtd",,DD$43,"."&amp;$B$134&amp;$AS$82&amp;"P"&amp;$A159))</f>
        <v>42.7</v>
      </c>
      <c r="DE159" s="3">
        <f>IF(RTD("tos.rtd",,DE$43,"."&amp;$B$134&amp;$AS$82&amp;"C"&amp;$A159)="N/A",0,RTD("tos.rtd",,DE$43,"."&amp;$B$134&amp;$AS$82&amp;"C"&amp;$A159))</f>
        <v>0.05</v>
      </c>
      <c r="DF159" s="3">
        <f>IF(RTD("tos.rtd",,DF$43,"."&amp;$B$134&amp;$AS$82&amp;"P"&amp;$A159)="N/A",0,RTD("tos.rtd",,DF$43,"."&amp;$B$134&amp;$AS$82&amp;"P"&amp;$A159))</f>
        <v>28</v>
      </c>
      <c r="DG159" s="86">
        <f t="shared" si="587"/>
        <v>32.026999999998225</v>
      </c>
      <c r="DH159" s="3">
        <f t="shared" si="554"/>
        <v>0</v>
      </c>
      <c r="DI159" s="3">
        <f t="shared" si="555"/>
        <v>0</v>
      </c>
      <c r="DJ159" s="3">
        <f t="shared" si="556"/>
        <v>0</v>
      </c>
      <c r="DK159" s="3">
        <f t="shared" si="557"/>
        <v>0</v>
      </c>
      <c r="DL159" s="3">
        <f t="shared" si="558"/>
        <v>0</v>
      </c>
      <c r="DM159" s="3">
        <f t="shared" si="559"/>
        <v>0</v>
      </c>
      <c r="DN159" s="64" t="str">
        <f t="shared" si="560"/>
        <v>UNKNOWN</v>
      </c>
      <c r="DO159" s="64" t="str">
        <f t="shared" si="561"/>
        <v>UNKNOWN</v>
      </c>
      <c r="DP159" s="3">
        <f t="shared" si="562"/>
        <v>0</v>
      </c>
      <c r="DQ159" s="3">
        <f t="shared" si="563"/>
        <v>0</v>
      </c>
      <c r="DR159" s="3" t="e">
        <f t="shared" ca="1" si="564"/>
        <v>#NUM!</v>
      </c>
      <c r="DS159" s="3">
        <f t="shared" si="565"/>
        <v>0</v>
      </c>
      <c r="DT159" s="3">
        <f t="shared" si="588"/>
        <v>0</v>
      </c>
      <c r="DU159" s="3">
        <f t="shared" si="589"/>
        <v>0</v>
      </c>
      <c r="DV159" s="3">
        <f t="shared" si="566"/>
        <v>83</v>
      </c>
      <c r="DW159" s="3">
        <f t="shared" si="567"/>
        <v>-15</v>
      </c>
      <c r="DX159" s="3" t="e">
        <f t="shared" ca="1" si="568"/>
        <v>#NUM!</v>
      </c>
      <c r="DY159" s="3" t="e">
        <f t="shared" ca="1" si="569"/>
        <v>#NUM!</v>
      </c>
      <c r="DZ159" s="3">
        <f t="shared" ca="1" si="570"/>
        <v>7.7776261090208108E-4</v>
      </c>
      <c r="EA159" s="3">
        <f t="shared" ca="1" si="571"/>
        <v>-9.4470618050759034E-4</v>
      </c>
      <c r="EB159" s="3">
        <f t="shared" ca="1" si="572"/>
        <v>9.8038839777341057E-4</v>
      </c>
      <c r="EC159" s="3">
        <f t="shared" ca="1" si="573"/>
        <v>-1.0390365907316219E-3</v>
      </c>
      <c r="ED159" s="63">
        <f t="shared" si="590"/>
        <v>68</v>
      </c>
      <c r="EE159" s="59">
        <f t="shared" si="574"/>
        <v>0.1741</v>
      </c>
      <c r="EF159" s="59">
        <f t="shared" si="575"/>
        <v>0.23169999999999999</v>
      </c>
      <c r="EG159" s="59">
        <f t="shared" si="576"/>
        <v>0.316</v>
      </c>
      <c r="EH159" s="59">
        <f t="shared" si="577"/>
        <v>0.26</v>
      </c>
      <c r="EI159" s="59">
        <f t="shared" si="578"/>
        <v>0.2505</v>
      </c>
      <c r="EJ159" s="59">
        <f t="shared" si="579"/>
        <v>0.23630000000000001</v>
      </c>
      <c r="EL159" s="3" t="str">
        <f>RTD("tos.rtd",,EL$43,"."&amp;$B$134&amp;$AS$82&amp;"C"&amp;$A159)</f>
        <v>17.41%</v>
      </c>
      <c r="EM159" s="3" t="str">
        <f>RTD("tos.rtd",,EM$43,"."&amp;$B$134&amp;$AS$82&amp;"P"&amp;$A159)</f>
        <v>23.17%</v>
      </c>
      <c r="EN159" s="3" t="str">
        <f>RTD("tos.rtd",,EN$2,"."&amp;$C$134&amp;$AU$82&amp;"C"&amp;$A159)</f>
        <v>31.60%</v>
      </c>
      <c r="EO159" s="3" t="str">
        <f>RTD("tos.rtd",,EO$2,"."&amp;$C$134&amp;$AU$82&amp;"P"&amp;$A159)</f>
        <v>26.00%</v>
      </c>
      <c r="EP159" s="3" t="str">
        <f>RTD("tos.rtd",,EP$2,"."&amp;$D$134&amp;$AW$82&amp;"C"&amp;$A159)</f>
        <v>25.05%</v>
      </c>
      <c r="EQ159" s="3" t="str">
        <f>RTD("tos.rtd",,EQ$2,"."&amp;$D$134&amp;$AW$82&amp;"P"&amp;$A159)</f>
        <v>23.63%</v>
      </c>
      <c r="ES159" s="63" t="str">
        <f t="shared" si="580"/>
        <v>19900,68.00</v>
      </c>
      <c r="ET159" s="64" t="str">
        <f t="shared" ca="1" si="581"/>
        <v>19900,00.00</v>
      </c>
      <c r="EU159" s="68">
        <v>562.58000000000004</v>
      </c>
      <c r="EV159" s="68" t="s">
        <v>1292</v>
      </c>
      <c r="EW159" s="68">
        <v>485.02</v>
      </c>
      <c r="EX159" s="68" t="s">
        <v>1293</v>
      </c>
      <c r="EY159" s="68">
        <v>5639.75</v>
      </c>
      <c r="EZ159" s="68" t="s">
        <v>1294</v>
      </c>
      <c r="FA159" s="68">
        <v>19924.25</v>
      </c>
      <c r="FB159" s="68" t="s">
        <v>1295</v>
      </c>
      <c r="FC159" s="68" t="s">
        <v>1296</v>
      </c>
      <c r="FD159" s="68" t="s">
        <v>1297</v>
      </c>
      <c r="FE159" s="68" t="s">
        <v>1298</v>
      </c>
      <c r="FF159" s="68" t="s">
        <v>1299</v>
      </c>
    </row>
    <row r="160" spans="1:162" ht="11.1" customHeight="1" thickBot="1" x14ac:dyDescent="0.25">
      <c r="A160" s="2">
        <f t="shared" si="591"/>
        <v>19875</v>
      </c>
      <c r="B160" s="3">
        <f t="shared" si="624"/>
        <v>14</v>
      </c>
      <c r="C160" s="3">
        <f t="shared" si="625"/>
        <v>9</v>
      </c>
      <c r="D160" s="3">
        <f t="shared" si="626"/>
        <v>20</v>
      </c>
      <c r="E160" s="3">
        <f t="shared" si="609"/>
        <v>43</v>
      </c>
      <c r="F160" s="4">
        <f t="shared" si="619"/>
        <v>20103.107649683236</v>
      </c>
      <c r="G160" s="5">
        <f t="shared" si="611"/>
        <v>487.02219144348544</v>
      </c>
      <c r="AM160" s="1">
        <v>51</v>
      </c>
      <c r="AN160" s="1">
        <v>-20</v>
      </c>
      <c r="AO160" s="1">
        <v>19875</v>
      </c>
      <c r="AP160" s="1">
        <v>100</v>
      </c>
      <c r="AQ160" s="1">
        <v>-52</v>
      </c>
      <c r="AS160" s="54">
        <f>IF(RTD("tos.rtd",,AS$83,"."&amp;$B$134&amp;$AS$82&amp;"C"&amp;$A160)="N/A",0,RTD("tos.rtd",,AS$83,"."&amp;$B$134&amp;$AS$82&amp;"C"&amp;$A160))</f>
        <v>9</v>
      </c>
      <c r="AT160" s="3">
        <f>-IF(RTD("tos.rtd",,AT$83,"."&amp;$B$134&amp;$AS$82&amp;"P"&amp;$A160)="N/A",0,RTD("tos.rtd",,AT$83,"."&amp;$B$134&amp;$AS$82&amp;"P"&amp;$A160))</f>
        <v>-5</v>
      </c>
      <c r="AU160" s="54">
        <f>IF(RTD("tos.rtd",,AU$2,"."&amp;$C$134&amp;$AU$134&amp;"C"&amp;$A160)="N/A",0,RTD("tos.rtd",,AU$2,"."&amp;$C$134&amp;$AU$134&amp;"C"&amp;$A160))</f>
        <v>6</v>
      </c>
      <c r="AV160" s="3">
        <f>-IF(RTD("tos.rtd",,AV$2,"."&amp;$C$134&amp;$AU$134&amp;"P"&amp;$A160)="N/A",0,RTD("tos.rtd",,AV$2,"."&amp;$C$134&amp;$AU$134&amp;"P"&amp;$A160))</f>
        <v>-3</v>
      </c>
      <c r="AW160" s="54">
        <f>IF(RTD("tos.rtd",,AW$2,"."&amp;$D$134&amp;$AW$134&amp;"C"&amp;$A160)="N/A",0,RTD("tos.rtd",,AW$2,"."&amp;$D$134&amp;$AW$134&amp;"C"&amp;$A160))</f>
        <v>13</v>
      </c>
      <c r="AX160" s="3">
        <f>-IF(RTD("tos.rtd",,AX$2,"."&amp;$D$134&amp;$AW$134&amp;"P"&amp;$A160)="N/A",0,RTD("tos.rtd",,AX$2,"."&amp;$D$134&amp;$AW$134&amp;"P"&amp;$A160))</f>
        <v>-7</v>
      </c>
      <c r="AY160" s="76">
        <f t="shared" si="620"/>
        <v>13</v>
      </c>
      <c r="AZ160" s="8">
        <f t="shared" si="545"/>
        <v>19875</v>
      </c>
      <c r="BA160" s="54">
        <f>IF(RTD("tos.rtd",,BA$43,"."&amp;$B$134&amp;$AS$82&amp;"C"&amp;$A160)="N/A",0,RTD("tos.rtd",,BA$43,"."&amp;$B$134&amp;$AS$82&amp;"C"&amp;$A160))</f>
        <v>100</v>
      </c>
      <c r="BB160" s="3">
        <f>-IF(RTD("tos.rtd",,BB$43,"."&amp;$B$134&amp;$AS$82&amp;"P"&amp;$A160)="N/A",0,RTD("tos.rtd",,BB$43,"."&amp;$B$134&amp;$AS$82&amp;"P"&amp;$A160))</f>
        <v>-52</v>
      </c>
      <c r="BC160" s="54">
        <f>IF(RTD("tos.rtd",,BC$2,"."&amp;$C$134&amp;$AU$82&amp;"C"&amp;$A160)="N/A",0,RTD("tos.rtd",,BC$2,"."&amp;$C$134&amp;$AU$82&amp;"C"&amp;$A160))</f>
        <v>0</v>
      </c>
      <c r="BD160" s="3">
        <f>-IF(RTD("tos.rtd",,BD$2,"."&amp;$C$134&amp;$AU$82&amp;"P"&amp;$A160)="N/A",0,RTD("tos.rtd",,BD$2,"."&amp;$C$134&amp;$AU$82&amp;"P"&amp;$A160))</f>
        <v>-1</v>
      </c>
      <c r="BE160" s="54">
        <f>IF(RTD("tos.rtd",,BE$2,"."&amp;$D$134&amp;$AW$82&amp;"C"&amp;$A160)="N/A",0,RTD("tos.rtd",,BE$2,"."&amp;$D$134&amp;$AW$82&amp;"C"&amp;$A160))</f>
        <v>5</v>
      </c>
      <c r="BF160" s="3">
        <f>-IF(RTD("tos.rtd",,BF$2,"."&amp;$D$134&amp;$AW$82&amp;"P"&amp;$A160)="N/A",0,RTD("tos.rtd",,BF$2,"."&amp;$D$134&amp;$AW$82&amp;"P"&amp;$A160))</f>
        <v>-3</v>
      </c>
      <c r="BG160" s="3">
        <f ca="1">+Hoja2!Y161</f>
        <v>1</v>
      </c>
      <c r="BH160" s="7">
        <f t="shared" ca="1" si="546"/>
        <v>50</v>
      </c>
      <c r="BI160" s="32" t="str">
        <f t="shared" ca="1" si="605"/>
        <v/>
      </c>
      <c r="BJ160" s="3" t="e">
        <f ca="1">IF($BP$1=1,DX160,IF(RTD("tos.rtd",,BJ$43,"."&amp;$B$134&amp;$AS$82&amp;"C"&amp;$A160)="N/A",0,RTD("tos.rtd",,BJ$43,"."&amp;$B$134&amp;$AS$82&amp;"C"&amp;$A160)))</f>
        <v>#NUM!</v>
      </c>
      <c r="BK160" s="3" t="e">
        <f ca="1">IF($BP$1=1,DY160,-IF(RTD("tos.rtd",,BK$43,"."&amp;$B$134&amp;$AS$82&amp;"P"&amp;$A160)="N/A",0,RTD("tos.rtd",,BK$43,"."&amp;$B$134&amp;$AS$82&amp;"P"&amp;$A160)))</f>
        <v>#NUM!</v>
      </c>
      <c r="BL160" s="3">
        <f ca="1">IF($BP$1=1,DZ160,IF(RTD("tos.rtd",,BL$2,"."&amp;$C$134&amp;$AU$82&amp;"C"&amp;$A160)="N/A",0,RTD("tos.rtd",,BL$2,"."&amp;$C$134&amp;$AU$82&amp;"C"&amp;$A160)))</f>
        <v>7.6929652716988862E-4</v>
      </c>
      <c r="BM160" s="3">
        <f ca="1">IF($BP$1=1,EA160,-IF(RTD("tos.rtd",,BM$2,"."&amp;$C$134&amp;$AU$82&amp;"P"&amp;$A160)="N/A",0,RTD("tos.rtd",,BM$2,"."&amp;$C$134&amp;$AU$82&amp;"P"&amp;$A160)))</f>
        <v>-9.3304379004882285E-4</v>
      </c>
      <c r="BN160" s="3">
        <f ca="1">IF($BP$1=1,EB160,IF(RTD("tos.rtd",,BN$2,"."&amp;$D$134&amp;$AW$82&amp;"C"&amp;$A160)="N/A",0,RTD("tos.rtd",,BN$2,"."&amp;$D$134&amp;$AW$82&amp;"C"&amp;$A160)))</f>
        <v>9.7716114405764151E-4</v>
      </c>
      <c r="BO160" s="3">
        <f ca="1">IF($BP$1=1,EC160,-IF(RTD("tos.rtd",,BO$2,"."&amp;$D$134&amp;$AW$82&amp;"P"&amp;$A160)="N/A",0,RTD("tos.rtd",,BO$2,"."&amp;$D$134&amp;$AW$82&amp;"P"&amp;$A160)))</f>
        <v>-1.0347188560469297E-3</v>
      </c>
      <c r="BQ160" s="3" t="e">
        <f t="shared" ca="1" si="621"/>
        <v>#NUM!</v>
      </c>
      <c r="BR160" s="3" t="e">
        <f t="shared" ca="1" si="547"/>
        <v>#NUM!</v>
      </c>
      <c r="BS160" s="3">
        <f t="shared" ca="1" si="622"/>
        <v>57608.289383616706</v>
      </c>
      <c r="BT160" s="3" t="str">
        <f t="shared" ca="1" si="548"/>
        <v/>
      </c>
      <c r="BU160" s="3">
        <f t="shared" ca="1" si="623"/>
        <v>173145.77085446101</v>
      </c>
      <c r="BV160" s="3" t="str">
        <f t="shared" ca="1" si="548"/>
        <v>Cruce +</v>
      </c>
      <c r="BX160" s="3" t="e">
        <f t="shared" ca="1" si="582"/>
        <v>#NUM!</v>
      </c>
      <c r="BY160" s="3" t="e">
        <f t="shared" ca="1" si="583"/>
        <v>#NUM!</v>
      </c>
      <c r="BZ160" s="3">
        <f t="shared" ca="1" si="584"/>
        <v>-221.15276593784841</v>
      </c>
      <c r="CA160" s="3" t="str">
        <f t="shared" ca="1" si="583"/>
        <v>Cruce -</v>
      </c>
      <c r="CB160" s="3">
        <f t="shared" ca="1" si="585"/>
        <v>422.29168891162828</v>
      </c>
      <c r="CC160" s="3" t="str">
        <f t="shared" ca="1" si="583"/>
        <v/>
      </c>
      <c r="CD160" s="3">
        <f>IF(RTD("tos.rtd",,CD$43,"."&amp;$B$134&amp;$AS$82&amp;"C"&amp;$A160)="N/A",0,RTD("tos.rtd",,CD$43,"."&amp;$B$134&amp;$AS$82&amp;"C"&amp;$A160))</f>
        <v>0.42</v>
      </c>
      <c r="CE160" s="3">
        <f>-IF(RTD("tos.rtd",,CE$43,"."&amp;$B$134&amp;$AS$82&amp;"P"&amp;$A160)="N/A",0,RTD("tos.rtd",,CE$43,"."&amp;$B$134&amp;$AS$82&amp;"P"&amp;$A160))</f>
        <v>0.6</v>
      </c>
      <c r="CF160" s="3">
        <f>IF(RTD("tos.rtd",,CF$2,"."&amp;$C$134&amp;$AU$82&amp;"C"&amp;$A160)="N/A",0,RTD("tos.rtd",,CF$2,"."&amp;$C$134&amp;$AU$82&amp;"C"&amp;$A160))</f>
        <v>0.5</v>
      </c>
      <c r="CG160" s="3">
        <f>-IF(RTD("tos.rtd",,CG$2,"."&amp;$C$134&amp;$AU$82&amp;"P"&amp;$A160)="N/A",0,RTD("tos.rtd",,CG$2,"."&amp;$C$134&amp;$AU$82&amp;"P"&amp;$A160))</f>
        <v>0.5</v>
      </c>
      <c r="CH160" s="3">
        <f>IF(RTD("tos.rtd",,CH$2,"."&amp;$D$134&amp;$AW$82&amp;"C"&amp;$A160)="N/A",0,RTD("tos.rtd",,CH$2,"."&amp;$D$134&amp;$AW$82&amp;"C"&amp;$A160))</f>
        <v>0.51</v>
      </c>
      <c r="CI160" s="3">
        <f>-IF(RTD("tos.rtd",,CI$2,"."&amp;$D$134&amp;$AW$82&amp;"P"&amp;$A160)="N/A",0,RTD("tos.rtd",,CI$2,"."&amp;$D$134&amp;$AW$82&amp;"P"&amp;$A160))</f>
        <v>0.49</v>
      </c>
      <c r="CK160" s="3">
        <f t="shared" si="616"/>
        <v>78</v>
      </c>
      <c r="CL160" s="3"/>
      <c r="CM160" s="3">
        <f t="shared" si="617"/>
        <v>150</v>
      </c>
      <c r="CN160" s="3"/>
      <c r="CO160" s="3">
        <f t="shared" si="618"/>
        <v>320</v>
      </c>
      <c r="CP160" s="3">
        <f t="shared" si="539"/>
        <v>548</v>
      </c>
      <c r="CQ160" s="3">
        <f t="shared" si="549"/>
        <v>48</v>
      </c>
      <c r="CR160" s="3"/>
      <c r="CS160" s="3">
        <f t="shared" si="550"/>
        <v>-1</v>
      </c>
      <c r="CT160" s="3"/>
      <c r="CU160" s="3">
        <f t="shared" si="551"/>
        <v>2</v>
      </c>
      <c r="CV160" s="3"/>
      <c r="CW160" s="3" t="e">
        <f t="shared" ca="1" si="552"/>
        <v>#NUM!</v>
      </c>
      <c r="CY160" s="3" t="e">
        <f t="shared" ca="1" si="553"/>
        <v>#NUM!</v>
      </c>
      <c r="CZ160" s="70" t="e">
        <f t="shared" ca="1" si="586"/>
        <v>#NUM!</v>
      </c>
      <c r="DA160" s="3">
        <f>IF(RTD("tos.rtd",,DA$43,"."&amp;$B$134&amp;$AS$82&amp;"C"&amp;$A160)="N/A",0,RTD("tos.rtd",,DA$43,"."&amp;$B$134&amp;$AS$82&amp;"C"&amp;$A160))</f>
        <v>10.3</v>
      </c>
      <c r="DB160" s="3">
        <f>IF(RTD("tos.rtd",,DB$43,"."&amp;$B$134&amp;$AS$82&amp;"P"&amp;$A160)="N/A",0,RTD("tos.rtd",,DB$43,"."&amp;$B$134&amp;$AS$82&amp;"P"&amp;$A160))</f>
        <v>7.2</v>
      </c>
      <c r="DC160" s="3">
        <f>IF(RTD("tos.rtd",,DC$43,"."&amp;$B$134&amp;$AS$82&amp;"C"&amp;$A160)="N/A",0,RTD("tos.rtd",,DC$43,"."&amp;$B$134&amp;$AS$82&amp;"C"&amp;$A160))</f>
        <v>19.8</v>
      </c>
      <c r="DD160" s="3">
        <f>IF(RTD("tos.rtd",,DD$43,"."&amp;$B$134&amp;$AS$82&amp;"P"&amp;$A160)="N/A",0,RTD("tos.rtd",,DD$43,"."&amp;$B$134&amp;$AS$82&amp;"P"&amp;$A160))</f>
        <v>24.5</v>
      </c>
      <c r="DE160" s="3">
        <f>IF(RTD("tos.rtd",,DE$43,"."&amp;$B$134&amp;$AS$82&amp;"C"&amp;$A160)="N/A",0,RTD("tos.rtd",,DE$43,"."&amp;$B$134&amp;$AS$82&amp;"C"&amp;$A160))</f>
        <v>2</v>
      </c>
      <c r="DF160" s="3">
        <f>IF(RTD("tos.rtd",,DF$43,"."&amp;$B$134&amp;$AS$82&amp;"P"&amp;$A160)="N/A",0,RTD("tos.rtd",,DF$43,"."&amp;$B$134&amp;$AS$82&amp;"P"&amp;$A160))</f>
        <v>6</v>
      </c>
      <c r="DG160" s="86">
        <f t="shared" si="587"/>
        <v>7.0269999999982247</v>
      </c>
      <c r="DH160" s="3">
        <f t="shared" si="554"/>
        <v>0</v>
      </c>
      <c r="DI160" s="3">
        <f t="shared" si="555"/>
        <v>0</v>
      </c>
      <c r="DJ160" s="3">
        <f t="shared" si="556"/>
        <v>0</v>
      </c>
      <c r="DK160" s="3">
        <f t="shared" si="557"/>
        <v>0</v>
      </c>
      <c r="DL160" s="3">
        <f t="shared" si="558"/>
        <v>0</v>
      </c>
      <c r="DM160" s="3">
        <f t="shared" si="559"/>
        <v>0</v>
      </c>
      <c r="DN160" s="64" t="str">
        <f t="shared" si="560"/>
        <v>UNKNOWN</v>
      </c>
      <c r="DO160" s="64" t="str">
        <f t="shared" si="561"/>
        <v>UNKNOWN</v>
      </c>
      <c r="DP160" s="3">
        <f t="shared" si="562"/>
        <v>0</v>
      </c>
      <c r="DQ160" s="3">
        <f t="shared" si="563"/>
        <v>0</v>
      </c>
      <c r="DR160" s="3" t="e">
        <f t="shared" ca="1" si="564"/>
        <v>#NUM!</v>
      </c>
      <c r="DS160" s="3">
        <f t="shared" si="565"/>
        <v>0</v>
      </c>
      <c r="DT160" s="3">
        <f t="shared" si="588"/>
        <v>0</v>
      </c>
      <c r="DU160" s="3">
        <f t="shared" si="589"/>
        <v>0</v>
      </c>
      <c r="DV160" s="3">
        <f t="shared" si="566"/>
        <v>51</v>
      </c>
      <c r="DW160" s="3">
        <f t="shared" si="567"/>
        <v>-20</v>
      </c>
      <c r="DX160" s="3" t="e">
        <f t="shared" ca="1" si="568"/>
        <v>#NUM!</v>
      </c>
      <c r="DY160" s="3" t="e">
        <f t="shared" ca="1" si="569"/>
        <v>#NUM!</v>
      </c>
      <c r="DZ160" s="3">
        <f t="shared" ca="1" si="570"/>
        <v>7.6929652716988862E-4</v>
      </c>
      <c r="EA160" s="3">
        <f t="shared" ca="1" si="571"/>
        <v>-9.3304379004882285E-4</v>
      </c>
      <c r="EB160" s="3">
        <f t="shared" ca="1" si="572"/>
        <v>9.7716114405764151E-4</v>
      </c>
      <c r="EC160" s="3">
        <f t="shared" ca="1" si="573"/>
        <v>-1.0347188560469297E-3</v>
      </c>
      <c r="ED160" s="63">
        <f t="shared" si="590"/>
        <v>31</v>
      </c>
      <c r="EE160" s="59">
        <f t="shared" si="574"/>
        <v>0.23569999999999999</v>
      </c>
      <c r="EF160" s="59">
        <f t="shared" si="575"/>
        <v>0.1908</v>
      </c>
      <c r="EG160" s="59">
        <f t="shared" si="576"/>
        <v>0.31969999999999998</v>
      </c>
      <c r="EH160" s="59">
        <f t="shared" si="577"/>
        <v>0.2636</v>
      </c>
      <c r="EI160" s="59">
        <f t="shared" si="578"/>
        <v>0.25169999999999998</v>
      </c>
      <c r="EJ160" s="59">
        <f t="shared" si="579"/>
        <v>0.23769999999999999</v>
      </c>
      <c r="EL160" s="3" t="str">
        <f>RTD("tos.rtd",,EL$43,"."&amp;$B$134&amp;$AS$82&amp;"C"&amp;$A160)</f>
        <v>23.57%</v>
      </c>
      <c r="EM160" s="3" t="str">
        <f>RTD("tos.rtd",,EM$43,"."&amp;$B$134&amp;$AS$82&amp;"P"&amp;$A160)</f>
        <v>19.08%</v>
      </c>
      <c r="EN160" s="3" t="str">
        <f>RTD("tos.rtd",,EN$2,"."&amp;$C$134&amp;$AU$82&amp;"C"&amp;$A160)</f>
        <v>31.97%</v>
      </c>
      <c r="EO160" s="3" t="str">
        <f>RTD("tos.rtd",,EO$2,"."&amp;$C$134&amp;$AU$82&amp;"P"&amp;$A160)</f>
        <v>26.36%</v>
      </c>
      <c r="EP160" s="3" t="str">
        <f>RTD("tos.rtd",,EP$2,"."&amp;$D$134&amp;$AW$82&amp;"C"&amp;$A160)</f>
        <v>25.17%</v>
      </c>
      <c r="EQ160" s="3" t="str">
        <f>RTD("tos.rtd",,EQ$2,"."&amp;$D$134&amp;$AW$82&amp;"P"&amp;$A160)</f>
        <v>23.77%</v>
      </c>
      <c r="ES160" s="63" t="str">
        <f t="shared" si="580"/>
        <v>19875,31.00</v>
      </c>
      <c r="ET160" s="64" t="str">
        <f t="shared" ca="1" si="581"/>
        <v>19875,00.00</v>
      </c>
      <c r="EU160" s="68">
        <v>562.6</v>
      </c>
      <c r="EV160" s="68" t="s">
        <v>1300</v>
      </c>
      <c r="EW160" s="68">
        <v>485.18</v>
      </c>
      <c r="EX160" s="68" t="s">
        <v>1301</v>
      </c>
      <c r="EY160" s="68">
        <v>5639.75</v>
      </c>
      <c r="EZ160" s="68" t="s">
        <v>1302</v>
      </c>
      <c r="FA160" s="68">
        <v>19926</v>
      </c>
      <c r="FB160" s="68" t="s">
        <v>1303</v>
      </c>
      <c r="FC160" s="68" t="s">
        <v>1304</v>
      </c>
      <c r="FD160" s="68" t="s">
        <v>1305</v>
      </c>
      <c r="FE160" s="68" t="s">
        <v>1306</v>
      </c>
      <c r="FF160" s="68" t="s">
        <v>1307</v>
      </c>
    </row>
    <row r="161" spans="1:162" ht="11.1" customHeight="1" thickBot="1" x14ac:dyDescent="0.25">
      <c r="A161" s="2">
        <f t="shared" si="591"/>
        <v>19850</v>
      </c>
      <c r="B161" s="3">
        <f t="shared" si="624"/>
        <v>24</v>
      </c>
      <c r="C161" s="3">
        <f t="shared" si="625"/>
        <v>10</v>
      </c>
      <c r="D161" s="3">
        <f t="shared" si="626"/>
        <v>34</v>
      </c>
      <c r="E161" s="3">
        <f t="shared" si="609"/>
        <v>68</v>
      </c>
      <c r="F161" s="4">
        <f t="shared" si="619"/>
        <v>20077.820721821998</v>
      </c>
      <c r="G161" s="5">
        <f t="shared" si="611"/>
        <v>486.40958491336784</v>
      </c>
      <c r="AM161" s="1">
        <v>-45</v>
      </c>
      <c r="AN161" s="1">
        <v>44</v>
      </c>
      <c r="AO161" s="1">
        <v>19850</v>
      </c>
      <c r="AP161" s="1">
        <v>716</v>
      </c>
      <c r="AQ161" s="1">
        <v>-142</v>
      </c>
      <c r="AS161" s="54">
        <f>IF(RTD("tos.rtd",,AS$83,"."&amp;$B$134&amp;$AS$82&amp;"C"&amp;$A161)="N/A",0,RTD("tos.rtd",,AS$83,"."&amp;$B$134&amp;$AS$82&amp;"C"&amp;$A161))</f>
        <v>5</v>
      </c>
      <c r="AT161" s="3">
        <f>-IF(RTD("tos.rtd",,AT$83,"."&amp;$B$134&amp;$AS$82&amp;"P"&amp;$A161)="N/A",0,RTD("tos.rtd",,AT$83,"."&amp;$B$134&amp;$AS$82&amp;"P"&amp;$A161))</f>
        <v>-19</v>
      </c>
      <c r="AU161" s="54">
        <f>IF(RTD("tos.rtd",,AU$2,"."&amp;$C$134&amp;$AU$134&amp;"C"&amp;$A161)="N/A",0,RTD("tos.rtd",,AU$2,"."&amp;$C$134&amp;$AU$134&amp;"C"&amp;$A161))</f>
        <v>7</v>
      </c>
      <c r="AV161" s="3">
        <f>-IF(RTD("tos.rtd",,AV$2,"."&amp;$C$134&amp;$AU$134&amp;"P"&amp;$A161)="N/A",0,RTD("tos.rtd",,AV$2,"."&amp;$C$134&amp;$AU$134&amp;"P"&amp;$A161))</f>
        <v>-3</v>
      </c>
      <c r="AW161" s="54">
        <f>IF(RTD("tos.rtd",,AW$2,"."&amp;$D$134&amp;$AW$134&amp;"C"&amp;$A161)="N/A",0,RTD("tos.rtd",,AW$2,"."&amp;$D$134&amp;$AW$134&amp;"C"&amp;$A161))</f>
        <v>27</v>
      </c>
      <c r="AX161" s="3">
        <f>-IF(RTD("tos.rtd",,AX$2,"."&amp;$D$134&amp;$AW$134&amp;"P"&amp;$A161)="N/A",0,RTD("tos.rtd",,AX$2,"."&amp;$D$134&amp;$AW$134&amp;"P"&amp;$A161))</f>
        <v>-7</v>
      </c>
      <c r="AY161" s="76">
        <f t="shared" si="620"/>
        <v>10</v>
      </c>
      <c r="AZ161" s="8">
        <f t="shared" si="545"/>
        <v>19850</v>
      </c>
      <c r="BA161" s="54">
        <f>IF(RTD("tos.rtd",,BA$43,"."&amp;$B$134&amp;$AS$82&amp;"C"&amp;$A161)="N/A",0,RTD("tos.rtd",,BA$43,"."&amp;$B$134&amp;$AS$82&amp;"C"&amp;$A161))</f>
        <v>716</v>
      </c>
      <c r="BB161" s="3">
        <f>-IF(RTD("tos.rtd",,BB$43,"."&amp;$B$134&amp;$AS$82&amp;"P"&amp;$A161)="N/A",0,RTD("tos.rtd",,BB$43,"."&amp;$B$134&amp;$AS$82&amp;"P"&amp;$A161))</f>
        <v>-142</v>
      </c>
      <c r="BC161" s="54">
        <f>IF(RTD("tos.rtd",,BC$2,"."&amp;$C$134&amp;$AU$82&amp;"C"&amp;$A161)="N/A",0,RTD("tos.rtd",,BC$2,"."&amp;$C$134&amp;$AU$82&amp;"C"&amp;$A161))</f>
        <v>5</v>
      </c>
      <c r="BD161" s="3">
        <f>-IF(RTD("tos.rtd",,BD$2,"."&amp;$C$134&amp;$AU$82&amp;"P"&amp;$A161)="N/A",0,RTD("tos.rtd",,BD$2,"."&amp;$C$134&amp;$AU$82&amp;"P"&amp;$A161))</f>
        <v>-1</v>
      </c>
      <c r="BE161" s="54">
        <f>IF(RTD("tos.rtd",,BE$2,"."&amp;$D$134&amp;$AW$82&amp;"C"&amp;$A161)="N/A",0,RTD("tos.rtd",,BE$2,"."&amp;$D$134&amp;$AW$82&amp;"C"&amp;$A161))</f>
        <v>6</v>
      </c>
      <c r="BF161" s="3">
        <f>-IF(RTD("tos.rtd",,BF$2,"."&amp;$D$134&amp;$AW$82&amp;"P"&amp;$A161)="N/A",0,RTD("tos.rtd",,BF$2,"."&amp;$D$134&amp;$AW$82&amp;"P"&amp;$A161))</f>
        <v>0</v>
      </c>
      <c r="BG161" s="3">
        <f ca="1">+Hoja2!Y162</f>
        <v>3</v>
      </c>
      <c r="BH161" s="7">
        <f t="shared" ca="1" si="546"/>
        <v>587</v>
      </c>
      <c r="BI161" s="32" t="str">
        <f t="shared" ca="1" si="605"/>
        <v/>
      </c>
      <c r="BJ161" s="3" t="e">
        <f ca="1">IF($BP$1=1,DX161,IF(RTD("tos.rtd",,BJ$43,"."&amp;$B$134&amp;$AS$82&amp;"C"&amp;$A161)="N/A",0,RTD("tos.rtd",,BJ$43,"."&amp;$B$134&amp;$AS$82&amp;"C"&amp;$A161)))</f>
        <v>#NUM!</v>
      </c>
      <c r="BK161" s="3" t="e">
        <f ca="1">IF($BP$1=1,DY161,-IF(RTD("tos.rtd",,BK$43,"."&amp;$B$134&amp;$AS$82&amp;"P"&amp;$A161)="N/A",0,RTD("tos.rtd",,BK$43,"."&amp;$B$134&amp;$AS$82&amp;"P"&amp;$A161)))</f>
        <v>#NUM!</v>
      </c>
      <c r="BL161" s="3">
        <f ca="1">IF($BP$1=1,DZ161,IF(RTD("tos.rtd",,BL$2,"."&amp;$C$134&amp;$AU$82&amp;"C"&amp;$A161)="N/A",0,RTD("tos.rtd",,BL$2,"."&amp;$C$134&amp;$AU$82&amp;"C"&amp;$A161)))</f>
        <v>7.6042655609473593E-4</v>
      </c>
      <c r="BM161" s="3">
        <f ca="1">IF($BP$1=1,EA161,-IF(RTD("tos.rtd",,BM$2,"."&amp;$C$134&amp;$AU$82&amp;"P"&amp;$A161)="N/A",0,RTD("tos.rtd",,BM$2,"."&amp;$C$134&amp;$AU$82&amp;"P"&amp;$A161)))</f>
        <v>-9.2198220305198366E-4</v>
      </c>
      <c r="BN161" s="3">
        <f ca="1">IF($BP$1=1,EB161,IF(RTD("tos.rtd",,BN$2,"."&amp;$D$134&amp;$AW$82&amp;"C"&amp;$A161)="N/A",0,RTD("tos.rtd",,BN$2,"."&amp;$D$134&amp;$AW$82&amp;"C"&amp;$A161)))</f>
        <v>9.6917306848631497E-4</v>
      </c>
      <c r="BO161" s="3">
        <f ca="1">IF($BP$1=1,EC161,-IF(RTD("tos.rtd",,BO$2,"."&amp;$D$134&amp;$AW$82&amp;"P"&amp;$A161)="N/A",0,RTD("tos.rtd",,BO$2,"."&amp;$D$134&amp;$AW$82&amp;"P"&amp;$A161)))</f>
        <v>-1.0257000690586471E-3</v>
      </c>
      <c r="BQ161" s="3" t="e">
        <f t="shared" ca="1" si="621"/>
        <v>#NUM!</v>
      </c>
      <c r="BR161" s="3" t="e">
        <f t="shared" ca="1" si="547"/>
        <v>#NUM!</v>
      </c>
      <c r="BS161" s="3">
        <f t="shared" ca="1" si="622"/>
        <v>81087.076750637862</v>
      </c>
      <c r="BT161" s="3" t="str">
        <f t="shared" ca="1" si="548"/>
        <v/>
      </c>
      <c r="BU161" s="3">
        <f t="shared" ca="1" si="623"/>
        <v>602127.21997410827</v>
      </c>
      <c r="BV161" s="3" t="str">
        <f t="shared" ca="1" si="548"/>
        <v/>
      </c>
      <c r="BX161" s="3" t="e">
        <f t="shared" ca="1" si="582"/>
        <v>#NUM!</v>
      </c>
      <c r="BY161" s="3" t="e">
        <f t="shared" ca="1" si="583"/>
        <v>#NUM!</v>
      </c>
      <c r="BZ161" s="3">
        <f t="shared" ca="1" si="584"/>
        <v>682.66170710055292</v>
      </c>
      <c r="CA161" s="3" t="str">
        <f t="shared" ca="1" si="583"/>
        <v>Cruce +</v>
      </c>
      <c r="CB161" s="3">
        <f t="shared" ca="1" si="585"/>
        <v>1378.2973986055142</v>
      </c>
      <c r="CC161" s="3" t="str">
        <f t="shared" ca="1" si="583"/>
        <v/>
      </c>
      <c r="CD161" s="3">
        <f>IF(RTD("tos.rtd",,CD$43,"."&amp;$B$134&amp;$AS$82&amp;"C"&amp;$A161)="N/A",0,RTD("tos.rtd",,CD$43,"."&amp;$B$134&amp;$AS$82&amp;"C"&amp;$A161))</f>
        <v>0.73</v>
      </c>
      <c r="CE161" s="3">
        <f>-IF(RTD("tos.rtd",,CE$43,"."&amp;$B$134&amp;$AS$82&amp;"P"&amp;$A161)="N/A",0,RTD("tos.rtd",,CE$43,"."&amp;$B$134&amp;$AS$82&amp;"P"&amp;$A161))</f>
        <v>0.34</v>
      </c>
      <c r="CF161" s="3">
        <f>IF(RTD("tos.rtd",,CF$2,"."&amp;$C$134&amp;$AU$82&amp;"C"&amp;$A161)="N/A",0,RTD("tos.rtd",,CF$2,"."&amp;$C$134&amp;$AU$82&amp;"C"&amp;$A161))</f>
        <v>0.52</v>
      </c>
      <c r="CG161" s="3">
        <f>-IF(RTD("tos.rtd",,CG$2,"."&amp;$C$134&amp;$AU$82&amp;"P"&amp;$A161)="N/A",0,RTD("tos.rtd",,CG$2,"."&amp;$C$134&amp;$AU$82&amp;"P"&amp;$A161))</f>
        <v>0.47</v>
      </c>
      <c r="CH161" s="3">
        <f>IF(RTD("tos.rtd",,CH$2,"."&amp;$D$134&amp;$AW$82&amp;"C"&amp;$A161)="N/A",0,RTD("tos.rtd",,CH$2,"."&amp;$D$134&amp;$AW$82&amp;"C"&amp;$A161))</f>
        <v>0.53</v>
      </c>
      <c r="CI161" s="3">
        <f>-IF(RTD("tos.rtd",,CI$2,"."&amp;$D$134&amp;$AW$82&amp;"P"&amp;$A161)="N/A",0,RTD("tos.rtd",,CI$2,"."&amp;$D$134&amp;$AW$82&amp;"P"&amp;$A161))</f>
        <v>0.47</v>
      </c>
      <c r="CK161" s="3">
        <f t="shared" si="616"/>
        <v>-281.00000000000011</v>
      </c>
      <c r="CL161" s="3"/>
      <c r="CM161" s="3">
        <f t="shared" si="617"/>
        <v>223</v>
      </c>
      <c r="CN161" s="3"/>
      <c r="CO161" s="3">
        <f t="shared" si="618"/>
        <v>1102</v>
      </c>
      <c r="CP161" s="3">
        <f t="shared" si="539"/>
        <v>1044</v>
      </c>
      <c r="CQ161" s="3">
        <f t="shared" si="549"/>
        <v>574</v>
      </c>
      <c r="CR161" s="3"/>
      <c r="CS161" s="3">
        <f t="shared" si="550"/>
        <v>4</v>
      </c>
      <c r="CT161" s="3"/>
      <c r="CU161" s="3">
        <f t="shared" si="551"/>
        <v>6</v>
      </c>
      <c r="CV161" s="3"/>
      <c r="CW161" s="3" t="e">
        <f t="shared" ca="1" si="552"/>
        <v>#NUM!</v>
      </c>
      <c r="CY161" s="3" t="e">
        <f t="shared" ca="1" si="553"/>
        <v>#NUM!</v>
      </c>
      <c r="CZ161" s="70" t="e">
        <f t="shared" ca="1" si="586"/>
        <v>#NUM!</v>
      </c>
      <c r="DA161" s="3">
        <f>IF(RTD("tos.rtd",,DA$43,"."&amp;$B$134&amp;$AS$82&amp;"C"&amp;$A161)="N/A",0,RTD("tos.rtd",,DA$43,"."&amp;$B$134&amp;$AS$82&amp;"C"&amp;$A161))</f>
        <v>26.2</v>
      </c>
      <c r="DB161" s="3">
        <f>IF(RTD("tos.rtd",,DB$43,"."&amp;$B$134&amp;$AS$82&amp;"P"&amp;$A161)="N/A",0,RTD("tos.rtd",,DB$43,"."&amp;$B$134&amp;$AS$82&amp;"P"&amp;$A161))</f>
        <v>0.05</v>
      </c>
      <c r="DC161" s="3">
        <f>IF(RTD("tos.rtd",,DC$43,"."&amp;$B$134&amp;$AS$82&amp;"C"&amp;$A161)="N/A",0,RTD("tos.rtd",,DC$43,"."&amp;$B$134&amp;$AS$82&amp;"C"&amp;$A161))</f>
        <v>25.6</v>
      </c>
      <c r="DD161" s="3">
        <f>IF(RTD("tos.rtd",,DD$43,"."&amp;$B$134&amp;$AS$82&amp;"P"&amp;$A161)="N/A",0,RTD("tos.rtd",,DD$43,"."&amp;$B$134&amp;$AS$82&amp;"P"&amp;$A161))</f>
        <v>19.8</v>
      </c>
      <c r="DE161" s="3">
        <f>IF(RTD("tos.rtd",,DE$43,"."&amp;$B$134&amp;$AS$82&amp;"C"&amp;$A161)="N/A",0,RTD("tos.rtd",,DE$43,"."&amp;$B$134&amp;$AS$82&amp;"C"&amp;$A161))</f>
        <v>20</v>
      </c>
      <c r="DF161" s="3">
        <f>IF(RTD("tos.rtd",,DF$43,"."&amp;$B$134&amp;$AS$82&amp;"P"&amp;$A161)="N/A",0,RTD("tos.rtd",,DF$43,"."&amp;$B$134&amp;$AS$82&amp;"P"&amp;$A161))</f>
        <v>0.05</v>
      </c>
      <c r="DG161" s="86">
        <f t="shared" si="587"/>
        <v>-17.973000000001775</v>
      </c>
      <c r="DH161" s="3">
        <f t="shared" si="554"/>
        <v>0</v>
      </c>
      <c r="DI161" s="3">
        <f t="shared" si="555"/>
        <v>0</v>
      </c>
      <c r="DJ161" s="3">
        <f t="shared" si="556"/>
        <v>0</v>
      </c>
      <c r="DK161" s="3">
        <f t="shared" si="557"/>
        <v>0</v>
      </c>
      <c r="DL161" s="3">
        <f t="shared" si="558"/>
        <v>0</v>
      </c>
      <c r="DM161" s="3">
        <f t="shared" si="559"/>
        <v>0</v>
      </c>
      <c r="DN161" s="64" t="str">
        <f t="shared" si="560"/>
        <v>UNKNOWN</v>
      </c>
      <c r="DO161" s="64" t="str">
        <f t="shared" si="561"/>
        <v>UNKNOWN</v>
      </c>
      <c r="DP161" s="3">
        <f t="shared" si="562"/>
        <v>0</v>
      </c>
      <c r="DQ161" s="3">
        <f t="shared" si="563"/>
        <v>0</v>
      </c>
      <c r="DR161" s="3" t="e">
        <f t="shared" ca="1" si="564"/>
        <v>#NUM!</v>
      </c>
      <c r="DS161" s="3">
        <f t="shared" si="565"/>
        <v>0</v>
      </c>
      <c r="DT161" s="3">
        <f t="shared" si="588"/>
        <v>0</v>
      </c>
      <c r="DU161" s="3">
        <f t="shared" si="589"/>
        <v>0</v>
      </c>
      <c r="DV161" s="3">
        <f t="shared" si="566"/>
        <v>-45</v>
      </c>
      <c r="DW161" s="3">
        <f t="shared" si="567"/>
        <v>44</v>
      </c>
      <c r="DX161" s="3" t="e">
        <f t="shared" ca="1" si="568"/>
        <v>#NUM!</v>
      </c>
      <c r="DY161" s="3" t="e">
        <f t="shared" ca="1" si="569"/>
        <v>#NUM!</v>
      </c>
      <c r="DZ161" s="3">
        <f t="shared" ca="1" si="570"/>
        <v>7.6042655609473593E-4</v>
      </c>
      <c r="EA161" s="3">
        <f t="shared" ca="1" si="571"/>
        <v>-9.2198220305198366E-4</v>
      </c>
      <c r="EB161" s="3">
        <f t="shared" ca="1" si="572"/>
        <v>9.6917306848631497E-4</v>
      </c>
      <c r="EC161" s="3">
        <f t="shared" ca="1" si="573"/>
        <v>-1.0257000690586471E-3</v>
      </c>
      <c r="ED161" s="63">
        <f t="shared" si="590"/>
        <v>-1</v>
      </c>
      <c r="EE161" s="59">
        <f t="shared" si="574"/>
        <v>0.19439999999999999</v>
      </c>
      <c r="EF161" s="59">
        <f t="shared" si="575"/>
        <v>0.29210000000000003</v>
      </c>
      <c r="EG161" s="59">
        <f t="shared" si="576"/>
        <v>0.32290000000000002</v>
      </c>
      <c r="EH161" s="59">
        <f t="shared" si="577"/>
        <v>0.26619999999999999</v>
      </c>
      <c r="EI161" s="59">
        <f t="shared" si="578"/>
        <v>0.25319999999999998</v>
      </c>
      <c r="EJ161" s="59">
        <f t="shared" si="579"/>
        <v>0.2392</v>
      </c>
      <c r="EL161" s="3" t="str">
        <f>RTD("tos.rtd",,EL$43,"."&amp;$B$134&amp;$AS$82&amp;"C"&amp;$A161)</f>
        <v>19.44%</v>
      </c>
      <c r="EM161" s="3" t="str">
        <f>RTD("tos.rtd",,EM$43,"."&amp;$B$134&amp;$AS$82&amp;"P"&amp;$A161)</f>
        <v>29.21%</v>
      </c>
      <c r="EN161" s="3" t="str">
        <f>RTD("tos.rtd",,EN$2,"."&amp;$C$134&amp;$AU$82&amp;"C"&amp;$A161)</f>
        <v>32.29%</v>
      </c>
      <c r="EO161" s="3" t="str">
        <f>RTD("tos.rtd",,EO$2,"."&amp;$C$134&amp;$AU$82&amp;"P"&amp;$A161)</f>
        <v>26.62%</v>
      </c>
      <c r="EP161" s="3" t="str">
        <f>RTD("tos.rtd",,EP$2,"."&amp;$D$134&amp;$AW$82&amp;"C"&amp;$A161)</f>
        <v>25.32%</v>
      </c>
      <c r="EQ161" s="3" t="str">
        <f>RTD("tos.rtd",,EQ$2,"."&amp;$D$134&amp;$AW$82&amp;"P"&amp;$A161)</f>
        <v>23.92%</v>
      </c>
      <c r="ES161" s="63" t="str">
        <f t="shared" si="580"/>
        <v>19850,-01.00</v>
      </c>
      <c r="ET161" s="64" t="str">
        <f t="shared" ca="1" si="581"/>
        <v>19850,00.00</v>
      </c>
      <c r="EU161" s="68">
        <v>562.6</v>
      </c>
      <c r="EV161" s="68" t="s">
        <v>1308</v>
      </c>
      <c r="EW161" s="68">
        <v>485.07</v>
      </c>
      <c r="EX161" s="68" t="s">
        <v>1309</v>
      </c>
      <c r="EY161" s="68">
        <v>5640</v>
      </c>
      <c r="EZ161" s="68" t="s">
        <v>1310</v>
      </c>
      <c r="FA161" s="68">
        <v>19926.25</v>
      </c>
      <c r="FB161" s="68" t="s">
        <v>1311</v>
      </c>
      <c r="FC161" s="68" t="s">
        <v>1312</v>
      </c>
      <c r="FD161" s="68" t="s">
        <v>1313</v>
      </c>
      <c r="FE161" s="68" t="s">
        <v>1314</v>
      </c>
      <c r="FF161" s="68" t="s">
        <v>1315</v>
      </c>
    </row>
    <row r="162" spans="1:162" ht="11.1" customHeight="1" thickBot="1" x14ac:dyDescent="0.25">
      <c r="A162" s="2">
        <f t="shared" si="591"/>
        <v>19825</v>
      </c>
      <c r="B162" s="3">
        <f t="shared" si="624"/>
        <v>13</v>
      </c>
      <c r="C162" s="3">
        <f t="shared" si="625"/>
        <v>16</v>
      </c>
      <c r="D162" s="3">
        <f t="shared" si="626"/>
        <v>60</v>
      </c>
      <c r="E162" s="3">
        <f t="shared" si="609"/>
        <v>89</v>
      </c>
      <c r="F162" s="4">
        <f t="shared" si="619"/>
        <v>20052.533793960763</v>
      </c>
      <c r="G162" s="5">
        <f t="shared" si="611"/>
        <v>485.79697838325023</v>
      </c>
      <c r="AM162" s="1">
        <v>-31</v>
      </c>
      <c r="AN162" s="1">
        <v>1</v>
      </c>
      <c r="AO162" s="1">
        <v>19825</v>
      </c>
      <c r="AP162" s="1">
        <v>142</v>
      </c>
      <c r="AQ162" s="1">
        <v>-67</v>
      </c>
      <c r="AS162" s="54">
        <f>IF(RTD("tos.rtd",,AS$83,"."&amp;$B$134&amp;$AS$82&amp;"C"&amp;$A162)="N/A",0,RTD("tos.rtd",,AS$83,"."&amp;$B$134&amp;$AS$82&amp;"C"&amp;$A162))</f>
        <v>4</v>
      </c>
      <c r="AT162" s="3">
        <f>-IF(RTD("tos.rtd",,AT$83,"."&amp;$B$134&amp;$AS$82&amp;"P"&amp;$A162)="N/A",0,RTD("tos.rtd",,AT$83,"."&amp;$B$134&amp;$AS$82&amp;"P"&amp;$A162))</f>
        <v>-9</v>
      </c>
      <c r="AU162" s="54">
        <f>IF(RTD("tos.rtd",,AU$2,"."&amp;$C$134&amp;$AU$134&amp;"C"&amp;$A162)="N/A",0,RTD("tos.rtd",,AU$2,"."&amp;$C$134&amp;$AU$134&amp;"C"&amp;$A162))</f>
        <v>14</v>
      </c>
      <c r="AV162" s="3">
        <f>-IF(RTD("tos.rtd",,AV$2,"."&amp;$C$134&amp;$AU$134&amp;"P"&amp;$A162)="N/A",0,RTD("tos.rtd",,AV$2,"."&amp;$C$134&amp;$AU$134&amp;"P"&amp;$A162))</f>
        <v>-2</v>
      </c>
      <c r="AW162" s="54">
        <f>IF(RTD("tos.rtd",,AW$2,"."&amp;$D$134&amp;$AW$134&amp;"C"&amp;$A162)="N/A",0,RTD("tos.rtd",,AW$2,"."&amp;$D$134&amp;$AW$134&amp;"C"&amp;$A162))</f>
        <v>33</v>
      </c>
      <c r="AX162" s="3">
        <f>-IF(RTD("tos.rtd",,AX$2,"."&amp;$D$134&amp;$AW$134&amp;"P"&amp;$A162)="N/A",0,RTD("tos.rtd",,AX$2,"."&amp;$D$134&amp;$AW$134&amp;"P"&amp;$A162))</f>
        <v>-27</v>
      </c>
      <c r="AY162" s="76">
        <f t="shared" si="620"/>
        <v>13</v>
      </c>
      <c r="AZ162" s="8">
        <f t="shared" si="545"/>
        <v>19825</v>
      </c>
      <c r="BA162" s="54">
        <f>IF(RTD("tos.rtd",,BA$43,"."&amp;$B$134&amp;$AS$82&amp;"C"&amp;$A162)="N/A",0,RTD("tos.rtd",,BA$43,"."&amp;$B$134&amp;$AS$82&amp;"C"&amp;$A162))</f>
        <v>142</v>
      </c>
      <c r="BB162" s="3">
        <f>-IF(RTD("tos.rtd",,BB$43,"."&amp;$B$134&amp;$AS$82&amp;"P"&amp;$A162)="N/A",0,RTD("tos.rtd",,BB$43,"."&amp;$B$134&amp;$AS$82&amp;"P"&amp;$A162))</f>
        <v>-67</v>
      </c>
      <c r="BC162" s="54">
        <f>IF(RTD("tos.rtd",,BC$2,"."&amp;$C$134&amp;$AU$82&amp;"C"&amp;$A162)="N/A",0,RTD("tos.rtd",,BC$2,"."&amp;$C$134&amp;$AU$82&amp;"C"&amp;$A162))</f>
        <v>0</v>
      </c>
      <c r="BD162" s="3">
        <f>-IF(RTD("tos.rtd",,BD$2,"."&amp;$C$134&amp;$AU$82&amp;"P"&amp;$A162)="N/A",0,RTD("tos.rtd",,BD$2,"."&amp;$C$134&amp;$AU$82&amp;"P"&amp;$A162))</f>
        <v>0</v>
      </c>
      <c r="BE162" s="54">
        <f>IF(RTD("tos.rtd",,BE$2,"."&amp;$D$134&amp;$AW$82&amp;"C"&amp;$A162)="N/A",0,RTD("tos.rtd",,BE$2,"."&amp;$D$134&amp;$AW$82&amp;"C"&amp;$A162))</f>
        <v>1</v>
      </c>
      <c r="BF162" s="3">
        <f>-IF(RTD("tos.rtd",,BF$2,"."&amp;$D$134&amp;$AW$82&amp;"P"&amp;$A162)="N/A",0,RTD("tos.rtd",,BF$2,"."&amp;$D$134&amp;$AW$82&amp;"P"&amp;$A162))</f>
        <v>-4</v>
      </c>
      <c r="BG162" s="3">
        <f ca="1">+Hoja2!Y163</f>
        <v>3</v>
      </c>
      <c r="BH162" s="7">
        <f t="shared" ca="1" si="546"/>
        <v>75</v>
      </c>
      <c r="BI162" s="32" t="str">
        <f t="shared" ca="1" si="605"/>
        <v/>
      </c>
      <c r="BJ162" s="3" t="e">
        <f ca="1">IF($BP$1=1,DX162,IF(RTD("tos.rtd",,BJ$43,"."&amp;$B$134&amp;$AS$82&amp;"C"&amp;$A162)="N/A",0,RTD("tos.rtd",,BJ$43,"."&amp;$B$134&amp;$AS$82&amp;"C"&amp;$A162)))</f>
        <v>#NUM!</v>
      </c>
      <c r="BK162" s="3" t="e">
        <f ca="1">IF($BP$1=1,DY162,-IF(RTD("tos.rtd",,BK$43,"."&amp;$B$134&amp;$AS$82&amp;"P"&amp;$A162)="N/A",0,RTD("tos.rtd",,BK$43,"."&amp;$B$134&amp;$AS$82&amp;"P"&amp;$A162)))</f>
        <v>#NUM!</v>
      </c>
      <c r="BL162" s="3">
        <f ca="1">IF($BP$1=1,DZ162,IF(RTD("tos.rtd",,BL$2,"."&amp;$C$134&amp;$AU$82&amp;"C"&amp;$A162)="N/A",0,RTD("tos.rtd",,BL$2,"."&amp;$C$134&amp;$AU$82&amp;"C"&amp;$A162)))</f>
        <v>7.4985101471930276E-4</v>
      </c>
      <c r="BM162" s="3">
        <f ca="1">IF($BP$1=1,EA162,-IF(RTD("tos.rtd",,BM$2,"."&amp;$C$134&amp;$AU$82&amp;"P"&amp;$A162)="N/A",0,RTD("tos.rtd",,BM$2,"."&amp;$C$134&amp;$AU$82&amp;"P"&amp;$A162)))</f>
        <v>-9.0585989542693428E-4</v>
      </c>
      <c r="BN162" s="3">
        <f ca="1">IF($BP$1=1,EB162,IF(RTD("tos.rtd",,BN$2,"."&amp;$D$134&amp;$AW$82&amp;"C"&amp;$A162)="N/A",0,RTD("tos.rtd",,BN$2,"."&amp;$D$134&amp;$AW$82&amp;"C"&amp;$A162)))</f>
        <v>9.5816679457464457E-4</v>
      </c>
      <c r="BO162" s="3">
        <f ca="1">IF($BP$1=1,EC162,-IF(RTD("tos.rtd",,BO$2,"."&amp;$D$134&amp;$AW$82&amp;"P"&amp;$A162)="N/A",0,RTD("tos.rtd",,BO$2,"."&amp;$D$134&amp;$AW$82&amp;"P"&amp;$A162)))</f>
        <v>-1.0130864247059274E-3</v>
      </c>
      <c r="BQ162" s="3" t="e">
        <f t="shared" ca="1" si="621"/>
        <v>#NUM!</v>
      </c>
      <c r="BR162" s="3" t="e">
        <f t="shared" ca="1" si="547"/>
        <v>#NUM!</v>
      </c>
      <c r="BS162" s="3">
        <f t="shared" ca="1" si="622"/>
        <v>275450.64237400028</v>
      </c>
      <c r="BT162" s="3" t="str">
        <f t="shared" ca="1" si="548"/>
        <v/>
      </c>
      <c r="BU162" s="3">
        <f t="shared" ca="1" si="623"/>
        <v>135285.88222493138</v>
      </c>
      <c r="BV162" s="3" t="str">
        <f t="shared" ca="1" si="548"/>
        <v/>
      </c>
      <c r="BX162" s="3" t="e">
        <f t="shared" ca="1" si="582"/>
        <v>#NUM!</v>
      </c>
      <c r="BY162" s="3" t="e">
        <f t="shared" ca="1" si="583"/>
        <v>#NUM!</v>
      </c>
      <c r="BZ162" s="3">
        <f t="shared" ca="1" si="584"/>
        <v>0</v>
      </c>
      <c r="CA162" s="3" t="str">
        <f t="shared" ca="1" si="583"/>
        <v/>
      </c>
      <c r="CB162" s="3">
        <f t="shared" ca="1" si="585"/>
        <v>-733.39132662296106</v>
      </c>
      <c r="CC162" s="3" t="str">
        <f t="shared" ca="1" si="583"/>
        <v>Cruce -</v>
      </c>
      <c r="CD162" s="3">
        <f>IF(RTD("tos.rtd",,CD$43,"."&amp;$B$134&amp;$AS$82&amp;"C"&amp;$A162)="N/A",0,RTD("tos.rtd",,CD$43,"."&amp;$B$134&amp;$AS$82&amp;"C"&amp;$A162))</f>
        <v>1</v>
      </c>
      <c r="CE162" s="3">
        <f>-IF(RTD("tos.rtd",,CE$43,"."&amp;$B$134&amp;$AS$82&amp;"P"&amp;$A162)="N/A",0,RTD("tos.rtd",,CE$43,"."&amp;$B$134&amp;$AS$82&amp;"P"&amp;$A162))</f>
        <v>0.21</v>
      </c>
      <c r="CF162" s="3">
        <f>IF(RTD("tos.rtd",,CF$2,"."&amp;$C$134&amp;$AU$82&amp;"C"&amp;$A162)="N/A",0,RTD("tos.rtd",,CF$2,"."&amp;$C$134&amp;$AU$82&amp;"C"&amp;$A162))</f>
        <v>0.55000000000000004</v>
      </c>
      <c r="CG162" s="3">
        <f>-IF(RTD("tos.rtd",,CG$2,"."&amp;$C$134&amp;$AU$82&amp;"P"&amp;$A162)="N/A",0,RTD("tos.rtd",,CG$2,"."&amp;$C$134&amp;$AU$82&amp;"P"&amp;$A162))</f>
        <v>0.45</v>
      </c>
      <c r="CH162" s="3">
        <f>IF(RTD("tos.rtd",,CH$2,"."&amp;$D$134&amp;$AW$82&amp;"C"&amp;$A162)="N/A",0,RTD("tos.rtd",,CH$2,"."&amp;$D$134&amp;$AW$82&amp;"C"&amp;$A162))</f>
        <v>0.54</v>
      </c>
      <c r="CI162" s="3">
        <f>-IF(RTD("tos.rtd",,CI$2,"."&amp;$D$134&amp;$AW$82&amp;"P"&amp;$A162)="N/A",0,RTD("tos.rtd",,CI$2,"."&amp;$D$134&amp;$AW$82&amp;"P"&amp;$A162))</f>
        <v>0.46</v>
      </c>
      <c r="CK162" s="3">
        <f t="shared" si="616"/>
        <v>211</v>
      </c>
      <c r="CL162" s="3"/>
      <c r="CM162" s="3">
        <f t="shared" si="617"/>
        <v>680.00000000000011</v>
      </c>
      <c r="CN162" s="3"/>
      <c r="CO162" s="3">
        <f t="shared" si="618"/>
        <v>540</v>
      </c>
      <c r="CP162" s="3">
        <f t="shared" si="539"/>
        <v>1431</v>
      </c>
      <c r="CQ162" s="3">
        <f t="shared" si="549"/>
        <v>75</v>
      </c>
      <c r="CR162" s="3"/>
      <c r="CS162" s="3">
        <f t="shared" si="550"/>
        <v>0</v>
      </c>
      <c r="CT162" s="3"/>
      <c r="CU162" s="3">
        <f t="shared" si="551"/>
        <v>-3</v>
      </c>
      <c r="CV162" s="3"/>
      <c r="CW162" s="3" t="e">
        <f t="shared" ca="1" si="552"/>
        <v>#NUM!</v>
      </c>
      <c r="CY162" s="3" t="e">
        <f t="shared" ca="1" si="553"/>
        <v>#NUM!</v>
      </c>
      <c r="CZ162" s="70" t="e">
        <f t="shared" ca="1" si="586"/>
        <v>#NUM!</v>
      </c>
      <c r="DA162" s="3">
        <f>IF(RTD("tos.rtd",,DA$43,"."&amp;$B$134&amp;$AS$82&amp;"C"&amp;$A162)="N/A",0,RTD("tos.rtd",,DA$43,"."&amp;$B$134&amp;$AS$82&amp;"C"&amp;$A162))</f>
        <v>24.05</v>
      </c>
      <c r="DB162" s="3">
        <f>IF(RTD("tos.rtd",,DB$43,"."&amp;$B$134&amp;$AS$82&amp;"P"&amp;$A162)="N/A",0,RTD("tos.rtd",,DB$43,"."&amp;$B$134&amp;$AS$82&amp;"P"&amp;$A162))</f>
        <v>22</v>
      </c>
      <c r="DC162" s="3">
        <f>IF(RTD("tos.rtd",,DC$43,"."&amp;$B$134&amp;$AS$82&amp;"C"&amp;$A162)="N/A",0,RTD("tos.rtd",,DC$43,"."&amp;$B$134&amp;$AS$82&amp;"C"&amp;$A162))</f>
        <v>49.9</v>
      </c>
      <c r="DD162" s="3">
        <f>IF(RTD("tos.rtd",,DD$43,"."&amp;$B$134&amp;$AS$82&amp;"P"&amp;$A162)="N/A",0,RTD("tos.rtd",,DD$43,"."&amp;$B$134&amp;$AS$82&amp;"P"&amp;$A162))</f>
        <v>12.7</v>
      </c>
      <c r="DE162" s="3">
        <f>IF(RTD("tos.rtd",,DE$43,"."&amp;$B$134&amp;$AS$82&amp;"C"&amp;$A162)="N/A",0,RTD("tos.rtd",,DE$43,"."&amp;$B$134&amp;$AS$82&amp;"C"&amp;$A162))</f>
        <v>34</v>
      </c>
      <c r="DF162" s="3">
        <f>IF(RTD("tos.rtd",,DF$43,"."&amp;$B$134&amp;$AS$82&amp;"P"&amp;$A162)="N/A",0,RTD("tos.rtd",,DF$43,"."&amp;$B$134&amp;$AS$82&amp;"P"&amp;$A162))</f>
        <v>0</v>
      </c>
      <c r="DG162" s="86">
        <f t="shared" si="587"/>
        <v>-42.973000000001775</v>
      </c>
      <c r="DH162" s="3">
        <f t="shared" si="554"/>
        <v>0</v>
      </c>
      <c r="DI162" s="3">
        <f t="shared" si="555"/>
        <v>0</v>
      </c>
      <c r="DJ162" s="3">
        <f t="shared" si="556"/>
        <v>0</v>
      </c>
      <c r="DK162" s="3">
        <f t="shared" si="557"/>
        <v>0</v>
      </c>
      <c r="DL162" s="3">
        <f t="shared" si="558"/>
        <v>0</v>
      </c>
      <c r="DM162" s="3">
        <f t="shared" si="559"/>
        <v>0</v>
      </c>
      <c r="DN162" s="64" t="str">
        <f t="shared" si="560"/>
        <v>UNKNOWN</v>
      </c>
      <c r="DO162" s="64" t="str">
        <f t="shared" si="561"/>
        <v>UNKNOWN</v>
      </c>
      <c r="DP162" s="3">
        <f t="shared" si="562"/>
        <v>0</v>
      </c>
      <c r="DQ162" s="3">
        <f t="shared" si="563"/>
        <v>0</v>
      </c>
      <c r="DR162" s="3" t="e">
        <f t="shared" ca="1" si="564"/>
        <v>#NUM!</v>
      </c>
      <c r="DS162" s="3">
        <f t="shared" si="565"/>
        <v>0</v>
      </c>
      <c r="DT162" s="3">
        <f t="shared" si="588"/>
        <v>0</v>
      </c>
      <c r="DU162" s="3">
        <f t="shared" si="589"/>
        <v>0</v>
      </c>
      <c r="DV162" s="3">
        <f t="shared" si="566"/>
        <v>-31</v>
      </c>
      <c r="DW162" s="3">
        <f t="shared" si="567"/>
        <v>1</v>
      </c>
      <c r="DX162" s="3" t="e">
        <f t="shared" ca="1" si="568"/>
        <v>#NUM!</v>
      </c>
      <c r="DY162" s="3" t="e">
        <f t="shared" ca="1" si="569"/>
        <v>#NUM!</v>
      </c>
      <c r="DZ162" s="3">
        <f t="shared" ca="1" si="570"/>
        <v>7.4985101471930276E-4</v>
      </c>
      <c r="EA162" s="3">
        <f t="shared" ca="1" si="571"/>
        <v>-9.0585989542693428E-4</v>
      </c>
      <c r="EB162" s="3">
        <f t="shared" ca="1" si="572"/>
        <v>9.5816679457464457E-4</v>
      </c>
      <c r="EC162" s="3">
        <f t="shared" ca="1" si="573"/>
        <v>-1.0130864247059274E-3</v>
      </c>
      <c r="ED162" s="63">
        <f t="shared" si="590"/>
        <v>-30</v>
      </c>
      <c r="EE162" s="59">
        <f t="shared" si="574"/>
        <v>0.25</v>
      </c>
      <c r="EF162" s="59">
        <f t="shared" si="575"/>
        <v>0.35610000000000003</v>
      </c>
      <c r="EG162" s="59">
        <f t="shared" si="576"/>
        <v>0.32619999999999999</v>
      </c>
      <c r="EH162" s="59">
        <f t="shared" si="577"/>
        <v>0.26950000000000002</v>
      </c>
      <c r="EI162" s="59">
        <f t="shared" si="578"/>
        <v>0.25459999999999999</v>
      </c>
      <c r="EJ162" s="59">
        <f t="shared" si="579"/>
        <v>0.24060000000000001</v>
      </c>
      <c r="EL162" s="3" t="str">
        <f>RTD("tos.rtd",,EL$43,"."&amp;$B$134&amp;$AS$82&amp;"C"&amp;$A162)</f>
        <v>--</v>
      </c>
      <c r="EM162" s="3" t="str">
        <f>RTD("tos.rtd",,EM$43,"."&amp;$B$134&amp;$AS$82&amp;"P"&amp;$A162)</f>
        <v>35.61%</v>
      </c>
      <c r="EN162" s="3" t="str">
        <f>RTD("tos.rtd",,EN$2,"."&amp;$C$134&amp;$AU$82&amp;"C"&amp;$A162)</f>
        <v>32.62%</v>
      </c>
      <c r="EO162" s="3" t="str">
        <f>RTD("tos.rtd",,EO$2,"."&amp;$C$134&amp;$AU$82&amp;"P"&amp;$A162)</f>
        <v>26.95%</v>
      </c>
      <c r="EP162" s="3" t="str">
        <f>RTD("tos.rtd",,EP$2,"."&amp;$D$134&amp;$AW$82&amp;"C"&amp;$A162)</f>
        <v>25.46%</v>
      </c>
      <c r="EQ162" s="3" t="str">
        <f>RTD("tos.rtd",,EQ$2,"."&amp;$D$134&amp;$AW$82&amp;"P"&amp;$A162)</f>
        <v>24.06%</v>
      </c>
      <c r="ES162" s="63" t="str">
        <f t="shared" si="580"/>
        <v>19825,-30.00</v>
      </c>
      <c r="ET162" s="64" t="str">
        <f t="shared" ca="1" si="581"/>
        <v>19825,00.00</v>
      </c>
      <c r="EU162" s="68">
        <v>562.66</v>
      </c>
      <c r="EV162" s="68" t="s">
        <v>1316</v>
      </c>
      <c r="EW162" s="68">
        <v>485.13</v>
      </c>
      <c r="EX162" s="68" t="s">
        <v>1317</v>
      </c>
      <c r="EY162" s="68">
        <v>5640.25</v>
      </c>
      <c r="EZ162" s="68" t="s">
        <v>1318</v>
      </c>
      <c r="FA162" s="68">
        <v>19928</v>
      </c>
      <c r="FB162" s="68" t="s">
        <v>1319</v>
      </c>
      <c r="FC162" s="68" t="s">
        <v>1320</v>
      </c>
      <c r="FD162" s="68" t="s">
        <v>1321</v>
      </c>
      <c r="FE162" s="68" t="s">
        <v>1322</v>
      </c>
      <c r="FF162" s="68" t="s">
        <v>1323</v>
      </c>
    </row>
    <row r="163" spans="1:162" ht="11.1" customHeight="1" thickBot="1" x14ac:dyDescent="0.25">
      <c r="A163" s="2">
        <f t="shared" si="591"/>
        <v>19800</v>
      </c>
      <c r="B163" s="10">
        <f t="shared" si="624"/>
        <v>59</v>
      </c>
      <c r="C163" s="10">
        <f t="shared" si="625"/>
        <v>52</v>
      </c>
      <c r="D163" s="10">
        <f t="shared" si="626"/>
        <v>56</v>
      </c>
      <c r="E163" s="10">
        <f t="shared" si="609"/>
        <v>167</v>
      </c>
      <c r="F163" s="11">
        <f t="shared" si="619"/>
        <v>20027.246866099526</v>
      </c>
      <c r="G163" s="5">
        <f t="shared" si="611"/>
        <v>485.18437185313269</v>
      </c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">
        <v>-28</v>
      </c>
      <c r="AN163" s="1">
        <v>-11</v>
      </c>
      <c r="AO163" s="12">
        <v>19800</v>
      </c>
      <c r="AP163" s="12">
        <v>521</v>
      </c>
      <c r="AQ163" s="12">
        <v>-330</v>
      </c>
      <c r="AR163" s="12"/>
      <c r="AS163" s="54">
        <f>IF(RTD("tos.rtd",,AS$83,"."&amp;$B$134&amp;$AS$82&amp;"C"&amp;$A163)="N/A",0,RTD("tos.rtd",,AS$83,"."&amp;$B$134&amp;$AS$82&amp;"C"&amp;$A163))</f>
        <v>23</v>
      </c>
      <c r="AT163" s="3">
        <f>-IF(RTD("tos.rtd",,AT$83,"."&amp;$B$134&amp;$AS$82&amp;"P"&amp;$A163)="N/A",0,RTD("tos.rtd",,AT$83,"."&amp;$B$134&amp;$AS$82&amp;"P"&amp;$A163))</f>
        <v>-36</v>
      </c>
      <c r="AU163" s="54">
        <f>IF(RTD("tos.rtd",,AU$2,"."&amp;$C$134&amp;$AU$134&amp;"C"&amp;$A163)="N/A",0,RTD("tos.rtd",,AU$2,"."&amp;$C$134&amp;$AU$134&amp;"C"&amp;$A163))</f>
        <v>39</v>
      </c>
      <c r="AV163" s="3">
        <f>-IF(RTD("tos.rtd",,AV$2,"."&amp;$C$134&amp;$AU$134&amp;"P"&amp;$A163)="N/A",0,RTD("tos.rtd",,AV$2,"."&amp;$C$134&amp;$AU$134&amp;"P"&amp;$A163))</f>
        <v>-13</v>
      </c>
      <c r="AW163" s="54">
        <f>IF(RTD("tos.rtd",,AW$2,"."&amp;$D$134&amp;$AW$134&amp;"C"&amp;$A163)="N/A",0,RTD("tos.rtd",,AW$2,"."&amp;$D$134&amp;$AW$134&amp;"C"&amp;$A163))</f>
        <v>30</v>
      </c>
      <c r="AX163" s="3">
        <f>-IF(RTD("tos.rtd",,AX$2,"."&amp;$D$134&amp;$AW$134&amp;"P"&amp;$A163)="N/A",0,RTD("tos.rtd",,AX$2,"."&amp;$D$134&amp;$AW$134&amp;"P"&amp;$A163))</f>
        <v>-26</v>
      </c>
      <c r="AY163" s="76">
        <f t="shared" si="620"/>
        <v>17</v>
      </c>
      <c r="AZ163" s="8">
        <f t="shared" si="545"/>
        <v>19800</v>
      </c>
      <c r="BA163" s="54">
        <f>IF(RTD("tos.rtd",,BA$43,"."&amp;$B$134&amp;$AS$82&amp;"C"&amp;$A163)="N/A",0,RTD("tos.rtd",,BA$43,"."&amp;$B$134&amp;$AS$82&amp;"C"&amp;$A163))</f>
        <v>521</v>
      </c>
      <c r="BB163" s="3">
        <f>-IF(RTD("tos.rtd",,BB$43,"."&amp;$B$134&amp;$AS$82&amp;"P"&amp;$A163)="N/A",0,RTD("tos.rtd",,BB$43,"."&amp;$B$134&amp;$AS$82&amp;"P"&amp;$A163))</f>
        <v>-330</v>
      </c>
      <c r="BC163" s="54">
        <f>IF(RTD("tos.rtd",,BC$2,"."&amp;$C$134&amp;$AU$82&amp;"C"&amp;$A163)="N/A",0,RTD("tos.rtd",,BC$2,"."&amp;$C$134&amp;$AU$82&amp;"C"&amp;$A163))</f>
        <v>16</v>
      </c>
      <c r="BD163" s="3">
        <f>-IF(RTD("tos.rtd",,BD$2,"."&amp;$C$134&amp;$AU$82&amp;"P"&amp;$A163)="N/A",0,RTD("tos.rtd",,BD$2,"."&amp;$C$134&amp;$AU$82&amp;"P"&amp;$A163))</f>
        <v>-5</v>
      </c>
      <c r="BE163" s="54">
        <f>IF(RTD("tos.rtd",,BE$2,"."&amp;$D$134&amp;$AW$82&amp;"C"&amp;$A163)="N/A",0,RTD("tos.rtd",,BE$2,"."&amp;$D$134&amp;$AW$82&amp;"C"&amp;$A163))</f>
        <v>25</v>
      </c>
      <c r="BF163" s="3">
        <f>-IF(RTD("tos.rtd",,BF$2,"."&amp;$D$134&amp;$AW$82&amp;"P"&amp;$A163)="N/A",0,RTD("tos.rtd",,BF$2,"."&amp;$D$134&amp;$AW$82&amp;"P"&amp;$A163))</f>
        <v>-9</v>
      </c>
      <c r="BG163" s="3">
        <f ca="1">+Hoja2!Y164</f>
        <v>23</v>
      </c>
      <c r="BH163" s="7">
        <f t="shared" ca="1" si="546"/>
        <v>241</v>
      </c>
      <c r="BI163" s="32" t="str">
        <f t="shared" ca="1" si="605"/>
        <v/>
      </c>
      <c r="BJ163" s="3" t="e">
        <f ca="1">IF($BP$1=1,DX163,IF(RTD("tos.rtd",,BJ$43,"."&amp;$B$134&amp;$AS$82&amp;"C"&amp;$A163)="N/A",0,RTD("tos.rtd",,BJ$43,"."&amp;$B$134&amp;$AS$82&amp;"C"&amp;$A163)))</f>
        <v>#NUM!</v>
      </c>
      <c r="BK163" s="3" t="e">
        <f ca="1">IF($BP$1=1,DY163,-IF(RTD("tos.rtd",,BK$43,"."&amp;$B$134&amp;$AS$82&amp;"P"&amp;$A163)="N/A",0,RTD("tos.rtd",,BK$43,"."&amp;$B$134&amp;$AS$82&amp;"P"&amp;$A163)))</f>
        <v>#NUM!</v>
      </c>
      <c r="BL163" s="3">
        <f ca="1">IF($BP$1=1,DZ163,IF(RTD("tos.rtd",,BL$2,"."&amp;$C$134&amp;$AU$82&amp;"C"&amp;$A163)="N/A",0,RTD("tos.rtd",,BL$2,"."&amp;$C$134&amp;$AU$82&amp;"C"&amp;$A163)))</f>
        <v>7.4016877170791342E-4</v>
      </c>
      <c r="BM163" s="3">
        <f ca="1">IF($BP$1=1,EA163,-IF(RTD("tos.rtd",,BM$2,"."&amp;$C$134&amp;$AU$82&amp;"P"&amp;$A163)="N/A",0,RTD("tos.rtd",,BM$2,"."&amp;$C$134&amp;$AU$82&amp;"P"&amp;$A163)))</f>
        <v>-8.8971645195194606E-4</v>
      </c>
      <c r="BN163" s="3">
        <f ca="1">IF($BP$1=1,EB163,IF(RTD("tos.rtd",,BN$2,"."&amp;$D$134&amp;$AW$82&amp;"C"&amp;$A163)="N/A",0,RTD("tos.rtd",,BN$2,"."&amp;$D$134&amp;$AW$82&amp;"C"&amp;$A163)))</f>
        <v>9.4397117353083352E-4</v>
      </c>
      <c r="BO163" s="3">
        <f ca="1">IF($BP$1=1,EC163,-IF(RTD("tos.rtd",,BO$2,"."&amp;$D$134&amp;$AW$82&amp;"P"&amp;$A163)="N/A",0,RTD("tos.rtd",,BO$2,"."&amp;$D$134&amp;$AW$82&amp;"P"&amp;$A163)))</f>
        <v>-9.9751398555719467E-4</v>
      </c>
      <c r="BQ163" s="3" t="e">
        <f t="shared" ca="1" si="621"/>
        <v>#NUM!</v>
      </c>
      <c r="BR163" s="3" t="e">
        <f t="shared" ca="1" si="547"/>
        <v>#NUM!</v>
      </c>
      <c r="BS163" s="3">
        <f t="shared" ca="1" si="622"/>
        <v>548614.24543218897</v>
      </c>
      <c r="BT163" s="3" t="str">
        <f t="shared" ca="1" si="548"/>
        <v/>
      </c>
      <c r="BU163" s="3">
        <f t="shared" ca="1" si="623"/>
        <v>75592.530168300727</v>
      </c>
      <c r="BV163" s="3" t="str">
        <f t="shared" ca="1" si="548"/>
        <v/>
      </c>
      <c r="BX163" s="3" t="e">
        <f t="shared" ca="1" si="582"/>
        <v>#NUM!</v>
      </c>
      <c r="BY163" s="3" t="e">
        <f t="shared" ca="1" si="583"/>
        <v>#NUM!</v>
      </c>
      <c r="BZ163" s="3">
        <f t="shared" ca="1" si="584"/>
        <v>1752.575478425214</v>
      </c>
      <c r="CA163" s="3" t="str">
        <f t="shared" ca="1" si="583"/>
        <v/>
      </c>
      <c r="CB163" s="3">
        <f t="shared" ca="1" si="585"/>
        <v>3465.667036828318</v>
      </c>
      <c r="CC163" s="3" t="str">
        <f t="shared" ca="1" si="583"/>
        <v>Cruce +</v>
      </c>
      <c r="CD163" s="3">
        <f>IF(RTD("tos.rtd",,CD$43,"."&amp;$B$134&amp;$AS$82&amp;"C"&amp;$A163)="N/A",0,RTD("tos.rtd",,CD$43,"."&amp;$B$134&amp;$AS$82&amp;"C"&amp;$A163))</f>
        <v>1</v>
      </c>
      <c r="CE163" s="3">
        <f>-IF(RTD("tos.rtd",,CE$43,"."&amp;$B$134&amp;$AS$82&amp;"P"&amp;$A163)="N/A",0,RTD("tos.rtd",,CE$43,"."&amp;$B$134&amp;$AS$82&amp;"P"&amp;$A163))</f>
        <v>0.04</v>
      </c>
      <c r="CF163" s="3">
        <f>IF(RTD("tos.rtd",,CF$2,"."&amp;$C$134&amp;$AU$82&amp;"C"&amp;$A163)="N/A",0,RTD("tos.rtd",,CF$2,"."&amp;$C$134&amp;$AU$82&amp;"C"&amp;$A163))</f>
        <v>0.56999999999999995</v>
      </c>
      <c r="CG163" s="3">
        <f>-IF(RTD("tos.rtd",,CG$2,"."&amp;$C$134&amp;$AU$82&amp;"P"&amp;$A163)="N/A",0,RTD("tos.rtd",,CG$2,"."&amp;$C$134&amp;$AU$82&amp;"P"&amp;$A163))</f>
        <v>0.42</v>
      </c>
      <c r="CH163" s="3">
        <f>IF(RTD("tos.rtd",,CH$2,"."&amp;$D$134&amp;$AW$82&amp;"C"&amp;$A163)="N/A",0,RTD("tos.rtd",,CH$2,"."&amp;$D$134&amp;$AW$82&amp;"C"&amp;$A163))</f>
        <v>0.55000000000000004</v>
      </c>
      <c r="CI163" s="3">
        <f>-IF(RTD("tos.rtd",,CI$2,"."&amp;$D$134&amp;$AW$82&amp;"P"&amp;$A163)="N/A",0,RTD("tos.rtd",,CI$2,"."&amp;$D$134&amp;$AW$82&amp;"P"&amp;$A163))</f>
        <v>0.44</v>
      </c>
      <c r="CK163" s="3">
        <f t="shared" si="616"/>
        <v>2156</v>
      </c>
      <c r="CL163" s="3"/>
      <c r="CM163" s="3">
        <f t="shared" si="617"/>
        <v>1676.9999999999995</v>
      </c>
      <c r="CN163" s="3"/>
      <c r="CO163" s="3">
        <f t="shared" si="618"/>
        <v>506</v>
      </c>
      <c r="CP163" s="3">
        <f t="shared" si="539"/>
        <v>4339</v>
      </c>
      <c r="CQ163" s="3">
        <f t="shared" si="549"/>
        <v>191</v>
      </c>
      <c r="CR163" s="3"/>
      <c r="CS163" s="3">
        <f t="shared" si="550"/>
        <v>11</v>
      </c>
      <c r="CT163" s="3"/>
      <c r="CU163" s="3">
        <f t="shared" si="551"/>
        <v>16</v>
      </c>
      <c r="CV163" s="3"/>
      <c r="CW163" s="3" t="e">
        <f t="shared" ca="1" si="552"/>
        <v>#NUM!</v>
      </c>
      <c r="CY163" s="3" t="e">
        <f t="shared" ca="1" si="553"/>
        <v>#NUM!</v>
      </c>
      <c r="CZ163" s="70" t="e">
        <f t="shared" ca="1" si="586"/>
        <v>#NUM!</v>
      </c>
      <c r="DA163" s="3">
        <f>IF(RTD("tos.rtd",,DA$43,"."&amp;$B$134&amp;$AS$82&amp;"C"&amp;$A163)="N/A",0,RTD("tos.rtd",,DA$43,"."&amp;$B$134&amp;$AS$82&amp;"C"&amp;$A163))</f>
        <v>79</v>
      </c>
      <c r="DB163" s="3">
        <f>IF(RTD("tos.rtd",,DB$43,"."&amp;$B$134&amp;$AS$82&amp;"P"&amp;$A163)="N/A",0,RTD("tos.rtd",,DB$43,"."&amp;$B$134&amp;$AS$82&amp;"P"&amp;$A163))</f>
        <v>1.54</v>
      </c>
      <c r="DC163" s="3">
        <f>IF(RTD("tos.rtd",,DC$43,"."&amp;$B$134&amp;$AS$82&amp;"C"&amp;$A163)="N/A",0,RTD("tos.rtd",,DC$43,"."&amp;$B$134&amp;$AS$82&amp;"C"&amp;$A163))</f>
        <v>74</v>
      </c>
      <c r="DD163" s="3">
        <f>IF(RTD("tos.rtd",,DD$43,"."&amp;$B$134&amp;$AS$82&amp;"P"&amp;$A163)="N/A",0,RTD("tos.rtd",,DD$43,"."&amp;$B$134&amp;$AS$82&amp;"P"&amp;$A163))</f>
        <v>1.1499999999999999</v>
      </c>
      <c r="DE163" s="3">
        <f>IF(RTD("tos.rtd",,DE$43,"."&amp;$B$134&amp;$AS$82&amp;"C"&amp;$A163)="N/A",0,RTD("tos.rtd",,DE$43,"."&amp;$B$134&amp;$AS$82&amp;"C"&amp;$A163))</f>
        <v>58</v>
      </c>
      <c r="DF163" s="3">
        <f>IF(RTD("tos.rtd",,DF$43,"."&amp;$B$134&amp;$AS$82&amp;"P"&amp;$A163)="N/A",0,RTD("tos.rtd",,DF$43,"."&amp;$B$134&amp;$AS$82&amp;"P"&amp;$A163))</f>
        <v>0</v>
      </c>
      <c r="DG163" s="86">
        <f t="shared" si="587"/>
        <v>-67.973000000001775</v>
      </c>
      <c r="DH163" s="3">
        <f t="shared" si="554"/>
        <v>0</v>
      </c>
      <c r="DI163" s="3">
        <f t="shared" si="555"/>
        <v>0</v>
      </c>
      <c r="DJ163" s="3">
        <f t="shared" si="556"/>
        <v>0</v>
      </c>
      <c r="DK163" s="3">
        <f t="shared" si="557"/>
        <v>0</v>
      </c>
      <c r="DL163" s="3">
        <f t="shared" si="558"/>
        <v>0</v>
      </c>
      <c r="DM163" s="3">
        <f t="shared" si="559"/>
        <v>0</v>
      </c>
      <c r="DN163" s="64" t="str">
        <f t="shared" si="560"/>
        <v>UNKNOWN</v>
      </c>
      <c r="DO163" s="64" t="str">
        <f t="shared" si="561"/>
        <v>UNKNOWN</v>
      </c>
      <c r="DP163" s="3">
        <f t="shared" si="562"/>
        <v>0</v>
      </c>
      <c r="DQ163" s="3">
        <f t="shared" si="563"/>
        <v>0</v>
      </c>
      <c r="DR163" s="3" t="e">
        <f t="shared" ca="1" si="564"/>
        <v>#NUM!</v>
      </c>
      <c r="DS163" s="3">
        <f t="shared" si="565"/>
        <v>0</v>
      </c>
      <c r="DT163" s="3">
        <f t="shared" si="588"/>
        <v>0</v>
      </c>
      <c r="DU163" s="3">
        <f t="shared" si="589"/>
        <v>0</v>
      </c>
      <c r="DV163" s="3">
        <f t="shared" si="566"/>
        <v>-28</v>
      </c>
      <c r="DW163" s="3">
        <f t="shared" si="567"/>
        <v>-11</v>
      </c>
      <c r="DX163" s="3" t="e">
        <f t="shared" ca="1" si="568"/>
        <v>#NUM!</v>
      </c>
      <c r="DY163" s="3" t="e">
        <f t="shared" ca="1" si="569"/>
        <v>#NUM!</v>
      </c>
      <c r="DZ163" s="3">
        <f t="shared" ca="1" si="570"/>
        <v>7.4016877170791342E-4</v>
      </c>
      <c r="EA163" s="3">
        <f t="shared" ca="1" si="571"/>
        <v>-8.8971645195194606E-4</v>
      </c>
      <c r="EB163" s="3">
        <f t="shared" ca="1" si="572"/>
        <v>9.4397117353083352E-4</v>
      </c>
      <c r="EC163" s="3">
        <f t="shared" ca="1" si="573"/>
        <v>-9.9751398555719467E-4</v>
      </c>
      <c r="ED163" s="63">
        <f t="shared" si="590"/>
        <v>-39</v>
      </c>
      <c r="EE163" s="59">
        <f t="shared" si="574"/>
        <v>0.25</v>
      </c>
      <c r="EF163" s="59">
        <f t="shared" si="575"/>
        <v>0.25519999999999998</v>
      </c>
      <c r="EG163" s="59">
        <f t="shared" si="576"/>
        <v>0.32850000000000001</v>
      </c>
      <c r="EH163" s="59">
        <f t="shared" si="577"/>
        <v>0.27210000000000001</v>
      </c>
      <c r="EI163" s="59">
        <f t="shared" si="578"/>
        <v>0.25600000000000001</v>
      </c>
      <c r="EJ163" s="59">
        <f t="shared" si="579"/>
        <v>0.24179999999999999</v>
      </c>
      <c r="EL163" s="3" t="str">
        <f>RTD("tos.rtd",,EL$43,"."&amp;$B$134&amp;$AS$82&amp;"C"&amp;$A163)</f>
        <v>--</v>
      </c>
      <c r="EM163" s="3" t="str">
        <f>RTD("tos.rtd",,EM$43,"."&amp;$B$134&amp;$AS$82&amp;"P"&amp;$A163)</f>
        <v>25.52%</v>
      </c>
      <c r="EN163" s="3" t="str">
        <f>RTD("tos.rtd",,EN$2,"."&amp;$C$134&amp;$AU$82&amp;"C"&amp;$A163)</f>
        <v>32.85%</v>
      </c>
      <c r="EO163" s="3" t="str">
        <f>RTD("tos.rtd",,EO$2,"."&amp;$C$134&amp;$AU$82&amp;"P"&amp;$A163)</f>
        <v>27.21%</v>
      </c>
      <c r="EP163" s="3" t="str">
        <f>RTD("tos.rtd",,EP$2,"."&amp;$D$134&amp;$AW$82&amp;"C"&amp;$A163)</f>
        <v>25.60%</v>
      </c>
      <c r="EQ163" s="3" t="str">
        <f>RTD("tos.rtd",,EQ$2,"."&amp;$D$134&amp;$AW$82&amp;"P"&amp;$A163)</f>
        <v>24.18%</v>
      </c>
      <c r="ES163" s="63" t="str">
        <f t="shared" si="580"/>
        <v>19800,-39.00</v>
      </c>
      <c r="ET163" s="64" t="str">
        <f t="shared" ca="1" si="581"/>
        <v>19800,00.00</v>
      </c>
      <c r="EU163" s="68">
        <v>562.63</v>
      </c>
      <c r="EV163" s="68" t="s">
        <v>1324</v>
      </c>
      <c r="EW163" s="68">
        <v>485.13</v>
      </c>
      <c r="EX163" s="68" t="s">
        <v>1325</v>
      </c>
      <c r="EY163" s="68">
        <v>5640</v>
      </c>
      <c r="EZ163" s="68" t="s">
        <v>1326</v>
      </c>
      <c r="FA163" s="68">
        <v>19928.5</v>
      </c>
      <c r="FB163" s="68" t="s">
        <v>1327</v>
      </c>
      <c r="FC163" s="68" t="s">
        <v>1328</v>
      </c>
      <c r="FD163" s="68" t="s">
        <v>1329</v>
      </c>
      <c r="FE163" s="68" t="s">
        <v>1330</v>
      </c>
      <c r="FF163" s="68" t="s">
        <v>1331</v>
      </c>
    </row>
    <row r="164" spans="1:162" ht="11.1" customHeight="1" thickBot="1" x14ac:dyDescent="0.25">
      <c r="A164" s="2">
        <f t="shared" si="591"/>
        <v>19775</v>
      </c>
      <c r="B164" s="3">
        <f t="shared" si="624"/>
        <v>11</v>
      </c>
      <c r="C164" s="3">
        <f t="shared" si="625"/>
        <v>13</v>
      </c>
      <c r="D164" s="3">
        <f t="shared" si="626"/>
        <v>33</v>
      </c>
      <c r="E164" s="3">
        <f t="shared" si="609"/>
        <v>57</v>
      </c>
      <c r="F164" s="14">
        <f t="shared" si="619"/>
        <v>20001.959938238288</v>
      </c>
      <c r="G164" s="5">
        <f t="shared" si="611"/>
        <v>484.57176532301509</v>
      </c>
      <c r="AM164" s="1">
        <v>38</v>
      </c>
      <c r="AN164" s="1">
        <v>-9</v>
      </c>
      <c r="AO164" s="1">
        <v>19775</v>
      </c>
      <c r="AP164" s="1">
        <v>99</v>
      </c>
      <c r="AQ164" s="1">
        <v>-167</v>
      </c>
      <c r="AS164" s="54">
        <f>IF(RTD("tos.rtd",,AS$83,"."&amp;$B$134&amp;$AS$82&amp;"C"&amp;$A164)="N/A",0,RTD("tos.rtd",,AS$83,"."&amp;$B$134&amp;$AS$82&amp;"C"&amp;$A164))</f>
        <v>3</v>
      </c>
      <c r="AT164" s="3">
        <f>-IF(RTD("tos.rtd",,AT$83,"."&amp;$B$134&amp;$AS$82&amp;"P"&amp;$A164)="N/A",0,RTD("tos.rtd",,AT$83,"."&amp;$B$134&amp;$AS$82&amp;"P"&amp;$A164))</f>
        <v>-8</v>
      </c>
      <c r="AU164" s="54">
        <f>IF(RTD("tos.rtd",,AU$2,"."&amp;$C$134&amp;$AU$134&amp;"C"&amp;$A164)="N/A",0,RTD("tos.rtd",,AU$2,"."&amp;$C$134&amp;$AU$134&amp;"C"&amp;$A164))</f>
        <v>12</v>
      </c>
      <c r="AV164" s="3">
        <f>-IF(RTD("tos.rtd",,AV$2,"."&amp;$C$134&amp;$AU$134&amp;"P"&amp;$A164)="N/A",0,RTD("tos.rtd",,AV$2,"."&amp;$C$134&amp;$AU$134&amp;"P"&amp;$A164))</f>
        <v>-1</v>
      </c>
      <c r="AW164" s="54">
        <f>IF(RTD("tos.rtd",,AW$2,"."&amp;$D$134&amp;$AW$134&amp;"C"&amp;$A164)="N/A",0,RTD("tos.rtd",,AW$2,"."&amp;$D$134&amp;$AW$134&amp;"C"&amp;$A164))</f>
        <v>23</v>
      </c>
      <c r="AX164" s="3">
        <f>-IF(RTD("tos.rtd",,AX$2,"."&amp;$D$134&amp;$AW$134&amp;"P"&amp;$A164)="N/A",0,RTD("tos.rtd",,AX$2,"."&amp;$D$134&amp;$AW$134&amp;"P"&amp;$A164))</f>
        <v>-10</v>
      </c>
      <c r="AY164" s="76">
        <f t="shared" si="620"/>
        <v>19</v>
      </c>
      <c r="AZ164" s="8">
        <f t="shared" si="545"/>
        <v>19775</v>
      </c>
      <c r="BA164" s="54">
        <f>IF(RTD("tos.rtd",,BA$43,"."&amp;$B$134&amp;$AS$82&amp;"C"&amp;$A164)="N/A",0,RTD("tos.rtd",,BA$43,"."&amp;$B$134&amp;$AS$82&amp;"C"&amp;$A164))</f>
        <v>99</v>
      </c>
      <c r="BB164" s="3">
        <f>-IF(RTD("tos.rtd",,BB$43,"."&amp;$B$134&amp;$AS$82&amp;"P"&amp;$A164)="N/A",0,RTD("tos.rtd",,BB$43,"."&amp;$B$134&amp;$AS$82&amp;"P"&amp;$A164))</f>
        <v>-167</v>
      </c>
      <c r="BC164" s="54">
        <f>IF(RTD("tos.rtd",,BC$2,"."&amp;$C$134&amp;$AU$82&amp;"C"&amp;$A164)="N/A",0,RTD("tos.rtd",,BC$2,"."&amp;$C$134&amp;$AU$82&amp;"C"&amp;$A164))</f>
        <v>1</v>
      </c>
      <c r="BD164" s="3">
        <f>-IF(RTD("tos.rtd",,BD$2,"."&amp;$C$134&amp;$AU$82&amp;"P"&amp;$A164)="N/A",0,RTD("tos.rtd",,BD$2,"."&amp;$C$134&amp;$AU$82&amp;"P"&amp;$A164))</f>
        <v>-2</v>
      </c>
      <c r="BE164" s="54">
        <f>IF(RTD("tos.rtd",,BE$2,"."&amp;$D$134&amp;$AW$82&amp;"C"&amp;$A164)="N/A",0,RTD("tos.rtd",,BE$2,"."&amp;$D$134&amp;$AW$82&amp;"C"&amp;$A164))</f>
        <v>3</v>
      </c>
      <c r="BF164" s="3">
        <f>-IF(RTD("tos.rtd",,BF$2,"."&amp;$D$134&amp;$AW$82&amp;"P"&amp;$A164)="N/A",0,RTD("tos.rtd",,BF$2,"."&amp;$D$134&amp;$AW$82&amp;"P"&amp;$A164))</f>
        <v>-6</v>
      </c>
      <c r="BG164" s="3">
        <f ca="1">+Hoja2!Y165</f>
        <v>2</v>
      </c>
      <c r="BH164" s="7">
        <f t="shared" ca="1" si="546"/>
        <v>-70</v>
      </c>
      <c r="BI164" s="32" t="str">
        <f t="shared" ca="1" si="605"/>
        <v>Cruce -</v>
      </c>
      <c r="BJ164" s="3" t="e">
        <f ca="1">IF($BP$1=1,DX164,IF(RTD("tos.rtd",,BJ$43,"."&amp;$B$134&amp;$AS$82&amp;"C"&amp;$A164)="N/A",0,RTD("tos.rtd",,BJ$43,"."&amp;$B$134&amp;$AS$82&amp;"C"&amp;$A164)))</f>
        <v>#NUM!</v>
      </c>
      <c r="BK164" s="3" t="e">
        <f ca="1">IF($BP$1=1,DY164,-IF(RTD("tos.rtd",,BK$43,"."&amp;$B$134&amp;$AS$82&amp;"P"&amp;$A164)="N/A",0,RTD("tos.rtd",,BK$43,"."&amp;$B$134&amp;$AS$82&amp;"P"&amp;$A164)))</f>
        <v>#NUM!</v>
      </c>
      <c r="BL164" s="3">
        <f ca="1">IF($BP$1=1,DZ164,IF(RTD("tos.rtd",,BL$2,"."&amp;$C$134&amp;$AU$82&amp;"C"&amp;$A164)="N/A",0,RTD("tos.rtd",,BL$2,"."&amp;$C$134&amp;$AU$82&amp;"C"&amp;$A164)))</f>
        <v>7.272416510704868E-4</v>
      </c>
      <c r="BM164" s="3">
        <f ca="1">IF($BP$1=1,EA164,-IF(RTD("tos.rtd",,BM$2,"."&amp;$C$134&amp;$AU$82&amp;"P"&amp;$A164)="N/A",0,RTD("tos.rtd",,BM$2,"."&amp;$C$134&amp;$AU$82&amp;"P"&amp;$A164)))</f>
        <v>-8.714190362616429E-4</v>
      </c>
      <c r="BN164" s="3">
        <f ca="1">IF($BP$1=1,EB164,IF(RTD("tos.rtd",,BN$2,"."&amp;$D$134&amp;$AW$82&amp;"C"&amp;$A164)="N/A",0,RTD("tos.rtd",,BN$2,"."&amp;$D$134&amp;$AW$82&amp;"C"&amp;$A164)))</f>
        <v>9.2682654413875202E-4</v>
      </c>
      <c r="BO164" s="3">
        <f ca="1">IF($BP$1=1,EC164,-IF(RTD("tos.rtd",,BO$2,"."&amp;$D$134&amp;$AW$82&amp;"P"&amp;$A164)="N/A",0,RTD("tos.rtd",,BO$2,"."&amp;$D$134&amp;$AW$82&amp;"P"&amp;$A164)))</f>
        <v>-9.7727890456401271E-4</v>
      </c>
      <c r="BQ164" s="3" t="e">
        <f t="shared" ca="1" si="621"/>
        <v>#NUM!</v>
      </c>
      <c r="BR164" s="3" t="e">
        <f t="shared" ca="1" si="547"/>
        <v>#NUM!</v>
      </c>
      <c r="BS164" s="3">
        <f t="shared" ca="1" si="622"/>
        <v>249107.6209710681</v>
      </c>
      <c r="BT164" s="3" t="str">
        <f t="shared" ca="1" si="548"/>
        <v/>
      </c>
      <c r="BU164" s="3">
        <f t="shared" ca="1" si="623"/>
        <v>366082.43696746533</v>
      </c>
      <c r="BV164" s="3" t="str">
        <f t="shared" ca="1" si="548"/>
        <v/>
      </c>
      <c r="BX164" s="3" t="e">
        <f t="shared" ca="1" si="582"/>
        <v>#NUM!</v>
      </c>
      <c r="BY164" s="3" t="e">
        <f t="shared" ca="1" si="583"/>
        <v>#NUM!</v>
      </c>
      <c r="BZ164" s="3">
        <f t="shared" ca="1" si="584"/>
        <v>-240.71963189328415</v>
      </c>
      <c r="CA164" s="3" t="str">
        <f t="shared" ca="1" si="583"/>
        <v>Cruce -</v>
      </c>
      <c r="CB164" s="3">
        <f t="shared" ca="1" si="585"/>
        <v>-730.78760391713877</v>
      </c>
      <c r="CC164" s="3" t="str">
        <f t="shared" ca="1" si="583"/>
        <v>Cruce -</v>
      </c>
      <c r="CD164" s="3">
        <f>IF(RTD("tos.rtd",,CD$43,"."&amp;$B$134&amp;$AS$82&amp;"C"&amp;$A164)="N/A",0,RTD("tos.rtd",,CD$43,"."&amp;$B$134&amp;$AS$82&amp;"C"&amp;$A164))</f>
        <v>1</v>
      </c>
      <c r="CE164" s="3">
        <f>-IF(RTD("tos.rtd",,CE$43,"."&amp;$B$134&amp;$AS$82&amp;"P"&amp;$A164)="N/A",0,RTD("tos.rtd",,CE$43,"."&amp;$B$134&amp;$AS$82&amp;"P"&amp;$A164))</f>
        <v>0</v>
      </c>
      <c r="CF164" s="3">
        <f>IF(RTD("tos.rtd",,CF$2,"."&amp;$C$134&amp;$AU$82&amp;"C"&amp;$A164)="N/A",0,RTD("tos.rtd",,CF$2,"."&amp;$C$134&amp;$AU$82&amp;"C"&amp;$A164))</f>
        <v>0.59</v>
      </c>
      <c r="CG164" s="3">
        <f>-IF(RTD("tos.rtd",,CG$2,"."&amp;$C$134&amp;$AU$82&amp;"P"&amp;$A164)="N/A",0,RTD("tos.rtd",,CG$2,"."&amp;$C$134&amp;$AU$82&amp;"P"&amp;$A164))</f>
        <v>0.39</v>
      </c>
      <c r="CH164" s="3">
        <f>IF(RTD("tos.rtd",,CH$2,"."&amp;$D$134&amp;$AW$82&amp;"C"&amp;$A164)="N/A",0,RTD("tos.rtd",,CH$2,"."&amp;$D$134&amp;$AW$82&amp;"C"&amp;$A164))</f>
        <v>0.56999999999999995</v>
      </c>
      <c r="CI164" s="3">
        <f>-IF(RTD("tos.rtd",,CI$2,"."&amp;$D$134&amp;$AW$82&amp;"P"&amp;$A164)="N/A",0,RTD("tos.rtd",,CI$2,"."&amp;$D$134&amp;$AW$82&amp;"P"&amp;$A164))</f>
        <v>0.43</v>
      </c>
      <c r="CK164" s="3">
        <f t="shared" si="616"/>
        <v>300</v>
      </c>
      <c r="CL164" s="3"/>
      <c r="CM164" s="3">
        <f t="shared" si="617"/>
        <v>669</v>
      </c>
      <c r="CN164" s="3"/>
      <c r="CO164" s="3">
        <f t="shared" si="618"/>
        <v>881</v>
      </c>
      <c r="CP164" s="3">
        <f t="shared" si="539"/>
        <v>1850</v>
      </c>
      <c r="CQ164" s="3">
        <f t="shared" si="549"/>
        <v>-68</v>
      </c>
      <c r="CR164" s="3"/>
      <c r="CS164" s="3">
        <f t="shared" si="550"/>
        <v>-1</v>
      </c>
      <c r="CT164" s="3"/>
      <c r="CU164" s="3">
        <f t="shared" si="551"/>
        <v>-3</v>
      </c>
      <c r="CV164" s="3"/>
      <c r="CW164" s="3" t="e">
        <f t="shared" ca="1" si="552"/>
        <v>#NUM!</v>
      </c>
      <c r="CY164" s="3" t="e">
        <f t="shared" ca="1" si="553"/>
        <v>#NUM!</v>
      </c>
      <c r="CZ164" s="70" t="e">
        <f t="shared" ca="1" si="586"/>
        <v>#NUM!</v>
      </c>
      <c r="DA164" s="3">
        <f>IF(RTD("tos.rtd",,DA$43,"."&amp;$B$134&amp;$AS$82&amp;"C"&amp;$A164)="N/A",0,RTD("tos.rtd",,DA$43,"."&amp;$B$134&amp;$AS$82&amp;"C"&amp;$A164))</f>
        <v>104</v>
      </c>
      <c r="DB164" s="3">
        <f>IF(RTD("tos.rtd",,DB$43,"."&amp;$B$134&amp;$AS$82&amp;"P"&amp;$A164)="N/A",0,RTD("tos.rtd",,DB$43,"."&amp;$B$134&amp;$AS$82&amp;"P"&amp;$A164))</f>
        <v>0.61</v>
      </c>
      <c r="DC164" s="3">
        <f>IF(RTD("tos.rtd",,DC$43,"."&amp;$B$134&amp;$AS$82&amp;"C"&amp;$A164)="N/A",0,RTD("tos.rtd",,DC$43,"."&amp;$B$134&amp;$AS$82&amp;"C"&amp;$A164))</f>
        <v>99.2</v>
      </c>
      <c r="DD164" s="3">
        <f>IF(RTD("tos.rtd",,DD$43,"."&amp;$B$134&amp;$AS$82&amp;"P"&amp;$A164)="N/A",0,RTD("tos.rtd",,DD$43,"."&amp;$B$134&amp;$AS$82&amp;"P"&amp;$A164))</f>
        <v>0.05</v>
      </c>
      <c r="DE164" s="3">
        <f>IF(RTD("tos.rtd",,DE$43,"."&amp;$B$134&amp;$AS$82&amp;"C"&amp;$A164)="N/A",0,RTD("tos.rtd",,DE$43,"."&amp;$B$134&amp;$AS$82&amp;"C"&amp;$A164))</f>
        <v>82</v>
      </c>
      <c r="DF164" s="3">
        <f>IF(RTD("tos.rtd",,DF$43,"."&amp;$B$134&amp;$AS$82&amp;"P"&amp;$A164)="N/A",0,RTD("tos.rtd",,DF$43,"."&amp;$B$134&amp;$AS$82&amp;"P"&amp;$A164))</f>
        <v>0</v>
      </c>
      <c r="DG164" s="86">
        <f t="shared" si="587"/>
        <v>-92.973000000001775</v>
      </c>
      <c r="DH164" s="3">
        <f t="shared" si="554"/>
        <v>0</v>
      </c>
      <c r="DI164" s="3">
        <f t="shared" si="555"/>
        <v>0</v>
      </c>
      <c r="DJ164" s="3">
        <f t="shared" si="556"/>
        <v>0</v>
      </c>
      <c r="DK164" s="3">
        <f t="shared" si="557"/>
        <v>0</v>
      </c>
      <c r="DL164" s="3">
        <f t="shared" si="558"/>
        <v>0</v>
      </c>
      <c r="DM164" s="3">
        <f t="shared" si="559"/>
        <v>0</v>
      </c>
      <c r="DN164" s="64" t="str">
        <f t="shared" si="560"/>
        <v>UNKNOWN</v>
      </c>
      <c r="DO164" s="64" t="str">
        <f t="shared" si="561"/>
        <v>UNKNOWN</v>
      </c>
      <c r="DP164" s="3">
        <f t="shared" si="562"/>
        <v>0</v>
      </c>
      <c r="DQ164" s="3">
        <f t="shared" si="563"/>
        <v>0</v>
      </c>
      <c r="DR164" s="3" t="e">
        <f t="shared" ca="1" si="564"/>
        <v>#NUM!</v>
      </c>
      <c r="DS164" s="3">
        <f t="shared" si="565"/>
        <v>0</v>
      </c>
      <c r="DT164" s="3">
        <f t="shared" si="588"/>
        <v>0</v>
      </c>
      <c r="DU164" s="3">
        <f t="shared" si="589"/>
        <v>0</v>
      </c>
      <c r="DV164" s="3">
        <f t="shared" si="566"/>
        <v>38</v>
      </c>
      <c r="DW164" s="3">
        <f t="shared" si="567"/>
        <v>-9</v>
      </c>
      <c r="DX164" s="3" t="e">
        <f t="shared" ca="1" si="568"/>
        <v>#NUM!</v>
      </c>
      <c r="DY164" s="3" t="e">
        <f t="shared" ca="1" si="569"/>
        <v>#NUM!</v>
      </c>
      <c r="DZ164" s="3">
        <f t="shared" ca="1" si="570"/>
        <v>7.272416510704868E-4</v>
      </c>
      <c r="EA164" s="3">
        <f t="shared" ca="1" si="571"/>
        <v>-8.714190362616429E-4</v>
      </c>
      <c r="EB164" s="3">
        <f t="shared" ca="1" si="572"/>
        <v>9.2682654413875202E-4</v>
      </c>
      <c r="EC164" s="3">
        <f t="shared" ca="1" si="573"/>
        <v>-9.7727890456401271E-4</v>
      </c>
      <c r="ED164" s="63">
        <f t="shared" si="590"/>
        <v>29</v>
      </c>
      <c r="EE164" s="59">
        <f t="shared" si="574"/>
        <v>0.25</v>
      </c>
      <c r="EF164" s="59">
        <f t="shared" si="575"/>
        <v>0.2213</v>
      </c>
      <c r="EG164" s="59">
        <f t="shared" si="576"/>
        <v>0.33169999999999999</v>
      </c>
      <c r="EH164" s="59">
        <f t="shared" si="577"/>
        <v>0.2747</v>
      </c>
      <c r="EI164" s="59">
        <f t="shared" si="578"/>
        <v>0.25740000000000002</v>
      </c>
      <c r="EJ164" s="59">
        <f t="shared" si="579"/>
        <v>0.24329999999999999</v>
      </c>
      <c r="EL164" s="3" t="str">
        <f>RTD("tos.rtd",,EL$43,"."&amp;$B$134&amp;$AS$82&amp;"C"&amp;$A164)</f>
        <v>--</v>
      </c>
      <c r="EM164" s="3" t="str">
        <f>RTD("tos.rtd",,EM$43,"."&amp;$B$134&amp;$AS$82&amp;"P"&amp;$A164)</f>
        <v>22.13%</v>
      </c>
      <c r="EN164" s="3" t="str">
        <f>RTD("tos.rtd",,EN$2,"."&amp;$C$134&amp;$AU$82&amp;"C"&amp;$A164)</f>
        <v>33.17%</v>
      </c>
      <c r="EO164" s="3" t="str">
        <f>RTD("tos.rtd",,EO$2,"."&amp;$C$134&amp;$AU$82&amp;"P"&amp;$A164)</f>
        <v>27.47%</v>
      </c>
      <c r="EP164" s="3" t="str">
        <f>RTD("tos.rtd",,EP$2,"."&amp;$D$134&amp;$AW$82&amp;"C"&amp;$A164)</f>
        <v>25.74%</v>
      </c>
      <c r="EQ164" s="3" t="str">
        <f>RTD("tos.rtd",,EQ$2,"."&amp;$D$134&amp;$AW$82&amp;"P"&amp;$A164)</f>
        <v>24.33%</v>
      </c>
      <c r="ES164" s="63" t="str">
        <f t="shared" si="580"/>
        <v>19775,29.00</v>
      </c>
      <c r="ET164" s="64" t="str">
        <f t="shared" ca="1" si="581"/>
        <v>19775,00.00</v>
      </c>
      <c r="EU164" s="68">
        <v>562.61</v>
      </c>
      <c r="EV164" s="68" t="s">
        <v>1332</v>
      </c>
      <c r="EW164" s="68">
        <v>485.13</v>
      </c>
      <c r="EX164" s="68" t="s">
        <v>1333</v>
      </c>
      <c r="EY164" s="68">
        <v>5640.25</v>
      </c>
      <c r="EZ164" s="68" t="s">
        <v>1334</v>
      </c>
      <c r="FA164" s="68">
        <v>19928.5</v>
      </c>
      <c r="FB164" s="68" t="s">
        <v>1335</v>
      </c>
      <c r="FC164" s="68" t="s">
        <v>1336</v>
      </c>
      <c r="FD164" s="68" t="s">
        <v>1337</v>
      </c>
      <c r="FE164" s="68" t="s">
        <v>1338</v>
      </c>
      <c r="FF164" s="68" t="s">
        <v>1339</v>
      </c>
    </row>
    <row r="165" spans="1:162" ht="11.1" customHeight="1" thickBot="1" x14ac:dyDescent="0.25">
      <c r="A165" s="2">
        <f t="shared" si="591"/>
        <v>19750</v>
      </c>
      <c r="B165" s="3">
        <f t="shared" si="624"/>
        <v>25</v>
      </c>
      <c r="C165" s="3">
        <f t="shared" si="625"/>
        <v>11</v>
      </c>
      <c r="D165" s="3">
        <f t="shared" si="626"/>
        <v>72</v>
      </c>
      <c r="E165" s="3">
        <f t="shared" si="609"/>
        <v>108</v>
      </c>
      <c r="F165" s="4">
        <f t="shared" si="619"/>
        <v>19976.673010377053</v>
      </c>
      <c r="G165" s="5">
        <f t="shared" si="611"/>
        <v>483.95915879289748</v>
      </c>
      <c r="AM165" s="1">
        <v>-27</v>
      </c>
      <c r="AN165" s="1">
        <v>-2</v>
      </c>
      <c r="AO165" s="1">
        <v>19750</v>
      </c>
      <c r="AP165" s="1">
        <v>167</v>
      </c>
      <c r="AQ165" s="1">
        <v>-185</v>
      </c>
      <c r="AS165" s="54">
        <f>IF(RTD("tos.rtd",,AS$83,"."&amp;$B$134&amp;$AS$82&amp;"C"&amp;$A165)="N/A",0,RTD("tos.rtd",,AS$83,"."&amp;$B$134&amp;$AS$82&amp;"C"&amp;$A165))</f>
        <v>6</v>
      </c>
      <c r="AT165" s="3">
        <f>-IF(RTD("tos.rtd",,AT$83,"."&amp;$B$134&amp;$AS$82&amp;"P"&amp;$A165)="N/A",0,RTD("tos.rtd",,AT$83,"."&amp;$B$134&amp;$AS$82&amp;"P"&amp;$A165))</f>
        <v>-19</v>
      </c>
      <c r="AU165" s="54">
        <f>IF(RTD("tos.rtd",,AU$2,"."&amp;$C$134&amp;$AU$134&amp;"C"&amp;$A165)="N/A",0,RTD("tos.rtd",,AU$2,"."&amp;$C$134&amp;$AU$134&amp;"C"&amp;$A165))</f>
        <v>9</v>
      </c>
      <c r="AV165" s="3">
        <f>-IF(RTD("tos.rtd",,AV$2,"."&amp;$C$134&amp;$AU$134&amp;"P"&amp;$A165)="N/A",0,RTD("tos.rtd",,AV$2,"."&amp;$C$134&amp;$AU$134&amp;"P"&amp;$A165))</f>
        <v>-2</v>
      </c>
      <c r="AW165" s="54">
        <f>IF(RTD("tos.rtd",,AW$2,"."&amp;$D$134&amp;$AW$134&amp;"C"&amp;$A165)="N/A",0,RTD("tos.rtd",,AW$2,"."&amp;$D$134&amp;$AW$134&amp;"C"&amp;$A165))</f>
        <v>65</v>
      </c>
      <c r="AX165" s="3">
        <f>-IF(RTD("tos.rtd",,AX$2,"."&amp;$D$134&amp;$AW$134&amp;"P"&amp;$A165)="N/A",0,RTD("tos.rtd",,AX$2,"."&amp;$D$134&amp;$AW$134&amp;"P"&amp;$A165))</f>
        <v>-7</v>
      </c>
      <c r="AY165" s="76">
        <f t="shared" si="620"/>
        <v>52</v>
      </c>
      <c r="AZ165" s="8">
        <f t="shared" si="545"/>
        <v>19750</v>
      </c>
      <c r="BA165" s="54">
        <f>IF(RTD("tos.rtd",,BA$43,"."&amp;$B$134&amp;$AS$82&amp;"C"&amp;$A165)="N/A",0,RTD("tos.rtd",,BA$43,"."&amp;$B$134&amp;$AS$82&amp;"C"&amp;$A165))</f>
        <v>167</v>
      </c>
      <c r="BB165" s="3">
        <f>-IF(RTD("tos.rtd",,BB$43,"."&amp;$B$134&amp;$AS$82&amp;"P"&amp;$A165)="N/A",0,RTD("tos.rtd",,BB$43,"."&amp;$B$134&amp;$AS$82&amp;"P"&amp;$A165))</f>
        <v>-185</v>
      </c>
      <c r="BC165" s="54">
        <f>IF(RTD("tos.rtd",,BC$2,"."&amp;$C$134&amp;$AU$82&amp;"C"&amp;$A165)="N/A",0,RTD("tos.rtd",,BC$2,"."&amp;$C$134&amp;$AU$82&amp;"C"&amp;$A165))</f>
        <v>3</v>
      </c>
      <c r="BD165" s="3">
        <f>-IF(RTD("tos.rtd",,BD$2,"."&amp;$C$134&amp;$AU$82&amp;"P"&amp;$A165)="N/A",0,RTD("tos.rtd",,BD$2,"."&amp;$C$134&amp;$AU$82&amp;"P"&amp;$A165))</f>
        <v>-4</v>
      </c>
      <c r="BE165" s="54">
        <f>IF(RTD("tos.rtd",,BE$2,"."&amp;$D$134&amp;$AW$82&amp;"C"&amp;$A165)="N/A",0,RTD("tos.rtd",,BE$2,"."&amp;$D$134&amp;$AW$82&amp;"C"&amp;$A165))</f>
        <v>13</v>
      </c>
      <c r="BF165" s="3">
        <f>-IF(RTD("tos.rtd",,BF$2,"."&amp;$D$134&amp;$AW$82&amp;"P"&amp;$A165)="N/A",0,RTD("tos.rtd",,BF$2,"."&amp;$D$134&amp;$AW$82&amp;"P"&amp;$A165))</f>
        <v>-4</v>
      </c>
      <c r="BG165" s="3">
        <f ca="1">+Hoja2!Y166</f>
        <v>-2</v>
      </c>
      <c r="BH165" s="7">
        <f t="shared" ca="1" si="546"/>
        <v>-12</v>
      </c>
      <c r="BI165" s="32" t="str">
        <f t="shared" ca="1" si="605"/>
        <v/>
      </c>
      <c r="BJ165" s="3" t="e">
        <f ca="1">IF($BP$1=1,DX165,IF(RTD("tos.rtd",,BJ$43,"."&amp;$B$134&amp;$AS$82&amp;"C"&amp;$A165)="N/A",0,RTD("tos.rtd",,BJ$43,"."&amp;$B$134&amp;$AS$82&amp;"C"&amp;$A165)))</f>
        <v>#NUM!</v>
      </c>
      <c r="BK165" s="3" t="e">
        <f ca="1">IF($BP$1=1,DY165,-IF(RTD("tos.rtd",,BK$43,"."&amp;$B$134&amp;$AS$82&amp;"P"&amp;$A165)="N/A",0,RTD("tos.rtd",,BK$43,"."&amp;$B$134&amp;$AS$82&amp;"P"&amp;$A165)))</f>
        <v>#NUM!</v>
      </c>
      <c r="BL165" s="3">
        <f ca="1">IF($BP$1=1,DZ165,IF(RTD("tos.rtd",,BL$2,"."&amp;$C$134&amp;$AU$82&amp;"C"&amp;$A165)="N/A",0,RTD("tos.rtd",,BL$2,"."&amp;$C$134&amp;$AU$82&amp;"C"&amp;$A165)))</f>
        <v>7.1246457168061702E-4</v>
      </c>
      <c r="BM165" s="3">
        <f ca="1">IF($BP$1=1,EA165,-IF(RTD("tos.rtd",,BM$2,"."&amp;$C$134&amp;$AU$82&amp;"P"&amp;$A165)="N/A",0,RTD("tos.rtd",,BM$2,"."&amp;$C$134&amp;$AU$82&amp;"P"&amp;$A165)))</f>
        <v>-8.5323324882869399E-4</v>
      </c>
      <c r="BN165" s="3">
        <f ca="1">IF($BP$1=1,EB165,IF(RTD("tos.rtd",,BN$2,"."&amp;$D$134&amp;$AW$82&amp;"C"&amp;$A165)="N/A",0,RTD("tos.rtd",,BN$2,"."&amp;$D$134&amp;$AW$82&amp;"C"&amp;$A165)))</f>
        <v>9.0699143207195244E-4</v>
      </c>
      <c r="BO165" s="3">
        <f ca="1">IF($BP$1=1,EC165,-IF(RTD("tos.rtd",,BO$2,"."&amp;$D$134&amp;$AW$82&amp;"P"&amp;$A165)="N/A",0,RTD("tos.rtd",,BO$2,"."&amp;$D$134&amp;$AW$82&amp;"P"&amp;$A165)))</f>
        <v>-9.5467126316439439E-4</v>
      </c>
      <c r="BQ165" s="3" t="e">
        <f t="shared" ca="1" si="621"/>
        <v>#NUM!</v>
      </c>
      <c r="BR165" s="3" t="e">
        <f t="shared" ca="1" si="547"/>
        <v>#NUM!</v>
      </c>
      <c r="BS165" s="3">
        <f t="shared" ca="1" si="622"/>
        <v>149224.39684324758</v>
      </c>
      <c r="BT165" s="3" t="str">
        <f t="shared" ca="1" si="548"/>
        <v/>
      </c>
      <c r="BU165" s="3">
        <f t="shared" ca="1" si="623"/>
        <v>1657605.7179183713</v>
      </c>
      <c r="BV165" s="3" t="str">
        <f t="shared" ca="1" si="548"/>
        <v/>
      </c>
      <c r="BX165" s="3" t="e">
        <f t="shared" ca="1" si="582"/>
        <v>#NUM!</v>
      </c>
      <c r="BY165" s="3" t="e">
        <f t="shared" ca="1" si="583"/>
        <v>#NUM!</v>
      </c>
      <c r="BZ165" s="3">
        <f t="shared" ca="1" si="584"/>
        <v>-302.33204797383524</v>
      </c>
      <c r="CA165" s="3" t="str">
        <f t="shared" ca="1" si="583"/>
        <v/>
      </c>
      <c r="CB165" s="3">
        <f t="shared" ca="1" si="585"/>
        <v>1889.5949875700417</v>
      </c>
      <c r="CC165" s="3" t="str">
        <f t="shared" ca="1" si="583"/>
        <v>Cruce +</v>
      </c>
      <c r="CD165" s="3">
        <f>IF(RTD("tos.rtd",,CD$43,"."&amp;$B$134&amp;$AS$82&amp;"C"&amp;$A165)="N/A",0,RTD("tos.rtd",,CD$43,"."&amp;$B$134&amp;$AS$82&amp;"C"&amp;$A165))</f>
        <v>1</v>
      </c>
      <c r="CE165" s="3">
        <f>-IF(RTD("tos.rtd",,CE$43,"."&amp;$B$134&amp;$AS$82&amp;"P"&amp;$A165)="N/A",0,RTD("tos.rtd",,CE$43,"."&amp;$B$134&amp;$AS$82&amp;"P"&amp;$A165))</f>
        <v>0.02</v>
      </c>
      <c r="CF165" s="3">
        <f>IF(RTD("tos.rtd",,CF$2,"."&amp;$C$134&amp;$AU$82&amp;"C"&amp;$A165)="N/A",0,RTD("tos.rtd",,CF$2,"."&amp;$C$134&amp;$AU$82&amp;"C"&amp;$A165))</f>
        <v>0.61</v>
      </c>
      <c r="CG165" s="3">
        <f>-IF(RTD("tos.rtd",,CG$2,"."&amp;$C$134&amp;$AU$82&amp;"P"&amp;$A165)="N/A",0,RTD("tos.rtd",,CG$2,"."&amp;$C$134&amp;$AU$82&amp;"P"&amp;$A165))</f>
        <v>0.37</v>
      </c>
      <c r="CH165" s="3">
        <f>IF(RTD("tos.rtd",,CH$2,"."&amp;$D$134&amp;$AW$82&amp;"C"&amp;$A165)="N/A",0,RTD("tos.rtd",,CH$2,"."&amp;$D$134&amp;$AW$82&amp;"C"&amp;$A165))</f>
        <v>0.57999999999999996</v>
      </c>
      <c r="CI165" s="3">
        <f>-IF(RTD("tos.rtd",,CI$2,"."&amp;$D$134&amp;$AW$82&amp;"P"&amp;$A165)="N/A",0,RTD("tos.rtd",,CI$2,"."&amp;$D$134&amp;$AW$82&amp;"P"&amp;$A165))</f>
        <v>0.42</v>
      </c>
      <c r="CK165" s="3">
        <f t="shared" si="616"/>
        <v>562</v>
      </c>
      <c r="CL165" s="3"/>
      <c r="CM165" s="3">
        <f t="shared" si="617"/>
        <v>475</v>
      </c>
      <c r="CN165" s="3"/>
      <c r="CO165" s="3">
        <f t="shared" si="618"/>
        <v>3475.9999999999995</v>
      </c>
      <c r="CP165" s="3">
        <f t="shared" si="539"/>
        <v>4513</v>
      </c>
      <c r="CQ165" s="3">
        <f t="shared" si="549"/>
        <v>-18</v>
      </c>
      <c r="CR165" s="3"/>
      <c r="CS165" s="3">
        <f t="shared" si="550"/>
        <v>-1</v>
      </c>
      <c r="CT165" s="3"/>
      <c r="CU165" s="3">
        <f t="shared" si="551"/>
        <v>9</v>
      </c>
      <c r="CV165" s="3"/>
      <c r="CW165" s="3" t="e">
        <f t="shared" ca="1" si="552"/>
        <v>#NUM!</v>
      </c>
      <c r="CY165" s="3" t="e">
        <f t="shared" ca="1" si="553"/>
        <v>#NUM!</v>
      </c>
      <c r="CZ165" s="70" t="e">
        <f t="shared" ca="1" si="586"/>
        <v>#NUM!</v>
      </c>
      <c r="DA165" s="3">
        <f>IF(RTD("tos.rtd",,DA$43,"."&amp;$B$134&amp;$AS$82&amp;"C"&amp;$A165)="N/A",0,RTD("tos.rtd",,DA$43,"."&amp;$B$134&amp;$AS$82&amp;"C"&amp;$A165))</f>
        <v>82</v>
      </c>
      <c r="DB165" s="3">
        <f>IF(RTD("tos.rtd",,DB$43,"."&amp;$B$134&amp;$AS$82&amp;"P"&amp;$A165)="N/A",0,RTD("tos.rtd",,DB$43,"."&amp;$B$134&amp;$AS$82&amp;"P"&amp;$A165))</f>
        <v>0.45</v>
      </c>
      <c r="DC165" s="3">
        <f>IF(RTD("tos.rtd",,DC$43,"."&amp;$B$134&amp;$AS$82&amp;"C"&amp;$A165)="N/A",0,RTD("tos.rtd",,DC$43,"."&amp;$B$134&amp;$AS$82&amp;"C"&amp;$A165))</f>
        <v>124.2</v>
      </c>
      <c r="DD165" s="3">
        <f>IF(RTD("tos.rtd",,DD$43,"."&amp;$B$134&amp;$AS$82&amp;"P"&amp;$A165)="N/A",0,RTD("tos.rtd",,DD$43,"."&amp;$B$134&amp;$AS$82&amp;"P"&amp;$A165))</f>
        <v>1</v>
      </c>
      <c r="DE165" s="3">
        <f>IF(RTD("tos.rtd",,DE$43,"."&amp;$B$134&amp;$AS$82&amp;"C"&amp;$A165)="N/A",0,RTD("tos.rtd",,DE$43,"."&amp;$B$134&amp;$AS$82&amp;"C"&amp;$A165))</f>
        <v>106</v>
      </c>
      <c r="DF165" s="3">
        <f>IF(RTD("tos.rtd",,DF$43,"."&amp;$B$134&amp;$AS$82&amp;"P"&amp;$A165)="N/A",0,RTD("tos.rtd",,DF$43,"."&amp;$B$134&amp;$AS$82&amp;"P"&amp;$A165))</f>
        <v>0</v>
      </c>
      <c r="DG165" s="86">
        <f t="shared" si="587"/>
        <v>-117.97300000000178</v>
      </c>
      <c r="DH165" s="3">
        <f t="shared" si="554"/>
        <v>0</v>
      </c>
      <c r="DI165" s="3">
        <f t="shared" si="555"/>
        <v>0</v>
      </c>
      <c r="DJ165" s="3">
        <f t="shared" si="556"/>
        <v>0</v>
      </c>
      <c r="DK165" s="3">
        <f t="shared" si="557"/>
        <v>0</v>
      </c>
      <c r="DL165" s="3">
        <f t="shared" si="558"/>
        <v>0</v>
      </c>
      <c r="DM165" s="3">
        <f t="shared" si="559"/>
        <v>0</v>
      </c>
      <c r="DN165" s="64" t="str">
        <f t="shared" si="560"/>
        <v>UNKNOWN</v>
      </c>
      <c r="DO165" s="64" t="str">
        <f t="shared" si="561"/>
        <v>UNKNOWN</v>
      </c>
      <c r="DP165" s="3">
        <f t="shared" si="562"/>
        <v>0</v>
      </c>
      <c r="DQ165" s="3">
        <f t="shared" si="563"/>
        <v>0</v>
      </c>
      <c r="DR165" s="3" t="e">
        <f t="shared" ca="1" si="564"/>
        <v>#NUM!</v>
      </c>
      <c r="DS165" s="3">
        <f t="shared" si="565"/>
        <v>0</v>
      </c>
      <c r="DT165" s="3">
        <f t="shared" si="588"/>
        <v>0</v>
      </c>
      <c r="DU165" s="3">
        <f t="shared" si="589"/>
        <v>0</v>
      </c>
      <c r="DV165" s="3">
        <f t="shared" si="566"/>
        <v>-27</v>
      </c>
      <c r="DW165" s="3">
        <f t="shared" si="567"/>
        <v>-2</v>
      </c>
      <c r="DX165" s="3" t="e">
        <f t="shared" ca="1" si="568"/>
        <v>#NUM!</v>
      </c>
      <c r="DY165" s="3" t="e">
        <f t="shared" ca="1" si="569"/>
        <v>#NUM!</v>
      </c>
      <c r="DZ165" s="3">
        <f t="shared" ca="1" si="570"/>
        <v>7.1246457168061702E-4</v>
      </c>
      <c r="EA165" s="3">
        <f t="shared" ca="1" si="571"/>
        <v>-8.5323324882869399E-4</v>
      </c>
      <c r="EB165" s="3">
        <f t="shared" ca="1" si="572"/>
        <v>9.0699143207195244E-4</v>
      </c>
      <c r="EC165" s="3">
        <f t="shared" ca="1" si="573"/>
        <v>-9.5467126316439439E-4</v>
      </c>
      <c r="ED165" s="63">
        <f t="shared" si="590"/>
        <v>-29</v>
      </c>
      <c r="EE165" s="59">
        <f t="shared" si="574"/>
        <v>0.25</v>
      </c>
      <c r="EF165" s="59">
        <f t="shared" si="575"/>
        <v>0.39429999999999998</v>
      </c>
      <c r="EG165" s="59">
        <f t="shared" si="576"/>
        <v>0.33529999999999999</v>
      </c>
      <c r="EH165" s="59">
        <f t="shared" si="577"/>
        <v>0.27660000000000001</v>
      </c>
      <c r="EI165" s="59">
        <f t="shared" si="578"/>
        <v>0.25879999999999997</v>
      </c>
      <c r="EJ165" s="59">
        <f t="shared" si="579"/>
        <v>0.24460000000000001</v>
      </c>
      <c r="EL165" s="3" t="str">
        <f>RTD("tos.rtd",,EL$43,"."&amp;$B$134&amp;$AS$82&amp;"C"&amp;$A165)</f>
        <v>--</v>
      </c>
      <c r="EM165" s="3" t="str">
        <f>RTD("tos.rtd",,EM$43,"."&amp;$B$134&amp;$AS$82&amp;"P"&amp;$A165)</f>
        <v>39.43%</v>
      </c>
      <c r="EN165" s="3" t="str">
        <f>RTD("tos.rtd",,EN$2,"."&amp;$C$134&amp;$AU$82&amp;"C"&amp;$A165)</f>
        <v>33.53%</v>
      </c>
      <c r="EO165" s="3" t="str">
        <f>RTD("tos.rtd",,EO$2,"."&amp;$C$134&amp;$AU$82&amp;"P"&amp;$A165)</f>
        <v>27.66%</v>
      </c>
      <c r="EP165" s="3" t="str">
        <f>RTD("tos.rtd",,EP$2,"."&amp;$D$134&amp;$AW$82&amp;"C"&amp;$A165)</f>
        <v>25.88%</v>
      </c>
      <c r="EQ165" s="3" t="str">
        <f>RTD("tos.rtd",,EQ$2,"."&amp;$D$134&amp;$AW$82&amp;"P"&amp;$A165)</f>
        <v>24.46%</v>
      </c>
      <c r="ES165" s="63" t="str">
        <f t="shared" si="580"/>
        <v>19750,-29.00</v>
      </c>
      <c r="ET165" s="64" t="str">
        <f t="shared" ca="1" si="581"/>
        <v>19750,00.00</v>
      </c>
      <c r="EU165" s="68">
        <v>562.62</v>
      </c>
      <c r="EV165" s="68" t="s">
        <v>1340</v>
      </c>
      <c r="EW165" s="68">
        <v>485.15</v>
      </c>
      <c r="EX165" s="68" t="s">
        <v>1341</v>
      </c>
      <c r="EY165" s="68">
        <v>5640.25</v>
      </c>
      <c r="EZ165" s="68" t="s">
        <v>1342</v>
      </c>
      <c r="FA165" s="68">
        <v>19929</v>
      </c>
      <c r="FB165" s="68" t="s">
        <v>1343</v>
      </c>
      <c r="FC165" s="68" t="s">
        <v>1344</v>
      </c>
      <c r="FD165" s="68" t="s">
        <v>1345</v>
      </c>
      <c r="FE165" s="68" t="s">
        <v>1346</v>
      </c>
      <c r="FF165" s="68" t="s">
        <v>1347</v>
      </c>
    </row>
    <row r="166" spans="1:162" ht="11.1" customHeight="1" thickBot="1" x14ac:dyDescent="0.25">
      <c r="A166" s="2">
        <f t="shared" si="591"/>
        <v>19725</v>
      </c>
      <c r="B166" s="3">
        <f t="shared" si="624"/>
        <v>13</v>
      </c>
      <c r="C166" s="3">
        <f t="shared" si="625"/>
        <v>10</v>
      </c>
      <c r="D166" s="3">
        <f t="shared" si="626"/>
        <v>35</v>
      </c>
      <c r="E166" s="3">
        <f t="shared" si="609"/>
        <v>58</v>
      </c>
      <c r="F166" s="4">
        <f t="shared" si="619"/>
        <v>19951.386082515815</v>
      </c>
      <c r="G166" s="5">
        <f t="shared" si="611"/>
        <v>483.34655226277988</v>
      </c>
      <c r="AM166" s="1">
        <v>-49</v>
      </c>
      <c r="AN166" s="1">
        <v>72</v>
      </c>
      <c r="AO166" s="1">
        <v>19725</v>
      </c>
      <c r="AP166" s="1">
        <v>133</v>
      </c>
      <c r="AQ166" s="1">
        <v>-161</v>
      </c>
      <c r="AS166" s="54">
        <f>IF(RTD("tos.rtd",,AS$83,"."&amp;$B$134&amp;$AS$82&amp;"C"&amp;$A166)="N/A",0,RTD("tos.rtd",,AS$83,"."&amp;$B$134&amp;$AS$82&amp;"C"&amp;$A166))</f>
        <v>4</v>
      </c>
      <c r="AT166" s="3">
        <f>-IF(RTD("tos.rtd",,AT$83,"."&amp;$B$134&amp;$AS$82&amp;"P"&amp;$A166)="N/A",0,RTD("tos.rtd",,AT$83,"."&amp;$B$134&amp;$AS$82&amp;"P"&amp;$A166))</f>
        <v>-9</v>
      </c>
      <c r="AU166" s="54">
        <f>IF(RTD("tos.rtd",,AU$2,"."&amp;$C$134&amp;$AU$134&amp;"C"&amp;$A166)="N/A",0,RTD("tos.rtd",,AU$2,"."&amp;$C$134&amp;$AU$134&amp;"C"&amp;$A166))</f>
        <v>9</v>
      </c>
      <c r="AV166" s="3">
        <f>-IF(RTD("tos.rtd",,AV$2,"."&amp;$C$134&amp;$AU$134&amp;"P"&amp;$A166)="N/A",0,RTD("tos.rtd",,AV$2,"."&amp;$C$134&amp;$AU$134&amp;"P"&amp;$A166))</f>
        <v>-1</v>
      </c>
      <c r="AW166" s="54">
        <f>IF(RTD("tos.rtd",,AW$2,"."&amp;$D$134&amp;$AW$134&amp;"C"&amp;$A166)="N/A",0,RTD("tos.rtd",,AW$2,"."&amp;$D$134&amp;$AW$134&amp;"C"&amp;$A166))</f>
        <v>31</v>
      </c>
      <c r="AX166" s="3">
        <f>-IF(RTD("tos.rtd",,AX$2,"."&amp;$D$134&amp;$AW$134&amp;"P"&amp;$A166)="N/A",0,RTD("tos.rtd",,AX$2,"."&amp;$D$134&amp;$AW$134&amp;"P"&amp;$A166))</f>
        <v>-4</v>
      </c>
      <c r="AY166" s="76">
        <f t="shared" si="620"/>
        <v>30</v>
      </c>
      <c r="AZ166" s="8">
        <f t="shared" si="545"/>
        <v>19725</v>
      </c>
      <c r="BA166" s="54">
        <f>IF(RTD("tos.rtd",,BA$43,"."&amp;$B$134&amp;$AS$82&amp;"C"&amp;$A166)="N/A",0,RTD("tos.rtd",,BA$43,"."&amp;$B$134&amp;$AS$82&amp;"C"&amp;$A166))</f>
        <v>133</v>
      </c>
      <c r="BB166" s="3">
        <f>-IF(RTD("tos.rtd",,BB$43,"."&amp;$B$134&amp;$AS$82&amp;"P"&amp;$A166)="N/A",0,RTD("tos.rtd",,BB$43,"."&amp;$B$134&amp;$AS$82&amp;"P"&amp;$A166))</f>
        <v>-161</v>
      </c>
      <c r="BC166" s="54">
        <f>IF(RTD("tos.rtd",,BC$2,"."&amp;$C$134&amp;$AU$82&amp;"C"&amp;$A166)="N/A",0,RTD("tos.rtd",,BC$2,"."&amp;$C$134&amp;$AU$82&amp;"C"&amp;$A166))</f>
        <v>0</v>
      </c>
      <c r="BD166" s="3">
        <f>-IF(RTD("tos.rtd",,BD$2,"."&amp;$C$134&amp;$AU$82&amp;"P"&amp;$A166)="N/A",0,RTD("tos.rtd",,BD$2,"."&amp;$C$134&amp;$AU$82&amp;"P"&amp;$A166))</f>
        <v>-3</v>
      </c>
      <c r="BE166" s="54">
        <f>IF(RTD("tos.rtd",,BE$2,"."&amp;$D$134&amp;$AW$82&amp;"C"&amp;$A166)="N/A",0,RTD("tos.rtd",,BE$2,"."&amp;$D$134&amp;$AW$82&amp;"C"&amp;$A166))</f>
        <v>30</v>
      </c>
      <c r="BF166" s="3">
        <f>-IF(RTD("tos.rtd",,BF$2,"."&amp;$D$134&amp;$AW$82&amp;"P"&amp;$A166)="N/A",0,RTD("tos.rtd",,BF$2,"."&amp;$D$134&amp;$AW$82&amp;"P"&amp;$A166))</f>
        <v>-43</v>
      </c>
      <c r="BG166" s="3">
        <f ca="1">+Hoja2!Y167</f>
        <v>4</v>
      </c>
      <c r="BH166" s="7">
        <f t="shared" ca="1" si="546"/>
        <v>-40</v>
      </c>
      <c r="BI166" s="32" t="str">
        <f t="shared" ca="1" si="605"/>
        <v/>
      </c>
      <c r="BJ166" s="3" t="e">
        <f ca="1">IF($BP$1=1,DX166,IF(RTD("tos.rtd",,BJ$43,"."&amp;$B$134&amp;$AS$82&amp;"C"&amp;$A166)="N/A",0,RTD("tos.rtd",,BJ$43,"."&amp;$B$134&amp;$AS$82&amp;"C"&amp;$A166)))</f>
        <v>#NUM!</v>
      </c>
      <c r="BK166" s="3" t="e">
        <f ca="1">IF($BP$1=1,DY166,-IF(RTD("tos.rtd",,BK$43,"."&amp;$B$134&amp;$AS$82&amp;"P"&amp;$A166)="N/A",0,RTD("tos.rtd",,BK$43,"."&amp;$B$134&amp;$AS$82&amp;"P"&amp;$A166)))</f>
        <v>#NUM!</v>
      </c>
      <c r="BL166" s="3">
        <f ca="1">IF($BP$1=1,DZ166,IF(RTD("tos.rtd",,BL$2,"."&amp;$C$134&amp;$AU$82&amp;"C"&amp;$A166)="N/A",0,RTD("tos.rtd",,BL$2,"."&amp;$C$134&amp;$AU$82&amp;"C"&amp;$A166)))</f>
        <v>6.9801457704688397E-4</v>
      </c>
      <c r="BM166" s="3">
        <f ca="1">IF($BP$1=1,EA166,-IF(RTD("tos.rtd",,BM$2,"."&amp;$C$134&amp;$AU$82&amp;"P"&amp;$A166)="N/A",0,RTD("tos.rtd",,BM$2,"."&amp;$C$134&amp;$AU$82&amp;"P"&amp;$A166)))</f>
        <v>-8.3157628761426519E-4</v>
      </c>
      <c r="BN166" s="3">
        <f ca="1">IF($BP$1=1,EB166,IF(RTD("tos.rtd",,BN$2,"."&amp;$D$134&amp;$AW$82&amp;"C"&amp;$A166)="N/A",0,RTD("tos.rtd",,BN$2,"."&amp;$D$134&amp;$AW$82&amp;"C"&amp;$A166)))</f>
        <v>8.8503520371342151E-4</v>
      </c>
      <c r="BO166" s="3">
        <f ca="1">IF($BP$1=1,EC166,-IF(RTD("tos.rtd",,BO$2,"."&amp;$D$134&amp;$AW$82&amp;"P"&amp;$A166)="N/A",0,RTD("tos.rtd",,BO$2,"."&amp;$D$134&amp;$AW$82&amp;"P"&amp;$A166)))</f>
        <v>-9.2890693496841298E-4</v>
      </c>
      <c r="BQ166" s="3" t="e">
        <f t="shared" ca="1" si="621"/>
        <v>#NUM!</v>
      </c>
      <c r="BR166" s="3" t="e">
        <f t="shared" ca="1" si="547"/>
        <v>#NUM!</v>
      </c>
      <c r="BS166" s="3">
        <f t="shared" ca="1" si="622"/>
        <v>172844.26048183136</v>
      </c>
      <c r="BT166" s="3" t="str">
        <f t="shared" ca="1" si="548"/>
        <v/>
      </c>
      <c r="BU166" s="3">
        <f t="shared" ca="1" si="623"/>
        <v>752207.07905912597</v>
      </c>
      <c r="BV166" s="3" t="str">
        <f t="shared" ca="1" si="548"/>
        <v/>
      </c>
      <c r="BX166" s="3" t="e">
        <f t="shared" ca="1" si="582"/>
        <v>#NUM!</v>
      </c>
      <c r="BY166" s="3" t="e">
        <f t="shared" ca="1" si="583"/>
        <v>#NUM!</v>
      </c>
      <c r="BZ166" s="3">
        <f t="shared" ca="1" si="584"/>
        <v>-591.30792591610111</v>
      </c>
      <c r="CA166" s="3" t="str">
        <f t="shared" ca="1" si="583"/>
        <v/>
      </c>
      <c r="CB166" s="3">
        <f t="shared" ca="1" si="585"/>
        <v>-3174.1972526532782</v>
      </c>
      <c r="CC166" s="3" t="str">
        <f t="shared" ca="1" si="583"/>
        <v>Cruce -</v>
      </c>
      <c r="CD166" s="3">
        <f>IF(RTD("tos.rtd",,CD$43,"."&amp;$B$134&amp;$AS$82&amp;"C"&amp;$A166)="N/A",0,RTD("tos.rtd",,CD$43,"."&amp;$B$134&amp;$AS$82&amp;"C"&amp;$A166))</f>
        <v>1</v>
      </c>
      <c r="CE166" s="3">
        <f>-IF(RTD("tos.rtd",,CE$43,"."&amp;$B$134&amp;$AS$82&amp;"P"&amp;$A166)="N/A",0,RTD("tos.rtd",,CE$43,"."&amp;$B$134&amp;$AS$82&amp;"P"&amp;$A166))</f>
        <v>0.08</v>
      </c>
      <c r="CF166" s="3">
        <f>IF(RTD("tos.rtd",,CF$2,"."&amp;$C$134&amp;$AU$82&amp;"C"&amp;$A166)="N/A",0,RTD("tos.rtd",,CF$2,"."&amp;$C$134&amp;$AU$82&amp;"C"&amp;$A166))</f>
        <v>0.63</v>
      </c>
      <c r="CG166" s="3">
        <f>-IF(RTD("tos.rtd",,CG$2,"."&amp;$C$134&amp;$AU$82&amp;"P"&amp;$A166)="N/A",0,RTD("tos.rtd",,CG$2,"."&amp;$C$134&amp;$AU$82&amp;"P"&amp;$A166))</f>
        <v>0.35</v>
      </c>
      <c r="CH166" s="3">
        <f>IF(RTD("tos.rtd",,CH$2,"."&amp;$D$134&amp;$AW$82&amp;"C"&amp;$A166)="N/A",0,RTD("tos.rtd",,CH$2,"."&amp;$D$134&amp;$AW$82&amp;"C"&amp;$A166))</f>
        <v>0.59</v>
      </c>
      <c r="CI166" s="3">
        <f>-IF(RTD("tos.rtd",,CI$2,"."&amp;$D$134&amp;$AW$82&amp;"P"&amp;$A166)="N/A",0,RTD("tos.rtd",,CI$2,"."&amp;$D$134&amp;$AW$82&amp;"P"&amp;$A166))</f>
        <v>0.41</v>
      </c>
      <c r="CK166" s="3">
        <f t="shared" si="616"/>
        <v>328</v>
      </c>
      <c r="CL166" s="3"/>
      <c r="CM166" s="3">
        <f t="shared" si="617"/>
        <v>532</v>
      </c>
      <c r="CN166" s="3"/>
      <c r="CO166" s="3">
        <f t="shared" si="618"/>
        <v>1665</v>
      </c>
      <c r="CP166" s="3">
        <f t="shared" si="539"/>
        <v>2525</v>
      </c>
      <c r="CQ166" s="3">
        <f t="shared" si="549"/>
        <v>-28</v>
      </c>
      <c r="CR166" s="3"/>
      <c r="CS166" s="3">
        <f t="shared" si="550"/>
        <v>-3</v>
      </c>
      <c r="CT166" s="3"/>
      <c r="CU166" s="3">
        <f t="shared" si="551"/>
        <v>-13</v>
      </c>
      <c r="CV166" s="3"/>
      <c r="CW166" s="3" t="e">
        <f t="shared" ca="1" si="552"/>
        <v>#NUM!</v>
      </c>
      <c r="CY166" s="3" t="e">
        <f t="shared" ca="1" si="553"/>
        <v>#NUM!</v>
      </c>
      <c r="CZ166" s="70" t="e">
        <f t="shared" ca="1" si="586"/>
        <v>#NUM!</v>
      </c>
      <c r="DA166" s="3">
        <f>IF(RTD("tos.rtd",,DA$43,"."&amp;$B$134&amp;$AS$82&amp;"C"&amp;$A166)="N/A",0,RTD("tos.rtd",,DA$43,"."&amp;$B$134&amp;$AS$82&amp;"C"&amp;$A166))</f>
        <v>98.1</v>
      </c>
      <c r="DB166" s="3">
        <f>IF(RTD("tos.rtd",,DB$43,"."&amp;$B$134&amp;$AS$82&amp;"P"&amp;$A166)="N/A",0,RTD("tos.rtd",,DB$43,"."&amp;$B$134&amp;$AS$82&amp;"P"&amp;$A166))</f>
        <v>3</v>
      </c>
      <c r="DC166" s="3">
        <f>IF(RTD("tos.rtd",,DC$43,"."&amp;$B$134&amp;$AS$82&amp;"C"&amp;$A166)="N/A",0,RTD("tos.rtd",,DC$43,"."&amp;$B$134&amp;$AS$82&amp;"C"&amp;$A166))</f>
        <v>149.30000000000001</v>
      </c>
      <c r="DD166" s="3">
        <f>IF(RTD("tos.rtd",,DD$43,"."&amp;$B$134&amp;$AS$82&amp;"P"&amp;$A166)="N/A",0,RTD("tos.rtd",,DD$43,"."&amp;$B$134&amp;$AS$82&amp;"P"&amp;$A166))</f>
        <v>6.8</v>
      </c>
      <c r="DE166" s="3">
        <f>IF(RTD("tos.rtd",,DE$43,"."&amp;$B$134&amp;$AS$82&amp;"C"&amp;$A166)="N/A",0,RTD("tos.rtd",,DE$43,"."&amp;$B$134&amp;$AS$82&amp;"C"&amp;$A166))</f>
        <v>132</v>
      </c>
      <c r="DF166" s="3">
        <f>IF(RTD("tos.rtd",,DF$43,"."&amp;$B$134&amp;$AS$82&amp;"P"&amp;$A166)="N/A",0,RTD("tos.rtd",,DF$43,"."&amp;$B$134&amp;$AS$82&amp;"P"&amp;$A166))</f>
        <v>0</v>
      </c>
      <c r="DG166" s="86">
        <f t="shared" si="587"/>
        <v>-142.97300000000178</v>
      </c>
      <c r="DH166" s="3">
        <f t="shared" si="554"/>
        <v>0</v>
      </c>
      <c r="DI166" s="3">
        <f t="shared" si="555"/>
        <v>0</v>
      </c>
      <c r="DJ166" s="3">
        <f t="shared" si="556"/>
        <v>0</v>
      </c>
      <c r="DK166" s="3">
        <f t="shared" si="557"/>
        <v>0</v>
      </c>
      <c r="DL166" s="3">
        <f t="shared" si="558"/>
        <v>0</v>
      </c>
      <c r="DM166" s="3">
        <f t="shared" si="559"/>
        <v>0</v>
      </c>
      <c r="DN166" s="64" t="str">
        <f t="shared" si="560"/>
        <v>UNKNOWN</v>
      </c>
      <c r="DO166" s="64" t="str">
        <f t="shared" si="561"/>
        <v>UNKNOWN</v>
      </c>
      <c r="DP166" s="3">
        <f t="shared" si="562"/>
        <v>0</v>
      </c>
      <c r="DQ166" s="3">
        <f t="shared" si="563"/>
        <v>0</v>
      </c>
      <c r="DR166" s="3" t="e">
        <f t="shared" ca="1" si="564"/>
        <v>#NUM!</v>
      </c>
      <c r="DS166" s="3">
        <f t="shared" si="565"/>
        <v>0</v>
      </c>
      <c r="DT166" s="3">
        <f t="shared" si="588"/>
        <v>0</v>
      </c>
      <c r="DU166" s="3">
        <f t="shared" si="589"/>
        <v>0</v>
      </c>
      <c r="DV166" s="3">
        <f t="shared" si="566"/>
        <v>-49</v>
      </c>
      <c r="DW166" s="3">
        <f t="shared" si="567"/>
        <v>72</v>
      </c>
      <c r="DX166" s="3" t="e">
        <f t="shared" ca="1" si="568"/>
        <v>#NUM!</v>
      </c>
      <c r="DY166" s="3" t="e">
        <f t="shared" ca="1" si="569"/>
        <v>#NUM!</v>
      </c>
      <c r="DZ166" s="3">
        <f t="shared" ca="1" si="570"/>
        <v>6.9801457704688397E-4</v>
      </c>
      <c r="EA166" s="3">
        <f t="shared" ca="1" si="571"/>
        <v>-8.3157628761426519E-4</v>
      </c>
      <c r="EB166" s="3">
        <f t="shared" ca="1" si="572"/>
        <v>8.8503520371342151E-4</v>
      </c>
      <c r="EC166" s="3">
        <f t="shared" ca="1" si="573"/>
        <v>-9.2890693496841298E-4</v>
      </c>
      <c r="ED166" s="63">
        <f t="shared" si="590"/>
        <v>23</v>
      </c>
      <c r="EE166" s="59">
        <f t="shared" si="574"/>
        <v>0.25</v>
      </c>
      <c r="EF166" s="59">
        <f t="shared" si="575"/>
        <v>0.66749999999999998</v>
      </c>
      <c r="EG166" s="59">
        <f t="shared" si="576"/>
        <v>0.33829999999999999</v>
      </c>
      <c r="EH166" s="59">
        <f t="shared" si="577"/>
        <v>0.27910000000000001</v>
      </c>
      <c r="EI166" s="59">
        <f t="shared" si="578"/>
        <v>0.2601</v>
      </c>
      <c r="EJ166" s="59">
        <f t="shared" si="579"/>
        <v>0.246</v>
      </c>
      <c r="EL166" s="3" t="str">
        <f>RTD("tos.rtd",,EL$43,"."&amp;$B$134&amp;$AS$82&amp;"C"&amp;$A166)</f>
        <v>--</v>
      </c>
      <c r="EM166" s="3" t="str">
        <f>RTD("tos.rtd",,EM$43,"."&amp;$B$134&amp;$AS$82&amp;"P"&amp;$A166)</f>
        <v>66.75%</v>
      </c>
      <c r="EN166" s="3" t="str">
        <f>RTD("tos.rtd",,EN$2,"."&amp;$C$134&amp;$AU$82&amp;"C"&amp;$A166)</f>
        <v>33.83%</v>
      </c>
      <c r="EO166" s="3" t="str">
        <f>RTD("tos.rtd",,EO$2,"."&amp;$C$134&amp;$AU$82&amp;"P"&amp;$A166)</f>
        <v>27.91%</v>
      </c>
      <c r="EP166" s="3" t="str">
        <f>RTD("tos.rtd",,EP$2,"."&amp;$D$134&amp;$AW$82&amp;"C"&amp;$A166)</f>
        <v>26.01%</v>
      </c>
      <c r="EQ166" s="3" t="str">
        <f>RTD("tos.rtd",,EQ$2,"."&amp;$D$134&amp;$AW$82&amp;"P"&amp;$A166)</f>
        <v>24.60%</v>
      </c>
      <c r="ES166" s="63" t="str">
        <f t="shared" si="580"/>
        <v>19725,23.00</v>
      </c>
      <c r="ET166" s="64" t="str">
        <f t="shared" ca="1" si="581"/>
        <v>19725,00.00</v>
      </c>
      <c r="EU166" s="68">
        <v>562.67999999999995</v>
      </c>
      <c r="EV166" s="68" t="s">
        <v>1348</v>
      </c>
      <c r="EW166" s="68">
        <v>485.21</v>
      </c>
      <c r="EX166" s="68" t="s">
        <v>1349</v>
      </c>
      <c r="EY166" s="68">
        <v>5640.75</v>
      </c>
      <c r="EZ166" s="68" t="s">
        <v>1350</v>
      </c>
      <c r="FA166" s="68">
        <v>19932</v>
      </c>
      <c r="FB166" s="68" t="s">
        <v>1351</v>
      </c>
      <c r="FC166" s="68" t="s">
        <v>1352</v>
      </c>
      <c r="FD166" s="68" t="s">
        <v>1353</v>
      </c>
      <c r="FE166" s="68" t="s">
        <v>1354</v>
      </c>
      <c r="FF166" s="68" t="s">
        <v>1355</v>
      </c>
    </row>
    <row r="167" spans="1:162" ht="11.1" customHeight="1" thickBot="1" x14ac:dyDescent="0.25">
      <c r="A167" s="2">
        <f t="shared" si="591"/>
        <v>19700</v>
      </c>
      <c r="B167" s="3">
        <f t="shared" ref="B167:B181" si="627">+IF($A$1="ABS",AS167-AT167,AS167+AT167)</f>
        <v>70</v>
      </c>
      <c r="C167" s="3">
        <f t="shared" ref="C167:C181" si="628">+IF($A$1="ABS",AU167-AV167,AU167+AV167)</f>
        <v>13</v>
      </c>
      <c r="D167" s="3">
        <f t="shared" ref="D167:D181" si="629">+IF($A$1="ABS",AW167-AX167,AW167+AX167)</f>
        <v>84</v>
      </c>
      <c r="E167" s="3">
        <f t="shared" ref="E167:E181" si="630">SUM(B167:D167)</f>
        <v>167</v>
      </c>
      <c r="F167" s="4">
        <f t="shared" ref="F167:F181" si="631">+$F$136/$A$136*A167</f>
        <v>19926.099154654577</v>
      </c>
      <c r="G167" s="5">
        <f t="shared" ref="G167:G181" si="632">+$G$136/$A$136*A167</f>
        <v>482.73394573266228</v>
      </c>
      <c r="AM167" s="1">
        <v>-3</v>
      </c>
      <c r="AN167" s="1">
        <v>-71</v>
      </c>
      <c r="AO167" s="1">
        <v>19700</v>
      </c>
      <c r="AP167" s="1">
        <v>140</v>
      </c>
      <c r="AQ167" s="1">
        <v>-526</v>
      </c>
      <c r="AS167" s="54">
        <f>IF(RTD("tos.rtd",,AS$83,"."&amp;$B$134&amp;$AS$82&amp;"C"&amp;$A167)="N/A",0,RTD("tos.rtd",,AS$83,"."&amp;$B$134&amp;$AS$82&amp;"C"&amp;$A167))</f>
        <v>49</v>
      </c>
      <c r="AT167" s="3">
        <f>-IF(RTD("tos.rtd",,AT$83,"."&amp;$B$134&amp;$AS$82&amp;"P"&amp;$A167)="N/A",0,RTD("tos.rtd",,AT$83,"."&amp;$B$134&amp;$AS$82&amp;"P"&amp;$A167))</f>
        <v>-21</v>
      </c>
      <c r="AU167" s="54">
        <f>IF(RTD("tos.rtd",,AU$2,"."&amp;$C$134&amp;$AU$134&amp;"C"&amp;$A167)="N/A",0,RTD("tos.rtd",,AU$2,"."&amp;$C$134&amp;$AU$134&amp;"C"&amp;$A167))</f>
        <v>5</v>
      </c>
      <c r="AV167" s="3">
        <f>-IF(RTD("tos.rtd",,AV$2,"."&amp;$C$134&amp;$AU$134&amp;"P"&amp;$A167)="N/A",0,RTD("tos.rtd",,AV$2,"."&amp;$C$134&amp;$AU$134&amp;"P"&amp;$A167))</f>
        <v>-8</v>
      </c>
      <c r="AW167" s="54">
        <f>IF(RTD("tos.rtd",,AW$2,"."&amp;$D$134&amp;$AW$134&amp;"C"&amp;$A167)="N/A",0,RTD("tos.rtd",,AW$2,"."&amp;$D$134&amp;$AW$134&amp;"C"&amp;$A167))</f>
        <v>35</v>
      </c>
      <c r="AX167" s="3">
        <f>-IF(RTD("tos.rtd",,AX$2,"."&amp;$D$134&amp;$AW$134&amp;"P"&amp;$A167)="N/A",0,RTD("tos.rtd",,AX$2,"."&amp;$D$134&amp;$AW$134&amp;"P"&amp;$A167))</f>
        <v>-49</v>
      </c>
      <c r="AY167" s="76">
        <f t="shared" ref="AY167:AY181" si="633">SUM(AS167:AX167)</f>
        <v>11</v>
      </c>
      <c r="AZ167" s="8">
        <f t="shared" si="545"/>
        <v>19700</v>
      </c>
      <c r="BA167" s="54">
        <f>IF(RTD("tos.rtd",,BA$43,"."&amp;$B$134&amp;$AS$82&amp;"C"&amp;$A167)="N/A",0,RTD("tos.rtd",,BA$43,"."&amp;$B$134&amp;$AS$82&amp;"C"&amp;$A167))</f>
        <v>140</v>
      </c>
      <c r="BB167" s="3">
        <f>-IF(RTD("tos.rtd",,BB$43,"."&amp;$B$134&amp;$AS$82&amp;"P"&amp;$A167)="N/A",0,RTD("tos.rtd",,BB$43,"."&amp;$B$134&amp;$AS$82&amp;"P"&amp;$A167))</f>
        <v>-526</v>
      </c>
      <c r="BC167" s="54">
        <f>IF(RTD("tos.rtd",,BC$2,"."&amp;$C$134&amp;$AU$82&amp;"C"&amp;$A167)="N/A",0,RTD("tos.rtd",,BC$2,"."&amp;$C$134&amp;$AU$82&amp;"C"&amp;$A167))</f>
        <v>2</v>
      </c>
      <c r="BD167" s="3">
        <f>-IF(RTD("tos.rtd",,BD$2,"."&amp;$C$134&amp;$AU$82&amp;"P"&amp;$A167)="N/A",0,RTD("tos.rtd",,BD$2,"."&amp;$C$134&amp;$AU$82&amp;"P"&amp;$A167))</f>
        <v>-6</v>
      </c>
      <c r="BE167" s="54">
        <f>IF(RTD("tos.rtd",,BE$2,"."&amp;$D$134&amp;$AW$82&amp;"C"&amp;$A167)="N/A",0,RTD("tos.rtd",,BE$2,"."&amp;$D$134&amp;$AW$82&amp;"C"&amp;$A167))</f>
        <v>16</v>
      </c>
      <c r="BF167" s="3">
        <f>-IF(RTD("tos.rtd",,BF$2,"."&amp;$D$134&amp;$AW$82&amp;"P"&amp;$A167)="N/A",0,RTD("tos.rtd",,BF$2,"."&amp;$D$134&amp;$AW$82&amp;"P"&amp;$A167))</f>
        <v>-10</v>
      </c>
      <c r="BG167" s="3">
        <f ca="1">+Hoja2!Y168</f>
        <v>0</v>
      </c>
      <c r="BH167" s="7">
        <f t="shared" ca="1" si="546"/>
        <v>-384</v>
      </c>
      <c r="BI167" s="32" t="str">
        <f t="shared" ca="1" si="605"/>
        <v/>
      </c>
      <c r="BJ167" s="3" t="e">
        <f ca="1">IF($BP$1=1,DX167,IF(RTD("tos.rtd",,BJ$43,"."&amp;$B$134&amp;$AS$82&amp;"C"&amp;$A167)="N/A",0,RTD("tos.rtd",,BJ$43,"."&amp;$B$134&amp;$AS$82&amp;"C"&amp;$A167)))</f>
        <v>#NUM!</v>
      </c>
      <c r="BK167" s="3" t="e">
        <f ca="1">IF($BP$1=1,DY167,-IF(RTD("tos.rtd",,BK$43,"."&amp;$B$134&amp;$AS$82&amp;"P"&amp;$A167)="N/A",0,RTD("tos.rtd",,BK$43,"."&amp;$B$134&amp;$AS$82&amp;"P"&amp;$A167)))</f>
        <v>#NUM!</v>
      </c>
      <c r="BL167" s="3">
        <f ca="1">IF($BP$1=1,DZ167,IF(RTD("tos.rtd",,BL$2,"."&amp;$C$134&amp;$AU$82&amp;"C"&amp;$A167)="N/A",0,RTD("tos.rtd",,BL$2,"."&amp;$C$134&amp;$AU$82&amp;"C"&amp;$A167)))</f>
        <v>6.8221061577388765E-4</v>
      </c>
      <c r="BM167" s="3">
        <f ca="1">IF($BP$1=1,EA167,-IF(RTD("tos.rtd",,BM$2,"."&amp;$C$134&amp;$AU$82&amp;"P"&amp;$A167)="N/A",0,RTD("tos.rtd",,BM$2,"."&amp;$C$134&amp;$AU$82&amp;"P"&amp;$A167)))</f>
        <v>-8.0827418016515568E-4</v>
      </c>
      <c r="BN167" s="3">
        <f ca="1">IF($BP$1=1,EB167,IF(RTD("tos.rtd",,BN$2,"."&amp;$D$134&amp;$AW$82&amp;"C"&amp;$A167)="N/A",0,RTD("tos.rtd",,BN$2,"."&amp;$D$134&amp;$AW$82&amp;"C"&amp;$A167)))</f>
        <v>8.6061800456691808E-4</v>
      </c>
      <c r="BO167" s="3">
        <f ca="1">IF($BP$1=1,EC167,-IF(RTD("tos.rtd",,BO$2,"."&amp;$D$134&amp;$AW$82&amp;"P"&amp;$A167)="N/A",0,RTD("tos.rtd",,BO$2,"."&amp;$D$134&amp;$AW$82&amp;"P"&amp;$A167)))</f>
        <v>-9.0071763783299268E-4</v>
      </c>
      <c r="BQ167" s="3" t="e">
        <f t="shared" ref="BQ167:BQ181" ca="1" si="634">+$A$84*$A$84*AS167*BJ167-$A$84*$A$84*AT167*BK167</f>
        <v>#NUM!</v>
      </c>
      <c r="BR167" s="3" t="e">
        <f t="shared" ca="1" si="547"/>
        <v>#NUM!</v>
      </c>
      <c r="BS167" s="3">
        <f t="shared" ref="BS167:BS181" ca="1" si="635">+$A$84*$A$84*AU167*BL167-$A$84*$A$84*AV167*BM167</f>
        <v>-96882.516687156603</v>
      </c>
      <c r="BT167" s="3" t="str">
        <f t="shared" ca="1" si="548"/>
        <v>Cruce -</v>
      </c>
      <c r="BU167" s="3">
        <f t="shared" ref="BU167:BU181" ca="1" si="636">+$A$84*$A$84*AW167*BN167-$A$84*$A$84*AX167*BO167</f>
        <v>-444387.5860472644</v>
      </c>
      <c r="BV167" s="3" t="str">
        <f t="shared" ca="1" si="548"/>
        <v>Cruce -</v>
      </c>
      <c r="BX167" s="3" t="e">
        <f t="shared" ca="1" si="582"/>
        <v>#NUM!</v>
      </c>
      <c r="BY167" s="3" t="e">
        <f t="shared" ca="1" si="583"/>
        <v>#NUM!</v>
      </c>
      <c r="BZ167" s="3">
        <f t="shared" ca="1" si="584"/>
        <v>-826.07794236171776</v>
      </c>
      <c r="CA167" s="3" t="str">
        <f t="shared" ca="1" si="583"/>
        <v/>
      </c>
      <c r="CB167" s="3">
        <f t="shared" ca="1" si="585"/>
        <v>1128.8718449123835</v>
      </c>
      <c r="CC167" s="3" t="str">
        <f t="shared" ca="1" si="583"/>
        <v>Cruce +</v>
      </c>
      <c r="CD167" s="3">
        <f>IF(RTD("tos.rtd",,CD$43,"."&amp;$B$134&amp;$AS$82&amp;"C"&amp;$A167)="N/A",0,RTD("tos.rtd",,CD$43,"."&amp;$B$134&amp;$AS$82&amp;"C"&amp;$A167))</f>
        <v>1</v>
      </c>
      <c r="CE167" s="3">
        <f>-IF(RTD("tos.rtd",,CE$43,"."&amp;$B$134&amp;$AS$82&amp;"P"&amp;$A167)="N/A",0,RTD("tos.rtd",,CE$43,"."&amp;$B$134&amp;$AS$82&amp;"P"&amp;$A167))</f>
        <v>0</v>
      </c>
      <c r="CF167" s="3">
        <f>IF(RTD("tos.rtd",,CF$2,"."&amp;$C$134&amp;$AU$82&amp;"C"&amp;$A167)="N/A",0,RTD("tos.rtd",,CF$2,"."&amp;$C$134&amp;$AU$82&amp;"C"&amp;$A167))</f>
        <v>0.65</v>
      </c>
      <c r="CG167" s="3">
        <f>-IF(RTD("tos.rtd",,CG$2,"."&amp;$C$134&amp;$AU$82&amp;"P"&amp;$A167)="N/A",0,RTD("tos.rtd",,CG$2,"."&amp;$C$134&amp;$AU$82&amp;"P"&amp;$A167))</f>
        <v>0.32</v>
      </c>
      <c r="CH167" s="3">
        <f>IF(RTD("tos.rtd",,CH$2,"."&amp;$D$134&amp;$AW$82&amp;"C"&amp;$A167)="N/A",0,RTD("tos.rtd",,CH$2,"."&amp;$D$134&amp;$AW$82&amp;"C"&amp;$A167))</f>
        <v>0.6</v>
      </c>
      <c r="CI167" s="3">
        <f>-IF(RTD("tos.rtd",,CI$2,"."&amp;$D$134&amp;$AW$82&amp;"P"&amp;$A167)="N/A",0,RTD("tos.rtd",,CI$2,"."&amp;$D$134&amp;$AW$82&amp;"P"&amp;$A167))</f>
        <v>0.39</v>
      </c>
      <c r="CK167" s="3">
        <f t="shared" si="616"/>
        <v>4900</v>
      </c>
      <c r="CL167" s="3"/>
      <c r="CM167" s="3">
        <f t="shared" si="617"/>
        <v>69</v>
      </c>
      <c r="CN167" s="3"/>
      <c r="CO167" s="3">
        <f t="shared" si="618"/>
        <v>189</v>
      </c>
      <c r="CP167" s="3">
        <f t="shared" si="539"/>
        <v>5158</v>
      </c>
      <c r="CQ167" s="3">
        <f t="shared" si="549"/>
        <v>-386</v>
      </c>
      <c r="CR167" s="3"/>
      <c r="CS167" s="3">
        <f t="shared" si="550"/>
        <v>-4</v>
      </c>
      <c r="CT167" s="3"/>
      <c r="CU167" s="3">
        <f t="shared" si="551"/>
        <v>6</v>
      </c>
      <c r="CV167" s="3"/>
      <c r="CW167" s="3" t="e">
        <f t="shared" ca="1" si="552"/>
        <v>#NUM!</v>
      </c>
      <c r="CY167" s="3" t="e">
        <f t="shared" ca="1" si="553"/>
        <v>#NUM!</v>
      </c>
      <c r="CZ167" s="70" t="e">
        <f t="shared" ca="1" si="586"/>
        <v>#NUM!</v>
      </c>
      <c r="DA167" s="3">
        <f>IF(RTD("tos.rtd",,DA$43,"."&amp;$B$134&amp;$AS$82&amp;"C"&amp;$A167)="N/A",0,RTD("tos.rtd",,DA$43,"."&amp;$B$134&amp;$AS$82&amp;"C"&amp;$A167))</f>
        <v>159.69999999999999</v>
      </c>
      <c r="DB167" s="3">
        <f>IF(RTD("tos.rtd",,DB$43,"."&amp;$B$134&amp;$AS$82&amp;"P"&amp;$A167)="N/A",0,RTD("tos.rtd",,DB$43,"."&amp;$B$134&amp;$AS$82&amp;"P"&amp;$A167))</f>
        <v>0.28000000000000003</v>
      </c>
      <c r="DC167" s="3">
        <f>IF(RTD("tos.rtd",,DC$43,"."&amp;$B$134&amp;$AS$82&amp;"C"&amp;$A167)="N/A",0,RTD("tos.rtd",,DC$43,"."&amp;$B$134&amp;$AS$82&amp;"C"&amp;$A167))</f>
        <v>174.3</v>
      </c>
      <c r="DD167" s="3">
        <f>IF(RTD("tos.rtd",,DD$43,"."&amp;$B$134&amp;$AS$82&amp;"P"&amp;$A167)="N/A",0,RTD("tos.rtd",,DD$43,"."&amp;$B$134&amp;$AS$82&amp;"P"&amp;$A167))</f>
        <v>0.05</v>
      </c>
      <c r="DE167" s="3">
        <f>IF(RTD("tos.rtd",,DE$43,"."&amp;$B$134&amp;$AS$82&amp;"C"&amp;$A167)="N/A",0,RTD("tos.rtd",,DE$43,"."&amp;$B$134&amp;$AS$82&amp;"C"&amp;$A167))</f>
        <v>156</v>
      </c>
      <c r="DF167" s="3">
        <f>IF(RTD("tos.rtd",,DF$43,"."&amp;$B$134&amp;$AS$82&amp;"P"&amp;$A167)="N/A",0,RTD("tos.rtd",,DF$43,"."&amp;$B$134&amp;$AS$82&amp;"P"&amp;$A167))</f>
        <v>0</v>
      </c>
      <c r="DG167" s="86">
        <f t="shared" si="587"/>
        <v>-167.97300000000178</v>
      </c>
      <c r="DH167" s="3">
        <f t="shared" si="554"/>
        <v>0</v>
      </c>
      <c r="DI167" s="3">
        <f t="shared" si="555"/>
        <v>0</v>
      </c>
      <c r="DJ167" s="3">
        <f t="shared" si="556"/>
        <v>0</v>
      </c>
      <c r="DK167" s="3">
        <f t="shared" si="557"/>
        <v>0</v>
      </c>
      <c r="DL167" s="3">
        <f t="shared" si="558"/>
        <v>0</v>
      </c>
      <c r="DM167" s="3">
        <f t="shared" si="559"/>
        <v>0</v>
      </c>
      <c r="DN167" s="64" t="str">
        <f t="shared" si="560"/>
        <v>UNKNOWN</v>
      </c>
      <c r="DO167" s="64" t="str">
        <f t="shared" si="561"/>
        <v>UNKNOWN</v>
      </c>
      <c r="DP167" s="3">
        <f t="shared" si="562"/>
        <v>0</v>
      </c>
      <c r="DQ167" s="3">
        <f t="shared" si="563"/>
        <v>0</v>
      </c>
      <c r="DR167" s="3" t="e">
        <f t="shared" ca="1" si="564"/>
        <v>#NUM!</v>
      </c>
      <c r="DS167" s="3">
        <f t="shared" si="565"/>
        <v>0</v>
      </c>
      <c r="DT167" s="3">
        <f t="shared" si="588"/>
        <v>0</v>
      </c>
      <c r="DU167" s="3">
        <f t="shared" si="589"/>
        <v>0</v>
      </c>
      <c r="DV167" s="3">
        <f t="shared" si="566"/>
        <v>-3</v>
      </c>
      <c r="DW167" s="3">
        <f t="shared" si="567"/>
        <v>-71</v>
      </c>
      <c r="DX167" s="3" t="e">
        <f t="shared" ca="1" si="568"/>
        <v>#NUM!</v>
      </c>
      <c r="DY167" s="3" t="e">
        <f t="shared" ca="1" si="569"/>
        <v>#NUM!</v>
      </c>
      <c r="DZ167" s="3">
        <f t="shared" ca="1" si="570"/>
        <v>6.8221061577388765E-4</v>
      </c>
      <c r="EA167" s="3">
        <f t="shared" ca="1" si="571"/>
        <v>-8.0827418016515568E-4</v>
      </c>
      <c r="EB167" s="3">
        <f t="shared" ca="1" si="572"/>
        <v>8.6061800456691808E-4</v>
      </c>
      <c r="EC167" s="3">
        <f t="shared" ca="1" si="573"/>
        <v>-9.0071763783299268E-4</v>
      </c>
      <c r="ED167" s="63">
        <f t="shared" si="590"/>
        <v>-74</v>
      </c>
      <c r="EE167" s="59">
        <f t="shared" si="574"/>
        <v>0.25</v>
      </c>
      <c r="EF167" s="59">
        <f t="shared" si="575"/>
        <v>0.38009999999999999</v>
      </c>
      <c r="EG167" s="59">
        <f t="shared" si="576"/>
        <v>0.34160000000000001</v>
      </c>
      <c r="EH167" s="59">
        <f t="shared" si="577"/>
        <v>0.28170000000000001</v>
      </c>
      <c r="EI167" s="59">
        <f t="shared" si="578"/>
        <v>0.26150000000000001</v>
      </c>
      <c r="EJ167" s="59">
        <f t="shared" si="579"/>
        <v>0.24740000000000001</v>
      </c>
      <c r="EL167" s="3" t="str">
        <f>RTD("tos.rtd",,EL$43,"."&amp;$B$134&amp;$AS$82&amp;"C"&amp;$A167)</f>
        <v>--</v>
      </c>
      <c r="EM167" s="3" t="str">
        <f>RTD("tos.rtd",,EM$43,"."&amp;$B$134&amp;$AS$82&amp;"P"&amp;$A167)</f>
        <v>38.01%</v>
      </c>
      <c r="EN167" s="3" t="str">
        <f>RTD("tos.rtd",,EN$2,"."&amp;$C$134&amp;$AU$82&amp;"C"&amp;$A167)</f>
        <v>34.16%</v>
      </c>
      <c r="EO167" s="3" t="str">
        <f>RTD("tos.rtd",,EO$2,"."&amp;$C$134&amp;$AU$82&amp;"P"&amp;$A167)</f>
        <v>28.17%</v>
      </c>
      <c r="EP167" s="3" t="str">
        <f>RTD("tos.rtd",,EP$2,"."&amp;$D$134&amp;$AW$82&amp;"C"&amp;$A167)</f>
        <v>26.15%</v>
      </c>
      <c r="EQ167" s="3" t="str">
        <f>RTD("tos.rtd",,EQ$2,"."&amp;$D$134&amp;$AW$82&amp;"P"&amp;$A167)</f>
        <v>24.74%</v>
      </c>
      <c r="ES167" s="63" t="str">
        <f t="shared" si="580"/>
        <v>19700,-74.00</v>
      </c>
      <c r="ET167" s="64" t="str">
        <f t="shared" ca="1" si="581"/>
        <v>19700,00.00</v>
      </c>
      <c r="EU167" s="68">
        <v>562.61</v>
      </c>
      <c r="EV167" s="68" t="s">
        <v>1356</v>
      </c>
      <c r="EW167" s="68">
        <v>485.09</v>
      </c>
      <c r="EX167" s="68" t="s">
        <v>1357</v>
      </c>
      <c r="EY167" s="68">
        <v>5640.25</v>
      </c>
      <c r="EZ167" s="68" t="s">
        <v>1358</v>
      </c>
      <c r="FA167" s="68">
        <v>19926.5</v>
      </c>
      <c r="FB167" s="68" t="s">
        <v>1359</v>
      </c>
      <c r="FC167" s="68" t="s">
        <v>1360</v>
      </c>
      <c r="FD167" s="68" t="s">
        <v>1361</v>
      </c>
      <c r="FE167" s="68" t="s">
        <v>1362</v>
      </c>
      <c r="FF167" s="68" t="s">
        <v>1363</v>
      </c>
    </row>
    <row r="168" spans="1:162" ht="11.1" customHeight="1" thickBot="1" x14ac:dyDescent="0.25">
      <c r="A168" s="2">
        <f t="shared" si="591"/>
        <v>19675</v>
      </c>
      <c r="B168" s="3">
        <f t="shared" ref="B168:B175" si="637">+IF($A$1="ABS",AS168-AT168,AS168+AT168)</f>
        <v>9</v>
      </c>
      <c r="C168" s="3">
        <f t="shared" ref="C168:C175" si="638">+IF($A$1="ABS",AU168-AV168,AU168+AV168)</f>
        <v>8</v>
      </c>
      <c r="D168" s="3">
        <f t="shared" ref="D168:D175" si="639">+IF($A$1="ABS",AW168-AX168,AW168+AX168)</f>
        <v>11</v>
      </c>
      <c r="E168" s="3">
        <f t="shared" ref="E168:E175" si="640">SUM(B168:D168)</f>
        <v>28</v>
      </c>
      <c r="F168" s="4">
        <f t="shared" ref="F168:F175" si="641">+$F$136/$A$136*A168</f>
        <v>19900.812226793343</v>
      </c>
      <c r="G168" s="5">
        <f t="shared" ref="G168:G175" si="642">+$G$136/$A$136*A168</f>
        <v>482.12133920254473</v>
      </c>
      <c r="AM168" s="1">
        <v>7</v>
      </c>
      <c r="AN168" s="1">
        <v>-8</v>
      </c>
      <c r="AO168" s="1">
        <v>19675</v>
      </c>
      <c r="AP168" s="1">
        <v>15</v>
      </c>
      <c r="AQ168" s="1">
        <v>-83</v>
      </c>
      <c r="AS168" s="54">
        <f>IF(RTD("tos.rtd",,AS$83,"."&amp;$B$134&amp;$AS$82&amp;"C"&amp;$A168)="N/A",0,RTD("tos.rtd",,AS$83,"."&amp;$B$134&amp;$AS$82&amp;"C"&amp;$A168))</f>
        <v>2</v>
      </c>
      <c r="AT168" s="3">
        <f>-IF(RTD("tos.rtd",,AT$83,"."&amp;$B$134&amp;$AS$82&amp;"P"&amp;$A168)="N/A",0,RTD("tos.rtd",,AT$83,"."&amp;$B$134&amp;$AS$82&amp;"P"&amp;$A168))</f>
        <v>-7</v>
      </c>
      <c r="AU168" s="54">
        <f>IF(RTD("tos.rtd",,AU$2,"."&amp;$C$134&amp;$AU$134&amp;"C"&amp;$A168)="N/A",0,RTD("tos.rtd",,AU$2,"."&amp;$C$134&amp;$AU$134&amp;"C"&amp;$A168))</f>
        <v>4</v>
      </c>
      <c r="AV168" s="3">
        <f>-IF(RTD("tos.rtd",,AV$2,"."&amp;$C$134&amp;$AU$134&amp;"P"&amp;$A168)="N/A",0,RTD("tos.rtd",,AV$2,"."&amp;$C$134&amp;$AU$134&amp;"P"&amp;$A168))</f>
        <v>-4</v>
      </c>
      <c r="AW168" s="54">
        <f>IF(RTD("tos.rtd",,AW$2,"."&amp;$D$134&amp;$AW$134&amp;"C"&amp;$A168)="N/A",0,RTD("tos.rtd",,AW$2,"."&amp;$D$134&amp;$AW$134&amp;"C"&amp;$A168))</f>
        <v>6</v>
      </c>
      <c r="AX168" s="3">
        <f>-IF(RTD("tos.rtd",,AX$2,"."&amp;$D$134&amp;$AW$134&amp;"P"&amp;$A168)="N/A",0,RTD("tos.rtd",,AX$2,"."&amp;$D$134&amp;$AW$134&amp;"P"&amp;$A168))</f>
        <v>-5</v>
      </c>
      <c r="AY168" s="76">
        <f t="shared" ref="AY168:AY175" si="643">SUM(AS168:AX168)</f>
        <v>-4</v>
      </c>
      <c r="AZ168" s="8">
        <f t="shared" si="545"/>
        <v>19675</v>
      </c>
      <c r="BA168" s="54">
        <f>IF(RTD("tos.rtd",,BA$43,"."&amp;$B$134&amp;$AS$82&amp;"C"&amp;$A168)="N/A",0,RTD("tos.rtd",,BA$43,"."&amp;$B$134&amp;$AS$82&amp;"C"&amp;$A168))</f>
        <v>15</v>
      </c>
      <c r="BB168" s="3">
        <f>-IF(RTD("tos.rtd",,BB$43,"."&amp;$B$134&amp;$AS$82&amp;"P"&amp;$A168)="N/A",0,RTD("tos.rtd",,BB$43,"."&amp;$B$134&amp;$AS$82&amp;"P"&amp;$A168))</f>
        <v>-83</v>
      </c>
      <c r="BC168" s="54">
        <f>IF(RTD("tos.rtd",,BC$2,"."&amp;$C$134&amp;$AU$82&amp;"C"&amp;$A168)="N/A",0,RTD("tos.rtd",,BC$2,"."&amp;$C$134&amp;$AU$82&amp;"C"&amp;$A168))</f>
        <v>0</v>
      </c>
      <c r="BD168" s="3">
        <f>-IF(RTD("tos.rtd",,BD$2,"."&amp;$C$134&amp;$AU$82&amp;"P"&amp;$A168)="N/A",0,RTD("tos.rtd",,BD$2,"."&amp;$C$134&amp;$AU$82&amp;"P"&amp;$A168))</f>
        <v>-4</v>
      </c>
      <c r="BE168" s="54">
        <f>IF(RTD("tos.rtd",,BE$2,"."&amp;$D$134&amp;$AW$82&amp;"C"&amp;$A168)="N/A",0,RTD("tos.rtd",,BE$2,"."&amp;$D$134&amp;$AW$82&amp;"C"&amp;$A168))</f>
        <v>10</v>
      </c>
      <c r="BF168" s="3">
        <f>-IF(RTD("tos.rtd",,BF$2,"."&amp;$D$134&amp;$AW$82&amp;"P"&amp;$A168)="N/A",0,RTD("tos.rtd",,BF$2,"."&amp;$D$134&amp;$AW$82&amp;"P"&amp;$A168))</f>
        <v>-2</v>
      </c>
      <c r="BG168" s="3">
        <f ca="1">+Hoja2!Y169</f>
        <v>3</v>
      </c>
      <c r="BH168" s="7">
        <f t="shared" ca="1" si="546"/>
        <v>-61</v>
      </c>
      <c r="BI168" s="32" t="str">
        <f t="shared" ca="1" si="605"/>
        <v/>
      </c>
      <c r="BJ168" s="3" t="e">
        <f ca="1">IF($BP$1=1,DX168,IF(RTD("tos.rtd",,BJ$43,"."&amp;$B$134&amp;$AS$82&amp;"C"&amp;$A168)="N/A",0,RTD("tos.rtd",,BJ$43,"."&amp;$B$134&amp;$AS$82&amp;"C"&amp;$A168)))</f>
        <v>#NUM!</v>
      </c>
      <c r="BK168" s="3" t="e">
        <f ca="1">IF($BP$1=1,DY168,-IF(RTD("tos.rtd",,BK$43,"."&amp;$B$134&amp;$AS$82&amp;"P"&amp;$A168)="N/A",0,RTD("tos.rtd",,BK$43,"."&amp;$B$134&amp;$AS$82&amp;"P"&amp;$A168)))</f>
        <v>#NUM!</v>
      </c>
      <c r="BL168" s="3">
        <f ca="1">IF($BP$1=1,DZ168,IF(RTD("tos.rtd",,BL$2,"."&amp;$C$134&amp;$AU$82&amp;"C"&amp;$A168)="N/A",0,RTD("tos.rtd",,BL$2,"."&amp;$C$134&amp;$AU$82&amp;"C"&amp;$A168)))</f>
        <v>6.8109469026808827E-4</v>
      </c>
      <c r="BM168" s="3">
        <f ca="1">IF($BP$1=1,EA168,-IF(RTD("tos.rtd",,BM$2,"."&amp;$C$134&amp;$AU$82&amp;"P"&amp;$A168)="N/A",0,RTD("tos.rtd",,BM$2,"."&amp;$C$134&amp;$AU$82&amp;"P"&amp;$A168)))</f>
        <v>-7.8520771319217459E-4</v>
      </c>
      <c r="BN168" s="3">
        <f ca="1">IF($BP$1=1,EB168,IF(RTD("tos.rtd",,BN$2,"."&amp;$D$134&amp;$AW$82&amp;"C"&amp;$A168)="N/A",0,RTD("tos.rtd",,BN$2,"."&amp;$D$134&amp;$AW$82&amp;"C"&amp;$A168)))</f>
        <v>8.3583361928478482E-4</v>
      </c>
      <c r="BO168" s="3">
        <f ca="1">IF($BP$1=1,EC168,-IF(RTD("tos.rtd",,BO$2,"."&amp;$D$134&amp;$AW$82&amp;"P"&amp;$A168)="N/A",0,RTD("tos.rtd",,BO$2,"."&amp;$D$134&amp;$AW$82&amp;"P"&amp;$A168)))</f>
        <v>-8.7125486128307298E-4</v>
      </c>
      <c r="BQ168" s="3" t="e">
        <f t="shared" ref="BQ168:BQ175" ca="1" si="644">+$A$84*$A$84*AS168*BJ168-$A$84*$A$84*AT168*BK168</f>
        <v>#NUM!</v>
      </c>
      <c r="BR168" s="3" t="e">
        <f t="shared" ca="1" si="547"/>
        <v>#NUM!</v>
      </c>
      <c r="BS168" s="3">
        <f t="shared" ref="BS168:BS175" ca="1" si="645">+$A$84*$A$84*AU168*BL168-$A$84*$A$84*AV168*BM168</f>
        <v>-13206.243228312203</v>
      </c>
      <c r="BT168" s="3" t="str">
        <f t="shared" ca="1" si="548"/>
        <v/>
      </c>
      <c r="BU168" s="3">
        <f t="shared" ref="BU168:BU175" ca="1" si="646">+$A$84*$A$84*AW168*BN168-$A$84*$A$84*AX168*BO168</f>
        <v>20889.112005293835</v>
      </c>
      <c r="BV168" s="3" t="str">
        <f t="shared" ca="1" si="548"/>
        <v>Cruce +</v>
      </c>
      <c r="BX168" s="3" t="e">
        <f t="shared" ca="1" si="582"/>
        <v>#NUM!</v>
      </c>
      <c r="BY168" s="3" t="e">
        <f t="shared" ca="1" si="583"/>
        <v>#NUM!</v>
      </c>
      <c r="BZ168" s="3">
        <f t="shared" ca="1" si="584"/>
        <v>-744.44890780140418</v>
      </c>
      <c r="CA168" s="3" t="str">
        <f t="shared" ca="1" si="583"/>
        <v/>
      </c>
      <c r="CB168" s="3">
        <f t="shared" ca="1" si="585"/>
        <v>1568.1025247390285</v>
      </c>
      <c r="CC168" s="3" t="str">
        <f t="shared" ca="1" si="583"/>
        <v/>
      </c>
      <c r="CD168" s="3">
        <f>IF(RTD("tos.rtd",,CD$43,"."&amp;$B$134&amp;$AS$82&amp;"C"&amp;$A168)="N/A",0,RTD("tos.rtd",,CD$43,"."&amp;$B$134&amp;$AS$82&amp;"C"&amp;$A168))</f>
        <v>1</v>
      </c>
      <c r="CE168" s="3">
        <f>-IF(RTD("tos.rtd",,CE$43,"."&amp;$B$134&amp;$AS$82&amp;"P"&amp;$A168)="N/A",0,RTD("tos.rtd",,CE$43,"."&amp;$B$134&amp;$AS$82&amp;"P"&amp;$A168))</f>
        <v>0.12</v>
      </c>
      <c r="CF168" s="3">
        <f>IF(RTD("tos.rtd",,CF$2,"."&amp;$C$134&amp;$AU$82&amp;"C"&amp;$A168)="N/A",0,RTD("tos.rtd",,CF$2,"."&amp;$C$134&amp;$AU$82&amp;"C"&amp;$A168))</f>
        <v>0.67</v>
      </c>
      <c r="CG168" s="3">
        <f>-IF(RTD("tos.rtd",,CG$2,"."&amp;$C$134&amp;$AU$82&amp;"P"&amp;$A168)="N/A",0,RTD("tos.rtd",,CG$2,"."&amp;$C$134&amp;$AU$82&amp;"P"&amp;$A168))</f>
        <v>0.3</v>
      </c>
      <c r="CH168" s="3">
        <f>IF(RTD("tos.rtd",,CH$2,"."&amp;$D$134&amp;$AW$82&amp;"C"&amp;$A168)="N/A",0,RTD("tos.rtd",,CH$2,"."&amp;$D$134&amp;$AW$82&amp;"C"&amp;$A168))</f>
        <v>0.61</v>
      </c>
      <c r="CI168" s="3">
        <f>-IF(RTD("tos.rtd",,CI$2,"."&amp;$D$134&amp;$AW$82&amp;"P"&amp;$A168)="N/A",0,RTD("tos.rtd",,CI$2,"."&amp;$D$134&amp;$AW$82&amp;"P"&amp;$A168))</f>
        <v>0.38</v>
      </c>
      <c r="CK168" s="3">
        <f t="shared" ref="CK168:CK175" si="647">+AS168*CD168*100+AT168*CE168*100</f>
        <v>116</v>
      </c>
      <c r="CL168" s="3"/>
      <c r="CM168" s="3">
        <f t="shared" ref="CM168:CM175" si="648">+AU168*CF168*100+AV168*CG168*100</f>
        <v>148</v>
      </c>
      <c r="CN168" s="3"/>
      <c r="CO168" s="3">
        <f t="shared" ref="CO168:CO175" si="649">+AW168*CH168*100+AX168*CI168*100</f>
        <v>176</v>
      </c>
      <c r="CP168" s="3">
        <f t="shared" si="539"/>
        <v>440</v>
      </c>
      <c r="CQ168" s="3">
        <f t="shared" si="549"/>
        <v>-68</v>
      </c>
      <c r="CR168" s="3"/>
      <c r="CS168" s="3">
        <f t="shared" si="550"/>
        <v>-4</v>
      </c>
      <c r="CT168" s="3"/>
      <c r="CU168" s="3">
        <f t="shared" si="551"/>
        <v>8</v>
      </c>
      <c r="CV168" s="3"/>
      <c r="CW168" s="3" t="e">
        <f t="shared" ca="1" si="552"/>
        <v>#NUM!</v>
      </c>
      <c r="CY168" s="3" t="e">
        <f t="shared" ca="1" si="553"/>
        <v>#NUM!</v>
      </c>
      <c r="CZ168" s="70" t="e">
        <f t="shared" ca="1" si="586"/>
        <v>#NUM!</v>
      </c>
      <c r="DA168" s="3">
        <f>IF(RTD("tos.rtd",,DA$43,"."&amp;$B$134&amp;$AS$82&amp;"C"&amp;$A168)="N/A",0,RTD("tos.rtd",,DA$43,"."&amp;$B$134&amp;$AS$82&amp;"C"&amp;$A168))</f>
        <v>62.35</v>
      </c>
      <c r="DB168" s="3">
        <f>IF(RTD("tos.rtd",,DB$43,"."&amp;$B$134&amp;$AS$82&amp;"P"&amp;$A168)="N/A",0,RTD("tos.rtd",,DB$43,"."&amp;$B$134&amp;$AS$82&amp;"P"&amp;$A168))</f>
        <v>2</v>
      </c>
      <c r="DC168" s="3">
        <f>IF(RTD("tos.rtd",,DC$43,"."&amp;$B$134&amp;$AS$82&amp;"C"&amp;$A168)="N/A",0,RTD("tos.rtd",,DC$43,"."&amp;$B$134&amp;$AS$82&amp;"C"&amp;$A168))</f>
        <v>199.7</v>
      </c>
      <c r="DD168" s="3">
        <f>IF(RTD("tos.rtd",,DD$43,"."&amp;$B$134&amp;$AS$82&amp;"P"&amp;$A168)="N/A",0,RTD("tos.rtd",,DD$43,"."&amp;$B$134&amp;$AS$82&amp;"P"&amp;$A168))</f>
        <v>19.8</v>
      </c>
      <c r="DE168" s="3">
        <f>IF(RTD("tos.rtd",,DE$43,"."&amp;$B$134&amp;$AS$82&amp;"C"&amp;$A168)="N/A",0,RTD("tos.rtd",,DE$43,"."&amp;$B$134&amp;$AS$82&amp;"C"&amp;$A168))</f>
        <v>182</v>
      </c>
      <c r="DF168" s="3">
        <f>IF(RTD("tos.rtd",,DF$43,"."&amp;$B$134&amp;$AS$82&amp;"P"&amp;$A168)="N/A",0,RTD("tos.rtd",,DF$43,"."&amp;$B$134&amp;$AS$82&amp;"P"&amp;$A168))</f>
        <v>0</v>
      </c>
      <c r="DG168" s="86">
        <f t="shared" si="587"/>
        <v>-192.97300000000178</v>
      </c>
      <c r="DH168" s="3">
        <f t="shared" si="554"/>
        <v>0</v>
      </c>
      <c r="DI168" s="3">
        <f t="shared" si="555"/>
        <v>0</v>
      </c>
      <c r="DJ168" s="3">
        <f t="shared" si="556"/>
        <v>0</v>
      </c>
      <c r="DK168" s="3">
        <f t="shared" si="557"/>
        <v>0</v>
      </c>
      <c r="DL168" s="3">
        <f t="shared" si="558"/>
        <v>0</v>
      </c>
      <c r="DM168" s="3">
        <f t="shared" si="559"/>
        <v>0</v>
      </c>
      <c r="DN168" s="64" t="str">
        <f t="shared" si="560"/>
        <v>UNKNOWN</v>
      </c>
      <c r="DO168" s="64" t="str">
        <f t="shared" si="561"/>
        <v>UNKNOWN</v>
      </c>
      <c r="DP168" s="3">
        <f t="shared" si="562"/>
        <v>0</v>
      </c>
      <c r="DQ168" s="3">
        <f t="shared" si="563"/>
        <v>0</v>
      </c>
      <c r="DR168" s="3" t="e">
        <f t="shared" ca="1" si="564"/>
        <v>#NUM!</v>
      </c>
      <c r="DS168" s="3">
        <f t="shared" si="565"/>
        <v>0</v>
      </c>
      <c r="DT168" s="3">
        <f t="shared" si="588"/>
        <v>0</v>
      </c>
      <c r="DU168" s="3">
        <f t="shared" si="589"/>
        <v>0</v>
      </c>
      <c r="DV168" s="3">
        <f t="shared" si="566"/>
        <v>7</v>
      </c>
      <c r="DW168" s="3">
        <f t="shared" si="567"/>
        <v>-8</v>
      </c>
      <c r="DX168" s="3" t="e">
        <f t="shared" ca="1" si="568"/>
        <v>#NUM!</v>
      </c>
      <c r="DY168" s="3" t="e">
        <f t="shared" ca="1" si="569"/>
        <v>#NUM!</v>
      </c>
      <c r="DZ168" s="3">
        <f t="shared" ca="1" si="570"/>
        <v>6.8109469026808827E-4</v>
      </c>
      <c r="EA168" s="3">
        <f t="shared" ca="1" si="571"/>
        <v>-7.8520771319217459E-4</v>
      </c>
      <c r="EB168" s="3">
        <f t="shared" ca="1" si="572"/>
        <v>8.3583361928478482E-4</v>
      </c>
      <c r="EC168" s="3">
        <f t="shared" ca="1" si="573"/>
        <v>-8.7125486128307298E-4</v>
      </c>
      <c r="ED168" s="63">
        <f t="shared" si="590"/>
        <v>-1</v>
      </c>
      <c r="EE168" s="59">
        <f t="shared" si="574"/>
        <v>0.25</v>
      </c>
      <c r="EF168" s="59">
        <f t="shared" si="575"/>
        <v>1.1068</v>
      </c>
      <c r="EG168" s="59">
        <f t="shared" si="576"/>
        <v>0.33600000000000002</v>
      </c>
      <c r="EH168" s="59">
        <f t="shared" si="577"/>
        <v>0.28370000000000001</v>
      </c>
      <c r="EI168" s="59">
        <f t="shared" si="578"/>
        <v>0.26229999999999998</v>
      </c>
      <c r="EJ168" s="59">
        <f t="shared" si="579"/>
        <v>0.2485</v>
      </c>
      <c r="EL168" s="3" t="str">
        <f>RTD("tos.rtd",,EL$43,"."&amp;$B$134&amp;$AS$82&amp;"C"&amp;$A168)</f>
        <v>--</v>
      </c>
      <c r="EM168" s="3" t="str">
        <f>RTD("tos.rtd",,EM$43,"."&amp;$B$134&amp;$AS$82&amp;"P"&amp;$A168)</f>
        <v>110.68%</v>
      </c>
      <c r="EN168" s="3" t="str">
        <f>RTD("tos.rtd",,EN$2,"."&amp;$C$134&amp;$AU$82&amp;"C"&amp;$A168)</f>
        <v>33.60%</v>
      </c>
      <c r="EO168" s="3" t="str">
        <f>RTD("tos.rtd",,EO$2,"."&amp;$C$134&amp;$AU$82&amp;"P"&amp;$A168)</f>
        <v>28.37%</v>
      </c>
      <c r="EP168" s="3" t="str">
        <f>RTD("tos.rtd",,EP$2,"."&amp;$D$134&amp;$AW$82&amp;"C"&amp;$A168)</f>
        <v>26.23%</v>
      </c>
      <c r="EQ168" s="3" t="str">
        <f>RTD("tos.rtd",,EQ$2,"."&amp;$D$134&amp;$AW$82&amp;"P"&amp;$A168)</f>
        <v>24.85%</v>
      </c>
      <c r="ES168" s="63" t="str">
        <f t="shared" si="580"/>
        <v>19675,-01.00</v>
      </c>
      <c r="ET168" s="64" t="str">
        <f t="shared" ca="1" si="581"/>
        <v>19675,00.00</v>
      </c>
      <c r="EU168" s="68">
        <v>562.61</v>
      </c>
      <c r="EV168" s="68" t="s">
        <v>1364</v>
      </c>
      <c r="EW168" s="68">
        <v>485.07</v>
      </c>
      <c r="EX168" s="68" t="s">
        <v>1365</v>
      </c>
      <c r="EY168" s="68">
        <v>5640</v>
      </c>
      <c r="EZ168" s="68" t="s">
        <v>1366</v>
      </c>
      <c r="FA168" s="68">
        <v>19925.5</v>
      </c>
      <c r="FB168" s="68" t="s">
        <v>1367</v>
      </c>
      <c r="FC168" s="68" t="s">
        <v>1368</v>
      </c>
      <c r="FD168" s="68" t="s">
        <v>1369</v>
      </c>
      <c r="FE168" s="68" t="s">
        <v>1370</v>
      </c>
      <c r="FF168" s="68" t="s">
        <v>1371</v>
      </c>
    </row>
    <row r="169" spans="1:162" ht="11.1" customHeight="1" thickBot="1" x14ac:dyDescent="0.25">
      <c r="A169" s="2">
        <f t="shared" si="591"/>
        <v>19650</v>
      </c>
      <c r="B169" s="3">
        <f t="shared" si="637"/>
        <v>9</v>
      </c>
      <c r="C169" s="3">
        <f t="shared" si="638"/>
        <v>100</v>
      </c>
      <c r="D169" s="3">
        <f t="shared" si="639"/>
        <v>21</v>
      </c>
      <c r="E169" s="3">
        <f t="shared" si="640"/>
        <v>130</v>
      </c>
      <c r="F169" s="4">
        <f t="shared" si="641"/>
        <v>19875.525298932105</v>
      </c>
      <c r="G169" s="5">
        <f t="shared" si="642"/>
        <v>481.50873267242713</v>
      </c>
      <c r="AM169" s="1">
        <v>-3</v>
      </c>
      <c r="AN169" s="1">
        <v>183</v>
      </c>
      <c r="AO169" s="1">
        <v>19650</v>
      </c>
      <c r="AP169" s="1">
        <v>8</v>
      </c>
      <c r="AQ169" s="1">
        <v>-374</v>
      </c>
      <c r="AS169" s="54">
        <f>IF(RTD("tos.rtd",,AS$83,"."&amp;$B$134&amp;$AS$82&amp;"C"&amp;$A169)="N/A",0,RTD("tos.rtd",,AS$83,"."&amp;$B$134&amp;$AS$82&amp;"C"&amp;$A169))</f>
        <v>1</v>
      </c>
      <c r="AT169" s="3">
        <f>-IF(RTD("tos.rtd",,AT$83,"."&amp;$B$134&amp;$AS$82&amp;"P"&amp;$A169)="N/A",0,RTD("tos.rtd",,AT$83,"."&amp;$B$134&amp;$AS$82&amp;"P"&amp;$A169))</f>
        <v>-8</v>
      </c>
      <c r="AU169" s="54">
        <f>IF(RTD("tos.rtd",,AU$2,"."&amp;$C$134&amp;$AU$134&amp;"C"&amp;$A169)="N/A",0,RTD("tos.rtd",,AU$2,"."&amp;$C$134&amp;$AU$134&amp;"C"&amp;$A169))</f>
        <v>90</v>
      </c>
      <c r="AV169" s="3">
        <f>-IF(RTD("tos.rtd",,AV$2,"."&amp;$C$134&amp;$AU$134&amp;"P"&amp;$A169)="N/A",0,RTD("tos.rtd",,AV$2,"."&amp;$C$134&amp;$AU$134&amp;"P"&amp;$A169))</f>
        <v>-10</v>
      </c>
      <c r="AW169" s="54">
        <f>IF(RTD("tos.rtd",,AW$2,"."&amp;$D$134&amp;$AW$134&amp;"C"&amp;$A169)="N/A",0,RTD("tos.rtd",,AW$2,"."&amp;$D$134&amp;$AW$134&amp;"C"&amp;$A169))</f>
        <v>8</v>
      </c>
      <c r="AX169" s="3">
        <f>-IF(RTD("tos.rtd",,AX$2,"."&amp;$D$134&amp;$AW$134&amp;"P"&amp;$A169)="N/A",0,RTD("tos.rtd",,AX$2,"."&amp;$D$134&amp;$AW$134&amp;"P"&amp;$A169))</f>
        <v>-13</v>
      </c>
      <c r="AY169" s="76">
        <f t="shared" si="643"/>
        <v>68</v>
      </c>
      <c r="AZ169" s="8">
        <f t="shared" si="545"/>
        <v>19650</v>
      </c>
      <c r="BA169" s="54">
        <f>IF(RTD("tos.rtd",,BA$43,"."&amp;$B$134&amp;$AS$82&amp;"C"&amp;$A169)="N/A",0,RTD("tos.rtd",,BA$43,"."&amp;$B$134&amp;$AS$82&amp;"C"&amp;$A169))</f>
        <v>8</v>
      </c>
      <c r="BB169" s="3">
        <f>-IF(RTD("tos.rtd",,BB$43,"."&amp;$B$134&amp;$AS$82&amp;"P"&amp;$A169)="N/A",0,RTD("tos.rtd",,BB$43,"."&amp;$B$134&amp;$AS$82&amp;"P"&amp;$A169))</f>
        <v>-374</v>
      </c>
      <c r="BC169" s="54">
        <f>IF(RTD("tos.rtd",,BC$2,"."&amp;$C$134&amp;$AU$82&amp;"C"&amp;$A169)="N/A",0,RTD("tos.rtd",,BC$2,"."&amp;$C$134&amp;$AU$82&amp;"C"&amp;$A169))</f>
        <v>0</v>
      </c>
      <c r="BD169" s="3">
        <f>-IF(RTD("tos.rtd",,BD$2,"."&amp;$C$134&amp;$AU$82&amp;"P"&amp;$A169)="N/A",0,RTD("tos.rtd",,BD$2,"."&amp;$C$134&amp;$AU$82&amp;"P"&amp;$A169))</f>
        <v>-15</v>
      </c>
      <c r="BE169" s="54">
        <f>IF(RTD("tos.rtd",,BE$2,"."&amp;$D$134&amp;$AW$82&amp;"C"&amp;$A169)="N/A",0,RTD("tos.rtd",,BE$2,"."&amp;$D$134&amp;$AW$82&amp;"C"&amp;$A169))</f>
        <v>3</v>
      </c>
      <c r="BF169" s="3">
        <f>-IF(RTD("tos.rtd",,BF$2,"."&amp;$D$134&amp;$AW$82&amp;"P"&amp;$A169)="N/A",0,RTD("tos.rtd",,BF$2,"."&amp;$D$134&amp;$AW$82&amp;"P"&amp;$A169))</f>
        <v>-5</v>
      </c>
      <c r="BG169" s="3">
        <f ca="1">+Hoja2!Y170</f>
        <v>-1</v>
      </c>
      <c r="BH169" s="7">
        <f t="shared" ca="1" si="546"/>
        <v>-384</v>
      </c>
      <c r="BI169" s="32" t="str">
        <f t="shared" ca="1" si="605"/>
        <v/>
      </c>
      <c r="BJ169" s="3" t="e">
        <f ca="1">IF($BP$1=1,DX169,IF(RTD("tos.rtd",,BJ$43,"."&amp;$B$134&amp;$AS$82&amp;"C"&amp;$A169)="N/A",0,RTD("tos.rtd",,BJ$43,"."&amp;$B$134&amp;$AS$82&amp;"C"&amp;$A169)))</f>
        <v>#NUM!</v>
      </c>
      <c r="BK169" s="3" t="e">
        <f ca="1">IF($BP$1=1,DY169,-IF(RTD("tos.rtd",,BK$43,"."&amp;$B$134&amp;$AS$82&amp;"P"&amp;$A169)="N/A",0,RTD("tos.rtd",,BK$43,"."&amp;$B$134&amp;$AS$82&amp;"P"&amp;$A169)))</f>
        <v>#NUM!</v>
      </c>
      <c r="BL169" s="3">
        <f ca="1">IF($BP$1=1,DZ169,IF(RTD("tos.rtd",,BL$2,"."&amp;$C$134&amp;$AU$82&amp;"C"&amp;$A169)="N/A",0,RTD("tos.rtd",,BL$2,"."&amp;$C$134&amp;$AU$82&amp;"C"&amp;$A169)))</f>
        <v>6.5422547562318204E-4</v>
      </c>
      <c r="BM169" s="3">
        <f ca="1">IF($BP$1=1,EA169,-IF(RTD("tos.rtd",,BM$2,"."&amp;$C$134&amp;$AU$82&amp;"P"&amp;$A169)="N/A",0,RTD("tos.rtd",,BM$2,"."&amp;$C$134&amp;$AU$82&amp;"P"&amp;$A169)))</f>
        <v>-7.6039901935710428E-4</v>
      </c>
      <c r="BN169" s="3">
        <f ca="1">IF($BP$1=1,EB169,IF(RTD("tos.rtd",,BN$2,"."&amp;$D$134&amp;$AW$82&amp;"C"&amp;$A169)="N/A",0,RTD("tos.rtd",,BN$2,"."&amp;$D$134&amp;$AW$82&amp;"C"&amp;$A169)))</f>
        <v>8.0605357651758133E-4</v>
      </c>
      <c r="BO169" s="3">
        <f ca="1">IF($BP$1=1,EC169,-IF(RTD("tos.rtd",,BO$2,"."&amp;$D$134&amp;$AW$82&amp;"P"&amp;$A169)="N/A",0,RTD("tos.rtd",,BO$2,"."&amp;$D$134&amp;$AW$82&amp;"P"&amp;$A169)))</f>
        <v>-8.3918942152894007E-4</v>
      </c>
      <c r="BQ169" s="3" t="e">
        <f t="shared" ca="1" si="644"/>
        <v>#NUM!</v>
      </c>
      <c r="BR169" s="3" t="e">
        <f t="shared" ca="1" si="547"/>
        <v>#NUM!</v>
      </c>
      <c r="BS169" s="3">
        <f t="shared" ca="1" si="645"/>
        <v>1626038.9553840254</v>
      </c>
      <c r="BT169" s="3" t="str">
        <f t="shared" ca="1" si="548"/>
        <v>Cruce +</v>
      </c>
      <c r="BU169" s="3">
        <f t="shared" ca="1" si="646"/>
        <v>-141465.24770011439</v>
      </c>
      <c r="BV169" s="3" t="str">
        <f t="shared" ca="1" si="548"/>
        <v>Cruce -</v>
      </c>
      <c r="BX169" s="3" t="e">
        <f t="shared" ca="1" si="582"/>
        <v>#NUM!</v>
      </c>
      <c r="BY169" s="3" t="e">
        <f t="shared" ca="1" si="583"/>
        <v>#NUM!</v>
      </c>
      <c r="BZ169" s="3">
        <f t="shared" ca="1" si="584"/>
        <v>-2703.479967512324</v>
      </c>
      <c r="CA169" s="3" t="str">
        <f t="shared" ca="1" si="583"/>
        <v/>
      </c>
      <c r="CB169" s="3">
        <f t="shared" ca="1" si="585"/>
        <v>-421.37612291604546</v>
      </c>
      <c r="CC169" s="3" t="str">
        <f t="shared" ca="1" si="583"/>
        <v>Cruce -</v>
      </c>
      <c r="CD169" s="3">
        <f>IF(RTD("tos.rtd",,CD$43,"."&amp;$B$134&amp;$AS$82&amp;"C"&amp;$A169)="N/A",0,RTD("tos.rtd",,CD$43,"."&amp;$B$134&amp;$AS$82&amp;"C"&amp;$A169))</f>
        <v>1</v>
      </c>
      <c r="CE169" s="3">
        <f>-IF(RTD("tos.rtd",,CE$43,"."&amp;$B$134&amp;$AS$82&amp;"P"&amp;$A169)="N/A",0,RTD("tos.rtd",,CE$43,"."&amp;$B$134&amp;$AS$82&amp;"P"&amp;$A169))</f>
        <v>0</v>
      </c>
      <c r="CF169" s="3">
        <f>IF(RTD("tos.rtd",,CF$2,"."&amp;$C$134&amp;$AU$82&amp;"C"&amp;$A169)="N/A",0,RTD("tos.rtd",,CF$2,"."&amp;$C$134&amp;$AU$82&amp;"C"&amp;$A169))</f>
        <v>0.69</v>
      </c>
      <c r="CG169" s="3">
        <f>-IF(RTD("tos.rtd",,CG$2,"."&amp;$C$134&amp;$AU$82&amp;"P"&amp;$A169)="N/A",0,RTD("tos.rtd",,CG$2,"."&amp;$C$134&amp;$AU$82&amp;"P"&amp;$A169))</f>
        <v>0.28000000000000003</v>
      </c>
      <c r="CH169" s="3">
        <f>IF(RTD("tos.rtd",,CH$2,"."&amp;$D$134&amp;$AW$82&amp;"C"&amp;$A169)="N/A",0,RTD("tos.rtd",,CH$2,"."&amp;$D$134&amp;$AW$82&amp;"C"&amp;$A169))</f>
        <v>0.63</v>
      </c>
      <c r="CI169" s="3">
        <f>-IF(RTD("tos.rtd",,CI$2,"."&amp;$D$134&amp;$AW$82&amp;"P"&amp;$A169)="N/A",0,RTD("tos.rtd",,CI$2,"."&amp;$D$134&amp;$AW$82&amp;"P"&amp;$A169))</f>
        <v>0.37</v>
      </c>
      <c r="CK169" s="3">
        <f t="shared" si="647"/>
        <v>100</v>
      </c>
      <c r="CL169" s="3"/>
      <c r="CM169" s="3">
        <f t="shared" si="648"/>
        <v>5929.9999999999991</v>
      </c>
      <c r="CN169" s="3"/>
      <c r="CO169" s="3">
        <f t="shared" si="649"/>
        <v>23.000000000000057</v>
      </c>
      <c r="CP169" s="3">
        <f t="shared" si="539"/>
        <v>6052.9999999999991</v>
      </c>
      <c r="CQ169" s="3">
        <f t="shared" si="549"/>
        <v>-366</v>
      </c>
      <c r="CR169" s="3"/>
      <c r="CS169" s="3">
        <f t="shared" si="550"/>
        <v>-15</v>
      </c>
      <c r="CT169" s="3"/>
      <c r="CU169" s="3">
        <f t="shared" si="551"/>
        <v>-2</v>
      </c>
      <c r="CV169" s="3"/>
      <c r="CW169" s="3" t="e">
        <f t="shared" ca="1" si="552"/>
        <v>#NUM!</v>
      </c>
      <c r="CY169" s="3" t="e">
        <f t="shared" ca="1" si="553"/>
        <v>#NUM!</v>
      </c>
      <c r="CZ169" s="70" t="e">
        <f t="shared" ca="1" si="586"/>
        <v>#NUM!</v>
      </c>
      <c r="DA169" s="3">
        <f>IF(RTD("tos.rtd",,DA$43,"."&amp;$B$134&amp;$AS$82&amp;"C"&amp;$A169)="N/A",0,RTD("tos.rtd",,DA$43,"."&amp;$B$134&amp;$AS$82&amp;"C"&amp;$A169))</f>
        <v>211.64</v>
      </c>
      <c r="DB169" s="3">
        <f>IF(RTD("tos.rtd",,DB$43,"."&amp;$B$134&amp;$AS$82&amp;"P"&amp;$A169)="N/A",0,RTD("tos.rtd",,DB$43,"."&amp;$B$134&amp;$AS$82&amp;"P"&amp;$A169))</f>
        <v>0.05</v>
      </c>
      <c r="DC169" s="3">
        <f>IF(RTD("tos.rtd",,DC$43,"."&amp;$B$134&amp;$AS$82&amp;"C"&amp;$A169)="N/A",0,RTD("tos.rtd",,DC$43,"."&amp;$B$134&amp;$AS$82&amp;"C"&amp;$A169))</f>
        <v>225.3</v>
      </c>
      <c r="DD169" s="3">
        <f>IF(RTD("tos.rtd",,DD$43,"."&amp;$B$134&amp;$AS$82&amp;"P"&amp;$A169)="N/A",0,RTD("tos.rtd",,DD$43,"."&amp;$B$134&amp;$AS$82&amp;"P"&amp;$A169))</f>
        <v>0.25</v>
      </c>
      <c r="DE169" s="3">
        <f>IF(RTD("tos.rtd",,DE$43,"."&amp;$B$134&amp;$AS$82&amp;"C"&amp;$A169)="N/A",0,RTD("tos.rtd",,DE$43,"."&amp;$B$134&amp;$AS$82&amp;"C"&amp;$A169))</f>
        <v>205.3</v>
      </c>
      <c r="DF169" s="3">
        <f>IF(RTD("tos.rtd",,DF$43,"."&amp;$B$134&amp;$AS$82&amp;"P"&amp;$A169)="N/A",0,RTD("tos.rtd",,DF$43,"."&amp;$B$134&amp;$AS$82&amp;"P"&amp;$A169))</f>
        <v>0</v>
      </c>
      <c r="DG169" s="86">
        <f t="shared" si="587"/>
        <v>-217.97300000000178</v>
      </c>
      <c r="DH169" s="3">
        <f t="shared" si="554"/>
        <v>0</v>
      </c>
      <c r="DI169" s="3">
        <f t="shared" si="555"/>
        <v>0</v>
      </c>
      <c r="DJ169" s="3">
        <f t="shared" si="556"/>
        <v>0</v>
      </c>
      <c r="DK169" s="3">
        <f t="shared" si="557"/>
        <v>0</v>
      </c>
      <c r="DL169" s="3">
        <f t="shared" si="558"/>
        <v>0</v>
      </c>
      <c r="DM169" s="3">
        <f t="shared" si="559"/>
        <v>0</v>
      </c>
      <c r="DN169" s="64" t="str">
        <f t="shared" si="560"/>
        <v>UNKNOWN</v>
      </c>
      <c r="DO169" s="64" t="str">
        <f t="shared" si="561"/>
        <v>UNKNOWN</v>
      </c>
      <c r="DP169" s="3">
        <f t="shared" si="562"/>
        <v>0</v>
      </c>
      <c r="DQ169" s="3">
        <f t="shared" si="563"/>
        <v>0</v>
      </c>
      <c r="DR169" s="3" t="e">
        <f t="shared" ca="1" si="564"/>
        <v>#NUM!</v>
      </c>
      <c r="DS169" s="3">
        <f t="shared" si="565"/>
        <v>0</v>
      </c>
      <c r="DT169" s="3">
        <f t="shared" si="588"/>
        <v>0</v>
      </c>
      <c r="DU169" s="3">
        <f t="shared" si="589"/>
        <v>0</v>
      </c>
      <c r="DV169" s="3">
        <f t="shared" si="566"/>
        <v>-3</v>
      </c>
      <c r="DW169" s="3">
        <f t="shared" si="567"/>
        <v>183</v>
      </c>
      <c r="DX169" s="3" t="e">
        <f t="shared" ref="DX169:DX189" ca="1" si="650">(EXP(-POWER((LN($A$136/$A169)+($EC$1+POWER($EE169,2)/2)*($EM$1/$DY$1))/($EE169*SQRT($EM$1/$DY$1)),2)/2)/SQRT(2*PI())/($A$136*$EE169*SQRT($EM$1/$DY$1)))</f>
        <v>#NUM!</v>
      </c>
      <c r="DY169" s="3" t="e">
        <f t="shared" ref="DY169:DY189" ca="1" si="651">-(EXP(-POWER((LN($A$136/$A169)+($EC$1+POWER($EF169,2)/2)*($EM$1/$DY$1))/($EF169*SQRT($EM$1/$DY$1)),2)/2)/SQRT(2*PI())/($A$136*$EF169*SQRT($EM$1/$DY$1)))</f>
        <v>#NUM!</v>
      </c>
      <c r="DZ169" s="3">
        <f t="shared" ref="DZ169:DZ189" ca="1" si="652">(EXP(-POWER((LN($A$136/$A169)+($EC$1+POWER($EG169,2)/2)*($EO$1/$DY$1))/($EG169*SQRT($EO$1/$DY$1)),2)/2)/SQRT(2*PI())/($A$136*$EG169*SQRT($EO$1/$DY$1)))</f>
        <v>6.5422547562318204E-4</v>
      </c>
      <c r="EA169" s="3">
        <f t="shared" ref="EA169:EA189" ca="1" si="653">-(EXP(-POWER((LN($A$136/$A169)+($EC$1+POWER($EH169,2)/2)*($EO$1/$DY$1))/($EH169*SQRT($EO$1/$DY$1)),2)/2)/SQRT(2*PI())/($A$136*$EH169*SQRT($EO$1/$DY$1)))</f>
        <v>-7.6039901935710428E-4</v>
      </c>
      <c r="EB169" s="3">
        <f t="shared" ref="EB169:EB189" ca="1" si="654">(EXP(-POWER((LN($A$136/$A169)+($EC$1+POWER($EI169,2)/2)*($EO$1/$DY$1))/($EI169*SQRT($EO$1/$DY$1)),2)/2)/SQRT(2*PI())/($A$136*$EI169*SQRT($EO$1/$DY$1)))</f>
        <v>8.0605357651758133E-4</v>
      </c>
      <c r="EC169" s="3">
        <f t="shared" ref="EC169:EC189" ca="1" si="655">-(EXP(-POWER((LN($A$136/$A169)+($EC$1+POWER($EJ169,2)/2)*($EO$1/$DY$1))/($EJ169*SQRT($EO$1/$DY$1)),2)/2)/SQRT(2*PI())/($A$136*$EJ169*SQRT($EO$1/$DY$1)))</f>
        <v>-8.3918942152894007E-4</v>
      </c>
      <c r="ED169" s="63">
        <f t="shared" si="590"/>
        <v>180</v>
      </c>
      <c r="EE169" s="59">
        <f t="shared" si="574"/>
        <v>0.25</v>
      </c>
      <c r="EF169" s="59">
        <f t="shared" si="575"/>
        <v>0.56299999999999994</v>
      </c>
      <c r="EG169" s="59">
        <f t="shared" si="576"/>
        <v>0.3448</v>
      </c>
      <c r="EH169" s="59">
        <f t="shared" si="577"/>
        <v>0.28599999999999998</v>
      </c>
      <c r="EI169" s="59">
        <f t="shared" si="578"/>
        <v>0.26450000000000001</v>
      </c>
      <c r="EJ169" s="59">
        <f t="shared" si="579"/>
        <v>0.24990000000000001</v>
      </c>
      <c r="EL169" s="3" t="str">
        <f>RTD("tos.rtd",,EL$43,"."&amp;$B$134&amp;$AS$82&amp;"C"&amp;$A169)</f>
        <v>--</v>
      </c>
      <c r="EM169" s="3" t="str">
        <f>RTD("tos.rtd",,EM$43,"."&amp;$B$134&amp;$AS$82&amp;"P"&amp;$A169)</f>
        <v>56.30%</v>
      </c>
      <c r="EN169" s="3" t="str">
        <f>RTD("tos.rtd",,EN$2,"."&amp;$C$134&amp;$AU$82&amp;"C"&amp;$A169)</f>
        <v>34.48%</v>
      </c>
      <c r="EO169" s="3" t="str">
        <f>RTD("tos.rtd",,EO$2,"."&amp;$C$134&amp;$AU$82&amp;"P"&amp;$A169)</f>
        <v>28.60%</v>
      </c>
      <c r="EP169" s="3" t="str">
        <f>RTD("tos.rtd",,EP$2,"."&amp;$D$134&amp;$AW$82&amp;"C"&amp;$A169)</f>
        <v>26.45%</v>
      </c>
      <c r="EQ169" s="3" t="str">
        <f>RTD("tos.rtd",,EQ$2,"."&amp;$D$134&amp;$AW$82&amp;"P"&amp;$A169)</f>
        <v>24.99%</v>
      </c>
      <c r="ES169" s="63" t="str">
        <f t="shared" si="580"/>
        <v>19650,180.00</v>
      </c>
      <c r="ET169" s="64" t="str">
        <f t="shared" ca="1" si="581"/>
        <v>19650,00.00</v>
      </c>
      <c r="EU169" s="68">
        <v>562.61</v>
      </c>
      <c r="EV169" s="68" t="s">
        <v>1372</v>
      </c>
      <c r="EW169" s="68">
        <v>485.12</v>
      </c>
      <c r="EX169" s="68" t="s">
        <v>1373</v>
      </c>
      <c r="EY169" s="68">
        <v>5640.5</v>
      </c>
      <c r="EZ169" s="68" t="s">
        <v>1374</v>
      </c>
      <c r="FA169" s="68">
        <v>19927.25</v>
      </c>
      <c r="FB169" s="68" t="s">
        <v>1375</v>
      </c>
      <c r="FC169" s="68" t="s">
        <v>1376</v>
      </c>
      <c r="FD169" s="68" t="s">
        <v>1377</v>
      </c>
      <c r="FE169" s="68" t="s">
        <v>1378</v>
      </c>
      <c r="FF169" s="68" t="s">
        <v>1379</v>
      </c>
    </row>
    <row r="170" spans="1:162" ht="11.1" customHeight="1" thickBot="1" x14ac:dyDescent="0.25">
      <c r="A170" s="2">
        <f t="shared" si="591"/>
        <v>19625</v>
      </c>
      <c r="B170" s="3">
        <f t="shared" si="637"/>
        <v>14</v>
      </c>
      <c r="C170" s="3">
        <f t="shared" si="638"/>
        <v>8</v>
      </c>
      <c r="D170" s="3">
        <f t="shared" si="639"/>
        <v>34</v>
      </c>
      <c r="E170" s="3">
        <f t="shared" si="640"/>
        <v>56</v>
      </c>
      <c r="F170" s="4">
        <f t="shared" si="641"/>
        <v>19850.238371070867</v>
      </c>
      <c r="G170" s="5">
        <f t="shared" si="642"/>
        <v>480.89612614230953</v>
      </c>
      <c r="AM170" s="1">
        <v>-6</v>
      </c>
      <c r="AN170" s="1">
        <v>16</v>
      </c>
      <c r="AO170" s="1">
        <v>19625</v>
      </c>
      <c r="AP170" s="1">
        <v>10</v>
      </c>
      <c r="AQ170" s="1">
        <v>-153</v>
      </c>
      <c r="AS170" s="54">
        <f>IF(RTD("tos.rtd",,AS$83,"."&amp;$B$134&amp;$AS$82&amp;"C"&amp;$A170)="N/A",0,RTD("tos.rtd",,AS$83,"."&amp;$B$134&amp;$AS$82&amp;"C"&amp;$A170))</f>
        <v>1</v>
      </c>
      <c r="AT170" s="3">
        <f>-IF(RTD("tos.rtd",,AT$83,"."&amp;$B$134&amp;$AS$82&amp;"P"&amp;$A170)="N/A",0,RTD("tos.rtd",,AT$83,"."&amp;$B$134&amp;$AS$82&amp;"P"&amp;$A170))</f>
        <v>-13</v>
      </c>
      <c r="AU170" s="54">
        <f>IF(RTD("tos.rtd",,AU$2,"."&amp;$C$134&amp;$AU$134&amp;"C"&amp;$A170)="N/A",0,RTD("tos.rtd",,AU$2,"."&amp;$C$134&amp;$AU$134&amp;"C"&amp;$A170))</f>
        <v>4</v>
      </c>
      <c r="AV170" s="3">
        <f>-IF(RTD("tos.rtd",,AV$2,"."&amp;$C$134&amp;$AU$134&amp;"P"&amp;$A170)="N/A",0,RTD("tos.rtd",,AV$2,"."&amp;$C$134&amp;$AU$134&amp;"P"&amp;$A170))</f>
        <v>-4</v>
      </c>
      <c r="AW170" s="54">
        <f>IF(RTD("tos.rtd",,AW$2,"."&amp;$D$134&amp;$AW$134&amp;"C"&amp;$A170)="N/A",0,RTD("tos.rtd",,AW$2,"."&amp;$D$134&amp;$AW$134&amp;"C"&amp;$A170))</f>
        <v>28</v>
      </c>
      <c r="AX170" s="3">
        <f>-IF(RTD("tos.rtd",,AX$2,"."&amp;$D$134&amp;$AW$134&amp;"P"&amp;$A170)="N/A",0,RTD("tos.rtd",,AX$2,"."&amp;$D$134&amp;$AW$134&amp;"P"&amp;$A170))</f>
        <v>-6</v>
      </c>
      <c r="AY170" s="76">
        <f t="shared" si="643"/>
        <v>10</v>
      </c>
      <c r="AZ170" s="8">
        <f t="shared" si="545"/>
        <v>19625</v>
      </c>
      <c r="BA170" s="54">
        <f>IF(RTD("tos.rtd",,BA$43,"."&amp;$B$134&amp;$AS$82&amp;"C"&amp;$A170)="N/A",0,RTD("tos.rtd",,BA$43,"."&amp;$B$134&amp;$AS$82&amp;"C"&amp;$A170))</f>
        <v>10</v>
      </c>
      <c r="BB170" s="3">
        <f>-IF(RTD("tos.rtd",,BB$43,"."&amp;$B$134&amp;$AS$82&amp;"P"&amp;$A170)="N/A",0,RTD("tos.rtd",,BB$43,"."&amp;$B$134&amp;$AS$82&amp;"P"&amp;$A170))</f>
        <v>-153</v>
      </c>
      <c r="BC170" s="54">
        <f>IF(RTD("tos.rtd",,BC$2,"."&amp;$C$134&amp;$AU$82&amp;"C"&amp;$A170)="N/A",0,RTD("tos.rtd",,BC$2,"."&amp;$C$134&amp;$AU$82&amp;"C"&amp;$A170))</f>
        <v>0</v>
      </c>
      <c r="BD170" s="3">
        <f>-IF(RTD("tos.rtd",,BD$2,"."&amp;$C$134&amp;$AU$82&amp;"P"&amp;$A170)="N/A",0,RTD("tos.rtd",,BD$2,"."&amp;$C$134&amp;$AU$82&amp;"P"&amp;$A170))</f>
        <v>0</v>
      </c>
      <c r="BE170" s="54">
        <f>IF(RTD("tos.rtd",,BE$2,"."&amp;$D$134&amp;$AW$82&amp;"C"&amp;$A170)="N/A",0,RTD("tos.rtd",,BE$2,"."&amp;$D$134&amp;$AW$82&amp;"C"&amp;$A170))</f>
        <v>0</v>
      </c>
      <c r="BF170" s="3">
        <f>-IF(RTD("tos.rtd",,BF$2,"."&amp;$D$134&amp;$AW$82&amp;"P"&amp;$A170)="N/A",0,RTD("tos.rtd",,BF$2,"."&amp;$D$134&amp;$AW$82&amp;"P"&amp;$A170))</f>
        <v>-6</v>
      </c>
      <c r="BG170" s="3">
        <f ca="1">+Hoja2!Y171</f>
        <v>0</v>
      </c>
      <c r="BH170" s="7">
        <f t="shared" ca="1" si="546"/>
        <v>-149</v>
      </c>
      <c r="BI170" s="32" t="str">
        <f t="shared" ca="1" si="605"/>
        <v/>
      </c>
      <c r="BJ170" s="3" t="e">
        <f ca="1">IF($BP$1=1,DX170,IF(RTD("tos.rtd",,BJ$43,"."&amp;$B$134&amp;$AS$82&amp;"C"&amp;$A170)="N/A",0,RTD("tos.rtd",,BJ$43,"."&amp;$B$134&amp;$AS$82&amp;"C"&amp;$A170)))</f>
        <v>#NUM!</v>
      </c>
      <c r="BK170" s="3" t="e">
        <f ca="1">IF($BP$1=1,DY170,-IF(RTD("tos.rtd",,BK$43,"."&amp;$B$134&amp;$AS$82&amp;"P"&amp;$A170)="N/A",0,RTD("tos.rtd",,BK$43,"."&amp;$B$134&amp;$AS$82&amp;"P"&amp;$A170)))</f>
        <v>#NUM!</v>
      </c>
      <c r="BL170" s="3">
        <f ca="1">IF($BP$1=1,DZ170,IF(RTD("tos.rtd",,BL$2,"."&amp;$C$134&amp;$AU$82&amp;"C"&amp;$A170)="N/A",0,RTD("tos.rtd",,BL$2,"."&amp;$C$134&amp;$AU$82&amp;"C"&amp;$A170)))</f>
        <v>6.3634861282463589E-4</v>
      </c>
      <c r="BM170" s="3">
        <f ca="1">IF($BP$1=1,EA170,-IF(RTD("tos.rtd",,BM$2,"."&amp;$C$134&amp;$AU$82&amp;"P"&amp;$A170)="N/A",0,RTD("tos.rtd",,BM$2,"."&amp;$C$134&amp;$AU$82&amp;"P"&amp;$A170)))</f>
        <v>-7.3425734054711144E-4</v>
      </c>
      <c r="BN170" s="3">
        <f ca="1">IF($BP$1=1,EB170,IF(RTD("tos.rtd",,BN$2,"."&amp;$D$134&amp;$AW$82&amp;"C"&amp;$A170)="N/A",0,RTD("tos.rtd",,BN$2,"."&amp;$D$134&amp;$AW$82&amp;"C"&amp;$A170)))</f>
        <v>7.7910255342540462E-4</v>
      </c>
      <c r="BO170" s="3">
        <f ca="1">IF($BP$1=1,EC170,-IF(RTD("tos.rtd",,BO$2,"."&amp;$D$134&amp;$AW$82&amp;"P"&amp;$A170)="N/A",0,RTD("tos.rtd",,BO$2,"."&amp;$D$134&amp;$AW$82&amp;"P"&amp;$A170)))</f>
        <v>-8.0575653604505126E-4</v>
      </c>
      <c r="BQ170" s="3" t="e">
        <f t="shared" ca="1" si="644"/>
        <v>#NUM!</v>
      </c>
      <c r="BR170" s="3" t="e">
        <f t="shared" ca="1" si="547"/>
        <v>#NUM!</v>
      </c>
      <c r="BS170" s="3">
        <f t="shared" ca="1" si="645"/>
        <v>-12419.257804284454</v>
      </c>
      <c r="BT170" s="3" t="str">
        <f t="shared" ca="1" si="548"/>
        <v>Cruce -</v>
      </c>
      <c r="BU170" s="3">
        <f t="shared" ca="1" si="646"/>
        <v>538468.65618820989</v>
      </c>
      <c r="BV170" s="3" t="str">
        <f t="shared" ca="1" si="548"/>
        <v>Cruce +</v>
      </c>
      <c r="BX170" s="3" t="e">
        <f t="shared" ca="1" si="582"/>
        <v>#NUM!</v>
      </c>
      <c r="BY170" s="3" t="e">
        <f t="shared" ca="1" si="583"/>
        <v>#NUM!</v>
      </c>
      <c r="BZ170" s="3">
        <f t="shared" ca="1" si="584"/>
        <v>0</v>
      </c>
      <c r="CA170" s="3" t="str">
        <f t="shared" ca="1" si="583"/>
        <v/>
      </c>
      <c r="CB170" s="3">
        <f t="shared" ca="1" si="585"/>
        <v>-1145.896613981248</v>
      </c>
      <c r="CC170" s="3" t="str">
        <f t="shared" ca="1" si="583"/>
        <v/>
      </c>
      <c r="CD170" s="3">
        <f>IF(RTD("tos.rtd",,CD$43,"."&amp;$B$134&amp;$AS$82&amp;"C"&amp;$A170)="N/A",0,RTD("tos.rtd",,CD$43,"."&amp;$B$134&amp;$AS$82&amp;"C"&amp;$A170))</f>
        <v>1</v>
      </c>
      <c r="CE170" s="3">
        <f>-IF(RTD("tos.rtd",,CE$43,"."&amp;$B$134&amp;$AS$82&amp;"P"&amp;$A170)="N/A",0,RTD("tos.rtd",,CE$43,"."&amp;$B$134&amp;$AS$82&amp;"P"&amp;$A170))</f>
        <v>0.11</v>
      </c>
      <c r="CF170" s="3">
        <f>IF(RTD("tos.rtd",,CF$2,"."&amp;$C$134&amp;$AU$82&amp;"C"&amp;$A170)="N/A",0,RTD("tos.rtd",,CF$2,"."&amp;$C$134&amp;$AU$82&amp;"C"&amp;$A170))</f>
        <v>0.7</v>
      </c>
      <c r="CG170" s="3">
        <f>-IF(RTD("tos.rtd",,CG$2,"."&amp;$C$134&amp;$AU$82&amp;"P"&amp;$A170)="N/A",0,RTD("tos.rtd",,CG$2,"."&amp;$C$134&amp;$AU$82&amp;"P"&amp;$A170))</f>
        <v>0.26</v>
      </c>
      <c r="CH170" s="3">
        <f>IF(RTD("tos.rtd",,CH$2,"."&amp;$D$134&amp;$AW$82&amp;"C"&amp;$A170)="N/A",0,RTD("tos.rtd",,CH$2,"."&amp;$D$134&amp;$AW$82&amp;"C"&amp;$A170))</f>
        <v>0.64</v>
      </c>
      <c r="CI170" s="3">
        <f>-IF(RTD("tos.rtd",,CI$2,"."&amp;$D$134&amp;$AW$82&amp;"P"&amp;$A170)="N/A",0,RTD("tos.rtd",,CI$2,"."&amp;$D$134&amp;$AW$82&amp;"P"&amp;$A170))</f>
        <v>0.36</v>
      </c>
      <c r="CK170" s="3">
        <f t="shared" si="647"/>
        <v>-43</v>
      </c>
      <c r="CL170" s="3"/>
      <c r="CM170" s="3">
        <f t="shared" si="648"/>
        <v>176</v>
      </c>
      <c r="CN170" s="3"/>
      <c r="CO170" s="3">
        <f t="shared" si="649"/>
        <v>1576.0000000000002</v>
      </c>
      <c r="CP170" s="3">
        <f t="shared" si="539"/>
        <v>1709.0000000000002</v>
      </c>
      <c r="CQ170" s="3">
        <f t="shared" si="549"/>
        <v>-143</v>
      </c>
      <c r="CR170" s="3"/>
      <c r="CS170" s="3">
        <f t="shared" si="550"/>
        <v>0</v>
      </c>
      <c r="CT170" s="3"/>
      <c r="CU170" s="3">
        <f t="shared" si="551"/>
        <v>-6</v>
      </c>
      <c r="CV170" s="3"/>
      <c r="CW170" s="3" t="e">
        <f t="shared" ca="1" si="552"/>
        <v>#NUM!</v>
      </c>
      <c r="CY170" s="3" t="e">
        <f t="shared" ca="1" si="553"/>
        <v>#NUM!</v>
      </c>
      <c r="CZ170" s="70" t="e">
        <f t="shared" ca="1" si="586"/>
        <v>#NUM!</v>
      </c>
      <c r="DA170" s="3">
        <f>IF(RTD("tos.rtd",,DA$43,"."&amp;$B$134&amp;$AS$82&amp;"C"&amp;$A170)="N/A",0,RTD("tos.rtd",,DA$43,"."&amp;$B$134&amp;$AS$82&amp;"C"&amp;$A170))</f>
        <v>120.7</v>
      </c>
      <c r="DB170" s="3">
        <f>IF(RTD("tos.rtd",,DB$43,"."&amp;$B$134&amp;$AS$82&amp;"P"&amp;$A170)="N/A",0,RTD("tos.rtd",,DB$43,"."&amp;$B$134&amp;$AS$82&amp;"P"&amp;$A170))</f>
        <v>0.38</v>
      </c>
      <c r="DC170" s="3">
        <f>IF(RTD("tos.rtd",,DC$43,"."&amp;$B$134&amp;$AS$82&amp;"C"&amp;$A170)="N/A",0,RTD("tos.rtd",,DC$43,"."&amp;$B$134&amp;$AS$82&amp;"C"&amp;$A170))</f>
        <v>262.89999999999998</v>
      </c>
      <c r="DD170" s="3">
        <f>IF(RTD("tos.rtd",,DD$43,"."&amp;$B$134&amp;$AS$82&amp;"P"&amp;$A170)="N/A",0,RTD("tos.rtd",,DD$43,"."&amp;$B$134&amp;$AS$82&amp;"P"&amp;$A170))</f>
        <v>19.8</v>
      </c>
      <c r="DE170" s="3">
        <f>IF(RTD("tos.rtd",,DE$43,"."&amp;$B$134&amp;$AS$82&amp;"C"&amp;$A170)="N/A",0,RTD("tos.rtd",,DE$43,"."&amp;$B$134&amp;$AS$82&amp;"C"&amp;$A170))</f>
        <v>216</v>
      </c>
      <c r="DF170" s="3">
        <f>IF(RTD("tos.rtd",,DF$43,"."&amp;$B$134&amp;$AS$82&amp;"P"&amp;$A170)="N/A",0,RTD("tos.rtd",,DF$43,"."&amp;$B$134&amp;$AS$82&amp;"P"&amp;$A170))</f>
        <v>0</v>
      </c>
      <c r="DG170" s="86">
        <f t="shared" si="587"/>
        <v>-242.97300000000178</v>
      </c>
      <c r="DH170" s="3">
        <f t="shared" si="554"/>
        <v>0</v>
      </c>
      <c r="DI170" s="3">
        <f t="shared" si="555"/>
        <v>0</v>
      </c>
      <c r="DJ170" s="3">
        <f t="shared" si="556"/>
        <v>0</v>
      </c>
      <c r="DK170" s="3">
        <f t="shared" si="557"/>
        <v>0</v>
      </c>
      <c r="DL170" s="3">
        <f t="shared" si="558"/>
        <v>0</v>
      </c>
      <c r="DM170" s="3">
        <f t="shared" si="559"/>
        <v>0</v>
      </c>
      <c r="DN170" s="64" t="str">
        <f t="shared" si="560"/>
        <v>UNKNOWN</v>
      </c>
      <c r="DO170" s="64" t="str">
        <f t="shared" si="561"/>
        <v>UNKNOWN</v>
      </c>
      <c r="DP170" s="3">
        <f t="shared" si="562"/>
        <v>0</v>
      </c>
      <c r="DQ170" s="3">
        <f t="shared" si="563"/>
        <v>0</v>
      </c>
      <c r="DR170" s="3" t="e">
        <f t="shared" ca="1" si="564"/>
        <v>#NUM!</v>
      </c>
      <c r="DS170" s="3">
        <f t="shared" si="565"/>
        <v>0</v>
      </c>
      <c r="DT170" s="3">
        <f t="shared" si="588"/>
        <v>0</v>
      </c>
      <c r="DU170" s="3">
        <f t="shared" si="589"/>
        <v>0</v>
      </c>
      <c r="DV170" s="3">
        <f t="shared" si="566"/>
        <v>-6</v>
      </c>
      <c r="DW170" s="3">
        <f t="shared" si="567"/>
        <v>16</v>
      </c>
      <c r="DX170" s="3" t="e">
        <f t="shared" ca="1" si="650"/>
        <v>#NUM!</v>
      </c>
      <c r="DY170" s="3" t="e">
        <f t="shared" ca="1" si="651"/>
        <v>#NUM!</v>
      </c>
      <c r="DZ170" s="3">
        <f t="shared" ca="1" si="652"/>
        <v>6.3634861282463589E-4</v>
      </c>
      <c r="EA170" s="3">
        <f t="shared" ca="1" si="653"/>
        <v>-7.3425734054711144E-4</v>
      </c>
      <c r="EB170" s="3">
        <f t="shared" ca="1" si="654"/>
        <v>7.7910255342540462E-4</v>
      </c>
      <c r="EC170" s="3">
        <f t="shared" ca="1" si="655"/>
        <v>-8.0575653604505126E-4</v>
      </c>
      <c r="ED170" s="63">
        <f t="shared" si="590"/>
        <v>10</v>
      </c>
      <c r="EE170" s="59">
        <f t="shared" si="574"/>
        <v>0.25</v>
      </c>
      <c r="EF170" s="59">
        <f t="shared" si="575"/>
        <v>1.306</v>
      </c>
      <c r="EG170" s="59">
        <f t="shared" si="576"/>
        <v>0.34820000000000001</v>
      </c>
      <c r="EH170" s="59">
        <f t="shared" si="577"/>
        <v>0.28860000000000002</v>
      </c>
      <c r="EI170" s="59">
        <f t="shared" si="578"/>
        <v>0.26479999999999998</v>
      </c>
      <c r="EJ170" s="59">
        <f t="shared" si="579"/>
        <v>0.25130000000000002</v>
      </c>
      <c r="EL170" s="3" t="str">
        <f>RTD("tos.rtd",,EL$43,"."&amp;$B$134&amp;$AS$82&amp;"C"&amp;$A170)</f>
        <v>--</v>
      </c>
      <c r="EM170" s="3" t="str">
        <f>RTD("tos.rtd",,EM$43,"."&amp;$B$134&amp;$AS$82&amp;"P"&amp;$A170)</f>
        <v>130.60%</v>
      </c>
      <c r="EN170" s="3" t="str">
        <f>RTD("tos.rtd",,EN$2,"."&amp;$C$134&amp;$AU$82&amp;"C"&amp;$A170)</f>
        <v>34.82%</v>
      </c>
      <c r="EO170" s="3" t="str">
        <f>RTD("tos.rtd",,EO$2,"."&amp;$C$134&amp;$AU$82&amp;"P"&amp;$A170)</f>
        <v>28.86%</v>
      </c>
      <c r="EP170" s="3" t="str">
        <f>RTD("tos.rtd",,EP$2,"."&amp;$D$134&amp;$AW$82&amp;"C"&amp;$A170)</f>
        <v>26.48%</v>
      </c>
      <c r="EQ170" s="3" t="str">
        <f>RTD("tos.rtd",,EQ$2,"."&amp;$D$134&amp;$AW$82&amp;"P"&amp;$A170)</f>
        <v>25.13%</v>
      </c>
      <c r="ES170" s="63" t="str">
        <f t="shared" si="580"/>
        <v>19625,10.00</v>
      </c>
      <c r="ET170" s="64" t="str">
        <f t="shared" ca="1" si="581"/>
        <v>19625,00.00</v>
      </c>
      <c r="EU170" s="68">
        <v>562.63</v>
      </c>
      <c r="EV170" s="68" t="s">
        <v>1380</v>
      </c>
      <c r="EW170" s="68">
        <v>485.09</v>
      </c>
      <c r="EX170" s="68" t="s">
        <v>1381</v>
      </c>
      <c r="EY170" s="68">
        <v>5640.5</v>
      </c>
      <c r="EZ170" s="68" t="s">
        <v>1382</v>
      </c>
      <c r="FA170" s="68">
        <v>19926.5</v>
      </c>
      <c r="FB170" s="68" t="s">
        <v>1383</v>
      </c>
      <c r="FC170" s="68" t="s">
        <v>1384</v>
      </c>
      <c r="FD170" s="68" t="s">
        <v>1385</v>
      </c>
      <c r="FE170" s="68" t="s">
        <v>1386</v>
      </c>
      <c r="FF170" s="68" t="s">
        <v>1387</v>
      </c>
    </row>
    <row r="171" spans="1:162" ht="11.1" customHeight="1" thickBot="1" x14ac:dyDescent="0.25">
      <c r="A171" s="2">
        <f t="shared" si="591"/>
        <v>19600</v>
      </c>
      <c r="B171" s="3">
        <f t="shared" si="637"/>
        <v>50</v>
      </c>
      <c r="C171" s="3">
        <f t="shared" si="638"/>
        <v>16</v>
      </c>
      <c r="D171" s="3">
        <f t="shared" si="639"/>
        <v>104</v>
      </c>
      <c r="E171" s="3">
        <f t="shared" si="640"/>
        <v>170</v>
      </c>
      <c r="F171" s="4">
        <f t="shared" si="641"/>
        <v>19824.951443209629</v>
      </c>
      <c r="G171" s="5">
        <f t="shared" si="642"/>
        <v>480.28351961219192</v>
      </c>
      <c r="AM171" s="1">
        <v>8</v>
      </c>
      <c r="AN171" s="1">
        <v>49</v>
      </c>
      <c r="AO171" s="1">
        <v>19600</v>
      </c>
      <c r="AP171" s="1">
        <v>45</v>
      </c>
      <c r="AQ171" s="1">
        <v>-575</v>
      </c>
      <c r="AS171" s="54">
        <f>IF(RTD("tos.rtd",,AS$83,"."&amp;$B$134&amp;$AS$82&amp;"C"&amp;$A171)="N/A",0,RTD("tos.rtd",,AS$83,"."&amp;$B$134&amp;$AS$82&amp;"C"&amp;$A171))</f>
        <v>26</v>
      </c>
      <c r="AT171" s="3">
        <f>-IF(RTD("tos.rtd",,AT$83,"."&amp;$B$134&amp;$AS$82&amp;"P"&amp;$A171)="N/A",0,RTD("tos.rtd",,AT$83,"."&amp;$B$134&amp;$AS$82&amp;"P"&amp;$A171))</f>
        <v>-24</v>
      </c>
      <c r="AU171" s="54">
        <f>IF(RTD("tos.rtd",,AU$2,"."&amp;$C$134&amp;$AU$134&amp;"C"&amp;$A171)="N/A",0,RTD("tos.rtd",,AU$2,"."&amp;$C$134&amp;$AU$134&amp;"C"&amp;$A171))</f>
        <v>13</v>
      </c>
      <c r="AV171" s="3">
        <f>-IF(RTD("tos.rtd",,AV$2,"."&amp;$C$134&amp;$AU$134&amp;"P"&amp;$A171)="N/A",0,RTD("tos.rtd",,AV$2,"."&amp;$C$134&amp;$AU$134&amp;"P"&amp;$A171))</f>
        <v>-3</v>
      </c>
      <c r="AW171" s="54">
        <f>IF(RTD("tos.rtd",,AW$2,"."&amp;$D$134&amp;$AW$134&amp;"C"&amp;$A171)="N/A",0,RTD("tos.rtd",,AW$2,"."&amp;$D$134&amp;$AW$134&amp;"C"&amp;$A171))</f>
        <v>58</v>
      </c>
      <c r="AX171" s="3">
        <f>-IF(RTD("tos.rtd",,AX$2,"."&amp;$D$134&amp;$AW$134&amp;"P"&amp;$A171)="N/A",0,RTD("tos.rtd",,AX$2,"."&amp;$D$134&amp;$AW$134&amp;"P"&amp;$A171))</f>
        <v>-46</v>
      </c>
      <c r="AY171" s="76">
        <f t="shared" si="643"/>
        <v>24</v>
      </c>
      <c r="AZ171" s="8">
        <f t="shared" si="545"/>
        <v>19600</v>
      </c>
      <c r="BA171" s="54">
        <f>IF(RTD("tos.rtd",,BA$43,"."&amp;$B$134&amp;$AS$82&amp;"C"&amp;$A171)="N/A",0,RTD("tos.rtd",,BA$43,"."&amp;$B$134&amp;$AS$82&amp;"C"&amp;$A171))</f>
        <v>45</v>
      </c>
      <c r="BB171" s="3">
        <f>-IF(RTD("tos.rtd",,BB$43,"."&amp;$B$134&amp;$AS$82&amp;"P"&amp;$A171)="N/A",0,RTD("tos.rtd",,BB$43,"."&amp;$B$134&amp;$AS$82&amp;"P"&amp;$A171))</f>
        <v>-575</v>
      </c>
      <c r="BC171" s="54">
        <f>IF(RTD("tos.rtd",,BC$2,"."&amp;$C$134&amp;$AU$82&amp;"C"&amp;$A171)="N/A",0,RTD("tos.rtd",,BC$2,"."&amp;$C$134&amp;$AU$82&amp;"C"&amp;$A171))</f>
        <v>9</v>
      </c>
      <c r="BD171" s="3">
        <f>-IF(RTD("tos.rtd",,BD$2,"."&amp;$C$134&amp;$AU$82&amp;"P"&amp;$A171)="N/A",0,RTD("tos.rtd",,BD$2,"."&amp;$C$134&amp;$AU$82&amp;"P"&amp;$A171))</f>
        <v>-13</v>
      </c>
      <c r="BE171" s="54">
        <f>IF(RTD("tos.rtd",,BE$2,"."&amp;$D$134&amp;$AW$82&amp;"C"&amp;$A171)="N/A",0,RTD("tos.rtd",,BE$2,"."&amp;$D$134&amp;$AW$82&amp;"C"&amp;$A171))</f>
        <v>0</v>
      </c>
      <c r="BF171" s="3">
        <f>-IF(RTD("tos.rtd",,BF$2,"."&amp;$D$134&amp;$AW$82&amp;"P"&amp;$A171)="N/A",0,RTD("tos.rtd",,BF$2,"."&amp;$D$134&amp;$AW$82&amp;"P"&amp;$A171))</f>
        <v>-6</v>
      </c>
      <c r="BG171" s="3">
        <f ca="1">+Hoja2!Y172</f>
        <v>-7</v>
      </c>
      <c r="BH171" s="7">
        <f t="shared" ca="1" si="546"/>
        <v>-547</v>
      </c>
      <c r="BI171" s="32" t="str">
        <f t="shared" ca="1" si="605"/>
        <v/>
      </c>
      <c r="BJ171" s="3" t="e">
        <f ca="1">IF($BP$1=1,DX171,IF(RTD("tos.rtd",,BJ$43,"."&amp;$B$134&amp;$AS$82&amp;"C"&amp;$A171)="N/A",0,RTD("tos.rtd",,BJ$43,"."&amp;$B$134&amp;$AS$82&amp;"C"&amp;$A171)))</f>
        <v>#NUM!</v>
      </c>
      <c r="BK171" s="3" t="e">
        <f ca="1">IF($BP$1=1,DY171,-IF(RTD("tos.rtd",,BK$43,"."&amp;$B$134&amp;$AS$82&amp;"P"&amp;$A171)="N/A",0,RTD("tos.rtd",,BK$43,"."&amp;$B$134&amp;$AS$82&amp;"P"&amp;$A171)))</f>
        <v>#NUM!</v>
      </c>
      <c r="BL171" s="3">
        <f ca="1">IF($BP$1=1,DZ171,IF(RTD("tos.rtd",,BL$2,"."&amp;$C$134&amp;$AU$82&amp;"C"&amp;$A171)="N/A",0,RTD("tos.rtd",,BL$2,"."&amp;$C$134&amp;$AU$82&amp;"C"&amp;$A171)))</f>
        <v>6.0940020582167824E-4</v>
      </c>
      <c r="BM171" s="3">
        <f ca="1">IF($BP$1=1,EA171,-IF(RTD("tos.rtd",,BM$2,"."&amp;$C$134&amp;$AU$82&amp;"P"&amp;$A171)="N/A",0,RTD("tos.rtd",,BM$2,"."&amp;$C$134&amp;$AU$82&amp;"P"&amp;$A171)))</f>
        <v>-7.084648717592541E-4</v>
      </c>
      <c r="BN171" s="3">
        <f ca="1">IF($BP$1=1,EB171,IF(RTD("tos.rtd",,BN$2,"."&amp;$D$134&amp;$AW$82&amp;"C"&amp;$A171)="N/A",0,RTD("tos.rtd",,BN$2,"."&amp;$D$134&amp;$AW$82&amp;"C"&amp;$A171)))</f>
        <v>7.4702057183648847E-4</v>
      </c>
      <c r="BO171" s="3">
        <f ca="1">IF($BP$1=1,EC171,-IF(RTD("tos.rtd",,BO$2,"."&amp;$D$134&amp;$AW$82&amp;"P"&amp;$A171)="N/A",0,RTD("tos.rtd",,BO$2,"."&amp;$D$134&amp;$AW$82&amp;"P"&amp;$A171)))</f>
        <v>-7.7129157768488779E-4</v>
      </c>
      <c r="BQ171" s="3" t="e">
        <f t="shared" ca="1" si="644"/>
        <v>#NUM!</v>
      </c>
      <c r="BR171" s="3" t="e">
        <f t="shared" ca="1" si="547"/>
        <v>#NUM!</v>
      </c>
      <c r="BS171" s="3">
        <f t="shared" ca="1" si="645"/>
        <v>183824.40314252459</v>
      </c>
      <c r="BT171" s="3" t="str">
        <f t="shared" ca="1" si="548"/>
        <v>Cruce +</v>
      </c>
      <c r="BU171" s="3">
        <f t="shared" ca="1" si="646"/>
        <v>248863.43802856049</v>
      </c>
      <c r="BV171" s="3" t="str">
        <f t="shared" ca="1" si="548"/>
        <v/>
      </c>
      <c r="BX171" s="3" t="e">
        <f t="shared" ca="1" si="582"/>
        <v>#NUM!</v>
      </c>
      <c r="BY171" s="3" t="e">
        <f t="shared" ca="1" si="583"/>
        <v>#NUM!</v>
      </c>
      <c r="BZ171" s="3">
        <f t="shared" ca="1" si="584"/>
        <v>-883.01502730495827</v>
      </c>
      <c r="CA171" s="3" t="str">
        <f t="shared" ca="1" si="583"/>
        <v/>
      </c>
      <c r="CB171" s="3">
        <f t="shared" ca="1" si="585"/>
        <v>-1096.8827030550474</v>
      </c>
      <c r="CC171" s="3" t="str">
        <f t="shared" ca="1" si="583"/>
        <v/>
      </c>
      <c r="CD171" s="3">
        <f>IF(RTD("tos.rtd",,CD$43,"."&amp;$B$134&amp;$AS$82&amp;"C"&amp;$A171)="N/A",0,RTD("tos.rtd",,CD$43,"."&amp;$B$134&amp;$AS$82&amp;"C"&amp;$A171))</f>
        <v>1</v>
      </c>
      <c r="CE171" s="3">
        <f>-IF(RTD("tos.rtd",,CE$43,"."&amp;$B$134&amp;$AS$82&amp;"P"&amp;$A171)="N/A",0,RTD("tos.rtd",,CE$43,"."&amp;$B$134&amp;$AS$82&amp;"P"&amp;$A171))</f>
        <v>0</v>
      </c>
      <c r="CF171" s="3">
        <f>IF(RTD("tos.rtd",,CF$2,"."&amp;$C$134&amp;$AU$82&amp;"C"&amp;$A171)="N/A",0,RTD("tos.rtd",,CF$2,"."&amp;$C$134&amp;$AU$82&amp;"C"&amp;$A171))</f>
        <v>0.72</v>
      </c>
      <c r="CG171" s="3">
        <f>-IF(RTD("tos.rtd",,CG$2,"."&amp;$C$134&amp;$AU$82&amp;"P"&amp;$A171)="N/A",0,RTD("tos.rtd",,CG$2,"."&amp;$C$134&amp;$AU$82&amp;"P"&amp;$A171))</f>
        <v>0.24</v>
      </c>
      <c r="CH171" s="3">
        <f>IF(RTD("tos.rtd",,CH$2,"."&amp;$D$134&amp;$AW$82&amp;"C"&amp;$A171)="N/A",0,RTD("tos.rtd",,CH$2,"."&amp;$D$134&amp;$AW$82&amp;"C"&amp;$A171))</f>
        <v>0.65</v>
      </c>
      <c r="CI171" s="3">
        <f>-IF(RTD("tos.rtd",,CI$2,"."&amp;$D$134&amp;$AW$82&amp;"P"&amp;$A171)="N/A",0,RTD("tos.rtd",,CI$2,"."&amp;$D$134&amp;$AW$82&amp;"P"&amp;$A171))</f>
        <v>0.34</v>
      </c>
      <c r="CK171" s="3">
        <f t="shared" si="647"/>
        <v>2600</v>
      </c>
      <c r="CL171" s="3"/>
      <c r="CM171" s="3">
        <f t="shared" si="648"/>
        <v>864</v>
      </c>
      <c r="CN171" s="3"/>
      <c r="CO171" s="3">
        <f t="shared" si="649"/>
        <v>2206.0000000000005</v>
      </c>
      <c r="CP171" s="3">
        <f t="shared" si="539"/>
        <v>5670</v>
      </c>
      <c r="CQ171" s="3">
        <f t="shared" si="549"/>
        <v>-530</v>
      </c>
      <c r="CR171" s="3"/>
      <c r="CS171" s="3">
        <f t="shared" si="550"/>
        <v>-4</v>
      </c>
      <c r="CT171" s="3"/>
      <c r="CU171" s="3">
        <f t="shared" si="551"/>
        <v>-6</v>
      </c>
      <c r="CV171" s="3"/>
      <c r="CW171" s="3" t="e">
        <f t="shared" ca="1" si="552"/>
        <v>#NUM!</v>
      </c>
      <c r="CY171" s="3" t="e">
        <f t="shared" ca="1" si="553"/>
        <v>#NUM!</v>
      </c>
      <c r="CZ171" s="70" t="e">
        <f t="shared" ca="1" si="586"/>
        <v>#NUM!</v>
      </c>
      <c r="DA171" s="3">
        <f>IF(RTD("tos.rtd",,DA$43,"."&amp;$B$134&amp;$AS$82&amp;"C"&amp;$A171)="N/A",0,RTD("tos.rtd",,DA$43,"."&amp;$B$134&amp;$AS$82&amp;"C"&amp;$A171))</f>
        <v>136.6</v>
      </c>
      <c r="DB171" s="3">
        <f>IF(RTD("tos.rtd",,DB$43,"."&amp;$B$134&amp;$AS$82&amp;"P"&amp;$A171)="N/A",0,RTD("tos.rtd",,DB$43,"."&amp;$B$134&amp;$AS$82&amp;"P"&amp;$A171))</f>
        <v>0.05</v>
      </c>
      <c r="DC171" s="3">
        <f>IF(RTD("tos.rtd",,DC$43,"."&amp;$B$134&amp;$AS$82&amp;"C"&amp;$A171)="N/A",0,RTD("tos.rtd",,DC$43,"."&amp;$B$134&amp;$AS$82&amp;"C"&amp;$A171))</f>
        <v>287.89999999999998</v>
      </c>
      <c r="DD171" s="3">
        <f>IF(RTD("tos.rtd",,DD$43,"."&amp;$B$134&amp;$AS$82&amp;"P"&amp;$A171)="N/A",0,RTD("tos.rtd",,DD$43,"."&amp;$B$134&amp;$AS$82&amp;"P"&amp;$A171))</f>
        <v>0.05</v>
      </c>
      <c r="DE171" s="3">
        <f>IF(RTD("tos.rtd",,DE$43,"."&amp;$B$134&amp;$AS$82&amp;"C"&amp;$A171)="N/A",0,RTD("tos.rtd",,DE$43,"."&amp;$B$134&amp;$AS$82&amp;"C"&amp;$A171))</f>
        <v>242</v>
      </c>
      <c r="DF171" s="3">
        <f>IF(RTD("tos.rtd",,DF$43,"."&amp;$B$134&amp;$AS$82&amp;"P"&amp;$A171)="N/A",0,RTD("tos.rtd",,DF$43,"."&amp;$B$134&amp;$AS$82&amp;"P"&amp;$A171))</f>
        <v>0</v>
      </c>
      <c r="DG171" s="86">
        <f t="shared" si="587"/>
        <v>-267.97300000000178</v>
      </c>
      <c r="DH171" s="3">
        <f t="shared" si="554"/>
        <v>0</v>
      </c>
      <c r="DI171" s="3">
        <f t="shared" si="555"/>
        <v>0</v>
      </c>
      <c r="DJ171" s="3">
        <f t="shared" si="556"/>
        <v>0</v>
      </c>
      <c r="DK171" s="3">
        <f t="shared" si="557"/>
        <v>0</v>
      </c>
      <c r="DL171" s="3">
        <f t="shared" si="558"/>
        <v>0</v>
      </c>
      <c r="DM171" s="3">
        <f t="shared" si="559"/>
        <v>0</v>
      </c>
      <c r="DN171" s="64" t="str">
        <f t="shared" si="560"/>
        <v>UNKNOWN</v>
      </c>
      <c r="DO171" s="64" t="str">
        <f t="shared" si="561"/>
        <v>UNKNOWN</v>
      </c>
      <c r="DP171" s="3">
        <f t="shared" si="562"/>
        <v>0</v>
      </c>
      <c r="DQ171" s="3">
        <f t="shared" si="563"/>
        <v>0</v>
      </c>
      <c r="DR171" s="3" t="e">
        <f t="shared" ca="1" si="564"/>
        <v>#NUM!</v>
      </c>
      <c r="DS171" s="3">
        <f t="shared" si="565"/>
        <v>0</v>
      </c>
      <c r="DT171" s="3">
        <f t="shared" si="588"/>
        <v>0</v>
      </c>
      <c r="DU171" s="3">
        <f t="shared" si="589"/>
        <v>0</v>
      </c>
      <c r="DV171" s="3">
        <f t="shared" si="566"/>
        <v>8</v>
      </c>
      <c r="DW171" s="3">
        <f t="shared" si="567"/>
        <v>49</v>
      </c>
      <c r="DX171" s="3" t="e">
        <f t="shared" ca="1" si="650"/>
        <v>#NUM!</v>
      </c>
      <c r="DY171" s="3" t="e">
        <f t="shared" ca="1" si="651"/>
        <v>#NUM!</v>
      </c>
      <c r="DZ171" s="3">
        <f t="shared" ca="1" si="652"/>
        <v>6.0940020582167824E-4</v>
      </c>
      <c r="EA171" s="3">
        <f t="shared" ca="1" si="653"/>
        <v>-7.084648717592541E-4</v>
      </c>
      <c r="EB171" s="3">
        <f t="shared" ca="1" si="654"/>
        <v>7.4702057183648847E-4</v>
      </c>
      <c r="EC171" s="3">
        <f t="shared" ca="1" si="655"/>
        <v>-7.7129157768488779E-4</v>
      </c>
      <c r="ED171" s="63">
        <f t="shared" si="590"/>
        <v>57</v>
      </c>
      <c r="EE171" s="59">
        <f t="shared" si="574"/>
        <v>0.25</v>
      </c>
      <c r="EF171" s="59">
        <f t="shared" si="575"/>
        <v>0.58399999999999996</v>
      </c>
      <c r="EG171" s="59">
        <f t="shared" si="576"/>
        <v>0.35820000000000002</v>
      </c>
      <c r="EH171" s="59">
        <f t="shared" si="577"/>
        <v>0.29070000000000001</v>
      </c>
      <c r="EI171" s="59">
        <f t="shared" si="578"/>
        <v>0.26719999999999999</v>
      </c>
      <c r="EJ171" s="59">
        <f t="shared" si="579"/>
        <v>0.25269999999999998</v>
      </c>
      <c r="EL171" s="3" t="str">
        <f>RTD("tos.rtd",,EL$43,"."&amp;$B$134&amp;$AS$82&amp;"C"&amp;$A171)</f>
        <v>--</v>
      </c>
      <c r="EM171" s="3" t="str">
        <f>RTD("tos.rtd",,EM$43,"."&amp;$B$134&amp;$AS$82&amp;"P"&amp;$A171)</f>
        <v>58.40%</v>
      </c>
      <c r="EN171" s="3" t="str">
        <f>RTD("tos.rtd",,EN$2,"."&amp;$C$134&amp;$AU$82&amp;"C"&amp;$A171)</f>
        <v>35.82%</v>
      </c>
      <c r="EO171" s="3" t="str">
        <f>RTD("tos.rtd",,EO$2,"."&amp;$C$134&amp;$AU$82&amp;"P"&amp;$A171)</f>
        <v>29.07%</v>
      </c>
      <c r="EP171" s="3" t="str">
        <f>RTD("tos.rtd",,EP$2,"."&amp;$D$134&amp;$AW$82&amp;"C"&amp;$A171)</f>
        <v>26.72%</v>
      </c>
      <c r="EQ171" s="3" t="str">
        <f>RTD("tos.rtd",,EQ$2,"."&amp;$D$134&amp;$AW$82&amp;"P"&amp;$A171)</f>
        <v>25.27%</v>
      </c>
      <c r="ES171" s="63" t="str">
        <f t="shared" si="580"/>
        <v>19600,57.00</v>
      </c>
      <c r="ET171" s="64" t="str">
        <f t="shared" ca="1" si="581"/>
        <v>19600,00.00</v>
      </c>
      <c r="EU171" s="68">
        <v>562.65</v>
      </c>
      <c r="EV171" s="68" t="s">
        <v>1388</v>
      </c>
      <c r="EW171" s="68">
        <v>485.13</v>
      </c>
      <c r="EX171" s="68" t="s">
        <v>1389</v>
      </c>
      <c r="EY171" s="68">
        <v>5641</v>
      </c>
      <c r="EZ171" s="68" t="s">
        <v>1390</v>
      </c>
      <c r="FA171" s="68">
        <v>19928.75</v>
      </c>
      <c r="FB171" s="68" t="s">
        <v>1391</v>
      </c>
      <c r="FC171" s="68" t="s">
        <v>1392</v>
      </c>
      <c r="FD171" s="68" t="s">
        <v>1393</v>
      </c>
      <c r="FE171" s="68" t="s">
        <v>1394</v>
      </c>
      <c r="FF171" s="68" t="s">
        <v>1395</v>
      </c>
    </row>
    <row r="172" spans="1:162" ht="11.1" customHeight="1" thickBot="1" x14ac:dyDescent="0.25">
      <c r="A172" s="2">
        <f t="shared" si="591"/>
        <v>19575</v>
      </c>
      <c r="B172" s="3">
        <f t="shared" si="637"/>
        <v>6</v>
      </c>
      <c r="C172" s="3">
        <f t="shared" si="638"/>
        <v>19</v>
      </c>
      <c r="D172" s="3">
        <f t="shared" si="639"/>
        <v>22</v>
      </c>
      <c r="E172" s="3">
        <f t="shared" si="640"/>
        <v>47</v>
      </c>
      <c r="F172" s="4">
        <f t="shared" si="641"/>
        <v>19799.664515348395</v>
      </c>
      <c r="G172" s="5">
        <f t="shared" si="642"/>
        <v>479.67091308207432</v>
      </c>
      <c r="AM172" s="1">
        <v>0</v>
      </c>
      <c r="AN172" s="1">
        <v>2</v>
      </c>
      <c r="AO172" s="1">
        <v>19575</v>
      </c>
      <c r="AP172" s="1">
        <v>4</v>
      </c>
      <c r="AQ172" s="1">
        <v>-185</v>
      </c>
      <c r="AS172" s="54">
        <f>IF(RTD("tos.rtd",,AS$83,"."&amp;$B$134&amp;$AS$82&amp;"C"&amp;$A172)="N/A",0,RTD("tos.rtd",,AS$83,"."&amp;$B$134&amp;$AS$82&amp;"C"&amp;$A172))</f>
        <v>0</v>
      </c>
      <c r="AT172" s="3">
        <f>-IF(RTD("tos.rtd",,AT$83,"."&amp;$B$134&amp;$AS$82&amp;"P"&amp;$A172)="N/A",0,RTD("tos.rtd",,AT$83,"."&amp;$B$134&amp;$AS$82&amp;"P"&amp;$A172))</f>
        <v>-6</v>
      </c>
      <c r="AU172" s="54">
        <f>IF(RTD("tos.rtd",,AU$2,"."&amp;$C$134&amp;$AU$134&amp;"C"&amp;$A172)="N/A",0,RTD("tos.rtd",,AU$2,"."&amp;$C$134&amp;$AU$134&amp;"C"&amp;$A172))</f>
        <v>16</v>
      </c>
      <c r="AV172" s="3">
        <f>-IF(RTD("tos.rtd",,AV$2,"."&amp;$C$134&amp;$AU$134&amp;"P"&amp;$A172)="N/A",0,RTD("tos.rtd",,AV$2,"."&amp;$C$134&amp;$AU$134&amp;"P"&amp;$A172))</f>
        <v>-3</v>
      </c>
      <c r="AW172" s="54">
        <f>IF(RTD("tos.rtd",,AW$2,"."&amp;$D$134&amp;$AW$134&amp;"C"&amp;$A172)="N/A",0,RTD("tos.rtd",,AW$2,"."&amp;$D$134&amp;$AW$134&amp;"C"&amp;$A172))</f>
        <v>15</v>
      </c>
      <c r="AX172" s="3">
        <f>-IF(RTD("tos.rtd",,AX$2,"."&amp;$D$134&amp;$AW$134&amp;"P"&amp;$A172)="N/A",0,RTD("tos.rtd",,AX$2,"."&amp;$D$134&amp;$AW$134&amp;"P"&amp;$A172))</f>
        <v>-7</v>
      </c>
      <c r="AY172" s="76">
        <f t="shared" si="643"/>
        <v>15</v>
      </c>
      <c r="AZ172" s="8">
        <f t="shared" si="545"/>
        <v>19575</v>
      </c>
      <c r="BA172" s="54">
        <f>IF(RTD("tos.rtd",,BA$43,"."&amp;$B$134&amp;$AS$82&amp;"C"&amp;$A172)="N/A",0,RTD("tos.rtd",,BA$43,"."&amp;$B$134&amp;$AS$82&amp;"C"&amp;$A172))</f>
        <v>4</v>
      </c>
      <c r="BB172" s="3">
        <f>-IF(RTD("tos.rtd",,BB$43,"."&amp;$B$134&amp;$AS$82&amp;"P"&amp;$A172)="N/A",0,RTD("tos.rtd",,BB$43,"."&amp;$B$134&amp;$AS$82&amp;"P"&amp;$A172))</f>
        <v>-185</v>
      </c>
      <c r="BC172" s="54">
        <f>IF(RTD("tos.rtd",,BC$2,"."&amp;$C$134&amp;$AU$82&amp;"C"&amp;$A172)="N/A",0,RTD("tos.rtd",,BC$2,"."&amp;$C$134&amp;$AU$82&amp;"C"&amp;$A172))</f>
        <v>0</v>
      </c>
      <c r="BD172" s="3">
        <f>-IF(RTD("tos.rtd",,BD$2,"."&amp;$C$134&amp;$AU$82&amp;"P"&amp;$A172)="N/A",0,RTD("tos.rtd",,BD$2,"."&amp;$C$134&amp;$AU$82&amp;"P"&amp;$A172))</f>
        <v>-2</v>
      </c>
      <c r="BE172" s="54">
        <f>IF(RTD("tos.rtd",,BE$2,"."&amp;$D$134&amp;$AW$82&amp;"C"&amp;$A172)="N/A",0,RTD("tos.rtd",,BE$2,"."&amp;$D$134&amp;$AW$82&amp;"C"&amp;$A172))</f>
        <v>3</v>
      </c>
      <c r="BF172" s="3">
        <f>-IF(RTD("tos.rtd",,BF$2,"."&amp;$D$134&amp;$AW$82&amp;"P"&amp;$A172)="N/A",0,RTD("tos.rtd",,BF$2,"."&amp;$D$134&amp;$AW$82&amp;"P"&amp;$A172))</f>
        <v>-9</v>
      </c>
      <c r="BG172" s="3">
        <f ca="1">+Hoja2!Y173</f>
        <v>1</v>
      </c>
      <c r="BH172" s="7">
        <f t="shared" ca="1" si="546"/>
        <v>-188</v>
      </c>
      <c r="BI172" s="32" t="str">
        <f t="shared" ca="1" si="605"/>
        <v/>
      </c>
      <c r="BJ172" s="3" t="e">
        <f ca="1">IF($BP$1=1,DX172,IF(RTD("tos.rtd",,BJ$43,"."&amp;$B$134&amp;$AS$82&amp;"C"&amp;$A172)="N/A",0,RTD("tos.rtd",,BJ$43,"."&amp;$B$134&amp;$AS$82&amp;"C"&amp;$A172)))</f>
        <v>#NUM!</v>
      </c>
      <c r="BK172" s="3" t="e">
        <f ca="1">IF($BP$1=1,DY172,-IF(RTD("tos.rtd",,BK$43,"."&amp;$B$134&amp;$AS$82&amp;"P"&amp;$A172)="N/A",0,RTD("tos.rtd",,BK$43,"."&amp;$B$134&amp;$AS$82&amp;"P"&amp;$A172)))</f>
        <v>#NUM!</v>
      </c>
      <c r="BL172" s="3">
        <f ca="1">IF($BP$1=1,DZ172,IF(RTD("tos.rtd",,BL$2,"."&amp;$C$134&amp;$AU$82&amp;"C"&amp;$A172)="N/A",0,RTD("tos.rtd",,BL$2,"."&amp;$C$134&amp;$AU$82&amp;"C"&amp;$A172)))</f>
        <v>5.9112890295390957E-4</v>
      </c>
      <c r="BM172" s="3">
        <f ca="1">IF($BP$1=1,EA172,-IF(RTD("tos.rtd",,BM$2,"."&amp;$C$134&amp;$AU$82&amp;"P"&amp;$A172)="N/A",0,RTD("tos.rtd",,BM$2,"."&amp;$C$134&amp;$AU$82&amp;"P"&amp;$A172)))</f>
        <v>-6.8010353256761614E-4</v>
      </c>
      <c r="BN172" s="3">
        <f ca="1">IF($BP$1=1,EB172,IF(RTD("tos.rtd",,BN$2,"."&amp;$D$134&amp;$AW$82&amp;"C"&amp;$A172)="N/A",0,RTD("tos.rtd",,BN$2,"."&amp;$D$134&amp;$AW$82&amp;"C"&amp;$A172)))</f>
        <v>7.1723474469176059E-4</v>
      </c>
      <c r="BO172" s="3">
        <f ca="1">IF($BP$1=1,EC172,-IF(RTD("tos.rtd",,BO$2,"."&amp;$D$134&amp;$AW$82&amp;"P"&amp;$A172)="N/A",0,RTD("tos.rtd",,BO$2,"."&amp;$D$134&amp;$AW$82&amp;"P"&amp;$A172)))</f>
        <v>-7.3665512128716837E-4</v>
      </c>
      <c r="BQ172" s="3" t="e">
        <f t="shared" ca="1" si="644"/>
        <v>#NUM!</v>
      </c>
      <c r="BR172" s="3" t="e">
        <f t="shared" ca="1" si="547"/>
        <v>#NUM!</v>
      </c>
      <c r="BS172" s="3">
        <f t="shared" ca="1" si="645"/>
        <v>235226.66132741095</v>
      </c>
      <c r="BT172" s="3" t="str">
        <f t="shared" ca="1" si="548"/>
        <v/>
      </c>
      <c r="BU172" s="3">
        <f t="shared" ca="1" si="646"/>
        <v>177644.73243942388</v>
      </c>
      <c r="BV172" s="3" t="str">
        <f t="shared" ca="1" si="548"/>
        <v/>
      </c>
      <c r="BX172" s="3" t="e">
        <f t="shared" ca="1" si="582"/>
        <v>#NUM!</v>
      </c>
      <c r="BY172" s="3" t="e">
        <f t="shared" ca="1" si="583"/>
        <v>#NUM!</v>
      </c>
      <c r="BZ172" s="3">
        <f t="shared" ca="1" si="584"/>
        <v>-322.40025378350066</v>
      </c>
      <c r="CA172" s="3" t="str">
        <f t="shared" ca="1" si="583"/>
        <v/>
      </c>
      <c r="CB172" s="3">
        <f t="shared" ca="1" si="585"/>
        <v>-1061.4341215825423</v>
      </c>
      <c r="CC172" s="3" t="str">
        <f t="shared" ca="1" si="583"/>
        <v/>
      </c>
      <c r="CD172" s="3">
        <f>IF(RTD("tos.rtd",,CD$43,"."&amp;$B$134&amp;$AS$82&amp;"C"&amp;$A172)="N/A",0,RTD("tos.rtd",,CD$43,"."&amp;$B$134&amp;$AS$82&amp;"C"&amp;$A172))</f>
        <v>1</v>
      </c>
      <c r="CE172" s="3">
        <f>-IF(RTD("tos.rtd",,CE$43,"."&amp;$B$134&amp;$AS$82&amp;"P"&amp;$A172)="N/A",0,RTD("tos.rtd",,CE$43,"."&amp;$B$134&amp;$AS$82&amp;"P"&amp;$A172))</f>
        <v>0</v>
      </c>
      <c r="CF172" s="3">
        <f>IF(RTD("tos.rtd",,CF$2,"."&amp;$C$134&amp;$AU$82&amp;"C"&amp;$A172)="N/A",0,RTD("tos.rtd",,CF$2,"."&amp;$C$134&amp;$AU$82&amp;"C"&amp;$A172))</f>
        <v>0.73</v>
      </c>
      <c r="CG172" s="3">
        <f>-IF(RTD("tos.rtd",,CG$2,"."&amp;$C$134&amp;$AU$82&amp;"P"&amp;$A172)="N/A",0,RTD("tos.rtd",,CG$2,"."&amp;$C$134&amp;$AU$82&amp;"P"&amp;$A172))</f>
        <v>0.23</v>
      </c>
      <c r="CH172" s="3">
        <f>IF(RTD("tos.rtd",,CH$2,"."&amp;$D$134&amp;$AW$82&amp;"C"&amp;$A172)="N/A",0,RTD("tos.rtd",,CH$2,"."&amp;$D$134&amp;$AW$82&amp;"C"&amp;$A172))</f>
        <v>0.66</v>
      </c>
      <c r="CI172" s="3">
        <f>-IF(RTD("tos.rtd",,CI$2,"."&amp;$D$134&amp;$AW$82&amp;"P"&amp;$A172)="N/A",0,RTD("tos.rtd",,CI$2,"."&amp;$D$134&amp;$AW$82&amp;"P"&amp;$A172))</f>
        <v>0.33</v>
      </c>
      <c r="CK172" s="3">
        <f t="shared" si="647"/>
        <v>0</v>
      </c>
      <c r="CL172" s="3"/>
      <c r="CM172" s="3">
        <f t="shared" si="648"/>
        <v>1099</v>
      </c>
      <c r="CN172" s="3"/>
      <c r="CO172" s="3">
        <f t="shared" si="649"/>
        <v>759</v>
      </c>
      <c r="CP172" s="3">
        <f t="shared" si="539"/>
        <v>1858</v>
      </c>
      <c r="CQ172" s="3">
        <f t="shared" si="549"/>
        <v>-181</v>
      </c>
      <c r="CR172" s="3"/>
      <c r="CS172" s="3">
        <f t="shared" si="550"/>
        <v>-2</v>
      </c>
      <c r="CT172" s="3"/>
      <c r="CU172" s="3">
        <f t="shared" si="551"/>
        <v>-6</v>
      </c>
      <c r="CV172" s="3"/>
      <c r="CW172" s="3" t="e">
        <f t="shared" ca="1" si="552"/>
        <v>#NUM!</v>
      </c>
      <c r="CY172" s="3" t="e">
        <f t="shared" ca="1" si="553"/>
        <v>#NUM!</v>
      </c>
      <c r="CZ172" s="70" t="e">
        <f t="shared" ca="1" si="586"/>
        <v>#NUM!</v>
      </c>
      <c r="DA172" s="3">
        <f>IF(RTD("tos.rtd",,DA$43,"."&amp;$B$134&amp;$AS$82&amp;"C"&amp;$A172)="N/A",0,RTD("tos.rtd",,DA$43,"."&amp;$B$134&amp;$AS$82&amp;"C"&amp;$A172))</f>
        <v>271.7</v>
      </c>
      <c r="DB172" s="3">
        <f>IF(RTD("tos.rtd",,DB$43,"."&amp;$B$134&amp;$AS$82&amp;"P"&amp;$A172)="N/A",0,RTD("tos.rtd",,DB$43,"."&amp;$B$134&amp;$AS$82&amp;"P"&amp;$A172))</f>
        <v>0.28000000000000003</v>
      </c>
      <c r="DC172" s="3">
        <f>IF(RTD("tos.rtd",,DC$43,"."&amp;$B$134&amp;$AS$82&amp;"C"&amp;$A172)="N/A",0,RTD("tos.rtd",,DC$43,"."&amp;$B$134&amp;$AS$82&amp;"C"&amp;$A172))</f>
        <v>315.7</v>
      </c>
      <c r="DD172" s="3">
        <f>IF(RTD("tos.rtd",,DD$43,"."&amp;$B$134&amp;$AS$82&amp;"P"&amp;$A172)="N/A",0,RTD("tos.rtd",,DD$43,"."&amp;$B$134&amp;$AS$82&amp;"P"&amp;$A172))</f>
        <v>0.2</v>
      </c>
      <c r="DE172" s="3">
        <f>IF(RTD("tos.rtd",,DE$43,"."&amp;$B$134&amp;$AS$82&amp;"C"&amp;$A172)="N/A",0,RTD("tos.rtd",,DE$43,"."&amp;$B$134&amp;$AS$82&amp;"C"&amp;$A172))</f>
        <v>266</v>
      </c>
      <c r="DF172" s="3">
        <f>IF(RTD("tos.rtd",,DF$43,"."&amp;$B$134&amp;$AS$82&amp;"P"&amp;$A172)="N/A",0,RTD("tos.rtd",,DF$43,"."&amp;$B$134&amp;$AS$82&amp;"P"&amp;$A172))</f>
        <v>0</v>
      </c>
      <c r="DG172" s="86">
        <f t="shared" si="587"/>
        <v>-292.97300000000178</v>
      </c>
      <c r="DH172" s="3">
        <f t="shared" si="554"/>
        <v>0</v>
      </c>
      <c r="DI172" s="3">
        <f t="shared" si="555"/>
        <v>0</v>
      </c>
      <c r="DJ172" s="3">
        <f t="shared" si="556"/>
        <v>0</v>
      </c>
      <c r="DK172" s="3">
        <f t="shared" si="557"/>
        <v>0</v>
      </c>
      <c r="DL172" s="3">
        <f t="shared" si="558"/>
        <v>0</v>
      </c>
      <c r="DM172" s="3">
        <f t="shared" si="559"/>
        <v>0</v>
      </c>
      <c r="DN172" s="64" t="str">
        <f t="shared" si="560"/>
        <v>UNKNOWN</v>
      </c>
      <c r="DO172" s="64" t="str">
        <f t="shared" si="561"/>
        <v>UNKNOWN</v>
      </c>
      <c r="DP172" s="3">
        <f t="shared" si="562"/>
        <v>0</v>
      </c>
      <c r="DQ172" s="3">
        <f t="shared" si="563"/>
        <v>0</v>
      </c>
      <c r="DR172" s="3" t="e">
        <f t="shared" ca="1" si="564"/>
        <v>#NUM!</v>
      </c>
      <c r="DS172" s="3">
        <f t="shared" si="565"/>
        <v>0</v>
      </c>
      <c r="DT172" s="3">
        <f t="shared" si="588"/>
        <v>0</v>
      </c>
      <c r="DU172" s="3">
        <f t="shared" si="589"/>
        <v>0</v>
      </c>
      <c r="DV172" s="3">
        <f t="shared" si="566"/>
        <v>0</v>
      </c>
      <c r="DW172" s="3">
        <f t="shared" si="567"/>
        <v>2</v>
      </c>
      <c r="DX172" s="3" t="e">
        <f t="shared" ca="1" si="650"/>
        <v>#NUM!</v>
      </c>
      <c r="DY172" s="3" t="e">
        <f t="shared" ca="1" si="651"/>
        <v>#NUM!</v>
      </c>
      <c r="DZ172" s="3">
        <f t="shared" ca="1" si="652"/>
        <v>5.9112890295390957E-4</v>
      </c>
      <c r="EA172" s="3">
        <f t="shared" ca="1" si="653"/>
        <v>-6.8010353256761614E-4</v>
      </c>
      <c r="EB172" s="3">
        <f t="shared" ca="1" si="654"/>
        <v>7.1723474469176059E-4</v>
      </c>
      <c r="EC172" s="3">
        <f t="shared" ca="1" si="655"/>
        <v>-7.3665512128716837E-4</v>
      </c>
      <c r="ED172" s="63">
        <f t="shared" si="590"/>
        <v>2</v>
      </c>
      <c r="EE172" s="59">
        <f t="shared" si="574"/>
        <v>0.25</v>
      </c>
      <c r="EF172" s="59">
        <f t="shared" si="575"/>
        <v>0.71840000000000004</v>
      </c>
      <c r="EG172" s="59">
        <f t="shared" si="576"/>
        <v>0.36220000000000002</v>
      </c>
      <c r="EH172" s="59">
        <f t="shared" si="577"/>
        <v>0.29430000000000001</v>
      </c>
      <c r="EI172" s="59">
        <f t="shared" si="578"/>
        <v>0.26779999999999998</v>
      </c>
      <c r="EJ172" s="59">
        <f t="shared" si="579"/>
        <v>0.25369999999999998</v>
      </c>
      <c r="EL172" s="3" t="str">
        <f>RTD("tos.rtd",,EL$43,"."&amp;$B$134&amp;$AS$82&amp;"C"&amp;$A172)</f>
        <v>--</v>
      </c>
      <c r="EM172" s="3" t="str">
        <f>RTD("tos.rtd",,EM$43,"."&amp;$B$134&amp;$AS$82&amp;"P"&amp;$A172)</f>
        <v>71.84%</v>
      </c>
      <c r="EN172" s="3" t="str">
        <f>RTD("tos.rtd",,EN$2,"."&amp;$C$134&amp;$AU$82&amp;"C"&amp;$A172)</f>
        <v>36.22%</v>
      </c>
      <c r="EO172" s="3" t="str">
        <f>RTD("tos.rtd",,EO$2,"."&amp;$C$134&amp;$AU$82&amp;"P"&amp;$A172)</f>
        <v>29.43%</v>
      </c>
      <c r="EP172" s="3" t="str">
        <f>RTD("tos.rtd",,EP$2,"."&amp;$D$134&amp;$AW$82&amp;"C"&amp;$A172)</f>
        <v>26.78%</v>
      </c>
      <c r="EQ172" s="3" t="str">
        <f>RTD("tos.rtd",,EQ$2,"."&amp;$D$134&amp;$AW$82&amp;"P"&amp;$A172)</f>
        <v>25.37%</v>
      </c>
      <c r="ES172" s="63" t="str">
        <f t="shared" si="580"/>
        <v>19575,02.00</v>
      </c>
      <c r="ET172" s="64" t="str">
        <f t="shared" ca="1" si="581"/>
        <v>19575,00.00</v>
      </c>
      <c r="EU172" s="68">
        <v>562.69000000000005</v>
      </c>
      <c r="EV172" s="68" t="s">
        <v>1396</v>
      </c>
      <c r="EW172" s="68">
        <v>485.21</v>
      </c>
      <c r="EX172" s="68" t="s">
        <v>1397</v>
      </c>
      <c r="EY172" s="68">
        <v>5641</v>
      </c>
      <c r="EZ172" s="68" t="s">
        <v>1398</v>
      </c>
      <c r="FA172" s="68">
        <v>19932</v>
      </c>
      <c r="FB172" s="68" t="s">
        <v>1399</v>
      </c>
      <c r="FC172" s="68" t="s">
        <v>1400</v>
      </c>
      <c r="FD172" s="68" t="s">
        <v>1401</v>
      </c>
      <c r="FE172" s="68" t="s">
        <v>1402</v>
      </c>
      <c r="FF172" s="68" t="s">
        <v>1403</v>
      </c>
    </row>
    <row r="173" spans="1:162" ht="11.1" customHeight="1" thickBot="1" x14ac:dyDescent="0.25">
      <c r="A173" s="2">
        <f t="shared" si="591"/>
        <v>19550</v>
      </c>
      <c r="B173" s="3">
        <f t="shared" si="637"/>
        <v>45</v>
      </c>
      <c r="C173" s="3">
        <f t="shared" si="638"/>
        <v>10</v>
      </c>
      <c r="D173" s="3">
        <f t="shared" si="639"/>
        <v>71</v>
      </c>
      <c r="E173" s="3">
        <f t="shared" si="640"/>
        <v>126</v>
      </c>
      <c r="F173" s="4">
        <f t="shared" si="641"/>
        <v>19774.377587487157</v>
      </c>
      <c r="G173" s="5">
        <f t="shared" si="642"/>
        <v>479.05830655195678</v>
      </c>
      <c r="AM173" s="1">
        <v>0</v>
      </c>
      <c r="AN173" s="1">
        <v>-53</v>
      </c>
      <c r="AO173" s="1">
        <v>19550</v>
      </c>
      <c r="AP173" s="1">
        <v>24</v>
      </c>
      <c r="AQ173" s="1">
        <v>-200</v>
      </c>
      <c r="AS173" s="54">
        <f>IF(RTD("tos.rtd",,AS$83,"."&amp;$B$134&amp;$AS$82&amp;"C"&amp;$A173)="N/A",0,RTD("tos.rtd",,AS$83,"."&amp;$B$134&amp;$AS$82&amp;"C"&amp;$A173))</f>
        <v>1</v>
      </c>
      <c r="AT173" s="3">
        <f>-IF(RTD("tos.rtd",,AT$83,"."&amp;$B$134&amp;$AS$82&amp;"P"&amp;$A173)="N/A",0,RTD("tos.rtd",,AT$83,"."&amp;$B$134&amp;$AS$82&amp;"P"&amp;$A173))</f>
        <v>-44</v>
      </c>
      <c r="AU173" s="54">
        <f>IF(RTD("tos.rtd",,AU$2,"."&amp;$C$134&amp;$AU$134&amp;"C"&amp;$A173)="N/A",0,RTD("tos.rtd",,AU$2,"."&amp;$C$134&amp;$AU$134&amp;"C"&amp;$A173))</f>
        <v>5</v>
      </c>
      <c r="AV173" s="3">
        <f>-IF(RTD("tos.rtd",,AV$2,"."&amp;$C$134&amp;$AU$134&amp;"P"&amp;$A173)="N/A",0,RTD("tos.rtd",,AV$2,"."&amp;$C$134&amp;$AU$134&amp;"P"&amp;$A173))</f>
        <v>-5</v>
      </c>
      <c r="AW173" s="54">
        <f>IF(RTD("tos.rtd",,AW$2,"."&amp;$D$134&amp;$AW$134&amp;"C"&amp;$A173)="N/A",0,RTD("tos.rtd",,AW$2,"."&amp;$D$134&amp;$AW$134&amp;"C"&amp;$A173))</f>
        <v>30</v>
      </c>
      <c r="AX173" s="3">
        <f>-IF(RTD("tos.rtd",,AX$2,"."&amp;$D$134&amp;$AW$134&amp;"P"&amp;$A173)="N/A",0,RTD("tos.rtd",,AX$2,"."&amp;$D$134&amp;$AW$134&amp;"P"&amp;$A173))</f>
        <v>-41</v>
      </c>
      <c r="AY173" s="76">
        <f t="shared" si="643"/>
        <v>-54</v>
      </c>
      <c r="AZ173" s="8">
        <f t="shared" si="545"/>
        <v>19550</v>
      </c>
      <c r="BA173" s="54">
        <f>IF(RTD("tos.rtd",,BA$43,"."&amp;$B$134&amp;$AS$82&amp;"C"&amp;$A173)="N/A",0,RTD("tos.rtd",,BA$43,"."&amp;$B$134&amp;$AS$82&amp;"C"&amp;$A173))</f>
        <v>24</v>
      </c>
      <c r="BB173" s="3">
        <f>-IF(RTD("tos.rtd",,BB$43,"."&amp;$B$134&amp;$AS$82&amp;"P"&amp;$A173)="N/A",0,RTD("tos.rtd",,BB$43,"."&amp;$B$134&amp;$AS$82&amp;"P"&amp;$A173))</f>
        <v>-200</v>
      </c>
      <c r="BC173" s="54">
        <f>IF(RTD("tos.rtd",,BC$2,"."&amp;$C$134&amp;$AU$82&amp;"C"&amp;$A173)="N/A",0,RTD("tos.rtd",,BC$2,"."&amp;$C$134&amp;$AU$82&amp;"C"&amp;$A173))</f>
        <v>0</v>
      </c>
      <c r="BD173" s="3">
        <f>-IF(RTD("tos.rtd",,BD$2,"."&amp;$C$134&amp;$AU$82&amp;"P"&amp;$A173)="N/A",0,RTD("tos.rtd",,BD$2,"."&amp;$C$134&amp;$AU$82&amp;"P"&amp;$A173))</f>
        <v>-8</v>
      </c>
      <c r="BE173" s="54">
        <f>IF(RTD("tos.rtd",,BE$2,"."&amp;$D$134&amp;$AW$82&amp;"C"&amp;$A173)="N/A",0,RTD("tos.rtd",,BE$2,"."&amp;$D$134&amp;$AW$82&amp;"C"&amp;$A173))</f>
        <v>1</v>
      </c>
      <c r="BF173" s="3">
        <f>-IF(RTD("tos.rtd",,BF$2,"."&amp;$D$134&amp;$AW$82&amp;"P"&amp;$A173)="N/A",0,RTD("tos.rtd",,BF$2,"."&amp;$D$134&amp;$AW$82&amp;"P"&amp;$A173))</f>
        <v>-7</v>
      </c>
      <c r="BG173" s="3">
        <f ca="1">+Hoja2!Y174</f>
        <v>1</v>
      </c>
      <c r="BH173" s="7">
        <f t="shared" ca="1" si="546"/>
        <v>-189</v>
      </c>
      <c r="BI173" s="32" t="str">
        <f t="shared" ca="1" si="605"/>
        <v/>
      </c>
      <c r="BJ173" s="3" t="e">
        <f ca="1">IF($BP$1=1,DX173,IF(RTD("tos.rtd",,BJ$43,"."&amp;$B$134&amp;$AS$82&amp;"C"&amp;$A173)="N/A",0,RTD("tos.rtd",,BJ$43,"."&amp;$B$134&amp;$AS$82&amp;"C"&amp;$A173)))</f>
        <v>#NUM!</v>
      </c>
      <c r="BK173" s="3" t="e">
        <f ca="1">IF($BP$1=1,DY173,-IF(RTD("tos.rtd",,BK$43,"."&amp;$B$134&amp;$AS$82&amp;"P"&amp;$A173)="N/A",0,RTD("tos.rtd",,BK$43,"."&amp;$B$134&amp;$AS$82&amp;"P"&amp;$A173)))</f>
        <v>#NUM!</v>
      </c>
      <c r="BL173" s="3">
        <f ca="1">IF($BP$1=1,DZ173,IF(RTD("tos.rtd",,BL$2,"."&amp;$C$134&amp;$AU$82&amp;"C"&amp;$A173)="N/A",0,RTD("tos.rtd",,BL$2,"."&amp;$C$134&amp;$AU$82&amp;"C"&amp;$A173)))</f>
        <v>5.7267543617480485E-4</v>
      </c>
      <c r="BM173" s="3">
        <f ca="1">IF($BP$1=1,EA173,-IF(RTD("tos.rtd",,BM$2,"."&amp;$C$134&amp;$AU$82&amp;"P"&amp;$A173)="N/A",0,RTD("tos.rtd",,BM$2,"."&amp;$C$134&amp;$AU$82&amp;"P"&amp;$A173)))</f>
        <v>-6.5360485199615354E-4</v>
      </c>
      <c r="BN173" s="3">
        <f ca="1">IF($BP$1=1,EB173,IF(RTD("tos.rtd",,BN$2,"."&amp;$D$134&amp;$AW$82&amp;"C"&amp;$A173)="N/A",0,RTD("tos.rtd",,BN$2,"."&amp;$D$134&amp;$AW$82&amp;"C"&amp;$A173)))</f>
        <v>6.8458641603698584E-4</v>
      </c>
      <c r="BO173" s="3">
        <f ca="1">IF($BP$1=1,EC173,-IF(RTD("tos.rtd",,BO$2,"."&amp;$D$134&amp;$AW$82&amp;"P"&amp;$A173)="N/A",0,RTD("tos.rtd",,BO$2,"."&amp;$D$134&amp;$AW$82&amp;"P"&amp;$A173)))</f>
        <v>-7.0114677700488127E-4</v>
      </c>
      <c r="BQ173" s="3" t="e">
        <f t="shared" ca="1" si="644"/>
        <v>#NUM!</v>
      </c>
      <c r="BR173" s="3" t="e">
        <f t="shared" ca="1" si="547"/>
        <v>#NUM!</v>
      </c>
      <c r="BS173" s="3">
        <f t="shared" ca="1" si="645"/>
        <v>-12831.890762134062</v>
      </c>
      <c r="BT173" s="3" t="str">
        <f t="shared" ca="1" si="548"/>
        <v>Cruce -</v>
      </c>
      <c r="BU173" s="3">
        <f t="shared" ca="1" si="646"/>
        <v>-260331.66945978766</v>
      </c>
      <c r="BV173" s="3" t="str">
        <f t="shared" ca="1" si="548"/>
        <v>Cruce -</v>
      </c>
      <c r="BX173" s="3" t="e">
        <f t="shared" ca="1" si="582"/>
        <v>#NUM!</v>
      </c>
      <c r="BY173" s="3" t="e">
        <f t="shared" ca="1" si="583"/>
        <v>#NUM!</v>
      </c>
      <c r="BZ173" s="3">
        <f t="shared" ca="1" si="584"/>
        <v>-1239.3546574424663</v>
      </c>
      <c r="CA173" s="3" t="str">
        <f t="shared" ca="1" si="583"/>
        <v/>
      </c>
      <c r="CB173" s="3">
        <f t="shared" ca="1" si="585"/>
        <v>-1001.0523342771821</v>
      </c>
      <c r="CC173" s="3" t="str">
        <f t="shared" ca="1" si="583"/>
        <v/>
      </c>
      <c r="CD173" s="3">
        <f>IF(RTD("tos.rtd",,CD$43,"."&amp;$B$134&amp;$AS$82&amp;"C"&amp;$A173)="N/A",0,RTD("tos.rtd",,CD$43,"."&amp;$B$134&amp;$AS$82&amp;"C"&amp;$A173))</f>
        <v>1</v>
      </c>
      <c r="CE173" s="3">
        <f>-IF(RTD("tos.rtd",,CE$43,"."&amp;$B$134&amp;$AS$82&amp;"P"&amp;$A173)="N/A",0,RTD("tos.rtd",,CE$43,"."&amp;$B$134&amp;$AS$82&amp;"P"&amp;$A173))</f>
        <v>0.09</v>
      </c>
      <c r="CF173" s="3">
        <f>IF(RTD("tos.rtd",,CF$2,"."&amp;$C$134&amp;$AU$82&amp;"C"&amp;$A173)="N/A",0,RTD("tos.rtd",,CF$2,"."&amp;$C$134&amp;$AU$82&amp;"C"&amp;$A173))</f>
        <v>0.75</v>
      </c>
      <c r="CG173" s="3">
        <f>-IF(RTD("tos.rtd",,CG$2,"."&amp;$C$134&amp;$AU$82&amp;"P"&amp;$A173)="N/A",0,RTD("tos.rtd",,CG$2,"."&amp;$C$134&amp;$AU$82&amp;"P"&amp;$A173))</f>
        <v>0.21</v>
      </c>
      <c r="CH173" s="3">
        <f>IF(RTD("tos.rtd",,CH$2,"."&amp;$D$134&amp;$AW$82&amp;"C"&amp;$A173)="N/A",0,RTD("tos.rtd",,CH$2,"."&amp;$D$134&amp;$AW$82&amp;"C"&amp;$A173))</f>
        <v>0.67</v>
      </c>
      <c r="CI173" s="3">
        <f>-IF(RTD("tos.rtd",,CI$2,"."&amp;$D$134&amp;$AW$82&amp;"P"&amp;$A173)="N/A",0,RTD("tos.rtd",,CI$2,"."&amp;$D$134&amp;$AW$82&amp;"P"&amp;$A173))</f>
        <v>0.32</v>
      </c>
      <c r="CK173" s="3">
        <f t="shared" si="647"/>
        <v>-296</v>
      </c>
      <c r="CL173" s="3"/>
      <c r="CM173" s="3">
        <f t="shared" si="648"/>
        <v>270</v>
      </c>
      <c r="CN173" s="3"/>
      <c r="CO173" s="3">
        <f t="shared" si="649"/>
        <v>698.00000000000023</v>
      </c>
      <c r="CP173" s="3">
        <f t="shared" si="539"/>
        <v>672.00000000000023</v>
      </c>
      <c r="CQ173" s="3">
        <f t="shared" si="549"/>
        <v>-176</v>
      </c>
      <c r="CR173" s="3"/>
      <c r="CS173" s="3">
        <f t="shared" si="550"/>
        <v>-8</v>
      </c>
      <c r="CT173" s="3"/>
      <c r="CU173" s="3">
        <f t="shared" si="551"/>
        <v>-6</v>
      </c>
      <c r="CV173" s="3"/>
      <c r="CW173" s="3" t="e">
        <f t="shared" ca="1" si="552"/>
        <v>#NUM!</v>
      </c>
      <c r="CY173" s="3" t="e">
        <f t="shared" ca="1" si="553"/>
        <v>#NUM!</v>
      </c>
      <c r="CZ173" s="70" t="e">
        <f t="shared" ca="1" si="586"/>
        <v>#NUM!</v>
      </c>
      <c r="DA173" s="3">
        <f>IF(RTD("tos.rtd",,DA$43,"."&amp;$B$134&amp;$AS$82&amp;"C"&amp;$A173)="N/A",0,RTD("tos.rtd",,DA$43,"."&amp;$B$134&amp;$AS$82&amp;"C"&amp;$A173))</f>
        <v>168.65</v>
      </c>
      <c r="DB173" s="3">
        <f>IF(RTD("tos.rtd",,DB$43,"."&amp;$B$134&amp;$AS$82&amp;"P"&amp;$A173)="N/A",0,RTD("tos.rtd",,DB$43,"."&amp;$B$134&amp;$AS$82&amp;"P"&amp;$A173))</f>
        <v>0.33</v>
      </c>
      <c r="DC173" s="3">
        <f>IF(RTD("tos.rtd",,DC$43,"."&amp;$B$134&amp;$AS$82&amp;"C"&amp;$A173)="N/A",0,RTD("tos.rtd",,DC$43,"."&amp;$B$134&amp;$AS$82&amp;"C"&amp;$A173))</f>
        <v>340.5</v>
      </c>
      <c r="DD173" s="3">
        <f>IF(RTD("tos.rtd",,DD$43,"."&amp;$B$134&amp;$AS$82&amp;"P"&amp;$A173)="N/A",0,RTD("tos.rtd",,DD$43,"."&amp;$B$134&amp;$AS$82&amp;"P"&amp;$A173))</f>
        <v>19.8</v>
      </c>
      <c r="DE173" s="3">
        <f>IF(RTD("tos.rtd",,DE$43,"."&amp;$B$134&amp;$AS$82&amp;"C"&amp;$A173)="N/A",0,RTD("tos.rtd",,DE$43,"."&amp;$B$134&amp;$AS$82&amp;"C"&amp;$A173))</f>
        <v>292</v>
      </c>
      <c r="DF173" s="3">
        <f>IF(RTD("tos.rtd",,DF$43,"."&amp;$B$134&amp;$AS$82&amp;"P"&amp;$A173)="N/A",0,RTD("tos.rtd",,DF$43,"."&amp;$B$134&amp;$AS$82&amp;"P"&amp;$A173))</f>
        <v>0</v>
      </c>
      <c r="DG173" s="86">
        <f t="shared" si="587"/>
        <v>-317.97300000000178</v>
      </c>
      <c r="DH173" s="3">
        <f t="shared" si="554"/>
        <v>0</v>
      </c>
      <c r="DI173" s="3">
        <f t="shared" si="555"/>
        <v>0</v>
      </c>
      <c r="DJ173" s="3">
        <f t="shared" si="556"/>
        <v>0</v>
      </c>
      <c r="DK173" s="3">
        <f t="shared" si="557"/>
        <v>0</v>
      </c>
      <c r="DL173" s="3">
        <f t="shared" si="558"/>
        <v>0</v>
      </c>
      <c r="DM173" s="3">
        <f t="shared" si="559"/>
        <v>0</v>
      </c>
      <c r="DN173" s="64" t="str">
        <f t="shared" si="560"/>
        <v>UNKNOWN</v>
      </c>
      <c r="DO173" s="64" t="str">
        <f t="shared" si="561"/>
        <v>UNKNOWN</v>
      </c>
      <c r="DP173" s="3">
        <f t="shared" si="562"/>
        <v>0</v>
      </c>
      <c r="DQ173" s="3">
        <f t="shared" si="563"/>
        <v>0</v>
      </c>
      <c r="DR173" s="3" t="e">
        <f t="shared" ca="1" si="564"/>
        <v>#NUM!</v>
      </c>
      <c r="DS173" s="3">
        <f t="shared" si="565"/>
        <v>0</v>
      </c>
      <c r="DT173" s="3">
        <f t="shared" si="588"/>
        <v>0</v>
      </c>
      <c r="DU173" s="3">
        <f t="shared" si="589"/>
        <v>0</v>
      </c>
      <c r="DV173" s="3">
        <f t="shared" si="566"/>
        <v>0</v>
      </c>
      <c r="DW173" s="3">
        <f t="shared" si="567"/>
        <v>-53</v>
      </c>
      <c r="DX173" s="3" t="e">
        <f t="shared" ca="1" si="650"/>
        <v>#NUM!</v>
      </c>
      <c r="DY173" s="3" t="e">
        <f t="shared" ca="1" si="651"/>
        <v>#NUM!</v>
      </c>
      <c r="DZ173" s="3">
        <f t="shared" ca="1" si="652"/>
        <v>5.7267543617480485E-4</v>
      </c>
      <c r="EA173" s="3">
        <f t="shared" ca="1" si="653"/>
        <v>-6.5360485199615354E-4</v>
      </c>
      <c r="EB173" s="3">
        <f t="shared" ca="1" si="654"/>
        <v>6.8458641603698584E-4</v>
      </c>
      <c r="EC173" s="3">
        <f t="shared" ca="1" si="655"/>
        <v>-7.0114677700488127E-4</v>
      </c>
      <c r="ED173" s="63">
        <f t="shared" si="590"/>
        <v>-53</v>
      </c>
      <c r="EE173" s="59">
        <f t="shared" si="574"/>
        <v>0.25</v>
      </c>
      <c r="EF173" s="59">
        <f t="shared" si="575"/>
        <v>1.5936999999999999</v>
      </c>
      <c r="EG173" s="59">
        <f t="shared" si="576"/>
        <v>0.3664</v>
      </c>
      <c r="EH173" s="59">
        <f t="shared" si="577"/>
        <v>0.29659999999999997</v>
      </c>
      <c r="EI173" s="59">
        <f t="shared" si="578"/>
        <v>0.27010000000000001</v>
      </c>
      <c r="EJ173" s="59">
        <f t="shared" si="579"/>
        <v>0.25490000000000002</v>
      </c>
      <c r="EL173" s="3" t="str">
        <f>RTD("tos.rtd",,EL$43,"."&amp;$B$134&amp;$AS$82&amp;"C"&amp;$A173)</f>
        <v>--</v>
      </c>
      <c r="EM173" s="3" t="str">
        <f>RTD("tos.rtd",,EM$43,"."&amp;$B$134&amp;$AS$82&amp;"P"&amp;$A173)</f>
        <v>159.37%</v>
      </c>
      <c r="EN173" s="3" t="str">
        <f>RTD("tos.rtd",,EN$2,"."&amp;$C$134&amp;$AU$82&amp;"C"&amp;$A173)</f>
        <v>36.64%</v>
      </c>
      <c r="EO173" s="3" t="str">
        <f>RTD("tos.rtd",,EO$2,"."&amp;$C$134&amp;$AU$82&amp;"P"&amp;$A173)</f>
        <v>29.66%</v>
      </c>
      <c r="EP173" s="3" t="str">
        <f>RTD("tos.rtd",,EP$2,"."&amp;$D$134&amp;$AW$82&amp;"C"&amp;$A173)</f>
        <v>27.01%</v>
      </c>
      <c r="EQ173" s="3" t="str">
        <f>RTD("tos.rtd",,EQ$2,"."&amp;$D$134&amp;$AW$82&amp;"P"&amp;$A173)</f>
        <v>25.49%</v>
      </c>
      <c r="ES173" s="63" t="str">
        <f t="shared" si="580"/>
        <v>19550,-53.00</v>
      </c>
      <c r="ET173" s="64" t="str">
        <f t="shared" ca="1" si="581"/>
        <v>19550,00.00</v>
      </c>
      <c r="EU173" s="68">
        <v>562.74</v>
      </c>
      <c r="EV173" s="68" t="s">
        <v>1404</v>
      </c>
      <c r="EW173" s="68">
        <v>485.26</v>
      </c>
      <c r="EX173" s="68" t="s">
        <v>1405</v>
      </c>
      <c r="EY173" s="68">
        <v>5641.5</v>
      </c>
      <c r="EZ173" s="68" t="s">
        <v>1406</v>
      </c>
      <c r="FA173" s="68">
        <v>19934.25</v>
      </c>
      <c r="FB173" s="68" t="s">
        <v>1407</v>
      </c>
      <c r="FC173" s="68" t="s">
        <v>1408</v>
      </c>
      <c r="FD173" s="68" t="s">
        <v>1409</v>
      </c>
      <c r="FE173" s="68" t="s">
        <v>1410</v>
      </c>
      <c r="FF173" s="68" t="s">
        <v>1411</v>
      </c>
    </row>
    <row r="174" spans="1:162" ht="11.1" customHeight="1" thickBot="1" x14ac:dyDescent="0.25">
      <c r="A174" s="2">
        <f t="shared" si="591"/>
        <v>19525</v>
      </c>
      <c r="B174" s="3">
        <f t="shared" si="637"/>
        <v>9</v>
      </c>
      <c r="C174" s="3">
        <f t="shared" si="638"/>
        <v>8</v>
      </c>
      <c r="D174" s="3">
        <f t="shared" si="639"/>
        <v>24</v>
      </c>
      <c r="E174" s="3">
        <f t="shared" si="640"/>
        <v>41</v>
      </c>
      <c r="F174" s="4">
        <f t="shared" si="641"/>
        <v>19749.090659625919</v>
      </c>
      <c r="G174" s="5">
        <f t="shared" si="642"/>
        <v>478.44570002183917</v>
      </c>
      <c r="AM174" s="1">
        <v>-2</v>
      </c>
      <c r="AN174" s="1">
        <v>13</v>
      </c>
      <c r="AO174" s="1">
        <v>19525</v>
      </c>
      <c r="AP174" s="1">
        <v>2</v>
      </c>
      <c r="AQ174" s="1">
        <v>-72</v>
      </c>
      <c r="AS174" s="54">
        <f>IF(RTD("tos.rtd",,AS$83,"."&amp;$B$134&amp;$AS$82&amp;"C"&amp;$A174)="N/A",0,RTD("tos.rtd",,AS$83,"."&amp;$B$134&amp;$AS$82&amp;"C"&amp;$A174))</f>
        <v>0</v>
      </c>
      <c r="AT174" s="3">
        <f>-IF(RTD("tos.rtd",,AT$83,"."&amp;$B$134&amp;$AS$82&amp;"P"&amp;$A174)="N/A",0,RTD("tos.rtd",,AT$83,"."&amp;$B$134&amp;$AS$82&amp;"P"&amp;$A174))</f>
        <v>-9</v>
      </c>
      <c r="AU174" s="54">
        <f>IF(RTD("tos.rtd",,AU$2,"."&amp;$C$134&amp;$AU$134&amp;"C"&amp;$A174)="N/A",0,RTD("tos.rtd",,AU$2,"."&amp;$C$134&amp;$AU$134&amp;"C"&amp;$A174))</f>
        <v>4</v>
      </c>
      <c r="AV174" s="3">
        <f>-IF(RTD("tos.rtd",,AV$2,"."&amp;$C$134&amp;$AU$134&amp;"P"&amp;$A174)="N/A",0,RTD("tos.rtd",,AV$2,"."&amp;$C$134&amp;$AU$134&amp;"P"&amp;$A174))</f>
        <v>-4</v>
      </c>
      <c r="AW174" s="54">
        <f>IF(RTD("tos.rtd",,AW$2,"."&amp;$D$134&amp;$AW$134&amp;"C"&amp;$A174)="N/A",0,RTD("tos.rtd",,AW$2,"."&amp;$D$134&amp;$AW$134&amp;"C"&amp;$A174))</f>
        <v>22</v>
      </c>
      <c r="AX174" s="3">
        <f>-IF(RTD("tos.rtd",,AX$2,"."&amp;$D$134&amp;$AW$134&amp;"P"&amp;$A174)="N/A",0,RTD("tos.rtd",,AX$2,"."&amp;$D$134&amp;$AW$134&amp;"P"&amp;$A174))</f>
        <v>-2</v>
      </c>
      <c r="AY174" s="76">
        <f t="shared" si="643"/>
        <v>11</v>
      </c>
      <c r="AZ174" s="8">
        <f t="shared" si="545"/>
        <v>19525</v>
      </c>
      <c r="BA174" s="54">
        <f>IF(RTD("tos.rtd",,BA$43,"."&amp;$B$134&amp;$AS$82&amp;"C"&amp;$A174)="N/A",0,RTD("tos.rtd",,BA$43,"."&amp;$B$134&amp;$AS$82&amp;"C"&amp;$A174))</f>
        <v>2</v>
      </c>
      <c r="BB174" s="3">
        <f>-IF(RTD("tos.rtd",,BB$43,"."&amp;$B$134&amp;$AS$82&amp;"P"&amp;$A174)="N/A",0,RTD("tos.rtd",,BB$43,"."&amp;$B$134&amp;$AS$82&amp;"P"&amp;$A174))</f>
        <v>-72</v>
      </c>
      <c r="BC174" s="54">
        <f>IF(RTD("tos.rtd",,BC$2,"."&amp;$C$134&amp;$AU$82&amp;"C"&amp;$A174)="N/A",0,RTD("tos.rtd",,BC$2,"."&amp;$C$134&amp;$AU$82&amp;"C"&amp;$A174))</f>
        <v>0</v>
      </c>
      <c r="BD174" s="3">
        <f>-IF(RTD("tos.rtd",,BD$2,"."&amp;$C$134&amp;$AU$82&amp;"P"&amp;$A174)="N/A",0,RTD("tos.rtd",,BD$2,"."&amp;$C$134&amp;$AU$82&amp;"P"&amp;$A174))</f>
        <v>-1</v>
      </c>
      <c r="BE174" s="54">
        <f>IF(RTD("tos.rtd",,BE$2,"."&amp;$D$134&amp;$AW$82&amp;"C"&amp;$A174)="N/A",0,RTD("tos.rtd",,BE$2,"."&amp;$D$134&amp;$AW$82&amp;"C"&amp;$A174))</f>
        <v>0</v>
      </c>
      <c r="BF174" s="3">
        <f>-IF(RTD("tos.rtd",,BF$2,"."&amp;$D$134&amp;$AW$82&amp;"P"&amp;$A174)="N/A",0,RTD("tos.rtd",,BF$2,"."&amp;$D$134&amp;$AW$82&amp;"P"&amp;$A174))</f>
        <v>-5</v>
      </c>
      <c r="BG174" s="3">
        <f ca="1">+Hoja2!Y175</f>
        <v>-5</v>
      </c>
      <c r="BH174" s="7">
        <f t="shared" ca="1" si="546"/>
        <v>-81</v>
      </c>
      <c r="BI174" s="32" t="str">
        <f t="shared" ca="1" si="605"/>
        <v/>
      </c>
      <c r="BJ174" s="3" t="e">
        <f ca="1">IF($BP$1=1,DX174,IF(RTD("tos.rtd",,BJ$43,"."&amp;$B$134&amp;$AS$82&amp;"C"&amp;$A174)="N/A",0,RTD("tos.rtd",,BJ$43,"."&amp;$B$134&amp;$AS$82&amp;"C"&amp;$A174)))</f>
        <v>#NUM!</v>
      </c>
      <c r="BK174" s="3" t="e">
        <f ca="1">IF($BP$1=1,DY174,-IF(RTD("tos.rtd",,BK$43,"."&amp;$B$134&amp;$AS$82&amp;"P"&amp;$A174)="N/A",0,RTD("tos.rtd",,BK$43,"."&amp;$B$134&amp;$AS$82&amp;"P"&amp;$A174)))</f>
        <v>#NUM!</v>
      </c>
      <c r="BL174" s="3">
        <f ca="1">IF($BP$1=1,DZ174,IF(RTD("tos.rtd",,BL$2,"."&amp;$C$134&amp;$AU$82&amp;"C"&amp;$A174)="N/A",0,RTD("tos.rtd",,BL$2,"."&amp;$C$134&amp;$AU$82&amp;"C"&amp;$A174)))</f>
        <v>5.543706968424687E-4</v>
      </c>
      <c r="BM174" s="3">
        <f ca="1">IF($BP$1=1,EA174,-IF(RTD("tos.rtd",,BM$2,"."&amp;$C$134&amp;$AU$82&amp;"P"&amp;$A174)="N/A",0,RTD("tos.rtd",,BM$2,"."&amp;$C$134&amp;$AU$82&amp;"P"&amp;$A174)))</f>
        <v>-6.2674273421799978E-4</v>
      </c>
      <c r="BN174" s="3">
        <f ca="1">IF($BP$1=1,EB174,IF(RTD("tos.rtd",,BN$2,"."&amp;$D$134&amp;$AW$82&amp;"C"&amp;$A174)="N/A",0,RTD("tos.rtd",,BN$2,"."&amp;$D$134&amp;$AW$82&amp;"C"&amp;$A174)))</f>
        <v>6.5343108483966969E-4</v>
      </c>
      <c r="BO174" s="3">
        <f ca="1">IF($BP$1=1,EC174,-IF(RTD("tos.rtd",,BO$2,"."&amp;$D$134&amp;$AW$82&amp;"P"&amp;$A174)="N/A",0,RTD("tos.rtd",,BO$2,"."&amp;$D$134&amp;$AW$82&amp;"P"&amp;$A174)))</f>
        <v>-6.6538713304944541E-4</v>
      </c>
      <c r="BQ174" s="3" t="e">
        <f t="shared" ca="1" si="644"/>
        <v>#NUM!</v>
      </c>
      <c r="BR174" s="3" t="e">
        <f t="shared" ca="1" si="547"/>
        <v>#NUM!</v>
      </c>
      <c r="BS174" s="3">
        <f t="shared" ca="1" si="645"/>
        <v>-9180.0497350524092</v>
      </c>
      <c r="BT174" s="3" t="str">
        <f t="shared" ca="1" si="548"/>
        <v/>
      </c>
      <c r="BU174" s="3">
        <f t="shared" ca="1" si="646"/>
        <v>413664.88789507007</v>
      </c>
      <c r="BV174" s="3" t="str">
        <f t="shared" ca="1" si="548"/>
        <v>Cruce +</v>
      </c>
      <c r="BX174" s="3" t="e">
        <f t="shared" ca="1" si="582"/>
        <v>#NUM!</v>
      </c>
      <c r="BY174" s="3" t="e">
        <f t="shared" ca="1" si="583"/>
        <v>#NUM!</v>
      </c>
      <c r="BZ174" s="3">
        <f t="shared" ca="1" si="584"/>
        <v>-148.55239451999108</v>
      </c>
      <c r="CA174" s="3" t="str">
        <f t="shared" ca="1" si="583"/>
        <v/>
      </c>
      <c r="CB174" s="3">
        <f t="shared" ca="1" si="585"/>
        <v>-788.56001434637949</v>
      </c>
      <c r="CC174" s="3" t="str">
        <f t="shared" ca="1" si="583"/>
        <v/>
      </c>
      <c r="CD174" s="3">
        <f>IF(RTD("tos.rtd",,CD$43,"."&amp;$B$134&amp;$AS$82&amp;"C"&amp;$A174)="N/A",0,RTD("tos.rtd",,CD$43,"."&amp;$B$134&amp;$AS$82&amp;"C"&amp;$A174))</f>
        <v>1</v>
      </c>
      <c r="CE174" s="3">
        <f>-IF(RTD("tos.rtd",,CE$43,"."&amp;$B$134&amp;$AS$82&amp;"P"&amp;$A174)="N/A",0,RTD("tos.rtd",,CE$43,"."&amp;$B$134&amp;$AS$82&amp;"P"&amp;$A174))</f>
        <v>0.08</v>
      </c>
      <c r="CF174" s="3">
        <f>IF(RTD("tos.rtd",,CF$2,"."&amp;$C$134&amp;$AU$82&amp;"C"&amp;$A174)="N/A",0,RTD("tos.rtd",,CF$2,"."&amp;$C$134&amp;$AU$82&amp;"C"&amp;$A174))</f>
        <v>0.76</v>
      </c>
      <c r="CG174" s="3">
        <f>-IF(RTD("tos.rtd",,CG$2,"."&amp;$C$134&amp;$AU$82&amp;"P"&amp;$A174)="N/A",0,RTD("tos.rtd",,CG$2,"."&amp;$C$134&amp;$AU$82&amp;"P"&amp;$A174))</f>
        <v>0.19</v>
      </c>
      <c r="CH174" s="3">
        <f>IF(RTD("tos.rtd",,CH$2,"."&amp;$D$134&amp;$AW$82&amp;"C"&amp;$A174)="N/A",0,RTD("tos.rtd",,CH$2,"."&amp;$D$134&amp;$AW$82&amp;"C"&amp;$A174))</f>
        <v>0.68</v>
      </c>
      <c r="CI174" s="3">
        <f>-IF(RTD("tos.rtd",,CI$2,"."&amp;$D$134&amp;$AW$82&amp;"P"&amp;$A174)="N/A",0,RTD("tos.rtd",,CI$2,"."&amp;$D$134&amp;$AW$82&amp;"P"&amp;$A174))</f>
        <v>0.31</v>
      </c>
      <c r="CK174" s="3">
        <f t="shared" si="647"/>
        <v>-72</v>
      </c>
      <c r="CL174" s="3"/>
      <c r="CM174" s="3">
        <f t="shared" si="648"/>
        <v>228</v>
      </c>
      <c r="CN174" s="3"/>
      <c r="CO174" s="3">
        <f t="shared" si="649"/>
        <v>1434</v>
      </c>
      <c r="CP174" s="3">
        <f t="shared" si="539"/>
        <v>1590</v>
      </c>
      <c r="CQ174" s="3">
        <f t="shared" si="549"/>
        <v>-70</v>
      </c>
      <c r="CR174" s="3"/>
      <c r="CS174" s="3">
        <f t="shared" si="550"/>
        <v>-1</v>
      </c>
      <c r="CT174" s="3"/>
      <c r="CU174" s="3">
        <f t="shared" si="551"/>
        <v>-5</v>
      </c>
      <c r="CV174" s="3"/>
      <c r="CW174" s="3" t="e">
        <f t="shared" ca="1" si="552"/>
        <v>#NUM!</v>
      </c>
      <c r="CY174" s="3" t="e">
        <f t="shared" ca="1" si="553"/>
        <v>#NUM!</v>
      </c>
      <c r="CZ174" s="70" t="e">
        <f t="shared" ca="1" si="586"/>
        <v>#NUM!</v>
      </c>
      <c r="DA174" s="3">
        <f>IF(RTD("tos.rtd",,DA$43,"."&amp;$B$134&amp;$AS$82&amp;"C"&amp;$A174)="N/A",0,RTD("tos.rtd",,DA$43,"."&amp;$B$134&amp;$AS$82&amp;"C"&amp;$A174))</f>
        <v>152.82</v>
      </c>
      <c r="DB174" s="3">
        <f>IF(RTD("tos.rtd",,DB$43,"."&amp;$B$134&amp;$AS$82&amp;"P"&amp;$A174)="N/A",0,RTD("tos.rtd",,DB$43,"."&amp;$B$134&amp;$AS$82&amp;"P"&amp;$A174))</f>
        <v>0.25</v>
      </c>
      <c r="DC174" s="3">
        <f>IF(RTD("tos.rtd",,DC$43,"."&amp;$B$134&amp;$AS$82&amp;"C"&amp;$A174)="N/A",0,RTD("tos.rtd",,DC$43,"."&amp;$B$134&amp;$AS$82&amp;"C"&amp;$A174))</f>
        <v>365.5</v>
      </c>
      <c r="DD174" s="3">
        <f>IF(RTD("tos.rtd",,DD$43,"."&amp;$B$134&amp;$AS$82&amp;"P"&amp;$A174)="N/A",0,RTD("tos.rtd",,DD$43,"."&amp;$B$134&amp;$AS$82&amp;"P"&amp;$A174))</f>
        <v>19.8</v>
      </c>
      <c r="DE174" s="3">
        <f>IF(RTD("tos.rtd",,DE$43,"."&amp;$B$134&amp;$AS$82&amp;"C"&amp;$A174)="N/A",0,RTD("tos.rtd",,DE$43,"."&amp;$B$134&amp;$AS$82&amp;"C"&amp;$A174))</f>
        <v>316</v>
      </c>
      <c r="DF174" s="3">
        <f>IF(RTD("tos.rtd",,DF$43,"."&amp;$B$134&amp;$AS$82&amp;"P"&amp;$A174)="N/A",0,RTD("tos.rtd",,DF$43,"."&amp;$B$134&amp;$AS$82&amp;"P"&amp;$A174))</f>
        <v>0</v>
      </c>
      <c r="DG174" s="86">
        <f t="shared" si="587"/>
        <v>-342.97300000000178</v>
      </c>
      <c r="DH174" s="3">
        <f t="shared" si="554"/>
        <v>0</v>
      </c>
      <c r="DI174" s="3">
        <f t="shared" si="555"/>
        <v>0</v>
      </c>
      <c r="DJ174" s="3">
        <f t="shared" si="556"/>
        <v>0</v>
      </c>
      <c r="DK174" s="3">
        <f t="shared" si="557"/>
        <v>0</v>
      </c>
      <c r="DL174" s="3">
        <f t="shared" si="558"/>
        <v>0</v>
      </c>
      <c r="DM174" s="3">
        <f t="shared" si="559"/>
        <v>0</v>
      </c>
      <c r="DN174" s="64" t="str">
        <f t="shared" si="560"/>
        <v>UNKNOWN</v>
      </c>
      <c r="DO174" s="64" t="str">
        <f t="shared" si="561"/>
        <v>UNKNOWN</v>
      </c>
      <c r="DP174" s="3">
        <f t="shared" si="562"/>
        <v>0</v>
      </c>
      <c r="DQ174" s="3">
        <f t="shared" si="563"/>
        <v>0</v>
      </c>
      <c r="DR174" s="3" t="e">
        <f t="shared" ca="1" si="564"/>
        <v>#NUM!</v>
      </c>
      <c r="DS174" s="3">
        <f t="shared" si="565"/>
        <v>0</v>
      </c>
      <c r="DT174" s="3">
        <f t="shared" si="588"/>
        <v>0</v>
      </c>
      <c r="DU174" s="3">
        <f t="shared" si="589"/>
        <v>0</v>
      </c>
      <c r="DV174" s="3">
        <f t="shared" si="566"/>
        <v>-2</v>
      </c>
      <c r="DW174" s="3">
        <f t="shared" si="567"/>
        <v>13</v>
      </c>
      <c r="DX174" s="3" t="e">
        <f t="shared" ca="1" si="650"/>
        <v>#NUM!</v>
      </c>
      <c r="DY174" s="3" t="e">
        <f t="shared" ca="1" si="651"/>
        <v>#NUM!</v>
      </c>
      <c r="DZ174" s="3">
        <f t="shared" ca="1" si="652"/>
        <v>5.543706968424687E-4</v>
      </c>
      <c r="EA174" s="3">
        <f t="shared" ca="1" si="653"/>
        <v>-6.2674273421799978E-4</v>
      </c>
      <c r="EB174" s="3">
        <f t="shared" ca="1" si="654"/>
        <v>6.5343108483966969E-4</v>
      </c>
      <c r="EC174" s="3">
        <f t="shared" ca="1" si="655"/>
        <v>-6.6538713304944541E-4</v>
      </c>
      <c r="ED174" s="63">
        <f t="shared" si="590"/>
        <v>11</v>
      </c>
      <c r="EE174" s="59">
        <f t="shared" si="574"/>
        <v>0.25</v>
      </c>
      <c r="EF174" s="59">
        <f t="shared" si="575"/>
        <v>1.6873</v>
      </c>
      <c r="EG174" s="59">
        <f t="shared" si="576"/>
        <v>0.37059999999999998</v>
      </c>
      <c r="EH174" s="59">
        <f t="shared" si="577"/>
        <v>0.29920000000000002</v>
      </c>
      <c r="EI174" s="59">
        <f t="shared" si="578"/>
        <v>0.27089999999999997</v>
      </c>
      <c r="EJ174" s="59">
        <f t="shared" si="579"/>
        <v>0.25609999999999999</v>
      </c>
      <c r="EL174" s="3" t="str">
        <f>RTD("tos.rtd",,EL$43,"."&amp;$B$134&amp;$AS$82&amp;"C"&amp;$A174)</f>
        <v>--</v>
      </c>
      <c r="EM174" s="3" t="str">
        <f>RTD("tos.rtd",,EM$43,"."&amp;$B$134&amp;$AS$82&amp;"P"&amp;$A174)</f>
        <v>168.73%</v>
      </c>
      <c r="EN174" s="3" t="str">
        <f>RTD("tos.rtd",,EN$2,"."&amp;$C$134&amp;$AU$82&amp;"C"&amp;$A174)</f>
        <v>37.06%</v>
      </c>
      <c r="EO174" s="3" t="str">
        <f>RTD("tos.rtd",,EO$2,"."&amp;$C$134&amp;$AU$82&amp;"P"&amp;$A174)</f>
        <v>29.92%</v>
      </c>
      <c r="EP174" s="3" t="str">
        <f>RTD("tos.rtd",,EP$2,"."&amp;$D$134&amp;$AW$82&amp;"C"&amp;$A174)</f>
        <v>27.09%</v>
      </c>
      <c r="EQ174" s="3" t="str">
        <f>RTD("tos.rtd",,EQ$2,"."&amp;$D$134&amp;$AW$82&amp;"P"&amp;$A174)</f>
        <v>25.61%</v>
      </c>
      <c r="ES174" s="63" t="str">
        <f t="shared" si="580"/>
        <v>19525,11.00</v>
      </c>
      <c r="ET174" s="64" t="str">
        <f t="shared" ca="1" si="581"/>
        <v>19525,00.00</v>
      </c>
      <c r="EU174" s="68">
        <v>562.74</v>
      </c>
      <c r="EV174" s="68" t="s">
        <v>1412</v>
      </c>
      <c r="EW174" s="68">
        <v>485.27</v>
      </c>
      <c r="EX174" s="68" t="s">
        <v>1413</v>
      </c>
      <c r="EY174" s="68">
        <v>5641.75</v>
      </c>
      <c r="EZ174" s="68" t="s">
        <v>1414</v>
      </c>
      <c r="FA174" s="68">
        <v>19934.25</v>
      </c>
      <c r="FB174" s="68" t="s">
        <v>1415</v>
      </c>
      <c r="FC174" s="68" t="s">
        <v>1416</v>
      </c>
      <c r="FD174" s="68" t="s">
        <v>1417</v>
      </c>
      <c r="FE174" s="68" t="s">
        <v>1418</v>
      </c>
      <c r="FF174" s="68" t="s">
        <v>1419</v>
      </c>
    </row>
    <row r="175" spans="1:162" ht="11.1" customHeight="1" thickBot="1" x14ac:dyDescent="0.25">
      <c r="A175" s="2">
        <f t="shared" si="591"/>
        <v>19500</v>
      </c>
      <c r="B175" s="3">
        <f t="shared" si="637"/>
        <v>61</v>
      </c>
      <c r="C175" s="3">
        <f t="shared" si="638"/>
        <v>48</v>
      </c>
      <c r="D175" s="3">
        <f t="shared" si="639"/>
        <v>168</v>
      </c>
      <c r="E175" s="3">
        <f t="shared" si="640"/>
        <v>277</v>
      </c>
      <c r="F175" s="4">
        <f t="shared" si="641"/>
        <v>19723.803731764685</v>
      </c>
      <c r="G175" s="5">
        <f t="shared" si="642"/>
        <v>477.83309349172157</v>
      </c>
      <c r="AM175" s="1">
        <v>-2</v>
      </c>
      <c r="AN175" s="1">
        <v>2</v>
      </c>
      <c r="AO175" s="1">
        <v>19500</v>
      </c>
      <c r="AP175" s="1">
        <v>32</v>
      </c>
      <c r="AQ175" s="1">
        <v>-526</v>
      </c>
      <c r="AS175" s="54">
        <f>IF(RTD("tos.rtd",,AS$83,"."&amp;$B$134&amp;$AS$82&amp;"C"&amp;$A175)="N/A",0,RTD("tos.rtd",,AS$83,"."&amp;$B$134&amp;$AS$82&amp;"C"&amp;$A175))</f>
        <v>33</v>
      </c>
      <c r="AT175" s="3">
        <f>-IF(RTD("tos.rtd",,AT$83,"."&amp;$B$134&amp;$AS$82&amp;"P"&amp;$A175)="N/A",0,RTD("tos.rtd",,AT$83,"."&amp;$B$134&amp;$AS$82&amp;"P"&amp;$A175))</f>
        <v>-28</v>
      </c>
      <c r="AU175" s="54">
        <f>IF(RTD("tos.rtd",,AU$2,"."&amp;$C$134&amp;$AU$134&amp;"C"&amp;$A175)="N/A",0,RTD("tos.rtd",,AU$2,"."&amp;$C$134&amp;$AU$134&amp;"C"&amp;$A175))</f>
        <v>14</v>
      </c>
      <c r="AV175" s="3">
        <f>-IF(RTD("tos.rtd",,AV$2,"."&amp;$C$134&amp;$AU$134&amp;"P"&amp;$A175)="N/A",0,RTD("tos.rtd",,AV$2,"."&amp;$C$134&amp;$AU$134&amp;"P"&amp;$A175))</f>
        <v>-34</v>
      </c>
      <c r="AW175" s="54">
        <f>IF(RTD("tos.rtd",,AW$2,"."&amp;$D$134&amp;$AW$134&amp;"C"&amp;$A175)="N/A",0,RTD("tos.rtd",,AW$2,"."&amp;$D$134&amp;$AW$134&amp;"C"&amp;$A175))</f>
        <v>77</v>
      </c>
      <c r="AX175" s="3">
        <f>-IF(RTD("tos.rtd",,AX$2,"."&amp;$D$134&amp;$AW$134&amp;"P"&amp;$A175)="N/A",0,RTD("tos.rtd",,AX$2,"."&amp;$D$134&amp;$AW$134&amp;"P"&amp;$A175))</f>
        <v>-91</v>
      </c>
      <c r="AY175" s="76">
        <f t="shared" si="643"/>
        <v>-29</v>
      </c>
      <c r="AZ175" s="8">
        <f t="shared" si="545"/>
        <v>19500</v>
      </c>
      <c r="BA175" s="54">
        <f>IF(RTD("tos.rtd",,BA$43,"."&amp;$B$134&amp;$AS$82&amp;"C"&amp;$A175)="N/A",0,RTD("tos.rtd",,BA$43,"."&amp;$B$134&amp;$AS$82&amp;"C"&amp;$A175))</f>
        <v>32</v>
      </c>
      <c r="BB175" s="3">
        <f>-IF(RTD("tos.rtd",,BB$43,"."&amp;$B$134&amp;$AS$82&amp;"P"&amp;$A175)="N/A",0,RTD("tos.rtd",,BB$43,"."&amp;$B$134&amp;$AS$82&amp;"P"&amp;$A175))</f>
        <v>-526</v>
      </c>
      <c r="BC175" s="54">
        <f>IF(RTD("tos.rtd",,BC$2,"."&amp;$C$134&amp;$AU$82&amp;"C"&amp;$A175)="N/A",0,RTD("tos.rtd",,BC$2,"."&amp;$C$134&amp;$AU$82&amp;"C"&amp;$A175))</f>
        <v>16</v>
      </c>
      <c r="BD175" s="3">
        <f>-IF(RTD("tos.rtd",,BD$2,"."&amp;$C$134&amp;$AU$82&amp;"P"&amp;$A175)="N/A",0,RTD("tos.rtd",,BD$2,"."&amp;$C$134&amp;$AU$82&amp;"P"&amp;$A175))</f>
        <v>-38</v>
      </c>
      <c r="BE175" s="54">
        <f>IF(RTD("tos.rtd",,BE$2,"."&amp;$D$134&amp;$AW$82&amp;"C"&amp;$A175)="N/A",0,RTD("tos.rtd",,BE$2,"."&amp;$D$134&amp;$AW$82&amp;"C"&amp;$A175))</f>
        <v>3</v>
      </c>
      <c r="BF175" s="3">
        <f>-IF(RTD("tos.rtd",,BF$2,"."&amp;$D$134&amp;$AW$82&amp;"P"&amp;$A175)="N/A",0,RTD("tos.rtd",,BF$2,"."&amp;$D$134&amp;$AW$82&amp;"P"&amp;$A175))</f>
        <v>-8</v>
      </c>
      <c r="BG175" s="3">
        <f ca="1">+Hoja2!Y176</f>
        <v>-8</v>
      </c>
      <c r="BH175" s="7">
        <f t="shared" ca="1" si="546"/>
        <v>-529</v>
      </c>
      <c r="BI175" s="32" t="str">
        <f t="shared" ca="1" si="605"/>
        <v/>
      </c>
      <c r="BJ175" s="3" t="e">
        <f ca="1">IF($BP$1=1,DX175,IF(RTD("tos.rtd",,BJ$43,"."&amp;$B$134&amp;$AS$82&amp;"C"&amp;$A175)="N/A",0,RTD("tos.rtd",,BJ$43,"."&amp;$B$134&amp;$AS$82&amp;"C"&amp;$A175)))</f>
        <v>#NUM!</v>
      </c>
      <c r="BK175" s="3" t="e">
        <f ca="1">IF($BP$1=1,DY175,-IF(RTD("tos.rtd",,BK$43,"."&amp;$B$134&amp;$AS$82&amp;"P"&amp;$A175)="N/A",0,RTD("tos.rtd",,BK$43,"."&amp;$B$134&amp;$AS$82&amp;"P"&amp;$A175)))</f>
        <v>#NUM!</v>
      </c>
      <c r="BL175" s="3">
        <f ca="1">IF($BP$1=1,DZ175,IF(RTD("tos.rtd",,BL$2,"."&amp;$C$134&amp;$AU$82&amp;"C"&amp;$A175)="N/A",0,RTD("tos.rtd",,BL$2,"."&amp;$C$134&amp;$AU$82&amp;"C"&amp;$A175)))</f>
        <v>5.441437325748187E-4</v>
      </c>
      <c r="BM175" s="3">
        <f ca="1">IF($BP$1=1,EA175,-IF(RTD("tos.rtd",,BM$2,"."&amp;$C$134&amp;$AU$82&amp;"P"&amp;$A175)="N/A",0,RTD("tos.rtd",,BM$2,"."&amp;$C$134&amp;$AU$82&amp;"P"&amp;$A175)))</f>
        <v>-6.0031375458852664E-4</v>
      </c>
      <c r="BN175" s="3">
        <f ca="1">IF($BP$1=1,EB175,IF(RTD("tos.rtd",,BN$2,"."&amp;$D$134&amp;$AW$82&amp;"C"&amp;$A175)="N/A",0,RTD("tos.rtd",,BN$2,"."&amp;$D$134&amp;$AW$82&amp;"C"&amp;$A175)))</f>
        <v>6.2040339195438827E-4</v>
      </c>
      <c r="BO175" s="3">
        <f ca="1">IF($BP$1=1,EC175,-IF(RTD("tos.rtd",,BO$2,"."&amp;$D$134&amp;$AW$82&amp;"P"&amp;$A175)="N/A",0,RTD("tos.rtd",,BO$2,"."&amp;$D$134&amp;$AW$82&amp;"P"&amp;$A175)))</f>
        <v>-6.2955017186270982E-4</v>
      </c>
      <c r="BQ175" s="3" t="e">
        <f t="shared" ca="1" si="644"/>
        <v>#NUM!</v>
      </c>
      <c r="BR175" s="3" t="e">
        <f t="shared" ca="1" si="547"/>
        <v>#NUM!</v>
      </c>
      <c r="BS175" s="3">
        <f t="shared" ca="1" si="645"/>
        <v>-405671.9178903047</v>
      </c>
      <c r="BT175" s="3" t="str">
        <f t="shared" ca="1" si="548"/>
        <v/>
      </c>
      <c r="BU175" s="3">
        <f t="shared" ca="1" si="646"/>
        <v>-301828.43222603505</v>
      </c>
      <c r="BV175" s="3" t="str">
        <f t="shared" ca="1" si="548"/>
        <v>Cruce -</v>
      </c>
      <c r="BX175" s="3" t="e">
        <f t="shared" ca="1" si="582"/>
        <v>#NUM!</v>
      </c>
      <c r="BY175" s="3" t="e">
        <f t="shared" ca="1" si="583"/>
        <v>#NUM!</v>
      </c>
      <c r="BZ175" s="3">
        <f t="shared" ca="1" si="584"/>
        <v>-3343.3559760427024</v>
      </c>
      <c r="CA175" s="3" t="str">
        <f t="shared" ca="1" si="583"/>
        <v/>
      </c>
      <c r="CB175" s="3">
        <f t="shared" ca="1" si="585"/>
        <v>-752.59309749238764</v>
      </c>
      <c r="CC175" s="3" t="str">
        <f t="shared" ca="1" si="583"/>
        <v/>
      </c>
      <c r="CD175" s="3">
        <f>IF(RTD("tos.rtd",,CD$43,"."&amp;$B$134&amp;$AS$82&amp;"C"&amp;$A175)="N/A",0,RTD("tos.rtd",,CD$43,"."&amp;$B$134&amp;$AS$82&amp;"C"&amp;$A175))</f>
        <v>1</v>
      </c>
      <c r="CE175" s="3">
        <f>-IF(RTD("tos.rtd",,CE$43,"."&amp;$B$134&amp;$AS$82&amp;"P"&amp;$A175)="N/A",0,RTD("tos.rtd",,CE$43,"."&amp;$B$134&amp;$AS$82&amp;"P"&amp;$A175))</f>
        <v>0</v>
      </c>
      <c r="CF175" s="3">
        <f>IF(RTD("tos.rtd",,CF$2,"."&amp;$C$134&amp;$AU$82&amp;"C"&amp;$A175)="N/A",0,RTD("tos.rtd",,CF$2,"."&amp;$C$134&amp;$AU$82&amp;"C"&amp;$A175))</f>
        <v>0.78</v>
      </c>
      <c r="CG175" s="3">
        <f>-IF(RTD("tos.rtd",,CG$2,"."&amp;$C$134&amp;$AU$82&amp;"P"&amp;$A175)="N/A",0,RTD("tos.rtd",,CG$2,"."&amp;$C$134&amp;$AU$82&amp;"P"&amp;$A175))</f>
        <v>0.18</v>
      </c>
      <c r="CH175" s="3">
        <f>IF(RTD("tos.rtd",,CH$2,"."&amp;$D$134&amp;$AW$82&amp;"C"&amp;$A175)="N/A",0,RTD("tos.rtd",,CH$2,"."&amp;$D$134&amp;$AW$82&amp;"C"&amp;$A175))</f>
        <v>0.69</v>
      </c>
      <c r="CI175" s="3">
        <f>-IF(RTD("tos.rtd",,CI$2,"."&amp;$D$134&amp;$AW$82&amp;"P"&amp;$A175)="N/A",0,RTD("tos.rtd",,CI$2,"."&amp;$D$134&amp;$AW$82&amp;"P"&amp;$A175))</f>
        <v>0.3</v>
      </c>
      <c r="CK175" s="3">
        <f t="shared" si="647"/>
        <v>3300</v>
      </c>
      <c r="CL175" s="3"/>
      <c r="CM175" s="3">
        <f t="shared" si="648"/>
        <v>480</v>
      </c>
      <c r="CN175" s="3"/>
      <c r="CO175" s="3">
        <f t="shared" si="649"/>
        <v>2583</v>
      </c>
      <c r="CP175" s="3">
        <f t="shared" si="539"/>
        <v>6363</v>
      </c>
      <c r="CQ175" s="3">
        <f t="shared" si="549"/>
        <v>-494</v>
      </c>
      <c r="CR175" s="3"/>
      <c r="CS175" s="3">
        <f t="shared" si="550"/>
        <v>-22</v>
      </c>
      <c r="CT175" s="3"/>
      <c r="CU175" s="3">
        <f t="shared" si="551"/>
        <v>-5</v>
      </c>
      <c r="CV175" s="3"/>
      <c r="CW175" s="3" t="e">
        <f t="shared" ca="1" si="552"/>
        <v>#NUM!</v>
      </c>
      <c r="CY175" s="3" t="e">
        <f t="shared" ca="1" si="553"/>
        <v>#NUM!</v>
      </c>
      <c r="CZ175" s="70" t="e">
        <f t="shared" ca="1" si="586"/>
        <v>#NUM!</v>
      </c>
      <c r="DA175" s="3">
        <f>IF(RTD("tos.rtd",,DA$43,"."&amp;$B$134&amp;$AS$82&amp;"C"&amp;$A175)="N/A",0,RTD("tos.rtd",,DA$43,"."&amp;$B$134&amp;$AS$82&amp;"C"&amp;$A175))</f>
        <v>261.95</v>
      </c>
      <c r="DB175" s="3">
        <f>IF(RTD("tos.rtd",,DB$43,"."&amp;$B$134&amp;$AS$82&amp;"P"&amp;$A175)="N/A",0,RTD("tos.rtd",,DB$43,"."&amp;$B$134&amp;$AS$82&amp;"P"&amp;$A175))</f>
        <v>0.23</v>
      </c>
      <c r="DC175" s="3">
        <f>IF(RTD("tos.rtd",,DC$43,"."&amp;$B$134&amp;$AS$82&amp;"C"&amp;$A175)="N/A",0,RTD("tos.rtd",,DC$43,"."&amp;$B$134&amp;$AS$82&amp;"C"&amp;$A175))</f>
        <v>390.5</v>
      </c>
      <c r="DD175" s="3">
        <f>IF(RTD("tos.rtd",,DD$43,"."&amp;$B$134&amp;$AS$82&amp;"P"&amp;$A175)="N/A",0,RTD("tos.rtd",,DD$43,"."&amp;$B$134&amp;$AS$82&amp;"P"&amp;$A175))</f>
        <v>0.25</v>
      </c>
      <c r="DE175" s="3">
        <f>IF(RTD("tos.rtd",,DE$43,"."&amp;$B$134&amp;$AS$82&amp;"C"&amp;$A175)="N/A",0,RTD("tos.rtd",,DE$43,"."&amp;$B$134&amp;$AS$82&amp;"C"&amp;$A175))</f>
        <v>342</v>
      </c>
      <c r="DF175" s="3">
        <f>IF(RTD("tos.rtd",,DF$43,"."&amp;$B$134&amp;$AS$82&amp;"P"&amp;$A175)="N/A",0,RTD("tos.rtd",,DF$43,"."&amp;$B$134&amp;$AS$82&amp;"P"&amp;$A175))</f>
        <v>0</v>
      </c>
      <c r="DG175" s="86">
        <f t="shared" si="587"/>
        <v>-367.97300000000178</v>
      </c>
      <c r="DH175" s="3">
        <f t="shared" si="554"/>
        <v>0</v>
      </c>
      <c r="DI175" s="3">
        <f t="shared" si="555"/>
        <v>0</v>
      </c>
      <c r="DJ175" s="3">
        <f t="shared" si="556"/>
        <v>0</v>
      </c>
      <c r="DK175" s="3">
        <f t="shared" si="557"/>
        <v>0</v>
      </c>
      <c r="DL175" s="3">
        <f t="shared" si="558"/>
        <v>0</v>
      </c>
      <c r="DM175" s="3">
        <f t="shared" si="559"/>
        <v>0</v>
      </c>
      <c r="DN175" s="64" t="str">
        <f t="shared" si="560"/>
        <v>UNKNOWN</v>
      </c>
      <c r="DO175" s="64" t="str">
        <f t="shared" si="561"/>
        <v>UNKNOWN</v>
      </c>
      <c r="DP175" s="3">
        <f t="shared" si="562"/>
        <v>0</v>
      </c>
      <c r="DQ175" s="3">
        <f t="shared" si="563"/>
        <v>0</v>
      </c>
      <c r="DR175" s="3" t="e">
        <f t="shared" ca="1" si="564"/>
        <v>#NUM!</v>
      </c>
      <c r="DS175" s="3">
        <f t="shared" si="565"/>
        <v>0</v>
      </c>
      <c r="DT175" s="3">
        <f t="shared" si="588"/>
        <v>0</v>
      </c>
      <c r="DU175" s="3">
        <f t="shared" si="589"/>
        <v>0</v>
      </c>
      <c r="DV175" s="3">
        <f t="shared" si="566"/>
        <v>-2</v>
      </c>
      <c r="DW175" s="3">
        <f t="shared" si="567"/>
        <v>2</v>
      </c>
      <c r="DX175" s="3" t="e">
        <f t="shared" ca="1" si="650"/>
        <v>#NUM!</v>
      </c>
      <c r="DY175" s="3" t="e">
        <f t="shared" ca="1" si="651"/>
        <v>#NUM!</v>
      </c>
      <c r="DZ175" s="3">
        <f t="shared" ca="1" si="652"/>
        <v>5.441437325748187E-4</v>
      </c>
      <c r="EA175" s="3">
        <f t="shared" ca="1" si="653"/>
        <v>-6.0031375458852664E-4</v>
      </c>
      <c r="EB175" s="3">
        <f t="shared" ca="1" si="654"/>
        <v>6.2040339195438827E-4</v>
      </c>
      <c r="EC175" s="3">
        <f t="shared" ca="1" si="655"/>
        <v>-6.2955017186270982E-4</v>
      </c>
      <c r="ED175" s="63">
        <f t="shared" si="590"/>
        <v>0</v>
      </c>
      <c r="EE175" s="59">
        <f t="shared" si="574"/>
        <v>0.25</v>
      </c>
      <c r="EF175" s="59">
        <f t="shared" si="575"/>
        <v>0.90359999999999996</v>
      </c>
      <c r="EG175" s="59">
        <f t="shared" si="576"/>
        <v>0.3659</v>
      </c>
      <c r="EH175" s="59">
        <f t="shared" si="577"/>
        <v>0.30149999999999999</v>
      </c>
      <c r="EI175" s="59">
        <f t="shared" si="578"/>
        <v>0.27410000000000001</v>
      </c>
      <c r="EJ175" s="59">
        <f t="shared" si="579"/>
        <v>0.25750000000000001</v>
      </c>
      <c r="EL175" s="3" t="str">
        <f>RTD("tos.rtd",,EL$43,"."&amp;$B$134&amp;$AS$82&amp;"C"&amp;$A175)</f>
        <v>--</v>
      </c>
      <c r="EM175" s="3" t="str">
        <f>RTD("tos.rtd",,EM$43,"."&amp;$B$134&amp;$AS$82&amp;"P"&amp;$A175)</f>
        <v>90.36%</v>
      </c>
      <c r="EN175" s="3" t="str">
        <f>RTD("tos.rtd",,EN$2,"."&amp;$C$134&amp;$AU$82&amp;"C"&amp;$A175)</f>
        <v>36.59%</v>
      </c>
      <c r="EO175" s="3" t="str">
        <f>RTD("tos.rtd",,EO$2,"."&amp;$C$134&amp;$AU$82&amp;"P"&amp;$A175)</f>
        <v>30.15%</v>
      </c>
      <c r="EP175" s="3" t="str">
        <f>RTD("tos.rtd",,EP$2,"."&amp;$D$134&amp;$AW$82&amp;"C"&amp;$A175)</f>
        <v>27.41%</v>
      </c>
      <c r="EQ175" s="3" t="str">
        <f>RTD("tos.rtd",,EQ$2,"."&amp;$D$134&amp;$AW$82&amp;"P"&amp;$A175)</f>
        <v>25.75%</v>
      </c>
      <c r="ES175" s="63" t="str">
        <f t="shared" si="580"/>
        <v>19500,00.00</v>
      </c>
      <c r="ET175" s="64" t="str">
        <f t="shared" ca="1" si="581"/>
        <v>19500,00.00</v>
      </c>
      <c r="EU175" s="68">
        <v>562.62</v>
      </c>
      <c r="EV175" s="68" t="s">
        <v>1420</v>
      </c>
      <c r="EW175" s="68">
        <v>485.11</v>
      </c>
      <c r="EX175" s="68" t="s">
        <v>1421</v>
      </c>
      <c r="EY175" s="68">
        <v>5640.25</v>
      </c>
      <c r="EZ175" s="68" t="s">
        <v>1422</v>
      </c>
      <c r="FA175" s="68">
        <v>19926.75</v>
      </c>
      <c r="FB175" s="68" t="s">
        <v>1423</v>
      </c>
      <c r="FC175" s="68" t="s">
        <v>1424</v>
      </c>
      <c r="FD175" s="68" t="s">
        <v>1425</v>
      </c>
      <c r="FE175" s="68" t="s">
        <v>1426</v>
      </c>
      <c r="FF175" s="68" t="s">
        <v>1427</v>
      </c>
    </row>
    <row r="176" spans="1:162" ht="11.1" customHeight="1" thickBot="1" x14ac:dyDescent="0.25">
      <c r="A176" s="2">
        <f t="shared" si="591"/>
        <v>19475</v>
      </c>
      <c r="B176" s="3">
        <f t="shared" si="627"/>
        <v>13</v>
      </c>
      <c r="C176" s="3">
        <f t="shared" si="628"/>
        <v>12</v>
      </c>
      <c r="D176" s="3">
        <f t="shared" si="629"/>
        <v>286</v>
      </c>
      <c r="E176" s="3">
        <f t="shared" si="630"/>
        <v>311</v>
      </c>
      <c r="F176" s="4">
        <f t="shared" si="631"/>
        <v>19698.516803903447</v>
      </c>
      <c r="G176" s="5">
        <f t="shared" si="632"/>
        <v>477.22048696160397</v>
      </c>
      <c r="AM176" s="1">
        <v>0</v>
      </c>
      <c r="AN176" s="1">
        <v>-16</v>
      </c>
      <c r="AO176" s="1">
        <v>19475</v>
      </c>
      <c r="AP176" s="1">
        <v>2</v>
      </c>
      <c r="AQ176" s="1">
        <v>-65</v>
      </c>
      <c r="AS176" s="54">
        <f>IF(RTD("tos.rtd",,AS$83,"."&amp;$B$134&amp;$AS$82&amp;"C"&amp;$A176)="N/A",0,RTD("tos.rtd",,AS$83,"."&amp;$B$134&amp;$AS$82&amp;"C"&amp;$A176))</f>
        <v>1</v>
      </c>
      <c r="AT176" s="3">
        <f>-IF(RTD("tos.rtd",,AT$83,"."&amp;$B$134&amp;$AS$82&amp;"P"&amp;$A176)="N/A",0,RTD("tos.rtd",,AT$83,"."&amp;$B$134&amp;$AS$82&amp;"P"&amp;$A176))</f>
        <v>-12</v>
      </c>
      <c r="AU176" s="54">
        <f>IF(RTD("tos.rtd",,AU$2,"."&amp;$C$134&amp;$AU$134&amp;"C"&amp;$A176)="N/A",0,RTD("tos.rtd",,AU$2,"."&amp;$C$134&amp;$AU$134&amp;"C"&amp;$A176))</f>
        <v>1</v>
      </c>
      <c r="AV176" s="3">
        <f>-IF(RTD("tos.rtd",,AV$2,"."&amp;$C$134&amp;$AU$134&amp;"P"&amp;$A176)="N/A",0,RTD("tos.rtd",,AV$2,"."&amp;$C$134&amp;$AU$134&amp;"P"&amp;$A176))</f>
        <v>-11</v>
      </c>
      <c r="AW176" s="54">
        <f>IF(RTD("tos.rtd",,AW$2,"."&amp;$D$134&amp;$AW$134&amp;"C"&amp;$A176)="N/A",0,RTD("tos.rtd",,AW$2,"."&amp;$D$134&amp;$AW$134&amp;"C"&amp;$A176))</f>
        <v>257</v>
      </c>
      <c r="AX176" s="3">
        <f>-IF(RTD("tos.rtd",,AX$2,"."&amp;$D$134&amp;$AW$134&amp;"P"&amp;$A176)="N/A",0,RTD("tos.rtd",,AX$2,"."&amp;$D$134&amp;$AW$134&amp;"P"&amp;$A176))</f>
        <v>-29</v>
      </c>
      <c r="AY176" s="76">
        <f t="shared" si="633"/>
        <v>207</v>
      </c>
      <c r="AZ176" s="8">
        <f t="shared" si="545"/>
        <v>19475</v>
      </c>
      <c r="BA176" s="54">
        <f>IF(RTD("tos.rtd",,BA$43,"."&amp;$B$134&amp;$AS$82&amp;"C"&amp;$A176)="N/A",0,RTD("tos.rtd",,BA$43,"."&amp;$B$134&amp;$AS$82&amp;"C"&amp;$A176))</f>
        <v>2</v>
      </c>
      <c r="BB176" s="3">
        <f>-IF(RTD("tos.rtd",,BB$43,"."&amp;$B$134&amp;$AS$82&amp;"P"&amp;$A176)="N/A",0,RTD("tos.rtd",,BB$43,"."&amp;$B$134&amp;$AS$82&amp;"P"&amp;$A176))</f>
        <v>-65</v>
      </c>
      <c r="BC176" s="54">
        <f>IF(RTD("tos.rtd",,BC$2,"."&amp;$C$134&amp;$AU$82&amp;"C"&amp;$A176)="N/A",0,RTD("tos.rtd",,BC$2,"."&amp;$C$134&amp;$AU$82&amp;"C"&amp;$A176))</f>
        <v>0</v>
      </c>
      <c r="BD176" s="3">
        <f>-IF(RTD("tos.rtd",,BD$2,"."&amp;$C$134&amp;$AU$82&amp;"P"&amp;$A176)="N/A",0,RTD("tos.rtd",,BD$2,"."&amp;$C$134&amp;$AU$82&amp;"P"&amp;$A176))</f>
        <v>-11</v>
      </c>
      <c r="BE176" s="54">
        <f>IF(RTD("tos.rtd",,BE$2,"."&amp;$D$134&amp;$AW$82&amp;"C"&amp;$A176)="N/A",0,RTD("tos.rtd",,BE$2,"."&amp;$D$134&amp;$AW$82&amp;"C"&amp;$A176))</f>
        <v>0</v>
      </c>
      <c r="BF176" s="3">
        <f>-IF(RTD("tos.rtd",,BF$2,"."&amp;$D$134&amp;$AW$82&amp;"P"&amp;$A176)="N/A",0,RTD("tos.rtd",,BF$2,"."&amp;$D$134&amp;$AW$82&amp;"P"&amp;$A176))</f>
        <v>-5</v>
      </c>
      <c r="BG176" s="3">
        <f ca="1">+Hoja2!Y177</f>
        <v>0</v>
      </c>
      <c r="BH176" s="7">
        <f t="shared" ca="1" si="546"/>
        <v>-79</v>
      </c>
      <c r="BI176" s="32" t="str">
        <f t="shared" ca="1" si="605"/>
        <v/>
      </c>
      <c r="BJ176" s="3" t="e">
        <f ca="1">IF($BP$1=1,DX176,IF(RTD("tos.rtd",,BJ$43,"."&amp;$B$134&amp;$AS$82&amp;"C"&amp;$A176)="N/A",0,RTD("tos.rtd",,BJ$43,"."&amp;$B$134&amp;$AS$82&amp;"C"&amp;$A176)))</f>
        <v>#NUM!</v>
      </c>
      <c r="BK176" s="3" t="e">
        <f ca="1">IF($BP$1=1,DY176,-IF(RTD("tos.rtd",,BK$43,"."&amp;$B$134&amp;$AS$82&amp;"P"&amp;$A176)="N/A",0,RTD("tos.rtd",,BK$43,"."&amp;$B$134&amp;$AS$82&amp;"P"&amp;$A176)))</f>
        <v>#NUM!</v>
      </c>
      <c r="BL176" s="3">
        <f ca="1">IF($BP$1=1,DZ176,IF(RTD("tos.rtd",,BL$2,"."&amp;$C$134&amp;$AU$82&amp;"C"&amp;$A176)="N/A",0,RTD("tos.rtd",,BL$2,"."&amp;$C$134&amp;$AU$82&amp;"C"&amp;$A176)))</f>
        <v>5.2390592303641213E-4</v>
      </c>
      <c r="BM176" s="3">
        <f ca="1">IF($BP$1=1,EA176,-IF(RTD("tos.rtd",,BM$2,"."&amp;$C$134&amp;$AU$82&amp;"P"&amp;$A176)="N/A",0,RTD("tos.rtd",,BM$2,"."&amp;$C$134&amp;$AU$82&amp;"P"&amp;$A176)))</f>
        <v>-5.7389902576586752E-4</v>
      </c>
      <c r="BN176" s="3">
        <f ca="1">IF($BP$1=1,EB176,IF(RTD("tos.rtd",,BN$2,"."&amp;$D$134&amp;$AW$82&amp;"C"&amp;$A176)="N/A",0,RTD("tos.rtd",,BN$2,"."&amp;$D$134&amp;$AW$82&amp;"C"&amp;$A176)))</f>
        <v>5.8736222726268135E-4</v>
      </c>
      <c r="BO176" s="3">
        <f ca="1">IF($BP$1=1,EC176,-IF(RTD("tos.rtd",,BO$2,"."&amp;$D$134&amp;$AW$82&amp;"P"&amp;$A176)="N/A",0,RTD("tos.rtd",,BO$2,"."&amp;$D$134&amp;$AW$82&amp;"P"&amp;$A176)))</f>
        <v>-5.9414861655389894E-4</v>
      </c>
      <c r="BQ176" s="3" t="e">
        <f t="shared" ca="1" si="634"/>
        <v>#NUM!</v>
      </c>
      <c r="BR176" s="3" t="e">
        <f t="shared" ca="1" si="547"/>
        <v>#NUM!</v>
      </c>
      <c r="BS176" s="3">
        <f t="shared" ca="1" si="635"/>
        <v>-183576.27161993345</v>
      </c>
      <c r="BT176" s="3" t="str">
        <f t="shared" ca="1" si="548"/>
        <v/>
      </c>
      <c r="BU176" s="3">
        <f t="shared" ca="1" si="636"/>
        <v>4240493.4929594733</v>
      </c>
      <c r="BV176" s="3" t="str">
        <f t="shared" ca="1" si="548"/>
        <v>Cruce +</v>
      </c>
      <c r="BX176" s="3" t="e">
        <f t="shared" ca="1" si="582"/>
        <v>#NUM!</v>
      </c>
      <c r="BY176" s="3" t="e">
        <f t="shared" ca="1" si="583"/>
        <v>#NUM!</v>
      </c>
      <c r="BZ176" s="3">
        <f t="shared" ca="1" si="584"/>
        <v>-1496.2994673762159</v>
      </c>
      <c r="CA176" s="3" t="str">
        <f t="shared" ca="1" si="583"/>
        <v/>
      </c>
      <c r="CB176" s="3">
        <f t="shared" ca="1" si="585"/>
        <v>-704.13420747468501</v>
      </c>
      <c r="CC176" s="3" t="str">
        <f t="shared" ca="1" si="583"/>
        <v/>
      </c>
      <c r="CD176" s="3">
        <f>IF(RTD("tos.rtd",,CD$43,"."&amp;$B$134&amp;$AS$82&amp;"C"&amp;$A176)="N/A",0,RTD("tos.rtd",,CD$43,"."&amp;$B$134&amp;$AS$82&amp;"C"&amp;$A176))</f>
        <v>1</v>
      </c>
      <c r="CE176" s="3">
        <f>-IF(RTD("tos.rtd",,CE$43,"."&amp;$B$134&amp;$AS$82&amp;"P"&amp;$A176)="N/A",0,RTD("tos.rtd",,CE$43,"."&amp;$B$134&amp;$AS$82&amp;"P"&amp;$A176))</f>
        <v>0.08</v>
      </c>
      <c r="CF176" s="3">
        <f>IF(RTD("tos.rtd",,CF$2,"."&amp;$C$134&amp;$AU$82&amp;"C"&amp;$A176)="N/A",0,RTD("tos.rtd",,CF$2,"."&amp;$C$134&amp;$AU$82&amp;"C"&amp;$A176))</f>
        <v>0.79</v>
      </c>
      <c r="CG176" s="3">
        <f>-IF(RTD("tos.rtd",,CG$2,"."&amp;$C$134&amp;$AU$82&amp;"P"&amp;$A176)="N/A",0,RTD("tos.rtd",,CG$2,"."&amp;$C$134&amp;$AU$82&amp;"P"&amp;$A176))</f>
        <v>0.16</v>
      </c>
      <c r="CH176" s="3">
        <f>IF(RTD("tos.rtd",,CH$2,"."&amp;$D$134&amp;$AW$82&amp;"C"&amp;$A176)="N/A",0,RTD("tos.rtd",,CH$2,"."&amp;$D$134&amp;$AW$82&amp;"C"&amp;$A176))</f>
        <v>0.7</v>
      </c>
      <c r="CI176" s="3">
        <f>-IF(RTD("tos.rtd",,CI$2,"."&amp;$D$134&amp;$AW$82&amp;"P"&amp;$A176)="N/A",0,RTD("tos.rtd",,CI$2,"."&amp;$D$134&amp;$AW$82&amp;"P"&amp;$A176))</f>
        <v>0.28999999999999998</v>
      </c>
      <c r="CK176" s="3">
        <f t="shared" ref="CK176:CK189" si="656">+AS176*CD176*100+AT176*CE176*100</f>
        <v>4</v>
      </c>
      <c r="CL176" s="3"/>
      <c r="CM176" s="3">
        <f t="shared" ref="CM176:CM189" si="657">+AU176*CF176*100+AV176*CG176*100</f>
        <v>-97</v>
      </c>
      <c r="CN176" s="3"/>
      <c r="CO176" s="3">
        <f t="shared" ref="CO176:CO189" si="658">+AW176*CH176*100+AX176*CI176*100</f>
        <v>17148.999999999996</v>
      </c>
      <c r="CP176" s="3">
        <f t="shared" si="539"/>
        <v>17055.999999999996</v>
      </c>
      <c r="CQ176" s="3">
        <f t="shared" si="549"/>
        <v>-63</v>
      </c>
      <c r="CR176" s="3"/>
      <c r="CS176" s="3">
        <f t="shared" si="550"/>
        <v>-11</v>
      </c>
      <c r="CT176" s="3"/>
      <c r="CU176" s="3">
        <f t="shared" si="551"/>
        <v>-5</v>
      </c>
      <c r="CV176" s="3"/>
      <c r="CW176" s="3" t="e">
        <f t="shared" ca="1" si="552"/>
        <v>#NUM!</v>
      </c>
      <c r="CY176" s="3" t="e">
        <f t="shared" ca="1" si="553"/>
        <v>#NUM!</v>
      </c>
      <c r="CZ176" s="70" t="e">
        <f t="shared" ca="1" si="586"/>
        <v>#NUM!</v>
      </c>
      <c r="DA176" s="3">
        <f>IF(RTD("tos.rtd",,DA$43,"."&amp;$B$134&amp;$AS$82&amp;"C"&amp;$A176)="N/A",0,RTD("tos.rtd",,DA$43,"."&amp;$B$134&amp;$AS$82&amp;"C"&amp;$A176))</f>
        <v>248.2</v>
      </c>
      <c r="DB176" s="3">
        <f>IF(RTD("tos.rtd",,DB$43,"."&amp;$B$134&amp;$AS$82&amp;"P"&amp;$A176)="N/A",0,RTD("tos.rtd",,DB$43,"."&amp;$B$134&amp;$AS$82&amp;"P"&amp;$A176))</f>
        <v>1.23</v>
      </c>
      <c r="DC176" s="3">
        <f>IF(RTD("tos.rtd",,DC$43,"."&amp;$B$134&amp;$AS$82&amp;"C"&amp;$A176)="N/A",0,RTD("tos.rtd",,DC$43,"."&amp;$B$134&amp;$AS$82&amp;"C"&amp;$A176))</f>
        <v>415</v>
      </c>
      <c r="DD176" s="3">
        <f>IF(RTD("tos.rtd",,DD$43,"."&amp;$B$134&amp;$AS$82&amp;"P"&amp;$A176)="N/A",0,RTD("tos.rtd",,DD$43,"."&amp;$B$134&amp;$AS$82&amp;"P"&amp;$A176))</f>
        <v>19.8</v>
      </c>
      <c r="DE176" s="3">
        <f>IF(RTD("tos.rtd",,DE$43,"."&amp;$B$134&amp;$AS$82&amp;"C"&amp;$A176)="N/A",0,RTD("tos.rtd",,DE$43,"."&amp;$B$134&amp;$AS$82&amp;"C"&amp;$A176))</f>
        <v>366</v>
      </c>
      <c r="DF176" s="3">
        <f>IF(RTD("tos.rtd",,DF$43,"."&amp;$B$134&amp;$AS$82&amp;"P"&amp;$A176)="N/A",0,RTD("tos.rtd",,DF$43,"."&amp;$B$134&amp;$AS$82&amp;"P"&amp;$A176))</f>
        <v>0</v>
      </c>
      <c r="DG176" s="86">
        <f t="shared" si="587"/>
        <v>-392.97300000000178</v>
      </c>
      <c r="DH176" s="3">
        <f t="shared" si="554"/>
        <v>0</v>
      </c>
      <c r="DI176" s="3">
        <f t="shared" si="555"/>
        <v>0</v>
      </c>
      <c r="DJ176" s="3">
        <f t="shared" si="556"/>
        <v>0</v>
      </c>
      <c r="DK176" s="3">
        <f t="shared" si="557"/>
        <v>0</v>
      </c>
      <c r="DL176" s="3">
        <f t="shared" si="558"/>
        <v>0</v>
      </c>
      <c r="DM176" s="3">
        <f t="shared" si="559"/>
        <v>0</v>
      </c>
      <c r="DN176" s="64" t="str">
        <f t="shared" si="560"/>
        <v>UNKNOWN</v>
      </c>
      <c r="DO176" s="64" t="str">
        <f t="shared" si="561"/>
        <v>UNKNOWN</v>
      </c>
      <c r="DP176" s="3">
        <f t="shared" si="562"/>
        <v>0</v>
      </c>
      <c r="DQ176" s="3">
        <f t="shared" si="563"/>
        <v>0</v>
      </c>
      <c r="DR176" s="3" t="e">
        <f t="shared" ca="1" si="564"/>
        <v>#NUM!</v>
      </c>
      <c r="DS176" s="3">
        <f t="shared" si="565"/>
        <v>0</v>
      </c>
      <c r="DT176" s="3">
        <f t="shared" si="588"/>
        <v>0</v>
      </c>
      <c r="DU176" s="3">
        <f t="shared" si="589"/>
        <v>0</v>
      </c>
      <c r="DV176" s="3">
        <f t="shared" si="566"/>
        <v>0</v>
      </c>
      <c r="DW176" s="3">
        <f t="shared" si="567"/>
        <v>-16</v>
      </c>
      <c r="DX176" s="3" t="e">
        <f t="shared" ca="1" si="650"/>
        <v>#NUM!</v>
      </c>
      <c r="DY176" s="3" t="e">
        <f t="shared" ca="1" si="651"/>
        <v>#NUM!</v>
      </c>
      <c r="DZ176" s="3">
        <f t="shared" ca="1" si="652"/>
        <v>5.2390592303641213E-4</v>
      </c>
      <c r="EA176" s="3">
        <f t="shared" ca="1" si="653"/>
        <v>-5.7389902576586752E-4</v>
      </c>
      <c r="EB176" s="3">
        <f t="shared" ca="1" si="654"/>
        <v>5.8736222726268135E-4</v>
      </c>
      <c r="EC176" s="3">
        <f t="shared" ca="1" si="655"/>
        <v>-5.9414861655389894E-4</v>
      </c>
      <c r="ED176" s="63">
        <f t="shared" si="590"/>
        <v>-16</v>
      </c>
      <c r="EE176" s="59">
        <f t="shared" si="574"/>
        <v>0.25</v>
      </c>
      <c r="EF176" s="59">
        <f t="shared" si="575"/>
        <v>1.8717999999999999</v>
      </c>
      <c r="EG176" s="59">
        <f t="shared" si="576"/>
        <v>0.372</v>
      </c>
      <c r="EH176" s="59">
        <f t="shared" si="577"/>
        <v>0.30409999999999998</v>
      </c>
      <c r="EI176" s="59">
        <f t="shared" si="578"/>
        <v>0.27950000000000003</v>
      </c>
      <c r="EJ176" s="59">
        <f t="shared" si="579"/>
        <v>0.25850000000000001</v>
      </c>
      <c r="EL176" s="3" t="str">
        <f>RTD("tos.rtd",,EL$43,"."&amp;$B$134&amp;$AS$82&amp;"C"&amp;$A176)</f>
        <v>--</v>
      </c>
      <c r="EM176" s="3" t="str">
        <f>RTD("tos.rtd",,EM$43,"."&amp;$B$134&amp;$AS$82&amp;"P"&amp;$A176)</f>
        <v>187.18%</v>
      </c>
      <c r="EN176" s="3" t="str">
        <f>RTD("tos.rtd",,EN$2,"."&amp;$C$134&amp;$AU$82&amp;"C"&amp;$A176)</f>
        <v>37.20%</v>
      </c>
      <c r="EO176" s="3" t="str">
        <f>RTD("tos.rtd",,EO$2,"."&amp;$C$134&amp;$AU$82&amp;"P"&amp;$A176)</f>
        <v>30.41%</v>
      </c>
      <c r="EP176" s="3" t="str">
        <f>RTD("tos.rtd",,EP$2,"."&amp;$D$134&amp;$AW$82&amp;"C"&amp;$A176)</f>
        <v>27.95%</v>
      </c>
      <c r="EQ176" s="3" t="str">
        <f>RTD("tos.rtd",,EQ$2,"."&amp;$D$134&amp;$AW$82&amp;"P"&amp;$A176)</f>
        <v>25.85%</v>
      </c>
      <c r="ES176" s="63" t="str">
        <f t="shared" si="580"/>
        <v>19475,-16.00</v>
      </c>
      <c r="ET176" s="64" t="str">
        <f t="shared" ca="1" si="581"/>
        <v>19475,00.00</v>
      </c>
      <c r="EU176" s="68">
        <v>562.57000000000005</v>
      </c>
      <c r="EV176" s="68" t="s">
        <v>1428</v>
      </c>
      <c r="EW176" s="68">
        <v>485</v>
      </c>
      <c r="EX176" s="68" t="s">
        <v>1429</v>
      </c>
      <c r="EY176" s="68">
        <v>5639.5</v>
      </c>
      <c r="EZ176" s="68" t="s">
        <v>1430</v>
      </c>
      <c r="FA176" s="68">
        <v>19921</v>
      </c>
      <c r="FB176" s="68" t="s">
        <v>1431</v>
      </c>
      <c r="FC176" s="68" t="s">
        <v>1432</v>
      </c>
      <c r="FD176" s="68" t="s">
        <v>1433</v>
      </c>
      <c r="FE176" s="68" t="s">
        <v>1434</v>
      </c>
      <c r="FF176" s="68" t="s">
        <v>1435</v>
      </c>
    </row>
    <row r="177" spans="1:162" ht="11.1" customHeight="1" thickBot="1" x14ac:dyDescent="0.25">
      <c r="A177" s="2">
        <f t="shared" si="591"/>
        <v>19450</v>
      </c>
      <c r="B177" s="3">
        <f t="shared" si="627"/>
        <v>10</v>
      </c>
      <c r="C177" s="3">
        <f t="shared" si="628"/>
        <v>22</v>
      </c>
      <c r="D177" s="3">
        <f t="shared" si="629"/>
        <v>35</v>
      </c>
      <c r="E177" s="3">
        <f t="shared" si="630"/>
        <v>67</v>
      </c>
      <c r="F177" s="4">
        <f t="shared" si="631"/>
        <v>19673.229876042209</v>
      </c>
      <c r="G177" s="5">
        <f t="shared" si="632"/>
        <v>476.60788043148636</v>
      </c>
      <c r="AM177" s="1">
        <v>2</v>
      </c>
      <c r="AN177" s="1">
        <v>-18</v>
      </c>
      <c r="AO177" s="1">
        <v>19450</v>
      </c>
      <c r="AP177" s="1">
        <v>4</v>
      </c>
      <c r="AQ177" s="1">
        <v>-184</v>
      </c>
      <c r="AS177" s="54">
        <f>IF(RTD("tos.rtd",,AS$83,"."&amp;$B$134&amp;$AS$82&amp;"C"&amp;$A177)="N/A",0,RTD("tos.rtd",,AS$83,"."&amp;$B$134&amp;$AS$82&amp;"C"&amp;$A177))</f>
        <v>1</v>
      </c>
      <c r="AT177" s="3">
        <f>-IF(RTD("tos.rtd",,AT$83,"."&amp;$B$134&amp;$AS$82&amp;"P"&amp;$A177)="N/A",0,RTD("tos.rtd",,AT$83,"."&amp;$B$134&amp;$AS$82&amp;"P"&amp;$A177))</f>
        <v>-9</v>
      </c>
      <c r="AU177" s="54">
        <f>IF(RTD("tos.rtd",,AU$2,"."&amp;$C$134&amp;$AU$134&amp;"C"&amp;$A177)="N/A",0,RTD("tos.rtd",,AU$2,"."&amp;$C$134&amp;$AU$134&amp;"C"&amp;$A177))</f>
        <v>8</v>
      </c>
      <c r="AV177" s="3">
        <f>-IF(RTD("tos.rtd",,AV$2,"."&amp;$C$134&amp;$AU$134&amp;"P"&amp;$A177)="N/A",0,RTD("tos.rtd",,AV$2,"."&amp;$C$134&amp;$AU$134&amp;"P"&amp;$A177))</f>
        <v>-14</v>
      </c>
      <c r="AW177" s="54">
        <f>IF(RTD("tos.rtd",,AW$2,"."&amp;$D$134&amp;$AW$134&amp;"C"&amp;$A177)="N/A",0,RTD("tos.rtd",,AW$2,"."&amp;$D$134&amp;$AW$134&amp;"C"&amp;$A177))</f>
        <v>25</v>
      </c>
      <c r="AX177" s="3">
        <f>-IF(RTD("tos.rtd",,AX$2,"."&amp;$D$134&amp;$AW$134&amp;"P"&amp;$A177)="N/A",0,RTD("tos.rtd",,AX$2,"."&amp;$D$134&amp;$AW$134&amp;"P"&amp;$A177))</f>
        <v>-10</v>
      </c>
      <c r="AY177" s="76">
        <f t="shared" si="633"/>
        <v>1</v>
      </c>
      <c r="AZ177" s="8">
        <f t="shared" si="545"/>
        <v>19450</v>
      </c>
      <c r="BA177" s="54">
        <f>IF(RTD("tos.rtd",,BA$43,"."&amp;$B$134&amp;$AS$82&amp;"C"&amp;$A177)="N/A",0,RTD("tos.rtd",,BA$43,"."&amp;$B$134&amp;$AS$82&amp;"C"&amp;$A177))</f>
        <v>4</v>
      </c>
      <c r="BB177" s="3">
        <f>-IF(RTD("tos.rtd",,BB$43,"."&amp;$B$134&amp;$AS$82&amp;"P"&amp;$A177)="N/A",0,RTD("tos.rtd",,BB$43,"."&amp;$B$134&amp;$AS$82&amp;"P"&amp;$A177))</f>
        <v>-184</v>
      </c>
      <c r="BC177" s="54">
        <f>IF(RTD("tos.rtd",,BC$2,"."&amp;$C$134&amp;$AU$82&amp;"C"&amp;$A177)="N/A",0,RTD("tos.rtd",,BC$2,"."&amp;$C$134&amp;$AU$82&amp;"C"&amp;$A177))</f>
        <v>0</v>
      </c>
      <c r="BD177" s="3">
        <f>-IF(RTD("tos.rtd",,BD$2,"."&amp;$C$134&amp;$AU$82&amp;"P"&amp;$A177)="N/A",0,RTD("tos.rtd",,BD$2,"."&amp;$C$134&amp;$AU$82&amp;"P"&amp;$A177))</f>
        <v>-3</v>
      </c>
      <c r="BE177" s="54">
        <f>IF(RTD("tos.rtd",,BE$2,"."&amp;$D$134&amp;$AW$82&amp;"C"&amp;$A177)="N/A",0,RTD("tos.rtd",,BE$2,"."&amp;$D$134&amp;$AW$82&amp;"C"&amp;$A177))</f>
        <v>0</v>
      </c>
      <c r="BF177" s="3">
        <f>-IF(RTD("tos.rtd",,BF$2,"."&amp;$D$134&amp;$AW$82&amp;"P"&amp;$A177)="N/A",0,RTD("tos.rtd",,BF$2,"."&amp;$D$134&amp;$AW$82&amp;"P"&amp;$A177))</f>
        <v>-3</v>
      </c>
      <c r="BG177" s="3">
        <f ca="1">+Hoja2!Y178</f>
        <v>0</v>
      </c>
      <c r="BH177" s="7">
        <f t="shared" ca="1" si="546"/>
        <v>-186</v>
      </c>
      <c r="BI177" s="32" t="str">
        <f t="shared" ca="1" si="605"/>
        <v/>
      </c>
      <c r="BJ177" s="3" t="e">
        <f ca="1">IF($BP$1=1,DX177,IF(RTD("tos.rtd",,BJ$43,"."&amp;$B$134&amp;$AS$82&amp;"C"&amp;$A177)="N/A",0,RTD("tos.rtd",,BJ$43,"."&amp;$B$134&amp;$AS$82&amp;"C"&amp;$A177)))</f>
        <v>#NUM!</v>
      </c>
      <c r="BK177" s="3" t="e">
        <f ca="1">IF($BP$1=1,DY177,-IF(RTD("tos.rtd",,BK$43,"."&amp;$B$134&amp;$AS$82&amp;"P"&amp;$A177)="N/A",0,RTD("tos.rtd",,BK$43,"."&amp;$B$134&amp;$AS$82&amp;"P"&amp;$A177)))</f>
        <v>#NUM!</v>
      </c>
      <c r="BL177" s="3">
        <f ca="1">IF($BP$1=1,DZ177,IF(RTD("tos.rtd",,BL$2,"."&amp;$C$134&amp;$AU$82&amp;"C"&amp;$A177)="N/A",0,RTD("tos.rtd",,BL$2,"."&amp;$C$134&amp;$AU$82&amp;"C"&amp;$A177)))</f>
        <v>4.9971857335109351E-4</v>
      </c>
      <c r="BM177" s="3">
        <f ca="1">IF($BP$1=1,EA177,-IF(RTD("tos.rtd",,BM$2,"."&amp;$C$134&amp;$AU$82&amp;"P"&amp;$A177)="N/A",0,RTD("tos.rtd",,BM$2,"."&amp;$C$134&amp;$AU$82&amp;"P"&amp;$A177)))</f>
        <v>-5.4757477988284548E-4</v>
      </c>
      <c r="BN177" s="3">
        <f ca="1">IF($BP$1=1,EB177,IF(RTD("tos.rtd",,BN$2,"."&amp;$D$134&amp;$AW$82&amp;"C"&amp;$A177)="N/A",0,RTD("tos.rtd",,BN$2,"."&amp;$D$134&amp;$AW$82&amp;"C"&amp;$A177)))</f>
        <v>5.5797296903786493E-4</v>
      </c>
      <c r="BO177" s="3">
        <f ca="1">IF($BP$1=1,EC177,-IF(RTD("tos.rtd",,BO$2,"."&amp;$D$134&amp;$AW$82&amp;"P"&amp;$A177)="N/A",0,RTD("tos.rtd",,BO$2,"."&amp;$D$134&amp;$AW$82&amp;"P"&amp;$A177)))</f>
        <v>-5.5914893346875507E-4</v>
      </c>
      <c r="BQ177" s="3" t="e">
        <f t="shared" ca="1" si="634"/>
        <v>#NUM!</v>
      </c>
      <c r="BR177" s="3" t="e">
        <f t="shared" ca="1" si="547"/>
        <v>#NUM!</v>
      </c>
      <c r="BS177" s="3">
        <f t="shared" ca="1" si="635"/>
        <v>-116326.56184567465</v>
      </c>
      <c r="BT177" s="3" t="str">
        <f t="shared" ca="1" si="548"/>
        <v/>
      </c>
      <c r="BU177" s="3">
        <f t="shared" ca="1" si="636"/>
        <v>265037.93026094709</v>
      </c>
      <c r="BV177" s="3" t="str">
        <f t="shared" ca="1" si="548"/>
        <v/>
      </c>
      <c r="BX177" s="3" t="e">
        <f t="shared" ca="1" si="582"/>
        <v>#NUM!</v>
      </c>
      <c r="BY177" s="3" t="e">
        <f t="shared" ca="1" si="583"/>
        <v>#NUM!</v>
      </c>
      <c r="BZ177" s="3">
        <f t="shared" ca="1" si="584"/>
        <v>-389.36332384537877</v>
      </c>
      <c r="CA177" s="3" t="str">
        <f t="shared" ca="1" si="583"/>
        <v/>
      </c>
      <c r="CB177" s="3">
        <f t="shared" ca="1" si="585"/>
        <v>-397.59334297056722</v>
      </c>
      <c r="CC177" s="3" t="str">
        <f t="shared" ca="1" si="583"/>
        <v/>
      </c>
      <c r="CD177" s="3">
        <f>IF(RTD("tos.rtd",,CD$43,"."&amp;$B$134&amp;$AS$82&amp;"C"&amp;$A177)="N/A",0,RTD("tos.rtd",,CD$43,"."&amp;$B$134&amp;$AS$82&amp;"C"&amp;$A177))</f>
        <v>0.98</v>
      </c>
      <c r="CE177" s="3">
        <f>-IF(RTD("tos.rtd",,CE$43,"."&amp;$B$134&amp;$AS$82&amp;"P"&amp;$A177)="N/A",0,RTD("tos.rtd",,CE$43,"."&amp;$B$134&amp;$AS$82&amp;"P"&amp;$A177))</f>
        <v>7.0000000000000007E-2</v>
      </c>
      <c r="CF177" s="3">
        <f>IF(RTD("tos.rtd",,CF$2,"."&amp;$C$134&amp;$AU$82&amp;"C"&amp;$A177)="N/A",0,RTD("tos.rtd",,CF$2,"."&amp;$C$134&amp;$AU$82&amp;"C"&amp;$A177))</f>
        <v>0.8</v>
      </c>
      <c r="CG177" s="3">
        <f>-IF(RTD("tos.rtd",,CG$2,"."&amp;$C$134&amp;$AU$82&amp;"P"&amp;$A177)="N/A",0,RTD("tos.rtd",,CG$2,"."&amp;$C$134&amp;$AU$82&amp;"P"&amp;$A177))</f>
        <v>0.15</v>
      </c>
      <c r="CH177" s="3">
        <f>IF(RTD("tos.rtd",,CH$2,"."&amp;$D$134&amp;$AW$82&amp;"C"&amp;$A177)="N/A",0,RTD("tos.rtd",,CH$2,"."&amp;$D$134&amp;$AW$82&amp;"C"&amp;$A177))</f>
        <v>0.71</v>
      </c>
      <c r="CI177" s="3">
        <f>-IF(RTD("tos.rtd",,CI$2,"."&amp;$D$134&amp;$AW$82&amp;"P"&amp;$A177)="N/A",0,RTD("tos.rtd",,CI$2,"."&amp;$D$134&amp;$AW$82&amp;"P"&amp;$A177))</f>
        <v>0.28000000000000003</v>
      </c>
      <c r="CK177" s="3">
        <f t="shared" si="656"/>
        <v>34.999999999999986</v>
      </c>
      <c r="CL177" s="3"/>
      <c r="CM177" s="3">
        <f t="shared" si="657"/>
        <v>430</v>
      </c>
      <c r="CN177" s="3"/>
      <c r="CO177" s="3">
        <f t="shared" si="658"/>
        <v>1495</v>
      </c>
      <c r="CP177" s="3">
        <f t="shared" si="539"/>
        <v>1960</v>
      </c>
      <c r="CQ177" s="3">
        <f t="shared" si="549"/>
        <v>-180</v>
      </c>
      <c r="CR177" s="3"/>
      <c r="CS177" s="3">
        <f t="shared" si="550"/>
        <v>-3</v>
      </c>
      <c r="CT177" s="3"/>
      <c r="CU177" s="3">
        <f t="shared" si="551"/>
        <v>-3</v>
      </c>
      <c r="CV177" s="3"/>
      <c r="CW177" s="3" t="e">
        <f t="shared" ca="1" si="552"/>
        <v>#NUM!</v>
      </c>
      <c r="CY177" s="3" t="e">
        <f t="shared" ca="1" si="553"/>
        <v>#NUM!</v>
      </c>
      <c r="CZ177" s="70" t="e">
        <f t="shared" ca="1" si="586"/>
        <v>#NUM!</v>
      </c>
      <c r="DA177" s="3">
        <f>IF(RTD("tos.rtd",,DA$43,"."&amp;$B$134&amp;$AS$82&amp;"C"&amp;$A177)="N/A",0,RTD("tos.rtd",,DA$43,"."&amp;$B$134&amp;$AS$82&amp;"C"&amp;$A177))</f>
        <v>213.16</v>
      </c>
      <c r="DB177" s="3">
        <f>IF(RTD("tos.rtd",,DB$43,"."&amp;$B$134&amp;$AS$82&amp;"P"&amp;$A177)="N/A",0,RTD("tos.rtd",,DB$43,"."&amp;$B$134&amp;$AS$82&amp;"P"&amp;$A177))</f>
        <v>0.05</v>
      </c>
      <c r="DC177" s="3">
        <f>IF(RTD("tos.rtd",,DC$43,"."&amp;$B$134&amp;$AS$82&amp;"C"&amp;$A177)="N/A",0,RTD("tos.rtd",,DC$43,"."&amp;$B$134&amp;$AS$82&amp;"C"&amp;$A177))</f>
        <v>442</v>
      </c>
      <c r="DD177" s="3">
        <f>IF(RTD("tos.rtd",,DD$43,"."&amp;$B$134&amp;$AS$82&amp;"P"&amp;$A177)="N/A",0,RTD("tos.rtd",,DD$43,"."&amp;$B$134&amp;$AS$82&amp;"P"&amp;$A177))</f>
        <v>19.8</v>
      </c>
      <c r="DE177" s="3">
        <f>IF(RTD("tos.rtd",,DE$43,"."&amp;$B$134&amp;$AS$82&amp;"C"&amp;$A177)="N/A",0,RTD("tos.rtd",,DE$43,"."&amp;$B$134&amp;$AS$82&amp;"C"&amp;$A177))</f>
        <v>397.5</v>
      </c>
      <c r="DF177" s="3">
        <f>IF(RTD("tos.rtd",,DF$43,"."&amp;$B$134&amp;$AS$82&amp;"P"&amp;$A177)="N/A",0,RTD("tos.rtd",,DF$43,"."&amp;$B$134&amp;$AS$82&amp;"P"&amp;$A177))</f>
        <v>0</v>
      </c>
      <c r="DG177" s="86">
        <f t="shared" si="587"/>
        <v>-417.97300000000178</v>
      </c>
      <c r="DH177" s="3">
        <f t="shared" si="554"/>
        <v>0</v>
      </c>
      <c r="DI177" s="3">
        <f t="shared" si="555"/>
        <v>0</v>
      </c>
      <c r="DJ177" s="3">
        <f t="shared" si="556"/>
        <v>0</v>
      </c>
      <c r="DK177" s="3">
        <f t="shared" si="557"/>
        <v>0</v>
      </c>
      <c r="DL177" s="3">
        <f t="shared" si="558"/>
        <v>0</v>
      </c>
      <c r="DM177" s="3">
        <f t="shared" si="559"/>
        <v>0</v>
      </c>
      <c r="DN177" s="64" t="str">
        <f t="shared" si="560"/>
        <v>UNKNOWN</v>
      </c>
      <c r="DO177" s="64" t="str">
        <f t="shared" si="561"/>
        <v>UNKNOWN</v>
      </c>
      <c r="DP177" s="3">
        <f t="shared" si="562"/>
        <v>0</v>
      </c>
      <c r="DQ177" s="3">
        <f t="shared" si="563"/>
        <v>0</v>
      </c>
      <c r="DR177" s="3" t="e">
        <f t="shared" ca="1" si="564"/>
        <v>#NUM!</v>
      </c>
      <c r="DS177" s="3">
        <f t="shared" si="565"/>
        <v>0</v>
      </c>
      <c r="DT177" s="3">
        <f t="shared" si="588"/>
        <v>0</v>
      </c>
      <c r="DU177" s="3">
        <f t="shared" si="589"/>
        <v>0</v>
      </c>
      <c r="DV177" s="3">
        <f t="shared" si="566"/>
        <v>2</v>
      </c>
      <c r="DW177" s="3">
        <f t="shared" si="567"/>
        <v>-18</v>
      </c>
      <c r="DX177" s="3" t="e">
        <f t="shared" ca="1" si="650"/>
        <v>#NUM!</v>
      </c>
      <c r="DY177" s="3" t="e">
        <f t="shared" ca="1" si="651"/>
        <v>#NUM!</v>
      </c>
      <c r="DZ177" s="3">
        <f t="shared" ca="1" si="652"/>
        <v>4.9971857335109351E-4</v>
      </c>
      <c r="EA177" s="3">
        <f t="shared" ca="1" si="653"/>
        <v>-5.4757477988284548E-4</v>
      </c>
      <c r="EB177" s="3">
        <f t="shared" ca="1" si="654"/>
        <v>5.5797296903786493E-4</v>
      </c>
      <c r="EC177" s="3">
        <f t="shared" ca="1" si="655"/>
        <v>-5.5914893346875507E-4</v>
      </c>
      <c r="ED177" s="63">
        <f t="shared" si="590"/>
        <v>-16</v>
      </c>
      <c r="EE177" s="59">
        <f t="shared" si="574"/>
        <v>1.4018999999999999</v>
      </c>
      <c r="EF177" s="59">
        <f t="shared" si="575"/>
        <v>1.9628000000000001</v>
      </c>
      <c r="EG177" s="59">
        <f t="shared" si="576"/>
        <v>0.38490000000000002</v>
      </c>
      <c r="EH177" s="59">
        <f t="shared" si="577"/>
        <v>0.30740000000000001</v>
      </c>
      <c r="EI177" s="59">
        <f t="shared" si="578"/>
        <v>0.27710000000000001</v>
      </c>
      <c r="EJ177" s="59">
        <f t="shared" si="579"/>
        <v>0.26</v>
      </c>
      <c r="EL177" s="3" t="str">
        <f>RTD("tos.rtd",,EL$43,"."&amp;$B$134&amp;$AS$82&amp;"C"&amp;$A177)</f>
        <v>140.19%</v>
      </c>
      <c r="EM177" s="3" t="str">
        <f>RTD("tos.rtd",,EM$43,"."&amp;$B$134&amp;$AS$82&amp;"P"&amp;$A177)</f>
        <v>196.28%</v>
      </c>
      <c r="EN177" s="3" t="str">
        <f>RTD("tos.rtd",,EN$2,"."&amp;$C$134&amp;$AU$82&amp;"C"&amp;$A177)</f>
        <v>38.49%</v>
      </c>
      <c r="EO177" s="3" t="str">
        <f>RTD("tos.rtd",,EO$2,"."&amp;$C$134&amp;$AU$82&amp;"P"&amp;$A177)</f>
        <v>30.74%</v>
      </c>
      <c r="EP177" s="3" t="str">
        <f>RTD("tos.rtd",,EP$2,"."&amp;$D$134&amp;$AW$82&amp;"C"&amp;$A177)</f>
        <v>27.71%</v>
      </c>
      <c r="EQ177" s="3" t="str">
        <f>RTD("tos.rtd",,EQ$2,"."&amp;$D$134&amp;$AW$82&amp;"P"&amp;$A177)</f>
        <v>26.00%</v>
      </c>
      <c r="ES177" s="63" t="str">
        <f t="shared" si="580"/>
        <v>19450,-16.00</v>
      </c>
      <c r="ET177" s="64" t="str">
        <f t="shared" ca="1" si="581"/>
        <v>19450,00.00</v>
      </c>
      <c r="EU177" s="68">
        <v>562.52</v>
      </c>
      <c r="EV177" s="68" t="s">
        <v>1436</v>
      </c>
      <c r="EW177" s="68">
        <v>485</v>
      </c>
      <c r="EX177" s="68" t="s">
        <v>1437</v>
      </c>
      <c r="EY177" s="68">
        <v>5639.25</v>
      </c>
      <c r="EZ177" s="68" t="s">
        <v>1438</v>
      </c>
      <c r="FA177" s="68">
        <v>19920</v>
      </c>
      <c r="FB177" s="68" t="s">
        <v>1439</v>
      </c>
      <c r="FC177" s="68" t="s">
        <v>1440</v>
      </c>
      <c r="FD177" s="68" t="s">
        <v>1441</v>
      </c>
      <c r="FE177" s="68" t="s">
        <v>1442</v>
      </c>
      <c r="FF177" s="68" t="s">
        <v>1443</v>
      </c>
    </row>
    <row r="178" spans="1:162" ht="11.1" customHeight="1" thickBot="1" x14ac:dyDescent="0.25">
      <c r="A178" s="2">
        <f t="shared" si="591"/>
        <v>19425</v>
      </c>
      <c r="B178" s="3">
        <f t="shared" si="627"/>
        <v>10</v>
      </c>
      <c r="C178" s="3">
        <f t="shared" si="628"/>
        <v>21</v>
      </c>
      <c r="D178" s="3">
        <f t="shared" si="629"/>
        <v>58</v>
      </c>
      <c r="E178" s="3">
        <f t="shared" si="630"/>
        <v>89</v>
      </c>
      <c r="F178" s="4">
        <f t="shared" si="631"/>
        <v>19647.942948180975</v>
      </c>
      <c r="G178" s="5">
        <f t="shared" si="632"/>
        <v>475.99527390136882</v>
      </c>
      <c r="AM178" s="1">
        <v>0</v>
      </c>
      <c r="AN178" s="1">
        <v>-30</v>
      </c>
      <c r="AO178" s="1">
        <v>19425</v>
      </c>
      <c r="AP178" s="1">
        <v>1</v>
      </c>
      <c r="AQ178" s="1">
        <v>-96</v>
      </c>
      <c r="AS178" s="54">
        <f>IF(RTD("tos.rtd",,AS$83,"."&amp;$B$134&amp;$AS$82&amp;"C"&amp;$A178)="N/A",0,RTD("tos.rtd",,AS$83,"."&amp;$B$134&amp;$AS$82&amp;"C"&amp;$A178))</f>
        <v>0</v>
      </c>
      <c r="AT178" s="3">
        <f>-IF(RTD("tos.rtd",,AT$83,"."&amp;$B$134&amp;$AS$82&amp;"P"&amp;$A178)="N/A",0,RTD("tos.rtd",,AT$83,"."&amp;$B$134&amp;$AS$82&amp;"P"&amp;$A178))</f>
        <v>-10</v>
      </c>
      <c r="AU178" s="54">
        <f>IF(RTD("tos.rtd",,AU$2,"."&amp;$C$134&amp;$AU$134&amp;"C"&amp;$A178)="N/A",0,RTD("tos.rtd",,AU$2,"."&amp;$C$134&amp;$AU$134&amp;"C"&amp;$A178))</f>
        <v>1</v>
      </c>
      <c r="AV178" s="3">
        <f>-IF(RTD("tos.rtd",,AV$2,"."&amp;$C$134&amp;$AU$134&amp;"P"&amp;$A178)="N/A",0,RTD("tos.rtd",,AV$2,"."&amp;$C$134&amp;$AU$134&amp;"P"&amp;$A178))</f>
        <v>-20</v>
      </c>
      <c r="AW178" s="54">
        <f>IF(RTD("tos.rtd",,AW$2,"."&amp;$D$134&amp;$AW$134&amp;"C"&amp;$A178)="N/A",0,RTD("tos.rtd",,AW$2,"."&amp;$D$134&amp;$AW$134&amp;"C"&amp;$A178))</f>
        <v>33</v>
      </c>
      <c r="AX178" s="3">
        <f>-IF(RTD("tos.rtd",,AX$2,"."&amp;$D$134&amp;$AW$134&amp;"P"&amp;$A178)="N/A",0,RTD("tos.rtd",,AX$2,"."&amp;$D$134&amp;$AW$134&amp;"P"&amp;$A178))</f>
        <v>-25</v>
      </c>
      <c r="AY178" s="76">
        <f t="shared" si="633"/>
        <v>-21</v>
      </c>
      <c r="AZ178" s="8">
        <f t="shared" si="545"/>
        <v>19425</v>
      </c>
      <c r="BA178" s="54">
        <f>IF(RTD("tos.rtd",,BA$43,"."&amp;$B$134&amp;$AS$82&amp;"C"&amp;$A178)="N/A",0,RTD("tos.rtd",,BA$43,"."&amp;$B$134&amp;$AS$82&amp;"C"&amp;$A178))</f>
        <v>1</v>
      </c>
      <c r="BB178" s="3">
        <f>-IF(RTD("tos.rtd",,BB$43,"."&amp;$B$134&amp;$AS$82&amp;"P"&amp;$A178)="N/A",0,RTD("tos.rtd",,BB$43,"."&amp;$B$134&amp;$AS$82&amp;"P"&amp;$A178))</f>
        <v>-96</v>
      </c>
      <c r="BC178" s="54">
        <f>IF(RTD("tos.rtd",,BC$2,"."&amp;$C$134&amp;$AU$82&amp;"C"&amp;$A178)="N/A",0,RTD("tos.rtd",,BC$2,"."&amp;$C$134&amp;$AU$82&amp;"C"&amp;$A178))</f>
        <v>0</v>
      </c>
      <c r="BD178" s="3">
        <f>-IF(RTD("tos.rtd",,BD$2,"."&amp;$C$134&amp;$AU$82&amp;"P"&amp;$A178)="N/A",0,RTD("tos.rtd",,BD$2,"."&amp;$C$134&amp;$AU$82&amp;"P"&amp;$A178))</f>
        <v>-1</v>
      </c>
      <c r="BE178" s="54">
        <f>IF(RTD("tos.rtd",,BE$2,"."&amp;$D$134&amp;$AW$82&amp;"C"&amp;$A178)="N/A",0,RTD("tos.rtd",,BE$2,"."&amp;$D$134&amp;$AW$82&amp;"C"&amp;$A178))</f>
        <v>1</v>
      </c>
      <c r="BF178" s="3">
        <f>-IF(RTD("tos.rtd",,BF$2,"."&amp;$D$134&amp;$AW$82&amp;"P"&amp;$A178)="N/A",0,RTD("tos.rtd",,BF$2,"."&amp;$D$134&amp;$AW$82&amp;"P"&amp;$A178))</f>
        <v>-1</v>
      </c>
      <c r="BG178" s="3">
        <f ca="1">+Hoja2!Y179</f>
        <v>-2</v>
      </c>
      <c r="BH178" s="7">
        <f t="shared" ca="1" si="546"/>
        <v>-98</v>
      </c>
      <c r="BI178" s="32" t="str">
        <f t="shared" ca="1" si="605"/>
        <v/>
      </c>
      <c r="BJ178" s="3" t="e">
        <f ca="1">IF($BP$1=1,DX178,IF(RTD("tos.rtd",,BJ$43,"."&amp;$B$134&amp;$AS$82&amp;"C"&amp;$A178)="N/A",0,RTD("tos.rtd",,BJ$43,"."&amp;$B$134&amp;$AS$82&amp;"C"&amp;$A178)))</f>
        <v>#NUM!</v>
      </c>
      <c r="BK178" s="3" t="e">
        <f ca="1">IF($BP$1=1,DY178,-IF(RTD("tos.rtd",,BK$43,"."&amp;$B$134&amp;$AS$82&amp;"P"&amp;$A178)="N/A",0,RTD("tos.rtd",,BK$43,"."&amp;$B$134&amp;$AS$82&amp;"P"&amp;$A178)))</f>
        <v>#NUM!</v>
      </c>
      <c r="BL178" s="3">
        <f ca="1">IF($BP$1=1,DZ178,IF(RTD("tos.rtd",,BL$2,"."&amp;$C$134&amp;$AU$82&amp;"C"&amp;$A178)="N/A",0,RTD("tos.rtd",,BL$2,"."&amp;$C$134&amp;$AU$82&amp;"C"&amp;$A178)))</f>
        <v>4.8630163049040377E-4</v>
      </c>
      <c r="BM178" s="3">
        <f ca="1">IF($BP$1=1,EA178,-IF(RTD("tos.rtd",,BM$2,"."&amp;$C$134&amp;$AU$82&amp;"P"&amp;$A178)="N/A",0,RTD("tos.rtd",,BM$2,"."&amp;$C$134&amp;$AU$82&amp;"P"&amp;$A178)))</f>
        <v>-5.2212976488427416E-4</v>
      </c>
      <c r="BN178" s="3">
        <f ca="1">IF($BP$1=1,EB178,IF(RTD("tos.rtd",,BN$2,"."&amp;$D$134&amp;$AW$82&amp;"C"&amp;$A178)="N/A",0,RTD("tos.rtd",,BN$2,"."&amp;$D$134&amp;$AW$82&amp;"C"&amp;$A178)))</f>
        <v>5.271115806453696E-4</v>
      </c>
      <c r="BO178" s="3">
        <f ca="1">IF($BP$1=1,EC178,-IF(RTD("tos.rtd",,BO$2,"."&amp;$D$134&amp;$AW$82&amp;"P"&amp;$A178)="N/A",0,RTD("tos.rtd",,BO$2,"."&amp;$D$134&amp;$AW$82&amp;"P"&amp;$A178)))</f>
        <v>-5.2489258128660533E-4</v>
      </c>
      <c r="BQ178" s="3" t="e">
        <f t="shared" ca="1" si="634"/>
        <v>#NUM!</v>
      </c>
      <c r="BR178" s="3" t="e">
        <f t="shared" ca="1" si="547"/>
        <v>#NUM!</v>
      </c>
      <c r="BS178" s="3">
        <f t="shared" ca="1" si="635"/>
        <v>-315727.15912147373</v>
      </c>
      <c r="BT178" s="3" t="str">
        <f t="shared" ca="1" si="548"/>
        <v/>
      </c>
      <c r="BU178" s="3">
        <f t="shared" ca="1" si="636"/>
        <v>135482.39328384836</v>
      </c>
      <c r="BV178" s="3" t="str">
        <f t="shared" ca="1" si="548"/>
        <v/>
      </c>
      <c r="BX178" s="3" t="e">
        <f t="shared" ca="1" si="582"/>
        <v>#NUM!</v>
      </c>
      <c r="BY178" s="3" t="e">
        <f t="shared" ca="1" si="583"/>
        <v>#NUM!</v>
      </c>
      <c r="BZ178" s="3">
        <f t="shared" ca="1" si="584"/>
        <v>-123.75672279710855</v>
      </c>
      <c r="CA178" s="3" t="str">
        <f t="shared" ca="1" si="583"/>
        <v/>
      </c>
      <c r="CB178" s="3">
        <f t="shared" ca="1" si="585"/>
        <v>0.52595371303992522</v>
      </c>
      <c r="CC178" s="3" t="str">
        <f t="shared" ca="1" si="583"/>
        <v>Cruce +</v>
      </c>
      <c r="CD178" s="3">
        <f>IF(RTD("tos.rtd",,CD$43,"."&amp;$B$134&amp;$AS$82&amp;"C"&amp;$A178)="N/A",0,RTD("tos.rtd",,CD$43,"."&amp;$B$134&amp;$AS$82&amp;"C"&amp;$A178))</f>
        <v>0.97</v>
      </c>
      <c r="CE178" s="3">
        <f>-IF(RTD("tos.rtd",,CE$43,"."&amp;$B$134&amp;$AS$82&amp;"P"&amp;$A178)="N/A",0,RTD("tos.rtd",,CE$43,"."&amp;$B$134&amp;$AS$82&amp;"P"&amp;$A178))</f>
        <v>7.0000000000000007E-2</v>
      </c>
      <c r="CF178" s="3">
        <f>IF(RTD("tos.rtd",,CF$2,"."&amp;$C$134&amp;$AU$82&amp;"C"&amp;$A178)="N/A",0,RTD("tos.rtd",,CF$2,"."&amp;$C$134&amp;$AU$82&amp;"C"&amp;$A178))</f>
        <v>0.81</v>
      </c>
      <c r="CG178" s="3">
        <f>-IF(RTD("tos.rtd",,CG$2,"."&amp;$C$134&amp;$AU$82&amp;"P"&amp;$A178)="N/A",0,RTD("tos.rtd",,CG$2,"."&amp;$C$134&amp;$AU$82&amp;"P"&amp;$A178))</f>
        <v>0.14000000000000001</v>
      </c>
      <c r="CH178" s="3">
        <f>IF(RTD("tos.rtd",,CH$2,"."&amp;$D$134&amp;$AW$82&amp;"C"&amp;$A178)="N/A",0,RTD("tos.rtd",,CH$2,"."&amp;$D$134&amp;$AW$82&amp;"C"&amp;$A178))</f>
        <v>0.72</v>
      </c>
      <c r="CI178" s="3">
        <f>-IF(RTD("tos.rtd",,CI$2,"."&amp;$D$134&amp;$AW$82&amp;"P"&amp;$A178)="N/A",0,RTD("tos.rtd",,CI$2,"."&amp;$D$134&amp;$AW$82&amp;"P"&amp;$A178))</f>
        <v>0.27</v>
      </c>
      <c r="CK178" s="3">
        <f t="shared" si="656"/>
        <v>-70</v>
      </c>
      <c r="CL178" s="3"/>
      <c r="CM178" s="3">
        <f t="shared" si="657"/>
        <v>-199</v>
      </c>
      <c r="CN178" s="3"/>
      <c r="CO178" s="3">
        <f t="shared" si="658"/>
        <v>1701</v>
      </c>
      <c r="CP178" s="3">
        <f t="shared" si="539"/>
        <v>1432</v>
      </c>
      <c r="CQ178" s="3">
        <f t="shared" si="549"/>
        <v>-95</v>
      </c>
      <c r="CR178" s="3"/>
      <c r="CS178" s="3">
        <f t="shared" si="550"/>
        <v>-1</v>
      </c>
      <c r="CT178" s="3"/>
      <c r="CU178" s="3">
        <f t="shared" si="551"/>
        <v>0</v>
      </c>
      <c r="CV178" s="3"/>
      <c r="CW178" s="3" t="e">
        <f t="shared" ca="1" si="552"/>
        <v>#NUM!</v>
      </c>
      <c r="CY178" s="3" t="e">
        <f t="shared" ca="1" si="553"/>
        <v>#NUM!</v>
      </c>
      <c r="CZ178" s="70" t="e">
        <f t="shared" ca="1" si="586"/>
        <v>#NUM!</v>
      </c>
      <c r="DA178" s="3">
        <f>IF(RTD("tos.rtd",,DA$43,"."&amp;$B$134&amp;$AS$82&amp;"C"&amp;$A178)="N/A",0,RTD("tos.rtd",,DA$43,"."&amp;$B$134&amp;$AS$82&amp;"C"&amp;$A178))</f>
        <v>322.77</v>
      </c>
      <c r="DB178" s="3">
        <f>IF(RTD("tos.rtd",,DB$43,"."&amp;$B$134&amp;$AS$82&amp;"P"&amp;$A178)="N/A",0,RTD("tos.rtd",,DB$43,"."&amp;$B$134&amp;$AS$82&amp;"P"&amp;$A178))</f>
        <v>0.15</v>
      </c>
      <c r="DC178" s="3">
        <f>IF(RTD("tos.rtd",,DC$43,"."&amp;$B$134&amp;$AS$82&amp;"C"&amp;$A178)="N/A",0,RTD("tos.rtd",,DC$43,"."&amp;$B$134&amp;$AS$82&amp;"C"&amp;$A178))</f>
        <v>482</v>
      </c>
      <c r="DD178" s="3">
        <f>IF(RTD("tos.rtd",,DD$43,"."&amp;$B$134&amp;$AS$82&amp;"P"&amp;$A178)="N/A",0,RTD("tos.rtd",,DD$43,"."&amp;$B$134&amp;$AS$82&amp;"P"&amp;$A178))</f>
        <v>19.8</v>
      </c>
      <c r="DE178" s="3">
        <f>IF(RTD("tos.rtd",,DE$43,"."&amp;$B$134&amp;$AS$82&amp;"C"&amp;$A178)="N/A",0,RTD("tos.rtd",,DE$43,"."&amp;$B$134&amp;$AS$82&amp;"C"&amp;$A178))</f>
        <v>408.4</v>
      </c>
      <c r="DF178" s="3">
        <f>IF(RTD("tos.rtd",,DF$43,"."&amp;$B$134&amp;$AS$82&amp;"P"&amp;$A178)="N/A",0,RTD("tos.rtd",,DF$43,"."&amp;$B$134&amp;$AS$82&amp;"P"&amp;$A178))</f>
        <v>0</v>
      </c>
      <c r="DG178" s="86">
        <f t="shared" si="587"/>
        <v>-442.97300000000178</v>
      </c>
      <c r="DH178" s="3">
        <f t="shared" si="554"/>
        <v>0</v>
      </c>
      <c r="DI178" s="3">
        <f t="shared" si="555"/>
        <v>0</v>
      </c>
      <c r="DJ178" s="3">
        <f t="shared" si="556"/>
        <v>0</v>
      </c>
      <c r="DK178" s="3">
        <f t="shared" si="557"/>
        <v>0</v>
      </c>
      <c r="DL178" s="3">
        <f t="shared" si="558"/>
        <v>0</v>
      </c>
      <c r="DM178" s="3">
        <f t="shared" si="559"/>
        <v>0</v>
      </c>
      <c r="DN178" s="64" t="str">
        <f t="shared" si="560"/>
        <v>UNKNOWN</v>
      </c>
      <c r="DO178" s="64" t="str">
        <f t="shared" si="561"/>
        <v>UNKNOWN</v>
      </c>
      <c r="DP178" s="3">
        <f t="shared" si="562"/>
        <v>0</v>
      </c>
      <c r="DQ178" s="3">
        <f t="shared" si="563"/>
        <v>0</v>
      </c>
      <c r="DR178" s="3" t="e">
        <f t="shared" ca="1" si="564"/>
        <v>#NUM!</v>
      </c>
      <c r="DS178" s="3">
        <f t="shared" si="565"/>
        <v>0</v>
      </c>
      <c r="DT178" s="3">
        <f t="shared" si="588"/>
        <v>0</v>
      </c>
      <c r="DU178" s="3">
        <f t="shared" si="589"/>
        <v>0</v>
      </c>
      <c r="DV178" s="3">
        <f t="shared" si="566"/>
        <v>0</v>
      </c>
      <c r="DW178" s="3">
        <f t="shared" si="567"/>
        <v>-30</v>
      </c>
      <c r="DX178" s="3" t="e">
        <f t="shared" ca="1" si="650"/>
        <v>#NUM!</v>
      </c>
      <c r="DY178" s="3" t="e">
        <f t="shared" ca="1" si="651"/>
        <v>#NUM!</v>
      </c>
      <c r="DZ178" s="3">
        <f t="shared" ca="1" si="652"/>
        <v>4.8630163049040377E-4</v>
      </c>
      <c r="EA178" s="3">
        <f t="shared" ca="1" si="653"/>
        <v>-5.2212976488427416E-4</v>
      </c>
      <c r="EB178" s="3">
        <f t="shared" ca="1" si="654"/>
        <v>5.271115806453696E-4</v>
      </c>
      <c r="EC178" s="3">
        <f t="shared" ca="1" si="655"/>
        <v>-5.2489258128660533E-4</v>
      </c>
      <c r="ED178" s="63">
        <f t="shared" si="590"/>
        <v>-30</v>
      </c>
      <c r="EE178" s="59">
        <f t="shared" si="574"/>
        <v>1.5283</v>
      </c>
      <c r="EF178" s="59">
        <f t="shared" si="575"/>
        <v>2.0531999999999999</v>
      </c>
      <c r="EG178" s="59">
        <f t="shared" si="576"/>
        <v>0.38300000000000001</v>
      </c>
      <c r="EH178" s="59">
        <f t="shared" si="577"/>
        <v>0.31019999999999998</v>
      </c>
      <c r="EI178" s="59">
        <f t="shared" si="578"/>
        <v>0.27300000000000002</v>
      </c>
      <c r="EJ178" s="59">
        <f t="shared" si="579"/>
        <v>0.26129999999999998</v>
      </c>
      <c r="EL178" s="3" t="str">
        <f>RTD("tos.rtd",,EL$43,"."&amp;$B$134&amp;$AS$82&amp;"C"&amp;$A178)</f>
        <v>152.83%</v>
      </c>
      <c r="EM178" s="3" t="str">
        <f>RTD("tos.rtd",,EM$43,"."&amp;$B$134&amp;$AS$82&amp;"P"&amp;$A178)</f>
        <v>205.32%</v>
      </c>
      <c r="EN178" s="3" t="str">
        <f>RTD("tos.rtd",,EN$2,"."&amp;$C$134&amp;$AU$82&amp;"C"&amp;$A178)</f>
        <v>38.30%</v>
      </c>
      <c r="EO178" s="3" t="str">
        <f>RTD("tos.rtd",,EO$2,"."&amp;$C$134&amp;$AU$82&amp;"P"&amp;$A178)</f>
        <v>31.02%</v>
      </c>
      <c r="EP178" s="3" t="str">
        <f>RTD("tos.rtd",,EP$2,"."&amp;$D$134&amp;$AW$82&amp;"C"&amp;$A178)</f>
        <v>27.30%</v>
      </c>
      <c r="EQ178" s="3" t="str">
        <f>RTD("tos.rtd",,EQ$2,"."&amp;$D$134&amp;$AW$82&amp;"P"&amp;$A178)</f>
        <v>26.13%</v>
      </c>
      <c r="ES178" s="63" t="str">
        <f t="shared" si="580"/>
        <v>19425,-30.00</v>
      </c>
      <c r="ET178" s="64" t="str">
        <f t="shared" ca="1" si="581"/>
        <v>19425,00.00</v>
      </c>
      <c r="EU178" s="68">
        <v>562.38</v>
      </c>
      <c r="EV178" s="68" t="s">
        <v>1444</v>
      </c>
      <c r="EW178" s="68">
        <v>484.74</v>
      </c>
      <c r="EX178" s="68" t="s">
        <v>1445</v>
      </c>
      <c r="EY178" s="68">
        <v>5637.5</v>
      </c>
      <c r="EZ178" s="68" t="s">
        <v>1446</v>
      </c>
      <c r="FA178" s="68">
        <v>19912.5</v>
      </c>
      <c r="FB178" s="68" t="s">
        <v>1447</v>
      </c>
      <c r="FC178" s="68" t="s">
        <v>1448</v>
      </c>
      <c r="FD178" s="68" t="s">
        <v>1449</v>
      </c>
      <c r="FE178" s="68" t="s">
        <v>1450</v>
      </c>
      <c r="FF178" s="68" t="s">
        <v>1451</v>
      </c>
    </row>
    <row r="179" spans="1:162" ht="11.1" customHeight="1" thickBot="1" x14ac:dyDescent="0.25">
      <c r="A179" s="2">
        <f t="shared" si="591"/>
        <v>19400</v>
      </c>
      <c r="B179" s="3">
        <f t="shared" si="627"/>
        <v>123</v>
      </c>
      <c r="C179" s="3">
        <f t="shared" si="628"/>
        <v>48</v>
      </c>
      <c r="D179" s="3">
        <f t="shared" si="629"/>
        <v>106</v>
      </c>
      <c r="E179" s="3">
        <f t="shared" si="630"/>
        <v>277</v>
      </c>
      <c r="F179" s="4">
        <f t="shared" si="631"/>
        <v>19622.656020319737</v>
      </c>
      <c r="G179" s="5">
        <f t="shared" si="632"/>
        <v>475.38266737125122</v>
      </c>
      <c r="AM179" s="1">
        <v>-5</v>
      </c>
      <c r="AN179" s="1">
        <v>946</v>
      </c>
      <c r="AO179" s="1">
        <v>19400</v>
      </c>
      <c r="AP179" s="1">
        <v>6</v>
      </c>
      <c r="AQ179" s="1">
        <v>-1497</v>
      </c>
      <c r="AS179" s="54">
        <f>IF(RTD("tos.rtd",,AS$83,"."&amp;$B$134&amp;$AS$82&amp;"C"&amp;$A179)="N/A",0,RTD("tos.rtd",,AS$83,"."&amp;$B$134&amp;$AS$82&amp;"C"&amp;$A179))</f>
        <v>49</v>
      </c>
      <c r="AT179" s="3">
        <f>-IF(RTD("tos.rtd",,AT$83,"."&amp;$B$134&amp;$AS$82&amp;"P"&amp;$A179)="N/A",0,RTD("tos.rtd",,AT$83,"."&amp;$B$134&amp;$AS$82&amp;"P"&amp;$A179))</f>
        <v>-74</v>
      </c>
      <c r="AU179" s="54">
        <f>IF(RTD("tos.rtd",,AU$2,"."&amp;$C$134&amp;$AU$134&amp;"C"&amp;$A179)="N/A",0,RTD("tos.rtd",,AU$2,"."&amp;$C$134&amp;$AU$134&amp;"C"&amp;$A179))</f>
        <v>11</v>
      </c>
      <c r="AV179" s="3">
        <f>-IF(RTD("tos.rtd",,AV$2,"."&amp;$C$134&amp;$AU$134&amp;"P"&amp;$A179)="N/A",0,RTD("tos.rtd",,AV$2,"."&amp;$C$134&amp;$AU$134&amp;"P"&amp;$A179))</f>
        <v>-37</v>
      </c>
      <c r="AW179" s="54">
        <f>IF(RTD("tos.rtd",,AW$2,"."&amp;$D$134&amp;$AW$134&amp;"C"&amp;$A179)="N/A",0,RTD("tos.rtd",,AW$2,"."&amp;$D$134&amp;$AW$134&amp;"C"&amp;$A179))</f>
        <v>43</v>
      </c>
      <c r="AX179" s="3">
        <f>-IF(RTD("tos.rtd",,AX$2,"."&amp;$D$134&amp;$AW$134&amp;"P"&amp;$A179)="N/A",0,RTD("tos.rtd",,AX$2,"."&amp;$D$134&amp;$AW$134&amp;"P"&amp;$A179))</f>
        <v>-63</v>
      </c>
      <c r="AY179" s="76">
        <f t="shared" si="633"/>
        <v>-71</v>
      </c>
      <c r="AZ179" s="8">
        <f t="shared" si="545"/>
        <v>19400</v>
      </c>
      <c r="BA179" s="54">
        <f>IF(RTD("tos.rtd",,BA$43,"."&amp;$B$134&amp;$AS$82&amp;"C"&amp;$A179)="N/A",0,RTD("tos.rtd",,BA$43,"."&amp;$B$134&amp;$AS$82&amp;"C"&amp;$A179))</f>
        <v>6</v>
      </c>
      <c r="BB179" s="3">
        <f>-IF(RTD("tos.rtd",,BB$43,"."&amp;$B$134&amp;$AS$82&amp;"P"&amp;$A179)="N/A",0,RTD("tos.rtd",,BB$43,"."&amp;$B$134&amp;$AS$82&amp;"P"&amp;$A179))</f>
        <v>-1497</v>
      </c>
      <c r="BC179" s="54">
        <f>IF(RTD("tos.rtd",,BC$2,"."&amp;$C$134&amp;$AU$82&amp;"C"&amp;$A179)="N/A",0,RTD("tos.rtd",,BC$2,"."&amp;$C$134&amp;$AU$82&amp;"C"&amp;$A179))</f>
        <v>2</v>
      </c>
      <c r="BD179" s="3">
        <f>-IF(RTD("tos.rtd",,BD$2,"."&amp;$C$134&amp;$AU$82&amp;"P"&amp;$A179)="N/A",0,RTD("tos.rtd",,BD$2,"."&amp;$C$134&amp;$AU$82&amp;"P"&amp;$A179))</f>
        <v>-45</v>
      </c>
      <c r="BE179" s="54">
        <f>IF(RTD("tos.rtd",,BE$2,"."&amp;$D$134&amp;$AW$82&amp;"C"&amp;$A179)="N/A",0,RTD("tos.rtd",,BE$2,"."&amp;$D$134&amp;$AW$82&amp;"C"&amp;$A179))</f>
        <v>4</v>
      </c>
      <c r="BF179" s="3">
        <f>-IF(RTD("tos.rtd",,BF$2,"."&amp;$D$134&amp;$AW$82&amp;"P"&amp;$A179)="N/A",0,RTD("tos.rtd",,BF$2,"."&amp;$D$134&amp;$AW$82&amp;"P"&amp;$A179))</f>
        <v>-13</v>
      </c>
      <c r="BG179" s="3">
        <f ca="1">+Hoja2!Y180</f>
        <v>-115</v>
      </c>
      <c r="BH179" s="7">
        <f t="shared" ca="1" si="546"/>
        <v>-1658</v>
      </c>
      <c r="BI179" s="32" t="str">
        <f t="shared" ca="1" si="605"/>
        <v/>
      </c>
      <c r="BJ179" s="3" t="e">
        <f ca="1">IF($BP$1=1,DX179,IF(RTD("tos.rtd",,BJ$43,"."&amp;$B$134&amp;$AS$82&amp;"C"&amp;$A179)="N/A",0,RTD("tos.rtd",,BJ$43,"."&amp;$B$134&amp;$AS$82&amp;"C"&amp;$A179)))</f>
        <v>#NUM!</v>
      </c>
      <c r="BK179" s="3" t="e">
        <f ca="1">IF($BP$1=1,DY179,-IF(RTD("tos.rtd",,BK$43,"."&amp;$B$134&amp;$AS$82&amp;"P"&amp;$A179)="N/A",0,RTD("tos.rtd",,BK$43,"."&amp;$B$134&amp;$AS$82&amp;"P"&amp;$A179)))</f>
        <v>#NUM!</v>
      </c>
      <c r="BL179" s="3">
        <f ca="1">IF($BP$1=1,DZ179,IF(RTD("tos.rtd",,BL$2,"."&amp;$C$134&amp;$AU$82&amp;"C"&amp;$A179)="N/A",0,RTD("tos.rtd",,BL$2,"."&amp;$C$134&amp;$AU$82&amp;"C"&amp;$A179)))</f>
        <v>4.6356647838947381E-4</v>
      </c>
      <c r="BM179" s="3">
        <f ca="1">IF($BP$1=1,EA179,-IF(RTD("tos.rtd",,BM$2,"."&amp;$C$134&amp;$AU$82&amp;"P"&amp;$A179)="N/A",0,RTD("tos.rtd",,BM$2,"."&amp;$C$134&amp;$AU$82&amp;"P"&amp;$A179)))</f>
        <v>-4.9735143972084322E-4</v>
      </c>
      <c r="BN179" s="3">
        <f ca="1">IF($BP$1=1,EB179,IF(RTD("tos.rtd",,BN$2,"."&amp;$D$134&amp;$AW$82&amp;"C"&amp;$A179)="N/A",0,RTD("tos.rtd",,BN$2,"."&amp;$D$134&amp;$AW$82&amp;"C"&amp;$A179)))</f>
        <v>4.9751087306484801E-4</v>
      </c>
      <c r="BO179" s="3">
        <f ca="1">IF($BP$1=1,EC179,-IF(RTD("tos.rtd",,BO$2,"."&amp;$D$134&amp;$AW$82&amp;"P"&amp;$A179)="N/A",0,RTD("tos.rtd",,BO$2,"."&amp;$D$134&amp;$AW$82&amp;"P"&amp;$A179)))</f>
        <v>-4.9130477433686624E-4</v>
      </c>
      <c r="BQ179" s="3" t="e">
        <f t="shared" ca="1" si="634"/>
        <v>#NUM!</v>
      </c>
      <c r="BR179" s="3" t="e">
        <f t="shared" ca="1" si="547"/>
        <v>#NUM!</v>
      </c>
      <c r="BS179" s="3">
        <f t="shared" ca="1" si="635"/>
        <v>-421848.38602859434</v>
      </c>
      <c r="BT179" s="3" t="str">
        <f t="shared" ca="1" si="548"/>
        <v/>
      </c>
      <c r="BU179" s="3">
        <f t="shared" ca="1" si="636"/>
        <v>-303135.85110912262</v>
      </c>
      <c r="BV179" s="3" t="str">
        <f t="shared" ca="1" si="548"/>
        <v>Cruce -</v>
      </c>
      <c r="BX179" s="3" t="e">
        <f t="shared" ca="1" si="582"/>
        <v>#NUM!</v>
      </c>
      <c r="BY179" s="3" t="e">
        <f t="shared" ca="1" si="583"/>
        <v>#NUM!</v>
      </c>
      <c r="BZ179" s="3">
        <f t="shared" ca="1" si="584"/>
        <v>-5085.014365887946</v>
      </c>
      <c r="CA179" s="3" t="str">
        <f t="shared" ca="1" si="583"/>
        <v/>
      </c>
      <c r="CB179" s="3">
        <f t="shared" ca="1" si="585"/>
        <v>-1042.1704904324242</v>
      </c>
      <c r="CC179" s="3" t="str">
        <f t="shared" ca="1" si="583"/>
        <v>Cruce -</v>
      </c>
      <c r="CD179" s="3">
        <f>IF(RTD("tos.rtd",,CD$43,"."&amp;$B$134&amp;$AS$82&amp;"C"&amp;$A179)="N/A",0,RTD("tos.rtd",,CD$43,"."&amp;$B$134&amp;$AS$82&amp;"C"&amp;$A179))</f>
        <v>1</v>
      </c>
      <c r="CE179" s="3">
        <f>-IF(RTD("tos.rtd",,CE$43,"."&amp;$B$134&amp;$AS$82&amp;"P"&amp;$A179)="N/A",0,RTD("tos.rtd",,CE$43,"."&amp;$B$134&amp;$AS$82&amp;"P"&amp;$A179))</f>
        <v>0</v>
      </c>
      <c r="CF179" s="3">
        <f>IF(RTD("tos.rtd",,CF$2,"."&amp;$C$134&amp;$AU$82&amp;"C"&amp;$A179)="N/A",0,RTD("tos.rtd",,CF$2,"."&amp;$C$134&amp;$AU$82&amp;"C"&amp;$A179))</f>
        <v>0.81</v>
      </c>
      <c r="CG179" s="3">
        <f>-IF(RTD("tos.rtd",,CG$2,"."&amp;$C$134&amp;$AU$82&amp;"P"&amp;$A179)="N/A",0,RTD("tos.rtd",,CG$2,"."&amp;$C$134&amp;$AU$82&amp;"P"&amp;$A179))</f>
        <v>0.13</v>
      </c>
      <c r="CH179" s="3">
        <f>IF(RTD("tos.rtd",,CH$2,"."&amp;$D$134&amp;$AW$82&amp;"C"&amp;$A179)="N/A",0,RTD("tos.rtd",,CH$2,"."&amp;$D$134&amp;$AW$82&amp;"C"&amp;$A179))</f>
        <v>0.73</v>
      </c>
      <c r="CI179" s="3">
        <f>-IF(RTD("tos.rtd",,CI$2,"."&amp;$D$134&amp;$AW$82&amp;"P"&amp;$A179)="N/A",0,RTD("tos.rtd",,CI$2,"."&amp;$D$134&amp;$AW$82&amp;"P"&amp;$A179))</f>
        <v>0.26</v>
      </c>
      <c r="CK179" s="3">
        <f t="shared" si="656"/>
        <v>4900</v>
      </c>
      <c r="CL179" s="3"/>
      <c r="CM179" s="3">
        <f t="shared" si="657"/>
        <v>409.99999999999994</v>
      </c>
      <c r="CN179" s="3"/>
      <c r="CO179" s="3">
        <f t="shared" si="658"/>
        <v>1501</v>
      </c>
      <c r="CP179" s="3">
        <f t="shared" si="539"/>
        <v>6811</v>
      </c>
      <c r="CQ179" s="3">
        <f t="shared" si="549"/>
        <v>-1491</v>
      </c>
      <c r="CR179" s="3"/>
      <c r="CS179" s="3">
        <f t="shared" si="550"/>
        <v>-43</v>
      </c>
      <c r="CT179" s="3"/>
      <c r="CU179" s="3">
        <f t="shared" si="551"/>
        <v>-9</v>
      </c>
      <c r="CV179" s="3"/>
      <c r="CW179" s="3" t="e">
        <f t="shared" ca="1" si="552"/>
        <v>#NUM!</v>
      </c>
      <c r="CY179" s="3" t="e">
        <f t="shared" ca="1" si="553"/>
        <v>#NUM!</v>
      </c>
      <c r="CZ179" s="70" t="e">
        <f t="shared" ca="1" si="586"/>
        <v>#NUM!</v>
      </c>
      <c r="DA179" s="3">
        <f>IF(RTD("tos.rtd",,DA$43,"."&amp;$B$134&amp;$AS$82&amp;"C"&amp;$A179)="N/A",0,RTD("tos.rtd",,DA$43,"."&amp;$B$134&amp;$AS$82&amp;"C"&amp;$A179))</f>
        <v>346.22</v>
      </c>
      <c r="DB179" s="3">
        <f>IF(RTD("tos.rtd",,DB$43,"."&amp;$B$134&amp;$AS$82&amp;"P"&amp;$A179)="N/A",0,RTD("tos.rtd",,DB$43,"."&amp;$B$134&amp;$AS$82&amp;"P"&amp;$A179))</f>
        <v>0.4</v>
      </c>
      <c r="DC179" s="3">
        <f>IF(RTD("tos.rtd",,DC$43,"."&amp;$B$134&amp;$AS$82&amp;"C"&amp;$A179)="N/A",0,RTD("tos.rtd",,DC$43,"."&amp;$B$134&amp;$AS$82&amp;"C"&amp;$A179))</f>
        <v>502.8</v>
      </c>
      <c r="DD179" s="3">
        <f>IF(RTD("tos.rtd",,DD$43,"."&amp;$B$134&amp;$AS$82&amp;"P"&amp;$A179)="N/A",0,RTD("tos.rtd",,DD$43,"."&amp;$B$134&amp;$AS$82&amp;"P"&amp;$A179))</f>
        <v>0.05</v>
      </c>
      <c r="DE179" s="3">
        <f>IF(RTD("tos.rtd",,DE$43,"."&amp;$B$134&amp;$AS$82&amp;"C"&amp;$A179)="N/A",0,RTD("tos.rtd",,DE$43,"."&amp;$B$134&amp;$AS$82&amp;"C"&amp;$A179))</f>
        <v>426</v>
      </c>
      <c r="DF179" s="3">
        <f>IF(RTD("tos.rtd",,DF$43,"."&amp;$B$134&amp;$AS$82&amp;"P"&amp;$A179)="N/A",0,RTD("tos.rtd",,DF$43,"."&amp;$B$134&amp;$AS$82&amp;"P"&amp;$A179))</f>
        <v>0</v>
      </c>
      <c r="DG179" s="86">
        <f t="shared" si="587"/>
        <v>-467.97300000000178</v>
      </c>
      <c r="DH179" s="3">
        <f t="shared" si="554"/>
        <v>0</v>
      </c>
      <c r="DI179" s="3">
        <f t="shared" si="555"/>
        <v>0</v>
      </c>
      <c r="DJ179" s="3">
        <f t="shared" si="556"/>
        <v>0</v>
      </c>
      <c r="DK179" s="3">
        <f t="shared" si="557"/>
        <v>0</v>
      </c>
      <c r="DL179" s="3">
        <f t="shared" si="558"/>
        <v>0</v>
      </c>
      <c r="DM179" s="3">
        <f t="shared" si="559"/>
        <v>0</v>
      </c>
      <c r="DN179" s="64" t="str">
        <f t="shared" si="560"/>
        <v>UNKNOWN</v>
      </c>
      <c r="DO179" s="64" t="str">
        <f t="shared" si="561"/>
        <v>UNKNOWN</v>
      </c>
      <c r="DP179" s="3">
        <f t="shared" si="562"/>
        <v>0</v>
      </c>
      <c r="DQ179" s="3">
        <f t="shared" si="563"/>
        <v>0</v>
      </c>
      <c r="DR179" s="3" t="e">
        <f t="shared" ca="1" si="564"/>
        <v>#NUM!</v>
      </c>
      <c r="DS179" s="3">
        <f t="shared" si="565"/>
        <v>0</v>
      </c>
      <c r="DT179" s="3">
        <f t="shared" si="588"/>
        <v>0</v>
      </c>
      <c r="DU179" s="3">
        <f t="shared" si="589"/>
        <v>0</v>
      </c>
      <c r="DV179" s="3">
        <f t="shared" si="566"/>
        <v>-5</v>
      </c>
      <c r="DW179" s="3">
        <f t="shared" si="567"/>
        <v>946</v>
      </c>
      <c r="DX179" s="3" t="e">
        <f t="shared" ca="1" si="650"/>
        <v>#NUM!</v>
      </c>
      <c r="DY179" s="3" t="e">
        <f t="shared" ca="1" si="651"/>
        <v>#NUM!</v>
      </c>
      <c r="DZ179" s="3">
        <f t="shared" ca="1" si="652"/>
        <v>4.6356647838947381E-4</v>
      </c>
      <c r="EA179" s="3">
        <f t="shared" ca="1" si="653"/>
        <v>-4.9735143972084322E-4</v>
      </c>
      <c r="EB179" s="3">
        <f t="shared" ca="1" si="654"/>
        <v>4.9751087306484801E-4</v>
      </c>
      <c r="EC179" s="3">
        <f t="shared" ca="1" si="655"/>
        <v>-4.9130477433686624E-4</v>
      </c>
      <c r="ED179" s="63">
        <f t="shared" si="590"/>
        <v>941</v>
      </c>
      <c r="EE179" s="59">
        <f t="shared" si="574"/>
        <v>0.25</v>
      </c>
      <c r="EF179" s="59">
        <f t="shared" si="575"/>
        <v>0.98050000000000004</v>
      </c>
      <c r="EG179" s="59">
        <f t="shared" si="576"/>
        <v>0.39789999999999998</v>
      </c>
      <c r="EH179" s="59">
        <f t="shared" si="577"/>
        <v>0.31280000000000002</v>
      </c>
      <c r="EI179" s="59">
        <f t="shared" si="578"/>
        <v>0.28029999999999999</v>
      </c>
      <c r="EJ179" s="59">
        <f t="shared" si="579"/>
        <v>0.26219999999999999</v>
      </c>
      <c r="EL179" s="3" t="str">
        <f>RTD("tos.rtd",,EL$43,"."&amp;$B$134&amp;$AS$82&amp;"C"&amp;$A179)</f>
        <v>--</v>
      </c>
      <c r="EM179" s="3" t="str">
        <f>RTD("tos.rtd",,EM$43,"."&amp;$B$134&amp;$AS$82&amp;"P"&amp;$A179)</f>
        <v>98.05%</v>
      </c>
      <c r="EN179" s="3" t="str">
        <f>RTD("tos.rtd",,EN$2,"."&amp;$C$134&amp;$AU$82&amp;"C"&amp;$A179)</f>
        <v>39.79%</v>
      </c>
      <c r="EO179" s="3" t="str">
        <f>RTD("tos.rtd",,EO$2,"."&amp;$C$134&amp;$AU$82&amp;"P"&amp;$A179)</f>
        <v>31.28%</v>
      </c>
      <c r="EP179" s="3" t="str">
        <f>RTD("tos.rtd",,EP$2,"."&amp;$D$134&amp;$AW$82&amp;"C"&amp;$A179)</f>
        <v>28.03%</v>
      </c>
      <c r="EQ179" s="3" t="str">
        <f>RTD("tos.rtd",,EQ$2,"."&amp;$D$134&amp;$AW$82&amp;"P"&amp;$A179)</f>
        <v>26.22%</v>
      </c>
      <c r="ES179" s="63" t="str">
        <f t="shared" si="580"/>
        <v>19400,941.00</v>
      </c>
      <c r="ET179" s="64" t="str">
        <f t="shared" ca="1" si="581"/>
        <v>19400,00.00</v>
      </c>
      <c r="EU179" s="68">
        <v>562.26</v>
      </c>
      <c r="EV179" s="68" t="s">
        <v>1452</v>
      </c>
      <c r="EW179" s="68">
        <v>484.69</v>
      </c>
      <c r="EX179" s="68" t="s">
        <v>1453</v>
      </c>
      <c r="EY179" s="68">
        <v>5636.5</v>
      </c>
      <c r="EZ179" s="68" t="s">
        <v>1454</v>
      </c>
      <c r="FA179" s="68">
        <v>19910</v>
      </c>
      <c r="FB179" s="68" t="s">
        <v>1455</v>
      </c>
      <c r="FC179" s="68" t="s">
        <v>1456</v>
      </c>
      <c r="FD179" s="68" t="s">
        <v>1457</v>
      </c>
      <c r="FE179" s="68" t="s">
        <v>1458</v>
      </c>
      <c r="FF179" s="68" t="s">
        <v>1459</v>
      </c>
    </row>
    <row r="180" spans="1:162" ht="11.1" customHeight="1" thickBot="1" x14ac:dyDescent="0.25">
      <c r="A180" s="2">
        <f t="shared" si="591"/>
        <v>19375</v>
      </c>
      <c r="B180" s="3">
        <f t="shared" si="627"/>
        <v>3</v>
      </c>
      <c r="C180" s="3">
        <f t="shared" si="628"/>
        <v>26</v>
      </c>
      <c r="D180" s="3">
        <f t="shared" si="629"/>
        <v>30</v>
      </c>
      <c r="E180" s="3">
        <f t="shared" si="630"/>
        <v>59</v>
      </c>
      <c r="F180" s="4">
        <f t="shared" si="631"/>
        <v>19597.369092458499</v>
      </c>
      <c r="G180" s="5">
        <f t="shared" si="632"/>
        <v>474.77006084113361</v>
      </c>
      <c r="AM180" s="1">
        <v>0</v>
      </c>
      <c r="AN180" s="1">
        <v>-11</v>
      </c>
      <c r="AO180" s="1">
        <v>19375</v>
      </c>
      <c r="AP180" s="1">
        <v>0</v>
      </c>
      <c r="AQ180" s="1">
        <v>-63</v>
      </c>
      <c r="AS180" s="54">
        <f>IF(RTD("tos.rtd",,AS$83,"."&amp;$B$134&amp;$AS$82&amp;"C"&amp;$A180)="N/A",0,RTD("tos.rtd",,AS$83,"."&amp;$B$134&amp;$AS$82&amp;"C"&amp;$A180))</f>
        <v>0</v>
      </c>
      <c r="AT180" s="3">
        <f>-IF(RTD("tos.rtd",,AT$83,"."&amp;$B$134&amp;$AS$82&amp;"P"&amp;$A180)="N/A",0,RTD("tos.rtd",,AT$83,"."&amp;$B$134&amp;$AS$82&amp;"P"&amp;$A180))</f>
        <v>-3</v>
      </c>
      <c r="AU180" s="54">
        <f>IF(RTD("tos.rtd",,AU$2,"."&amp;$C$134&amp;$AU$134&amp;"C"&amp;$A180)="N/A",0,RTD("tos.rtd",,AU$2,"."&amp;$C$134&amp;$AU$134&amp;"C"&amp;$A180))</f>
        <v>0</v>
      </c>
      <c r="AV180" s="3">
        <f>-IF(RTD("tos.rtd",,AV$2,"."&amp;$C$134&amp;$AU$134&amp;"P"&amp;$A180)="N/A",0,RTD("tos.rtd",,AV$2,"."&amp;$C$134&amp;$AU$134&amp;"P"&amp;$A180))</f>
        <v>-26</v>
      </c>
      <c r="AW180" s="54">
        <f>IF(RTD("tos.rtd",,AW$2,"."&amp;$D$134&amp;$AW$134&amp;"C"&amp;$A180)="N/A",0,RTD("tos.rtd",,AW$2,"."&amp;$D$134&amp;$AW$134&amp;"C"&amp;$A180))</f>
        <v>18</v>
      </c>
      <c r="AX180" s="3">
        <f>-IF(RTD("tos.rtd",,AX$2,"."&amp;$D$134&amp;$AW$134&amp;"P"&amp;$A180)="N/A",0,RTD("tos.rtd",,AX$2,"."&amp;$D$134&amp;$AW$134&amp;"P"&amp;$A180))</f>
        <v>-12</v>
      </c>
      <c r="AY180" s="76">
        <f t="shared" si="633"/>
        <v>-23</v>
      </c>
      <c r="AZ180" s="8">
        <f t="shared" si="545"/>
        <v>19375</v>
      </c>
      <c r="BA180" s="54">
        <f>IF(RTD("tos.rtd",,BA$43,"."&amp;$B$134&amp;$AS$82&amp;"C"&amp;$A180)="N/A",0,RTD("tos.rtd",,BA$43,"."&amp;$B$134&amp;$AS$82&amp;"C"&amp;$A180))</f>
        <v>0</v>
      </c>
      <c r="BB180" s="3">
        <f>-IF(RTD("tos.rtd",,BB$43,"."&amp;$B$134&amp;$AS$82&amp;"P"&amp;$A180)="N/A",0,RTD("tos.rtd",,BB$43,"."&amp;$B$134&amp;$AS$82&amp;"P"&amp;$A180))</f>
        <v>-63</v>
      </c>
      <c r="BC180" s="54">
        <f>IF(RTD("tos.rtd",,BC$2,"."&amp;$C$134&amp;$AU$82&amp;"C"&amp;$A180)="N/A",0,RTD("tos.rtd",,BC$2,"."&amp;$C$134&amp;$AU$82&amp;"C"&amp;$A180))</f>
        <v>0</v>
      </c>
      <c r="BD180" s="3">
        <f>-IF(RTD("tos.rtd",,BD$2,"."&amp;$C$134&amp;$AU$82&amp;"P"&amp;$A180)="N/A",0,RTD("tos.rtd",,BD$2,"."&amp;$C$134&amp;$AU$82&amp;"P"&amp;$A180))</f>
        <v>0</v>
      </c>
      <c r="BE180" s="54">
        <f>IF(RTD("tos.rtd",,BE$2,"."&amp;$D$134&amp;$AW$82&amp;"C"&amp;$A180)="N/A",0,RTD("tos.rtd",,BE$2,"."&amp;$D$134&amp;$AW$82&amp;"C"&amp;$A180))</f>
        <v>0</v>
      </c>
      <c r="BF180" s="3">
        <f>-IF(RTD("tos.rtd",,BF$2,"."&amp;$D$134&amp;$AW$82&amp;"P"&amp;$A180)="N/A",0,RTD("tos.rtd",,BF$2,"."&amp;$D$134&amp;$AW$82&amp;"P"&amp;$A180))</f>
        <v>-5</v>
      </c>
      <c r="BG180" s="3">
        <f ca="1">+Hoja2!Y181</f>
        <v>-2</v>
      </c>
      <c r="BH180" s="7">
        <f t="shared" ca="1" si="546"/>
        <v>-70</v>
      </c>
      <c r="BI180" s="32" t="str">
        <f t="shared" ca="1" si="605"/>
        <v/>
      </c>
      <c r="BJ180" s="3" t="e">
        <f ca="1">IF($BP$1=1,DX180,IF(RTD("tos.rtd",,BJ$43,"."&amp;$B$134&amp;$AS$82&amp;"C"&amp;$A180)="N/A",0,RTD("tos.rtd",,BJ$43,"."&amp;$B$134&amp;$AS$82&amp;"C"&amp;$A180)))</f>
        <v>#NUM!</v>
      </c>
      <c r="BK180" s="3" t="e">
        <f ca="1">IF($BP$1=1,DY180,-IF(RTD("tos.rtd",,BK$43,"."&amp;$B$134&amp;$AS$82&amp;"P"&amp;$A180)="N/A",0,RTD("tos.rtd",,BK$43,"."&amp;$B$134&amp;$AS$82&amp;"P"&amp;$A180)))</f>
        <v>#NUM!</v>
      </c>
      <c r="BL180" s="3">
        <f ca="1">IF($BP$1=1,DZ180,IF(RTD("tos.rtd",,BL$2,"."&amp;$C$134&amp;$AU$82&amp;"C"&amp;$A180)="N/A",0,RTD("tos.rtd",,BL$2,"."&amp;$C$134&amp;$AU$82&amp;"C"&amp;$A180)))</f>
        <v>4.447522832963687E-4</v>
      </c>
      <c r="BM180" s="3">
        <f ca="1">IF($BP$1=1,EA180,-IF(RTD("tos.rtd",,BM$2,"."&amp;$C$134&amp;$AU$82&amp;"P"&amp;$A180)="N/A",0,RTD("tos.rtd",,BM$2,"."&amp;$C$134&amp;$AU$82&amp;"P"&amp;$A180)))</f>
        <v>-4.7320087358166708E-4</v>
      </c>
      <c r="BN180" s="3">
        <f ca="1">IF($BP$1=1,EB180,IF(RTD("tos.rtd",,BN$2,"."&amp;$D$134&amp;$AW$82&amp;"C"&amp;$A180)="N/A",0,RTD("tos.rtd",,BN$2,"."&amp;$D$134&amp;$AW$82&amp;"C"&amp;$A180)))</f>
        <v>4.6793452820308916E-4</v>
      </c>
      <c r="BO180" s="3">
        <f ca="1">IF($BP$1=1,EC180,-IF(RTD("tos.rtd",,BO$2,"."&amp;$D$134&amp;$AW$82&amp;"P"&amp;$A180)="N/A",0,RTD("tos.rtd",,BO$2,"."&amp;$D$134&amp;$AW$82&amp;"P"&amp;$A180)))</f>
        <v>-4.5898733590283083E-4</v>
      </c>
      <c r="BQ180" s="3" t="e">
        <f t="shared" ca="1" si="634"/>
        <v>#NUM!</v>
      </c>
      <c r="BR180" s="3" t="e">
        <f t="shared" ca="1" si="547"/>
        <v>#NUM!</v>
      </c>
      <c r="BS180" s="3">
        <f t="shared" ca="1" si="635"/>
        <v>-390151.3640615191</v>
      </c>
      <c r="BT180" s="3" t="str">
        <f t="shared" ca="1" si="548"/>
        <v/>
      </c>
      <c r="BU180" s="3">
        <f t="shared" ca="1" si="636"/>
        <v>92437.640503086965</v>
      </c>
      <c r="BV180" s="3" t="str">
        <f t="shared" ca="1" si="548"/>
        <v>Cruce +</v>
      </c>
      <c r="BX180" s="3" t="e">
        <f t="shared" ca="1" si="582"/>
        <v>#NUM!</v>
      </c>
      <c r="BY180" s="3" t="e">
        <f t="shared" ca="1" si="583"/>
        <v>#NUM!</v>
      </c>
      <c r="BZ180" s="3">
        <f t="shared" ca="1" si="584"/>
        <v>0</v>
      </c>
      <c r="CA180" s="3" t="str">
        <f t="shared" ca="1" si="583"/>
        <v/>
      </c>
      <c r="CB180" s="3">
        <f t="shared" ca="1" si="585"/>
        <v>-543.95259873089071</v>
      </c>
      <c r="CC180" s="3" t="str">
        <f t="shared" ca="1" si="583"/>
        <v/>
      </c>
      <c r="CD180" s="3">
        <f>IF(RTD("tos.rtd",,CD$43,"."&amp;$B$134&amp;$AS$82&amp;"C"&amp;$A180)="N/A",0,RTD("tos.rtd",,CD$43,"."&amp;$B$134&amp;$AS$82&amp;"C"&amp;$A180))</f>
        <v>1</v>
      </c>
      <c r="CE180" s="3">
        <f>-IF(RTD("tos.rtd",,CE$43,"."&amp;$B$134&amp;$AS$82&amp;"P"&amp;$A180)="N/A",0,RTD("tos.rtd",,CE$43,"."&amp;$B$134&amp;$AS$82&amp;"P"&amp;$A180))</f>
        <v>7.0000000000000007E-2</v>
      </c>
      <c r="CF180" s="3">
        <f>IF(RTD("tos.rtd",,CF$2,"."&amp;$C$134&amp;$AU$82&amp;"C"&amp;$A180)="N/A",0,RTD("tos.rtd",,CF$2,"."&amp;$C$134&amp;$AU$82&amp;"C"&amp;$A180))</f>
        <v>0.82</v>
      </c>
      <c r="CG180" s="3">
        <f>-IF(RTD("tos.rtd",,CG$2,"."&amp;$C$134&amp;$AU$82&amp;"P"&amp;$A180)="N/A",0,RTD("tos.rtd",,CG$2,"."&amp;$C$134&amp;$AU$82&amp;"P"&amp;$A180))</f>
        <v>0.12</v>
      </c>
      <c r="CH180" s="3">
        <f>IF(RTD("tos.rtd",,CH$2,"."&amp;$D$134&amp;$AW$82&amp;"C"&amp;$A180)="N/A",0,RTD("tos.rtd",,CH$2,"."&amp;$D$134&amp;$AW$82&amp;"C"&amp;$A180))</f>
        <v>0.74</v>
      </c>
      <c r="CI180" s="3">
        <f>-IF(RTD("tos.rtd",,CI$2,"."&amp;$D$134&amp;$AW$82&amp;"P"&amp;$A180)="N/A",0,RTD("tos.rtd",,CI$2,"."&amp;$D$134&amp;$AW$82&amp;"P"&amp;$A180))</f>
        <v>0.25</v>
      </c>
      <c r="CK180" s="3">
        <f t="shared" si="656"/>
        <v>-21.000000000000004</v>
      </c>
      <c r="CL180" s="3"/>
      <c r="CM180" s="3">
        <f t="shared" si="657"/>
        <v>-312</v>
      </c>
      <c r="CN180" s="3"/>
      <c r="CO180" s="3">
        <f t="shared" si="658"/>
        <v>1032</v>
      </c>
      <c r="CP180" s="3">
        <f t="shared" si="539"/>
        <v>699</v>
      </c>
      <c r="CQ180" s="3">
        <f t="shared" si="549"/>
        <v>-63</v>
      </c>
      <c r="CR180" s="3"/>
      <c r="CS180" s="3">
        <f t="shared" si="550"/>
        <v>0</v>
      </c>
      <c r="CT180" s="3"/>
      <c r="CU180" s="3">
        <f t="shared" si="551"/>
        <v>-5</v>
      </c>
      <c r="CV180" s="3"/>
      <c r="CW180" s="3" t="e">
        <f t="shared" ca="1" si="552"/>
        <v>#NUM!</v>
      </c>
      <c r="CY180" s="3" t="e">
        <f t="shared" ca="1" si="553"/>
        <v>#NUM!</v>
      </c>
      <c r="CZ180" s="70" t="e">
        <f t="shared" ca="1" si="586"/>
        <v>#NUM!</v>
      </c>
      <c r="DA180" s="3">
        <f>IF(RTD("tos.rtd",,DA$43,"."&amp;$B$134&amp;$AS$82&amp;"C"&amp;$A180)="N/A",0,RTD("tos.rtd",,DA$43,"."&amp;$B$134&amp;$AS$82&amp;"C"&amp;$A180))</f>
        <v>0</v>
      </c>
      <c r="DB180" s="3">
        <f>IF(RTD("tos.rtd",,DB$43,"."&amp;$B$134&amp;$AS$82&amp;"P"&amp;$A180)="N/A",0,RTD("tos.rtd",,DB$43,"."&amp;$B$134&amp;$AS$82&amp;"P"&amp;$A180))</f>
        <v>0.6</v>
      </c>
      <c r="DC180" s="3">
        <f>IF(RTD("tos.rtd",,DC$43,"."&amp;$B$134&amp;$AS$82&amp;"C"&amp;$A180)="N/A",0,RTD("tos.rtd",,DC$43,"."&amp;$B$134&amp;$AS$82&amp;"C"&amp;$A180))</f>
        <v>527.79999999999995</v>
      </c>
      <c r="DD180" s="3">
        <f>IF(RTD("tos.rtd",,DD$43,"."&amp;$B$134&amp;$AS$82&amp;"P"&amp;$A180)="N/A",0,RTD("tos.rtd",,DD$43,"."&amp;$B$134&amp;$AS$82&amp;"P"&amp;$A180))</f>
        <v>19.8</v>
      </c>
      <c r="DE180" s="3">
        <f>IF(RTD("tos.rtd",,DE$43,"."&amp;$B$134&amp;$AS$82&amp;"C"&amp;$A180)="N/A",0,RTD("tos.rtd",,DE$43,"."&amp;$B$134&amp;$AS$82&amp;"C"&amp;$A180))</f>
        <v>452</v>
      </c>
      <c r="DF180" s="3">
        <f>IF(RTD("tos.rtd",,DF$43,"."&amp;$B$134&amp;$AS$82&amp;"P"&amp;$A180)="N/A",0,RTD("tos.rtd",,DF$43,"."&amp;$B$134&amp;$AS$82&amp;"P"&amp;$A180))</f>
        <v>0</v>
      </c>
      <c r="DG180" s="86">
        <f t="shared" si="587"/>
        <v>-492.97300000000178</v>
      </c>
      <c r="DH180" s="3">
        <f t="shared" si="554"/>
        <v>0</v>
      </c>
      <c r="DI180" s="3">
        <f t="shared" si="555"/>
        <v>0</v>
      </c>
      <c r="DJ180" s="3">
        <f t="shared" si="556"/>
        <v>0</v>
      </c>
      <c r="DK180" s="3">
        <f t="shared" si="557"/>
        <v>0</v>
      </c>
      <c r="DL180" s="3">
        <f t="shared" si="558"/>
        <v>0</v>
      </c>
      <c r="DM180" s="3">
        <f t="shared" si="559"/>
        <v>0</v>
      </c>
      <c r="DN180" s="64" t="str">
        <f t="shared" si="560"/>
        <v>UNKNOWN</v>
      </c>
      <c r="DO180" s="64" t="str">
        <f t="shared" si="561"/>
        <v>UNKNOWN</v>
      </c>
      <c r="DP180" s="3">
        <f t="shared" si="562"/>
        <v>0</v>
      </c>
      <c r="DQ180" s="3">
        <f t="shared" si="563"/>
        <v>0</v>
      </c>
      <c r="DR180" s="3" t="e">
        <f t="shared" ca="1" si="564"/>
        <v>#NUM!</v>
      </c>
      <c r="DS180" s="3">
        <f t="shared" si="565"/>
        <v>0</v>
      </c>
      <c r="DT180" s="3">
        <f t="shared" si="588"/>
        <v>0</v>
      </c>
      <c r="DU180" s="3">
        <f t="shared" si="589"/>
        <v>0</v>
      </c>
      <c r="DV180" s="3">
        <f t="shared" si="566"/>
        <v>0</v>
      </c>
      <c r="DW180" s="3">
        <f t="shared" si="567"/>
        <v>-11</v>
      </c>
      <c r="DX180" s="3" t="e">
        <f t="shared" ca="1" si="650"/>
        <v>#NUM!</v>
      </c>
      <c r="DY180" s="3" t="e">
        <f t="shared" ca="1" si="651"/>
        <v>#NUM!</v>
      </c>
      <c r="DZ180" s="3">
        <f t="shared" ca="1" si="652"/>
        <v>4.447522832963687E-4</v>
      </c>
      <c r="EA180" s="3">
        <f t="shared" ca="1" si="653"/>
        <v>-4.7320087358166708E-4</v>
      </c>
      <c r="EB180" s="3">
        <f t="shared" ca="1" si="654"/>
        <v>4.6793452820308916E-4</v>
      </c>
      <c r="EC180" s="3">
        <f t="shared" ca="1" si="655"/>
        <v>-4.5898733590283083E-4</v>
      </c>
      <c r="ED180" s="63">
        <f t="shared" si="590"/>
        <v>-11</v>
      </c>
      <c r="EE180" s="59">
        <f t="shared" si="574"/>
        <v>0.25</v>
      </c>
      <c r="EF180" s="59">
        <f t="shared" si="575"/>
        <v>2.2320000000000002</v>
      </c>
      <c r="EG180" s="59">
        <f t="shared" si="576"/>
        <v>0.40839999999999999</v>
      </c>
      <c r="EH180" s="59">
        <f t="shared" si="577"/>
        <v>0.31559999999999999</v>
      </c>
      <c r="EI180" s="59">
        <f t="shared" si="578"/>
        <v>0.28070000000000001</v>
      </c>
      <c r="EJ180" s="59">
        <f t="shared" si="579"/>
        <v>0.26369999999999999</v>
      </c>
      <c r="EL180" s="3" t="str">
        <f>RTD("tos.rtd",,EL$43,"."&amp;$B$134&amp;$AS$82&amp;"C"&amp;$A180)</f>
        <v>--</v>
      </c>
      <c r="EM180" s="3" t="str">
        <f>RTD("tos.rtd",,EM$43,"."&amp;$B$134&amp;$AS$82&amp;"P"&amp;$A180)</f>
        <v>223.20%</v>
      </c>
      <c r="EN180" s="3" t="str">
        <f>RTD("tos.rtd",,EN$2,"."&amp;$C$134&amp;$AU$82&amp;"C"&amp;$A180)</f>
        <v>40.84%</v>
      </c>
      <c r="EO180" s="3" t="str">
        <f>RTD("tos.rtd",,EO$2,"."&amp;$C$134&amp;$AU$82&amp;"P"&amp;$A180)</f>
        <v>31.56%</v>
      </c>
      <c r="EP180" s="3" t="str">
        <f>RTD("tos.rtd",,EP$2,"."&amp;$D$134&amp;$AW$82&amp;"C"&amp;$A180)</f>
        <v>28.07%</v>
      </c>
      <c r="EQ180" s="3" t="str">
        <f>RTD("tos.rtd",,EQ$2,"."&amp;$D$134&amp;$AW$82&amp;"P"&amp;$A180)</f>
        <v>26.37%</v>
      </c>
      <c r="ES180" s="63" t="str">
        <f t="shared" si="580"/>
        <v>19375,-11.00</v>
      </c>
      <c r="ET180" s="64" t="str">
        <f t="shared" ca="1" si="581"/>
        <v>19375,00.00</v>
      </c>
      <c r="EU180" s="68">
        <v>562.29999999999995</v>
      </c>
      <c r="EV180" s="68" t="s">
        <v>1460</v>
      </c>
      <c r="EW180" s="68">
        <v>484.73</v>
      </c>
      <c r="EX180" s="68" t="s">
        <v>1461</v>
      </c>
      <c r="EY180" s="68">
        <v>5637</v>
      </c>
      <c r="EZ180" s="68" t="s">
        <v>1462</v>
      </c>
      <c r="FA180" s="68">
        <v>19911.25</v>
      </c>
      <c r="FB180" s="68" t="s">
        <v>1463</v>
      </c>
      <c r="FC180" s="68" t="s">
        <v>1464</v>
      </c>
      <c r="FD180" s="68" t="s">
        <v>1465</v>
      </c>
      <c r="FE180" s="68" t="s">
        <v>1466</v>
      </c>
      <c r="FF180" s="68" t="s">
        <v>1467</v>
      </c>
    </row>
    <row r="181" spans="1:162" ht="11.1" customHeight="1" thickBot="1" x14ac:dyDescent="0.25">
      <c r="A181" s="2">
        <f t="shared" si="591"/>
        <v>19350</v>
      </c>
      <c r="B181" s="3">
        <f t="shared" si="627"/>
        <v>69</v>
      </c>
      <c r="C181" s="3">
        <f t="shared" si="628"/>
        <v>39</v>
      </c>
      <c r="D181" s="3">
        <f t="shared" si="629"/>
        <v>43</v>
      </c>
      <c r="E181" s="3">
        <f t="shared" si="630"/>
        <v>151</v>
      </c>
      <c r="F181" s="4">
        <f t="shared" si="631"/>
        <v>19572.082164597265</v>
      </c>
      <c r="G181" s="5">
        <f t="shared" si="632"/>
        <v>474.15745431101601</v>
      </c>
      <c r="AM181" s="1">
        <v>0</v>
      </c>
      <c r="AN181" s="1">
        <v>432</v>
      </c>
      <c r="AO181" s="1">
        <v>19350</v>
      </c>
      <c r="AP181" s="1">
        <v>0</v>
      </c>
      <c r="AQ181" s="1">
        <v>-2810</v>
      </c>
      <c r="AS181" s="54">
        <f>IF(RTD("tos.rtd",,AS$83,"."&amp;$B$134&amp;$AS$82&amp;"C"&amp;$A181)="N/A",0,RTD("tos.rtd",,AS$83,"."&amp;$B$134&amp;$AS$82&amp;"C"&amp;$A181))</f>
        <v>2</v>
      </c>
      <c r="AT181" s="3">
        <f>-IF(RTD("tos.rtd",,AT$83,"."&amp;$B$134&amp;$AS$82&amp;"P"&amp;$A181)="N/A",0,RTD("tos.rtd",,AT$83,"."&amp;$B$134&amp;$AS$82&amp;"P"&amp;$A181))</f>
        <v>-67</v>
      </c>
      <c r="AU181" s="54">
        <f>IF(RTD("tos.rtd",,AU$2,"."&amp;$C$134&amp;$AU$134&amp;"C"&amp;$A181)="N/A",0,RTD("tos.rtd",,AU$2,"."&amp;$C$134&amp;$AU$134&amp;"C"&amp;$A181))</f>
        <v>4</v>
      </c>
      <c r="AV181" s="3">
        <f>-IF(RTD("tos.rtd",,AV$2,"."&amp;$C$134&amp;$AU$134&amp;"P"&amp;$A181)="N/A",0,RTD("tos.rtd",,AV$2,"."&amp;$C$134&amp;$AU$134&amp;"P"&amp;$A181))</f>
        <v>-35</v>
      </c>
      <c r="AW181" s="54">
        <f>IF(RTD("tos.rtd",,AW$2,"."&amp;$D$134&amp;$AW$134&amp;"C"&amp;$A181)="N/A",0,RTD("tos.rtd",,AW$2,"."&amp;$D$134&amp;$AW$134&amp;"C"&amp;$A181))</f>
        <v>27</v>
      </c>
      <c r="AX181" s="3">
        <f>-IF(RTD("tos.rtd",,AX$2,"."&amp;$D$134&amp;$AW$134&amp;"P"&amp;$A181)="N/A",0,RTD("tos.rtd",,AX$2,"."&amp;$D$134&amp;$AW$134&amp;"P"&amp;$A181))</f>
        <v>-16</v>
      </c>
      <c r="AY181" s="76">
        <f t="shared" si="633"/>
        <v>-85</v>
      </c>
      <c r="AZ181" s="8">
        <f t="shared" si="545"/>
        <v>19350</v>
      </c>
      <c r="BA181" s="54">
        <f>IF(RTD("tos.rtd",,BA$43,"."&amp;$B$134&amp;$AS$82&amp;"C"&amp;$A181)="N/A",0,RTD("tos.rtd",,BA$43,"."&amp;$B$134&amp;$AS$82&amp;"C"&amp;$A181))</f>
        <v>0</v>
      </c>
      <c r="BB181" s="3">
        <f>-IF(RTD("tos.rtd",,BB$43,"."&amp;$B$134&amp;$AS$82&amp;"P"&amp;$A181)="N/A",0,RTD("tos.rtd",,BB$43,"."&amp;$B$134&amp;$AS$82&amp;"P"&amp;$A181))</f>
        <v>-2810</v>
      </c>
      <c r="BC181" s="54">
        <f>IF(RTD("tos.rtd",,BC$2,"."&amp;$C$134&amp;$AU$82&amp;"C"&amp;$A181)="N/A",0,RTD("tos.rtd",,BC$2,"."&amp;$C$134&amp;$AU$82&amp;"C"&amp;$A181))</f>
        <v>0</v>
      </c>
      <c r="BD181" s="3">
        <f>-IF(RTD("tos.rtd",,BD$2,"."&amp;$C$134&amp;$AU$82&amp;"P"&amp;$A181)="N/A",0,RTD("tos.rtd",,BD$2,"."&amp;$C$134&amp;$AU$82&amp;"P"&amp;$A181))</f>
        <v>0</v>
      </c>
      <c r="BE181" s="54">
        <f>IF(RTD("tos.rtd",,BE$2,"."&amp;$D$134&amp;$AW$82&amp;"C"&amp;$A181)="N/A",0,RTD("tos.rtd",,BE$2,"."&amp;$D$134&amp;$AW$82&amp;"C"&amp;$A181))</f>
        <v>4</v>
      </c>
      <c r="BF181" s="3">
        <f>-IF(RTD("tos.rtd",,BF$2,"."&amp;$D$134&amp;$AW$82&amp;"P"&amp;$A181)="N/A",0,RTD("tos.rtd",,BF$2,"."&amp;$D$134&amp;$AW$82&amp;"P"&amp;$A181))</f>
        <v>-1</v>
      </c>
      <c r="BG181" s="3">
        <f ca="1">+Hoja2!Y182</f>
        <v>0</v>
      </c>
      <c r="BH181" s="7">
        <f t="shared" ca="1" si="546"/>
        <v>-2807</v>
      </c>
      <c r="BI181" s="32" t="str">
        <f t="shared" ca="1" si="605"/>
        <v/>
      </c>
      <c r="BJ181" s="3" t="e">
        <f ca="1">IF($BP$1=1,DX181,IF(RTD("tos.rtd",,BJ$43,"."&amp;$B$134&amp;$AS$82&amp;"C"&amp;$A181)="N/A",0,RTD("tos.rtd",,BJ$43,"."&amp;$B$134&amp;$AS$82&amp;"C"&amp;$A181)))</f>
        <v>#NUM!</v>
      </c>
      <c r="BK181" s="3" t="e">
        <f ca="1">IF($BP$1=1,DY181,-IF(RTD("tos.rtd",,BK$43,"."&amp;$B$134&amp;$AS$82&amp;"P"&amp;$A181)="N/A",0,RTD("tos.rtd",,BK$43,"."&amp;$B$134&amp;$AS$82&amp;"P"&amp;$A181)))</f>
        <v>#NUM!</v>
      </c>
      <c r="BL181" s="3">
        <f ca="1">IF($BP$1=1,DZ181,IF(RTD("tos.rtd",,BL$2,"."&amp;$C$134&amp;$AU$82&amp;"C"&amp;$A181)="N/A",0,RTD("tos.rtd",,BL$2,"."&amp;$C$134&amp;$AU$82&amp;"C"&amp;$A181)))</f>
        <v>4.2871173457440567E-4</v>
      </c>
      <c r="BM181" s="3">
        <f ca="1">IF($BP$1=1,EA181,-IF(RTD("tos.rtd",,BM$2,"."&amp;$C$134&amp;$AU$82&amp;"P"&amp;$A181)="N/A",0,RTD("tos.rtd",,BM$2,"."&amp;$C$134&amp;$AU$82&amp;"P"&amp;$A181)))</f>
        <v>-4.4977815148464472E-4</v>
      </c>
      <c r="BN181" s="3">
        <f ca="1">IF($BP$1=1,EB181,IF(RTD("tos.rtd",,BN$2,"."&amp;$D$134&amp;$AW$82&amp;"C"&amp;$A181)="N/A",0,RTD("tos.rtd",,BN$2,"."&amp;$D$134&amp;$AW$82&amp;"C"&amp;$A181)))</f>
        <v>4.3949127401137481E-4</v>
      </c>
      <c r="BO181" s="3">
        <f ca="1">IF($BP$1=1,EC181,-IF(RTD("tos.rtd",,BO$2,"."&amp;$D$134&amp;$AW$82&amp;"P"&amp;$A181)="N/A",0,RTD("tos.rtd",,BO$2,"."&amp;$D$134&amp;$AW$82&amp;"P"&amp;$A181)))</f>
        <v>-4.2744048996425543E-4</v>
      </c>
      <c r="BQ181" s="3" t="e">
        <f t="shared" ca="1" si="634"/>
        <v>#NUM!</v>
      </c>
      <c r="BR181" s="3" t="e">
        <f t="shared" ca="1" si="547"/>
        <v>#NUM!</v>
      </c>
      <c r="BS181" s="3">
        <f t="shared" ca="1" si="635"/>
        <v>-444826.92314973217</v>
      </c>
      <c r="BT181" s="3" t="str">
        <f t="shared" ca="1" si="548"/>
        <v/>
      </c>
      <c r="BU181" s="3">
        <f t="shared" ca="1" si="636"/>
        <v>159419.64504854422</v>
      </c>
      <c r="BV181" s="3" t="str">
        <f t="shared" ca="1" si="548"/>
        <v/>
      </c>
      <c r="BX181" s="3" t="e">
        <f t="shared" ca="1" si="582"/>
        <v>#NUM!</v>
      </c>
      <c r="BY181" s="3" t="e">
        <f t="shared" ca="1" si="583"/>
        <v>#NUM!</v>
      </c>
      <c r="BZ181" s="3">
        <f t="shared" ca="1" si="584"/>
        <v>0</v>
      </c>
      <c r="CA181" s="3" t="str">
        <f t="shared" ca="1" si="583"/>
        <v/>
      </c>
      <c r="CB181" s="3">
        <f t="shared" ca="1" si="585"/>
        <v>315.36483059153773</v>
      </c>
      <c r="CC181" s="3" t="str">
        <f t="shared" ca="1" si="583"/>
        <v>Cruce +</v>
      </c>
      <c r="CD181" s="3">
        <f>IF(RTD("tos.rtd",,CD$43,"."&amp;$B$134&amp;$AS$82&amp;"C"&amp;$A181)="N/A",0,RTD("tos.rtd",,CD$43,"."&amp;$B$134&amp;$AS$82&amp;"C"&amp;$A181))</f>
        <v>0.96</v>
      </c>
      <c r="CE181" s="3">
        <f>-IF(RTD("tos.rtd",,CE$43,"."&amp;$B$134&amp;$AS$82&amp;"P"&amp;$A181)="N/A",0,RTD("tos.rtd",,CE$43,"."&amp;$B$134&amp;$AS$82&amp;"P"&amp;$A181))</f>
        <v>0.06</v>
      </c>
      <c r="CF181" s="3">
        <f>IF(RTD("tos.rtd",,CF$2,"."&amp;$C$134&amp;$AU$82&amp;"C"&amp;$A181)="N/A",0,RTD("tos.rtd",,CF$2,"."&amp;$C$134&amp;$AU$82&amp;"C"&amp;$A181))</f>
        <v>0.83</v>
      </c>
      <c r="CG181" s="3">
        <f>-IF(RTD("tos.rtd",,CG$2,"."&amp;$C$134&amp;$AU$82&amp;"P"&amp;$A181)="N/A",0,RTD("tos.rtd",,CG$2,"."&amp;$C$134&amp;$AU$82&amp;"P"&amp;$A181))</f>
        <v>0.11</v>
      </c>
      <c r="CH181" s="3">
        <f>IF(RTD("tos.rtd",,CH$2,"."&amp;$D$134&amp;$AW$82&amp;"C"&amp;$A181)="N/A",0,RTD("tos.rtd",,CH$2,"."&amp;$D$134&amp;$AW$82&amp;"C"&amp;$A181))</f>
        <v>0.75</v>
      </c>
      <c r="CI181" s="3">
        <f>-IF(RTD("tos.rtd",,CI$2,"."&amp;$D$134&amp;$AW$82&amp;"P"&amp;$A181)="N/A",0,RTD("tos.rtd",,CI$2,"."&amp;$D$134&amp;$AW$82&amp;"P"&amp;$A181))</f>
        <v>0.24</v>
      </c>
      <c r="CK181" s="3">
        <f t="shared" si="656"/>
        <v>-209.99999999999994</v>
      </c>
      <c r="CL181" s="3"/>
      <c r="CM181" s="3">
        <f t="shared" si="657"/>
        <v>-53</v>
      </c>
      <c r="CN181" s="3"/>
      <c r="CO181" s="3">
        <f t="shared" si="658"/>
        <v>1641</v>
      </c>
      <c r="CP181" s="3">
        <f t="shared" si="539"/>
        <v>1378</v>
      </c>
      <c r="CQ181" s="3">
        <f t="shared" si="549"/>
        <v>-2810</v>
      </c>
      <c r="CR181" s="3"/>
      <c r="CS181" s="3">
        <f t="shared" si="550"/>
        <v>0</v>
      </c>
      <c r="CT181" s="3"/>
      <c r="CU181" s="3">
        <f t="shared" si="551"/>
        <v>3</v>
      </c>
      <c r="CV181" s="3"/>
      <c r="CW181" s="3" t="e">
        <f t="shared" ca="1" si="552"/>
        <v>#NUM!</v>
      </c>
      <c r="CY181" s="3" t="e">
        <f t="shared" ca="1" si="553"/>
        <v>#NUM!</v>
      </c>
      <c r="CZ181" s="70" t="e">
        <f t="shared" ca="1" si="586"/>
        <v>#NUM!</v>
      </c>
      <c r="DA181" s="3">
        <f>IF(RTD("tos.rtd",,DA$43,"."&amp;$B$134&amp;$AS$82&amp;"C"&amp;$A181)="N/A",0,RTD("tos.rtd",,DA$43,"."&amp;$B$134&amp;$AS$82&amp;"C"&amp;$A181))</f>
        <v>508.45</v>
      </c>
      <c r="DB181" s="3">
        <f>IF(RTD("tos.rtd",,DB$43,"."&amp;$B$134&amp;$AS$82&amp;"P"&amp;$A181)="N/A",0,RTD("tos.rtd",,DB$43,"."&amp;$B$134&amp;$AS$82&amp;"P"&amp;$A181))</f>
        <v>0.45</v>
      </c>
      <c r="DC181" s="3">
        <f>IF(RTD("tos.rtd",,DC$43,"."&amp;$B$134&amp;$AS$82&amp;"C"&amp;$A181)="N/A",0,RTD("tos.rtd",,DC$43,"."&amp;$B$134&amp;$AS$82&amp;"C"&amp;$A181))</f>
        <v>556</v>
      </c>
      <c r="DD181" s="3">
        <f>IF(RTD("tos.rtd",,DD$43,"."&amp;$B$134&amp;$AS$82&amp;"P"&amp;$A181)="N/A",0,RTD("tos.rtd",,DD$43,"."&amp;$B$134&amp;$AS$82&amp;"P"&amp;$A181))</f>
        <v>19.8</v>
      </c>
      <c r="DE181" s="3">
        <f>IF(RTD("tos.rtd",,DE$43,"."&amp;$B$134&amp;$AS$82&amp;"C"&amp;$A181)="N/A",0,RTD("tos.rtd",,DE$43,"."&amp;$B$134&amp;$AS$82&amp;"C"&amp;$A181))</f>
        <v>489.7</v>
      </c>
      <c r="DF181" s="3">
        <f>IF(RTD("tos.rtd",,DF$43,"."&amp;$B$134&amp;$AS$82&amp;"P"&amp;$A181)="N/A",0,RTD("tos.rtd",,DF$43,"."&amp;$B$134&amp;$AS$82&amp;"P"&amp;$A181))</f>
        <v>0</v>
      </c>
      <c r="DG181" s="86">
        <f t="shared" si="587"/>
        <v>-517.97300000000178</v>
      </c>
      <c r="DH181" s="3">
        <f t="shared" si="554"/>
        <v>0</v>
      </c>
      <c r="DI181" s="3">
        <f t="shared" si="555"/>
        <v>0</v>
      </c>
      <c r="DJ181" s="3">
        <f t="shared" si="556"/>
        <v>0</v>
      </c>
      <c r="DK181" s="3">
        <f t="shared" si="557"/>
        <v>0</v>
      </c>
      <c r="DL181" s="3">
        <f t="shared" si="558"/>
        <v>0</v>
      </c>
      <c r="DM181" s="3">
        <f t="shared" si="559"/>
        <v>0</v>
      </c>
      <c r="DN181" s="64" t="str">
        <f t="shared" si="560"/>
        <v>UNKNOWN</v>
      </c>
      <c r="DO181" s="64" t="str">
        <f t="shared" si="561"/>
        <v>UNKNOWN</v>
      </c>
      <c r="DP181" s="3">
        <f t="shared" si="562"/>
        <v>0</v>
      </c>
      <c r="DQ181" s="3">
        <f t="shared" si="563"/>
        <v>0</v>
      </c>
      <c r="DR181" s="3" t="e">
        <f t="shared" ca="1" si="564"/>
        <v>#NUM!</v>
      </c>
      <c r="DS181" s="3">
        <f t="shared" si="565"/>
        <v>0</v>
      </c>
      <c r="DT181" s="3">
        <f t="shared" si="588"/>
        <v>0</v>
      </c>
      <c r="DU181" s="3">
        <f t="shared" si="589"/>
        <v>0</v>
      </c>
      <c r="DV181" s="3">
        <f t="shared" si="566"/>
        <v>0</v>
      </c>
      <c r="DW181" s="3">
        <f t="shared" si="567"/>
        <v>432</v>
      </c>
      <c r="DX181" s="3" t="e">
        <f t="shared" ca="1" si="650"/>
        <v>#NUM!</v>
      </c>
      <c r="DY181" s="3" t="e">
        <f t="shared" ca="1" si="651"/>
        <v>#NUM!</v>
      </c>
      <c r="DZ181" s="3">
        <f t="shared" ca="1" si="652"/>
        <v>4.2871173457440567E-4</v>
      </c>
      <c r="EA181" s="3">
        <f t="shared" ca="1" si="653"/>
        <v>-4.4977815148464472E-4</v>
      </c>
      <c r="EB181" s="3">
        <f t="shared" ca="1" si="654"/>
        <v>4.3949127401137481E-4</v>
      </c>
      <c r="EC181" s="3">
        <f t="shared" ca="1" si="655"/>
        <v>-4.2744048996425543E-4</v>
      </c>
      <c r="ED181" s="63">
        <f t="shared" si="590"/>
        <v>432</v>
      </c>
      <c r="EE181" s="59">
        <f t="shared" si="574"/>
        <v>2.0021</v>
      </c>
      <c r="EF181" s="59">
        <f t="shared" si="575"/>
        <v>2.3205</v>
      </c>
      <c r="EG181" s="59">
        <f t="shared" si="576"/>
        <v>0.41489999999999999</v>
      </c>
      <c r="EH181" s="59">
        <f t="shared" si="577"/>
        <v>0.31830000000000003</v>
      </c>
      <c r="EI181" s="59">
        <f t="shared" si="578"/>
        <v>0.2823</v>
      </c>
      <c r="EJ181" s="59">
        <f t="shared" si="579"/>
        <v>0.26469999999999999</v>
      </c>
      <c r="EL181" s="3" t="str">
        <f>RTD("tos.rtd",,EL$43,"."&amp;$B$134&amp;$AS$82&amp;"C"&amp;$A181)</f>
        <v>200.21%</v>
      </c>
      <c r="EM181" s="3" t="str">
        <f>RTD("tos.rtd",,EM$43,"."&amp;$B$134&amp;$AS$82&amp;"P"&amp;$A181)</f>
        <v>232.05%</v>
      </c>
      <c r="EN181" s="3" t="str">
        <f>RTD("tos.rtd",,EN$2,"."&amp;$C$134&amp;$AU$82&amp;"C"&amp;$A181)</f>
        <v>41.49%</v>
      </c>
      <c r="EO181" s="3" t="str">
        <f>RTD("tos.rtd",,EO$2,"."&amp;$C$134&amp;$AU$82&amp;"P"&amp;$A181)</f>
        <v>31.83%</v>
      </c>
      <c r="EP181" s="3" t="str">
        <f>RTD("tos.rtd",,EP$2,"."&amp;$D$134&amp;$AW$82&amp;"C"&amp;$A181)</f>
        <v>28.23%</v>
      </c>
      <c r="EQ181" s="3" t="str">
        <f>RTD("tos.rtd",,EQ$2,"."&amp;$D$134&amp;$AW$82&amp;"P"&amp;$A181)</f>
        <v>26.47%</v>
      </c>
      <c r="ES181" s="63" t="str">
        <f t="shared" si="580"/>
        <v>19350,432.00</v>
      </c>
      <c r="ET181" s="64" t="str">
        <f t="shared" ca="1" si="581"/>
        <v>19350,00.00</v>
      </c>
      <c r="EU181" s="68">
        <v>562.25</v>
      </c>
      <c r="EV181" s="68" t="s">
        <v>1468</v>
      </c>
      <c r="EW181" s="68">
        <v>484.65</v>
      </c>
      <c r="EX181" s="68" t="s">
        <v>1469</v>
      </c>
      <c r="EY181" s="68">
        <v>5636.25</v>
      </c>
      <c r="EZ181" s="68" t="s">
        <v>1470</v>
      </c>
      <c r="FA181" s="68">
        <v>19908.5</v>
      </c>
      <c r="FB181" s="68" t="s">
        <v>1471</v>
      </c>
      <c r="FC181" s="68" t="s">
        <v>1472</v>
      </c>
      <c r="FD181" s="68" t="s">
        <v>1473</v>
      </c>
      <c r="FE181" s="68" t="s">
        <v>1474</v>
      </c>
      <c r="FF181" s="68" t="s">
        <v>1475</v>
      </c>
    </row>
    <row r="182" spans="1:162" ht="11.1" customHeight="1" thickBot="1" x14ac:dyDescent="0.25">
      <c r="A182" s="2">
        <f t="shared" si="591"/>
        <v>19325</v>
      </c>
      <c r="B182" s="3">
        <f t="shared" si="624"/>
        <v>16</v>
      </c>
      <c r="C182" s="3">
        <f t="shared" si="625"/>
        <v>22</v>
      </c>
      <c r="D182" s="3">
        <f t="shared" si="626"/>
        <v>54</v>
      </c>
      <c r="E182" s="3">
        <f t="shared" ref="E182:E189" si="659">SUM(B182:D182)</f>
        <v>92</v>
      </c>
      <c r="F182" s="4">
        <f t="shared" si="619"/>
        <v>19546.795236736027</v>
      </c>
      <c r="G182" s="5">
        <f t="shared" ref="G182:G189" si="660">+$G$136/$A$136*A182</f>
        <v>473.54484778089841</v>
      </c>
      <c r="AM182" s="1">
        <v>-1</v>
      </c>
      <c r="AN182" s="1">
        <v>-34</v>
      </c>
      <c r="AO182" s="1">
        <v>19325</v>
      </c>
      <c r="AP182" s="1">
        <v>1</v>
      </c>
      <c r="AQ182" s="1">
        <v>-75</v>
      </c>
      <c r="AS182" s="54">
        <f>IF(RTD("tos.rtd",,AS$83,"."&amp;$B$134&amp;$AS$82&amp;"C"&amp;$A182)="N/A",0,RTD("tos.rtd",,AS$83,"."&amp;$B$134&amp;$AS$82&amp;"C"&amp;$A182))</f>
        <v>2</v>
      </c>
      <c r="AT182" s="3">
        <f>-IF(RTD("tos.rtd",,AT$83,"."&amp;$B$134&amp;$AS$82&amp;"P"&amp;$A182)="N/A",0,RTD("tos.rtd",,AT$83,"."&amp;$B$134&amp;$AS$82&amp;"P"&amp;$A182))</f>
        <v>-14</v>
      </c>
      <c r="AU182" s="54">
        <f>IF(RTD("tos.rtd",,AU$2,"."&amp;$C$134&amp;$AU$134&amp;"C"&amp;$A182)="N/A",0,RTD("tos.rtd",,AU$2,"."&amp;$C$134&amp;$AU$134&amp;"C"&amp;$A182))</f>
        <v>1</v>
      </c>
      <c r="AV182" s="3">
        <f>-IF(RTD("tos.rtd",,AV$2,"."&amp;$C$134&amp;$AU$134&amp;"P"&amp;$A182)="N/A",0,RTD("tos.rtd",,AV$2,"."&amp;$C$134&amp;$AU$134&amp;"P"&amp;$A182))</f>
        <v>-21</v>
      </c>
      <c r="AW182" s="54">
        <f>IF(RTD("tos.rtd",,AW$2,"."&amp;$D$134&amp;$AW$134&amp;"C"&amp;$A182)="N/A",0,RTD("tos.rtd",,AW$2,"."&amp;$D$134&amp;$AW$134&amp;"C"&amp;$A182))</f>
        <v>30</v>
      </c>
      <c r="AX182" s="3">
        <f>-IF(RTD("tos.rtd",,AX$2,"."&amp;$D$134&amp;$AW$134&amp;"P"&amp;$A182)="N/A",0,RTD("tos.rtd",,AX$2,"."&amp;$D$134&amp;$AW$134&amp;"P"&amp;$A182))</f>
        <v>-24</v>
      </c>
      <c r="AY182" s="76">
        <f t="shared" si="620"/>
        <v>-26</v>
      </c>
      <c r="AZ182" s="8">
        <f t="shared" si="545"/>
        <v>19325</v>
      </c>
      <c r="BA182" s="54">
        <f>IF(RTD("tos.rtd",,BA$43,"."&amp;$B$134&amp;$AS$82&amp;"C"&amp;$A182)="N/A",0,RTD("tos.rtd",,BA$43,"."&amp;$B$134&amp;$AS$82&amp;"C"&amp;$A182))</f>
        <v>1</v>
      </c>
      <c r="BB182" s="3">
        <f>-IF(RTD("tos.rtd",,BB$43,"."&amp;$B$134&amp;$AS$82&amp;"P"&amp;$A182)="N/A",0,RTD("tos.rtd",,BB$43,"."&amp;$B$134&amp;$AS$82&amp;"P"&amp;$A182))</f>
        <v>-75</v>
      </c>
      <c r="BC182" s="54">
        <f>IF(RTD("tos.rtd",,BC$2,"."&amp;$C$134&amp;$AU$82&amp;"C"&amp;$A182)="N/A",0,RTD("tos.rtd",,BC$2,"."&amp;$C$134&amp;$AU$82&amp;"C"&amp;$A182))</f>
        <v>0</v>
      </c>
      <c r="BD182" s="3">
        <f>-IF(RTD("tos.rtd",,BD$2,"."&amp;$C$134&amp;$AU$82&amp;"P"&amp;$A182)="N/A",0,RTD("tos.rtd",,BD$2,"."&amp;$C$134&amp;$AU$82&amp;"P"&amp;$A182))</f>
        <v>-2</v>
      </c>
      <c r="BE182" s="54">
        <f>IF(RTD("tos.rtd",,BE$2,"."&amp;$D$134&amp;$AW$82&amp;"C"&amp;$A182)="N/A",0,RTD("tos.rtd",,BE$2,"."&amp;$D$134&amp;$AW$82&amp;"C"&amp;$A182))</f>
        <v>0</v>
      </c>
      <c r="BF182" s="3">
        <f>-IF(RTD("tos.rtd",,BF$2,"."&amp;$D$134&amp;$AW$82&amp;"P"&amp;$A182)="N/A",0,RTD("tos.rtd",,BF$2,"."&amp;$D$134&amp;$AW$82&amp;"P"&amp;$A182))</f>
        <v>-2</v>
      </c>
      <c r="BG182" s="3">
        <f ca="1">+Hoja2!Y183</f>
        <v>0</v>
      </c>
      <c r="BH182" s="7">
        <f t="shared" ca="1" si="546"/>
        <v>-78</v>
      </c>
      <c r="BI182" s="32" t="str">
        <f t="shared" ca="1" si="605"/>
        <v/>
      </c>
      <c r="BJ182" s="3" t="e">
        <f ca="1">IF($BP$1=1,DX182,IF(RTD("tos.rtd",,BJ$43,"."&amp;$B$134&amp;$AS$82&amp;"C"&amp;$A182)="N/A",0,RTD("tos.rtd",,BJ$43,"."&amp;$B$134&amp;$AS$82&amp;"C"&amp;$A182)))</f>
        <v>#NUM!</v>
      </c>
      <c r="BK182" s="3" t="e">
        <f ca="1">IF($BP$1=1,DY182,-IF(RTD("tos.rtd",,BK$43,"."&amp;$B$134&amp;$AS$82&amp;"P"&amp;$A182)="N/A",0,RTD("tos.rtd",,BK$43,"."&amp;$B$134&amp;$AS$82&amp;"P"&amp;$A182)))</f>
        <v>#NUM!</v>
      </c>
      <c r="BL182" s="3">
        <f ca="1">IF($BP$1=1,DZ182,IF(RTD("tos.rtd",,BL$2,"."&amp;$C$134&amp;$AU$82&amp;"C"&amp;$A182)="N/A",0,RTD("tos.rtd",,BL$2,"."&amp;$C$134&amp;$AU$82&amp;"C"&amp;$A182)))</f>
        <v>4.1375260814068818E-4</v>
      </c>
      <c r="BM182" s="3">
        <f ca="1">IF($BP$1=1,EA182,-IF(RTD("tos.rtd",,BM$2,"."&amp;$C$134&amp;$AU$82&amp;"P"&amp;$A182)="N/A",0,RTD("tos.rtd",,BM$2,"."&amp;$C$134&amp;$AU$82&amp;"P"&amp;$A182)))</f>
        <v>-4.2710380538084981E-4</v>
      </c>
      <c r="BN182" s="3">
        <f ca="1">IF($BP$1=1,EB182,IF(RTD("tos.rtd",,BN$2,"."&amp;$D$134&amp;$AW$82&amp;"C"&amp;$A182)="N/A",0,RTD("tos.rtd",,BN$2,"."&amp;$D$134&amp;$AW$82&amp;"C"&amp;$A182)))</f>
        <v>4.1187961211223485E-4</v>
      </c>
      <c r="BO182" s="3">
        <f ca="1">IF($BP$1=1,EC182,-IF(RTD("tos.rtd",,BO$2,"."&amp;$D$134&amp;$AW$82&amp;"P"&amp;$A182)="N/A",0,RTD("tos.rtd",,BO$2,"."&amp;$D$134&amp;$AW$82&amp;"P"&amp;$A182)))</f>
        <v>-3.9702598457489971E-4</v>
      </c>
      <c r="BQ182" s="3" t="e">
        <f t="shared" ca="1" si="621"/>
        <v>#NUM!</v>
      </c>
      <c r="BR182" s="3" t="e">
        <f t="shared" ca="1" si="547"/>
        <v>#NUM!</v>
      </c>
      <c r="BS182" s="3">
        <f t="shared" ca="1" si="622"/>
        <v>-271303.84541919839</v>
      </c>
      <c r="BT182" s="3" t="str">
        <f t="shared" ca="1" si="548"/>
        <v/>
      </c>
      <c r="BU182" s="3">
        <f t="shared" ca="1" si="623"/>
        <v>89672.136624039325</v>
      </c>
      <c r="BV182" s="3" t="str">
        <f t="shared" ca="1" si="548"/>
        <v/>
      </c>
      <c r="BX182" s="3" t="e">
        <f t="shared" ca="1" si="582"/>
        <v>#NUM!</v>
      </c>
      <c r="BY182" s="3" t="e">
        <f t="shared" ca="1" si="583"/>
        <v>#NUM!</v>
      </c>
      <c r="BZ182" s="3">
        <f t="shared" ca="1" si="584"/>
        <v>-202.4667843244805</v>
      </c>
      <c r="CA182" s="3" t="str">
        <f t="shared" ca="1" si="583"/>
        <v/>
      </c>
      <c r="CB182" s="3">
        <f t="shared" ca="1" si="585"/>
        <v>-188.20851834476531</v>
      </c>
      <c r="CC182" s="3" t="str">
        <f t="shared" ca="1" si="583"/>
        <v>Cruce -</v>
      </c>
      <c r="CD182" s="3">
        <f>IF(RTD("tos.rtd",,CD$43,"."&amp;$B$134&amp;$AS$82&amp;"C"&amp;$A182)="N/A",0,RTD("tos.rtd",,CD$43,"."&amp;$B$134&amp;$AS$82&amp;"C"&amp;$A182))</f>
        <v>0.95</v>
      </c>
      <c r="CE182" s="3">
        <f>-IF(RTD("tos.rtd",,CE$43,"."&amp;$B$134&amp;$AS$82&amp;"P"&amp;$A182)="N/A",0,RTD("tos.rtd",,CE$43,"."&amp;$B$134&amp;$AS$82&amp;"P"&amp;$A182))</f>
        <v>0.06</v>
      </c>
      <c r="CF182" s="3">
        <f>IF(RTD("tos.rtd",,CF$2,"."&amp;$C$134&amp;$AU$82&amp;"C"&amp;$A182)="N/A",0,RTD("tos.rtd",,CF$2,"."&amp;$C$134&amp;$AU$82&amp;"C"&amp;$A182))</f>
        <v>0.84</v>
      </c>
      <c r="CG182" s="3">
        <f>-IF(RTD("tos.rtd",,CG$2,"."&amp;$C$134&amp;$AU$82&amp;"P"&amp;$A182)="N/A",0,RTD("tos.rtd",,CG$2,"."&amp;$C$134&amp;$AU$82&amp;"P"&amp;$A182))</f>
        <v>0.1</v>
      </c>
      <c r="CH182" s="3">
        <f>IF(RTD("tos.rtd",,CH$2,"."&amp;$D$134&amp;$AW$82&amp;"C"&amp;$A182)="N/A",0,RTD("tos.rtd",,CH$2,"."&amp;$D$134&amp;$AW$82&amp;"C"&amp;$A182))</f>
        <v>0.75</v>
      </c>
      <c r="CI182" s="3">
        <f>-IF(RTD("tos.rtd",,CI$2,"."&amp;$D$134&amp;$AW$82&amp;"P"&amp;$A182)="N/A",0,RTD("tos.rtd",,CI$2,"."&amp;$D$134&amp;$AW$82&amp;"P"&amp;$A182))</f>
        <v>0.23</v>
      </c>
      <c r="CK182" s="3">
        <f t="shared" si="656"/>
        <v>106</v>
      </c>
      <c r="CL182" s="3"/>
      <c r="CM182" s="3">
        <f t="shared" si="657"/>
        <v>-126</v>
      </c>
      <c r="CN182" s="3"/>
      <c r="CO182" s="3">
        <f t="shared" si="658"/>
        <v>1698</v>
      </c>
      <c r="CP182" s="3">
        <f t="shared" si="539"/>
        <v>1678</v>
      </c>
      <c r="CQ182" s="3">
        <f t="shared" si="549"/>
        <v>-74</v>
      </c>
      <c r="CR182" s="3"/>
      <c r="CS182" s="3">
        <f t="shared" si="550"/>
        <v>-2</v>
      </c>
      <c r="CT182" s="3"/>
      <c r="CU182" s="3">
        <f t="shared" si="551"/>
        <v>-2</v>
      </c>
      <c r="CV182" s="3"/>
      <c r="CW182" s="3" t="e">
        <f t="shared" ca="1" si="552"/>
        <v>#NUM!</v>
      </c>
      <c r="CY182" s="3" t="e">
        <f t="shared" ca="1" si="553"/>
        <v>#NUM!</v>
      </c>
      <c r="CZ182" s="70" t="e">
        <f t="shared" ca="1" si="586"/>
        <v>#NUM!</v>
      </c>
      <c r="DA182" s="3">
        <f>IF(RTD("tos.rtd",,DA$43,"."&amp;$B$134&amp;$AS$82&amp;"C"&amp;$A182)="N/A",0,RTD("tos.rtd",,DA$43,"."&amp;$B$134&amp;$AS$82&amp;"C"&amp;$A182))</f>
        <v>310.2</v>
      </c>
      <c r="DB182" s="3">
        <f>IF(RTD("tos.rtd",,DB$43,"."&amp;$B$134&amp;$AS$82&amp;"P"&amp;$A182)="N/A",0,RTD("tos.rtd",,DB$43,"."&amp;$B$134&amp;$AS$82&amp;"P"&amp;$A182))</f>
        <v>0.68</v>
      </c>
      <c r="DC182" s="3">
        <f>IF(RTD("tos.rtd",,DC$43,"."&amp;$B$134&amp;$AS$82&amp;"C"&amp;$A182)="N/A",0,RTD("tos.rtd",,DC$43,"."&amp;$B$134&amp;$AS$82&amp;"C"&amp;$A182))</f>
        <v>582</v>
      </c>
      <c r="DD182" s="3">
        <f>IF(RTD("tos.rtd",,DD$43,"."&amp;$B$134&amp;$AS$82&amp;"P"&amp;$A182)="N/A",0,RTD("tos.rtd",,DD$43,"."&amp;$B$134&amp;$AS$82&amp;"P"&amp;$A182))</f>
        <v>19.8</v>
      </c>
      <c r="DE182" s="3">
        <f>IF(RTD("tos.rtd",,DE$43,"."&amp;$B$134&amp;$AS$82&amp;"C"&amp;$A182)="N/A",0,RTD("tos.rtd",,DE$43,"."&amp;$B$134&amp;$AS$82&amp;"C"&amp;$A182))</f>
        <v>516.79999999999995</v>
      </c>
      <c r="DF182" s="3">
        <f>IF(RTD("tos.rtd",,DF$43,"."&amp;$B$134&amp;$AS$82&amp;"P"&amp;$A182)="N/A",0,RTD("tos.rtd",,DF$43,"."&amp;$B$134&amp;$AS$82&amp;"P"&amp;$A182))</f>
        <v>0</v>
      </c>
      <c r="DG182" s="86">
        <f t="shared" si="587"/>
        <v>-542.97300000000178</v>
      </c>
      <c r="DH182" s="3">
        <f t="shared" si="554"/>
        <v>0</v>
      </c>
      <c r="DI182" s="3">
        <f t="shared" si="555"/>
        <v>0</v>
      </c>
      <c r="DJ182" s="3">
        <f t="shared" si="556"/>
        <v>0</v>
      </c>
      <c r="DK182" s="3">
        <f t="shared" si="557"/>
        <v>0</v>
      </c>
      <c r="DL182" s="3">
        <f t="shared" si="558"/>
        <v>0</v>
      </c>
      <c r="DM182" s="3">
        <f t="shared" si="559"/>
        <v>0</v>
      </c>
      <c r="DN182" s="64" t="str">
        <f t="shared" si="560"/>
        <v>UNKNOWN</v>
      </c>
      <c r="DO182" s="64" t="str">
        <f t="shared" si="561"/>
        <v>UNKNOWN</v>
      </c>
      <c r="DP182" s="3">
        <f t="shared" si="562"/>
        <v>0</v>
      </c>
      <c r="DQ182" s="3">
        <f t="shared" si="563"/>
        <v>0</v>
      </c>
      <c r="DR182" s="3" t="e">
        <f t="shared" ca="1" si="564"/>
        <v>#NUM!</v>
      </c>
      <c r="DS182" s="3">
        <f t="shared" si="565"/>
        <v>0</v>
      </c>
      <c r="DT182" s="3">
        <f t="shared" si="588"/>
        <v>0</v>
      </c>
      <c r="DU182" s="3">
        <f t="shared" si="589"/>
        <v>0</v>
      </c>
      <c r="DV182" s="3">
        <f t="shared" si="566"/>
        <v>-1</v>
      </c>
      <c r="DW182" s="3">
        <f t="shared" si="567"/>
        <v>-34</v>
      </c>
      <c r="DX182" s="3" t="e">
        <f t="shared" ca="1" si="650"/>
        <v>#NUM!</v>
      </c>
      <c r="DY182" s="3" t="e">
        <f t="shared" ca="1" si="651"/>
        <v>#NUM!</v>
      </c>
      <c r="DZ182" s="3">
        <f t="shared" ca="1" si="652"/>
        <v>4.1375260814068818E-4</v>
      </c>
      <c r="EA182" s="3">
        <f t="shared" ca="1" si="653"/>
        <v>-4.2710380538084981E-4</v>
      </c>
      <c r="EB182" s="3">
        <f t="shared" ca="1" si="654"/>
        <v>4.1187961211223485E-4</v>
      </c>
      <c r="EC182" s="3">
        <f t="shared" ca="1" si="655"/>
        <v>-3.9702598457489971E-4</v>
      </c>
      <c r="ED182" s="63">
        <f t="shared" si="590"/>
        <v>-35</v>
      </c>
      <c r="EE182" s="59">
        <f t="shared" si="574"/>
        <v>2.1960000000000002</v>
      </c>
      <c r="EF182" s="59">
        <f t="shared" si="575"/>
        <v>2.4085999999999999</v>
      </c>
      <c r="EG182" s="59">
        <f t="shared" si="576"/>
        <v>0.42009999999999997</v>
      </c>
      <c r="EH182" s="59">
        <f t="shared" si="577"/>
        <v>0.32100000000000001</v>
      </c>
      <c r="EI182" s="59">
        <f t="shared" si="578"/>
        <v>0.28370000000000001</v>
      </c>
      <c r="EJ182" s="59">
        <f t="shared" si="579"/>
        <v>0.26569999999999999</v>
      </c>
      <c r="EL182" s="3" t="str">
        <f>RTD("tos.rtd",,EL$43,"."&amp;$B$134&amp;$AS$82&amp;"C"&amp;$A182)</f>
        <v>219.60%</v>
      </c>
      <c r="EM182" s="3" t="str">
        <f>RTD("tos.rtd",,EM$43,"."&amp;$B$134&amp;$AS$82&amp;"P"&amp;$A182)</f>
        <v>240.86%</v>
      </c>
      <c r="EN182" s="3" t="str">
        <f>RTD("tos.rtd",,EN$2,"."&amp;$C$134&amp;$AU$82&amp;"C"&amp;$A182)</f>
        <v>42.01%</v>
      </c>
      <c r="EO182" s="3" t="str">
        <f>RTD("tos.rtd",,EO$2,"."&amp;$C$134&amp;$AU$82&amp;"P"&amp;$A182)</f>
        <v>32.10%</v>
      </c>
      <c r="EP182" s="3" t="str">
        <f>RTD("tos.rtd",,EP$2,"."&amp;$D$134&amp;$AW$82&amp;"C"&amp;$A182)</f>
        <v>28.37%</v>
      </c>
      <c r="EQ182" s="3" t="str">
        <f>RTD("tos.rtd",,EQ$2,"."&amp;$D$134&amp;$AW$82&amp;"P"&amp;$A182)</f>
        <v>26.57%</v>
      </c>
      <c r="ES182" s="63" t="str">
        <f t="shared" si="580"/>
        <v>19325,-35.00</v>
      </c>
      <c r="ET182" s="64" t="str">
        <f t="shared" ca="1" si="581"/>
        <v>19325,00.00</v>
      </c>
      <c r="EU182" s="68">
        <v>562.22</v>
      </c>
      <c r="EV182" s="68" t="s">
        <v>1476</v>
      </c>
      <c r="EW182" s="68">
        <v>484.65</v>
      </c>
      <c r="EX182" s="68" t="s">
        <v>1477</v>
      </c>
      <c r="EY182" s="68">
        <v>5635.75</v>
      </c>
      <c r="EZ182" s="68" t="s">
        <v>1478</v>
      </c>
      <c r="FA182" s="68">
        <v>19907.75</v>
      </c>
      <c r="FB182" s="68" t="s">
        <v>1479</v>
      </c>
      <c r="FC182" s="68" t="s">
        <v>1480</v>
      </c>
      <c r="FD182" s="68" t="s">
        <v>1481</v>
      </c>
      <c r="FE182" s="68" t="s">
        <v>1482</v>
      </c>
      <c r="FF182" s="68" t="s">
        <v>1483</v>
      </c>
    </row>
    <row r="183" spans="1:162" ht="11.1" customHeight="1" thickBot="1" x14ac:dyDescent="0.25">
      <c r="A183" s="2">
        <f t="shared" si="591"/>
        <v>19300</v>
      </c>
      <c r="B183" s="3">
        <f t="shared" si="624"/>
        <v>592</v>
      </c>
      <c r="C183" s="3">
        <f t="shared" si="625"/>
        <v>42</v>
      </c>
      <c r="D183" s="3">
        <f t="shared" si="626"/>
        <v>93</v>
      </c>
      <c r="E183" s="3">
        <f t="shared" si="659"/>
        <v>727</v>
      </c>
      <c r="F183" s="4">
        <f t="shared" si="619"/>
        <v>19521.508308874789</v>
      </c>
      <c r="G183" s="5">
        <f t="shared" si="660"/>
        <v>472.93224125078081</v>
      </c>
      <c r="AM183" s="1">
        <v>0</v>
      </c>
      <c r="AN183" s="1">
        <v>-483</v>
      </c>
      <c r="AO183" s="1">
        <v>19300</v>
      </c>
      <c r="AP183" s="1">
        <v>0</v>
      </c>
      <c r="AQ183" s="1">
        <v>-897</v>
      </c>
      <c r="AS183" s="54">
        <f>IF(RTD("tos.rtd",,AS$83,"."&amp;$B$134&amp;$AS$82&amp;"C"&amp;$A183)="N/A",0,RTD("tos.rtd",,AS$83,"."&amp;$B$134&amp;$AS$82&amp;"C"&amp;$A183))</f>
        <v>49</v>
      </c>
      <c r="AT183" s="3">
        <f>-IF(RTD("tos.rtd",,AT$83,"."&amp;$B$134&amp;$AS$82&amp;"P"&amp;$A183)="N/A",0,RTD("tos.rtd",,AT$83,"."&amp;$B$134&amp;$AS$82&amp;"P"&amp;$A183))</f>
        <v>-543</v>
      </c>
      <c r="AU183" s="54">
        <f>IF(RTD("tos.rtd",,AU$2,"."&amp;$C$134&amp;$AU$134&amp;"C"&amp;$A183)="N/A",0,RTD("tos.rtd",,AU$2,"."&amp;$C$134&amp;$AU$134&amp;"C"&amp;$A183))</f>
        <v>6</v>
      </c>
      <c r="AV183" s="3">
        <f>-IF(RTD("tos.rtd",,AV$2,"."&amp;$C$134&amp;$AU$134&amp;"P"&amp;$A183)="N/A",0,RTD("tos.rtd",,AV$2,"."&amp;$C$134&amp;$AU$134&amp;"P"&amp;$A183))</f>
        <v>-36</v>
      </c>
      <c r="AW183" s="54">
        <f>IF(RTD("tos.rtd",,AW$2,"."&amp;$D$134&amp;$AW$134&amp;"C"&amp;$A183)="N/A",0,RTD("tos.rtd",,AW$2,"."&amp;$D$134&amp;$AW$134&amp;"C"&amp;$A183))</f>
        <v>66</v>
      </c>
      <c r="AX183" s="3">
        <f>-IF(RTD("tos.rtd",,AX$2,"."&amp;$D$134&amp;$AW$134&amp;"P"&amp;$A183)="N/A",0,RTD("tos.rtd",,AX$2,"."&amp;$D$134&amp;$AW$134&amp;"P"&amp;$A183))</f>
        <v>-27</v>
      </c>
      <c r="AY183" s="76">
        <f t="shared" si="620"/>
        <v>-485</v>
      </c>
      <c r="AZ183" s="8">
        <f t="shared" si="545"/>
        <v>19300</v>
      </c>
      <c r="BA183" s="54">
        <f>IF(RTD("tos.rtd",,BA$43,"."&amp;$B$134&amp;$AS$82&amp;"C"&amp;$A183)="N/A",0,RTD("tos.rtd",,BA$43,"."&amp;$B$134&amp;$AS$82&amp;"C"&amp;$A183))</f>
        <v>0</v>
      </c>
      <c r="BB183" s="3">
        <f>-IF(RTD("tos.rtd",,BB$43,"."&amp;$B$134&amp;$AS$82&amp;"P"&amp;$A183)="N/A",0,RTD("tos.rtd",,BB$43,"."&amp;$B$134&amp;$AS$82&amp;"P"&amp;$A183))</f>
        <v>-897</v>
      </c>
      <c r="BC183" s="54">
        <f>IF(RTD("tos.rtd",,BC$2,"."&amp;$C$134&amp;$AU$82&amp;"C"&amp;$A183)="N/A",0,RTD("tos.rtd",,BC$2,"."&amp;$C$134&amp;$AU$82&amp;"C"&amp;$A183))</f>
        <v>2</v>
      </c>
      <c r="BD183" s="3">
        <f>-IF(RTD("tos.rtd",,BD$2,"."&amp;$C$134&amp;$AU$82&amp;"P"&amp;$A183)="N/A",0,RTD("tos.rtd",,BD$2,"."&amp;$C$134&amp;$AU$82&amp;"P"&amp;$A183))</f>
        <v>-4</v>
      </c>
      <c r="BE183" s="54">
        <f>IF(RTD("tos.rtd",,BE$2,"."&amp;$D$134&amp;$AW$82&amp;"C"&amp;$A183)="N/A",0,RTD("tos.rtd",,BE$2,"."&amp;$D$134&amp;$AW$82&amp;"C"&amp;$A183))</f>
        <v>3</v>
      </c>
      <c r="BF183" s="3">
        <f>-IF(RTD("tos.rtd",,BF$2,"."&amp;$D$134&amp;$AW$82&amp;"P"&amp;$A183)="N/A",0,RTD("tos.rtd",,BF$2,"."&amp;$D$134&amp;$AW$82&amp;"P"&amp;$A183))</f>
        <v>-13</v>
      </c>
      <c r="BG183" s="3">
        <f ca="1">+Hoja2!Y184</f>
        <v>-2</v>
      </c>
      <c r="BH183" s="7">
        <f t="shared" ca="1" si="546"/>
        <v>-911</v>
      </c>
      <c r="BI183" s="32" t="str">
        <f t="shared" ca="1" si="605"/>
        <v/>
      </c>
      <c r="BJ183" s="3" t="e">
        <f ca="1">IF($BP$1=1,DX183,IF(RTD("tos.rtd",,BJ$43,"."&amp;$B$134&amp;$AS$82&amp;"C"&amp;$A183)="N/A",0,RTD("tos.rtd",,BJ$43,"."&amp;$B$134&amp;$AS$82&amp;"C"&amp;$A183)))</f>
        <v>#NUM!</v>
      </c>
      <c r="BK183" s="3" t="e">
        <f ca="1">IF($BP$1=1,DY183,-IF(RTD("tos.rtd",,BK$43,"."&amp;$B$134&amp;$AS$82&amp;"P"&amp;$A183)="N/A",0,RTD("tos.rtd",,BK$43,"."&amp;$B$134&amp;$AS$82&amp;"P"&amp;$A183)))</f>
        <v>#NUM!</v>
      </c>
      <c r="BL183" s="3">
        <f ca="1">IF($BP$1=1,DZ183,IF(RTD("tos.rtd",,BL$2,"."&amp;$C$134&amp;$AU$82&amp;"C"&amp;$A183)="N/A",0,RTD("tos.rtd",,BL$2,"."&amp;$C$134&amp;$AU$82&amp;"C"&amp;$A183)))</f>
        <v>3.9878647457558791E-4</v>
      </c>
      <c r="BM183" s="3">
        <f ca="1">IF($BP$1=1,EA183,-IF(RTD("tos.rtd",,BM$2,"."&amp;$C$134&amp;$AU$82&amp;"P"&amp;$A183)="N/A",0,RTD("tos.rtd",,BM$2,"."&amp;$C$134&amp;$AU$82&amp;"P"&amp;$A183)))</f>
        <v>-4.0531941709849329E-4</v>
      </c>
      <c r="BN183" s="3">
        <f ca="1">IF($BP$1=1,EB183,IF(RTD("tos.rtd",,BN$2,"."&amp;$D$134&amp;$AW$82&amp;"C"&amp;$A183)="N/A",0,RTD("tos.rtd",,BN$2,"."&amp;$D$134&amp;$AW$82&amp;"C"&amp;$A183)))</f>
        <v>3.8532628769830313E-4</v>
      </c>
      <c r="BO183" s="3">
        <f ca="1">IF($BP$1=1,EC183,-IF(RTD("tos.rtd",,BO$2,"."&amp;$D$134&amp;$AW$82&amp;"P"&amp;$A183)="N/A",0,RTD("tos.rtd",,BO$2,"."&amp;$D$134&amp;$AW$82&amp;"P"&amp;$A183)))</f>
        <v>-3.6816823040751939E-4</v>
      </c>
      <c r="BQ183" s="3" t="e">
        <f t="shared" ca="1" si="621"/>
        <v>#NUM!</v>
      </c>
      <c r="BR183" s="3" t="e">
        <f t="shared" ca="1" si="547"/>
        <v>#NUM!</v>
      </c>
      <c r="BS183" s="3">
        <f t="shared" ca="1" si="622"/>
        <v>-386839.35367529071</v>
      </c>
      <c r="BT183" s="3" t="str">
        <f t="shared" ca="1" si="548"/>
        <v/>
      </c>
      <c r="BU183" s="3">
        <f t="shared" ca="1" si="623"/>
        <v>491239.74260001199</v>
      </c>
      <c r="BV183" s="3" t="str">
        <f t="shared" ca="1" si="548"/>
        <v/>
      </c>
      <c r="BX183" s="3" t="e">
        <f t="shared" ca="1" si="582"/>
        <v>#NUM!</v>
      </c>
      <c r="BY183" s="3" t="e">
        <f t="shared" ca="1" si="583"/>
        <v>#NUM!</v>
      </c>
      <c r="BZ183" s="3">
        <f t="shared" ca="1" si="584"/>
        <v>-195.23689983196982</v>
      </c>
      <c r="CA183" s="3" t="str">
        <f t="shared" ca="1" si="583"/>
        <v/>
      </c>
      <c r="CB183" s="3">
        <f t="shared" ca="1" si="585"/>
        <v>-860.44254077798416</v>
      </c>
      <c r="CC183" s="3" t="str">
        <f t="shared" ca="1" si="583"/>
        <v/>
      </c>
      <c r="CD183" s="3">
        <f>IF(RTD("tos.rtd",,CD$43,"."&amp;$B$134&amp;$AS$82&amp;"C"&amp;$A183)="N/A",0,RTD("tos.rtd",,CD$43,"."&amp;$B$134&amp;$AS$82&amp;"C"&amp;$A183))</f>
        <v>1</v>
      </c>
      <c r="CE183" s="3">
        <f>-IF(RTD("tos.rtd",,CE$43,"."&amp;$B$134&amp;$AS$82&amp;"P"&amp;$A183)="N/A",0,RTD("tos.rtd",,CE$43,"."&amp;$B$134&amp;$AS$82&amp;"P"&amp;$A183))</f>
        <v>0.02</v>
      </c>
      <c r="CF183" s="3">
        <f>IF(RTD("tos.rtd",,CF$2,"."&amp;$C$134&amp;$AU$82&amp;"C"&amp;$A183)="N/A",0,RTD("tos.rtd",,CF$2,"."&amp;$C$134&amp;$AU$82&amp;"C"&amp;$A183))</f>
        <v>0.84</v>
      </c>
      <c r="CG183" s="3">
        <f>-IF(RTD("tos.rtd",,CG$2,"."&amp;$C$134&amp;$AU$82&amp;"P"&amp;$A183)="N/A",0,RTD("tos.rtd",,CG$2,"."&amp;$C$134&amp;$AU$82&amp;"P"&amp;$A183))</f>
        <v>0.09</v>
      </c>
      <c r="CH183" s="3">
        <f>IF(RTD("tos.rtd",,CH$2,"."&amp;$D$134&amp;$AW$82&amp;"C"&amp;$A183)="N/A",0,RTD("tos.rtd",,CH$2,"."&amp;$D$134&amp;$AW$82&amp;"C"&amp;$A183))</f>
        <v>0.76</v>
      </c>
      <c r="CI183" s="3">
        <f>-IF(RTD("tos.rtd",,CI$2,"."&amp;$D$134&amp;$AW$82&amp;"P"&amp;$A183)="N/A",0,RTD("tos.rtd",,CI$2,"."&amp;$D$134&amp;$AW$82&amp;"P"&amp;$A183))</f>
        <v>0.22</v>
      </c>
      <c r="CK183" s="3">
        <f t="shared" si="656"/>
        <v>3814</v>
      </c>
      <c r="CL183" s="3"/>
      <c r="CM183" s="3">
        <f t="shared" si="657"/>
        <v>180</v>
      </c>
      <c r="CN183" s="3"/>
      <c r="CO183" s="3">
        <f t="shared" si="658"/>
        <v>4422</v>
      </c>
      <c r="CP183" s="3">
        <f t="shared" si="539"/>
        <v>8416</v>
      </c>
      <c r="CQ183" s="3">
        <f t="shared" si="549"/>
        <v>-897</v>
      </c>
      <c r="CR183" s="3"/>
      <c r="CS183" s="3">
        <f t="shared" si="550"/>
        <v>-2</v>
      </c>
      <c r="CT183" s="3"/>
      <c r="CU183" s="3">
        <f t="shared" si="551"/>
        <v>-10</v>
      </c>
      <c r="CV183" s="3"/>
      <c r="CW183" s="3" t="e">
        <f t="shared" ca="1" si="552"/>
        <v>#NUM!</v>
      </c>
      <c r="CY183" s="3" t="e">
        <f t="shared" ca="1" si="553"/>
        <v>#NUM!</v>
      </c>
      <c r="CZ183" s="70" t="e">
        <f t="shared" ca="1" si="586"/>
        <v>#NUM!</v>
      </c>
      <c r="DA183" s="3">
        <f>IF(RTD("tos.rtd",,DA$43,"."&amp;$B$134&amp;$AS$82&amp;"C"&amp;$A183)="N/A",0,RTD("tos.rtd",,DA$43,"."&amp;$B$134&amp;$AS$82&amp;"C"&amp;$A183))</f>
        <v>748.03</v>
      </c>
      <c r="DB183" s="3">
        <f>IF(RTD("tos.rtd",,DB$43,"."&amp;$B$134&amp;$AS$82&amp;"P"&amp;$A183)="N/A",0,RTD("tos.rtd",,DB$43,"."&amp;$B$134&amp;$AS$82&amp;"P"&amp;$A183))</f>
        <v>0.05</v>
      </c>
      <c r="DC183" s="3">
        <f>IF(RTD("tos.rtd",,DC$43,"."&amp;$B$134&amp;$AS$82&amp;"C"&amp;$A183)="N/A",0,RTD("tos.rtd",,DC$43,"."&amp;$B$134&amp;$AS$82&amp;"C"&amp;$A183))</f>
        <v>603</v>
      </c>
      <c r="DD183" s="3">
        <f>IF(RTD("tos.rtd",,DD$43,"."&amp;$B$134&amp;$AS$82&amp;"P"&amp;$A183)="N/A",0,RTD("tos.rtd",,DD$43,"."&amp;$B$134&amp;$AS$82&amp;"P"&amp;$A183))</f>
        <v>3.6</v>
      </c>
      <c r="DE183" s="3">
        <f>IF(RTD("tos.rtd",,DE$43,"."&amp;$B$134&amp;$AS$82&amp;"C"&amp;$A183)="N/A",0,RTD("tos.rtd",,DE$43,"."&amp;$B$134&amp;$AS$82&amp;"C"&amp;$A183))</f>
        <v>526</v>
      </c>
      <c r="DF183" s="3">
        <f>IF(RTD("tos.rtd",,DF$43,"."&amp;$B$134&amp;$AS$82&amp;"P"&amp;$A183)="N/A",0,RTD("tos.rtd",,DF$43,"."&amp;$B$134&amp;$AS$82&amp;"P"&amp;$A183))</f>
        <v>0</v>
      </c>
      <c r="DG183" s="86">
        <f t="shared" si="587"/>
        <v>-567.97300000000178</v>
      </c>
      <c r="DH183" s="3">
        <f t="shared" si="554"/>
        <v>0</v>
      </c>
      <c r="DI183" s="3">
        <f t="shared" si="555"/>
        <v>0</v>
      </c>
      <c r="DJ183" s="3">
        <f t="shared" si="556"/>
        <v>0</v>
      </c>
      <c r="DK183" s="3">
        <f t="shared" si="557"/>
        <v>0</v>
      </c>
      <c r="DL183" s="3">
        <f t="shared" si="558"/>
        <v>0</v>
      </c>
      <c r="DM183" s="3">
        <f t="shared" si="559"/>
        <v>0</v>
      </c>
      <c r="DN183" s="64" t="str">
        <f t="shared" si="560"/>
        <v>UNKNOWN</v>
      </c>
      <c r="DO183" s="64" t="str">
        <f t="shared" si="561"/>
        <v>UNKNOWN</v>
      </c>
      <c r="DP183" s="3">
        <f t="shared" si="562"/>
        <v>0</v>
      </c>
      <c r="DQ183" s="3">
        <f t="shared" si="563"/>
        <v>0</v>
      </c>
      <c r="DR183" s="3" t="e">
        <f t="shared" ca="1" si="564"/>
        <v>#NUM!</v>
      </c>
      <c r="DS183" s="3">
        <f t="shared" si="565"/>
        <v>0</v>
      </c>
      <c r="DT183" s="3">
        <f t="shared" si="588"/>
        <v>0</v>
      </c>
      <c r="DU183" s="3">
        <f t="shared" si="589"/>
        <v>0</v>
      </c>
      <c r="DV183" s="3">
        <f t="shared" si="566"/>
        <v>0</v>
      </c>
      <c r="DW183" s="3">
        <f t="shared" si="567"/>
        <v>-483</v>
      </c>
      <c r="DX183" s="3" t="e">
        <f t="shared" ca="1" si="650"/>
        <v>#NUM!</v>
      </c>
      <c r="DY183" s="3" t="e">
        <f t="shared" ca="1" si="651"/>
        <v>#NUM!</v>
      </c>
      <c r="DZ183" s="3">
        <f t="shared" ca="1" si="652"/>
        <v>3.9878647457558791E-4</v>
      </c>
      <c r="EA183" s="3">
        <f t="shared" ca="1" si="653"/>
        <v>-4.0531941709849329E-4</v>
      </c>
      <c r="EB183" s="3">
        <f t="shared" ca="1" si="654"/>
        <v>3.8532628769830313E-4</v>
      </c>
      <c r="EC183" s="3">
        <f t="shared" ca="1" si="655"/>
        <v>-3.6816823040751939E-4</v>
      </c>
      <c r="ED183" s="63">
        <f t="shared" si="590"/>
        <v>-483</v>
      </c>
      <c r="EE183" s="59">
        <f t="shared" si="574"/>
        <v>0.25</v>
      </c>
      <c r="EF183" s="59">
        <f t="shared" si="575"/>
        <v>1.8366</v>
      </c>
      <c r="EG183" s="59">
        <f t="shared" si="576"/>
        <v>0.42709999999999998</v>
      </c>
      <c r="EH183" s="59">
        <f t="shared" si="577"/>
        <v>0.3241</v>
      </c>
      <c r="EI183" s="59">
        <f t="shared" si="578"/>
        <v>0.28520000000000001</v>
      </c>
      <c r="EJ183" s="59">
        <f t="shared" si="579"/>
        <v>0.26700000000000002</v>
      </c>
      <c r="EL183" s="3" t="str">
        <f>RTD("tos.rtd",,EL$43,"."&amp;$B$134&amp;$AS$82&amp;"C"&amp;$A183)</f>
        <v>--</v>
      </c>
      <c r="EM183" s="3" t="str">
        <f>RTD("tos.rtd",,EM$43,"."&amp;$B$134&amp;$AS$82&amp;"P"&amp;$A183)</f>
        <v>183.66%</v>
      </c>
      <c r="EN183" s="3" t="str">
        <f>RTD("tos.rtd",,EN$2,"."&amp;$C$134&amp;$AU$82&amp;"C"&amp;$A183)</f>
        <v>42.71%</v>
      </c>
      <c r="EO183" s="3" t="str">
        <f>RTD("tos.rtd",,EO$2,"."&amp;$C$134&amp;$AU$82&amp;"P"&amp;$A183)</f>
        <v>32.41%</v>
      </c>
      <c r="EP183" s="3" t="str">
        <f>RTD("tos.rtd",,EP$2,"."&amp;$D$134&amp;$AW$82&amp;"C"&amp;$A183)</f>
        <v>28.52%</v>
      </c>
      <c r="EQ183" s="3" t="str">
        <f>RTD("tos.rtd",,EQ$2,"."&amp;$D$134&amp;$AW$82&amp;"P"&amp;$A183)</f>
        <v>26.70%</v>
      </c>
      <c r="ES183" s="63" t="str">
        <f t="shared" si="580"/>
        <v>19300,-483.00</v>
      </c>
      <c r="ET183" s="64" t="str">
        <f t="shared" ca="1" si="581"/>
        <v>19300,00.00</v>
      </c>
      <c r="EU183" s="68">
        <v>562.29999999999995</v>
      </c>
      <c r="EV183" s="68" t="s">
        <v>1484</v>
      </c>
      <c r="EW183" s="68">
        <v>484.73</v>
      </c>
      <c r="EX183" s="68" t="s">
        <v>1485</v>
      </c>
      <c r="EY183" s="68">
        <v>5637</v>
      </c>
      <c r="EZ183" s="68" t="s">
        <v>1486</v>
      </c>
      <c r="FA183" s="68">
        <v>19911.5</v>
      </c>
      <c r="FB183" s="68" t="s">
        <v>1487</v>
      </c>
      <c r="FC183" s="68" t="s">
        <v>1488</v>
      </c>
      <c r="FD183" s="68" t="s">
        <v>1489</v>
      </c>
      <c r="FE183" s="68" t="s">
        <v>1490</v>
      </c>
      <c r="FF183" s="68" t="s">
        <v>1491</v>
      </c>
    </row>
    <row r="184" spans="1:162" ht="11.1" customHeight="1" thickBot="1" x14ac:dyDescent="0.25">
      <c r="A184" s="2">
        <f t="shared" si="591"/>
        <v>19275</v>
      </c>
      <c r="B184" s="3">
        <f t="shared" si="624"/>
        <v>16</v>
      </c>
      <c r="C184" s="3">
        <f t="shared" si="625"/>
        <v>16</v>
      </c>
      <c r="D184" s="3">
        <f t="shared" si="626"/>
        <v>12</v>
      </c>
      <c r="E184" s="3">
        <f t="shared" si="659"/>
        <v>44</v>
      </c>
      <c r="F184" s="4">
        <f t="shared" si="619"/>
        <v>19496.221381013554</v>
      </c>
      <c r="G184" s="5">
        <f t="shared" si="660"/>
        <v>472.31963472066326</v>
      </c>
      <c r="AM184" s="1">
        <v>0</v>
      </c>
      <c r="AN184" s="1">
        <v>-10</v>
      </c>
      <c r="AO184" s="1">
        <v>19275</v>
      </c>
      <c r="AP184" s="1">
        <v>0</v>
      </c>
      <c r="AQ184" s="1">
        <v>-114</v>
      </c>
      <c r="AS184" s="54">
        <f>IF(RTD("tos.rtd",,AS$83,"."&amp;$B$134&amp;$AS$82&amp;"C"&amp;$A184)="N/A",0,RTD("tos.rtd",,AS$83,"."&amp;$B$134&amp;$AS$82&amp;"C"&amp;$A184))</f>
        <v>0</v>
      </c>
      <c r="AT184" s="3">
        <f>-IF(RTD("tos.rtd",,AT$83,"."&amp;$B$134&amp;$AS$82&amp;"P"&amp;$A184)="N/A",0,RTD("tos.rtd",,AT$83,"."&amp;$B$134&amp;$AS$82&amp;"P"&amp;$A184))</f>
        <v>-16</v>
      </c>
      <c r="AU184" s="54">
        <f>IF(RTD("tos.rtd",,AU$2,"."&amp;$C$134&amp;$AU$134&amp;"C"&amp;$A184)="N/A",0,RTD("tos.rtd",,AU$2,"."&amp;$C$134&amp;$AU$134&amp;"C"&amp;$A184))</f>
        <v>7</v>
      </c>
      <c r="AV184" s="3">
        <f>-IF(RTD("tos.rtd",,AV$2,"."&amp;$C$134&amp;$AU$134&amp;"P"&amp;$A184)="N/A",0,RTD("tos.rtd",,AV$2,"."&amp;$C$134&amp;$AU$134&amp;"P"&amp;$A184))</f>
        <v>-9</v>
      </c>
      <c r="AW184" s="54">
        <f>IF(RTD("tos.rtd",,AW$2,"."&amp;$D$134&amp;$AW$134&amp;"C"&amp;$A184)="N/A",0,RTD("tos.rtd",,AW$2,"."&amp;$D$134&amp;$AW$134&amp;"C"&amp;$A184))</f>
        <v>10</v>
      </c>
      <c r="AX184" s="3">
        <f>-IF(RTD("tos.rtd",,AX$2,"."&amp;$D$134&amp;$AW$134&amp;"P"&amp;$A184)="N/A",0,RTD("tos.rtd",,AX$2,"."&amp;$D$134&amp;$AW$134&amp;"P"&amp;$A184))</f>
        <v>-2</v>
      </c>
      <c r="AY184" s="76">
        <f t="shared" si="620"/>
        <v>-10</v>
      </c>
      <c r="AZ184" s="8">
        <f t="shared" si="545"/>
        <v>19275</v>
      </c>
      <c r="BA184" s="54">
        <f>IF(RTD("tos.rtd",,BA$43,"."&amp;$B$134&amp;$AS$82&amp;"C"&amp;$A184)="N/A",0,RTD("tos.rtd",,BA$43,"."&amp;$B$134&amp;$AS$82&amp;"C"&amp;$A184))</f>
        <v>0</v>
      </c>
      <c r="BB184" s="3">
        <f>-IF(RTD("tos.rtd",,BB$43,"."&amp;$B$134&amp;$AS$82&amp;"P"&amp;$A184)="N/A",0,RTD("tos.rtd",,BB$43,"."&amp;$B$134&amp;$AS$82&amp;"P"&amp;$A184))</f>
        <v>-114</v>
      </c>
      <c r="BC184" s="54">
        <f>IF(RTD("tos.rtd",,BC$2,"."&amp;$C$134&amp;$AU$82&amp;"C"&amp;$A184)="N/A",0,RTD("tos.rtd",,BC$2,"."&amp;$C$134&amp;$AU$82&amp;"C"&amp;$A184))</f>
        <v>0</v>
      </c>
      <c r="BD184" s="3">
        <f>-IF(RTD("tos.rtd",,BD$2,"."&amp;$C$134&amp;$AU$82&amp;"P"&amp;$A184)="N/A",0,RTD("tos.rtd",,BD$2,"."&amp;$C$134&amp;$AU$82&amp;"P"&amp;$A184))</f>
        <v>0</v>
      </c>
      <c r="BE184" s="54">
        <f>IF(RTD("tos.rtd",,BE$2,"."&amp;$D$134&amp;$AW$82&amp;"C"&amp;$A184)="N/A",0,RTD("tos.rtd",,BE$2,"."&amp;$D$134&amp;$AW$82&amp;"C"&amp;$A184))</f>
        <v>0</v>
      </c>
      <c r="BF184" s="3">
        <f>-IF(RTD("tos.rtd",,BF$2,"."&amp;$D$134&amp;$AW$82&amp;"P"&amp;$A184)="N/A",0,RTD("tos.rtd",,BF$2,"."&amp;$D$134&amp;$AW$82&amp;"P"&amp;$A184))</f>
        <v>-10</v>
      </c>
      <c r="BG184" s="3">
        <f ca="1">+Hoja2!Y185</f>
        <v>0</v>
      </c>
      <c r="BH184" s="7">
        <f t="shared" ca="1" si="546"/>
        <v>-124</v>
      </c>
      <c r="BI184" s="32" t="str">
        <f t="shared" ca="1" si="605"/>
        <v/>
      </c>
      <c r="BJ184" s="3" t="e">
        <f ca="1">IF($BP$1=1,DX184,IF(RTD("tos.rtd",,BJ$43,"."&amp;$B$134&amp;$AS$82&amp;"C"&amp;$A184)="N/A",0,RTD("tos.rtd",,BJ$43,"."&amp;$B$134&amp;$AS$82&amp;"C"&amp;$A184)))</f>
        <v>#NUM!</v>
      </c>
      <c r="BK184" s="3" t="e">
        <f ca="1">IF($BP$1=1,DY184,-IF(RTD("tos.rtd",,BK$43,"."&amp;$B$134&amp;$AS$82&amp;"P"&amp;$A184)="N/A",0,RTD("tos.rtd",,BK$43,"."&amp;$B$134&amp;$AS$82&amp;"P"&amp;$A184)))</f>
        <v>#NUM!</v>
      </c>
      <c r="BL184" s="3">
        <f ca="1">IF($BP$1=1,DZ184,IF(RTD("tos.rtd",,BL$2,"."&amp;$C$134&amp;$AU$82&amp;"C"&amp;$A184)="N/A",0,RTD("tos.rtd",,BL$2,"."&amp;$C$134&amp;$AU$82&amp;"C"&amp;$A184)))</f>
        <v>3.8471156663422634E-4</v>
      </c>
      <c r="BM184" s="3">
        <f ca="1">IF($BP$1=1,EA184,-IF(RTD("tos.rtd",,BM$2,"."&amp;$C$134&amp;$AU$82&amp;"P"&amp;$A184)="N/A",0,RTD("tos.rtd",,BM$2,"."&amp;$C$134&amp;$AU$82&amp;"P"&amp;$A184)))</f>
        <v>-3.8403040728361091E-4</v>
      </c>
      <c r="BN184" s="3">
        <f ca="1">IF($BP$1=1,EB184,IF(RTD("tos.rtd",,BN$2,"."&amp;$D$134&amp;$AW$82&amp;"C"&amp;$A184)="N/A",0,RTD("tos.rtd",,BN$2,"."&amp;$D$134&amp;$AW$82&amp;"C"&amp;$A184)))</f>
        <v>3.5938440494124636E-4</v>
      </c>
      <c r="BO184" s="3">
        <f ca="1">IF($BP$1=1,EC184,-IF(RTD("tos.rtd",,BO$2,"."&amp;$D$134&amp;$AW$82&amp;"P"&amp;$A184)="N/A",0,RTD("tos.rtd",,BO$2,"."&amp;$D$134&amp;$AW$82&amp;"P"&amp;$A184)))</f>
        <v>-3.4054203142246125E-4</v>
      </c>
      <c r="BQ184" s="3" t="e">
        <f t="shared" ca="1" si="621"/>
        <v>#NUM!</v>
      </c>
      <c r="BR184" s="3" t="e">
        <f t="shared" ca="1" si="547"/>
        <v>#NUM!</v>
      </c>
      <c r="BS184" s="3">
        <f t="shared" ca="1" si="622"/>
        <v>-24205.014790104644</v>
      </c>
      <c r="BT184" s="3" t="str">
        <f t="shared" ca="1" si="548"/>
        <v/>
      </c>
      <c r="BU184" s="3">
        <f t="shared" ca="1" si="623"/>
        <v>92367.447817633045</v>
      </c>
      <c r="BV184" s="3" t="str">
        <f t="shared" ca="1" si="548"/>
        <v/>
      </c>
      <c r="BX184" s="3" t="e">
        <f t="shared" ca="1" si="582"/>
        <v>#NUM!</v>
      </c>
      <c r="BY184" s="3" t="e">
        <f t="shared" ca="1" si="583"/>
        <v>#NUM!</v>
      </c>
      <c r="BZ184" s="3">
        <f t="shared" ca="1" si="584"/>
        <v>0</v>
      </c>
      <c r="CA184" s="3" t="str">
        <f t="shared" ca="1" si="583"/>
        <v/>
      </c>
      <c r="CB184" s="3">
        <f t="shared" ca="1" si="585"/>
        <v>-807.16267521838597</v>
      </c>
      <c r="CC184" s="3" t="str">
        <f t="shared" ca="1" si="583"/>
        <v/>
      </c>
      <c r="CD184" s="3">
        <f>IF(RTD("tos.rtd",,CD$43,"."&amp;$B$134&amp;$AS$82&amp;"C"&amp;$A184)="N/A",0,RTD("tos.rtd",,CD$43,"."&amp;$B$134&amp;$AS$82&amp;"C"&amp;$A184))</f>
        <v>1</v>
      </c>
      <c r="CE184" s="3">
        <f>-IF(RTD("tos.rtd",,CE$43,"."&amp;$B$134&amp;$AS$82&amp;"P"&amp;$A184)="N/A",0,RTD("tos.rtd",,CE$43,"."&amp;$B$134&amp;$AS$82&amp;"P"&amp;$A184))</f>
        <v>0.04</v>
      </c>
      <c r="CF184" s="3">
        <f>IF(RTD("tos.rtd",,CF$2,"."&amp;$C$134&amp;$AU$82&amp;"C"&amp;$A184)="N/A",0,RTD("tos.rtd",,CF$2,"."&amp;$C$134&amp;$AU$82&amp;"C"&amp;$A184))</f>
        <v>0.85</v>
      </c>
      <c r="CG184" s="3">
        <f>-IF(RTD("tos.rtd",,CG$2,"."&amp;$C$134&amp;$AU$82&amp;"P"&amp;$A184)="N/A",0,RTD("tos.rtd",,CG$2,"."&amp;$C$134&amp;$AU$82&amp;"P"&amp;$A184))</f>
        <v>0.08</v>
      </c>
      <c r="CH184" s="3">
        <f>IF(RTD("tos.rtd",,CH$2,"."&amp;$D$134&amp;$AW$82&amp;"C"&amp;$A184)="N/A",0,RTD("tos.rtd",,CH$2,"."&amp;$D$134&amp;$AW$82&amp;"C"&amp;$A184))</f>
        <v>0.77</v>
      </c>
      <c r="CI184" s="3">
        <f>-IF(RTD("tos.rtd",,CI$2,"."&amp;$D$134&amp;$AW$82&amp;"P"&amp;$A184)="N/A",0,RTD("tos.rtd",,CI$2,"."&amp;$D$134&amp;$AW$82&amp;"P"&amp;$A184))</f>
        <v>0.22</v>
      </c>
      <c r="CK184" s="3">
        <f t="shared" si="656"/>
        <v>-64</v>
      </c>
      <c r="CL184" s="3"/>
      <c r="CM184" s="3">
        <f t="shared" si="657"/>
        <v>523</v>
      </c>
      <c r="CN184" s="3"/>
      <c r="CO184" s="3">
        <f t="shared" si="658"/>
        <v>726</v>
      </c>
      <c r="CP184" s="3">
        <f t="shared" si="539"/>
        <v>1185</v>
      </c>
      <c r="CQ184" s="3">
        <f t="shared" si="549"/>
        <v>-114</v>
      </c>
      <c r="CR184" s="3"/>
      <c r="CS184" s="3">
        <f t="shared" si="550"/>
        <v>0</v>
      </c>
      <c r="CT184" s="3"/>
      <c r="CU184" s="3">
        <f t="shared" si="551"/>
        <v>-10</v>
      </c>
      <c r="CV184" s="3"/>
      <c r="CW184" s="3" t="e">
        <f t="shared" ca="1" si="552"/>
        <v>#NUM!</v>
      </c>
      <c r="CY184" s="3" t="e">
        <f t="shared" ca="1" si="553"/>
        <v>#NUM!</v>
      </c>
      <c r="CZ184" s="70" t="e">
        <f t="shared" ca="1" si="586"/>
        <v>#NUM!</v>
      </c>
      <c r="DA184" s="3">
        <f>IF(RTD("tos.rtd",,DA$43,"."&amp;$B$134&amp;$AS$82&amp;"C"&amp;$A184)="N/A",0,RTD("tos.rtd",,DA$43,"."&amp;$B$134&amp;$AS$82&amp;"C"&amp;$A184))</f>
        <v>0</v>
      </c>
      <c r="DB184" s="3">
        <f>IF(RTD("tos.rtd",,DB$43,"."&amp;$B$134&amp;$AS$82&amp;"P"&amp;$A184)="N/A",0,RTD("tos.rtd",,DB$43,"."&amp;$B$134&amp;$AS$82&amp;"P"&amp;$A184))</f>
        <v>0.05</v>
      </c>
      <c r="DC184" s="3">
        <f>IF(RTD("tos.rtd",,DC$43,"."&amp;$B$134&amp;$AS$82&amp;"C"&amp;$A184)="N/A",0,RTD("tos.rtd",,DC$43,"."&amp;$B$134&amp;$AS$82&amp;"C"&amp;$A184))</f>
        <v>628</v>
      </c>
      <c r="DD184" s="3">
        <f>IF(RTD("tos.rtd",,DD$43,"."&amp;$B$134&amp;$AS$82&amp;"P"&amp;$A184)="N/A",0,RTD("tos.rtd",,DD$43,"."&amp;$B$134&amp;$AS$82&amp;"P"&amp;$A184))</f>
        <v>9.6</v>
      </c>
      <c r="DE184" s="3">
        <f>IF(RTD("tos.rtd",,DE$43,"."&amp;$B$134&amp;$AS$82&amp;"C"&amp;$A184)="N/A",0,RTD("tos.rtd",,DE$43,"."&amp;$B$134&amp;$AS$82&amp;"C"&amp;$A184))</f>
        <v>552</v>
      </c>
      <c r="DF184" s="3">
        <f>IF(RTD("tos.rtd",,DF$43,"."&amp;$B$134&amp;$AS$82&amp;"P"&amp;$A184)="N/A",0,RTD("tos.rtd",,DF$43,"."&amp;$B$134&amp;$AS$82&amp;"P"&amp;$A184))</f>
        <v>0</v>
      </c>
      <c r="DG184" s="86">
        <f t="shared" si="587"/>
        <v>-592.97300000000178</v>
      </c>
      <c r="DH184" s="3">
        <f t="shared" si="554"/>
        <v>0</v>
      </c>
      <c r="DI184" s="3">
        <f t="shared" si="555"/>
        <v>0</v>
      </c>
      <c r="DJ184" s="3">
        <f t="shared" si="556"/>
        <v>0</v>
      </c>
      <c r="DK184" s="3">
        <f t="shared" si="557"/>
        <v>0</v>
      </c>
      <c r="DL184" s="3">
        <f t="shared" si="558"/>
        <v>0</v>
      </c>
      <c r="DM184" s="3">
        <f t="shared" si="559"/>
        <v>0</v>
      </c>
      <c r="DN184" s="64" t="str">
        <f t="shared" si="560"/>
        <v>UNKNOWN</v>
      </c>
      <c r="DO184" s="64" t="str">
        <f t="shared" si="561"/>
        <v>UNKNOWN</v>
      </c>
      <c r="DP184" s="3">
        <f t="shared" si="562"/>
        <v>0</v>
      </c>
      <c r="DQ184" s="3">
        <f t="shared" si="563"/>
        <v>0</v>
      </c>
      <c r="DR184" s="3" t="e">
        <f t="shared" ca="1" si="564"/>
        <v>#NUM!</v>
      </c>
      <c r="DS184" s="3">
        <f t="shared" si="565"/>
        <v>0</v>
      </c>
      <c r="DT184" s="3">
        <f t="shared" si="588"/>
        <v>0</v>
      </c>
      <c r="DU184" s="3">
        <f t="shared" si="589"/>
        <v>0</v>
      </c>
      <c r="DV184" s="3">
        <f t="shared" si="566"/>
        <v>0</v>
      </c>
      <c r="DW184" s="3">
        <f t="shared" si="567"/>
        <v>-10</v>
      </c>
      <c r="DX184" s="3" t="e">
        <f t="shared" ca="1" si="650"/>
        <v>#NUM!</v>
      </c>
      <c r="DY184" s="3" t="e">
        <f t="shared" ca="1" si="651"/>
        <v>#NUM!</v>
      </c>
      <c r="DZ184" s="3">
        <f t="shared" ca="1" si="652"/>
        <v>3.8471156663422634E-4</v>
      </c>
      <c r="EA184" s="3">
        <f t="shared" ca="1" si="653"/>
        <v>-3.8403040728361091E-4</v>
      </c>
      <c r="EB184" s="3">
        <f t="shared" ca="1" si="654"/>
        <v>3.5938440494124636E-4</v>
      </c>
      <c r="EC184" s="3">
        <f t="shared" ca="1" si="655"/>
        <v>-3.4054203142246125E-4</v>
      </c>
      <c r="ED184" s="63">
        <f t="shared" si="590"/>
        <v>-10</v>
      </c>
      <c r="EE184" s="59">
        <f t="shared" si="574"/>
        <v>0.25</v>
      </c>
      <c r="EF184" s="59">
        <f t="shared" si="575"/>
        <v>2.2372999999999998</v>
      </c>
      <c r="EG184" s="59">
        <f t="shared" si="576"/>
        <v>0.43309999999999998</v>
      </c>
      <c r="EH184" s="59">
        <f t="shared" si="577"/>
        <v>0.32619999999999999</v>
      </c>
      <c r="EI184" s="59">
        <f t="shared" si="578"/>
        <v>0.28620000000000001</v>
      </c>
      <c r="EJ184" s="59">
        <f t="shared" si="579"/>
        <v>0.26819999999999999</v>
      </c>
      <c r="EL184" s="3" t="str">
        <f>RTD("tos.rtd",,EL$43,"."&amp;$B$134&amp;$AS$82&amp;"C"&amp;$A184)</f>
        <v>--</v>
      </c>
      <c r="EM184" s="3" t="str">
        <f>RTD("tos.rtd",,EM$43,"."&amp;$B$134&amp;$AS$82&amp;"P"&amp;$A184)</f>
        <v>223.73%</v>
      </c>
      <c r="EN184" s="3" t="str">
        <f>RTD("tos.rtd",,EN$2,"."&amp;$C$134&amp;$AU$82&amp;"C"&amp;$A184)</f>
        <v>43.31%</v>
      </c>
      <c r="EO184" s="3" t="str">
        <f>RTD("tos.rtd",,EO$2,"."&amp;$C$134&amp;$AU$82&amp;"P"&amp;$A184)</f>
        <v>32.62%</v>
      </c>
      <c r="EP184" s="3" t="str">
        <f>RTD("tos.rtd",,EP$2,"."&amp;$D$134&amp;$AW$82&amp;"C"&amp;$A184)</f>
        <v>28.62%</v>
      </c>
      <c r="EQ184" s="3" t="str">
        <f>RTD("tos.rtd",,EQ$2,"."&amp;$D$134&amp;$AW$82&amp;"P"&amp;$A184)</f>
        <v>26.82%</v>
      </c>
      <c r="ES184" s="63" t="str">
        <f t="shared" si="580"/>
        <v>19275,-10.00</v>
      </c>
      <c r="ET184" s="64" t="str">
        <f t="shared" ca="1" si="581"/>
        <v>19275,00.00</v>
      </c>
      <c r="EU184" s="68">
        <v>562.25</v>
      </c>
      <c r="EV184" s="68" t="s">
        <v>1492</v>
      </c>
      <c r="EW184" s="68">
        <v>484.66</v>
      </c>
      <c r="EX184" s="68" t="s">
        <v>1493</v>
      </c>
      <c r="EY184" s="68">
        <v>5636</v>
      </c>
      <c r="EZ184" s="68" t="s">
        <v>1494</v>
      </c>
      <c r="FA184" s="68">
        <v>19908.25</v>
      </c>
      <c r="FB184" s="68" t="s">
        <v>1495</v>
      </c>
      <c r="FC184" s="68" t="s">
        <v>1496</v>
      </c>
      <c r="FD184" s="68" t="s">
        <v>1497</v>
      </c>
      <c r="FE184" s="68" t="s">
        <v>1498</v>
      </c>
      <c r="FF184" s="68" t="s">
        <v>1499</v>
      </c>
    </row>
    <row r="185" spans="1:162" ht="11.1" customHeight="1" thickBot="1" x14ac:dyDescent="0.25">
      <c r="A185" s="2">
        <f t="shared" si="591"/>
        <v>19250</v>
      </c>
      <c r="B185" s="3">
        <f t="shared" si="624"/>
        <v>18</v>
      </c>
      <c r="C185" s="3">
        <f t="shared" si="625"/>
        <v>8</v>
      </c>
      <c r="D185" s="3">
        <f t="shared" si="626"/>
        <v>30</v>
      </c>
      <c r="E185" s="3">
        <f t="shared" si="659"/>
        <v>56</v>
      </c>
      <c r="F185" s="4">
        <f t="shared" si="619"/>
        <v>19470.934453152317</v>
      </c>
      <c r="G185" s="5">
        <f t="shared" si="660"/>
        <v>471.70702819054566</v>
      </c>
      <c r="AM185" s="1">
        <v>0</v>
      </c>
      <c r="AN185" s="1">
        <v>24</v>
      </c>
      <c r="AO185" s="1">
        <v>19250</v>
      </c>
      <c r="AP185" s="1">
        <v>0</v>
      </c>
      <c r="AQ185" s="1">
        <v>-142</v>
      </c>
      <c r="AS185" s="54">
        <f>IF(RTD("tos.rtd",,AS$83,"."&amp;$B$134&amp;$AS$82&amp;"C"&amp;$A185)="N/A",0,RTD("tos.rtd",,AS$83,"."&amp;$B$134&amp;$AS$82&amp;"C"&amp;$A185))</f>
        <v>0</v>
      </c>
      <c r="AT185" s="3">
        <f>-IF(RTD("tos.rtd",,AT$83,"."&amp;$B$134&amp;$AS$82&amp;"P"&amp;$A185)="N/A",0,RTD("tos.rtd",,AT$83,"."&amp;$B$134&amp;$AS$82&amp;"P"&amp;$A185))</f>
        <v>-18</v>
      </c>
      <c r="AU185" s="54">
        <f>IF(RTD("tos.rtd",,AU$2,"."&amp;$C$134&amp;$AU$134&amp;"C"&amp;$A185)="N/A",0,RTD("tos.rtd",,AU$2,"."&amp;$C$134&amp;$AU$134&amp;"C"&amp;$A185))</f>
        <v>2</v>
      </c>
      <c r="AV185" s="3">
        <f>-IF(RTD("tos.rtd",,AV$2,"."&amp;$C$134&amp;$AU$134&amp;"P"&amp;$A185)="N/A",0,RTD("tos.rtd",,AV$2,"."&amp;$C$134&amp;$AU$134&amp;"P"&amp;$A185))</f>
        <v>-6</v>
      </c>
      <c r="AW185" s="54">
        <f>IF(RTD("tos.rtd",,AW$2,"."&amp;$D$134&amp;$AW$134&amp;"C"&amp;$A185)="N/A",0,RTD("tos.rtd",,AW$2,"."&amp;$D$134&amp;$AW$134&amp;"C"&amp;$A185))</f>
        <v>21</v>
      </c>
      <c r="AX185" s="3">
        <f>-IF(RTD("tos.rtd",,AX$2,"."&amp;$D$134&amp;$AW$134&amp;"P"&amp;$A185)="N/A",0,RTD("tos.rtd",,AX$2,"."&amp;$D$134&amp;$AW$134&amp;"P"&amp;$A185))</f>
        <v>-9</v>
      </c>
      <c r="AY185" s="76">
        <f t="shared" si="620"/>
        <v>-10</v>
      </c>
      <c r="AZ185" s="8">
        <f t="shared" si="545"/>
        <v>19250</v>
      </c>
      <c r="BA185" s="54">
        <f>IF(RTD("tos.rtd",,BA$43,"."&amp;$B$134&amp;$AS$82&amp;"C"&amp;$A185)="N/A",0,RTD("tos.rtd",,BA$43,"."&amp;$B$134&amp;$AS$82&amp;"C"&amp;$A185))</f>
        <v>0</v>
      </c>
      <c r="BB185" s="3">
        <f>-IF(RTD("tos.rtd",,BB$43,"."&amp;$B$134&amp;$AS$82&amp;"P"&amp;$A185)="N/A",0,RTD("tos.rtd",,BB$43,"."&amp;$B$134&amp;$AS$82&amp;"P"&amp;$A185))</f>
        <v>-142</v>
      </c>
      <c r="BC185" s="54">
        <f>IF(RTD("tos.rtd",,BC$2,"."&amp;$C$134&amp;$AU$82&amp;"C"&amp;$A185)="N/A",0,RTD("tos.rtd",,BC$2,"."&amp;$C$134&amp;$AU$82&amp;"C"&amp;$A185))</f>
        <v>0</v>
      </c>
      <c r="BD185" s="3">
        <f>-IF(RTD("tos.rtd",,BD$2,"."&amp;$C$134&amp;$AU$82&amp;"P"&amp;$A185)="N/A",0,RTD("tos.rtd",,BD$2,"."&amp;$C$134&amp;$AU$82&amp;"P"&amp;$A185))</f>
        <v>-2</v>
      </c>
      <c r="BE185" s="54">
        <f>IF(RTD("tos.rtd",,BE$2,"."&amp;$D$134&amp;$AW$82&amp;"C"&amp;$A185)="N/A",0,RTD("tos.rtd",,BE$2,"."&amp;$D$134&amp;$AW$82&amp;"C"&amp;$A185))</f>
        <v>0</v>
      </c>
      <c r="BF185" s="3">
        <f>-IF(RTD("tos.rtd",,BF$2,"."&amp;$D$134&amp;$AW$82&amp;"P"&amp;$A185)="N/A",0,RTD("tos.rtd",,BF$2,"."&amp;$D$134&amp;$AW$82&amp;"P"&amp;$A185))</f>
        <v>-2</v>
      </c>
      <c r="BG185" s="3">
        <f ca="1">+Hoja2!Y186</f>
        <v>-6</v>
      </c>
      <c r="BH185" s="7">
        <f t="shared" ca="1" si="546"/>
        <v>-152</v>
      </c>
      <c r="BI185" s="32" t="str">
        <f t="shared" ca="1" si="605"/>
        <v/>
      </c>
      <c r="BJ185" s="3" t="e">
        <f ca="1">IF($BP$1=1,DX185,IF(RTD("tos.rtd",,BJ$43,"."&amp;$B$134&amp;$AS$82&amp;"C"&amp;$A185)="N/A",0,RTD("tos.rtd",,BJ$43,"."&amp;$B$134&amp;$AS$82&amp;"C"&amp;$A185)))</f>
        <v>#NUM!</v>
      </c>
      <c r="BK185" s="3" t="e">
        <f ca="1">IF($BP$1=1,DY185,-IF(RTD("tos.rtd",,BK$43,"."&amp;$B$134&amp;$AS$82&amp;"P"&amp;$A185)="N/A",0,RTD("tos.rtd",,BK$43,"."&amp;$B$134&amp;$AS$82&amp;"P"&amp;$A185)))</f>
        <v>#NUM!</v>
      </c>
      <c r="BL185" s="3">
        <f ca="1">IF($BP$1=1,DZ185,IF(RTD("tos.rtd",,BL$2,"."&amp;$C$134&amp;$AU$82&amp;"C"&amp;$A185)="N/A",0,RTD("tos.rtd",,BL$2,"."&amp;$C$134&amp;$AU$82&amp;"C"&amp;$A185)))</f>
        <v>3.7173572146662276E-4</v>
      </c>
      <c r="BM185" s="3">
        <f ca="1">IF($BP$1=1,EA185,-IF(RTD("tos.rtd",,BM$2,"."&amp;$C$134&amp;$AU$82&amp;"P"&amp;$A185)="N/A",0,RTD("tos.rtd",,BM$2,"."&amp;$C$134&amp;$AU$82&amp;"P"&amp;$A185)))</f>
        <v>-3.6376804484334398E-4</v>
      </c>
      <c r="BN185" s="3">
        <f ca="1">IF($BP$1=1,EB185,IF(RTD("tos.rtd",,BN$2,"."&amp;$D$134&amp;$AW$82&amp;"C"&amp;$A185)="N/A",0,RTD("tos.rtd",,BN$2,"."&amp;$D$134&amp;$AW$82&amp;"C"&amp;$A185)))</f>
        <v>3.3405210950197129E-4</v>
      </c>
      <c r="BO185" s="3">
        <f ca="1">IF($BP$1=1,EC185,-IF(RTD("tos.rtd",,BO$2,"."&amp;$D$134&amp;$AW$82&amp;"P"&amp;$A185)="N/A",0,RTD("tos.rtd",,BO$2,"."&amp;$D$134&amp;$AW$82&amp;"P"&amp;$A185)))</f>
        <v>-3.1492584381570803E-4</v>
      </c>
      <c r="BQ185" s="3" t="e">
        <f t="shared" ca="1" si="621"/>
        <v>#NUM!</v>
      </c>
      <c r="BR185" s="3" t="e">
        <f t="shared" ca="1" si="547"/>
        <v>#NUM!</v>
      </c>
      <c r="BS185" s="3">
        <f t="shared" ca="1" si="622"/>
        <v>-45636.92041318852</v>
      </c>
      <c r="BT185" s="3" t="str">
        <f t="shared" ca="1" si="548"/>
        <v/>
      </c>
      <c r="BU185" s="3">
        <f t="shared" ca="1" si="623"/>
        <v>132577.44902561931</v>
      </c>
      <c r="BV185" s="3" t="str">
        <f t="shared" ca="1" si="548"/>
        <v/>
      </c>
      <c r="BX185" s="3" t="e">
        <f t="shared" ca="1" si="582"/>
        <v>#NUM!</v>
      </c>
      <c r="BY185" s="3" t="e">
        <f t="shared" ca="1" si="583"/>
        <v>#NUM!</v>
      </c>
      <c r="BZ185" s="3">
        <f t="shared" ca="1" si="584"/>
        <v>-172.4427302017609</v>
      </c>
      <c r="CA185" s="3" t="str">
        <f t="shared" ca="1" si="583"/>
        <v/>
      </c>
      <c r="CB185" s="3">
        <f t="shared" ca="1" si="585"/>
        <v>-149.28928774395536</v>
      </c>
      <c r="CC185" s="3" t="str">
        <f t="shared" ca="1" si="583"/>
        <v/>
      </c>
      <c r="CD185" s="3">
        <f>IF(RTD("tos.rtd",,CD$43,"."&amp;$B$134&amp;$AS$82&amp;"C"&amp;$A185)="N/A",0,RTD("tos.rtd",,CD$43,"."&amp;$B$134&amp;$AS$82&amp;"C"&amp;$A185))</f>
        <v>1</v>
      </c>
      <c r="CE185" s="3">
        <f>-IF(RTD("tos.rtd",,CE$43,"."&amp;$B$134&amp;$AS$82&amp;"P"&amp;$A185)="N/A",0,RTD("tos.rtd",,CE$43,"."&amp;$B$134&amp;$AS$82&amp;"P"&amp;$A185))</f>
        <v>0.06</v>
      </c>
      <c r="CF185" s="3">
        <f>IF(RTD("tos.rtd",,CF$2,"."&amp;$C$134&amp;$AU$82&amp;"C"&amp;$A185)="N/A",0,RTD("tos.rtd",,CF$2,"."&amp;$C$134&amp;$AU$82&amp;"C"&amp;$A185))</f>
        <v>0.86</v>
      </c>
      <c r="CG185" s="3">
        <f>-IF(RTD("tos.rtd",,CG$2,"."&amp;$C$134&amp;$AU$82&amp;"P"&amp;$A185)="N/A",0,RTD("tos.rtd",,CG$2,"."&amp;$C$134&amp;$AU$82&amp;"P"&amp;$A185))</f>
        <v>0.08</v>
      </c>
      <c r="CH185" s="3">
        <f>IF(RTD("tos.rtd",,CH$2,"."&amp;$D$134&amp;$AW$82&amp;"C"&amp;$A185)="N/A",0,RTD("tos.rtd",,CH$2,"."&amp;$D$134&amp;$AW$82&amp;"C"&amp;$A185))</f>
        <v>0.78</v>
      </c>
      <c r="CI185" s="3">
        <f>-IF(RTD("tos.rtd",,CI$2,"."&amp;$D$134&amp;$AW$82&amp;"P"&amp;$A185)="N/A",0,RTD("tos.rtd",,CI$2,"."&amp;$D$134&amp;$AW$82&amp;"P"&amp;$A185))</f>
        <v>0.21</v>
      </c>
      <c r="CK185" s="3">
        <f t="shared" si="656"/>
        <v>-108</v>
      </c>
      <c r="CL185" s="3"/>
      <c r="CM185" s="3">
        <f t="shared" si="657"/>
        <v>124</v>
      </c>
      <c r="CN185" s="3"/>
      <c r="CO185" s="3">
        <f t="shared" si="658"/>
        <v>1449</v>
      </c>
      <c r="CP185" s="3">
        <f t="shared" si="539"/>
        <v>1465</v>
      </c>
      <c r="CQ185" s="3">
        <f t="shared" si="549"/>
        <v>-142</v>
      </c>
      <c r="CR185" s="3"/>
      <c r="CS185" s="3">
        <f t="shared" si="550"/>
        <v>-2</v>
      </c>
      <c r="CT185" s="3"/>
      <c r="CU185" s="3">
        <f t="shared" si="551"/>
        <v>-2</v>
      </c>
      <c r="CV185" s="3"/>
      <c r="CW185" s="3" t="e">
        <f t="shared" ca="1" si="552"/>
        <v>#NUM!</v>
      </c>
      <c r="CY185" s="3" t="e">
        <f t="shared" ca="1" si="553"/>
        <v>#NUM!</v>
      </c>
      <c r="CZ185" s="70" t="e">
        <f t="shared" ca="1" si="586"/>
        <v>#NUM!</v>
      </c>
      <c r="DA185" s="3">
        <f>IF(RTD("tos.rtd",,DA$43,"."&amp;$B$134&amp;$AS$82&amp;"C"&amp;$A185)="N/A",0,RTD("tos.rtd",,DA$43,"."&amp;$B$134&amp;$AS$82&amp;"C"&amp;$A185))</f>
        <v>921.9</v>
      </c>
      <c r="DB185" s="3">
        <f>IF(RTD("tos.rtd",,DB$43,"."&amp;$B$134&amp;$AS$82&amp;"P"&amp;$A185)="N/A",0,RTD("tos.rtd",,DB$43,"."&amp;$B$134&amp;$AS$82&amp;"P"&amp;$A185))</f>
        <v>0.05</v>
      </c>
      <c r="DC185" s="3">
        <f>IF(RTD("tos.rtd",,DC$43,"."&amp;$B$134&amp;$AS$82&amp;"C"&amp;$A185)="N/A",0,RTD("tos.rtd",,DC$43,"."&amp;$B$134&amp;$AS$82&amp;"C"&amp;$A185))</f>
        <v>653</v>
      </c>
      <c r="DD185" s="3">
        <f>IF(RTD("tos.rtd",,DD$43,"."&amp;$B$134&amp;$AS$82&amp;"P"&amp;$A185)="N/A",0,RTD("tos.rtd",,DD$43,"."&amp;$B$134&amp;$AS$82&amp;"P"&amp;$A185))</f>
        <v>19.8</v>
      </c>
      <c r="DE185" s="3">
        <f>IF(RTD("tos.rtd",,DE$43,"."&amp;$B$134&amp;$AS$82&amp;"C"&amp;$A185)="N/A",0,RTD("tos.rtd",,DE$43,"."&amp;$B$134&amp;$AS$82&amp;"C"&amp;$A185))</f>
        <v>576</v>
      </c>
      <c r="DF185" s="3">
        <f>IF(RTD("tos.rtd",,DF$43,"."&amp;$B$134&amp;$AS$82&amp;"P"&amp;$A185)="N/A",0,RTD("tos.rtd",,DF$43,"."&amp;$B$134&amp;$AS$82&amp;"P"&amp;$A185))</f>
        <v>0</v>
      </c>
      <c r="DG185" s="86">
        <f t="shared" si="587"/>
        <v>-617.97300000000178</v>
      </c>
      <c r="DH185" s="3">
        <f t="shared" si="554"/>
        <v>0</v>
      </c>
      <c r="DI185" s="3">
        <f t="shared" si="555"/>
        <v>0</v>
      </c>
      <c r="DJ185" s="3">
        <f t="shared" si="556"/>
        <v>0</v>
      </c>
      <c r="DK185" s="3">
        <f t="shared" si="557"/>
        <v>0</v>
      </c>
      <c r="DL185" s="3">
        <f t="shared" si="558"/>
        <v>0</v>
      </c>
      <c r="DM185" s="3">
        <f t="shared" si="559"/>
        <v>0</v>
      </c>
      <c r="DN185" s="64" t="str">
        <f t="shared" si="560"/>
        <v>UNKNOWN</v>
      </c>
      <c r="DO185" s="64" t="str">
        <f t="shared" si="561"/>
        <v>UNKNOWN</v>
      </c>
      <c r="DP185" s="3">
        <f t="shared" si="562"/>
        <v>0</v>
      </c>
      <c r="DQ185" s="3">
        <f t="shared" si="563"/>
        <v>0</v>
      </c>
      <c r="DR185" s="3" t="e">
        <f t="shared" ca="1" si="564"/>
        <v>#NUM!</v>
      </c>
      <c r="DS185" s="3">
        <f t="shared" si="565"/>
        <v>0</v>
      </c>
      <c r="DT185" s="3">
        <f t="shared" si="588"/>
        <v>0</v>
      </c>
      <c r="DU185" s="3">
        <f t="shared" si="589"/>
        <v>0</v>
      </c>
      <c r="DV185" s="3">
        <f t="shared" si="566"/>
        <v>0</v>
      </c>
      <c r="DW185" s="3">
        <f t="shared" si="567"/>
        <v>24</v>
      </c>
      <c r="DX185" s="3" t="e">
        <f t="shared" ca="1" si="650"/>
        <v>#NUM!</v>
      </c>
      <c r="DY185" s="3" t="e">
        <f t="shared" ca="1" si="651"/>
        <v>#NUM!</v>
      </c>
      <c r="DZ185" s="3">
        <f t="shared" ca="1" si="652"/>
        <v>3.7173572146662276E-4</v>
      </c>
      <c r="EA185" s="3">
        <f t="shared" ca="1" si="653"/>
        <v>-3.6376804484334398E-4</v>
      </c>
      <c r="EB185" s="3">
        <f t="shared" ca="1" si="654"/>
        <v>3.3405210950197129E-4</v>
      </c>
      <c r="EC185" s="3">
        <f t="shared" ca="1" si="655"/>
        <v>-3.1492584381570803E-4</v>
      </c>
      <c r="ED185" s="63">
        <f t="shared" si="590"/>
        <v>24</v>
      </c>
      <c r="EE185" s="59">
        <f t="shared" si="574"/>
        <v>0.25</v>
      </c>
      <c r="EF185" s="59">
        <f t="shared" si="575"/>
        <v>2.67</v>
      </c>
      <c r="EG185" s="59">
        <f t="shared" si="576"/>
        <v>0.43590000000000001</v>
      </c>
      <c r="EH185" s="59">
        <f t="shared" si="577"/>
        <v>0.32900000000000001</v>
      </c>
      <c r="EI185" s="59">
        <f t="shared" si="578"/>
        <v>0.2868</v>
      </c>
      <c r="EJ185" s="59">
        <f t="shared" si="579"/>
        <v>0.26989999999999997</v>
      </c>
      <c r="EL185" s="3" t="str">
        <f>RTD("tos.rtd",,EL$43,"."&amp;$B$134&amp;$AS$82&amp;"C"&amp;$A185)</f>
        <v>--</v>
      </c>
      <c r="EM185" s="3" t="str">
        <f>RTD("tos.rtd",,EM$43,"."&amp;$B$134&amp;$AS$82&amp;"P"&amp;$A185)</f>
        <v>267.00%</v>
      </c>
      <c r="EN185" s="3" t="str">
        <f>RTD("tos.rtd",,EN$2,"."&amp;$C$134&amp;$AU$82&amp;"C"&amp;$A185)</f>
        <v>43.59%</v>
      </c>
      <c r="EO185" s="3" t="str">
        <f>RTD("tos.rtd",,EO$2,"."&amp;$C$134&amp;$AU$82&amp;"P"&amp;$A185)</f>
        <v>32.90%</v>
      </c>
      <c r="EP185" s="3" t="str">
        <f>RTD("tos.rtd",,EP$2,"."&amp;$D$134&amp;$AW$82&amp;"C"&amp;$A185)</f>
        <v>28.68%</v>
      </c>
      <c r="EQ185" s="3" t="str">
        <f>RTD("tos.rtd",,EQ$2,"."&amp;$D$134&amp;$AW$82&amp;"P"&amp;$A185)</f>
        <v>26.99%</v>
      </c>
      <c r="ES185" s="63" t="str">
        <f t="shared" si="580"/>
        <v>19250,24.00</v>
      </c>
      <c r="ET185" s="64" t="str">
        <f t="shared" ca="1" si="581"/>
        <v>19250,00.00</v>
      </c>
      <c r="EU185" s="68">
        <v>562.19000000000005</v>
      </c>
      <c r="EV185" s="68" t="s">
        <v>1500</v>
      </c>
      <c r="EW185" s="68">
        <v>484.63</v>
      </c>
      <c r="EX185" s="68" t="s">
        <v>1501</v>
      </c>
      <c r="EY185" s="68">
        <v>5635.5</v>
      </c>
      <c r="EZ185" s="68" t="s">
        <v>1502</v>
      </c>
      <c r="FA185" s="68">
        <v>19907.25</v>
      </c>
      <c r="FB185" s="68" t="s">
        <v>1503</v>
      </c>
      <c r="FC185" s="68" t="s">
        <v>1504</v>
      </c>
      <c r="FD185" s="68" t="s">
        <v>1505</v>
      </c>
      <c r="FE185" s="68" t="s">
        <v>1506</v>
      </c>
      <c r="FF185" s="68" t="s">
        <v>1507</v>
      </c>
    </row>
    <row r="186" spans="1:162" ht="11.1" customHeight="1" thickBot="1" x14ac:dyDescent="0.25">
      <c r="A186" s="2">
        <f t="shared" si="591"/>
        <v>19225</v>
      </c>
      <c r="B186" s="3">
        <f t="shared" si="624"/>
        <v>1</v>
      </c>
      <c r="C186" s="3">
        <f t="shared" si="625"/>
        <v>7</v>
      </c>
      <c r="D186" s="3">
        <f t="shared" si="626"/>
        <v>13</v>
      </c>
      <c r="E186" s="3">
        <f t="shared" si="659"/>
        <v>21</v>
      </c>
      <c r="F186" s="4">
        <f t="shared" si="619"/>
        <v>19445.647525291079</v>
      </c>
      <c r="G186" s="5">
        <f t="shared" si="660"/>
        <v>471.09442166042805</v>
      </c>
      <c r="AM186" s="1">
        <v>-1</v>
      </c>
      <c r="AN186" s="1">
        <v>-10</v>
      </c>
      <c r="AO186" s="1">
        <v>19225</v>
      </c>
      <c r="AP186" s="1">
        <v>1</v>
      </c>
      <c r="AQ186" s="1">
        <v>-26</v>
      </c>
      <c r="AS186" s="54">
        <f>IF(RTD("tos.rtd",,AS$83,"."&amp;$B$134&amp;$AS$82&amp;"C"&amp;$A186)="N/A",0,RTD("tos.rtd",,AS$83,"."&amp;$B$134&amp;$AS$82&amp;"C"&amp;$A186))</f>
        <v>0</v>
      </c>
      <c r="AT186" s="3">
        <f>-IF(RTD("tos.rtd",,AT$83,"."&amp;$B$134&amp;$AS$82&amp;"P"&amp;$A186)="N/A",0,RTD("tos.rtd",,AT$83,"."&amp;$B$134&amp;$AS$82&amp;"P"&amp;$A186))</f>
        <v>-1</v>
      </c>
      <c r="AU186" s="54">
        <f>IF(RTD("tos.rtd",,AU$2,"."&amp;$C$134&amp;$AU$134&amp;"C"&amp;$A186)="N/A",0,RTD("tos.rtd",,AU$2,"."&amp;$C$134&amp;$AU$134&amp;"C"&amp;$A186))</f>
        <v>4</v>
      </c>
      <c r="AV186" s="3">
        <f>-IF(RTD("tos.rtd",,AV$2,"."&amp;$C$134&amp;$AU$134&amp;"P"&amp;$A186)="N/A",0,RTD("tos.rtd",,AV$2,"."&amp;$C$134&amp;$AU$134&amp;"P"&amp;$A186))</f>
        <v>-3</v>
      </c>
      <c r="AW186" s="54">
        <f>IF(RTD("tos.rtd",,AW$2,"."&amp;$D$134&amp;$AW$134&amp;"C"&amp;$A186)="N/A",0,RTD("tos.rtd",,AW$2,"."&amp;$D$134&amp;$AW$134&amp;"C"&amp;$A186))</f>
        <v>4</v>
      </c>
      <c r="AX186" s="3">
        <f>-IF(RTD("tos.rtd",,AX$2,"."&amp;$D$134&amp;$AW$134&amp;"P"&amp;$A186)="N/A",0,RTD("tos.rtd",,AX$2,"."&amp;$D$134&amp;$AW$134&amp;"P"&amp;$A186))</f>
        <v>-9</v>
      </c>
      <c r="AY186" s="76">
        <f t="shared" si="620"/>
        <v>-5</v>
      </c>
      <c r="AZ186" s="8">
        <f t="shared" si="545"/>
        <v>19225</v>
      </c>
      <c r="BA186" s="54">
        <f>IF(RTD("tos.rtd",,BA$43,"."&amp;$B$134&amp;$AS$82&amp;"C"&amp;$A186)="N/A",0,RTD("tos.rtd",,BA$43,"."&amp;$B$134&amp;$AS$82&amp;"C"&amp;$A186))</f>
        <v>1</v>
      </c>
      <c r="BB186" s="3">
        <f>-IF(RTD("tos.rtd",,BB$43,"."&amp;$B$134&amp;$AS$82&amp;"P"&amp;$A186)="N/A",0,RTD("tos.rtd",,BB$43,"."&amp;$B$134&amp;$AS$82&amp;"P"&amp;$A186))</f>
        <v>-26</v>
      </c>
      <c r="BC186" s="54">
        <f>IF(RTD("tos.rtd",,BC$2,"."&amp;$C$134&amp;$AU$82&amp;"C"&amp;$A186)="N/A",0,RTD("tos.rtd",,BC$2,"."&amp;$C$134&amp;$AU$82&amp;"C"&amp;$A186))</f>
        <v>0</v>
      </c>
      <c r="BD186" s="3">
        <f>-IF(RTD("tos.rtd",,BD$2,"."&amp;$C$134&amp;$AU$82&amp;"P"&amp;$A186)="N/A",0,RTD("tos.rtd",,BD$2,"."&amp;$C$134&amp;$AU$82&amp;"P"&amp;$A186))</f>
        <v>-1</v>
      </c>
      <c r="BE186" s="54">
        <f>IF(RTD("tos.rtd",,BE$2,"."&amp;$D$134&amp;$AW$82&amp;"C"&amp;$A186)="N/A",0,RTD("tos.rtd",,BE$2,"."&amp;$D$134&amp;$AW$82&amp;"C"&amp;$A186))</f>
        <v>0</v>
      </c>
      <c r="BF186" s="3">
        <f>-IF(RTD("tos.rtd",,BF$2,"."&amp;$D$134&amp;$AW$82&amp;"P"&amp;$A186)="N/A",0,RTD("tos.rtd",,BF$2,"."&amp;$D$134&amp;$AW$82&amp;"P"&amp;$A186))</f>
        <v>-3</v>
      </c>
      <c r="BG186" s="3">
        <f ca="1">+Hoja2!Y187</f>
        <v>-2</v>
      </c>
      <c r="BH186" s="7">
        <f t="shared" ca="1" si="546"/>
        <v>-31</v>
      </c>
      <c r="BI186" s="32" t="str">
        <f t="shared" ca="1" si="605"/>
        <v/>
      </c>
      <c r="BJ186" s="3" t="e">
        <f ca="1">IF($BP$1=1,DX186,IF(RTD("tos.rtd",,BJ$43,"."&amp;$B$134&amp;$AS$82&amp;"C"&amp;$A186)="N/A",0,RTD("tos.rtd",,BJ$43,"."&amp;$B$134&amp;$AS$82&amp;"C"&amp;$A186)))</f>
        <v>#NUM!</v>
      </c>
      <c r="BK186" s="3" t="e">
        <f ca="1">IF($BP$1=1,DY186,-IF(RTD("tos.rtd",,BK$43,"."&amp;$B$134&amp;$AS$82&amp;"P"&amp;$A186)="N/A",0,RTD("tos.rtd",,BK$43,"."&amp;$B$134&amp;$AS$82&amp;"P"&amp;$A186)))</f>
        <v>#NUM!</v>
      </c>
      <c r="BL186" s="3">
        <f ca="1">IF($BP$1=1,DZ186,IF(RTD("tos.rtd",,BL$2,"."&amp;$C$134&amp;$AU$82&amp;"C"&amp;$A186)="N/A",0,RTD("tos.rtd",,BL$2,"."&amp;$C$134&amp;$AU$82&amp;"C"&amp;$A186)))</f>
        <v>3.5822221890374236E-4</v>
      </c>
      <c r="BM186" s="3">
        <f ca="1">IF($BP$1=1,EA186,-IF(RTD("tos.rtd",,BM$2,"."&amp;$C$134&amp;$AU$82&amp;"P"&amp;$A186)="N/A",0,RTD("tos.rtd",,BM$2,"."&amp;$C$134&amp;$AU$82&amp;"P"&amp;$A186)))</f>
        <v>-3.4407515107715041E-4</v>
      </c>
      <c r="BN186" s="3">
        <f ca="1">IF($BP$1=1,EB186,IF(RTD("tos.rtd",,BN$2,"."&amp;$D$134&amp;$AW$82&amp;"C"&amp;$A186)="N/A",0,RTD("tos.rtd",,BN$2,"."&amp;$D$134&amp;$AW$82&amp;"C"&amp;$A186)))</f>
        <v>3.1088603432002866E-4</v>
      </c>
      <c r="BO186" s="3">
        <f ca="1">IF($BP$1=1,EC186,-IF(RTD("tos.rtd",,BO$2,"."&amp;$D$134&amp;$AW$82&amp;"P"&amp;$A186)="N/A",0,RTD("tos.rtd",,BO$2,"."&amp;$D$134&amp;$AW$82&amp;"P"&amp;$A186)))</f>
        <v>-2.8955712731741103E-4</v>
      </c>
      <c r="BQ186" s="3" t="e">
        <f t="shared" ca="1" si="621"/>
        <v>#NUM!</v>
      </c>
      <c r="BR186" s="3" t="e">
        <f t="shared" ca="1" si="547"/>
        <v>#NUM!</v>
      </c>
      <c r="BS186" s="3">
        <f t="shared" ca="1" si="622"/>
        <v>12705.563771169222</v>
      </c>
      <c r="BT186" s="3" t="str">
        <f t="shared" ca="1" si="548"/>
        <v>Cruce +</v>
      </c>
      <c r="BU186" s="3">
        <f t="shared" ca="1" si="623"/>
        <v>-43205.71485486161</v>
      </c>
      <c r="BV186" s="3" t="str">
        <f t="shared" ca="1" si="548"/>
        <v>Cruce -</v>
      </c>
      <c r="BX186" s="3" t="e">
        <f t="shared" ca="1" si="582"/>
        <v>#NUM!</v>
      </c>
      <c r="BY186" s="3" t="e">
        <f t="shared" ca="1" si="583"/>
        <v>#NUM!</v>
      </c>
      <c r="BZ186" s="3">
        <f t="shared" ca="1" si="584"/>
        <v>-81.553697867935213</v>
      </c>
      <c r="CA186" s="3" t="str">
        <f t="shared" ca="1" si="583"/>
        <v/>
      </c>
      <c r="CB186" s="3">
        <f t="shared" ca="1" si="585"/>
        <v>-205.89502964243206</v>
      </c>
      <c r="CC186" s="3" t="str">
        <f t="shared" ca="1" si="583"/>
        <v/>
      </c>
      <c r="CD186" s="3">
        <f>IF(RTD("tos.rtd",,CD$43,"."&amp;$B$134&amp;$AS$82&amp;"C"&amp;$A186)="N/A",0,RTD("tos.rtd",,CD$43,"."&amp;$B$134&amp;$AS$82&amp;"C"&amp;$A186))</f>
        <v>1</v>
      </c>
      <c r="CE186" s="3">
        <f>-IF(RTD("tos.rtd",,CE$43,"."&amp;$B$134&amp;$AS$82&amp;"P"&amp;$A186)="N/A",0,RTD("tos.rtd",,CE$43,"."&amp;$B$134&amp;$AS$82&amp;"P"&amp;$A186))</f>
        <v>0</v>
      </c>
      <c r="CF186" s="3">
        <f>IF(RTD("tos.rtd",,CF$2,"."&amp;$C$134&amp;$AU$82&amp;"C"&amp;$A186)="N/A",0,RTD("tos.rtd",,CF$2,"."&amp;$C$134&amp;$AU$82&amp;"C"&amp;$A186))</f>
        <v>0.86</v>
      </c>
      <c r="CG186" s="3">
        <f>-IF(RTD("tos.rtd",,CG$2,"."&amp;$C$134&amp;$AU$82&amp;"P"&amp;$A186)="N/A",0,RTD("tos.rtd",,CG$2,"."&amp;$C$134&amp;$AU$82&amp;"P"&amp;$A186))</f>
        <v>7.0000000000000007E-2</v>
      </c>
      <c r="CH186" s="3">
        <f>IF(RTD("tos.rtd",,CH$2,"."&amp;$D$134&amp;$AW$82&amp;"C"&amp;$A186)="N/A",0,RTD("tos.rtd",,CH$2,"."&amp;$D$134&amp;$AW$82&amp;"C"&amp;$A186))</f>
        <v>0.79</v>
      </c>
      <c r="CI186" s="3">
        <f>-IF(RTD("tos.rtd",,CI$2,"."&amp;$D$134&amp;$AW$82&amp;"P"&amp;$A186)="N/A",0,RTD("tos.rtd",,CI$2,"."&amp;$D$134&amp;$AW$82&amp;"P"&amp;$A186))</f>
        <v>0.2</v>
      </c>
      <c r="CK186" s="3">
        <f t="shared" si="656"/>
        <v>0</v>
      </c>
      <c r="CL186" s="3"/>
      <c r="CM186" s="3">
        <f t="shared" si="657"/>
        <v>323</v>
      </c>
      <c r="CN186" s="3"/>
      <c r="CO186" s="3">
        <f t="shared" si="658"/>
        <v>136</v>
      </c>
      <c r="CP186" s="3">
        <f t="shared" si="539"/>
        <v>459</v>
      </c>
      <c r="CQ186" s="3">
        <f t="shared" si="549"/>
        <v>-25</v>
      </c>
      <c r="CR186" s="3"/>
      <c r="CS186" s="3">
        <f t="shared" si="550"/>
        <v>-1</v>
      </c>
      <c r="CT186" s="3"/>
      <c r="CU186" s="3">
        <f t="shared" si="551"/>
        <v>-3</v>
      </c>
      <c r="CV186" s="3"/>
      <c r="CW186" s="3" t="e">
        <f t="shared" ca="1" si="552"/>
        <v>#NUM!</v>
      </c>
      <c r="CY186" s="3" t="e">
        <f t="shared" ca="1" si="553"/>
        <v>#NUM!</v>
      </c>
      <c r="CZ186" s="70" t="e">
        <f t="shared" ca="1" si="586"/>
        <v>#NUM!</v>
      </c>
      <c r="DA186" s="3">
        <f>IF(RTD("tos.rtd",,DA$43,"."&amp;$B$134&amp;$AS$82&amp;"C"&amp;$A186)="N/A",0,RTD("tos.rtd",,DA$43,"."&amp;$B$134&amp;$AS$82&amp;"C"&amp;$A186))</f>
        <v>404.1</v>
      </c>
      <c r="DB186" s="3">
        <f>IF(RTD("tos.rtd",,DB$43,"."&amp;$B$134&amp;$AS$82&amp;"P"&amp;$A186)="N/A",0,RTD("tos.rtd",,DB$43,"."&amp;$B$134&amp;$AS$82&amp;"P"&amp;$A186))</f>
        <v>0.39</v>
      </c>
      <c r="DC186" s="3">
        <f>IF(RTD("tos.rtd",,DC$43,"."&amp;$B$134&amp;$AS$82&amp;"C"&amp;$A186)="N/A",0,RTD("tos.rtd",,DC$43,"."&amp;$B$134&amp;$AS$82&amp;"C"&amp;$A186))</f>
        <v>678</v>
      </c>
      <c r="DD186" s="3">
        <f>IF(RTD("tos.rtd",,DD$43,"."&amp;$B$134&amp;$AS$82&amp;"P"&amp;$A186)="N/A",0,RTD("tos.rtd",,DD$43,"."&amp;$B$134&amp;$AS$82&amp;"P"&amp;$A186))</f>
        <v>0.05</v>
      </c>
      <c r="DE186" s="3">
        <f>IF(RTD("tos.rtd",,DE$43,"."&amp;$B$134&amp;$AS$82&amp;"C"&amp;$A186)="N/A",0,RTD("tos.rtd",,DE$43,"."&amp;$B$134&amp;$AS$82&amp;"C"&amp;$A186))</f>
        <v>602</v>
      </c>
      <c r="DF186" s="3">
        <f>IF(RTD("tos.rtd",,DF$43,"."&amp;$B$134&amp;$AS$82&amp;"P"&amp;$A186)="N/A",0,RTD("tos.rtd",,DF$43,"."&amp;$B$134&amp;$AS$82&amp;"P"&amp;$A186))</f>
        <v>0</v>
      </c>
      <c r="DG186" s="86">
        <f t="shared" si="587"/>
        <v>-642.97300000000178</v>
      </c>
      <c r="DH186" s="3">
        <f t="shared" si="554"/>
        <v>0</v>
      </c>
      <c r="DI186" s="3">
        <f t="shared" si="555"/>
        <v>0</v>
      </c>
      <c r="DJ186" s="3">
        <f t="shared" si="556"/>
        <v>0</v>
      </c>
      <c r="DK186" s="3">
        <f t="shared" si="557"/>
        <v>0</v>
      </c>
      <c r="DL186" s="3">
        <f t="shared" si="558"/>
        <v>0</v>
      </c>
      <c r="DM186" s="3">
        <f t="shared" si="559"/>
        <v>0</v>
      </c>
      <c r="DN186" s="64" t="str">
        <f t="shared" si="560"/>
        <v>UNKNOWN</v>
      </c>
      <c r="DO186" s="64" t="str">
        <f t="shared" si="561"/>
        <v>UNKNOWN</v>
      </c>
      <c r="DP186" s="3">
        <f t="shared" si="562"/>
        <v>0</v>
      </c>
      <c r="DQ186" s="3">
        <f t="shared" si="563"/>
        <v>0</v>
      </c>
      <c r="DR186" s="3" t="e">
        <f t="shared" ca="1" si="564"/>
        <v>#NUM!</v>
      </c>
      <c r="DS186" s="3">
        <f t="shared" si="565"/>
        <v>0</v>
      </c>
      <c r="DT186" s="3">
        <f t="shared" si="588"/>
        <v>0</v>
      </c>
      <c r="DU186" s="3">
        <f t="shared" si="589"/>
        <v>0</v>
      </c>
      <c r="DV186" s="3">
        <f t="shared" si="566"/>
        <v>-1</v>
      </c>
      <c r="DW186" s="3">
        <f t="shared" si="567"/>
        <v>-10</v>
      </c>
      <c r="DX186" s="3" t="e">
        <f t="shared" ca="1" si="650"/>
        <v>#NUM!</v>
      </c>
      <c r="DY186" s="3" t="e">
        <f t="shared" ca="1" si="651"/>
        <v>#NUM!</v>
      </c>
      <c r="DZ186" s="3">
        <f t="shared" ca="1" si="652"/>
        <v>3.5822221890374236E-4</v>
      </c>
      <c r="EA186" s="3">
        <f t="shared" ca="1" si="653"/>
        <v>-3.4407515107715041E-4</v>
      </c>
      <c r="EB186" s="3">
        <f t="shared" ca="1" si="654"/>
        <v>3.1088603432002866E-4</v>
      </c>
      <c r="EC186" s="3">
        <f t="shared" ca="1" si="655"/>
        <v>-2.8955712731741103E-4</v>
      </c>
      <c r="ED186" s="63">
        <f t="shared" si="590"/>
        <v>-11</v>
      </c>
      <c r="EE186" s="59">
        <f t="shared" si="574"/>
        <v>0.25</v>
      </c>
      <c r="EF186" s="59">
        <f t="shared" si="575"/>
        <v>1.3212999999999999</v>
      </c>
      <c r="EG186" s="59">
        <f t="shared" si="576"/>
        <v>0.44479999999999997</v>
      </c>
      <c r="EH186" s="59">
        <f t="shared" si="577"/>
        <v>0.33129999999999998</v>
      </c>
      <c r="EI186" s="59">
        <f t="shared" si="578"/>
        <v>0.28849999999999998</v>
      </c>
      <c r="EJ186" s="59">
        <f t="shared" si="579"/>
        <v>0.2707</v>
      </c>
      <c r="EL186" s="3" t="str">
        <f>RTD("tos.rtd",,EL$43,"."&amp;$B$134&amp;$AS$82&amp;"C"&amp;$A186)</f>
        <v>--</v>
      </c>
      <c r="EM186" s="3" t="str">
        <f>RTD("tos.rtd",,EM$43,"."&amp;$B$134&amp;$AS$82&amp;"P"&amp;$A186)</f>
        <v>132.13%</v>
      </c>
      <c r="EN186" s="3" t="str">
        <f>RTD("tos.rtd",,EN$2,"."&amp;$C$134&amp;$AU$82&amp;"C"&amp;$A186)</f>
        <v>44.48%</v>
      </c>
      <c r="EO186" s="3" t="str">
        <f>RTD("tos.rtd",,EO$2,"."&amp;$C$134&amp;$AU$82&amp;"P"&amp;$A186)</f>
        <v>33.13%</v>
      </c>
      <c r="EP186" s="3" t="str">
        <f>RTD("tos.rtd",,EP$2,"."&amp;$D$134&amp;$AW$82&amp;"C"&amp;$A186)</f>
        <v>28.85%</v>
      </c>
      <c r="EQ186" s="3" t="str">
        <f>RTD("tos.rtd",,EQ$2,"."&amp;$D$134&amp;$AW$82&amp;"P"&amp;$A186)</f>
        <v>27.07%</v>
      </c>
      <c r="ES186" s="63" t="str">
        <f t="shared" si="580"/>
        <v>19225,-11.00</v>
      </c>
      <c r="ET186" s="64" t="str">
        <f t="shared" ca="1" si="581"/>
        <v>19225,00.00</v>
      </c>
      <c r="EU186" s="68">
        <v>562.15</v>
      </c>
      <c r="EV186" s="68" t="s">
        <v>1508</v>
      </c>
      <c r="EW186" s="68">
        <v>484.6</v>
      </c>
      <c r="EX186" s="68" t="s">
        <v>1509</v>
      </c>
      <c r="EY186" s="68">
        <v>5635.5</v>
      </c>
      <c r="EZ186" s="68" t="s">
        <v>1510</v>
      </c>
      <c r="FA186" s="68">
        <v>19905.75</v>
      </c>
      <c r="FB186" s="68" t="s">
        <v>1511</v>
      </c>
      <c r="FC186" s="68" t="s">
        <v>1512</v>
      </c>
      <c r="FD186" s="68" t="s">
        <v>1513</v>
      </c>
      <c r="FE186" s="68" t="s">
        <v>1514</v>
      </c>
      <c r="FF186" s="68" t="s">
        <v>1515</v>
      </c>
    </row>
    <row r="187" spans="1:162" ht="11.1" customHeight="1" thickBot="1" x14ac:dyDescent="0.25">
      <c r="A187" s="2">
        <f t="shared" si="591"/>
        <v>19200</v>
      </c>
      <c r="B187" s="3">
        <f t="shared" si="624"/>
        <v>20</v>
      </c>
      <c r="C187" s="3">
        <f t="shared" si="625"/>
        <v>56</v>
      </c>
      <c r="D187" s="3">
        <f t="shared" si="626"/>
        <v>212</v>
      </c>
      <c r="E187" s="3">
        <f t="shared" si="659"/>
        <v>288</v>
      </c>
      <c r="F187" s="4">
        <f t="shared" si="619"/>
        <v>19420.360597429844</v>
      </c>
      <c r="G187" s="5">
        <f t="shared" si="660"/>
        <v>470.48181513031045</v>
      </c>
      <c r="AM187" s="1">
        <v>0</v>
      </c>
      <c r="AN187" s="1">
        <v>59</v>
      </c>
      <c r="AO187" s="1">
        <v>19200</v>
      </c>
      <c r="AP187" s="1">
        <v>0</v>
      </c>
      <c r="AQ187" s="1">
        <v>-359</v>
      </c>
      <c r="AS187" s="54">
        <f>IF(RTD("tos.rtd",,AS$83,"."&amp;$B$134&amp;$AS$82&amp;"C"&amp;$A187)="N/A",0,RTD("tos.rtd",,AS$83,"."&amp;$B$134&amp;$AS$82&amp;"C"&amp;$A187))</f>
        <v>4</v>
      </c>
      <c r="AT187" s="3">
        <f>-IF(RTD("tos.rtd",,AT$83,"."&amp;$B$134&amp;$AS$82&amp;"P"&amp;$A187)="N/A",0,RTD("tos.rtd",,AT$83,"."&amp;$B$134&amp;$AS$82&amp;"P"&amp;$A187))</f>
        <v>-16</v>
      </c>
      <c r="AU187" s="54">
        <f>IF(RTD("tos.rtd",,AU$2,"."&amp;$C$134&amp;$AU$134&amp;"C"&amp;$A187)="N/A",0,RTD("tos.rtd",,AU$2,"."&amp;$C$134&amp;$AU$134&amp;"C"&amp;$A187))</f>
        <v>38</v>
      </c>
      <c r="AV187" s="3">
        <f>-IF(RTD("tos.rtd",,AV$2,"."&amp;$C$134&amp;$AU$134&amp;"P"&amp;$A187)="N/A",0,RTD("tos.rtd",,AV$2,"."&amp;$C$134&amp;$AU$134&amp;"P"&amp;$A187))</f>
        <v>-18</v>
      </c>
      <c r="AW187" s="54">
        <f>IF(RTD("tos.rtd",,AW$2,"."&amp;$D$134&amp;$AW$134&amp;"C"&amp;$A187)="N/A",0,RTD("tos.rtd",,AW$2,"."&amp;$D$134&amp;$AW$134&amp;"C"&amp;$A187))</f>
        <v>80</v>
      </c>
      <c r="AX187" s="3">
        <f>-IF(RTD("tos.rtd",,AX$2,"."&amp;$D$134&amp;$AW$134&amp;"P"&amp;$A187)="N/A",0,RTD("tos.rtd",,AX$2,"."&amp;$D$134&amp;$AW$134&amp;"P"&amp;$A187))</f>
        <v>-132</v>
      </c>
      <c r="AY187" s="76">
        <f t="shared" si="620"/>
        <v>-44</v>
      </c>
      <c r="AZ187" s="8">
        <f t="shared" si="545"/>
        <v>19200</v>
      </c>
      <c r="BA187" s="54">
        <f>IF(RTD("tos.rtd",,BA$43,"."&amp;$B$134&amp;$AS$82&amp;"C"&amp;$A187)="N/A",0,RTD("tos.rtd",,BA$43,"."&amp;$B$134&amp;$AS$82&amp;"C"&amp;$A187))</f>
        <v>0</v>
      </c>
      <c r="BB187" s="3">
        <f>-IF(RTD("tos.rtd",,BB$43,"."&amp;$B$134&amp;$AS$82&amp;"P"&amp;$A187)="N/A",0,RTD("tos.rtd",,BB$43,"."&amp;$B$134&amp;$AS$82&amp;"P"&amp;$A187))</f>
        <v>-359</v>
      </c>
      <c r="BC187" s="54">
        <f>IF(RTD("tos.rtd",,BC$2,"."&amp;$C$134&amp;$AU$82&amp;"C"&amp;$A187)="N/A",0,RTD("tos.rtd",,BC$2,"."&amp;$C$134&amp;$AU$82&amp;"C"&amp;$A187))</f>
        <v>0</v>
      </c>
      <c r="BD187" s="3">
        <f>-IF(RTD("tos.rtd",,BD$2,"."&amp;$C$134&amp;$AU$82&amp;"P"&amp;$A187)="N/A",0,RTD("tos.rtd",,BD$2,"."&amp;$C$134&amp;$AU$82&amp;"P"&amp;$A187))</f>
        <v>-2</v>
      </c>
      <c r="BE187" s="54">
        <f>IF(RTD("tos.rtd",,BE$2,"."&amp;$D$134&amp;$AW$82&amp;"C"&amp;$A187)="N/A",0,RTD("tos.rtd",,BE$2,"."&amp;$D$134&amp;$AW$82&amp;"C"&amp;$A187))</f>
        <v>0</v>
      </c>
      <c r="BF187" s="3">
        <f>-IF(RTD("tos.rtd",,BF$2,"."&amp;$D$134&amp;$AW$82&amp;"P"&amp;$A187)="N/A",0,RTD("tos.rtd",,BF$2,"."&amp;$D$134&amp;$AW$82&amp;"P"&amp;$A187))</f>
        <v>-16</v>
      </c>
      <c r="BG187" s="3">
        <f ca="1">+Hoja2!Y188</f>
        <v>-9</v>
      </c>
      <c r="BH187" s="7">
        <f t="shared" ca="1" si="546"/>
        <v>-386</v>
      </c>
      <c r="BI187" s="32" t="str">
        <f t="shared" ca="1" si="605"/>
        <v/>
      </c>
      <c r="BJ187" s="3" t="e">
        <f ca="1">IF($BP$1=1,DX187,IF(RTD("tos.rtd",,BJ$43,"."&amp;$B$134&amp;$AS$82&amp;"C"&amp;$A187)="N/A",0,RTD("tos.rtd",,BJ$43,"."&amp;$B$134&amp;$AS$82&amp;"C"&amp;$A187)))</f>
        <v>#NUM!</v>
      </c>
      <c r="BK187" s="3" t="e">
        <f ca="1">IF($BP$1=1,DY187,-IF(RTD("tos.rtd",,BK$43,"."&amp;$B$134&amp;$AS$82&amp;"P"&amp;$A187)="N/A",0,RTD("tos.rtd",,BK$43,"."&amp;$B$134&amp;$AS$82&amp;"P"&amp;$A187)))</f>
        <v>#NUM!</v>
      </c>
      <c r="BL187" s="3">
        <f ca="1">IF($BP$1=1,DZ187,IF(RTD("tos.rtd",,BL$2,"."&amp;$C$134&amp;$AU$82&amp;"C"&amp;$A187)="N/A",0,RTD("tos.rtd",,BL$2,"."&amp;$C$134&amp;$AU$82&amp;"C"&amp;$A187)))</f>
        <v>3.458605959815764E-4</v>
      </c>
      <c r="BM187" s="3">
        <f ca="1">IF($BP$1=1,EA187,-IF(RTD("tos.rtd",,BM$2,"."&amp;$C$134&amp;$AU$82&amp;"P"&amp;$A187)="N/A",0,RTD("tos.rtd",,BM$2,"."&amp;$C$134&amp;$AU$82&amp;"P"&amp;$A187)))</f>
        <v>-3.2520745082220849E-4</v>
      </c>
      <c r="BN187" s="3">
        <f ca="1">IF($BP$1=1,EB187,IF(RTD("tos.rtd",,BN$2,"."&amp;$D$134&amp;$AW$82&amp;"C"&amp;$A187)="N/A",0,RTD("tos.rtd",,BN$2,"."&amp;$D$134&amp;$AW$82&amp;"C"&amp;$A187)))</f>
        <v>2.8743739223476618E-4</v>
      </c>
      <c r="BO187" s="3">
        <f ca="1">IF($BP$1=1,EC187,-IF(RTD("tos.rtd",,BO$2,"."&amp;$D$134&amp;$AW$82&amp;"P"&amp;$A187)="N/A",0,RTD("tos.rtd",,BO$2,"."&amp;$D$134&amp;$AW$82&amp;"P"&amp;$A187)))</f>
        <v>-2.6596071420546943E-4</v>
      </c>
      <c r="BQ187" s="3" t="e">
        <f t="shared" ca="1" si="621"/>
        <v>#NUM!</v>
      </c>
      <c r="BR187" s="3" t="e">
        <f t="shared" ca="1" si="547"/>
        <v>#NUM!</v>
      </c>
      <c r="BS187" s="3">
        <f t="shared" ca="1" si="622"/>
        <v>231142.77306571527</v>
      </c>
      <c r="BT187" s="3" t="str">
        <f t="shared" ca="1" si="548"/>
        <v/>
      </c>
      <c r="BU187" s="3">
        <f t="shared" ca="1" si="623"/>
        <v>-384081.8242880716</v>
      </c>
      <c r="BV187" s="3" t="str">
        <f t="shared" ca="1" si="548"/>
        <v/>
      </c>
      <c r="BX187" s="3" t="e">
        <f t="shared" ca="1" si="582"/>
        <v>#NUM!</v>
      </c>
      <c r="BY187" s="3" t="e">
        <f t="shared" ca="1" si="583"/>
        <v>#NUM!</v>
      </c>
      <c r="BZ187" s="3">
        <f t="shared" ca="1" si="584"/>
        <v>-154.16324082530977</v>
      </c>
      <c r="CA187" s="3" t="str">
        <f t="shared" ca="1" si="583"/>
        <v/>
      </c>
      <c r="CB187" s="3">
        <f t="shared" ca="1" si="585"/>
        <v>-1008.6205720186822</v>
      </c>
      <c r="CC187" s="3" t="str">
        <f t="shared" ca="1" si="583"/>
        <v/>
      </c>
      <c r="CD187" s="3">
        <f>IF(RTD("tos.rtd",,CD$43,"."&amp;$B$134&amp;$AS$82&amp;"C"&amp;$A187)="N/A",0,RTD("tos.rtd",,CD$43,"."&amp;$B$134&amp;$AS$82&amp;"C"&amp;$A187))</f>
        <v>1</v>
      </c>
      <c r="CE187" s="3">
        <f>-IF(RTD("tos.rtd",,CE$43,"."&amp;$B$134&amp;$AS$82&amp;"P"&amp;$A187)="N/A",0,RTD("tos.rtd",,CE$43,"."&amp;$B$134&amp;$AS$82&amp;"P"&amp;$A187))</f>
        <v>0</v>
      </c>
      <c r="CF187" s="3">
        <f>IF(RTD("tos.rtd",,CF$2,"."&amp;$C$134&amp;$AU$82&amp;"C"&amp;$A187)="N/A",0,RTD("tos.rtd",,CF$2,"."&amp;$C$134&amp;$AU$82&amp;"C"&amp;$A187))</f>
        <v>0.87</v>
      </c>
      <c r="CG187" s="3">
        <f>-IF(RTD("tos.rtd",,CG$2,"."&amp;$C$134&amp;$AU$82&amp;"P"&amp;$A187)="N/A",0,RTD("tos.rtd",,CG$2,"."&amp;$C$134&amp;$AU$82&amp;"P"&amp;$A187))</f>
        <v>7.0000000000000007E-2</v>
      </c>
      <c r="CH187" s="3">
        <f>IF(RTD("tos.rtd",,CH$2,"."&amp;$D$134&amp;$AW$82&amp;"C"&amp;$A187)="N/A",0,RTD("tos.rtd",,CH$2,"."&amp;$D$134&amp;$AW$82&amp;"C"&amp;$A187))</f>
        <v>0.8</v>
      </c>
      <c r="CI187" s="3">
        <f>-IF(RTD("tos.rtd",,CI$2,"."&amp;$D$134&amp;$AW$82&amp;"P"&amp;$A187)="N/A",0,RTD("tos.rtd",,CI$2,"."&amp;$D$134&amp;$AW$82&amp;"P"&amp;$A187))</f>
        <v>0.19</v>
      </c>
      <c r="CK187" s="3">
        <f t="shared" si="656"/>
        <v>400</v>
      </c>
      <c r="CL187" s="3"/>
      <c r="CM187" s="3">
        <f t="shared" si="657"/>
        <v>3180</v>
      </c>
      <c r="CN187" s="3"/>
      <c r="CO187" s="3">
        <f t="shared" si="658"/>
        <v>3892</v>
      </c>
      <c r="CP187" s="3">
        <f t="shared" si="539"/>
        <v>7472</v>
      </c>
      <c r="CQ187" s="3">
        <f t="shared" si="549"/>
        <v>-359</v>
      </c>
      <c r="CR187" s="3"/>
      <c r="CS187" s="3">
        <f t="shared" si="550"/>
        <v>-2</v>
      </c>
      <c r="CT187" s="3"/>
      <c r="CU187" s="3">
        <f t="shared" si="551"/>
        <v>-16</v>
      </c>
      <c r="CV187" s="3"/>
      <c r="CW187" s="3" t="e">
        <f t="shared" ca="1" si="552"/>
        <v>#NUM!</v>
      </c>
      <c r="CY187" s="3" t="e">
        <f t="shared" ca="1" si="553"/>
        <v>#NUM!</v>
      </c>
      <c r="CZ187" s="70" t="e">
        <f t="shared" ca="1" si="586"/>
        <v>#NUM!</v>
      </c>
      <c r="DA187" s="3">
        <f>IF(RTD("tos.rtd",,DA$43,"."&amp;$B$134&amp;$AS$82&amp;"C"&amp;$A187)="N/A",0,RTD("tos.rtd",,DA$43,"."&amp;$B$134&amp;$AS$82&amp;"C"&amp;$A187))</f>
        <v>615</v>
      </c>
      <c r="DB187" s="3">
        <f>IF(RTD("tos.rtd",,DB$43,"."&amp;$B$134&amp;$AS$82&amp;"P"&amp;$A187)="N/A",0,RTD("tos.rtd",,DB$43,"."&amp;$B$134&amp;$AS$82&amp;"P"&amp;$A187))</f>
        <v>0.05</v>
      </c>
      <c r="DC187" s="3">
        <f>IF(RTD("tos.rtd",,DC$43,"."&amp;$B$134&amp;$AS$82&amp;"C"&amp;$A187)="N/A",0,RTD("tos.rtd",,DC$43,"."&amp;$B$134&amp;$AS$82&amp;"C"&amp;$A187))</f>
        <v>703</v>
      </c>
      <c r="DD187" s="3">
        <f>IF(RTD("tos.rtd",,DD$43,"."&amp;$B$134&amp;$AS$82&amp;"P"&amp;$A187)="N/A",0,RTD("tos.rtd",,DD$43,"."&amp;$B$134&amp;$AS$82&amp;"P"&amp;$A187))</f>
        <v>0.05</v>
      </c>
      <c r="DE187" s="3">
        <f>IF(RTD("tos.rtd",,DE$43,"."&amp;$B$134&amp;$AS$82&amp;"C"&amp;$A187)="N/A",0,RTD("tos.rtd",,DE$43,"."&amp;$B$134&amp;$AS$82&amp;"C"&amp;$A187))</f>
        <v>626</v>
      </c>
      <c r="DF187" s="3">
        <f>IF(RTD("tos.rtd",,DF$43,"."&amp;$B$134&amp;$AS$82&amp;"P"&amp;$A187)="N/A",0,RTD("tos.rtd",,DF$43,"."&amp;$B$134&amp;$AS$82&amp;"P"&amp;$A187))</f>
        <v>0</v>
      </c>
      <c r="DG187" s="86">
        <f t="shared" si="587"/>
        <v>-667.97300000000178</v>
      </c>
      <c r="DH187" s="3">
        <f t="shared" si="554"/>
        <v>0</v>
      </c>
      <c r="DI187" s="3">
        <f t="shared" si="555"/>
        <v>0</v>
      </c>
      <c r="DJ187" s="3">
        <f t="shared" si="556"/>
        <v>0</v>
      </c>
      <c r="DK187" s="3">
        <f t="shared" si="557"/>
        <v>0</v>
      </c>
      <c r="DL187" s="3">
        <f t="shared" si="558"/>
        <v>0</v>
      </c>
      <c r="DM187" s="3">
        <f t="shared" si="559"/>
        <v>0</v>
      </c>
      <c r="DN187" s="64" t="str">
        <f t="shared" si="560"/>
        <v>UNKNOWN</v>
      </c>
      <c r="DO187" s="64" t="str">
        <f t="shared" si="561"/>
        <v>UNKNOWN</v>
      </c>
      <c r="DP187" s="3">
        <f t="shared" si="562"/>
        <v>0</v>
      </c>
      <c r="DQ187" s="3">
        <f t="shared" si="563"/>
        <v>0</v>
      </c>
      <c r="DR187" s="3" t="e">
        <f t="shared" ca="1" si="564"/>
        <v>#NUM!</v>
      </c>
      <c r="DS187" s="3">
        <f t="shared" si="565"/>
        <v>0</v>
      </c>
      <c r="DT187" s="3">
        <f t="shared" si="588"/>
        <v>0</v>
      </c>
      <c r="DU187" s="3">
        <f t="shared" si="589"/>
        <v>0</v>
      </c>
      <c r="DV187" s="3">
        <f t="shared" si="566"/>
        <v>0</v>
      </c>
      <c r="DW187" s="3">
        <f t="shared" si="567"/>
        <v>59</v>
      </c>
      <c r="DX187" s="3" t="e">
        <f t="shared" ca="1" si="650"/>
        <v>#NUM!</v>
      </c>
      <c r="DY187" s="3" t="e">
        <f t="shared" ca="1" si="651"/>
        <v>#NUM!</v>
      </c>
      <c r="DZ187" s="3">
        <f t="shared" ca="1" si="652"/>
        <v>3.458605959815764E-4</v>
      </c>
      <c r="EA187" s="3">
        <f t="shared" ca="1" si="653"/>
        <v>-3.2520745082220849E-4</v>
      </c>
      <c r="EB187" s="3">
        <f t="shared" ca="1" si="654"/>
        <v>2.8743739223476618E-4</v>
      </c>
      <c r="EC187" s="3">
        <f t="shared" ca="1" si="655"/>
        <v>-2.6596071420546943E-4</v>
      </c>
      <c r="ED187" s="63">
        <f t="shared" si="590"/>
        <v>59</v>
      </c>
      <c r="EE187" s="59">
        <f t="shared" si="574"/>
        <v>0.25</v>
      </c>
      <c r="EF187" s="59">
        <f t="shared" si="575"/>
        <v>1.3696999999999999</v>
      </c>
      <c r="EG187" s="59">
        <f t="shared" si="576"/>
        <v>0.44929999999999998</v>
      </c>
      <c r="EH187" s="59">
        <f t="shared" si="577"/>
        <v>0.3337</v>
      </c>
      <c r="EI187" s="59">
        <f t="shared" si="578"/>
        <v>0.28889999999999999</v>
      </c>
      <c r="EJ187" s="59">
        <f t="shared" si="579"/>
        <v>0.27179999999999999</v>
      </c>
      <c r="EL187" s="3" t="str">
        <f>RTD("tos.rtd",,EL$43,"."&amp;$B$134&amp;$AS$82&amp;"C"&amp;$A187)</f>
        <v>--</v>
      </c>
      <c r="EM187" s="3" t="str">
        <f>RTD("tos.rtd",,EM$43,"."&amp;$B$134&amp;$AS$82&amp;"P"&amp;$A187)</f>
        <v>136.97%</v>
      </c>
      <c r="EN187" s="3" t="str">
        <f>RTD("tos.rtd",,EN$2,"."&amp;$C$134&amp;$AU$82&amp;"C"&amp;$A187)</f>
        <v>44.93%</v>
      </c>
      <c r="EO187" s="3" t="str">
        <f>RTD("tos.rtd",,EO$2,"."&amp;$C$134&amp;$AU$82&amp;"P"&amp;$A187)</f>
        <v>33.37%</v>
      </c>
      <c r="EP187" s="3" t="str">
        <f>RTD("tos.rtd",,EP$2,"."&amp;$D$134&amp;$AW$82&amp;"C"&amp;$A187)</f>
        <v>28.89%</v>
      </c>
      <c r="EQ187" s="3" t="str">
        <f>RTD("tos.rtd",,EQ$2,"."&amp;$D$134&amp;$AW$82&amp;"P"&amp;$A187)</f>
        <v>27.18%</v>
      </c>
      <c r="ES187" s="63" t="str">
        <f t="shared" si="580"/>
        <v>19200,59.00</v>
      </c>
      <c r="ET187" s="64" t="str">
        <f t="shared" ca="1" si="581"/>
        <v>19200,00.00</v>
      </c>
      <c r="EU187" s="68">
        <v>562.11</v>
      </c>
      <c r="EV187" s="68" t="s">
        <v>1516</v>
      </c>
      <c r="EW187" s="68">
        <v>484.6</v>
      </c>
      <c r="EX187" s="68" t="s">
        <v>1517</v>
      </c>
      <c r="EY187" s="68">
        <v>5634.75</v>
      </c>
      <c r="EZ187" s="68" t="s">
        <v>1518</v>
      </c>
      <c r="FA187" s="68">
        <v>19903.5</v>
      </c>
      <c r="FB187" s="68" t="s">
        <v>1519</v>
      </c>
      <c r="FC187" s="68" t="s">
        <v>1520</v>
      </c>
      <c r="FD187" s="68" t="s">
        <v>1521</v>
      </c>
      <c r="FE187" s="68" t="s">
        <v>1522</v>
      </c>
      <c r="FF187" s="68" t="s">
        <v>1523</v>
      </c>
    </row>
    <row r="188" spans="1:162" ht="11.1" customHeight="1" thickBot="1" x14ac:dyDescent="0.25">
      <c r="A188" s="2">
        <f t="shared" si="591"/>
        <v>19175</v>
      </c>
      <c r="B188" s="3">
        <f t="shared" si="624"/>
        <v>49</v>
      </c>
      <c r="C188" s="3">
        <f t="shared" si="625"/>
        <v>7</v>
      </c>
      <c r="D188" s="3">
        <f t="shared" si="626"/>
        <v>17</v>
      </c>
      <c r="E188" s="3">
        <f t="shared" si="659"/>
        <v>73</v>
      </c>
      <c r="F188" s="11">
        <f t="shared" si="619"/>
        <v>19395.073669568606</v>
      </c>
      <c r="G188" s="5">
        <f t="shared" si="660"/>
        <v>469.86920860019285</v>
      </c>
      <c r="AM188" s="1">
        <v>0</v>
      </c>
      <c r="AN188" s="1">
        <v>29</v>
      </c>
      <c r="AO188" s="1">
        <v>19175</v>
      </c>
      <c r="AP188" s="1">
        <v>0</v>
      </c>
      <c r="AQ188" s="1">
        <v>-44</v>
      </c>
      <c r="AS188" s="54">
        <f>IF(RTD("tos.rtd",,AS$83,"."&amp;$B$134&amp;$AS$82&amp;"C"&amp;$A188)="N/A",0,RTD("tos.rtd",,AS$83,"."&amp;$B$134&amp;$AS$82&amp;"C"&amp;$A188))</f>
        <v>0</v>
      </c>
      <c r="AT188" s="3">
        <f>-IF(RTD("tos.rtd",,AT$83,"."&amp;$B$134&amp;$AS$82&amp;"P"&amp;$A188)="N/A",0,RTD("tos.rtd",,AT$83,"."&amp;$B$134&amp;$AS$82&amp;"P"&amp;$A188))</f>
        <v>-49</v>
      </c>
      <c r="AU188" s="54">
        <f>IF(RTD("tos.rtd",,AU$2,"."&amp;$C$134&amp;$AU$134&amp;"C"&amp;$A188)="N/A",0,RTD("tos.rtd",,AU$2,"."&amp;$C$134&amp;$AU$134&amp;"C"&amp;$A188))</f>
        <v>4</v>
      </c>
      <c r="AV188" s="3">
        <f>-IF(RTD("tos.rtd",,AV$2,"."&amp;$C$134&amp;$AU$134&amp;"P"&amp;$A188)="N/A",0,RTD("tos.rtd",,AV$2,"."&amp;$C$134&amp;$AU$134&amp;"P"&amp;$A188))</f>
        <v>-3</v>
      </c>
      <c r="AW188" s="54">
        <f>IF(RTD("tos.rtd",,AW$2,"."&amp;$D$134&amp;$AW$134&amp;"C"&amp;$A188)="N/A",0,RTD("tos.rtd",,AW$2,"."&amp;$D$134&amp;$AW$134&amp;"C"&amp;$A188))</f>
        <v>5</v>
      </c>
      <c r="AX188" s="3">
        <f>-IF(RTD("tos.rtd",,AX$2,"."&amp;$D$134&amp;$AW$134&amp;"P"&amp;$A188)="N/A",0,RTD("tos.rtd",,AX$2,"."&amp;$D$134&amp;$AW$134&amp;"P"&amp;$A188))</f>
        <v>-12</v>
      </c>
      <c r="AY188" s="76">
        <f t="shared" si="620"/>
        <v>-55</v>
      </c>
      <c r="AZ188" s="8">
        <f t="shared" si="545"/>
        <v>19175</v>
      </c>
      <c r="BA188" s="54">
        <f>IF(RTD("tos.rtd",,BA$43,"."&amp;$B$134&amp;$AS$82&amp;"C"&amp;$A188)="N/A",0,RTD("tos.rtd",,BA$43,"."&amp;$B$134&amp;$AS$82&amp;"C"&amp;$A188))</f>
        <v>0</v>
      </c>
      <c r="BB188" s="3">
        <f>-IF(RTD("tos.rtd",,BB$43,"."&amp;$B$134&amp;$AS$82&amp;"P"&amp;$A188)="N/A",0,RTD("tos.rtd",,BB$43,"."&amp;$B$134&amp;$AS$82&amp;"P"&amp;$A188))</f>
        <v>-44</v>
      </c>
      <c r="BC188" s="54">
        <f>IF(RTD("tos.rtd",,BC$2,"."&amp;$C$134&amp;$AU$82&amp;"C"&amp;$A188)="N/A",0,RTD("tos.rtd",,BC$2,"."&amp;$C$134&amp;$AU$82&amp;"C"&amp;$A188))</f>
        <v>0</v>
      </c>
      <c r="BD188" s="3">
        <f>-IF(RTD("tos.rtd",,BD$2,"."&amp;$C$134&amp;$AU$82&amp;"P"&amp;$A188)="N/A",0,RTD("tos.rtd",,BD$2,"."&amp;$C$134&amp;$AU$82&amp;"P"&amp;$A188))</f>
        <v>-7</v>
      </c>
      <c r="BE188" s="54">
        <f>IF(RTD("tos.rtd",,BE$2,"."&amp;$D$134&amp;$AW$82&amp;"C"&amp;$A188)="N/A",0,RTD("tos.rtd",,BE$2,"."&amp;$D$134&amp;$AW$82&amp;"C"&amp;$A188))</f>
        <v>0</v>
      </c>
      <c r="BF188" s="3">
        <f>-IF(RTD("tos.rtd",,BF$2,"."&amp;$D$134&amp;$AW$82&amp;"P"&amp;$A188)="N/A",0,RTD("tos.rtd",,BF$2,"."&amp;$D$134&amp;$AW$82&amp;"P"&amp;$A188))</f>
        <v>0</v>
      </c>
      <c r="BG188" s="3">
        <f ca="1">+Hoja2!Y189</f>
        <v>0</v>
      </c>
      <c r="BH188" s="7">
        <f t="shared" ca="1" si="546"/>
        <v>-51</v>
      </c>
      <c r="BI188" s="32" t="str">
        <f t="shared" ca="1" si="605"/>
        <v/>
      </c>
      <c r="BJ188" s="3" t="e">
        <f ca="1">IF($BP$1=1,DX188,IF(RTD("tos.rtd",,BJ$43,"."&amp;$B$134&amp;$AS$82&amp;"C"&amp;$A188)="N/A",0,RTD("tos.rtd",,BJ$43,"."&amp;$B$134&amp;$AS$82&amp;"C"&amp;$A188)))</f>
        <v>#NUM!</v>
      </c>
      <c r="BK188" s="3" t="e">
        <f ca="1">IF($BP$1=1,DY188,-IF(RTD("tos.rtd",,BK$43,"."&amp;$B$134&amp;$AS$82&amp;"P"&amp;$A188)="N/A",0,RTD("tos.rtd",,BK$43,"."&amp;$B$134&amp;$AS$82&amp;"P"&amp;$A188)))</f>
        <v>#NUM!</v>
      </c>
      <c r="BL188" s="3">
        <f ca="1">IF($BP$1=1,DZ188,IF(RTD("tos.rtd",,BL$2,"."&amp;$C$134&amp;$AU$82&amp;"C"&amp;$A188)="N/A",0,RTD("tos.rtd",,BL$2,"."&amp;$C$134&amp;$AU$82&amp;"C"&amp;$A188)))</f>
        <v>3.3372484077513591E-4</v>
      </c>
      <c r="BM188" s="3">
        <f ca="1">IF($BP$1=1,EA188,-IF(RTD("tos.rtd",,BM$2,"."&amp;$C$134&amp;$AU$82&amp;"P"&amp;$A188)="N/A",0,RTD("tos.rtd",,BM$2,"."&amp;$C$134&amp;$AU$82&amp;"P"&amp;$A188)))</f>
        <v>-3.0686540965147471E-4</v>
      </c>
      <c r="BN188" s="3">
        <f ca="1">IF($BP$1=1,EB188,IF(RTD("tos.rtd",,BN$2,"."&amp;$D$134&amp;$AW$82&amp;"C"&amp;$A188)="N/A",0,RTD("tos.rtd",,BN$2,"."&amp;$D$134&amp;$AW$82&amp;"C"&amp;$A188)))</f>
        <v>2.6656742627021178E-4</v>
      </c>
      <c r="BO188" s="3">
        <f ca="1">IF($BP$1=1,EC188,-IF(RTD("tos.rtd",,BO$2,"."&amp;$D$134&amp;$AW$82&amp;"P"&amp;$A188)="N/A",0,RTD("tos.rtd",,BO$2,"."&amp;$D$134&amp;$AW$82&amp;"P"&amp;$A188)))</f>
        <v>-2.4431611164058768E-4</v>
      </c>
      <c r="BQ188" s="3" t="e">
        <f t="shared" ca="1" si="621"/>
        <v>#NUM!</v>
      </c>
      <c r="BR188" s="3" t="e">
        <f t="shared" ca="1" si="547"/>
        <v>#NUM!</v>
      </c>
      <c r="BS188" s="3">
        <f t="shared" ca="1" si="622"/>
        <v>13138.09695972221</v>
      </c>
      <c r="BT188" s="3" t="str">
        <f t="shared" ca="1" si="548"/>
        <v/>
      </c>
      <c r="BU188" s="3">
        <f t="shared" ca="1" si="623"/>
        <v>-50705.003095774497</v>
      </c>
      <c r="BV188" s="3" t="str">
        <f t="shared" ca="1" si="548"/>
        <v/>
      </c>
      <c r="BX188" s="3" t="e">
        <f t="shared" ca="1" si="582"/>
        <v>#NUM!</v>
      </c>
      <c r="BY188" s="3" t="e">
        <f t="shared" ca="1" si="583"/>
        <v>#NUM!</v>
      </c>
      <c r="BZ188" s="3">
        <f t="shared" ca="1" si="584"/>
        <v>-509.1389534682657</v>
      </c>
      <c r="CA188" s="3" t="str">
        <f t="shared" ca="1" si="583"/>
        <v/>
      </c>
      <c r="CB188" s="3">
        <f t="shared" ca="1" si="585"/>
        <v>0</v>
      </c>
      <c r="CC188" s="3" t="str">
        <f t="shared" ca="1" si="583"/>
        <v/>
      </c>
      <c r="CD188" s="3">
        <f>IF(RTD("tos.rtd",,CD$43,"."&amp;$B$134&amp;$AS$82&amp;"C"&amp;$A188)="N/A",0,RTD("tos.rtd",,CD$43,"."&amp;$B$134&amp;$AS$82&amp;"C"&amp;$A188))</f>
        <v>1</v>
      </c>
      <c r="CE188" s="3">
        <f>-IF(RTD("tos.rtd",,CE$43,"."&amp;$B$134&amp;$AS$82&amp;"P"&amp;$A188)="N/A",0,RTD("tos.rtd",,CE$43,"."&amp;$B$134&amp;$AS$82&amp;"P"&amp;$A188))</f>
        <v>0.05</v>
      </c>
      <c r="CF188" s="3">
        <f>IF(RTD("tos.rtd",,CF$2,"."&amp;$C$134&amp;$AU$82&amp;"C"&amp;$A188)="N/A",0,RTD("tos.rtd",,CF$2,"."&amp;$C$134&amp;$AU$82&amp;"C"&amp;$A188))</f>
        <v>0.88</v>
      </c>
      <c r="CG188" s="3">
        <f>-IF(RTD("tos.rtd",,CG$2,"."&amp;$C$134&amp;$AU$82&amp;"P"&amp;$A188)="N/A",0,RTD("tos.rtd",,CG$2,"."&amp;$C$134&amp;$AU$82&amp;"P"&amp;$A188))</f>
        <v>0.06</v>
      </c>
      <c r="CH188" s="3">
        <f>IF(RTD("tos.rtd",,CH$2,"."&amp;$D$134&amp;$AW$82&amp;"C"&amp;$A188)="N/A",0,RTD("tos.rtd",,CH$2,"."&amp;$D$134&amp;$AW$82&amp;"C"&amp;$A188))</f>
        <v>0.8</v>
      </c>
      <c r="CI188" s="3">
        <f>-IF(RTD("tos.rtd",,CI$2,"."&amp;$D$134&amp;$AW$82&amp;"P"&amp;$A188)="N/A",0,RTD("tos.rtd",,CI$2,"."&amp;$D$134&amp;$AW$82&amp;"P"&amp;$A188))</f>
        <v>0.18</v>
      </c>
      <c r="CK188" s="3">
        <f t="shared" si="656"/>
        <v>-245.00000000000003</v>
      </c>
      <c r="CL188" s="3"/>
      <c r="CM188" s="3">
        <f t="shared" si="657"/>
        <v>334</v>
      </c>
      <c r="CN188" s="3"/>
      <c r="CO188" s="3">
        <f t="shared" si="658"/>
        <v>184</v>
      </c>
      <c r="CP188" s="3">
        <f t="shared" si="539"/>
        <v>273</v>
      </c>
      <c r="CQ188" s="3">
        <f t="shared" si="549"/>
        <v>-44</v>
      </c>
      <c r="CR188" s="3"/>
      <c r="CS188" s="3">
        <f t="shared" si="550"/>
        <v>-7</v>
      </c>
      <c r="CT188" s="3"/>
      <c r="CU188" s="3">
        <f t="shared" si="551"/>
        <v>0</v>
      </c>
      <c r="CV188" s="3"/>
      <c r="CW188" s="3" t="e">
        <f t="shared" ca="1" si="552"/>
        <v>#NUM!</v>
      </c>
      <c r="CY188" s="3" t="e">
        <f t="shared" ca="1" si="553"/>
        <v>#NUM!</v>
      </c>
      <c r="CZ188" s="70" t="e">
        <f t="shared" ca="1" si="586"/>
        <v>#NUM!</v>
      </c>
      <c r="DA188" s="3">
        <f>IF(RTD("tos.rtd",,DA$43,"."&amp;$B$134&amp;$AS$82&amp;"C"&amp;$A188)="N/A",0,RTD("tos.rtd",,DA$43,"."&amp;$B$134&amp;$AS$82&amp;"C"&amp;$A188))</f>
        <v>0</v>
      </c>
      <c r="DB188" s="3">
        <f>IF(RTD("tos.rtd",,DB$43,"."&amp;$B$134&amp;$AS$82&amp;"P"&amp;$A188)="N/A",0,RTD("tos.rtd",,DB$43,"."&amp;$B$134&amp;$AS$82&amp;"P"&amp;$A188))</f>
        <v>1.75</v>
      </c>
      <c r="DC188" s="3">
        <f>IF(RTD("tos.rtd",,DC$43,"."&amp;$B$134&amp;$AS$82&amp;"C"&amp;$A188)="N/A",0,RTD("tos.rtd",,DC$43,"."&amp;$B$134&amp;$AS$82&amp;"C"&amp;$A188))</f>
        <v>728</v>
      </c>
      <c r="DD188" s="3">
        <f>IF(RTD("tos.rtd",,DD$43,"."&amp;$B$134&amp;$AS$82&amp;"P"&amp;$A188)="N/A",0,RTD("tos.rtd",,DD$43,"."&amp;$B$134&amp;$AS$82&amp;"P"&amp;$A188))</f>
        <v>19.8</v>
      </c>
      <c r="DE188" s="3">
        <f>IF(RTD("tos.rtd",,DE$43,"."&amp;$B$134&amp;$AS$82&amp;"C"&amp;$A188)="N/A",0,RTD("tos.rtd",,DE$43,"."&amp;$B$134&amp;$AS$82&amp;"C"&amp;$A188))</f>
        <v>652</v>
      </c>
      <c r="DF188" s="3">
        <f>IF(RTD("tos.rtd",,DF$43,"."&amp;$B$134&amp;$AS$82&amp;"P"&amp;$A188)="N/A",0,RTD("tos.rtd",,DF$43,"."&amp;$B$134&amp;$AS$82&amp;"P"&amp;$A188))</f>
        <v>0</v>
      </c>
      <c r="DG188" s="86">
        <f t="shared" si="587"/>
        <v>-692.97300000000178</v>
      </c>
      <c r="DH188" s="3">
        <f t="shared" si="554"/>
        <v>0</v>
      </c>
      <c r="DI188" s="3">
        <f t="shared" si="555"/>
        <v>0</v>
      </c>
      <c r="DJ188" s="3">
        <f t="shared" si="556"/>
        <v>0</v>
      </c>
      <c r="DK188" s="3">
        <f t="shared" si="557"/>
        <v>0</v>
      </c>
      <c r="DL188" s="3">
        <f t="shared" si="558"/>
        <v>0</v>
      </c>
      <c r="DM188" s="3">
        <f t="shared" si="559"/>
        <v>0</v>
      </c>
      <c r="DN188" s="64" t="str">
        <f t="shared" si="560"/>
        <v>UNKNOWN</v>
      </c>
      <c r="DO188" s="64" t="str">
        <f t="shared" si="561"/>
        <v>UNKNOWN</v>
      </c>
      <c r="DP188" s="3">
        <f t="shared" si="562"/>
        <v>0</v>
      </c>
      <c r="DQ188" s="3">
        <f t="shared" si="563"/>
        <v>0</v>
      </c>
      <c r="DR188" s="3" t="e">
        <f t="shared" ca="1" si="564"/>
        <v>#NUM!</v>
      </c>
      <c r="DS188" s="3">
        <f t="shared" si="565"/>
        <v>0</v>
      </c>
      <c r="DT188" s="3">
        <f t="shared" si="588"/>
        <v>0</v>
      </c>
      <c r="DU188" s="3">
        <f t="shared" si="589"/>
        <v>0</v>
      </c>
      <c r="DV188" s="3">
        <f t="shared" si="566"/>
        <v>0</v>
      </c>
      <c r="DW188" s="3">
        <f t="shared" si="567"/>
        <v>29</v>
      </c>
      <c r="DX188" s="3" t="e">
        <f t="shared" ca="1" si="650"/>
        <v>#NUM!</v>
      </c>
      <c r="DY188" s="3" t="e">
        <f t="shared" ca="1" si="651"/>
        <v>#NUM!</v>
      </c>
      <c r="DZ188" s="3">
        <f t="shared" ca="1" si="652"/>
        <v>3.3372484077513591E-4</v>
      </c>
      <c r="EA188" s="3">
        <f t="shared" ca="1" si="653"/>
        <v>-3.0686540965147471E-4</v>
      </c>
      <c r="EB188" s="3">
        <f t="shared" ca="1" si="654"/>
        <v>2.6656742627021178E-4</v>
      </c>
      <c r="EC188" s="3">
        <f t="shared" ca="1" si="655"/>
        <v>-2.4431611164058768E-4</v>
      </c>
      <c r="ED188" s="63">
        <f t="shared" si="590"/>
        <v>29</v>
      </c>
      <c r="EE188" s="59">
        <f t="shared" si="574"/>
        <v>0.25</v>
      </c>
      <c r="EF188" s="59">
        <f t="shared" si="575"/>
        <v>2.9279000000000002</v>
      </c>
      <c r="EG188" s="59">
        <f t="shared" si="576"/>
        <v>0.45669999999999999</v>
      </c>
      <c r="EH188" s="59">
        <f t="shared" si="577"/>
        <v>0.3357</v>
      </c>
      <c r="EI188" s="59">
        <f t="shared" si="578"/>
        <v>0.29060000000000002</v>
      </c>
      <c r="EJ188" s="59">
        <f t="shared" si="579"/>
        <v>0.27329999999999999</v>
      </c>
      <c r="EL188" s="3" t="str">
        <f>RTD("tos.rtd",,EL$43,"."&amp;$B$134&amp;$AS$82&amp;"C"&amp;$A188)</f>
        <v>--</v>
      </c>
      <c r="EM188" s="3" t="str">
        <f>RTD("tos.rtd",,EM$43,"."&amp;$B$134&amp;$AS$82&amp;"P"&amp;$A188)</f>
        <v>292.79%</v>
      </c>
      <c r="EN188" s="3" t="str">
        <f>RTD("tos.rtd",,EN$2,"."&amp;$C$134&amp;$AU$82&amp;"C"&amp;$A188)</f>
        <v>45.67%</v>
      </c>
      <c r="EO188" s="3" t="str">
        <f>RTD("tos.rtd",,EO$2,"."&amp;$C$134&amp;$AU$82&amp;"P"&amp;$A188)</f>
        <v>33.57%</v>
      </c>
      <c r="EP188" s="3" t="str">
        <f>RTD("tos.rtd",,EP$2,"."&amp;$D$134&amp;$AW$82&amp;"C"&amp;$A188)</f>
        <v>29.06%</v>
      </c>
      <c r="EQ188" s="3" t="str">
        <f>RTD("tos.rtd",,EQ$2,"."&amp;$D$134&amp;$AW$82&amp;"P"&amp;$A188)</f>
        <v>27.33%</v>
      </c>
      <c r="ES188" s="63" t="str">
        <f t="shared" si="580"/>
        <v>19175,29.00</v>
      </c>
      <c r="ET188" s="64" t="str">
        <f t="shared" ca="1" si="581"/>
        <v>19175,00.00</v>
      </c>
      <c r="EU188" s="68">
        <v>562.11</v>
      </c>
      <c r="EV188" s="68" t="s">
        <v>1524</v>
      </c>
      <c r="EW188" s="68">
        <v>484.6</v>
      </c>
      <c r="EX188" s="68" t="s">
        <v>1525</v>
      </c>
      <c r="EY188" s="68">
        <v>5634.5</v>
      </c>
      <c r="EZ188" s="68" t="s">
        <v>1526</v>
      </c>
      <c r="FA188" s="68">
        <v>19902.5</v>
      </c>
      <c r="FB188" s="68" t="s">
        <v>1527</v>
      </c>
      <c r="FC188" s="68" t="s">
        <v>1528</v>
      </c>
      <c r="FD188" s="68" t="s">
        <v>1529</v>
      </c>
      <c r="FE188" s="68" t="s">
        <v>1530</v>
      </c>
      <c r="FF188" s="68" t="s">
        <v>1531</v>
      </c>
    </row>
    <row r="189" spans="1:162" ht="11.1" customHeight="1" thickBot="1" x14ac:dyDescent="0.25">
      <c r="A189" s="2">
        <f t="shared" si="591"/>
        <v>19150</v>
      </c>
      <c r="B189" s="3">
        <f t="shared" si="624"/>
        <v>34</v>
      </c>
      <c r="C189" s="3">
        <f t="shared" si="625"/>
        <v>12</v>
      </c>
      <c r="D189" s="3">
        <f t="shared" si="626"/>
        <v>22</v>
      </c>
      <c r="E189" s="3">
        <f t="shared" si="659"/>
        <v>68</v>
      </c>
      <c r="F189" s="11">
        <f t="shared" si="619"/>
        <v>19369.786741707368</v>
      </c>
      <c r="G189" s="5">
        <f t="shared" si="660"/>
        <v>469.2566020700753</v>
      </c>
      <c r="AM189" s="1">
        <v>0</v>
      </c>
      <c r="AN189" s="1">
        <v>-18</v>
      </c>
      <c r="AO189" s="1">
        <v>19150</v>
      </c>
      <c r="AP189" s="1">
        <v>1</v>
      </c>
      <c r="AQ189" s="1">
        <v>-217</v>
      </c>
      <c r="AS189" s="56">
        <f>IF(RTD("tos.rtd",,AS$83,"."&amp;$B$134&amp;$AS$82&amp;"C"&amp;$A189)="N/A",0,RTD("tos.rtd",,AS$83,"."&amp;$B$134&amp;$AS$82&amp;"C"&amp;$A189))</f>
        <v>0</v>
      </c>
      <c r="AT189" s="35">
        <f>-IF(RTD("tos.rtd",,AT$83,"."&amp;$B$134&amp;$AS$82&amp;"P"&amp;$A189)="N/A",0,RTD("tos.rtd",,AT$83,"."&amp;$B$134&amp;$AS$82&amp;"P"&amp;$A189))</f>
        <v>-34</v>
      </c>
      <c r="AU189" s="16">
        <f>IF(RTD("tos.rtd",,AU$2,"."&amp;$C$134&amp;$AU$134&amp;"C"&amp;$A189)="N/A",0,RTD("tos.rtd",,AU$2,"."&amp;$C$134&amp;$AU$134&amp;"C"&amp;$A189))</f>
        <v>4</v>
      </c>
      <c r="AV189" s="16">
        <f>-IF(RTD("tos.rtd",,AV$2,"."&amp;$C$134&amp;$AU$134&amp;"P"&amp;$A189)="N/A",0,RTD("tos.rtd",,AV$2,"."&amp;$C$134&amp;$AU$134&amp;"P"&amp;$A189))</f>
        <v>-8</v>
      </c>
      <c r="AW189" s="56">
        <f>IF(RTD("tos.rtd",,AW$2,"."&amp;$D$134&amp;$AW$134&amp;"C"&amp;$A189)="N/A",0,RTD("tos.rtd",,AW$2,"."&amp;$D$134&amp;$AW$134&amp;"C"&amp;$A189))</f>
        <v>11</v>
      </c>
      <c r="AX189" s="35">
        <f>-IF(RTD("tos.rtd",,AX$2,"."&amp;$D$134&amp;$AW$134&amp;"P"&amp;$A189)="N/A",0,RTD("tos.rtd",,AX$2,"."&amp;$D$134&amp;$AW$134&amp;"P"&amp;$A189))</f>
        <v>-11</v>
      </c>
      <c r="AY189" s="77">
        <f t="shared" si="620"/>
        <v>-38</v>
      </c>
      <c r="AZ189" s="8">
        <f t="shared" si="545"/>
        <v>19150</v>
      </c>
      <c r="BA189" s="56">
        <f>IF(RTD("tos.rtd",,BA$43,"."&amp;$B$134&amp;$AS$82&amp;"C"&amp;$A189)="N/A",0,RTD("tos.rtd",,BA$43,"."&amp;$B$134&amp;$AS$82&amp;"C"&amp;$A189))</f>
        <v>1</v>
      </c>
      <c r="BB189" s="35">
        <f>-IF(RTD("tos.rtd",,BB$43,"."&amp;$B$134&amp;$AS$82&amp;"P"&amp;$A189)="N/A",0,RTD("tos.rtd",,BB$43,"."&amp;$B$134&amp;$AS$82&amp;"P"&amp;$A189))</f>
        <v>-217</v>
      </c>
      <c r="BC189" s="16">
        <f>IF(RTD("tos.rtd",,BC$2,"."&amp;$C$134&amp;$AU$82&amp;"C"&amp;$A189)="N/A",0,RTD("tos.rtd",,BC$2,"."&amp;$C$134&amp;$AU$82&amp;"C"&amp;$A189))</f>
        <v>0</v>
      </c>
      <c r="BD189" s="16">
        <f>-IF(RTD("tos.rtd",,BD$2,"."&amp;$C$134&amp;$AU$82&amp;"P"&amp;$A189)="N/A",0,RTD("tos.rtd",,BD$2,"."&amp;$C$134&amp;$AU$82&amp;"P"&amp;$A189))</f>
        <v>-7</v>
      </c>
      <c r="BE189" s="56">
        <f>IF(RTD("tos.rtd",,BE$2,"."&amp;$D$134&amp;$AW$82&amp;"C"&amp;$A189)="N/A",0,RTD("tos.rtd",,BE$2,"."&amp;$D$134&amp;$AW$82&amp;"C"&amp;$A189))</f>
        <v>0</v>
      </c>
      <c r="BF189" s="35">
        <f>-IF(RTD("tos.rtd",,BF$2,"."&amp;$D$134&amp;$AW$82&amp;"P"&amp;$A189)="N/A",0,RTD("tos.rtd",,BF$2,"."&amp;$D$134&amp;$AW$82&amp;"P"&amp;$A189))</f>
        <v>-1</v>
      </c>
      <c r="BG189" s="35">
        <f ca="1">+Hoja2!Y190</f>
        <v>-1</v>
      </c>
      <c r="BH189" s="36">
        <f t="shared" ca="1" si="546"/>
        <v>-225</v>
      </c>
      <c r="BI189" s="32" t="str">
        <f t="shared" ca="1" si="605"/>
        <v/>
      </c>
      <c r="BJ189" s="3" t="e">
        <f ca="1">IF($BP$1=1,DX189,IF(RTD("tos.rtd",,BJ$43,"."&amp;$B$134&amp;$AS$82&amp;"C"&amp;$A189)="N/A",0,RTD("tos.rtd",,BJ$43,"."&amp;$B$134&amp;$AS$82&amp;"C"&amp;$A189)))</f>
        <v>#NUM!</v>
      </c>
      <c r="BK189" s="3" t="e">
        <f ca="1">IF($BP$1=1,DY189,-IF(RTD("tos.rtd",,BK$43,"."&amp;$B$134&amp;$AS$82&amp;"P"&amp;$A189)="N/A",0,RTD("tos.rtd",,BK$43,"."&amp;$B$134&amp;$AS$82&amp;"P"&amp;$A189)))</f>
        <v>#NUM!</v>
      </c>
      <c r="BL189" s="83">
        <f ca="1">IF($BP$1=1,DZ189,IF(RTD("tos.rtd",,BL$2,"."&amp;$C$134&amp;$AU$82&amp;"C"&amp;$A189)="N/A",0,RTD("tos.rtd",,BL$2,"."&amp;$C$134&amp;$AU$82&amp;"C"&amp;$A189)))</f>
        <v>3.2215516441815365E-4</v>
      </c>
      <c r="BM189" s="83">
        <f ca="1">IF($BP$1=1,EA189,-IF(RTD("tos.rtd",,BM$2,"."&amp;$C$134&amp;$AU$82&amp;"P"&amp;$A189)="N/A",0,RTD("tos.rtd",,BM$2,"."&amp;$C$134&amp;$AU$82&amp;"P"&amp;$A189)))</f>
        <v>-2.8912644789151615E-4</v>
      </c>
      <c r="BN189" s="3">
        <f ca="1">IF($BP$1=1,EB189,IF(RTD("tos.rtd",,BN$2,"."&amp;$D$134&amp;$AW$82&amp;"C"&amp;$A189)="N/A",0,RTD("tos.rtd",,BN$2,"."&amp;$D$134&amp;$AW$82&amp;"C"&amp;$A189)))</f>
        <v>2.437205216731601E-4</v>
      </c>
      <c r="BO189" s="3">
        <f ca="1">IF($BP$1=1,EC189,-IF(RTD("tos.rtd",,BO$2,"."&amp;$D$134&amp;$AW$82&amp;"P"&amp;$A189)="N/A",0,RTD("tos.rtd",,BO$2,"."&amp;$D$134&amp;$AW$82&amp;"P"&amp;$A189)))</f>
        <v>-2.2334777269615092E-4</v>
      </c>
      <c r="BQ189" s="3" t="e">
        <f t="shared" ca="1" si="621"/>
        <v>#NUM!</v>
      </c>
      <c r="BR189" s="3"/>
      <c r="BS189" s="83">
        <f t="shared" ca="1" si="622"/>
        <v>-32484.782745090248</v>
      </c>
      <c r="BT189" s="83"/>
      <c r="BU189" s="3">
        <f t="shared" ca="1" si="623"/>
        <v>7106.5131366298301</v>
      </c>
      <c r="BV189" s="3" t="str">
        <f t="shared" ref="BV189" ca="1" si="661">IF(AND(BU189&lt;0,BU188&gt;0), "Cruce -", IF(AND(BU189&gt;0,BU188&lt;0),"Cruce +", ""))</f>
        <v>Cruce +</v>
      </c>
      <c r="BX189" s="3" t="e">
        <f t="shared" ca="1" si="582"/>
        <v>#NUM!</v>
      </c>
      <c r="BY189" s="3" t="e">
        <f t="shared" ca="1" si="583"/>
        <v>#NUM!</v>
      </c>
      <c r="BZ189" s="83">
        <f t="shared" ca="1" si="584"/>
        <v>-479.70716955903782</v>
      </c>
      <c r="CA189" s="83" t="str">
        <f t="shared" ca="1" si="583"/>
        <v/>
      </c>
      <c r="CB189" s="3">
        <f t="shared" ca="1" si="585"/>
        <v>-52.938541818307399</v>
      </c>
      <c r="CC189" s="3" t="str">
        <f t="shared" ca="1" si="583"/>
        <v/>
      </c>
      <c r="CD189" s="3">
        <f>IF(RTD("tos.rtd",,CD$43,"."&amp;$B$134&amp;$AS$82&amp;"C"&amp;$A189)="N/A",0,RTD("tos.rtd",,CD$43,"."&amp;$B$134&amp;$AS$82&amp;"C"&amp;$A189))</f>
        <v>1</v>
      </c>
      <c r="CE189" s="3">
        <f>-IF(RTD("tos.rtd",,CE$43,"."&amp;$B$134&amp;$AS$82&amp;"P"&amp;$A189)="N/A",0,RTD("tos.rtd",,CE$43,"."&amp;$B$134&amp;$AS$82&amp;"P"&amp;$A189))</f>
        <v>0.04</v>
      </c>
      <c r="CF189" s="83">
        <f>IF(RTD("tos.rtd",,CF$2,"."&amp;$C$134&amp;$AU$82&amp;"C"&amp;$A189)="N/A",0,RTD("tos.rtd",,CF$2,"."&amp;$C$134&amp;$AU$82&amp;"C"&amp;$A189))</f>
        <v>0.88</v>
      </c>
      <c r="CG189" s="83">
        <f>-IF(RTD("tos.rtd",,CG$2,"."&amp;$C$134&amp;$AU$82&amp;"P"&amp;$A189)="N/A",0,RTD("tos.rtd",,CG$2,"."&amp;$C$134&amp;$AU$82&amp;"P"&amp;$A189))</f>
        <v>0.05</v>
      </c>
      <c r="CH189" s="3">
        <f>IF(RTD("tos.rtd",,CH$2,"."&amp;$D$134&amp;$AW$82&amp;"C"&amp;$A189)="N/A",0,RTD("tos.rtd",,CH$2,"."&amp;$D$134&amp;$AW$82&amp;"C"&amp;$A189))</f>
        <v>0.81</v>
      </c>
      <c r="CI189" s="3">
        <f>-IF(RTD("tos.rtd",,CI$2,"."&amp;$D$134&amp;$AW$82&amp;"P"&amp;$A189)="N/A",0,RTD("tos.rtd",,CI$2,"."&amp;$D$134&amp;$AW$82&amp;"P"&amp;$A189))</f>
        <v>0.18</v>
      </c>
      <c r="CK189" s="3">
        <f t="shared" si="656"/>
        <v>-136</v>
      </c>
      <c r="CL189" s="3"/>
      <c r="CM189" s="83">
        <f t="shared" si="657"/>
        <v>312</v>
      </c>
      <c r="CN189" s="83"/>
      <c r="CO189" s="3">
        <f t="shared" si="658"/>
        <v>693</v>
      </c>
      <c r="CP189" s="3">
        <f t="shared" si="539"/>
        <v>869</v>
      </c>
      <c r="CQ189" s="3">
        <f t="shared" si="549"/>
        <v>-216</v>
      </c>
      <c r="CR189" s="3"/>
      <c r="CS189" s="83">
        <f t="shared" si="550"/>
        <v>-7</v>
      </c>
      <c r="CT189" s="83"/>
      <c r="CU189" s="3">
        <f t="shared" si="551"/>
        <v>-1</v>
      </c>
      <c r="CV189" s="3"/>
      <c r="CW189" s="3" t="e">
        <f t="shared" ca="1" si="552"/>
        <v>#NUM!</v>
      </c>
      <c r="CY189" s="3" t="e">
        <f t="shared" ca="1" si="553"/>
        <v>#NUM!</v>
      </c>
      <c r="CZ189" s="70" t="e">
        <f t="shared" ca="1" si="586"/>
        <v>#NUM!</v>
      </c>
      <c r="DA189" s="3">
        <f>IF(RTD("tos.rtd",,DA$43,"."&amp;$B$134&amp;$AS$82&amp;"C"&amp;$A189)="N/A",0,RTD("tos.rtd",,DA$43,"."&amp;$B$134&amp;$AS$82&amp;"C"&amp;$A189))</f>
        <v>605.30999999999995</v>
      </c>
      <c r="DB189" s="3">
        <f>IF(RTD("tos.rtd",,DB$43,"."&amp;$B$134&amp;$AS$82&amp;"P"&amp;$A189)="N/A",0,RTD("tos.rtd",,DB$43,"."&amp;$B$134&amp;$AS$82&amp;"P"&amp;$A189))</f>
        <v>0.23</v>
      </c>
      <c r="DC189" s="3">
        <f>IF(RTD("tos.rtd",,DC$43,"."&amp;$B$134&amp;$AS$82&amp;"C"&amp;$A189)="N/A",0,RTD("tos.rtd",,DC$43,"."&amp;$B$134&amp;$AS$82&amp;"C"&amp;$A189))</f>
        <v>753</v>
      </c>
      <c r="DD189" s="3">
        <f>IF(RTD("tos.rtd",,DD$43,"."&amp;$B$134&amp;$AS$82&amp;"P"&amp;$A189)="N/A",0,RTD("tos.rtd",,DD$43,"."&amp;$B$134&amp;$AS$82&amp;"P"&amp;$A189))</f>
        <v>15</v>
      </c>
      <c r="DE189" s="3">
        <f>IF(RTD("tos.rtd",,DE$43,"."&amp;$B$134&amp;$AS$82&amp;"C"&amp;$A189)="N/A",0,RTD("tos.rtd",,DE$43,"."&amp;$B$134&amp;$AS$82&amp;"C"&amp;$A189))</f>
        <v>676</v>
      </c>
      <c r="DF189" s="3">
        <f>IF(RTD("tos.rtd",,DF$43,"."&amp;$B$134&amp;$AS$82&amp;"P"&amp;$A189)="N/A",0,RTD("tos.rtd",,DF$43,"."&amp;$B$134&amp;$AS$82&amp;"P"&amp;$A189))</f>
        <v>0</v>
      </c>
      <c r="DG189" s="86">
        <f t="shared" si="587"/>
        <v>-717.97300000000178</v>
      </c>
      <c r="DH189" s="3">
        <f t="shared" si="554"/>
        <v>0</v>
      </c>
      <c r="DI189" s="3">
        <f t="shared" si="555"/>
        <v>0</v>
      </c>
      <c r="DJ189" s="3">
        <f t="shared" ref="DJ189" si="662">IF(DA189&gt;=(DE189+(DC189-DE189)*0.6),(BA189-AP189),IF(DA189&lt;=(DE189+(DC189-DE189)*0.4),-(BA189-AP189),0))</f>
        <v>0</v>
      </c>
      <c r="DK189" s="3">
        <f t="shared" ref="DK189" si="663">IF(DB189&lt;=(DF189+(DD189-DF189)*0.4),-(BB189-AQ189),IF(DB189&gt;=(DF189+(DD189-DF189)*0.6),(BB189-AQ189),0))</f>
        <v>0</v>
      </c>
      <c r="DL189" s="3">
        <f t="shared" si="558"/>
        <v>0</v>
      </c>
      <c r="DM189" s="3">
        <f t="shared" si="559"/>
        <v>0</v>
      </c>
      <c r="DN189" s="64" t="str">
        <f t="shared" si="560"/>
        <v>UNKNOWN</v>
      </c>
      <c r="DO189" s="64" t="str">
        <f t="shared" si="561"/>
        <v>UNKNOWN</v>
      </c>
      <c r="DP189" s="3">
        <f t="shared" si="562"/>
        <v>0</v>
      </c>
      <c r="DQ189" s="3">
        <f t="shared" si="563"/>
        <v>0</v>
      </c>
      <c r="DR189" s="83" t="e">
        <f t="shared" ca="1" si="564"/>
        <v>#NUM!</v>
      </c>
      <c r="DS189" s="83">
        <f t="shared" si="565"/>
        <v>0</v>
      </c>
      <c r="DT189" s="3">
        <f t="shared" si="588"/>
        <v>0</v>
      </c>
      <c r="DU189" s="3">
        <f t="shared" si="589"/>
        <v>0</v>
      </c>
      <c r="DV189" s="3">
        <f t="shared" si="566"/>
        <v>0</v>
      </c>
      <c r="DW189" s="3">
        <f t="shared" si="567"/>
        <v>-18</v>
      </c>
      <c r="DX189" s="3" t="e">
        <f t="shared" ca="1" si="650"/>
        <v>#NUM!</v>
      </c>
      <c r="DY189" s="3" t="e">
        <f t="shared" ca="1" si="651"/>
        <v>#NUM!</v>
      </c>
      <c r="DZ189" s="83">
        <f t="shared" ca="1" si="652"/>
        <v>3.2215516441815365E-4</v>
      </c>
      <c r="EA189" s="83">
        <f t="shared" ca="1" si="653"/>
        <v>-2.8912644789151615E-4</v>
      </c>
      <c r="EB189" s="3">
        <f t="shared" ca="1" si="654"/>
        <v>2.437205216731601E-4</v>
      </c>
      <c r="EC189" s="3">
        <f t="shared" ca="1" si="655"/>
        <v>-2.2334777269615092E-4</v>
      </c>
      <c r="ED189" s="63">
        <f t="shared" si="590"/>
        <v>-18</v>
      </c>
      <c r="EE189" s="59">
        <f t="shared" si="574"/>
        <v>0.25</v>
      </c>
      <c r="EF189" s="59">
        <f t="shared" si="575"/>
        <v>2.8506999999999998</v>
      </c>
      <c r="EG189" s="84">
        <f t="shared" si="576"/>
        <v>0.4642</v>
      </c>
      <c r="EH189" s="84">
        <f t="shared" si="577"/>
        <v>0.33750000000000002</v>
      </c>
      <c r="EI189" s="59">
        <f t="shared" si="578"/>
        <v>0.28970000000000001</v>
      </c>
      <c r="EJ189" s="59">
        <f t="shared" si="579"/>
        <v>0.27429999999999999</v>
      </c>
      <c r="EL189" s="3" t="str">
        <f>RTD("tos.rtd",,EL$43,"."&amp;$B$134&amp;$AS$82&amp;"C"&amp;$A189)</f>
        <v>--</v>
      </c>
      <c r="EM189" s="3" t="str">
        <f>RTD("tos.rtd",,EM$43,"."&amp;$B$134&amp;$AS$82&amp;"P"&amp;$A189)</f>
        <v>285.07%</v>
      </c>
      <c r="EN189" s="83" t="str">
        <f>RTD("tos.rtd",,EN$2,"."&amp;$C$134&amp;$AU$82&amp;"C"&amp;$A189)</f>
        <v>46.42%</v>
      </c>
      <c r="EO189" s="83" t="str">
        <f>RTD("tos.rtd",,EO$2,"."&amp;$C$134&amp;$AU$82&amp;"P"&amp;$A189)</f>
        <v>33.75%</v>
      </c>
      <c r="EP189" s="3" t="str">
        <f>RTD("tos.rtd",,EP$2,"."&amp;$D$134&amp;$AW$82&amp;"C"&amp;$A189)</f>
        <v>28.97%</v>
      </c>
      <c r="EQ189" s="3" t="str">
        <f>RTD("tos.rtd",,EQ$2,"."&amp;$D$134&amp;$AW$82&amp;"P"&amp;$A189)</f>
        <v>27.43%</v>
      </c>
      <c r="ES189" s="63" t="str">
        <f t="shared" si="580"/>
        <v>19150,-18.00</v>
      </c>
      <c r="ET189" s="64" t="str">
        <f t="shared" ca="1" si="581"/>
        <v>19150,00.00</v>
      </c>
      <c r="EU189" s="68">
        <v>562.17999999999995</v>
      </c>
      <c r="EV189" s="68" t="s">
        <v>1532</v>
      </c>
      <c r="EW189" s="68">
        <v>484.61</v>
      </c>
      <c r="EX189" s="68" t="s">
        <v>1533</v>
      </c>
      <c r="EY189" s="68">
        <v>5635.75</v>
      </c>
      <c r="EZ189" s="68" t="s">
        <v>1534</v>
      </c>
      <c r="FA189" s="68">
        <v>19906.25</v>
      </c>
      <c r="FB189" s="68" t="s">
        <v>1535</v>
      </c>
      <c r="FC189" s="68" t="s">
        <v>1536</v>
      </c>
      <c r="FD189" s="68" t="s">
        <v>1537</v>
      </c>
      <c r="FE189" s="68" t="s">
        <v>1538</v>
      </c>
      <c r="FF189" s="68" t="s">
        <v>1539</v>
      </c>
    </row>
    <row r="190" spans="1:162" ht="13.5" thickBot="1" x14ac:dyDescent="0.25">
      <c r="A190" s="56"/>
      <c r="C190" s="35"/>
      <c r="D190" s="35"/>
      <c r="E190" s="35"/>
      <c r="F190" s="57"/>
      <c r="BH190" s="1">
        <f ca="1">MIN(BH137:BH189)</f>
        <v>-2807</v>
      </c>
      <c r="BI190" s="1">
        <f ca="1">IFERROR(IF(MIN(BH137:BH189)&lt;&gt;0,INDEX(A137:A189,MATCH(MIN(BH137:BH189),BH137:BH189,0)),""),"")</f>
        <v>19350</v>
      </c>
      <c r="BP190" s="64" t="e">
        <f ca="1">INDEX(BQ190:BU190,MATCH(MAX(BQ136:BU136),BQ136:BU136,0))</f>
        <v>#NUM!</v>
      </c>
      <c r="BQ190" s="1" t="e">
        <f ca="1">IF(AND(BQ136&gt;0,ABS(MAX(BQ137:BQ189))&gt;ABS(MIN(BQ137:BQ189))),IF(MAX(BQ137:BQ189)&lt;&gt;0,INDEX($A137:$A189,MATCH(MAX(BQ137:BQ189),BQ137:BQ189,0)),""),"")</f>
        <v>#NUM!</v>
      </c>
      <c r="BS190" s="1">
        <f ca="1">IF(AND(BS136&gt;0,ABS(MAX(BS137:BS189))&gt;ABS(MIN(BS137:BS189))),IF(MAX(BS137:BS189)&lt;&gt;0,INDEX($A137:$A189,MATCH(MAX(BS137:BS189),BS137:BS189,0)),""),"")</f>
        <v>19650</v>
      </c>
      <c r="BU190" s="1">
        <f ca="1">IF(AND(BU136&gt;0,ABS(MAX(BU137:BU189))&gt;ABS(MIN(BU137:BU189))),IF(MAX(BU137:BU189)&lt;&gt;0,INDEX($A137:$A189,MATCH(MAX(BU137:BU189),BU137:BU189,0)),""),"")</f>
        <v>19475</v>
      </c>
      <c r="BW190" s="64" t="e">
        <f ca="1">INDEX(BX190:CB190,MATCH(MAX(BX136:CB136),BX136:CB136,0))</f>
        <v>#NUM!</v>
      </c>
      <c r="BX190" s="1" t="e">
        <f ca="1">IF(AND(BX136&gt;0,ABS(MAX(BX137:BX189))&gt;ABS(MIN(BX137:BX189))),IF(MAX(BX137:BX189)&lt;&gt;0,INDEX($A137:$A189,MATCH(MAX(BX137:BX189),BX137:BX189,0)),""),"")</f>
        <v>#NUM!</v>
      </c>
      <c r="BY190" s="1" t="e">
        <f ca="1">INDEX($A$137:$A$189,MATCH("Cruce -",BY137:BY189,)+1)</f>
        <v>#N/A</v>
      </c>
      <c r="BZ190" s="1">
        <f ca="1">IF(AND(BZ136&gt;0,ABS(MAX(BZ137:BZ189))&gt;ABS(MIN(BZ137:BZ189))),IF(MAX(BZ137:BZ189)&lt;&gt;0,INDEX($A137:$A189,MATCH(MAX(BZ137:BZ189),BZ137:BZ189,0)),""),"")</f>
        <v>20250</v>
      </c>
      <c r="CB190" s="1">
        <f ca="1">IF(AND(CB136&gt;0,ABS(MAX(CB137:CB189))&gt;ABS(MIN(CB137:CB189))),IF(MAX(CB137:CB189)&lt;&gt;0,INDEX($A137:$A189,MATCH(MAX(CB137:CB189),CB137:CB189,0)),""),"")</f>
        <v>20275</v>
      </c>
      <c r="CJ190" s="64">
        <f>INDEX(CK190:CO190,MATCH(MAX(CK136:CO136),CK136:CO136,0))</f>
        <v>19475</v>
      </c>
      <c r="CK190" s="1" t="str">
        <f>IF(AND(CK136&gt;0,ABS(MAX(CK137:CK189))&gt;ABS(MIN(CK137:CK189))),IF(MAX(CK137:CK189)&lt;&gt;0,INDEX($A137:$A189,MATCH(MAX(CK137:CK189),CK137:CK189,0)),""),"")</f>
        <v/>
      </c>
      <c r="CM190" s="1">
        <f>IF(AND(CM136&gt;0,ABS(MAX(CM137:CM189))&gt;ABS(MIN(CM137:CM189))),IF(MAX(CM137:CM189)&lt;&gt;0,INDEX($A137:$A189,MATCH(MAX(CM137:CM189),CM137:CM189,0)),""),"")</f>
        <v>19650</v>
      </c>
      <c r="CO190" s="1">
        <f>IF(AND(CO136&gt;0,ABS(MAX(CO137:CO189))&gt;ABS(MIN(CO137:CO189))),IF(MAX(CO137:CO189)&lt;&gt;0,INDEX($A137:$A189,MATCH(MAX(CO137:CO189),CO137:CO189,0)),""),"")</f>
        <v>19475</v>
      </c>
      <c r="CP190" s="1">
        <f>IF(ABS(MAX(CP137:CP189))&gt;ABS(MIN(CP137:CP189)),IF(MAX(CP137:CP189)&lt;&gt;0,INDEX($A137:$A189,MATCH(MAX(CP137:CP189),CP137:CP189,0)),""),"")</f>
        <v>19475</v>
      </c>
      <c r="CW190" s="1" t="e">
        <f ca="1">IF(AND(CW136&gt;0,ABS(MAX(CW137:CW189))&gt;ABS(MIN(CW137:CW189))),IF(MAX(CW137:CW189)&lt;&gt;0,INDEX($A137:$A189,MATCH(MAX(CW137:CW189),CW137:CW189,0)),""),"")</f>
        <v>#NUM!</v>
      </c>
      <c r="CY190" s="1" t="e">
        <f ca="1">IF(AND(CY136&gt;0,ABS(MAX(CY137:CY189))&gt;ABS(MIN(CY137:CY189))),IF(MAX(CY137:CY189)&lt;&gt;0,INDEX($A137:$A189,MATCH(MAX(CY137:CY189),CY137:CY189,0)),""),"")</f>
        <v>#NUM!</v>
      </c>
      <c r="DH190" s="1" t="str">
        <f t="shared" ref="DH190:DM190" si="664">IF(AND(DH136&gt;0,ABS(MAX(DH137:DH189))&gt;ABS(MIN(DH137:DH189))),IF(MAX(DH137:DH189)&lt;&gt;0,INDEX($A137:$A189,MATCH(MAX(DH137:DH189),DH137:DH189,0)),""),"")</f>
        <v/>
      </c>
      <c r="DI190" s="1" t="str">
        <f t="shared" si="664"/>
        <v/>
      </c>
      <c r="DJ190" s="89" t="str">
        <f>IF(AND(ABS(MAX(DJ137:DJ189))&gt;$DG$135,ABS(INDEX($DG$137:$DG$189,MATCH(MAX(DJ137:DJ189),DJ137:DJ189,0)))&lt;25,1),IF(MAX(DJ137:DJ189)&lt;&gt;0,INDEX($A137:$A189,MATCH(MAX(DJ137:DJ189),DJ137:DJ189,0)),""),"")</f>
        <v/>
      </c>
      <c r="DK190" s="89" t="str">
        <f>IF(AND(ABS(MAX(DK137:DK189))&gt;$DG$135,ABS(INDEX($DG$137:$DG$189,MATCH(MAX(DK137:DK189),DK137:DK189,0)))&lt;25,1),IF(MAX(DK137:DK189)&lt;&gt;0,INDEX($A137:$A189,MATCH(MAX(DK137:DK189),DK137:DK189,0)),""),"")</f>
        <v/>
      </c>
      <c r="DL190" s="1" t="str">
        <f t="shared" si="664"/>
        <v/>
      </c>
      <c r="DM190" s="1" t="str">
        <f t="shared" si="664"/>
        <v/>
      </c>
      <c r="DN190" s="64" t="str">
        <f>DJ190&amp;","&amp;DJ191&amp;","&amp;DK190&amp;","&amp;DK191</f>
        <v>,,,</v>
      </c>
      <c r="DP190" s="1" t="str">
        <f>IF(AND(DP136&gt;0,ABS(MAX(DP137:DP189))&gt;ABS(MIN(DP137:DP189))),IF(MAX(DP137:DP189)&lt;&gt;0,INDEX($A137:$A189,MATCH(MAX(DP137:DP189),DP137:DP189,0)),""),"")</f>
        <v/>
      </c>
      <c r="DQ190" s="1" t="str">
        <f>IF(AND(DQ136&gt;0,ABS(MAX(DQ137:DQ189))&gt;ABS(MIN(DQ137:DQ189))),IF(MAX(DQ137:DQ189)&lt;&gt;0,INDEX($A137:$A189,MATCH(MAX(DQ137:DQ189),DQ137:DQ189,0)),""),"")</f>
        <v/>
      </c>
      <c r="DR190" s="1" t="e">
        <f ca="1">IF(AND(DR136&gt;0,ABS(MAX(DR137:DR189))&gt;ABS(MIN(DR137:DR189))),IF(MAX(DR137:DR189)&lt;&gt;0,INDEX($A137:$A189,MATCH(MAX(DR137:DR189),DR137:DR189,0)),""),"")</f>
        <v>#NUM!</v>
      </c>
      <c r="ED190" s="103">
        <f>IFERROR(IF(MAX(ED137:ED189)&lt;&gt;0,INDEX($A137:$A189,MATCH(MAX(ED137:ED189),ED137:ED189,0)),""),"")</f>
        <v>19400</v>
      </c>
      <c r="EU190" s="68">
        <v>562.16</v>
      </c>
      <c r="EV190" s="68" t="s">
        <v>1540</v>
      </c>
      <c r="EW190" s="68">
        <v>484.6</v>
      </c>
      <c r="EX190" s="68" t="s">
        <v>1541</v>
      </c>
      <c r="EY190" s="68">
        <v>5635.25</v>
      </c>
      <c r="EZ190" s="68" t="s">
        <v>1542</v>
      </c>
      <c r="FA190" s="68">
        <v>19906.25</v>
      </c>
      <c r="FB190" s="68" t="s">
        <v>1543</v>
      </c>
      <c r="FC190" s="68" t="s">
        <v>1544</v>
      </c>
      <c r="FD190" s="68" t="s">
        <v>1545</v>
      </c>
      <c r="FE190" s="68" t="s">
        <v>1546</v>
      </c>
      <c r="FF190" s="68" t="s">
        <v>1547</v>
      </c>
    </row>
    <row r="191" spans="1:162" x14ac:dyDescent="0.2">
      <c r="BP191" s="64" t="e">
        <f ca="1">INDEX(BQ191:BU191,MATCH(MIN(BQ136:BU136),BQ136:BU136,0))</f>
        <v>#NUM!</v>
      </c>
      <c r="BQ191" s="1" t="e">
        <f ca="1">IF(AND(BQ136&lt;0,ABS(MIN(BQ137:BQ189))&gt;ABS(MAX(BQ137:BQ189))),IF(MIN(BQ137:BQ189)&lt;&gt;0,INDEX($A137:$A189,MATCH(MIN(BQ137:BQ189),BQ137:BQ189,0)),""),"")</f>
        <v>#NUM!</v>
      </c>
      <c r="BS191" s="1" t="str">
        <f ca="1">IF(AND(BS136&lt;0,ABS(MIN(BS137:BS189))&gt;ABS(MAX(BS137:BS189))),IF(MIN(BS137:BS189)&lt;&gt;0,INDEX($A137:$A189,MATCH(MIN(BS137:BS189),BS137:BS189,0)),""),"")</f>
        <v/>
      </c>
      <c r="BU191" s="1" t="str">
        <f ca="1">IF(AND(BU136&lt;0,ABS(MIN(BU137:BU189))&gt;ABS(MAX(BU137:BU189))),IF(MIN(BU137:BU189)&lt;&gt;0,INDEX($A137:$A189,MATCH(MIN(BU137:BU189),BU137:BU189,0)),""),"")</f>
        <v/>
      </c>
      <c r="BW191" s="64" t="e">
        <f ca="1">INDEX(BX191:CB191,MATCH(MIN(BX136:CB136),BX136:CB136,0))</f>
        <v>#NUM!</v>
      </c>
      <c r="BX191" s="1" t="e">
        <f ca="1">IF(AND(BX136&lt;0,ABS(MIN(BX137:BX189))&gt;ABS(MAX(BX137:BX189))),IF(MIN(BX137:BX189)&lt;&gt;0,INDEX($A137:$A189,MATCH(MIN(BX137:BX189),BX137:BX189,0)),""),"")</f>
        <v>#NUM!</v>
      </c>
      <c r="BY191" s="1" t="e">
        <f ca="1">INDEX($A$137:$A$189,MATCH("Cruce -",BY137:BY189,)-1)</f>
        <v>#N/A</v>
      </c>
      <c r="BZ191" s="1" t="str">
        <f ca="1">IF(AND(BZ136&lt;0,ABS(MIN(BZ137:BZ189))&gt;ABS(MAX(BZ137:BZ189))),IF(MIN(BZ137:BZ189)&lt;&gt;0,INDEX($A137:$A189,MATCH(MIN(BZ137:BZ189),BZ137:BZ189,0)),""),"")</f>
        <v/>
      </c>
      <c r="CB191" s="1" t="str">
        <f ca="1">IF(AND(CB136&lt;0,ABS(MIN(CB137:CB189))&gt;ABS(MAX(CB137:CB189))),IF(MIN(CB137:CB189)&lt;&gt;0,INDEX($A137:$A189,MATCH(MIN(CB137:CB189),CB137:CB189,0)),""),"")</f>
        <v/>
      </c>
      <c r="CJ191" s="64" t="str">
        <f>INDEX(CK191:CO191,MATCH(MIN(CK136:CO136),CK136:CO136,0))</f>
        <v/>
      </c>
      <c r="CK191" s="1" t="str">
        <f>IF(AND(CK136&lt;0,ABS(MIN(CK137:CK189))&gt;ABS(MAX(CK137:CK189))),IF(MIN(CK137:CK189)&lt;&gt;0,INDEX($A137:$A189,MATCH(MIN(CK137:CK189),CK137:CK189,0)),""),"")</f>
        <v/>
      </c>
      <c r="CM191" s="1" t="str">
        <f>IF(AND(CM136&lt;0,ABS(MIN(CM137:CM189))&gt;ABS(MAX(CM137:CM189))),IF(MIN(CM137:CM189)&lt;&gt;0,INDEX($A137:$A189,MATCH(MIN(CM137:CM189),CM137:CM189,0)),""),"")</f>
        <v/>
      </c>
      <c r="CO191" s="1" t="str">
        <f>IF(AND(CO136&lt;0,ABS(MIN(CO137:CO189))&gt;ABS(MAX(CO137:CO189))),IF(MIN(CO137:CO189)&lt;&gt;0,INDEX($A137:$A189,MATCH(MIN(CO137:CO189),CO137:CO189,0)),""),"")</f>
        <v/>
      </c>
      <c r="CP191" s="1" t="str">
        <f>IF(ABS(MIN(CP137:CP189))&gt;ABS(MAX(CP137:CP189)),IF(MIN(CP137:CP189)&lt;&gt;0,INDEX($A137:$A189,MATCH(MIN(CP137:CP189),CP137:CP189,0)),""),"")</f>
        <v/>
      </c>
      <c r="CW191" s="1" t="e">
        <f ca="1">IF(AND(CW136&lt;0,ABS(MIN(CW137:CW189))&gt;ABS(MAX(CW137:CW189))),IF(MIN(CW137:CW189)&lt;&gt;0,INDEX($A137:$A189,MATCH(MIN(CW137:CW189),CW137:CW189,0)),""),"")</f>
        <v>#NUM!</v>
      </c>
      <c r="CY191" s="1" t="e">
        <f ca="1">IF(AND(CY136&lt;0,ABS(MIN(CY137:CY189))&gt;ABS(MAX(CY137:CY189))),IF(MIN(CY137:CY189)&lt;&gt;0,INDEX($A137:$A189,MATCH(MIN(CY137:CY189),CY137:CY189,0)),""),"")</f>
        <v>#NUM!</v>
      </c>
      <c r="DH191" s="1" t="str">
        <f t="shared" ref="DH191:DM191" si="665">IF(AND(DH136&lt;0,ABS(MIN(DH137:DH189))&gt;ABS(MAX(DH137:DH189))),IF(MIN(DH137:DH189)&lt;&gt;0,INDEX($A137:$A189,MATCH(MIN(DH137:DH189),DH137:DH189,0)),""),"")</f>
        <v/>
      </c>
      <c r="DI191" s="1" t="str">
        <f t="shared" si="665"/>
        <v/>
      </c>
      <c r="DJ191" s="89" t="str">
        <f>IF(AND(ABS(MIN(DJ137:DJ189))&gt;$DG$135,ABS(INDEX($DG$137:$DG$189,MATCH(MIN(DJ137:DJ189),DJ137:DJ189,0)))&lt;25,1),IF(MIN(DJ137:DJ189)&lt;&gt;0,INDEX($A137:$A189,MATCH(MIN(DJ137:DJ189),DJ137:DJ189,0)),""),"")</f>
        <v/>
      </c>
      <c r="DK191" s="89" t="str">
        <f>IF(AND(ABS(MIN(DK137:DK189))&gt;$DG$135,ABS(INDEX($DG$137:$DG$189,MATCH(MIN(DK137:DK189),DK137:DK189,0)))&lt;25,1),IF(MIN(DK137:DK189)&lt;&gt;0,INDEX($A137:$A189,MATCH(MIN(DK137:DK189),DK137:DK189,0)),""),"")</f>
        <v/>
      </c>
      <c r="DL191" s="1" t="str">
        <f t="shared" si="665"/>
        <v/>
      </c>
      <c r="DM191" s="1" t="str">
        <f t="shared" si="665"/>
        <v/>
      </c>
      <c r="DN191" s="64" t="str">
        <f ca="1">BI134&amp;","&amp;BI190&amp;","&amp;ED190&amp;","&amp;ED191</f>
        <v>20000,19350,19400,19300</v>
      </c>
      <c r="DP191" s="1" t="str">
        <f>IF(AND(DP136&lt;0,ABS(MIN(DP137:DP189))&gt;ABS(MAX(DP137:DP189))),IF(MIN(DP137:DP189)&lt;&gt;0,INDEX($A137:$A189,MATCH(MIN(DP137:DP189),DP137:DP189,0)),""),"")</f>
        <v/>
      </c>
      <c r="DQ191" s="1" t="str">
        <f>IF(AND(DQ136&lt;0,ABS(MIN(DQ137:DQ189))&gt;ABS(MAX(DQ137:DQ189))),IF(MIN(DQ137:DQ189)&lt;&gt;0,INDEX($A137:$A189,MATCH(MIN(DQ137:DQ189),DQ137:DQ189,0)),""),"")</f>
        <v/>
      </c>
      <c r="DR191" s="1" t="e">
        <f ca="1">IF(AND(DR136&lt;0,ABS(MIN(DR137:DR189))&gt;ABS(MAX(DR137:DR189))),IF(MIN(DR137:DR189)&lt;&gt;0,INDEX($A137:$A189,MATCH(MIN(DR137:DR189),DR137:DR189,0)),""),"")</f>
        <v>#NUM!</v>
      </c>
      <c r="ED191" s="103">
        <f>IFERROR(IF(MIN(ED137:ED189)&lt;&gt;0,INDEX($A137:$A189,MATCH(MIN(ED137:ED189),ED137:ED189,0)),""),"")</f>
        <v>19300</v>
      </c>
      <c r="EU191" s="68">
        <v>562.19000000000005</v>
      </c>
      <c r="EV191" s="68" t="s">
        <v>1548</v>
      </c>
      <c r="EW191" s="68">
        <v>484.62</v>
      </c>
      <c r="EX191" s="68" t="s">
        <v>1549</v>
      </c>
      <c r="EY191" s="68">
        <v>5635.75</v>
      </c>
      <c r="EZ191" s="68" t="s">
        <v>1550</v>
      </c>
      <c r="FA191" s="68">
        <v>19906.5</v>
      </c>
      <c r="FB191" s="68" t="s">
        <v>1551</v>
      </c>
      <c r="FC191" s="68" t="s">
        <v>1552</v>
      </c>
      <c r="FD191" s="68" t="s">
        <v>1553</v>
      </c>
      <c r="FE191" s="68" t="s">
        <v>1554</v>
      </c>
      <c r="FF191" s="68" t="s">
        <v>1555</v>
      </c>
    </row>
    <row r="192" spans="1:162" x14ac:dyDescent="0.2">
      <c r="ET192" s="64">
        <v>250410</v>
      </c>
      <c r="EU192" s="68">
        <v>562.26</v>
      </c>
      <c r="EV192" s="68" t="s">
        <v>1556</v>
      </c>
      <c r="EW192" s="68">
        <v>484.66</v>
      </c>
      <c r="EX192" s="68" t="s">
        <v>1557</v>
      </c>
      <c r="EY192" s="68">
        <v>5636.25</v>
      </c>
      <c r="EZ192" s="68" t="s">
        <v>1558</v>
      </c>
      <c r="FA192" s="68">
        <v>19908.75</v>
      </c>
      <c r="FB192" s="68" t="s">
        <v>1559</v>
      </c>
      <c r="FC192" s="68" t="s">
        <v>1560</v>
      </c>
      <c r="FD192" s="68" t="s">
        <v>1561</v>
      </c>
      <c r="FE192" s="68" t="s">
        <v>1562</v>
      </c>
      <c r="FF192" s="68" t="s">
        <v>1563</v>
      </c>
    </row>
    <row r="193" spans="151:162" x14ac:dyDescent="0.2">
      <c r="EU193" s="67">
        <v>562.16999999999996</v>
      </c>
      <c r="EV193" s="67" t="s">
        <v>1564</v>
      </c>
      <c r="EW193" s="67">
        <v>484.58</v>
      </c>
      <c r="EX193" s="67" t="s">
        <v>1565</v>
      </c>
      <c r="EY193" s="67">
        <v>5635.75</v>
      </c>
      <c r="EZ193" s="67" t="s">
        <v>1566</v>
      </c>
      <c r="FA193" s="67">
        <v>19905</v>
      </c>
      <c r="FB193" s="67" t="s">
        <v>1567</v>
      </c>
      <c r="FC193" s="67" t="s">
        <v>1568</v>
      </c>
      <c r="FD193" s="67" t="s">
        <v>1569</v>
      </c>
      <c r="FE193" s="68" t="s">
        <v>1570</v>
      </c>
      <c r="FF193" s="68" t="s">
        <v>1571</v>
      </c>
    </row>
    <row r="194" spans="151:162" x14ac:dyDescent="0.2">
      <c r="EU194" s="67">
        <v>562.21</v>
      </c>
      <c r="EV194" s="67" t="s">
        <v>1572</v>
      </c>
      <c r="EW194" s="67">
        <v>484.62</v>
      </c>
      <c r="EX194" s="67" t="s">
        <v>1573</v>
      </c>
      <c r="EY194" s="67">
        <v>5636</v>
      </c>
      <c r="EZ194" s="67" t="s">
        <v>1574</v>
      </c>
      <c r="FA194" s="67">
        <v>19907.5</v>
      </c>
      <c r="FB194" s="67" t="s">
        <v>1575</v>
      </c>
      <c r="FC194" s="67" t="s">
        <v>1576</v>
      </c>
      <c r="FD194" s="67" t="s">
        <v>1577</v>
      </c>
      <c r="FE194" s="68" t="s">
        <v>1578</v>
      </c>
      <c r="FF194" s="68" t="s">
        <v>1579</v>
      </c>
    </row>
    <row r="195" spans="151:162" x14ac:dyDescent="0.2">
      <c r="EU195" s="67">
        <v>562.29999999999995</v>
      </c>
      <c r="EV195" s="67" t="s">
        <v>1580</v>
      </c>
      <c r="EW195" s="67">
        <v>484.77</v>
      </c>
      <c r="EX195" s="67" t="s">
        <v>1581</v>
      </c>
      <c r="EY195" s="67">
        <v>5636.75</v>
      </c>
      <c r="EZ195" s="67" t="s">
        <v>1582</v>
      </c>
      <c r="FA195" s="67">
        <v>19912.5</v>
      </c>
      <c r="FB195" s="67" t="s">
        <v>1583</v>
      </c>
      <c r="FC195" s="67" t="s">
        <v>1584</v>
      </c>
      <c r="FD195" s="67" t="s">
        <v>1585</v>
      </c>
      <c r="FE195" s="68" t="s">
        <v>1586</v>
      </c>
      <c r="FF195" s="68" t="s">
        <v>1587</v>
      </c>
    </row>
    <row r="196" spans="151:162" x14ac:dyDescent="0.2">
      <c r="EU196" s="67">
        <v>562.21</v>
      </c>
      <c r="EV196" s="67" t="s">
        <v>1588</v>
      </c>
      <c r="EW196" s="67">
        <v>484.64</v>
      </c>
      <c r="EX196" s="67" t="s">
        <v>1589</v>
      </c>
      <c r="EY196" s="67">
        <v>5636</v>
      </c>
      <c r="EZ196" s="67" t="s">
        <v>1590</v>
      </c>
      <c r="FA196" s="67">
        <v>19907.5</v>
      </c>
      <c r="FB196" s="67" t="s">
        <v>1591</v>
      </c>
      <c r="FC196" s="67" t="s">
        <v>1592</v>
      </c>
      <c r="FD196" s="67" t="s">
        <v>1593</v>
      </c>
      <c r="FE196" s="68" t="s">
        <v>1594</v>
      </c>
      <c r="FF196" s="68" t="s">
        <v>1595</v>
      </c>
    </row>
    <row r="197" spans="151:162" x14ac:dyDescent="0.2">
      <c r="EU197" s="67">
        <v>562.17999999999995</v>
      </c>
      <c r="EV197" s="67" t="s">
        <v>1596</v>
      </c>
      <c r="EW197" s="67">
        <v>484.6</v>
      </c>
      <c r="EX197" s="67" t="s">
        <v>1597</v>
      </c>
      <c r="EY197" s="67">
        <v>5635.75</v>
      </c>
      <c r="EZ197" s="67" t="s">
        <v>1598</v>
      </c>
      <c r="FA197" s="67">
        <v>19905.75</v>
      </c>
      <c r="FB197" s="67" t="s">
        <v>1599</v>
      </c>
      <c r="FC197" s="67" t="s">
        <v>1600</v>
      </c>
      <c r="FD197" s="67" t="s">
        <v>1601</v>
      </c>
      <c r="FE197" s="68" t="s">
        <v>1602</v>
      </c>
      <c r="FF197" s="68" t="s">
        <v>1603</v>
      </c>
    </row>
    <row r="198" spans="151:162" x14ac:dyDescent="0.2">
      <c r="EU198" s="67">
        <v>562.14</v>
      </c>
      <c r="EV198" s="67" t="s">
        <v>1604</v>
      </c>
      <c r="EW198" s="67">
        <v>484.58</v>
      </c>
      <c r="EX198" s="67" t="s">
        <v>1605</v>
      </c>
      <c r="EY198" s="67">
        <v>5635</v>
      </c>
      <c r="EZ198" s="67" t="s">
        <v>1606</v>
      </c>
      <c r="FA198" s="67">
        <v>19905.25</v>
      </c>
      <c r="FB198" s="67" t="s">
        <v>1607</v>
      </c>
      <c r="FC198" s="67" t="s">
        <v>1608</v>
      </c>
      <c r="FD198" s="67" t="s">
        <v>1609</v>
      </c>
      <c r="FE198" s="68" t="s">
        <v>1610</v>
      </c>
      <c r="FF198" s="68" t="s">
        <v>1611</v>
      </c>
    </row>
    <row r="199" spans="151:162" x14ac:dyDescent="0.2">
      <c r="EU199" s="67">
        <v>562.15</v>
      </c>
      <c r="EV199" s="67" t="s">
        <v>1612</v>
      </c>
      <c r="EW199" s="67">
        <v>484.6</v>
      </c>
      <c r="EX199" s="67" t="s">
        <v>1613</v>
      </c>
      <c r="EY199" s="67">
        <v>5635.5</v>
      </c>
      <c r="EZ199" s="67" t="s">
        <v>1614</v>
      </c>
      <c r="FA199" s="67">
        <v>19905.5</v>
      </c>
      <c r="FB199" s="67" t="s">
        <v>1615</v>
      </c>
      <c r="FC199" s="67" t="s">
        <v>1616</v>
      </c>
      <c r="FD199" s="67" t="s">
        <v>1617</v>
      </c>
      <c r="FE199" s="68" t="s">
        <v>1618</v>
      </c>
      <c r="FF199" s="68" t="s">
        <v>1619</v>
      </c>
    </row>
    <row r="200" spans="151:162" x14ac:dyDescent="0.2">
      <c r="EU200" s="67">
        <v>562.26</v>
      </c>
      <c r="EV200" s="67" t="s">
        <v>1620</v>
      </c>
      <c r="EW200" s="67">
        <v>484.8</v>
      </c>
      <c r="EX200" s="67" t="s">
        <v>1621</v>
      </c>
      <c r="EY200" s="67">
        <v>5636.5</v>
      </c>
      <c r="EZ200" s="67" t="s">
        <v>1622</v>
      </c>
      <c r="FA200" s="67">
        <v>19911.25</v>
      </c>
      <c r="FB200" s="67" t="s">
        <v>1623</v>
      </c>
      <c r="FC200" s="67" t="s">
        <v>1624</v>
      </c>
      <c r="FD200" s="67" t="s">
        <v>1625</v>
      </c>
      <c r="FE200" s="68" t="s">
        <v>1626</v>
      </c>
      <c r="FF200" s="68" t="s">
        <v>1627</v>
      </c>
    </row>
    <row r="201" spans="151:162" x14ac:dyDescent="0.2">
      <c r="EU201" s="67">
        <v>562.32000000000005</v>
      </c>
      <c r="EV201" s="67" t="s">
        <v>1628</v>
      </c>
      <c r="EW201" s="67">
        <v>484.8</v>
      </c>
      <c r="EX201" s="67" t="s">
        <v>1629</v>
      </c>
      <c r="EY201" s="67">
        <v>5637</v>
      </c>
      <c r="EZ201" s="67" t="s">
        <v>1630</v>
      </c>
      <c r="FA201" s="67">
        <v>19912.5</v>
      </c>
      <c r="FB201" s="67" t="s">
        <v>1631</v>
      </c>
      <c r="FC201" s="67" t="s">
        <v>1632</v>
      </c>
      <c r="FD201" s="67" t="s">
        <v>1633</v>
      </c>
      <c r="FE201" s="68" t="s">
        <v>1634</v>
      </c>
      <c r="FF201" s="68" t="s">
        <v>1635</v>
      </c>
    </row>
    <row r="202" spans="151:162" x14ac:dyDescent="0.2">
      <c r="EU202" s="67">
        <v>562.23</v>
      </c>
      <c r="EV202" s="67" t="s">
        <v>1636</v>
      </c>
      <c r="EW202" s="67">
        <v>484.67</v>
      </c>
      <c r="EX202" s="67" t="s">
        <v>1637</v>
      </c>
      <c r="EY202" s="67">
        <v>5636</v>
      </c>
      <c r="EZ202" s="67" t="s">
        <v>1638</v>
      </c>
      <c r="FA202" s="67">
        <v>19908.5</v>
      </c>
      <c r="FB202" s="67" t="s">
        <v>1639</v>
      </c>
      <c r="FC202" s="67" t="s">
        <v>1640</v>
      </c>
      <c r="FD202" s="67" t="s">
        <v>1641</v>
      </c>
      <c r="FE202" s="68" t="s">
        <v>1642</v>
      </c>
      <c r="FF202" s="68" t="s">
        <v>1643</v>
      </c>
    </row>
    <row r="203" spans="151:162" x14ac:dyDescent="0.2">
      <c r="EU203" s="67">
        <v>562.26</v>
      </c>
      <c r="EV203" s="67" t="s">
        <v>1644</v>
      </c>
      <c r="EW203" s="67">
        <v>484.71</v>
      </c>
      <c r="EX203" s="67" t="s">
        <v>1645</v>
      </c>
      <c r="EY203" s="67">
        <v>5636.5</v>
      </c>
      <c r="EZ203" s="67" t="s">
        <v>1646</v>
      </c>
      <c r="FA203" s="67">
        <v>19911.25</v>
      </c>
      <c r="FB203" s="67" t="s">
        <v>1647</v>
      </c>
      <c r="FC203" s="67" t="s">
        <v>1648</v>
      </c>
      <c r="FD203" s="67" t="s">
        <v>1649</v>
      </c>
      <c r="FE203" s="68" t="s">
        <v>1650</v>
      </c>
      <c r="FF203" s="68" t="s">
        <v>1651</v>
      </c>
    </row>
    <row r="204" spans="151:162" x14ac:dyDescent="0.2">
      <c r="EU204" s="67">
        <v>562.34</v>
      </c>
      <c r="EV204" s="67" t="s">
        <v>1652</v>
      </c>
      <c r="EW204" s="67">
        <v>484.79</v>
      </c>
      <c r="EX204" s="67" t="s">
        <v>1653</v>
      </c>
      <c r="EY204" s="67">
        <v>5637.25</v>
      </c>
      <c r="EZ204" s="67" t="s">
        <v>1654</v>
      </c>
      <c r="FA204" s="67">
        <v>19914</v>
      </c>
      <c r="FB204" s="67" t="s">
        <v>1655</v>
      </c>
      <c r="FC204" s="67" t="s">
        <v>1656</v>
      </c>
      <c r="FD204" s="67" t="s">
        <v>1657</v>
      </c>
      <c r="FE204" s="68" t="s">
        <v>1658</v>
      </c>
      <c r="FF204" s="68" t="s">
        <v>1659</v>
      </c>
    </row>
    <row r="205" spans="151:162" x14ac:dyDescent="0.2">
      <c r="EU205" s="67">
        <v>562.26</v>
      </c>
      <c r="EV205" s="67" t="s">
        <v>1660</v>
      </c>
      <c r="EW205" s="67">
        <v>484.72</v>
      </c>
      <c r="EX205" s="67" t="s">
        <v>1661</v>
      </c>
      <c r="EY205" s="67">
        <v>5636.5</v>
      </c>
      <c r="EZ205" s="67" t="s">
        <v>1662</v>
      </c>
      <c r="FA205" s="67">
        <v>19911.75</v>
      </c>
      <c r="FB205" s="67" t="s">
        <v>1663</v>
      </c>
      <c r="FC205" s="67" t="s">
        <v>1664</v>
      </c>
      <c r="FD205" s="67" t="s">
        <v>1665</v>
      </c>
      <c r="FE205" s="68" t="s">
        <v>1666</v>
      </c>
      <c r="FF205" s="68" t="s">
        <v>1667</v>
      </c>
    </row>
    <row r="206" spans="151:162" x14ac:dyDescent="0.2">
      <c r="EU206" s="67">
        <v>562.29</v>
      </c>
      <c r="EV206" s="67" t="s">
        <v>1668</v>
      </c>
      <c r="EW206" s="67">
        <v>484.75</v>
      </c>
      <c r="EX206" s="67" t="s">
        <v>1669</v>
      </c>
      <c r="EY206" s="67">
        <v>5636.75</v>
      </c>
      <c r="EZ206" s="67" t="s">
        <v>1670</v>
      </c>
      <c r="FA206" s="67">
        <v>19912.75</v>
      </c>
      <c r="FB206" s="67" t="s">
        <v>1671</v>
      </c>
      <c r="FC206" s="67" t="s">
        <v>1672</v>
      </c>
      <c r="FD206" s="67" t="s">
        <v>1673</v>
      </c>
      <c r="FE206" s="68" t="s">
        <v>1674</v>
      </c>
      <c r="FF206" s="68" t="s">
        <v>1675</v>
      </c>
    </row>
    <row r="207" spans="151:162" x14ac:dyDescent="0.2">
      <c r="EU207" s="67">
        <v>562.21</v>
      </c>
      <c r="EV207" s="67" t="s">
        <v>1676</v>
      </c>
      <c r="EW207" s="67">
        <v>484.71</v>
      </c>
      <c r="EX207" s="67" t="s">
        <v>1677</v>
      </c>
      <c r="EY207" s="67">
        <v>5635.75</v>
      </c>
      <c r="EZ207" s="67" t="s">
        <v>1678</v>
      </c>
      <c r="FA207" s="67">
        <v>19910.5</v>
      </c>
      <c r="FB207" s="67" t="s">
        <v>1679</v>
      </c>
      <c r="FC207" s="67" t="s">
        <v>1680</v>
      </c>
      <c r="FD207" s="67" t="s">
        <v>1681</v>
      </c>
      <c r="FE207" s="68" t="s">
        <v>1682</v>
      </c>
      <c r="FF207" s="68" t="s">
        <v>1683</v>
      </c>
    </row>
    <row r="208" spans="151:162" x14ac:dyDescent="0.2">
      <c r="EU208" s="67">
        <v>562.04</v>
      </c>
      <c r="EV208" s="67" t="s">
        <v>1684</v>
      </c>
      <c r="EW208" s="67">
        <v>484.52</v>
      </c>
      <c r="EX208" s="67" t="s">
        <v>1685</v>
      </c>
      <c r="EY208" s="67">
        <v>5634.25</v>
      </c>
      <c r="EZ208" s="67" t="s">
        <v>1686</v>
      </c>
      <c r="FA208" s="67">
        <v>19902.75</v>
      </c>
      <c r="FB208" s="67" t="s">
        <v>1687</v>
      </c>
      <c r="FC208" s="67" t="s">
        <v>1688</v>
      </c>
      <c r="FD208" s="67" t="s">
        <v>1689</v>
      </c>
      <c r="FE208" s="68" t="s">
        <v>1690</v>
      </c>
      <c r="FF208" s="68" t="s">
        <v>1691</v>
      </c>
    </row>
    <row r="209" spans="151:162" x14ac:dyDescent="0.2">
      <c r="EU209" s="67">
        <v>562.04999999999995</v>
      </c>
      <c r="EV209" s="67" t="s">
        <v>1692</v>
      </c>
      <c r="EW209" s="67">
        <v>484.51</v>
      </c>
      <c r="EX209" s="67" t="s">
        <v>1693</v>
      </c>
      <c r="EY209" s="67">
        <v>5633.75</v>
      </c>
      <c r="EZ209" s="67" t="s">
        <v>1694</v>
      </c>
      <c r="FA209" s="67">
        <v>19901.75</v>
      </c>
      <c r="FB209" s="67" t="s">
        <v>1695</v>
      </c>
      <c r="FC209" s="67" t="s">
        <v>1696</v>
      </c>
      <c r="FD209" s="67" t="s">
        <v>1697</v>
      </c>
      <c r="FE209" s="68" t="s">
        <v>1698</v>
      </c>
      <c r="FF209" s="68" t="s">
        <v>1699</v>
      </c>
    </row>
    <row r="210" spans="151:162" x14ac:dyDescent="0.2">
      <c r="EU210" s="67">
        <v>562.05999999999995</v>
      </c>
      <c r="EV210" s="67" t="s">
        <v>1700</v>
      </c>
      <c r="EW210" s="67">
        <v>484.52</v>
      </c>
      <c r="EX210" s="67" t="s">
        <v>1701</v>
      </c>
      <c r="EY210" s="67">
        <v>5634</v>
      </c>
      <c r="EZ210" s="67" t="s">
        <v>1702</v>
      </c>
      <c r="FA210" s="67">
        <v>19903</v>
      </c>
      <c r="FB210" s="67" t="s">
        <v>1703</v>
      </c>
      <c r="FC210" s="67" t="s">
        <v>1704</v>
      </c>
      <c r="FD210" s="67" t="s">
        <v>1705</v>
      </c>
      <c r="FE210" s="68" t="s">
        <v>1706</v>
      </c>
      <c r="FF210" s="68" t="s">
        <v>1707</v>
      </c>
    </row>
    <row r="211" spans="151:162" x14ac:dyDescent="0.2">
      <c r="EU211" s="67">
        <v>562.05999999999995</v>
      </c>
      <c r="EV211" s="67" t="s">
        <v>1708</v>
      </c>
      <c r="EW211" s="67">
        <v>484.52</v>
      </c>
      <c r="EX211" s="67" t="s">
        <v>1709</v>
      </c>
      <c r="EY211" s="67">
        <v>5634.25</v>
      </c>
      <c r="EZ211" s="67" t="s">
        <v>1710</v>
      </c>
      <c r="FA211" s="67">
        <v>19902.25</v>
      </c>
      <c r="FB211" s="67" t="s">
        <v>1711</v>
      </c>
      <c r="FC211" s="67" t="s">
        <v>1712</v>
      </c>
      <c r="FD211" s="67" t="s">
        <v>1713</v>
      </c>
      <c r="FE211" s="68" t="s">
        <v>1714</v>
      </c>
      <c r="FF211" s="68" t="s">
        <v>1715</v>
      </c>
    </row>
    <row r="212" spans="151:162" x14ac:dyDescent="0.2">
      <c r="EU212" s="67">
        <v>561.94000000000005</v>
      </c>
      <c r="EV212" s="67" t="s">
        <v>1716</v>
      </c>
      <c r="EW212" s="67">
        <v>484.37</v>
      </c>
      <c r="EX212" s="67" t="s">
        <v>1717</v>
      </c>
      <c r="EY212" s="67">
        <v>5633</v>
      </c>
      <c r="EZ212" s="67" t="s">
        <v>1718</v>
      </c>
      <c r="FA212" s="67">
        <v>19896.75</v>
      </c>
      <c r="FB212" s="67" t="s">
        <v>1719</v>
      </c>
      <c r="FC212" s="67" t="s">
        <v>1720</v>
      </c>
      <c r="FD212" s="67" t="s">
        <v>1721</v>
      </c>
      <c r="FE212" s="68" t="s">
        <v>1722</v>
      </c>
      <c r="FF212" s="68" t="s">
        <v>1723</v>
      </c>
    </row>
    <row r="213" spans="151:162" x14ac:dyDescent="0.2">
      <c r="EU213" s="67">
        <v>561.86</v>
      </c>
      <c r="EV213" s="67" t="s">
        <v>1724</v>
      </c>
      <c r="EW213" s="67">
        <v>484.3</v>
      </c>
      <c r="EX213" s="67" t="s">
        <v>1725</v>
      </c>
      <c r="EY213" s="67">
        <v>5632</v>
      </c>
      <c r="EZ213" s="67" t="s">
        <v>1726</v>
      </c>
      <c r="FA213" s="67">
        <v>19892.5</v>
      </c>
      <c r="FB213" s="67" t="s">
        <v>1727</v>
      </c>
      <c r="FC213" s="67" t="s">
        <v>1728</v>
      </c>
      <c r="FD213" s="67" t="s">
        <v>1729</v>
      </c>
      <c r="FE213" s="68" t="s">
        <v>1730</v>
      </c>
      <c r="FF213" s="68" t="s">
        <v>1731</v>
      </c>
    </row>
    <row r="214" spans="151:162" x14ac:dyDescent="0.2">
      <c r="EU214" s="67">
        <v>561.96</v>
      </c>
      <c r="EV214" s="67" t="s">
        <v>1732</v>
      </c>
      <c r="EW214" s="67">
        <v>484.42</v>
      </c>
      <c r="EX214" s="67" t="s">
        <v>1733</v>
      </c>
      <c r="EY214" s="67">
        <v>5633.5</v>
      </c>
      <c r="EZ214" s="67" t="s">
        <v>1734</v>
      </c>
      <c r="FA214" s="67">
        <v>19898.75</v>
      </c>
      <c r="FB214" s="67" t="s">
        <v>1735</v>
      </c>
      <c r="FC214" s="67" t="s">
        <v>1736</v>
      </c>
      <c r="FD214" s="67" t="s">
        <v>1737</v>
      </c>
      <c r="FE214" s="68" t="s">
        <v>1738</v>
      </c>
      <c r="FF214" s="68" t="s">
        <v>1739</v>
      </c>
    </row>
    <row r="215" spans="151:162" x14ac:dyDescent="0.2">
      <c r="EU215" s="67">
        <v>561.89</v>
      </c>
      <c r="EV215" s="67" t="s">
        <v>1740</v>
      </c>
      <c r="EW215" s="67">
        <v>484.35</v>
      </c>
      <c r="EX215" s="67" t="s">
        <v>1741</v>
      </c>
      <c r="EY215" s="67">
        <v>5632.5</v>
      </c>
      <c r="EZ215" s="67" t="s">
        <v>1742</v>
      </c>
      <c r="FA215" s="67">
        <v>19896.25</v>
      </c>
      <c r="FB215" s="67" t="s">
        <v>1743</v>
      </c>
      <c r="FC215" s="67" t="s">
        <v>1744</v>
      </c>
      <c r="FD215" s="67" t="s">
        <v>1745</v>
      </c>
      <c r="FE215" s="68" t="s">
        <v>1746</v>
      </c>
      <c r="FF215" s="68" t="s">
        <v>1747</v>
      </c>
    </row>
    <row r="216" spans="151:162" x14ac:dyDescent="0.2">
      <c r="EU216" s="67">
        <v>561.95000000000005</v>
      </c>
      <c r="EV216" s="67" t="s">
        <v>1748</v>
      </c>
      <c r="EW216" s="67">
        <v>484.35</v>
      </c>
      <c r="EX216" s="67" t="s">
        <v>1749</v>
      </c>
      <c r="EY216" s="67">
        <v>5632.75</v>
      </c>
      <c r="EZ216" s="67" t="s">
        <v>1750</v>
      </c>
      <c r="FA216" s="67">
        <v>19896.5</v>
      </c>
      <c r="FB216" s="67" t="s">
        <v>1751</v>
      </c>
      <c r="FC216" s="67" t="s">
        <v>1752</v>
      </c>
      <c r="FD216" s="67" t="s">
        <v>1753</v>
      </c>
      <c r="FE216" s="68" t="s">
        <v>1754</v>
      </c>
      <c r="FF216" s="68" t="s">
        <v>1755</v>
      </c>
    </row>
    <row r="217" spans="151:162" x14ac:dyDescent="0.2">
      <c r="EU217" s="67">
        <v>561.91999999999996</v>
      </c>
      <c r="EV217" s="67" t="s">
        <v>1756</v>
      </c>
      <c r="EW217" s="67">
        <v>484.4</v>
      </c>
      <c r="EX217" s="67" t="s">
        <v>1757</v>
      </c>
      <c r="EY217" s="67">
        <v>5632.75</v>
      </c>
      <c r="EZ217" s="67" t="s">
        <v>1758</v>
      </c>
      <c r="FA217" s="67">
        <v>19897.5</v>
      </c>
      <c r="FB217" s="67" t="s">
        <v>1759</v>
      </c>
      <c r="FC217" s="67" t="s">
        <v>1760</v>
      </c>
      <c r="FD217" s="67" t="s">
        <v>1761</v>
      </c>
      <c r="FE217" s="68" t="s">
        <v>1762</v>
      </c>
      <c r="FF217" s="68" t="s">
        <v>1763</v>
      </c>
    </row>
    <row r="218" spans="151:162" x14ac:dyDescent="0.2">
      <c r="EU218" s="67">
        <v>561.95000000000005</v>
      </c>
      <c r="EV218" s="67" t="s">
        <v>1764</v>
      </c>
      <c r="EW218" s="67">
        <v>484.39</v>
      </c>
      <c r="EX218" s="67" t="s">
        <v>1765</v>
      </c>
      <c r="EY218" s="67">
        <v>5633.25</v>
      </c>
      <c r="EZ218" s="67" t="s">
        <v>1766</v>
      </c>
      <c r="FA218" s="67">
        <v>19896.75</v>
      </c>
      <c r="FB218" s="67" t="s">
        <v>1767</v>
      </c>
      <c r="FC218" s="67" t="s">
        <v>1768</v>
      </c>
      <c r="FD218" s="67" t="s">
        <v>1769</v>
      </c>
      <c r="FE218" s="68" t="s">
        <v>1770</v>
      </c>
      <c r="FF218" s="68" t="s">
        <v>1771</v>
      </c>
    </row>
    <row r="219" spans="151:162" x14ac:dyDescent="0.2">
      <c r="EU219" s="67">
        <v>561.97</v>
      </c>
      <c r="EV219" s="67" t="s">
        <v>1772</v>
      </c>
      <c r="EW219" s="67">
        <v>484.41</v>
      </c>
      <c r="EX219" s="67" t="s">
        <v>1773</v>
      </c>
      <c r="EY219" s="67">
        <v>5633.25</v>
      </c>
      <c r="EZ219" s="67" t="s">
        <v>1774</v>
      </c>
      <c r="FA219" s="67">
        <v>19898.25</v>
      </c>
      <c r="FB219" s="67" t="s">
        <v>1775</v>
      </c>
      <c r="FC219" s="67" t="s">
        <v>1776</v>
      </c>
      <c r="FD219" s="67" t="s">
        <v>1777</v>
      </c>
      <c r="FE219" s="68" t="s">
        <v>1778</v>
      </c>
      <c r="FF219" s="68" t="s">
        <v>1779</v>
      </c>
    </row>
    <row r="220" spans="151:162" x14ac:dyDescent="0.2">
      <c r="EU220" s="67">
        <v>562.04999999999995</v>
      </c>
      <c r="EV220" s="67" t="s">
        <v>1780</v>
      </c>
      <c r="EW220" s="67">
        <v>484.52</v>
      </c>
      <c r="EX220" s="67" t="s">
        <v>1781</v>
      </c>
      <c r="EY220" s="67">
        <v>5634.25</v>
      </c>
      <c r="EZ220" s="67" t="s">
        <v>1782</v>
      </c>
      <c r="FA220" s="67">
        <v>19903.5</v>
      </c>
      <c r="FB220" s="67" t="s">
        <v>1783</v>
      </c>
      <c r="FC220" s="67" t="s">
        <v>1784</v>
      </c>
      <c r="FD220" s="67" t="s">
        <v>1785</v>
      </c>
      <c r="FE220" s="68" t="s">
        <v>1786</v>
      </c>
      <c r="FF220" s="68" t="s">
        <v>1787</v>
      </c>
    </row>
    <row r="221" spans="151:162" x14ac:dyDescent="0.2">
      <c r="EU221" s="67">
        <v>562.05999999999995</v>
      </c>
      <c r="EV221" s="67" t="s">
        <v>1788</v>
      </c>
      <c r="EW221" s="67">
        <v>484.48</v>
      </c>
      <c r="EX221" s="67" t="s">
        <v>1789</v>
      </c>
      <c r="EY221" s="67">
        <v>5634.25</v>
      </c>
      <c r="EZ221" s="67" t="s">
        <v>1790</v>
      </c>
      <c r="FA221" s="67">
        <v>19901.25</v>
      </c>
      <c r="FB221" s="67" t="s">
        <v>1791</v>
      </c>
      <c r="FC221" s="67" t="s">
        <v>1792</v>
      </c>
      <c r="FD221" s="67" t="s">
        <v>1793</v>
      </c>
      <c r="FE221" s="68" t="s">
        <v>1794</v>
      </c>
      <c r="FF221" s="68" t="s">
        <v>1795</v>
      </c>
    </row>
    <row r="222" spans="151:162" x14ac:dyDescent="0.2">
      <c r="EU222" s="67">
        <v>562.14</v>
      </c>
      <c r="EV222" s="67" t="s">
        <v>1796</v>
      </c>
      <c r="EW222" s="67">
        <v>484.58</v>
      </c>
      <c r="EX222" s="67" t="s">
        <v>1797</v>
      </c>
      <c r="EY222" s="67">
        <v>5635.25</v>
      </c>
      <c r="EZ222" s="67" t="s">
        <v>1798</v>
      </c>
      <c r="FA222" s="67">
        <v>19905</v>
      </c>
      <c r="FB222" s="67" t="s">
        <v>1799</v>
      </c>
      <c r="FC222" s="67" t="s">
        <v>1800</v>
      </c>
      <c r="FD222" s="67" t="s">
        <v>1801</v>
      </c>
      <c r="FE222" s="68" t="s">
        <v>1802</v>
      </c>
      <c r="FF222" s="68" t="s">
        <v>1803</v>
      </c>
    </row>
    <row r="223" spans="151:162" x14ac:dyDescent="0.2">
      <c r="EU223" s="67">
        <v>562.12</v>
      </c>
      <c r="EV223" s="67" t="s">
        <v>1804</v>
      </c>
      <c r="EW223" s="67">
        <v>484.55</v>
      </c>
      <c r="EX223" s="67" t="s">
        <v>1805</v>
      </c>
      <c r="EY223" s="67">
        <v>5634.75</v>
      </c>
      <c r="EZ223" s="67" t="s">
        <v>1806</v>
      </c>
      <c r="FA223" s="67">
        <v>19903.25</v>
      </c>
      <c r="FB223" s="67" t="s">
        <v>1807</v>
      </c>
      <c r="FC223" s="67" t="s">
        <v>1808</v>
      </c>
      <c r="FD223" s="67" t="s">
        <v>1809</v>
      </c>
      <c r="FE223" s="68" t="s">
        <v>1810</v>
      </c>
      <c r="FF223" s="68" t="s">
        <v>1811</v>
      </c>
    </row>
    <row r="224" spans="151:162" x14ac:dyDescent="0.2">
      <c r="EU224" s="67">
        <v>562.01</v>
      </c>
      <c r="EV224" s="67" t="s">
        <v>1812</v>
      </c>
      <c r="EW224" s="67">
        <v>484.45</v>
      </c>
      <c r="EX224" s="67" t="s">
        <v>1813</v>
      </c>
      <c r="EY224" s="67">
        <v>5634.25</v>
      </c>
      <c r="EZ224" s="67" t="s">
        <v>1814</v>
      </c>
      <c r="FA224" s="67">
        <v>19900.25</v>
      </c>
      <c r="FB224" s="67" t="s">
        <v>1815</v>
      </c>
      <c r="FC224" s="67" t="s">
        <v>1816</v>
      </c>
      <c r="FD224" s="67" t="s">
        <v>1817</v>
      </c>
      <c r="FE224" s="68" t="s">
        <v>1818</v>
      </c>
      <c r="FF224" s="68" t="s">
        <v>1819</v>
      </c>
    </row>
    <row r="225" spans="151:162" x14ac:dyDescent="0.2">
      <c r="EU225" s="67">
        <v>562.04</v>
      </c>
      <c r="EV225" s="67" t="s">
        <v>1820</v>
      </c>
      <c r="EW225" s="67">
        <v>484.47</v>
      </c>
      <c r="EX225" s="67" t="s">
        <v>1821</v>
      </c>
      <c r="EY225" s="67">
        <v>5634</v>
      </c>
      <c r="EZ225" s="67" t="s">
        <v>1822</v>
      </c>
      <c r="FA225" s="67">
        <v>19901.5</v>
      </c>
      <c r="FB225" s="67" t="s">
        <v>1823</v>
      </c>
      <c r="FC225" s="67" t="s">
        <v>1824</v>
      </c>
      <c r="FD225" s="67" t="s">
        <v>1825</v>
      </c>
      <c r="FE225" s="68" t="s">
        <v>1826</v>
      </c>
      <c r="FF225" s="68" t="s">
        <v>1827</v>
      </c>
    </row>
    <row r="226" spans="151:162" x14ac:dyDescent="0.2">
      <c r="EU226" s="67">
        <v>562.1</v>
      </c>
      <c r="EV226" s="67" t="s">
        <v>1828</v>
      </c>
      <c r="EW226" s="67">
        <v>484.54</v>
      </c>
      <c r="EX226" s="67" t="s">
        <v>1829</v>
      </c>
      <c r="EY226" s="67">
        <v>5634.75</v>
      </c>
      <c r="EZ226" s="67" t="s">
        <v>1830</v>
      </c>
      <c r="FA226" s="67">
        <v>19903.25</v>
      </c>
      <c r="FB226" s="67" t="s">
        <v>1831</v>
      </c>
      <c r="FC226" s="67" t="s">
        <v>1832</v>
      </c>
      <c r="FD226" s="67" t="s">
        <v>1833</v>
      </c>
      <c r="FE226" s="68" t="s">
        <v>1834</v>
      </c>
      <c r="FF226" s="68" t="s">
        <v>1835</v>
      </c>
    </row>
    <row r="227" spans="151:162" x14ac:dyDescent="0.2">
      <c r="EU227" s="67">
        <v>562.07000000000005</v>
      </c>
      <c r="EV227" s="67" t="s">
        <v>1836</v>
      </c>
      <c r="EW227" s="67">
        <v>484.51</v>
      </c>
      <c r="EX227" s="67" t="s">
        <v>1837</v>
      </c>
      <c r="EY227" s="67">
        <v>5634.5</v>
      </c>
      <c r="EZ227" s="67" t="s">
        <v>1838</v>
      </c>
      <c r="FA227" s="67">
        <v>19902</v>
      </c>
      <c r="FB227" s="67" t="s">
        <v>1839</v>
      </c>
      <c r="FC227" s="67" t="s">
        <v>1840</v>
      </c>
      <c r="FD227" s="67" t="s">
        <v>1841</v>
      </c>
      <c r="FE227" s="68" t="s">
        <v>1842</v>
      </c>
      <c r="FF227" s="68" t="s">
        <v>1843</v>
      </c>
    </row>
    <row r="228" spans="151:162" x14ac:dyDescent="0.2">
      <c r="EU228" s="67">
        <v>562.03</v>
      </c>
      <c r="EV228" s="67" t="s">
        <v>1844</v>
      </c>
      <c r="EW228" s="67">
        <v>484.44</v>
      </c>
      <c r="EX228" s="67" t="s">
        <v>1845</v>
      </c>
      <c r="EY228" s="67">
        <v>5634</v>
      </c>
      <c r="EZ228" s="67" t="s">
        <v>1846</v>
      </c>
      <c r="FA228" s="67">
        <v>19898.75</v>
      </c>
      <c r="FB228" s="67" t="s">
        <v>1847</v>
      </c>
      <c r="FC228" s="67" t="s">
        <v>1848</v>
      </c>
      <c r="FD228" s="67" t="s">
        <v>1849</v>
      </c>
      <c r="FE228" s="68" t="s">
        <v>1850</v>
      </c>
      <c r="FF228" s="68" t="s">
        <v>1851</v>
      </c>
    </row>
    <row r="229" spans="151:162" x14ac:dyDescent="0.2">
      <c r="EU229" s="67">
        <v>561.98</v>
      </c>
      <c r="EV229" s="67" t="s">
        <v>1852</v>
      </c>
      <c r="EW229" s="67">
        <v>484.39</v>
      </c>
      <c r="EX229" s="67" t="s">
        <v>1853</v>
      </c>
      <c r="EY229" s="67">
        <v>5633.5</v>
      </c>
      <c r="EZ229" s="67" t="s">
        <v>1854</v>
      </c>
      <c r="FA229" s="67">
        <v>19897.25</v>
      </c>
      <c r="FB229" s="67" t="s">
        <v>1855</v>
      </c>
      <c r="FC229" s="67" t="s">
        <v>1856</v>
      </c>
      <c r="FD229" s="67" t="s">
        <v>1857</v>
      </c>
      <c r="FE229" s="68" t="s">
        <v>1858</v>
      </c>
      <c r="FF229" s="68" t="s">
        <v>1859</v>
      </c>
    </row>
    <row r="230" spans="151:162" x14ac:dyDescent="0.2">
      <c r="EU230" s="67">
        <v>561.99</v>
      </c>
      <c r="EV230" s="67" t="s">
        <v>1860</v>
      </c>
      <c r="EW230" s="67">
        <v>484.41</v>
      </c>
      <c r="EX230" s="67" t="s">
        <v>1861</v>
      </c>
      <c r="EY230" s="67">
        <v>5633.5</v>
      </c>
      <c r="EZ230" s="67" t="s">
        <v>1862</v>
      </c>
      <c r="FA230" s="67">
        <v>19897.5</v>
      </c>
      <c r="FB230" s="67" t="s">
        <v>1863</v>
      </c>
      <c r="FC230" s="67" t="s">
        <v>1864</v>
      </c>
      <c r="FD230" s="67" t="s">
        <v>1865</v>
      </c>
      <c r="FE230" s="68" t="s">
        <v>1866</v>
      </c>
      <c r="FF230" s="68" t="s">
        <v>1867</v>
      </c>
    </row>
    <row r="231" spans="151:162" x14ac:dyDescent="0.2">
      <c r="EU231" s="67">
        <v>561.97</v>
      </c>
      <c r="EV231" s="67" t="s">
        <v>1868</v>
      </c>
      <c r="EW231" s="67">
        <v>484.37</v>
      </c>
      <c r="EX231" s="67" t="s">
        <v>1869</v>
      </c>
      <c r="EY231" s="67">
        <v>5633.25</v>
      </c>
      <c r="EZ231" s="67" t="s">
        <v>1870</v>
      </c>
      <c r="FA231" s="67">
        <v>19895.5</v>
      </c>
      <c r="FB231" s="67" t="s">
        <v>1871</v>
      </c>
      <c r="FC231" s="67" t="s">
        <v>1872</v>
      </c>
      <c r="FD231" s="67" t="s">
        <v>1873</v>
      </c>
      <c r="FE231" s="68" t="s">
        <v>1874</v>
      </c>
      <c r="FF231" s="68" t="s">
        <v>1875</v>
      </c>
    </row>
    <row r="232" spans="151:162" x14ac:dyDescent="0.2">
      <c r="EU232" s="67">
        <v>561.9</v>
      </c>
      <c r="EV232" s="67" t="s">
        <v>1876</v>
      </c>
      <c r="EW232" s="67">
        <v>484.37</v>
      </c>
      <c r="EX232" s="67" t="s">
        <v>1877</v>
      </c>
      <c r="EY232" s="67">
        <v>5632.75</v>
      </c>
      <c r="EZ232" s="67" t="s">
        <v>1878</v>
      </c>
      <c r="FA232" s="67">
        <v>19894.5</v>
      </c>
      <c r="FB232" s="67" t="s">
        <v>1879</v>
      </c>
      <c r="FC232" s="67" t="s">
        <v>1880</v>
      </c>
      <c r="FD232" s="67" t="s">
        <v>1881</v>
      </c>
      <c r="FE232" s="68" t="s">
        <v>1882</v>
      </c>
      <c r="FF232" s="68" t="s">
        <v>1883</v>
      </c>
    </row>
    <row r="233" spans="151:162" x14ac:dyDescent="0.2">
      <c r="EU233" s="67">
        <v>561.85</v>
      </c>
      <c r="EV233" s="67" t="s">
        <v>1884</v>
      </c>
      <c r="EW233" s="67">
        <v>484.37</v>
      </c>
      <c r="EX233" s="67" t="s">
        <v>1885</v>
      </c>
      <c r="EY233" s="67">
        <v>5632.25</v>
      </c>
      <c r="EZ233" s="67" t="s">
        <v>1886</v>
      </c>
      <c r="FA233" s="67">
        <v>19892.25</v>
      </c>
      <c r="FB233" s="67" t="s">
        <v>1887</v>
      </c>
      <c r="FC233" s="67" t="s">
        <v>1888</v>
      </c>
      <c r="FD233" s="67" t="s">
        <v>1889</v>
      </c>
      <c r="FE233" s="68" t="s">
        <v>1890</v>
      </c>
      <c r="FF233" s="68" t="s">
        <v>1891</v>
      </c>
    </row>
    <row r="234" spans="151:162" x14ac:dyDescent="0.2">
      <c r="EU234" s="67">
        <v>561.67999999999995</v>
      </c>
      <c r="EV234" s="67" t="s">
        <v>1892</v>
      </c>
      <c r="EW234" s="67">
        <v>484.09</v>
      </c>
      <c r="EX234" s="67" t="s">
        <v>1893</v>
      </c>
      <c r="EY234" s="67">
        <v>5630.5</v>
      </c>
      <c r="EZ234" s="67" t="s">
        <v>1894</v>
      </c>
      <c r="FA234" s="67">
        <v>19884.5</v>
      </c>
      <c r="FB234" s="67" t="s">
        <v>1895</v>
      </c>
      <c r="FC234" s="67" t="s">
        <v>1896</v>
      </c>
      <c r="FD234" s="67" t="s">
        <v>1897</v>
      </c>
      <c r="FE234" s="68" t="s">
        <v>1898</v>
      </c>
      <c r="FF234" s="68" t="s">
        <v>1899</v>
      </c>
    </row>
    <row r="235" spans="151:162" x14ac:dyDescent="0.2">
      <c r="EU235" s="67">
        <v>561.77</v>
      </c>
      <c r="EV235" s="67" t="s">
        <v>1900</v>
      </c>
      <c r="EW235" s="67">
        <v>484.16</v>
      </c>
      <c r="EX235" s="67" t="s">
        <v>1901</v>
      </c>
      <c r="EY235" s="67">
        <v>5631.25</v>
      </c>
      <c r="EZ235" s="67" t="s">
        <v>1902</v>
      </c>
      <c r="FA235" s="67">
        <v>19887.25</v>
      </c>
      <c r="FB235" s="67" t="s">
        <v>1903</v>
      </c>
      <c r="FC235" s="67" t="s">
        <v>1904</v>
      </c>
      <c r="FD235" s="67" t="s">
        <v>1905</v>
      </c>
      <c r="FE235" s="68" t="s">
        <v>1906</v>
      </c>
      <c r="FF235" s="68" t="s">
        <v>1907</v>
      </c>
    </row>
    <row r="236" spans="151:162" x14ac:dyDescent="0.2">
      <c r="EU236" s="67">
        <v>561.80999999999995</v>
      </c>
      <c r="EV236" s="67" t="s">
        <v>1908</v>
      </c>
      <c r="EW236" s="67">
        <v>484.22</v>
      </c>
      <c r="EX236" s="67" t="s">
        <v>1909</v>
      </c>
      <c r="EY236" s="67">
        <v>5631.75</v>
      </c>
      <c r="EZ236" s="67" t="s">
        <v>1910</v>
      </c>
      <c r="FA236" s="67">
        <v>19890.25</v>
      </c>
      <c r="FB236" s="67" t="s">
        <v>1911</v>
      </c>
      <c r="FC236" s="67" t="s">
        <v>1912</v>
      </c>
      <c r="FD236" s="67" t="s">
        <v>1913</v>
      </c>
      <c r="FE236" s="68" t="s">
        <v>1914</v>
      </c>
      <c r="FF236" s="68" t="s">
        <v>1915</v>
      </c>
    </row>
    <row r="237" spans="151:162" x14ac:dyDescent="0.2">
      <c r="EU237" s="67">
        <v>561.88</v>
      </c>
      <c r="EV237" s="67" t="s">
        <v>1916</v>
      </c>
      <c r="EW237" s="67">
        <v>484.27</v>
      </c>
      <c r="EX237" s="67" t="s">
        <v>1917</v>
      </c>
      <c r="EY237" s="67">
        <v>5632.75</v>
      </c>
      <c r="EZ237" s="67" t="s">
        <v>1918</v>
      </c>
      <c r="FA237" s="67">
        <v>19892.25</v>
      </c>
      <c r="FB237" s="67" t="s">
        <v>1919</v>
      </c>
      <c r="FC237" s="67" t="s">
        <v>1920</v>
      </c>
      <c r="FD237" s="67" t="s">
        <v>1921</v>
      </c>
      <c r="FE237" s="68" t="s">
        <v>1922</v>
      </c>
      <c r="FF237" s="68" t="s">
        <v>1923</v>
      </c>
    </row>
    <row r="238" spans="151:162" x14ac:dyDescent="0.2">
      <c r="EU238" s="67">
        <v>562.05999999999995</v>
      </c>
      <c r="EV238" s="67" t="s">
        <v>1924</v>
      </c>
      <c r="EW238" s="67">
        <v>484.44</v>
      </c>
      <c r="EX238" s="67" t="s">
        <v>1925</v>
      </c>
      <c r="EY238" s="67">
        <v>5634.75</v>
      </c>
      <c r="EZ238" s="67" t="s">
        <v>1926</v>
      </c>
      <c r="FA238" s="67">
        <v>19903</v>
      </c>
      <c r="FB238" s="67" t="s">
        <v>1927</v>
      </c>
      <c r="FC238" s="67" t="s">
        <v>1928</v>
      </c>
      <c r="FD238" s="67" t="s">
        <v>1929</v>
      </c>
      <c r="FE238" s="68" t="s">
        <v>1930</v>
      </c>
      <c r="FF238" s="68" t="s">
        <v>1931</v>
      </c>
    </row>
    <row r="239" spans="151:162" x14ac:dyDescent="0.2">
      <c r="EU239" s="67">
        <v>562</v>
      </c>
      <c r="EV239" s="67" t="s">
        <v>1932</v>
      </c>
      <c r="EW239" s="67">
        <v>484.5</v>
      </c>
      <c r="EX239" s="67" t="s">
        <v>1933</v>
      </c>
      <c r="EY239" s="67">
        <v>5634</v>
      </c>
      <c r="EZ239" s="67" t="s">
        <v>1934</v>
      </c>
      <c r="FA239" s="67">
        <v>19901</v>
      </c>
      <c r="FB239" s="67" t="s">
        <v>1935</v>
      </c>
      <c r="FC239" s="67" t="s">
        <v>1936</v>
      </c>
      <c r="FD239" s="67" t="s">
        <v>1937</v>
      </c>
      <c r="FE239" s="68" t="s">
        <v>1938</v>
      </c>
      <c r="FF239" s="68" t="s">
        <v>1939</v>
      </c>
    </row>
    <row r="240" spans="151:162" x14ac:dyDescent="0.2">
      <c r="EU240" s="67">
        <v>562.09</v>
      </c>
      <c r="EV240" s="67" t="s">
        <v>1940</v>
      </c>
      <c r="EW240" s="67">
        <v>484.56</v>
      </c>
      <c r="EX240" s="67" t="s">
        <v>1941</v>
      </c>
      <c r="EY240" s="67">
        <v>5634.75</v>
      </c>
      <c r="EZ240" s="67" t="s">
        <v>1942</v>
      </c>
      <c r="FA240" s="67">
        <v>19905</v>
      </c>
      <c r="FB240" s="67" t="s">
        <v>1943</v>
      </c>
      <c r="FC240" s="67" t="s">
        <v>1944</v>
      </c>
      <c r="FD240" s="67" t="s">
        <v>1945</v>
      </c>
      <c r="FE240" s="68" t="s">
        <v>1946</v>
      </c>
      <c r="FF240" s="68" t="s">
        <v>1947</v>
      </c>
    </row>
    <row r="241" spans="151:162" x14ac:dyDescent="0.2">
      <c r="EU241" s="67">
        <v>562.16</v>
      </c>
      <c r="EV241" s="67" t="s">
        <v>1948</v>
      </c>
      <c r="EW241" s="67">
        <v>484.67</v>
      </c>
      <c r="EX241" s="67" t="s">
        <v>1949</v>
      </c>
      <c r="EY241" s="67">
        <v>5635.5</v>
      </c>
      <c r="EZ241" s="67" t="s">
        <v>1950</v>
      </c>
      <c r="FA241" s="67">
        <v>19908.75</v>
      </c>
      <c r="FB241" s="67" t="s">
        <v>1951</v>
      </c>
      <c r="FC241" s="67" t="s">
        <v>1952</v>
      </c>
      <c r="FD241" s="67" t="s">
        <v>1953</v>
      </c>
      <c r="FE241" s="68" t="s">
        <v>1954</v>
      </c>
      <c r="FF241" s="68" t="s">
        <v>1955</v>
      </c>
    </row>
    <row r="242" spans="151:162" x14ac:dyDescent="0.2">
      <c r="EU242" s="67">
        <v>562.1</v>
      </c>
      <c r="EV242" s="67" t="s">
        <v>1956</v>
      </c>
      <c r="EW242" s="67">
        <v>484.58</v>
      </c>
      <c r="EX242" s="67" t="s">
        <v>1957</v>
      </c>
      <c r="EY242" s="67">
        <v>5635</v>
      </c>
      <c r="EZ242" s="67" t="s">
        <v>1958</v>
      </c>
      <c r="FA242" s="67">
        <v>19906.25</v>
      </c>
      <c r="FB242" s="67" t="s">
        <v>1959</v>
      </c>
      <c r="FC242" s="67" t="s">
        <v>1960</v>
      </c>
      <c r="FD242" s="67" t="s">
        <v>1961</v>
      </c>
      <c r="FE242" s="68" t="s">
        <v>1962</v>
      </c>
      <c r="FF242" s="68" t="s">
        <v>1963</v>
      </c>
    </row>
    <row r="243" spans="151:162" x14ac:dyDescent="0.2">
      <c r="EU243" s="67">
        <v>561.89</v>
      </c>
      <c r="EV243" s="67" t="s">
        <v>1964</v>
      </c>
      <c r="EW243" s="67">
        <v>484.36</v>
      </c>
      <c r="EX243" s="67" t="s">
        <v>1965</v>
      </c>
      <c r="EY243" s="67">
        <v>5633</v>
      </c>
      <c r="EZ243" s="67" t="s">
        <v>1966</v>
      </c>
      <c r="FA243" s="67">
        <v>19895.75</v>
      </c>
      <c r="FB243" s="67" t="s">
        <v>1967</v>
      </c>
      <c r="FC243" s="67" t="s">
        <v>1968</v>
      </c>
      <c r="FD243" s="67" t="s">
        <v>1969</v>
      </c>
      <c r="FE243" s="68" t="s">
        <v>1970</v>
      </c>
      <c r="FF243" s="68" t="s">
        <v>1971</v>
      </c>
    </row>
    <row r="244" spans="151:162" x14ac:dyDescent="0.2">
      <c r="EU244" s="67">
        <v>561.80999999999995</v>
      </c>
      <c r="EV244" s="67" t="s">
        <v>1972</v>
      </c>
      <c r="EW244" s="67">
        <v>484.28</v>
      </c>
      <c r="EX244" s="67" t="s">
        <v>1973</v>
      </c>
      <c r="EY244" s="67">
        <v>5632.25</v>
      </c>
      <c r="EZ244" s="67" t="s">
        <v>1974</v>
      </c>
      <c r="FA244" s="67">
        <v>19892.5</v>
      </c>
      <c r="FB244" s="67" t="s">
        <v>1975</v>
      </c>
      <c r="FC244" s="67" t="s">
        <v>1976</v>
      </c>
      <c r="FD244" s="67" t="s">
        <v>1977</v>
      </c>
      <c r="FE244" s="68" t="s">
        <v>1978</v>
      </c>
      <c r="FF244" s="68" t="s">
        <v>1979</v>
      </c>
    </row>
    <row r="245" spans="151:162" x14ac:dyDescent="0.2">
      <c r="EU245" s="67">
        <v>561.67999999999995</v>
      </c>
      <c r="EV245" s="67" t="s">
        <v>1980</v>
      </c>
      <c r="EW245" s="67">
        <v>484.2</v>
      </c>
      <c r="EX245" s="67" t="s">
        <v>1981</v>
      </c>
      <c r="EY245" s="67">
        <v>5630.25</v>
      </c>
      <c r="EZ245" s="67" t="s">
        <v>1982</v>
      </c>
      <c r="FA245" s="67">
        <v>19886</v>
      </c>
      <c r="FB245" s="67" t="s">
        <v>1983</v>
      </c>
      <c r="FC245" s="67" t="s">
        <v>1984</v>
      </c>
      <c r="FD245" s="67" t="s">
        <v>1985</v>
      </c>
      <c r="FE245" s="68" t="s">
        <v>1986</v>
      </c>
      <c r="FF245" s="68" t="s">
        <v>1987</v>
      </c>
    </row>
    <row r="246" spans="151:162" x14ac:dyDescent="0.2">
      <c r="EU246" s="67">
        <v>561.71</v>
      </c>
      <c r="EV246" s="67" t="s">
        <v>1988</v>
      </c>
      <c r="EW246" s="67">
        <v>484.2</v>
      </c>
      <c r="EX246" s="67" t="s">
        <v>1989</v>
      </c>
      <c r="EY246" s="67">
        <v>5630.75</v>
      </c>
      <c r="EZ246" s="67" t="s">
        <v>1990</v>
      </c>
      <c r="FA246" s="67">
        <v>19888.25</v>
      </c>
      <c r="FB246" s="67" t="s">
        <v>1991</v>
      </c>
      <c r="FC246" s="67" t="s">
        <v>1992</v>
      </c>
      <c r="FD246" s="67" t="s">
        <v>1993</v>
      </c>
      <c r="FE246" s="68" t="s">
        <v>1994</v>
      </c>
      <c r="FF246" s="68" t="s">
        <v>1995</v>
      </c>
    </row>
    <row r="247" spans="151:162" x14ac:dyDescent="0.2">
      <c r="EU247" s="67">
        <v>561.67999999999995</v>
      </c>
      <c r="EV247" s="67" t="s">
        <v>1996</v>
      </c>
      <c r="EW247" s="67">
        <v>484.2</v>
      </c>
      <c r="EX247" s="67" t="s">
        <v>1997</v>
      </c>
      <c r="EY247" s="67">
        <v>5630.5</v>
      </c>
      <c r="EZ247" s="67" t="s">
        <v>1998</v>
      </c>
      <c r="FA247" s="67">
        <v>19885.5</v>
      </c>
      <c r="FB247" s="67" t="s">
        <v>1999</v>
      </c>
      <c r="FC247" s="67" t="s">
        <v>2000</v>
      </c>
      <c r="FD247" s="67" t="s">
        <v>2001</v>
      </c>
      <c r="FE247" s="68" t="s">
        <v>2002</v>
      </c>
      <c r="FF247" s="68" t="s">
        <v>2003</v>
      </c>
    </row>
    <row r="248" spans="151:162" x14ac:dyDescent="0.2">
      <c r="EU248" s="67">
        <v>561.55999999999995</v>
      </c>
      <c r="EV248" s="67" t="s">
        <v>2004</v>
      </c>
      <c r="EW248" s="67">
        <v>484.02</v>
      </c>
      <c r="EX248" s="67" t="s">
        <v>2005</v>
      </c>
      <c r="EY248" s="67">
        <v>5629.75</v>
      </c>
      <c r="EZ248" s="67" t="s">
        <v>2006</v>
      </c>
      <c r="FA248" s="67">
        <v>19882</v>
      </c>
      <c r="FB248" s="67" t="s">
        <v>2007</v>
      </c>
      <c r="FC248" s="67" t="s">
        <v>2008</v>
      </c>
      <c r="FD248" s="67" t="s">
        <v>2009</v>
      </c>
      <c r="FE248" s="68" t="s">
        <v>2010</v>
      </c>
      <c r="FF248" s="68" t="s">
        <v>2011</v>
      </c>
    </row>
    <row r="249" spans="151:162" x14ac:dyDescent="0.2">
      <c r="EU249" s="67">
        <v>561.55999999999995</v>
      </c>
      <c r="EV249" s="67" t="s">
        <v>2012</v>
      </c>
      <c r="EW249" s="67">
        <v>484</v>
      </c>
      <c r="EX249" s="67" t="s">
        <v>2013</v>
      </c>
      <c r="EY249" s="67">
        <v>5629.25</v>
      </c>
      <c r="EZ249" s="67" t="s">
        <v>2014</v>
      </c>
      <c r="FA249" s="67">
        <v>19880</v>
      </c>
      <c r="FB249" s="67" t="s">
        <v>2015</v>
      </c>
      <c r="FC249" s="67" t="s">
        <v>2016</v>
      </c>
      <c r="FD249" s="67" t="s">
        <v>2017</v>
      </c>
      <c r="FE249" s="68" t="s">
        <v>2018</v>
      </c>
      <c r="FF249" s="68" t="s">
        <v>2019</v>
      </c>
    </row>
    <row r="250" spans="151:162" x14ac:dyDescent="0.2">
      <c r="EU250" s="67">
        <v>561.5</v>
      </c>
      <c r="EV250" s="67" t="s">
        <v>2020</v>
      </c>
      <c r="EW250" s="67">
        <v>483.91</v>
      </c>
      <c r="EX250" s="67" t="s">
        <v>2021</v>
      </c>
      <c r="EY250" s="67">
        <v>5628.75</v>
      </c>
      <c r="EZ250" s="67" t="s">
        <v>2022</v>
      </c>
      <c r="FA250" s="67">
        <v>19876.75</v>
      </c>
      <c r="FB250" s="67" t="s">
        <v>2023</v>
      </c>
      <c r="FC250" s="67" t="s">
        <v>2024</v>
      </c>
      <c r="FD250" s="67" t="s">
        <v>2025</v>
      </c>
      <c r="FE250" s="68" t="s">
        <v>2026</v>
      </c>
      <c r="FF250" s="68" t="s">
        <v>2027</v>
      </c>
    </row>
    <row r="251" spans="151:162" x14ac:dyDescent="0.2">
      <c r="EU251" s="67">
        <v>561.54</v>
      </c>
      <c r="EV251" s="67" t="s">
        <v>2028</v>
      </c>
      <c r="EW251" s="67">
        <v>483.88</v>
      </c>
      <c r="EX251" s="67" t="s">
        <v>2029</v>
      </c>
      <c r="EY251" s="67">
        <v>5628.5</v>
      </c>
      <c r="EZ251" s="67" t="s">
        <v>2030</v>
      </c>
      <c r="FA251" s="67">
        <v>19874.75</v>
      </c>
      <c r="FB251" s="67" t="s">
        <v>2031</v>
      </c>
      <c r="FC251" s="67" t="s">
        <v>2032</v>
      </c>
      <c r="FD251" s="67" t="s">
        <v>2033</v>
      </c>
      <c r="FE251" s="68" t="s">
        <v>2034</v>
      </c>
      <c r="FF251" s="68" t="s">
        <v>2035</v>
      </c>
    </row>
    <row r="252" spans="151:162" x14ac:dyDescent="0.2">
      <c r="EU252" s="67">
        <v>561.55999999999995</v>
      </c>
      <c r="EV252" s="67" t="s">
        <v>2036</v>
      </c>
      <c r="EW252" s="67">
        <v>483.92</v>
      </c>
      <c r="EX252" s="67" t="s">
        <v>2037</v>
      </c>
      <c r="EY252" s="67">
        <v>5629</v>
      </c>
      <c r="EZ252" s="67" t="s">
        <v>2038</v>
      </c>
      <c r="FA252" s="67">
        <v>19877</v>
      </c>
      <c r="FB252" s="67" t="s">
        <v>2039</v>
      </c>
      <c r="FC252" s="67" t="s">
        <v>2040</v>
      </c>
      <c r="FD252" s="67" t="s">
        <v>2041</v>
      </c>
      <c r="FE252" s="68" t="s">
        <v>2042</v>
      </c>
      <c r="FF252" s="68" t="s">
        <v>2043</v>
      </c>
    </row>
    <row r="253" spans="151:162" x14ac:dyDescent="0.2">
      <c r="EU253" s="67">
        <v>561.55999999999995</v>
      </c>
      <c r="EV253" s="67" t="s">
        <v>2044</v>
      </c>
      <c r="EW253" s="67">
        <v>483.84</v>
      </c>
      <c r="EX253" s="67" t="s">
        <v>2045</v>
      </c>
      <c r="EY253" s="67">
        <v>5627.75</v>
      </c>
      <c r="EZ253" s="67" t="s">
        <v>2046</v>
      </c>
      <c r="FA253" s="67">
        <v>19873.75</v>
      </c>
      <c r="FB253" s="67" t="s">
        <v>2047</v>
      </c>
      <c r="FC253" s="67" t="s">
        <v>2048</v>
      </c>
      <c r="FD253" s="67" t="s">
        <v>2049</v>
      </c>
      <c r="FE253" s="68" t="s">
        <v>2050</v>
      </c>
      <c r="FF253" s="68" t="s">
        <v>2051</v>
      </c>
    </row>
    <row r="254" spans="151:162" x14ac:dyDescent="0.2">
      <c r="EU254" s="67">
        <v>561.55999999999995</v>
      </c>
      <c r="EV254" s="67" t="s">
        <v>2052</v>
      </c>
      <c r="EW254" s="67">
        <v>483.99</v>
      </c>
      <c r="EX254" s="67" t="s">
        <v>2053</v>
      </c>
      <c r="EY254" s="67">
        <v>5629.25</v>
      </c>
      <c r="EZ254" s="67" t="s">
        <v>2054</v>
      </c>
      <c r="FA254" s="67">
        <v>19880</v>
      </c>
      <c r="FB254" s="67" t="s">
        <v>2055</v>
      </c>
      <c r="FC254" s="67" t="s">
        <v>2056</v>
      </c>
      <c r="FD254" s="67" t="s">
        <v>2057</v>
      </c>
      <c r="FE254" s="68" t="s">
        <v>2058</v>
      </c>
      <c r="FF254" s="68" t="s">
        <v>2059</v>
      </c>
    </row>
    <row r="255" spans="151:162" x14ac:dyDescent="0.2">
      <c r="EU255" s="67">
        <v>561.55999999999995</v>
      </c>
      <c r="EV255" s="67" t="s">
        <v>2060</v>
      </c>
      <c r="EW255" s="67">
        <v>483.97</v>
      </c>
      <c r="EX255" s="67" t="s">
        <v>2061</v>
      </c>
      <c r="EY255" s="67">
        <v>5629.25</v>
      </c>
      <c r="EZ255" s="67" t="s">
        <v>2062</v>
      </c>
      <c r="FA255" s="67">
        <v>19880</v>
      </c>
      <c r="FB255" s="67" t="s">
        <v>2063</v>
      </c>
      <c r="FC255" s="67" t="s">
        <v>2064</v>
      </c>
      <c r="FD255" s="67" t="s">
        <v>2065</v>
      </c>
      <c r="FE255" s="68" t="s">
        <v>2066</v>
      </c>
      <c r="FF255" s="68" t="s">
        <v>2067</v>
      </c>
    </row>
    <row r="256" spans="151:162" x14ac:dyDescent="0.2">
      <c r="EU256" s="67">
        <v>561.55999999999995</v>
      </c>
      <c r="EV256" s="67" t="s">
        <v>2068</v>
      </c>
      <c r="EW256" s="67">
        <v>483.91</v>
      </c>
      <c r="EX256" s="67" t="s">
        <v>2069</v>
      </c>
      <c r="EY256" s="67">
        <v>5628</v>
      </c>
      <c r="EZ256" s="67" t="s">
        <v>2070</v>
      </c>
      <c r="FA256" s="67">
        <v>19875.25</v>
      </c>
      <c r="FB256" s="67" t="s">
        <v>2071</v>
      </c>
      <c r="FC256" s="67" t="s">
        <v>2072</v>
      </c>
      <c r="FD256" s="67" t="s">
        <v>2073</v>
      </c>
      <c r="FE256" s="68" t="s">
        <v>2074</v>
      </c>
      <c r="FF256" s="68" t="s">
        <v>2075</v>
      </c>
    </row>
    <row r="257" spans="151:162" x14ac:dyDescent="0.2">
      <c r="EU257" s="67">
        <v>561.51</v>
      </c>
      <c r="EV257" s="67" t="s">
        <v>2076</v>
      </c>
      <c r="EW257" s="67">
        <v>483.96</v>
      </c>
      <c r="EX257" s="67" t="s">
        <v>2077</v>
      </c>
      <c r="EY257" s="67">
        <v>5628.75</v>
      </c>
      <c r="EZ257" s="67" t="s">
        <v>2078</v>
      </c>
      <c r="FA257" s="67">
        <v>19879.25</v>
      </c>
      <c r="FB257" s="67" t="s">
        <v>2079</v>
      </c>
      <c r="FC257" s="67" t="s">
        <v>2080</v>
      </c>
      <c r="FD257" s="67" t="s">
        <v>2081</v>
      </c>
      <c r="FE257" s="68" t="s">
        <v>2082</v>
      </c>
      <c r="FF257" s="68" t="s">
        <v>2083</v>
      </c>
    </row>
    <row r="258" spans="151:162" x14ac:dyDescent="0.2">
      <c r="EU258" s="67">
        <v>561.59</v>
      </c>
      <c r="EV258" s="67" t="s">
        <v>2084</v>
      </c>
      <c r="EW258" s="67">
        <v>484.09</v>
      </c>
      <c r="EX258" s="67" t="s">
        <v>2085</v>
      </c>
      <c r="EY258" s="67">
        <v>5629.75</v>
      </c>
      <c r="EZ258" s="67" t="s">
        <v>2086</v>
      </c>
      <c r="FA258" s="67">
        <v>19884.25</v>
      </c>
      <c r="FB258" s="67" t="s">
        <v>2087</v>
      </c>
      <c r="FC258" s="67" t="s">
        <v>2088</v>
      </c>
      <c r="FD258" s="67" t="s">
        <v>2089</v>
      </c>
      <c r="FE258" s="68" t="s">
        <v>2090</v>
      </c>
      <c r="FF258" s="68" t="s">
        <v>2091</v>
      </c>
    </row>
    <row r="259" spans="151:162" x14ac:dyDescent="0.2">
      <c r="EU259" s="67">
        <v>561.58000000000004</v>
      </c>
      <c r="EV259" s="67" t="s">
        <v>2092</v>
      </c>
      <c r="EW259" s="67">
        <v>484.08</v>
      </c>
      <c r="EX259" s="67" t="s">
        <v>2093</v>
      </c>
      <c r="EY259" s="67">
        <v>5629.75</v>
      </c>
      <c r="EZ259" s="67" t="s">
        <v>2094</v>
      </c>
      <c r="FA259" s="67">
        <v>19883.75</v>
      </c>
      <c r="FB259" s="67" t="s">
        <v>2095</v>
      </c>
      <c r="FC259" s="67" t="s">
        <v>2096</v>
      </c>
      <c r="FD259" s="67" t="s">
        <v>2097</v>
      </c>
      <c r="FE259" s="68" t="s">
        <v>2098</v>
      </c>
      <c r="FF259" s="68" t="s">
        <v>2099</v>
      </c>
    </row>
    <row r="260" spans="151:162" x14ac:dyDescent="0.2">
      <c r="EU260" s="67">
        <v>561.54</v>
      </c>
      <c r="EV260" s="67" t="s">
        <v>2100</v>
      </c>
      <c r="EW260" s="67">
        <v>483.98</v>
      </c>
      <c r="EX260" s="67" t="s">
        <v>2101</v>
      </c>
      <c r="EY260" s="67">
        <v>5629</v>
      </c>
      <c r="EZ260" s="67" t="s">
        <v>2102</v>
      </c>
      <c r="FA260" s="67">
        <v>19879.75</v>
      </c>
      <c r="FB260" s="67" t="s">
        <v>2103</v>
      </c>
      <c r="FC260" s="67" t="s">
        <v>2104</v>
      </c>
      <c r="FD260" s="67" t="s">
        <v>2105</v>
      </c>
      <c r="FE260" s="68" t="s">
        <v>2106</v>
      </c>
      <c r="FF260" s="68" t="s">
        <v>2107</v>
      </c>
    </row>
    <row r="261" spans="151:162" x14ac:dyDescent="0.2">
      <c r="EU261" s="67">
        <v>561.54999999999995</v>
      </c>
      <c r="EV261" s="67" t="s">
        <v>2108</v>
      </c>
      <c r="EW261" s="67">
        <v>484.04</v>
      </c>
      <c r="EX261" s="67" t="s">
        <v>2109</v>
      </c>
      <c r="EY261" s="67">
        <v>5629</v>
      </c>
      <c r="EZ261" s="67" t="s">
        <v>2110</v>
      </c>
      <c r="FA261" s="67">
        <v>19882.25</v>
      </c>
      <c r="FB261" s="67" t="s">
        <v>2111</v>
      </c>
      <c r="FC261" s="67" t="s">
        <v>2112</v>
      </c>
      <c r="FD261" s="67" t="s">
        <v>2113</v>
      </c>
      <c r="FE261" s="68" t="s">
        <v>2114</v>
      </c>
      <c r="FF261" s="68" t="s">
        <v>2115</v>
      </c>
    </row>
    <row r="262" spans="151:162" x14ac:dyDescent="0.2">
      <c r="EU262" s="67">
        <v>561.55999999999995</v>
      </c>
      <c r="EV262" s="67" t="s">
        <v>2116</v>
      </c>
      <c r="EW262" s="67">
        <v>484.03</v>
      </c>
      <c r="EX262" s="67" t="s">
        <v>2117</v>
      </c>
      <c r="EY262" s="67">
        <v>5629.25</v>
      </c>
      <c r="EZ262" s="67" t="s">
        <v>2118</v>
      </c>
      <c r="FA262" s="67">
        <v>19882</v>
      </c>
      <c r="FB262" s="67" t="s">
        <v>2119</v>
      </c>
      <c r="FC262" s="67" t="s">
        <v>2120</v>
      </c>
      <c r="FD262" s="67" t="s">
        <v>2121</v>
      </c>
      <c r="FE262" s="68" t="s">
        <v>2122</v>
      </c>
      <c r="FF262" s="68" t="s">
        <v>2123</v>
      </c>
    </row>
    <row r="263" spans="151:162" x14ac:dyDescent="0.2">
      <c r="EU263" s="67">
        <v>561.5</v>
      </c>
      <c r="EV263" s="67" t="s">
        <v>2124</v>
      </c>
      <c r="EW263" s="67">
        <v>484.03</v>
      </c>
      <c r="EX263" s="67" t="s">
        <v>2125</v>
      </c>
      <c r="EY263" s="67">
        <v>5628.75</v>
      </c>
      <c r="EZ263" s="67" t="s">
        <v>2126</v>
      </c>
      <c r="FA263" s="67">
        <v>19880</v>
      </c>
      <c r="FB263" s="67" t="s">
        <v>2127</v>
      </c>
      <c r="FC263" s="67" t="s">
        <v>2128</v>
      </c>
      <c r="FD263" s="67" t="s">
        <v>2129</v>
      </c>
      <c r="FE263" s="68" t="s">
        <v>2130</v>
      </c>
      <c r="FF263" s="68" t="s">
        <v>2131</v>
      </c>
    </row>
    <row r="264" spans="151:162" x14ac:dyDescent="0.2">
      <c r="EU264" s="67">
        <v>561.54</v>
      </c>
      <c r="EV264" s="67" t="s">
        <v>2132</v>
      </c>
      <c r="EW264" s="67">
        <v>484.03</v>
      </c>
      <c r="EX264" s="67" t="s">
        <v>2133</v>
      </c>
      <c r="EY264" s="67">
        <v>5628.75</v>
      </c>
      <c r="EZ264" s="67" t="s">
        <v>2134</v>
      </c>
      <c r="FA264" s="67">
        <v>19881.25</v>
      </c>
      <c r="FB264" s="67" t="s">
        <v>2135</v>
      </c>
      <c r="FC264" s="67" t="s">
        <v>2136</v>
      </c>
      <c r="FD264" s="67" t="s">
        <v>2137</v>
      </c>
      <c r="FE264" s="68" t="s">
        <v>2138</v>
      </c>
      <c r="FF264" s="68" t="s">
        <v>2139</v>
      </c>
    </row>
    <row r="265" spans="151:162" x14ac:dyDescent="0.2">
      <c r="EU265" s="67">
        <v>561.53</v>
      </c>
      <c r="EV265" s="67" t="s">
        <v>2140</v>
      </c>
      <c r="EW265" s="67">
        <v>484.03</v>
      </c>
      <c r="EX265" s="67" t="s">
        <v>2141</v>
      </c>
      <c r="EY265" s="67">
        <v>5629.25</v>
      </c>
      <c r="EZ265" s="67" t="s">
        <v>2142</v>
      </c>
      <c r="FA265" s="67">
        <v>19880.75</v>
      </c>
      <c r="FB265" s="67" t="s">
        <v>2143</v>
      </c>
      <c r="FC265" s="67" t="s">
        <v>2144</v>
      </c>
      <c r="FD265" s="67" t="s">
        <v>2145</v>
      </c>
      <c r="FE265" s="68" t="s">
        <v>2146</v>
      </c>
      <c r="FF265" s="68" t="s">
        <v>2147</v>
      </c>
    </row>
    <row r="266" spans="151:162" x14ac:dyDescent="0.2">
      <c r="EU266" s="67">
        <v>561.49</v>
      </c>
      <c r="EV266" s="67" t="s">
        <v>2148</v>
      </c>
      <c r="EW266" s="67">
        <v>483.95</v>
      </c>
      <c r="EX266" s="67" t="s">
        <v>2149</v>
      </c>
      <c r="EY266" s="67">
        <v>5628.5</v>
      </c>
      <c r="EZ266" s="67" t="s">
        <v>2150</v>
      </c>
      <c r="FA266" s="67">
        <v>19879.5</v>
      </c>
      <c r="FB266" s="67" t="s">
        <v>2151</v>
      </c>
      <c r="FC266" s="67" t="s">
        <v>2152</v>
      </c>
      <c r="FD266" s="67" t="s">
        <v>2153</v>
      </c>
      <c r="FE266" s="68" t="s">
        <v>2154</v>
      </c>
      <c r="FF266" s="68" t="s">
        <v>2155</v>
      </c>
    </row>
    <row r="267" spans="151:162" x14ac:dyDescent="0.2">
      <c r="EU267" s="67">
        <v>561.41</v>
      </c>
      <c r="EV267" s="67" t="s">
        <v>2156</v>
      </c>
      <c r="EW267" s="67">
        <v>483.78</v>
      </c>
      <c r="EX267" s="67" t="s">
        <v>2157</v>
      </c>
      <c r="EY267" s="67">
        <v>5627.25</v>
      </c>
      <c r="EZ267" s="67" t="s">
        <v>2158</v>
      </c>
      <c r="FA267" s="67">
        <v>19875</v>
      </c>
      <c r="FB267" s="67" t="s">
        <v>2159</v>
      </c>
      <c r="FC267" s="67" t="s">
        <v>2160</v>
      </c>
      <c r="FD267" s="67" t="s">
        <v>2161</v>
      </c>
      <c r="FE267" s="68" t="s">
        <v>2162</v>
      </c>
      <c r="FF267" s="68" t="s">
        <v>2163</v>
      </c>
    </row>
    <row r="268" spans="151:162" x14ac:dyDescent="0.2">
      <c r="EU268" s="67">
        <v>561.46</v>
      </c>
      <c r="EV268" s="67" t="s">
        <v>2164</v>
      </c>
      <c r="EW268" s="67">
        <v>483.91</v>
      </c>
      <c r="EX268" s="67" t="s">
        <v>2165</v>
      </c>
      <c r="EY268" s="67">
        <v>5628</v>
      </c>
      <c r="EZ268" s="67" t="s">
        <v>2166</v>
      </c>
      <c r="FA268" s="67">
        <v>19878.25</v>
      </c>
      <c r="FB268" s="67" t="s">
        <v>2167</v>
      </c>
      <c r="FC268" s="67" t="s">
        <v>2168</v>
      </c>
      <c r="FD268" s="67" t="s">
        <v>2169</v>
      </c>
      <c r="FE268" s="68" t="s">
        <v>2170</v>
      </c>
      <c r="FF268" s="68" t="s">
        <v>2171</v>
      </c>
    </row>
    <row r="269" spans="151:162" x14ac:dyDescent="0.2">
      <c r="EU269" s="67">
        <v>561.6</v>
      </c>
      <c r="EV269" s="67" t="s">
        <v>2172</v>
      </c>
      <c r="EW269" s="67">
        <v>484.07</v>
      </c>
      <c r="EX269" s="67" t="s">
        <v>2173</v>
      </c>
      <c r="EY269" s="67">
        <v>5629.75</v>
      </c>
      <c r="EZ269" s="67" t="s">
        <v>2174</v>
      </c>
      <c r="FA269" s="67">
        <v>19884.25</v>
      </c>
      <c r="FB269" s="67" t="s">
        <v>2175</v>
      </c>
      <c r="FC269" s="67" t="s">
        <v>2176</v>
      </c>
      <c r="FD269" s="67" t="s">
        <v>2177</v>
      </c>
      <c r="FE269" s="68" t="s">
        <v>2178</v>
      </c>
      <c r="FF269" s="68" t="s">
        <v>2179</v>
      </c>
    </row>
    <row r="270" spans="151:162" x14ac:dyDescent="0.2">
      <c r="EU270" s="67">
        <v>561.75</v>
      </c>
      <c r="EV270" s="67" t="s">
        <v>2180</v>
      </c>
      <c r="EW270" s="67">
        <v>484.2</v>
      </c>
      <c r="EX270" s="67" t="s">
        <v>2181</v>
      </c>
      <c r="EY270" s="67">
        <v>5631.25</v>
      </c>
      <c r="EZ270" s="67" t="s">
        <v>2182</v>
      </c>
      <c r="FA270" s="67">
        <v>19889.5</v>
      </c>
      <c r="FB270" s="67" t="s">
        <v>2183</v>
      </c>
      <c r="FC270" s="67" t="s">
        <v>2184</v>
      </c>
      <c r="FD270" s="67" t="s">
        <v>2185</v>
      </c>
      <c r="FE270" s="68" t="s">
        <v>2186</v>
      </c>
      <c r="FF270" s="68" t="s">
        <v>2187</v>
      </c>
    </row>
    <row r="271" spans="151:162" x14ac:dyDescent="0.2">
      <c r="EU271" s="67">
        <v>561.84</v>
      </c>
      <c r="EV271" s="67" t="s">
        <v>2188</v>
      </c>
      <c r="EW271" s="67">
        <v>484.35</v>
      </c>
      <c r="EX271" s="67" t="s">
        <v>2189</v>
      </c>
      <c r="EY271" s="67">
        <v>5632.25</v>
      </c>
      <c r="EZ271" s="67" t="s">
        <v>2190</v>
      </c>
      <c r="FA271" s="67">
        <v>19895.5</v>
      </c>
      <c r="FB271" s="67" t="s">
        <v>2191</v>
      </c>
      <c r="FC271" s="67" t="s">
        <v>2192</v>
      </c>
      <c r="FD271" s="67" t="s">
        <v>2193</v>
      </c>
      <c r="FE271" s="68" t="s">
        <v>2194</v>
      </c>
      <c r="FF271" s="68" t="s">
        <v>2195</v>
      </c>
    </row>
    <row r="272" spans="151:162" x14ac:dyDescent="0.2">
      <c r="EU272" s="67">
        <v>561.76</v>
      </c>
      <c r="EV272" s="67" t="s">
        <v>2196</v>
      </c>
      <c r="EW272" s="67">
        <v>484.26</v>
      </c>
      <c r="EX272" s="67" t="s">
        <v>2197</v>
      </c>
      <c r="EY272" s="67">
        <v>5631.25</v>
      </c>
      <c r="EZ272" s="67" t="s">
        <v>2198</v>
      </c>
      <c r="FA272" s="67">
        <v>19891.75</v>
      </c>
      <c r="FB272" s="67" t="s">
        <v>2199</v>
      </c>
      <c r="FC272" s="67" t="s">
        <v>2200</v>
      </c>
      <c r="FD272" s="67" t="s">
        <v>2201</v>
      </c>
      <c r="FE272" s="68" t="s">
        <v>2202</v>
      </c>
      <c r="FF272" s="68" t="s">
        <v>2203</v>
      </c>
    </row>
    <row r="273" spans="151:162" x14ac:dyDescent="0.2">
      <c r="EU273" s="67">
        <v>561.84</v>
      </c>
      <c r="EV273" s="67" t="s">
        <v>2204</v>
      </c>
      <c r="EW273" s="67">
        <v>484.37</v>
      </c>
      <c r="EX273" s="67" t="s">
        <v>2205</v>
      </c>
      <c r="EY273" s="67">
        <v>5632.25</v>
      </c>
      <c r="EZ273" s="67" t="s">
        <v>2206</v>
      </c>
      <c r="FA273" s="67">
        <v>19896.25</v>
      </c>
      <c r="FB273" s="67" t="s">
        <v>2207</v>
      </c>
      <c r="FC273" s="67" t="s">
        <v>2208</v>
      </c>
      <c r="FD273" s="67" t="s">
        <v>2209</v>
      </c>
      <c r="FE273" s="68" t="s">
        <v>2210</v>
      </c>
      <c r="FF273" s="68" t="s">
        <v>2211</v>
      </c>
    </row>
    <row r="274" spans="151:162" x14ac:dyDescent="0.2">
      <c r="EU274" s="67">
        <v>561.77</v>
      </c>
      <c r="EV274" s="67" t="s">
        <v>2212</v>
      </c>
      <c r="EW274" s="67">
        <v>484.25</v>
      </c>
      <c r="EX274" s="67" t="s">
        <v>2213</v>
      </c>
      <c r="EY274" s="67">
        <v>5631.5</v>
      </c>
      <c r="EZ274" s="67" t="s">
        <v>2214</v>
      </c>
      <c r="FA274" s="67">
        <v>19891.75</v>
      </c>
      <c r="FB274" s="67" t="s">
        <v>2215</v>
      </c>
      <c r="FC274" s="67" t="s">
        <v>2216</v>
      </c>
      <c r="FD274" s="67" t="s">
        <v>2217</v>
      </c>
      <c r="FE274" s="68" t="s">
        <v>2218</v>
      </c>
      <c r="FF274" s="68" t="s">
        <v>2219</v>
      </c>
    </row>
    <row r="275" spans="151:162" x14ac:dyDescent="0.2">
      <c r="EU275" s="67">
        <v>561.82000000000005</v>
      </c>
      <c r="EV275" s="67" t="s">
        <v>2220</v>
      </c>
      <c r="EW275" s="67">
        <v>484.31</v>
      </c>
      <c r="EX275" s="67" t="s">
        <v>2221</v>
      </c>
      <c r="EY275" s="67">
        <v>5632</v>
      </c>
      <c r="EZ275" s="67" t="s">
        <v>2222</v>
      </c>
      <c r="FA275" s="67">
        <v>19894.5</v>
      </c>
      <c r="FB275" s="67" t="s">
        <v>2223</v>
      </c>
      <c r="FC275" s="67" t="s">
        <v>2224</v>
      </c>
      <c r="FD275" s="67" t="s">
        <v>2225</v>
      </c>
      <c r="FE275" s="68" t="s">
        <v>2226</v>
      </c>
      <c r="FF275" s="68" t="s">
        <v>2227</v>
      </c>
    </row>
    <row r="276" spans="151:162" x14ac:dyDescent="0.2">
      <c r="EU276" s="67">
        <v>561.85</v>
      </c>
      <c r="EV276" s="67" t="s">
        <v>2228</v>
      </c>
      <c r="EW276" s="67">
        <v>484.4</v>
      </c>
      <c r="EX276" s="67" t="s">
        <v>2229</v>
      </c>
      <c r="EY276" s="67">
        <v>5632</v>
      </c>
      <c r="EZ276" s="67" t="s">
        <v>2230</v>
      </c>
      <c r="FA276" s="67">
        <v>19896.5</v>
      </c>
      <c r="FB276" s="67" t="s">
        <v>2231</v>
      </c>
      <c r="FC276" s="67" t="s">
        <v>2232</v>
      </c>
      <c r="FD276" s="67" t="s">
        <v>2233</v>
      </c>
      <c r="FE276" s="68" t="s">
        <v>2234</v>
      </c>
      <c r="FF276" s="68" t="s">
        <v>2235</v>
      </c>
    </row>
    <row r="277" spans="151:162" x14ac:dyDescent="0.2">
      <c r="EU277" s="67">
        <v>561.83000000000004</v>
      </c>
      <c r="EV277" s="67" t="s">
        <v>2236</v>
      </c>
      <c r="EW277" s="67">
        <v>484.4</v>
      </c>
      <c r="EX277" s="67" t="s">
        <v>2237</v>
      </c>
      <c r="EY277" s="67">
        <v>5631.75</v>
      </c>
      <c r="EZ277" s="67" t="s">
        <v>2238</v>
      </c>
      <c r="FA277" s="67">
        <v>19893.5</v>
      </c>
      <c r="FB277" s="67" t="s">
        <v>2239</v>
      </c>
      <c r="FC277" s="67" t="s">
        <v>2240</v>
      </c>
      <c r="FD277" s="67" t="s">
        <v>2241</v>
      </c>
      <c r="FE277" s="68" t="s">
        <v>2242</v>
      </c>
      <c r="FF277" s="68" t="s">
        <v>2243</v>
      </c>
    </row>
    <row r="278" spans="151:162" x14ac:dyDescent="0.2">
      <c r="EU278" s="67">
        <v>561.74</v>
      </c>
      <c r="EV278" s="67" t="s">
        <v>2244</v>
      </c>
      <c r="EW278" s="67">
        <v>484.27</v>
      </c>
      <c r="EX278" s="67" t="s">
        <v>2245</v>
      </c>
      <c r="EY278" s="67">
        <v>5631.25</v>
      </c>
      <c r="EZ278" s="67" t="s">
        <v>2246</v>
      </c>
      <c r="FA278" s="67">
        <v>19892.5</v>
      </c>
      <c r="FB278" s="67" t="s">
        <v>2247</v>
      </c>
      <c r="FC278" s="67" t="s">
        <v>2248</v>
      </c>
      <c r="FD278" s="67" t="s">
        <v>2249</v>
      </c>
      <c r="FE278" s="68" t="s">
        <v>2250</v>
      </c>
      <c r="FF278" s="68" t="s">
        <v>2251</v>
      </c>
    </row>
    <row r="279" spans="151:162" x14ac:dyDescent="0.2">
      <c r="EU279" s="67">
        <v>561.72</v>
      </c>
      <c r="EV279" s="67" t="s">
        <v>2252</v>
      </c>
      <c r="EW279" s="67">
        <v>484.27</v>
      </c>
      <c r="EX279" s="67" t="s">
        <v>2253</v>
      </c>
      <c r="EY279" s="67">
        <v>5631</v>
      </c>
      <c r="EZ279" s="67" t="s">
        <v>2254</v>
      </c>
      <c r="FA279" s="67">
        <v>19892</v>
      </c>
      <c r="FB279" s="67" t="s">
        <v>2255</v>
      </c>
      <c r="FC279" s="67" t="s">
        <v>2256</v>
      </c>
      <c r="FD279" s="67" t="s">
        <v>2257</v>
      </c>
      <c r="FE279" s="68" t="s">
        <v>2258</v>
      </c>
      <c r="FF279" s="68" t="s">
        <v>2259</v>
      </c>
    </row>
    <row r="280" spans="151:162" x14ac:dyDescent="0.2">
      <c r="EU280" s="67">
        <v>561.70000000000005</v>
      </c>
      <c r="EV280" s="67" t="s">
        <v>2260</v>
      </c>
      <c r="EW280" s="67">
        <v>484.24</v>
      </c>
      <c r="EX280" s="67" t="s">
        <v>2261</v>
      </c>
      <c r="EY280" s="67">
        <v>5630.75</v>
      </c>
      <c r="EZ280" s="67" t="s">
        <v>2262</v>
      </c>
      <c r="FA280" s="67">
        <v>19891.25</v>
      </c>
      <c r="FB280" s="67" t="s">
        <v>2263</v>
      </c>
      <c r="FC280" s="67" t="s">
        <v>2264</v>
      </c>
      <c r="FD280" s="67" t="s">
        <v>2265</v>
      </c>
      <c r="FE280" s="68" t="s">
        <v>2266</v>
      </c>
      <c r="FF280" s="68" t="s">
        <v>2267</v>
      </c>
    </row>
    <row r="281" spans="151:162" x14ac:dyDescent="0.2">
      <c r="EU281" s="67">
        <v>561.66</v>
      </c>
      <c r="EV281" s="67" t="s">
        <v>2268</v>
      </c>
      <c r="EW281" s="67">
        <v>484.21</v>
      </c>
      <c r="EX281" s="67" t="s">
        <v>2269</v>
      </c>
      <c r="EY281" s="67">
        <v>5630.25</v>
      </c>
      <c r="EZ281" s="67" t="s">
        <v>2270</v>
      </c>
      <c r="FA281" s="67">
        <v>19890.5</v>
      </c>
      <c r="FB281" s="67" t="s">
        <v>2271</v>
      </c>
      <c r="FC281" s="67" t="s">
        <v>2272</v>
      </c>
      <c r="FD281" s="67" t="s">
        <v>2273</v>
      </c>
      <c r="FE281" s="68" t="s">
        <v>2274</v>
      </c>
      <c r="FF281" s="68" t="s">
        <v>2275</v>
      </c>
    </row>
    <row r="282" spans="151:162" x14ac:dyDescent="0.2">
      <c r="EU282" s="67">
        <v>561.51</v>
      </c>
      <c r="EV282" s="67" t="s">
        <v>2276</v>
      </c>
      <c r="EW282" s="67">
        <v>484.1</v>
      </c>
      <c r="EX282" s="67" t="s">
        <v>2277</v>
      </c>
      <c r="EY282" s="67">
        <v>5629</v>
      </c>
      <c r="EZ282" s="67" t="s">
        <v>2278</v>
      </c>
      <c r="FA282" s="67">
        <v>19882.5</v>
      </c>
      <c r="FB282" s="67" t="s">
        <v>2279</v>
      </c>
      <c r="FC282" s="67" t="s">
        <v>2280</v>
      </c>
      <c r="FD282" s="67" t="s">
        <v>2281</v>
      </c>
      <c r="FE282" s="68" t="s">
        <v>2282</v>
      </c>
      <c r="FF282" s="68" t="s">
        <v>2283</v>
      </c>
    </row>
    <row r="283" spans="151:162" x14ac:dyDescent="0.2">
      <c r="EU283" s="67">
        <v>561.6</v>
      </c>
      <c r="EV283" s="67" t="s">
        <v>2284</v>
      </c>
      <c r="EW283" s="67">
        <v>484.13</v>
      </c>
      <c r="EX283" s="67" t="s">
        <v>2285</v>
      </c>
      <c r="EY283" s="67">
        <v>5630</v>
      </c>
      <c r="EZ283" s="67" t="s">
        <v>2286</v>
      </c>
      <c r="FA283" s="67">
        <v>19886</v>
      </c>
      <c r="FB283" s="67" t="s">
        <v>2287</v>
      </c>
      <c r="FC283" s="67" t="s">
        <v>2288</v>
      </c>
      <c r="FD283" s="67" t="s">
        <v>2289</v>
      </c>
      <c r="FE283" s="68" t="s">
        <v>2290</v>
      </c>
      <c r="FF283" s="68" t="s">
        <v>2291</v>
      </c>
    </row>
    <row r="284" spans="151:162" x14ac:dyDescent="0.2">
      <c r="EU284" s="67">
        <v>561.63</v>
      </c>
      <c r="EV284" s="67" t="s">
        <v>2292</v>
      </c>
      <c r="EW284" s="67">
        <v>484.15</v>
      </c>
      <c r="EX284" s="67" t="s">
        <v>2293</v>
      </c>
      <c r="EY284" s="67">
        <v>5630.25</v>
      </c>
      <c r="EZ284" s="67" t="s">
        <v>2294</v>
      </c>
      <c r="FA284" s="67">
        <v>19888</v>
      </c>
      <c r="FB284" s="67" t="s">
        <v>2295</v>
      </c>
      <c r="FC284" s="67" t="s">
        <v>2296</v>
      </c>
      <c r="FD284" s="67" t="s">
        <v>2297</v>
      </c>
      <c r="FE284" s="68" t="s">
        <v>2298</v>
      </c>
      <c r="FF284" s="68" t="s">
        <v>2299</v>
      </c>
    </row>
    <row r="285" spans="151:162" x14ac:dyDescent="0.2">
      <c r="EU285" s="67">
        <v>561.51</v>
      </c>
      <c r="EV285" s="67" t="s">
        <v>2300</v>
      </c>
      <c r="EW285" s="67">
        <v>484.1</v>
      </c>
      <c r="EX285" s="67" t="s">
        <v>2301</v>
      </c>
      <c r="EY285" s="67">
        <v>5628.75</v>
      </c>
      <c r="EZ285" s="67" t="s">
        <v>2302</v>
      </c>
      <c r="FA285" s="67">
        <v>19882.5</v>
      </c>
      <c r="FB285" s="67" t="s">
        <v>2303</v>
      </c>
      <c r="FC285" s="67" t="s">
        <v>2304</v>
      </c>
      <c r="FD285" s="67" t="s">
        <v>2305</v>
      </c>
      <c r="FE285" s="68" t="s">
        <v>2306</v>
      </c>
      <c r="FF285" s="68" t="s">
        <v>2307</v>
      </c>
    </row>
    <row r="286" spans="151:162" x14ac:dyDescent="0.2">
      <c r="EU286" s="67">
        <v>561.44000000000005</v>
      </c>
      <c r="EV286" s="67" t="s">
        <v>2308</v>
      </c>
      <c r="EW286" s="67">
        <v>484.01</v>
      </c>
      <c r="EX286" s="67" t="s">
        <v>2309</v>
      </c>
      <c r="EY286" s="67">
        <v>5628</v>
      </c>
      <c r="EZ286" s="67" t="s">
        <v>2310</v>
      </c>
      <c r="FA286" s="67">
        <v>19880.75</v>
      </c>
      <c r="FB286" s="67" t="s">
        <v>2311</v>
      </c>
      <c r="FC286" s="67" t="s">
        <v>2312</v>
      </c>
      <c r="FD286" s="67" t="s">
        <v>2313</v>
      </c>
      <c r="FE286" s="68" t="s">
        <v>2314</v>
      </c>
      <c r="FF286" s="68" t="s">
        <v>2315</v>
      </c>
    </row>
    <row r="287" spans="151:162" x14ac:dyDescent="0.2">
      <c r="EU287" s="67">
        <v>561.34</v>
      </c>
      <c r="EV287" s="67" t="s">
        <v>2316</v>
      </c>
      <c r="EW287" s="67">
        <v>483.9</v>
      </c>
      <c r="EX287" s="67" t="s">
        <v>2317</v>
      </c>
      <c r="EY287" s="67">
        <v>5627.25</v>
      </c>
      <c r="EZ287" s="67" t="s">
        <v>2318</v>
      </c>
      <c r="FA287" s="67">
        <v>19876.5</v>
      </c>
      <c r="FB287" s="67" t="s">
        <v>2319</v>
      </c>
      <c r="FC287" s="67" t="s">
        <v>2320</v>
      </c>
      <c r="FD287" s="67" t="s">
        <v>2321</v>
      </c>
      <c r="FE287" s="68" t="s">
        <v>2322</v>
      </c>
      <c r="FF287" s="68" t="s">
        <v>2323</v>
      </c>
    </row>
    <row r="288" spans="151:162" x14ac:dyDescent="0.2">
      <c r="EU288" s="67">
        <v>561.30999999999995</v>
      </c>
      <c r="EV288" s="67" t="s">
        <v>2324</v>
      </c>
      <c r="EW288" s="67">
        <v>483.87</v>
      </c>
      <c r="EX288" s="67" t="s">
        <v>2325</v>
      </c>
      <c r="EY288" s="67">
        <v>5627</v>
      </c>
      <c r="EZ288" s="67" t="s">
        <v>2326</v>
      </c>
      <c r="FA288" s="67">
        <v>19875.5</v>
      </c>
      <c r="FB288" s="67" t="s">
        <v>2327</v>
      </c>
      <c r="FC288" s="67" t="s">
        <v>2328</v>
      </c>
      <c r="FD288" s="67" t="s">
        <v>2329</v>
      </c>
      <c r="FE288" s="68" t="s">
        <v>2330</v>
      </c>
      <c r="FF288" s="68" t="s">
        <v>2331</v>
      </c>
    </row>
    <row r="289" spans="151:162" x14ac:dyDescent="0.2">
      <c r="EU289" s="67">
        <v>561.21</v>
      </c>
      <c r="EV289" s="67" t="s">
        <v>2332</v>
      </c>
      <c r="EW289" s="67">
        <v>483.83</v>
      </c>
      <c r="EX289" s="67" t="s">
        <v>2333</v>
      </c>
      <c r="EY289" s="67">
        <v>5626</v>
      </c>
      <c r="EZ289" s="67" t="s">
        <v>2334</v>
      </c>
      <c r="FA289" s="67">
        <v>19873</v>
      </c>
      <c r="FB289" s="67" t="s">
        <v>2335</v>
      </c>
      <c r="FC289" s="67" t="s">
        <v>2336</v>
      </c>
      <c r="FD289" s="67" t="s">
        <v>2337</v>
      </c>
      <c r="FE289" s="68" t="s">
        <v>2338</v>
      </c>
      <c r="FF289" s="68" t="s">
        <v>2339</v>
      </c>
    </row>
    <row r="290" spans="151:162" x14ac:dyDescent="0.2">
      <c r="EU290" s="67">
        <v>561.08000000000004</v>
      </c>
      <c r="EV290" s="67" t="s">
        <v>2340</v>
      </c>
      <c r="EW290" s="67">
        <v>483.62</v>
      </c>
      <c r="EX290" s="67" t="s">
        <v>2341</v>
      </c>
      <c r="EY290" s="67">
        <v>5624.25</v>
      </c>
      <c r="EZ290" s="67" t="s">
        <v>2342</v>
      </c>
      <c r="FA290" s="67">
        <v>19866</v>
      </c>
      <c r="FB290" s="67" t="s">
        <v>2343</v>
      </c>
      <c r="FC290" s="67" t="s">
        <v>2344</v>
      </c>
      <c r="FD290" s="67" t="s">
        <v>2345</v>
      </c>
      <c r="FE290" s="68" t="s">
        <v>2346</v>
      </c>
      <c r="FF290" s="68" t="s">
        <v>2347</v>
      </c>
    </row>
    <row r="291" spans="151:162" x14ac:dyDescent="0.2">
      <c r="EU291" s="67">
        <v>561.23</v>
      </c>
      <c r="EV291" s="67" t="s">
        <v>2348</v>
      </c>
      <c r="EW291" s="67">
        <v>483.73</v>
      </c>
      <c r="EX291" s="67" t="s">
        <v>2349</v>
      </c>
      <c r="EY291" s="67">
        <v>5625.5</v>
      </c>
      <c r="EZ291" s="67" t="s">
        <v>2350</v>
      </c>
      <c r="FA291" s="67">
        <v>19872.25</v>
      </c>
      <c r="FB291" s="67" t="s">
        <v>2351</v>
      </c>
      <c r="FC291" s="67" t="s">
        <v>2352</v>
      </c>
      <c r="FD291" s="67" t="s">
        <v>2353</v>
      </c>
      <c r="FE291" s="68" t="s">
        <v>2354</v>
      </c>
      <c r="FF291" s="68" t="s">
        <v>2355</v>
      </c>
    </row>
    <row r="292" spans="151:162" x14ac:dyDescent="0.2">
      <c r="EU292" s="67">
        <v>561.15</v>
      </c>
      <c r="EV292" s="67" t="s">
        <v>2356</v>
      </c>
      <c r="EW292" s="67">
        <v>483.75</v>
      </c>
      <c r="EX292" s="67" t="s">
        <v>2357</v>
      </c>
      <c r="EY292" s="67">
        <v>5625.25</v>
      </c>
      <c r="EZ292" s="67" t="s">
        <v>2358</v>
      </c>
      <c r="FA292" s="67">
        <v>19870</v>
      </c>
      <c r="FB292" s="67" t="s">
        <v>2359</v>
      </c>
      <c r="FC292" s="67" t="s">
        <v>2360</v>
      </c>
      <c r="FD292" s="67" t="s">
        <v>2361</v>
      </c>
      <c r="FE292" s="68" t="s">
        <v>2362</v>
      </c>
      <c r="FF292" s="68" t="s">
        <v>2363</v>
      </c>
    </row>
    <row r="293" spans="151:162" x14ac:dyDescent="0.2">
      <c r="EU293" s="67">
        <v>561.13</v>
      </c>
      <c r="EV293" s="67" t="s">
        <v>2364</v>
      </c>
      <c r="EW293" s="67">
        <v>483.77</v>
      </c>
      <c r="EX293" s="67" t="s">
        <v>2365</v>
      </c>
      <c r="EY293" s="67">
        <v>5625</v>
      </c>
      <c r="EZ293" s="67" t="s">
        <v>2366</v>
      </c>
      <c r="FA293" s="67">
        <v>19868.5</v>
      </c>
      <c r="FB293" s="67" t="s">
        <v>2367</v>
      </c>
      <c r="FC293" s="67" t="s">
        <v>2368</v>
      </c>
      <c r="FD293" s="67" t="s">
        <v>2369</v>
      </c>
      <c r="FE293" s="68" t="s">
        <v>2370</v>
      </c>
      <c r="FF293" s="68" t="s">
        <v>2371</v>
      </c>
    </row>
    <row r="294" spans="151:162" x14ac:dyDescent="0.2">
      <c r="EU294" s="67">
        <v>561</v>
      </c>
      <c r="EV294" s="67" t="s">
        <v>2372</v>
      </c>
      <c r="EW294" s="67">
        <v>483.4</v>
      </c>
      <c r="EX294" s="67" t="s">
        <v>2373</v>
      </c>
      <c r="EY294" s="67">
        <v>5622.75</v>
      </c>
      <c r="EZ294" s="67" t="s">
        <v>2374</v>
      </c>
      <c r="FA294" s="67">
        <v>19856</v>
      </c>
      <c r="FB294" s="67" t="s">
        <v>2375</v>
      </c>
      <c r="FC294" s="67" t="s">
        <v>2376</v>
      </c>
      <c r="FD294" s="67" t="s">
        <v>2377</v>
      </c>
      <c r="FE294" s="68" t="s">
        <v>2378</v>
      </c>
      <c r="FF294" s="68" t="s">
        <v>2379</v>
      </c>
    </row>
    <row r="295" spans="151:162" x14ac:dyDescent="0.2">
      <c r="EU295" s="67">
        <v>561</v>
      </c>
      <c r="EV295" s="67" t="s">
        <v>2380</v>
      </c>
      <c r="EW295" s="67">
        <v>483.4</v>
      </c>
      <c r="EX295" s="67" t="s">
        <v>2381</v>
      </c>
      <c r="EY295" s="67">
        <v>5622.75</v>
      </c>
      <c r="EZ295" s="67" t="s">
        <v>2382</v>
      </c>
      <c r="FA295" s="67">
        <v>19856.75</v>
      </c>
      <c r="FB295" s="67" t="s">
        <v>2383</v>
      </c>
      <c r="FC295" s="67" t="s">
        <v>2384</v>
      </c>
      <c r="FD295" s="67" t="s">
        <v>2385</v>
      </c>
      <c r="FE295" s="68" t="s">
        <v>2386</v>
      </c>
      <c r="FF295" s="68" t="s">
        <v>2387</v>
      </c>
    </row>
    <row r="296" spans="151:162" x14ac:dyDescent="0.2">
      <c r="EU296" s="67">
        <v>560.97</v>
      </c>
      <c r="EV296" s="67" t="s">
        <v>2388</v>
      </c>
      <c r="EW296" s="67">
        <v>483.47</v>
      </c>
      <c r="EX296" s="67" t="s">
        <v>2389</v>
      </c>
      <c r="EY296" s="67">
        <v>5623.5</v>
      </c>
      <c r="EZ296" s="67" t="s">
        <v>2390</v>
      </c>
      <c r="FA296" s="67">
        <v>19859</v>
      </c>
      <c r="FB296" s="67" t="s">
        <v>2391</v>
      </c>
      <c r="FC296" s="67" t="s">
        <v>2392</v>
      </c>
      <c r="FD296" s="67" t="s">
        <v>2393</v>
      </c>
      <c r="FE296" s="68" t="s">
        <v>2394</v>
      </c>
      <c r="FF296" s="68" t="s">
        <v>2395</v>
      </c>
    </row>
    <row r="297" spans="151:162" x14ac:dyDescent="0.2">
      <c r="EU297" s="67">
        <v>560.89</v>
      </c>
      <c r="EV297" s="67" t="s">
        <v>2396</v>
      </c>
      <c r="EW297" s="67">
        <v>483.4</v>
      </c>
      <c r="EX297" s="67" t="s">
        <v>2397</v>
      </c>
      <c r="EY297" s="67">
        <v>5622.75</v>
      </c>
      <c r="EZ297" s="67" t="s">
        <v>2398</v>
      </c>
      <c r="FA297" s="67">
        <v>19856</v>
      </c>
      <c r="FB297" s="67" t="s">
        <v>2399</v>
      </c>
      <c r="FC297" s="67" t="s">
        <v>2400</v>
      </c>
      <c r="FD297" s="67" t="s">
        <v>2401</v>
      </c>
      <c r="FE297" s="68" t="s">
        <v>2402</v>
      </c>
      <c r="FF297" s="68" t="s">
        <v>2403</v>
      </c>
    </row>
    <row r="298" spans="151:162" x14ac:dyDescent="0.2">
      <c r="EU298" s="67">
        <v>561</v>
      </c>
      <c r="EV298" s="67" t="s">
        <v>2404</v>
      </c>
      <c r="EW298" s="67">
        <v>483.53</v>
      </c>
      <c r="EX298" s="67" t="s">
        <v>2405</v>
      </c>
      <c r="EY298" s="67">
        <v>5623.5</v>
      </c>
      <c r="EZ298" s="67" t="s">
        <v>2406</v>
      </c>
      <c r="FA298" s="67">
        <v>19861.75</v>
      </c>
      <c r="FB298" s="67" t="s">
        <v>2407</v>
      </c>
      <c r="FC298" s="67" t="s">
        <v>2408</v>
      </c>
      <c r="FD298" s="67" t="s">
        <v>2409</v>
      </c>
      <c r="FE298" s="68" t="s">
        <v>2410</v>
      </c>
      <c r="FF298" s="68" t="s">
        <v>2411</v>
      </c>
    </row>
    <row r="299" spans="151:162" x14ac:dyDescent="0.2">
      <c r="EU299" s="67">
        <v>560.97</v>
      </c>
      <c r="EV299" s="67" t="s">
        <v>2412</v>
      </c>
      <c r="EW299" s="67">
        <v>483.5</v>
      </c>
      <c r="EX299" s="67" t="s">
        <v>2413</v>
      </c>
      <c r="EY299" s="67">
        <v>5623</v>
      </c>
      <c r="EZ299" s="67" t="s">
        <v>2414</v>
      </c>
      <c r="FA299" s="67">
        <v>19859.25</v>
      </c>
      <c r="FB299" s="67" t="s">
        <v>2415</v>
      </c>
      <c r="FC299" s="67" t="s">
        <v>2416</v>
      </c>
      <c r="FD299" s="67" t="s">
        <v>2417</v>
      </c>
      <c r="FE299" s="68" t="s">
        <v>2418</v>
      </c>
      <c r="FF299" s="68" t="s">
        <v>2419</v>
      </c>
    </row>
    <row r="300" spans="151:162" x14ac:dyDescent="0.2">
      <c r="EU300" s="67">
        <v>560.96</v>
      </c>
      <c r="EV300" s="67" t="s">
        <v>2420</v>
      </c>
      <c r="EW300" s="67">
        <v>483.5</v>
      </c>
      <c r="EX300" s="67" t="s">
        <v>2421</v>
      </c>
      <c r="EY300" s="67">
        <v>5623.5</v>
      </c>
      <c r="EZ300" s="67" t="s">
        <v>2422</v>
      </c>
      <c r="FA300" s="67">
        <v>19859.5</v>
      </c>
      <c r="FB300" s="67" t="s">
        <v>2423</v>
      </c>
      <c r="FC300" s="67" t="s">
        <v>2424</v>
      </c>
      <c r="FD300" s="67" t="s">
        <v>2425</v>
      </c>
      <c r="FE300" s="68" t="s">
        <v>2426</v>
      </c>
      <c r="FF300" s="68" t="s">
        <v>2427</v>
      </c>
    </row>
    <row r="301" spans="151:162" x14ac:dyDescent="0.2">
      <c r="EU301" s="67">
        <v>560.96</v>
      </c>
      <c r="EV301" s="67" t="s">
        <v>2428</v>
      </c>
      <c r="EW301" s="67">
        <v>483.52</v>
      </c>
      <c r="EX301" s="67" t="s">
        <v>2429</v>
      </c>
      <c r="EY301" s="67">
        <v>5623.25</v>
      </c>
      <c r="EZ301" s="67" t="s">
        <v>2430</v>
      </c>
      <c r="FA301" s="67">
        <v>19860.25</v>
      </c>
      <c r="FB301" s="67" t="s">
        <v>2431</v>
      </c>
      <c r="FC301" s="67" t="s">
        <v>2432</v>
      </c>
      <c r="FD301" s="67" t="s">
        <v>2433</v>
      </c>
      <c r="FE301" s="68" t="s">
        <v>2434</v>
      </c>
      <c r="FF301" s="68" t="s">
        <v>2435</v>
      </c>
    </row>
    <row r="302" spans="151:162" x14ac:dyDescent="0.2">
      <c r="EU302" s="67">
        <v>560.96</v>
      </c>
      <c r="EV302" s="67" t="s">
        <v>2436</v>
      </c>
      <c r="EW302" s="67">
        <v>483.52</v>
      </c>
      <c r="EX302" s="67" t="s">
        <v>2437</v>
      </c>
      <c r="EY302" s="67">
        <v>5623.5</v>
      </c>
      <c r="EZ302" s="67" t="s">
        <v>2438</v>
      </c>
      <c r="FA302" s="67">
        <v>19861.25</v>
      </c>
      <c r="FB302" s="67" t="s">
        <v>2439</v>
      </c>
      <c r="FC302" s="67" t="s">
        <v>2440</v>
      </c>
      <c r="FD302" s="67" t="s">
        <v>2441</v>
      </c>
      <c r="FE302" s="68" t="s">
        <v>2442</v>
      </c>
      <c r="FF302" s="68" t="s">
        <v>2443</v>
      </c>
    </row>
    <row r="303" spans="151:162" x14ac:dyDescent="0.2">
      <c r="EU303" s="67">
        <v>560.99</v>
      </c>
      <c r="EV303" s="67" t="s">
        <v>2444</v>
      </c>
      <c r="EW303" s="67">
        <v>483.52</v>
      </c>
      <c r="EX303" s="67" t="s">
        <v>2445</v>
      </c>
      <c r="EY303" s="67">
        <v>5623.75</v>
      </c>
      <c r="EZ303" s="67" t="s">
        <v>2446</v>
      </c>
      <c r="FA303" s="67">
        <v>19861.75</v>
      </c>
      <c r="FB303" s="67" t="s">
        <v>2447</v>
      </c>
      <c r="FC303" s="67" t="s">
        <v>2448</v>
      </c>
      <c r="FD303" s="67" t="s">
        <v>2449</v>
      </c>
      <c r="FE303" s="68" t="s">
        <v>2450</v>
      </c>
      <c r="FF303" s="68" t="s">
        <v>2451</v>
      </c>
    </row>
    <row r="304" spans="151:162" x14ac:dyDescent="0.2">
      <c r="EU304" s="67">
        <v>560.91999999999996</v>
      </c>
      <c r="EV304" s="67" t="s">
        <v>2452</v>
      </c>
      <c r="EW304" s="67">
        <v>483.41</v>
      </c>
      <c r="EX304" s="67" t="s">
        <v>2453</v>
      </c>
      <c r="EY304" s="67">
        <v>5622.75</v>
      </c>
      <c r="EZ304" s="67" t="s">
        <v>2454</v>
      </c>
      <c r="FA304" s="67">
        <v>19857</v>
      </c>
      <c r="FB304" s="67" t="s">
        <v>2455</v>
      </c>
      <c r="FC304" s="67" t="s">
        <v>2456</v>
      </c>
      <c r="FD304" s="67" t="s">
        <v>2457</v>
      </c>
      <c r="FE304" s="68" t="s">
        <v>2458</v>
      </c>
      <c r="FF304" s="68" t="s">
        <v>2459</v>
      </c>
    </row>
    <row r="305" spans="151:162" x14ac:dyDescent="0.2">
      <c r="EU305" s="67">
        <v>561.07000000000005</v>
      </c>
      <c r="EV305" s="67" t="s">
        <v>2460</v>
      </c>
      <c r="EW305" s="67">
        <v>483.6</v>
      </c>
      <c r="EX305" s="67" t="s">
        <v>2461</v>
      </c>
      <c r="EY305" s="67">
        <v>5624.5</v>
      </c>
      <c r="EZ305" s="67" t="s">
        <v>2462</v>
      </c>
      <c r="FA305" s="67">
        <v>19866</v>
      </c>
      <c r="FB305" s="67" t="s">
        <v>2463</v>
      </c>
      <c r="FC305" s="67" t="s">
        <v>2464</v>
      </c>
      <c r="FD305" s="67" t="s">
        <v>2465</v>
      </c>
      <c r="FE305" s="68" t="s">
        <v>2466</v>
      </c>
      <c r="FF305" s="68" t="s">
        <v>2467</v>
      </c>
    </row>
    <row r="306" spans="151:162" x14ac:dyDescent="0.2">
      <c r="EU306" s="67">
        <v>561.08000000000004</v>
      </c>
      <c r="EV306" s="67" t="s">
        <v>2468</v>
      </c>
      <c r="EW306" s="67">
        <v>483.65</v>
      </c>
      <c r="EX306" s="67" t="s">
        <v>2469</v>
      </c>
      <c r="EY306" s="67">
        <v>5624.5</v>
      </c>
      <c r="EZ306" s="67" t="s">
        <v>2470</v>
      </c>
      <c r="FA306" s="67">
        <v>19866.5</v>
      </c>
      <c r="FB306" s="67" t="s">
        <v>2471</v>
      </c>
      <c r="FC306" s="67" t="s">
        <v>2472</v>
      </c>
      <c r="FD306" s="67" t="s">
        <v>2473</v>
      </c>
      <c r="FE306" s="68" t="s">
        <v>2474</v>
      </c>
      <c r="FF306" s="68" t="s">
        <v>2475</v>
      </c>
    </row>
    <row r="307" spans="151:162" x14ac:dyDescent="0.2">
      <c r="EU307" s="67">
        <v>561.15</v>
      </c>
      <c r="EV307" s="67" t="s">
        <v>2476</v>
      </c>
      <c r="EW307" s="67">
        <v>483.72</v>
      </c>
      <c r="EX307" s="67" t="s">
        <v>2477</v>
      </c>
      <c r="EY307" s="67">
        <v>5625.25</v>
      </c>
      <c r="EZ307" s="67" t="s">
        <v>2478</v>
      </c>
      <c r="FA307" s="67">
        <v>19869.75</v>
      </c>
      <c r="FB307" s="67" t="s">
        <v>2479</v>
      </c>
      <c r="FC307" s="67" t="s">
        <v>2480</v>
      </c>
      <c r="FD307" s="67" t="s">
        <v>2481</v>
      </c>
      <c r="FE307" s="68" t="s">
        <v>2482</v>
      </c>
      <c r="FF307" s="68" t="s">
        <v>2483</v>
      </c>
    </row>
    <row r="308" spans="151:162" x14ac:dyDescent="0.2">
      <c r="EU308" s="67">
        <v>561.20000000000005</v>
      </c>
      <c r="EV308" s="67" t="s">
        <v>2484</v>
      </c>
      <c r="EW308" s="67">
        <v>483.77</v>
      </c>
      <c r="EX308" s="67" t="s">
        <v>2485</v>
      </c>
      <c r="EY308" s="67">
        <v>5626</v>
      </c>
      <c r="EZ308" s="67" t="s">
        <v>2486</v>
      </c>
      <c r="FA308" s="67">
        <v>19871.25</v>
      </c>
      <c r="FB308" s="67" t="s">
        <v>2487</v>
      </c>
      <c r="FC308" s="67" t="s">
        <v>2488</v>
      </c>
      <c r="FD308" s="67" t="s">
        <v>2489</v>
      </c>
      <c r="FE308" s="68" t="s">
        <v>2490</v>
      </c>
      <c r="FF308" s="68" t="s">
        <v>2491</v>
      </c>
    </row>
    <row r="309" spans="151:162" x14ac:dyDescent="0.2">
      <c r="EU309" s="67">
        <v>561.12</v>
      </c>
      <c r="EV309" s="67" t="s">
        <v>2492</v>
      </c>
      <c r="EW309" s="67">
        <v>483.63</v>
      </c>
      <c r="EX309" s="67" t="s">
        <v>2493</v>
      </c>
      <c r="EY309" s="67">
        <v>5624.5</v>
      </c>
      <c r="EZ309" s="67" t="s">
        <v>2494</v>
      </c>
      <c r="FA309" s="67">
        <v>19867</v>
      </c>
      <c r="FB309" s="67" t="s">
        <v>2495</v>
      </c>
      <c r="FC309" s="67" t="s">
        <v>2496</v>
      </c>
      <c r="FD309" s="67" t="s">
        <v>2497</v>
      </c>
      <c r="FE309" s="68" t="s">
        <v>2498</v>
      </c>
      <c r="FF309" s="68" t="s">
        <v>2499</v>
      </c>
    </row>
    <row r="310" spans="151:162" x14ac:dyDescent="0.2">
      <c r="EU310" s="67">
        <v>561.22</v>
      </c>
      <c r="EV310" s="67" t="s">
        <v>2500</v>
      </c>
      <c r="EW310" s="67">
        <v>483.8</v>
      </c>
      <c r="EX310" s="67" t="s">
        <v>2501</v>
      </c>
      <c r="EY310" s="67">
        <v>5626.25</v>
      </c>
      <c r="EZ310" s="67" t="s">
        <v>2502</v>
      </c>
      <c r="FA310" s="67">
        <v>19872.75</v>
      </c>
      <c r="FB310" s="67" t="s">
        <v>2503</v>
      </c>
      <c r="FC310" s="67" t="s">
        <v>2504</v>
      </c>
      <c r="FD310" s="67" t="s">
        <v>2505</v>
      </c>
      <c r="FE310" s="68" t="s">
        <v>2506</v>
      </c>
      <c r="FF310" s="68" t="s">
        <v>2507</v>
      </c>
    </row>
    <row r="311" spans="151:162" x14ac:dyDescent="0.2">
      <c r="EU311" s="67">
        <v>561.16</v>
      </c>
      <c r="EV311" s="67" t="s">
        <v>2508</v>
      </c>
      <c r="EW311" s="67">
        <v>483.76</v>
      </c>
      <c r="EX311" s="67" t="s">
        <v>2509</v>
      </c>
      <c r="EY311" s="67">
        <v>5625.25</v>
      </c>
      <c r="EZ311" s="67" t="s">
        <v>2510</v>
      </c>
      <c r="FA311" s="67">
        <v>19871</v>
      </c>
      <c r="FB311" s="67" t="s">
        <v>2511</v>
      </c>
      <c r="FC311" s="67" t="s">
        <v>2512</v>
      </c>
      <c r="FD311" s="67" t="s">
        <v>2513</v>
      </c>
      <c r="FE311" s="68" t="s">
        <v>2514</v>
      </c>
      <c r="FF311" s="68" t="s">
        <v>2515</v>
      </c>
    </row>
    <row r="312" spans="151:162" x14ac:dyDescent="0.2">
      <c r="EU312" s="67">
        <v>561.08000000000004</v>
      </c>
      <c r="EV312" s="67" t="s">
        <v>2516</v>
      </c>
      <c r="EW312" s="67">
        <v>483.7</v>
      </c>
      <c r="EX312" s="67" t="s">
        <v>2517</v>
      </c>
      <c r="EY312" s="67">
        <v>5625</v>
      </c>
      <c r="EZ312" s="67" t="s">
        <v>2518</v>
      </c>
      <c r="FA312" s="67">
        <v>19869.25</v>
      </c>
      <c r="FB312" s="67" t="s">
        <v>2519</v>
      </c>
      <c r="FC312" s="67" t="s">
        <v>2520</v>
      </c>
      <c r="FD312" s="67" t="s">
        <v>2521</v>
      </c>
      <c r="FE312" s="68" t="s">
        <v>2522</v>
      </c>
      <c r="FF312" s="68" t="s">
        <v>2523</v>
      </c>
    </row>
    <row r="313" spans="151:162" x14ac:dyDescent="0.2">
      <c r="EU313" s="67">
        <v>561.11</v>
      </c>
      <c r="EV313" s="67" t="s">
        <v>2524</v>
      </c>
      <c r="EW313" s="67">
        <v>483.72</v>
      </c>
      <c r="EX313" s="67" t="s">
        <v>2525</v>
      </c>
      <c r="EY313" s="67">
        <v>5625</v>
      </c>
      <c r="EZ313" s="67" t="s">
        <v>2526</v>
      </c>
      <c r="FA313" s="67">
        <v>19869.75</v>
      </c>
      <c r="FB313" s="67" t="s">
        <v>2527</v>
      </c>
      <c r="FC313" s="67" t="s">
        <v>2528</v>
      </c>
      <c r="FD313" s="67" t="s">
        <v>2529</v>
      </c>
      <c r="FE313" s="68" t="s">
        <v>2530</v>
      </c>
      <c r="FF313" s="68" t="s">
        <v>2531</v>
      </c>
    </row>
    <row r="314" spans="151:162" x14ac:dyDescent="0.2">
      <c r="EU314" s="67">
        <v>561.30999999999995</v>
      </c>
      <c r="EV314" s="67" t="s">
        <v>2532</v>
      </c>
      <c r="EW314" s="67">
        <v>483.9</v>
      </c>
      <c r="EX314" s="67" t="s">
        <v>2533</v>
      </c>
      <c r="EY314" s="67">
        <v>5626.75</v>
      </c>
      <c r="EZ314" s="67" t="s">
        <v>2534</v>
      </c>
      <c r="FA314" s="67">
        <v>19877</v>
      </c>
      <c r="FB314" s="67" t="s">
        <v>2535</v>
      </c>
      <c r="FC314" s="67" t="s">
        <v>2536</v>
      </c>
      <c r="FD314" s="67" t="s">
        <v>2537</v>
      </c>
      <c r="FE314" s="68" t="s">
        <v>2538</v>
      </c>
      <c r="FF314" s="68" t="s">
        <v>2539</v>
      </c>
    </row>
    <row r="315" spans="151:162" x14ac:dyDescent="0.2">
      <c r="EU315" s="67">
        <v>561.34</v>
      </c>
      <c r="EV315" s="67" t="s">
        <v>2540</v>
      </c>
      <c r="EW315" s="67">
        <v>483.94</v>
      </c>
      <c r="EX315" s="67" t="s">
        <v>2541</v>
      </c>
      <c r="EY315" s="67">
        <v>5627.5</v>
      </c>
      <c r="EZ315" s="67" t="s">
        <v>2542</v>
      </c>
      <c r="FA315" s="67">
        <v>19879.25</v>
      </c>
      <c r="FB315" s="67" t="s">
        <v>2543</v>
      </c>
      <c r="FC315" s="67" t="s">
        <v>2544</v>
      </c>
      <c r="FD315" s="67" t="s">
        <v>2545</v>
      </c>
      <c r="FE315" s="68" t="s">
        <v>2546</v>
      </c>
      <c r="FF315" s="68" t="s">
        <v>2547</v>
      </c>
    </row>
    <row r="316" spans="151:162" x14ac:dyDescent="0.2">
      <c r="EU316" s="67">
        <v>561.30999999999995</v>
      </c>
      <c r="EV316" s="67" t="s">
        <v>2548</v>
      </c>
      <c r="EW316" s="67">
        <v>483.96</v>
      </c>
      <c r="EX316" s="67" t="s">
        <v>2549</v>
      </c>
      <c r="EY316" s="67">
        <v>5627</v>
      </c>
      <c r="EZ316" s="67" t="s">
        <v>2550</v>
      </c>
      <c r="FA316" s="67">
        <v>19879</v>
      </c>
      <c r="FB316" s="67" t="s">
        <v>2551</v>
      </c>
      <c r="FC316" s="67" t="s">
        <v>2552</v>
      </c>
      <c r="FD316" s="67" t="s">
        <v>2553</v>
      </c>
      <c r="FE316" s="68" t="s">
        <v>2554</v>
      </c>
      <c r="FF316" s="68" t="s">
        <v>2555</v>
      </c>
    </row>
    <row r="317" spans="151:162" x14ac:dyDescent="0.2">
      <c r="EU317" s="67">
        <v>561.30999999999995</v>
      </c>
      <c r="EV317" s="67" t="s">
        <v>2556</v>
      </c>
      <c r="EW317" s="67">
        <v>483.95</v>
      </c>
      <c r="EX317" s="67" t="s">
        <v>2557</v>
      </c>
      <c r="EY317" s="67">
        <v>5627.25</v>
      </c>
      <c r="EZ317" s="67" t="s">
        <v>2558</v>
      </c>
      <c r="FA317" s="67">
        <v>19879.5</v>
      </c>
      <c r="FB317" s="67" t="s">
        <v>2559</v>
      </c>
      <c r="FC317" s="67" t="s">
        <v>2560</v>
      </c>
      <c r="FD317" s="67" t="s">
        <v>2561</v>
      </c>
      <c r="FE317" s="68" t="s">
        <v>2562</v>
      </c>
      <c r="FF317" s="68" t="s">
        <v>2563</v>
      </c>
    </row>
    <row r="318" spans="151:162" x14ac:dyDescent="0.2">
      <c r="EU318" s="67">
        <v>561.35</v>
      </c>
      <c r="EV318" s="67" t="s">
        <v>2564</v>
      </c>
      <c r="EW318" s="67">
        <v>484.02</v>
      </c>
      <c r="EX318" s="67" t="s">
        <v>2565</v>
      </c>
      <c r="EY318" s="67">
        <v>5627.5</v>
      </c>
      <c r="EZ318" s="67" t="s">
        <v>2566</v>
      </c>
      <c r="FA318" s="67">
        <v>19881.5</v>
      </c>
      <c r="FB318" s="67" t="s">
        <v>2567</v>
      </c>
      <c r="FC318" s="67" t="s">
        <v>2568</v>
      </c>
      <c r="FD318" s="67" t="s">
        <v>2569</v>
      </c>
      <c r="FE318" s="68" t="s">
        <v>2570</v>
      </c>
      <c r="FF318" s="68" t="s">
        <v>2571</v>
      </c>
    </row>
    <row r="319" spans="151:162" x14ac:dyDescent="0.2">
      <c r="EU319" s="67">
        <v>561.35</v>
      </c>
      <c r="EV319" s="67" t="s">
        <v>2572</v>
      </c>
      <c r="EW319" s="67">
        <v>483.95</v>
      </c>
      <c r="EX319" s="67" t="s">
        <v>2573</v>
      </c>
      <c r="EY319" s="67">
        <v>5627.25</v>
      </c>
      <c r="EZ319" s="67" t="s">
        <v>2574</v>
      </c>
      <c r="FA319" s="67">
        <v>19879.25</v>
      </c>
      <c r="FB319" s="67" t="s">
        <v>2575</v>
      </c>
      <c r="FC319" s="67" t="s">
        <v>2576</v>
      </c>
      <c r="FD319" s="67" t="s">
        <v>2577</v>
      </c>
      <c r="FE319" s="68" t="s">
        <v>2578</v>
      </c>
      <c r="FF319" s="68" t="s">
        <v>2579</v>
      </c>
    </row>
    <row r="320" spans="151:162" x14ac:dyDescent="0.2">
      <c r="EU320" s="67">
        <v>561.36</v>
      </c>
      <c r="EV320" s="67" t="s">
        <v>2580</v>
      </c>
      <c r="EW320" s="67">
        <v>483.95</v>
      </c>
      <c r="EX320" s="67" t="s">
        <v>2581</v>
      </c>
      <c r="EY320" s="67">
        <v>5627.75</v>
      </c>
      <c r="EZ320" s="67" t="s">
        <v>2582</v>
      </c>
      <c r="FA320" s="67">
        <v>19879</v>
      </c>
      <c r="FB320" s="67" t="s">
        <v>2583</v>
      </c>
      <c r="FC320" s="67" t="s">
        <v>2584</v>
      </c>
      <c r="FD320" s="67" t="s">
        <v>2585</v>
      </c>
      <c r="FE320" s="68" t="s">
        <v>2586</v>
      </c>
      <c r="FF320" s="68" t="s">
        <v>2587</v>
      </c>
    </row>
    <row r="321" spans="151:162" x14ac:dyDescent="0.2">
      <c r="EU321" s="67">
        <v>561.37</v>
      </c>
      <c r="EV321" s="67" t="s">
        <v>2588</v>
      </c>
      <c r="EW321" s="67">
        <v>483.96</v>
      </c>
      <c r="EX321" s="67" t="s">
        <v>2589</v>
      </c>
      <c r="EY321" s="67">
        <v>5627.75</v>
      </c>
      <c r="EZ321" s="67" t="s">
        <v>2590</v>
      </c>
      <c r="FA321" s="67">
        <v>19879.75</v>
      </c>
      <c r="FB321" s="67" t="s">
        <v>2591</v>
      </c>
      <c r="FC321" s="67" t="s">
        <v>2592</v>
      </c>
      <c r="FD321" s="67" t="s">
        <v>2593</v>
      </c>
      <c r="FE321" s="68" t="s">
        <v>2594</v>
      </c>
      <c r="FF321" s="68" t="s">
        <v>2595</v>
      </c>
    </row>
    <row r="322" spans="151:162" x14ac:dyDescent="0.2">
      <c r="EU322" s="67">
        <v>561.41999999999996</v>
      </c>
      <c r="EV322" s="67" t="s">
        <v>2596</v>
      </c>
      <c r="EW322" s="67">
        <v>484</v>
      </c>
      <c r="EX322" s="67" t="s">
        <v>2597</v>
      </c>
      <c r="EY322" s="67">
        <v>5628</v>
      </c>
      <c r="EZ322" s="67" t="s">
        <v>2598</v>
      </c>
      <c r="FA322" s="67">
        <v>19881.5</v>
      </c>
      <c r="FB322" s="67" t="s">
        <v>2599</v>
      </c>
      <c r="FC322" s="67" t="s">
        <v>2600</v>
      </c>
      <c r="FD322" s="67" t="s">
        <v>2601</v>
      </c>
      <c r="FE322" s="68" t="s">
        <v>2602</v>
      </c>
      <c r="FF322" s="68" t="s">
        <v>2603</v>
      </c>
    </row>
    <row r="323" spans="151:162" x14ac:dyDescent="0.2">
      <c r="EU323" s="67">
        <v>561.48</v>
      </c>
      <c r="EV323" s="67" t="s">
        <v>2604</v>
      </c>
      <c r="EW323" s="67">
        <v>484.13</v>
      </c>
      <c r="EX323" s="67" t="s">
        <v>2605</v>
      </c>
      <c r="EY323" s="67">
        <v>5628.75</v>
      </c>
      <c r="EZ323" s="67" t="s">
        <v>2606</v>
      </c>
      <c r="FA323" s="67">
        <v>19886</v>
      </c>
      <c r="FB323" s="67" t="s">
        <v>2607</v>
      </c>
      <c r="FC323" s="67" t="s">
        <v>2608</v>
      </c>
      <c r="FD323" s="67" t="s">
        <v>2609</v>
      </c>
      <c r="FE323" s="68" t="s">
        <v>2610</v>
      </c>
      <c r="FF323" s="68" t="s">
        <v>2611</v>
      </c>
    </row>
    <row r="324" spans="151:162" x14ac:dyDescent="0.2">
      <c r="EU324" s="67">
        <v>561.5</v>
      </c>
      <c r="EV324" s="67" t="s">
        <v>2612</v>
      </c>
      <c r="EW324" s="67">
        <v>484.08</v>
      </c>
      <c r="EX324" s="67" t="s">
        <v>2613</v>
      </c>
      <c r="EY324" s="67">
        <v>5628.5</v>
      </c>
      <c r="EZ324" s="67" t="s">
        <v>2614</v>
      </c>
      <c r="FA324" s="67">
        <v>19884</v>
      </c>
      <c r="FB324" s="67" t="s">
        <v>2615</v>
      </c>
      <c r="FC324" s="67" t="s">
        <v>2616</v>
      </c>
      <c r="FD324" s="67" t="s">
        <v>2617</v>
      </c>
      <c r="FE324" s="68" t="s">
        <v>2618</v>
      </c>
      <c r="FF324" s="68" t="s">
        <v>2619</v>
      </c>
    </row>
    <row r="325" spans="151:162" x14ac:dyDescent="0.2">
      <c r="EU325" s="67">
        <v>561.46</v>
      </c>
      <c r="EV325" s="67" t="s">
        <v>2620</v>
      </c>
      <c r="EW325" s="67">
        <v>484.1</v>
      </c>
      <c r="EX325" s="67" t="s">
        <v>2621</v>
      </c>
      <c r="EY325" s="67">
        <v>5628.5</v>
      </c>
      <c r="EZ325" s="67" t="s">
        <v>2622</v>
      </c>
      <c r="FA325" s="67">
        <v>19885.75</v>
      </c>
      <c r="FB325" s="67" t="s">
        <v>2623</v>
      </c>
      <c r="FC325" s="67" t="s">
        <v>2624</v>
      </c>
      <c r="FD325" s="67" t="s">
        <v>2625</v>
      </c>
      <c r="FE325" s="68" t="s">
        <v>2626</v>
      </c>
      <c r="FF325" s="68" t="s">
        <v>2627</v>
      </c>
    </row>
    <row r="326" spans="151:162" x14ac:dyDescent="0.2">
      <c r="EU326" s="67">
        <v>561.41</v>
      </c>
      <c r="EV326" s="67" t="s">
        <v>2628</v>
      </c>
      <c r="EW326" s="67">
        <v>484.01</v>
      </c>
      <c r="EX326" s="67" t="s">
        <v>2629</v>
      </c>
      <c r="EY326" s="67">
        <v>5628</v>
      </c>
      <c r="EZ326" s="67" t="s">
        <v>2630</v>
      </c>
      <c r="FA326" s="67">
        <v>19882.25</v>
      </c>
      <c r="FB326" s="67" t="s">
        <v>2631</v>
      </c>
      <c r="FC326" s="67" t="s">
        <v>2632</v>
      </c>
      <c r="FD326" s="67" t="s">
        <v>2633</v>
      </c>
      <c r="FE326" s="68" t="s">
        <v>2634</v>
      </c>
      <c r="FF326" s="68" t="s">
        <v>2635</v>
      </c>
    </row>
    <row r="327" spans="151:162" x14ac:dyDescent="0.2">
      <c r="EU327" s="67">
        <v>561.33000000000004</v>
      </c>
      <c r="EV327" s="67" t="s">
        <v>2636</v>
      </c>
      <c r="EW327" s="67">
        <v>484.03</v>
      </c>
      <c r="EX327" s="67" t="s">
        <v>2637</v>
      </c>
      <c r="EY327" s="67">
        <v>5627.75</v>
      </c>
      <c r="EZ327" s="67" t="s">
        <v>2638</v>
      </c>
      <c r="FA327" s="67">
        <v>19882.5</v>
      </c>
      <c r="FB327" s="67" t="s">
        <v>2639</v>
      </c>
      <c r="FC327" s="67" t="s">
        <v>2640</v>
      </c>
      <c r="FD327" s="67" t="s">
        <v>2641</v>
      </c>
      <c r="FE327" s="68" t="s">
        <v>2642</v>
      </c>
      <c r="FF327" s="68" t="s">
        <v>2643</v>
      </c>
    </row>
    <row r="328" spans="151:162" x14ac:dyDescent="0.2">
      <c r="EU328" s="67">
        <v>561.54</v>
      </c>
      <c r="EV328" s="67" t="s">
        <v>2644</v>
      </c>
      <c r="EW328" s="67">
        <v>484.23</v>
      </c>
      <c r="EX328" s="67" t="s">
        <v>2645</v>
      </c>
      <c r="EY328" s="67">
        <v>5629.25</v>
      </c>
      <c r="EZ328" s="67" t="s">
        <v>2646</v>
      </c>
      <c r="FA328" s="67">
        <v>19892</v>
      </c>
      <c r="FB328" s="67" t="s">
        <v>2647</v>
      </c>
      <c r="FC328" s="67" t="s">
        <v>2648</v>
      </c>
      <c r="FD328" s="67" t="s">
        <v>2649</v>
      </c>
      <c r="FE328" s="68" t="s">
        <v>2650</v>
      </c>
      <c r="FF328" s="68" t="s">
        <v>2651</v>
      </c>
    </row>
    <row r="329" spans="151:162" x14ac:dyDescent="0.2">
      <c r="EU329" s="67">
        <v>561.53</v>
      </c>
      <c r="EV329" s="67" t="s">
        <v>2652</v>
      </c>
      <c r="EW329" s="67">
        <v>484.25</v>
      </c>
      <c r="EX329" s="67" t="s">
        <v>2653</v>
      </c>
      <c r="EY329" s="67">
        <v>5629.5</v>
      </c>
      <c r="EZ329" s="67" t="s">
        <v>2654</v>
      </c>
      <c r="FA329" s="67">
        <v>19891.75</v>
      </c>
      <c r="FB329" s="67" t="s">
        <v>2655</v>
      </c>
      <c r="FC329" s="67" t="s">
        <v>2656</v>
      </c>
      <c r="FD329" s="67" t="s">
        <v>2657</v>
      </c>
      <c r="FE329" s="68" t="s">
        <v>2658</v>
      </c>
      <c r="FF329" s="68" t="s">
        <v>2659</v>
      </c>
    </row>
    <row r="330" spans="151:162" x14ac:dyDescent="0.2">
      <c r="EU330" s="67">
        <v>561.54</v>
      </c>
      <c r="EV330" s="67" t="s">
        <v>2660</v>
      </c>
      <c r="EW330" s="67">
        <v>484.26</v>
      </c>
      <c r="EX330" s="67" t="s">
        <v>2661</v>
      </c>
      <c r="EY330" s="67">
        <v>5629</v>
      </c>
      <c r="EZ330" s="67" t="s">
        <v>2662</v>
      </c>
      <c r="FA330" s="67">
        <v>19892.25</v>
      </c>
      <c r="FB330" s="67" t="s">
        <v>2663</v>
      </c>
      <c r="FC330" s="67" t="s">
        <v>2664</v>
      </c>
      <c r="FD330" s="67" t="s">
        <v>2665</v>
      </c>
      <c r="FE330" s="68" t="s">
        <v>2666</v>
      </c>
      <c r="FF330" s="68" t="s">
        <v>2667</v>
      </c>
    </row>
    <row r="331" spans="151:162" x14ac:dyDescent="0.2">
      <c r="EU331" s="67">
        <v>561.54999999999995</v>
      </c>
      <c r="EV331" s="67" t="s">
        <v>2668</v>
      </c>
      <c r="EW331" s="67">
        <v>484.27</v>
      </c>
      <c r="EX331" s="67" t="s">
        <v>2669</v>
      </c>
      <c r="EY331" s="67">
        <v>5629.25</v>
      </c>
      <c r="EZ331" s="67" t="s">
        <v>2670</v>
      </c>
      <c r="FA331" s="67">
        <v>19892.5</v>
      </c>
      <c r="FB331" s="67" t="s">
        <v>2671</v>
      </c>
      <c r="FC331" s="67" t="s">
        <v>2672</v>
      </c>
      <c r="FD331" s="67" t="s">
        <v>2673</v>
      </c>
      <c r="FE331" s="68" t="s">
        <v>2674</v>
      </c>
      <c r="FF331" s="68" t="s">
        <v>2675</v>
      </c>
    </row>
    <row r="332" spans="151:162" x14ac:dyDescent="0.2">
      <c r="EU332" s="67">
        <v>561.49</v>
      </c>
      <c r="EV332" s="67" t="s">
        <v>2676</v>
      </c>
      <c r="EW332" s="67">
        <v>484.09</v>
      </c>
      <c r="EX332" s="67" t="s">
        <v>2677</v>
      </c>
      <c r="EY332" s="67">
        <v>5628.5</v>
      </c>
      <c r="EZ332" s="67" t="s">
        <v>2678</v>
      </c>
      <c r="FA332" s="67">
        <v>19887</v>
      </c>
      <c r="FB332" s="67" t="s">
        <v>2679</v>
      </c>
      <c r="FC332" s="67" t="s">
        <v>2680</v>
      </c>
      <c r="FD332" s="67" t="s">
        <v>2681</v>
      </c>
      <c r="FE332" s="68" t="s">
        <v>2682</v>
      </c>
      <c r="FF332" s="68" t="s">
        <v>2683</v>
      </c>
    </row>
    <row r="333" spans="151:162" x14ac:dyDescent="0.2">
      <c r="EU333" s="67">
        <v>561.59</v>
      </c>
      <c r="EV333" s="67" t="s">
        <v>2684</v>
      </c>
      <c r="EW333" s="67">
        <v>484.28</v>
      </c>
      <c r="EX333" s="67" t="s">
        <v>2685</v>
      </c>
      <c r="EY333" s="67">
        <v>5629.75</v>
      </c>
      <c r="EZ333" s="67" t="s">
        <v>2686</v>
      </c>
      <c r="FA333" s="67">
        <v>19892.5</v>
      </c>
      <c r="FB333" s="67" t="s">
        <v>2687</v>
      </c>
      <c r="FC333" s="67" t="s">
        <v>2688</v>
      </c>
      <c r="FD333" s="67" t="s">
        <v>2689</v>
      </c>
      <c r="FE333" s="68" t="s">
        <v>2690</v>
      </c>
      <c r="FF333" s="68" t="s">
        <v>2691</v>
      </c>
    </row>
    <row r="334" spans="151:162" x14ac:dyDescent="0.2">
      <c r="EU334" s="67">
        <v>561.52</v>
      </c>
      <c r="EV334" s="67" t="s">
        <v>2692</v>
      </c>
      <c r="EW334" s="67">
        <v>484.2</v>
      </c>
      <c r="EX334" s="67" t="s">
        <v>2693</v>
      </c>
      <c r="EY334" s="67">
        <v>5629</v>
      </c>
      <c r="EZ334" s="67" t="s">
        <v>2694</v>
      </c>
      <c r="FA334" s="67">
        <v>19889.5</v>
      </c>
      <c r="FB334" s="67" t="s">
        <v>2695</v>
      </c>
      <c r="FC334" s="67" t="s">
        <v>2696</v>
      </c>
      <c r="FD334" s="67" t="s">
        <v>2697</v>
      </c>
      <c r="FE334" s="68" t="s">
        <v>2698</v>
      </c>
      <c r="FF334" s="68" t="s">
        <v>2699</v>
      </c>
    </row>
    <row r="335" spans="151:162" x14ac:dyDescent="0.2">
      <c r="EU335" s="67">
        <v>561.6</v>
      </c>
      <c r="EV335" s="67" t="s">
        <v>2700</v>
      </c>
      <c r="EW335" s="67">
        <v>484.27</v>
      </c>
      <c r="EX335" s="67" t="s">
        <v>2701</v>
      </c>
      <c r="EY335" s="67">
        <v>5629.5</v>
      </c>
      <c r="EZ335" s="67" t="s">
        <v>2702</v>
      </c>
      <c r="FA335" s="67">
        <v>19892.5</v>
      </c>
      <c r="FB335" s="67" t="s">
        <v>2703</v>
      </c>
      <c r="FC335" s="67" t="s">
        <v>2704</v>
      </c>
      <c r="FD335" s="67" t="s">
        <v>2705</v>
      </c>
      <c r="FE335" s="68" t="s">
        <v>2706</v>
      </c>
      <c r="FF335" s="68" t="s">
        <v>2707</v>
      </c>
    </row>
    <row r="336" spans="151:162" x14ac:dyDescent="0.2">
      <c r="EU336" s="67">
        <v>561.47</v>
      </c>
      <c r="EV336" s="67" t="s">
        <v>2708</v>
      </c>
      <c r="EW336" s="67">
        <v>484.14</v>
      </c>
      <c r="EX336" s="67" t="s">
        <v>2709</v>
      </c>
      <c r="EY336" s="67">
        <v>5628.75</v>
      </c>
      <c r="EZ336" s="67" t="s">
        <v>2710</v>
      </c>
      <c r="FA336" s="67">
        <v>19887.25</v>
      </c>
      <c r="FB336" s="67" t="s">
        <v>2711</v>
      </c>
      <c r="FC336" s="67" t="s">
        <v>2712</v>
      </c>
      <c r="FD336" s="67" t="s">
        <v>2713</v>
      </c>
      <c r="FE336" s="68" t="s">
        <v>2714</v>
      </c>
      <c r="FF336" s="68" t="s">
        <v>2715</v>
      </c>
    </row>
    <row r="337" spans="151:162" x14ac:dyDescent="0.2">
      <c r="EU337" s="67">
        <v>561.41999999999996</v>
      </c>
      <c r="EV337" s="67" t="s">
        <v>2716</v>
      </c>
      <c r="EW337" s="67">
        <v>484.08</v>
      </c>
      <c r="EX337" s="67" t="s">
        <v>2717</v>
      </c>
      <c r="EY337" s="67">
        <v>5628</v>
      </c>
      <c r="EZ337" s="67" t="s">
        <v>2718</v>
      </c>
      <c r="FA337" s="67">
        <v>19884.75</v>
      </c>
      <c r="FB337" s="67" t="s">
        <v>2719</v>
      </c>
      <c r="FC337" s="67" t="s">
        <v>2720</v>
      </c>
      <c r="FD337" s="67" t="s">
        <v>2721</v>
      </c>
      <c r="FE337" s="68" t="s">
        <v>2722</v>
      </c>
      <c r="FF337" s="68" t="s">
        <v>2723</v>
      </c>
    </row>
    <row r="338" spans="151:162" x14ac:dyDescent="0.2">
      <c r="EU338" s="67">
        <v>561.62</v>
      </c>
      <c r="EV338" s="67" t="s">
        <v>2724</v>
      </c>
      <c r="EW338" s="67">
        <v>484.25</v>
      </c>
      <c r="EX338" s="67" t="s">
        <v>2725</v>
      </c>
      <c r="EY338" s="67">
        <v>5629.5</v>
      </c>
      <c r="EZ338" s="67" t="s">
        <v>2726</v>
      </c>
      <c r="FA338" s="67">
        <v>19889</v>
      </c>
      <c r="FB338" s="67" t="s">
        <v>2727</v>
      </c>
      <c r="FC338" s="67" t="s">
        <v>2728</v>
      </c>
      <c r="FD338" s="67" t="s">
        <v>2729</v>
      </c>
      <c r="FE338" s="68" t="s">
        <v>2730</v>
      </c>
      <c r="FF338" s="68" t="s">
        <v>2731</v>
      </c>
    </row>
    <row r="339" spans="151:162" x14ac:dyDescent="0.2">
      <c r="EU339" s="67">
        <v>561.44000000000005</v>
      </c>
      <c r="EV339" s="67" t="s">
        <v>2732</v>
      </c>
      <c r="EW339" s="67">
        <v>484.11</v>
      </c>
      <c r="EX339" s="67" t="s">
        <v>2733</v>
      </c>
      <c r="EY339" s="67">
        <v>5628</v>
      </c>
      <c r="EZ339" s="67" t="s">
        <v>2734</v>
      </c>
      <c r="FA339" s="67">
        <v>19886</v>
      </c>
      <c r="FB339" s="67" t="s">
        <v>2735</v>
      </c>
      <c r="FC339" s="67" t="s">
        <v>2736</v>
      </c>
      <c r="FD339" s="67" t="s">
        <v>2737</v>
      </c>
      <c r="FE339" s="68" t="s">
        <v>2738</v>
      </c>
      <c r="FF339" s="68" t="s">
        <v>2739</v>
      </c>
    </row>
    <row r="340" spans="151:162" x14ac:dyDescent="0.2">
      <c r="EU340" s="67">
        <v>561.30999999999995</v>
      </c>
      <c r="EV340" s="67" t="s">
        <v>2740</v>
      </c>
      <c r="EW340" s="67">
        <v>483.99</v>
      </c>
      <c r="EX340" s="67" t="s">
        <v>2741</v>
      </c>
      <c r="EY340" s="67">
        <v>5627</v>
      </c>
      <c r="EZ340" s="67" t="s">
        <v>2742</v>
      </c>
      <c r="FA340" s="67">
        <v>19880.5</v>
      </c>
      <c r="FB340" s="67" t="s">
        <v>2743</v>
      </c>
      <c r="FC340" s="67" t="s">
        <v>2744</v>
      </c>
      <c r="FD340" s="67" t="s">
        <v>2745</v>
      </c>
      <c r="FE340" s="68" t="s">
        <v>2746</v>
      </c>
      <c r="FF340" s="68" t="s">
        <v>2747</v>
      </c>
    </row>
    <row r="341" spans="151:162" x14ac:dyDescent="0.2">
      <c r="EU341" s="67">
        <v>561.46</v>
      </c>
      <c r="EV341" s="67" t="s">
        <v>2748</v>
      </c>
      <c r="EW341" s="67">
        <v>484.13</v>
      </c>
      <c r="EX341" s="67" t="s">
        <v>2749</v>
      </c>
      <c r="EY341" s="67">
        <v>5628.5</v>
      </c>
      <c r="EZ341" s="67" t="s">
        <v>2750</v>
      </c>
      <c r="FA341" s="67">
        <v>19888</v>
      </c>
      <c r="FB341" s="67" t="s">
        <v>2751</v>
      </c>
      <c r="FC341" s="67" t="s">
        <v>2752</v>
      </c>
      <c r="FD341" s="67" t="s">
        <v>2753</v>
      </c>
      <c r="FE341" s="68" t="s">
        <v>2754</v>
      </c>
      <c r="FF341" s="68" t="s">
        <v>2755</v>
      </c>
    </row>
    <row r="342" spans="151:162" x14ac:dyDescent="0.2">
      <c r="EU342" s="67">
        <v>561.52</v>
      </c>
      <c r="EV342" s="67" t="s">
        <v>2756</v>
      </c>
      <c r="EW342" s="67">
        <v>484.18</v>
      </c>
      <c r="EX342" s="67" t="s">
        <v>2757</v>
      </c>
      <c r="EY342" s="67">
        <v>5629.25</v>
      </c>
      <c r="EZ342" s="67" t="s">
        <v>2758</v>
      </c>
      <c r="FA342" s="67">
        <v>19888.25</v>
      </c>
      <c r="FB342" s="67" t="s">
        <v>2759</v>
      </c>
      <c r="FC342" s="67" t="s">
        <v>2760</v>
      </c>
      <c r="FD342" s="67" t="s">
        <v>2761</v>
      </c>
      <c r="FE342" s="68" t="s">
        <v>2762</v>
      </c>
      <c r="FF342" s="68" t="s">
        <v>2763</v>
      </c>
    </row>
    <row r="343" spans="151:162" x14ac:dyDescent="0.2">
      <c r="EU343" s="67">
        <v>561.58000000000004</v>
      </c>
      <c r="EV343" s="67" t="s">
        <v>2764</v>
      </c>
      <c r="EW343" s="67">
        <v>484.22</v>
      </c>
      <c r="EX343" s="67" t="s">
        <v>2765</v>
      </c>
      <c r="EY343" s="67">
        <v>5629.75</v>
      </c>
      <c r="EZ343" s="67" t="s">
        <v>2766</v>
      </c>
      <c r="FA343" s="67">
        <v>19890.25</v>
      </c>
      <c r="FB343" s="67" t="s">
        <v>2767</v>
      </c>
      <c r="FC343" s="67" t="s">
        <v>2768</v>
      </c>
      <c r="FD343" s="67" t="s">
        <v>2769</v>
      </c>
      <c r="FE343" s="68" t="s">
        <v>2770</v>
      </c>
      <c r="FF343" s="68" t="s">
        <v>2771</v>
      </c>
    </row>
    <row r="344" spans="151:162" x14ac:dyDescent="0.2">
      <c r="EU344" s="67">
        <v>561.59</v>
      </c>
      <c r="EV344" s="67" t="s">
        <v>2772</v>
      </c>
      <c r="EW344" s="67">
        <v>484.18</v>
      </c>
      <c r="EX344" s="67" t="s">
        <v>2773</v>
      </c>
      <c r="EY344" s="67">
        <v>5630</v>
      </c>
      <c r="EZ344" s="67" t="s">
        <v>2774</v>
      </c>
      <c r="FA344" s="67">
        <v>19889.25</v>
      </c>
      <c r="FB344" s="67" t="s">
        <v>2775</v>
      </c>
      <c r="FC344" s="67" t="s">
        <v>2776</v>
      </c>
      <c r="FD344" s="67" t="s">
        <v>2777</v>
      </c>
      <c r="FE344" s="68" t="s">
        <v>2778</v>
      </c>
      <c r="FF344" s="68" t="s">
        <v>2779</v>
      </c>
    </row>
    <row r="345" spans="151:162" x14ac:dyDescent="0.2">
      <c r="EU345" s="67">
        <v>561.79</v>
      </c>
      <c r="EV345" s="67" t="s">
        <v>2780</v>
      </c>
      <c r="EW345" s="67">
        <v>484.36</v>
      </c>
      <c r="EX345" s="67" t="s">
        <v>2781</v>
      </c>
      <c r="EY345" s="67">
        <v>5631.5</v>
      </c>
      <c r="EZ345" s="67" t="s">
        <v>2782</v>
      </c>
      <c r="FA345" s="67">
        <v>19896</v>
      </c>
      <c r="FB345" s="67" t="s">
        <v>2783</v>
      </c>
      <c r="FC345" s="67" t="s">
        <v>2784</v>
      </c>
      <c r="FD345" s="67" t="s">
        <v>2785</v>
      </c>
      <c r="FE345" s="68" t="s">
        <v>2786</v>
      </c>
      <c r="FF345" s="68" t="s">
        <v>2787</v>
      </c>
    </row>
    <row r="346" spans="151:162" x14ac:dyDescent="0.2">
      <c r="EU346" s="67">
        <v>561.79999999999995</v>
      </c>
      <c r="EV346" s="67" t="s">
        <v>2788</v>
      </c>
      <c r="EW346" s="67">
        <v>484.42</v>
      </c>
      <c r="EX346" s="67" t="s">
        <v>2789</v>
      </c>
      <c r="EY346" s="67">
        <v>5632.75</v>
      </c>
      <c r="EZ346" s="67" t="s">
        <v>2790</v>
      </c>
      <c r="FA346" s="67">
        <v>19898</v>
      </c>
      <c r="FB346" s="67" t="s">
        <v>2791</v>
      </c>
      <c r="FC346" s="67" t="s">
        <v>2792</v>
      </c>
      <c r="FD346" s="67" t="s">
        <v>2793</v>
      </c>
      <c r="FE346" s="68" t="s">
        <v>2794</v>
      </c>
      <c r="FF346" s="68" t="s">
        <v>2795</v>
      </c>
    </row>
    <row r="347" spans="151:162" x14ac:dyDescent="0.2">
      <c r="EU347" s="67">
        <v>561.94000000000005</v>
      </c>
      <c r="EV347" s="67" t="s">
        <v>2796</v>
      </c>
      <c r="EW347" s="67">
        <v>484.54</v>
      </c>
      <c r="EX347" s="67" t="s">
        <v>2797</v>
      </c>
      <c r="EY347" s="67">
        <v>5633.25</v>
      </c>
      <c r="EZ347" s="67" t="s">
        <v>2798</v>
      </c>
      <c r="FA347" s="67">
        <v>19903.75</v>
      </c>
      <c r="FB347" s="67" t="s">
        <v>2799</v>
      </c>
      <c r="FC347" s="67" t="s">
        <v>2800</v>
      </c>
      <c r="FD347" s="67" t="s">
        <v>2801</v>
      </c>
      <c r="FE347" s="68" t="s">
        <v>2802</v>
      </c>
      <c r="FF347" s="68" t="s">
        <v>2803</v>
      </c>
    </row>
    <row r="348" spans="151:162" x14ac:dyDescent="0.2">
      <c r="EU348" s="67">
        <v>561.92999999999995</v>
      </c>
      <c r="EV348" s="67" t="s">
        <v>2804</v>
      </c>
      <c r="EW348" s="67">
        <v>484.6</v>
      </c>
      <c r="EX348" s="67" t="s">
        <v>2805</v>
      </c>
      <c r="EY348" s="67">
        <v>5633.25</v>
      </c>
      <c r="EZ348" s="67" t="s">
        <v>2806</v>
      </c>
      <c r="FA348" s="67">
        <v>19906.25</v>
      </c>
      <c r="FB348" s="67" t="s">
        <v>2807</v>
      </c>
      <c r="FC348" s="67" t="s">
        <v>2808</v>
      </c>
      <c r="FD348" s="67" t="s">
        <v>2809</v>
      </c>
      <c r="FE348" s="68" t="s">
        <v>2810</v>
      </c>
      <c r="FF348" s="68" t="s">
        <v>2811</v>
      </c>
    </row>
    <row r="349" spans="151:162" x14ac:dyDescent="0.2">
      <c r="EU349" s="67">
        <v>562</v>
      </c>
      <c r="EV349" s="67" t="s">
        <v>2812</v>
      </c>
      <c r="EW349" s="67">
        <v>484.61</v>
      </c>
      <c r="EX349" s="67" t="s">
        <v>2813</v>
      </c>
      <c r="EY349" s="67">
        <v>5633.25</v>
      </c>
      <c r="EZ349" s="67" t="s">
        <v>2814</v>
      </c>
      <c r="FA349" s="67">
        <v>19907</v>
      </c>
      <c r="FB349" s="67" t="s">
        <v>2815</v>
      </c>
      <c r="FC349" s="67" t="s">
        <v>2816</v>
      </c>
      <c r="FD349" s="67" t="s">
        <v>2817</v>
      </c>
      <c r="FE349" s="68" t="s">
        <v>2818</v>
      </c>
      <c r="FF349" s="68" t="s">
        <v>2819</v>
      </c>
    </row>
    <row r="350" spans="151:162" x14ac:dyDescent="0.2">
      <c r="EU350" s="67">
        <v>561.92999999999995</v>
      </c>
      <c r="EV350" s="67" t="s">
        <v>2820</v>
      </c>
      <c r="EW350" s="67">
        <v>484.56</v>
      </c>
      <c r="EX350" s="67" t="s">
        <v>2821</v>
      </c>
      <c r="EY350" s="67">
        <v>5633</v>
      </c>
      <c r="EZ350" s="67" t="s">
        <v>2822</v>
      </c>
      <c r="FA350" s="67">
        <v>19904.75</v>
      </c>
      <c r="FB350" s="67" t="s">
        <v>2823</v>
      </c>
      <c r="FC350" s="67" t="s">
        <v>2824</v>
      </c>
      <c r="FD350" s="67" t="s">
        <v>2825</v>
      </c>
      <c r="FE350" s="68" t="s">
        <v>2826</v>
      </c>
      <c r="FF350" s="68" t="s">
        <v>2827</v>
      </c>
    </row>
    <row r="351" spans="151:162" x14ac:dyDescent="0.2">
      <c r="EU351" s="67">
        <v>562</v>
      </c>
      <c r="EV351" s="67" t="s">
        <v>2828</v>
      </c>
      <c r="EW351" s="67">
        <v>484.66</v>
      </c>
      <c r="EX351" s="67" t="s">
        <v>2829</v>
      </c>
      <c r="EY351" s="67">
        <v>5633.5</v>
      </c>
      <c r="EZ351" s="67" t="s">
        <v>2830</v>
      </c>
      <c r="FA351" s="67">
        <v>19908.75</v>
      </c>
      <c r="FB351" s="67" t="s">
        <v>2831</v>
      </c>
      <c r="FC351" s="67" t="s">
        <v>2832</v>
      </c>
      <c r="FD351" s="67" t="s">
        <v>2833</v>
      </c>
      <c r="FE351" s="68" t="s">
        <v>2834</v>
      </c>
      <c r="FF351" s="68" t="s">
        <v>2835</v>
      </c>
    </row>
    <row r="352" spans="151:162" x14ac:dyDescent="0.2">
      <c r="EU352" s="67">
        <v>561.97</v>
      </c>
      <c r="EV352" s="67" t="s">
        <v>2836</v>
      </c>
      <c r="EW352" s="67">
        <v>484.66</v>
      </c>
      <c r="EX352" s="67" t="s">
        <v>2837</v>
      </c>
      <c r="EY352" s="67">
        <v>5633.25</v>
      </c>
      <c r="EZ352" s="67" t="s">
        <v>2838</v>
      </c>
      <c r="FA352" s="67">
        <v>19908.5</v>
      </c>
      <c r="FB352" s="67" t="s">
        <v>2839</v>
      </c>
      <c r="FC352" s="67" t="s">
        <v>2840</v>
      </c>
      <c r="FD352" s="67" t="s">
        <v>2841</v>
      </c>
      <c r="FE352" s="68" t="s">
        <v>2842</v>
      </c>
      <c r="FF352" s="68" t="s">
        <v>2843</v>
      </c>
    </row>
    <row r="353" spans="151:162" x14ac:dyDescent="0.2">
      <c r="EU353" s="67">
        <v>561.99</v>
      </c>
      <c r="EV353" s="67" t="s">
        <v>2844</v>
      </c>
      <c r="EW353" s="67">
        <v>484.63</v>
      </c>
      <c r="EX353" s="67" t="s">
        <v>2845</v>
      </c>
      <c r="EY353" s="67">
        <v>5633.25</v>
      </c>
      <c r="EZ353" s="67" t="s">
        <v>2846</v>
      </c>
      <c r="FA353" s="67">
        <v>19908.25</v>
      </c>
      <c r="FB353" s="67" t="s">
        <v>2847</v>
      </c>
      <c r="FC353" s="67" t="s">
        <v>2848</v>
      </c>
      <c r="FD353" s="67" t="s">
        <v>2849</v>
      </c>
      <c r="FE353" s="68" t="s">
        <v>2850</v>
      </c>
      <c r="FF353" s="68" t="s">
        <v>2851</v>
      </c>
    </row>
    <row r="354" spans="151:162" x14ac:dyDescent="0.2">
      <c r="EU354" s="67">
        <v>562.03</v>
      </c>
      <c r="EV354" s="67" t="s">
        <v>2852</v>
      </c>
      <c r="EW354" s="67">
        <v>484.7</v>
      </c>
      <c r="EX354" s="67" t="s">
        <v>2853</v>
      </c>
      <c r="EY354" s="67">
        <v>5634</v>
      </c>
      <c r="EZ354" s="67" t="s">
        <v>2854</v>
      </c>
      <c r="FA354" s="67">
        <v>19910</v>
      </c>
      <c r="FB354" s="67" t="s">
        <v>2855</v>
      </c>
      <c r="FC354" s="67" t="s">
        <v>2856</v>
      </c>
      <c r="FD354" s="67" t="s">
        <v>2857</v>
      </c>
      <c r="FE354" s="68" t="s">
        <v>2858</v>
      </c>
      <c r="FF354" s="68" t="s">
        <v>2859</v>
      </c>
    </row>
    <row r="355" spans="151:162" x14ac:dyDescent="0.2">
      <c r="EU355" s="67">
        <v>562.05999999999995</v>
      </c>
      <c r="EV355" s="67" t="s">
        <v>2860</v>
      </c>
      <c r="EW355" s="67">
        <v>484.75</v>
      </c>
      <c r="EX355" s="67" t="s">
        <v>2861</v>
      </c>
      <c r="EY355" s="67">
        <v>5635.25</v>
      </c>
      <c r="EZ355" s="67" t="s">
        <v>2862</v>
      </c>
      <c r="FA355" s="67">
        <v>19911</v>
      </c>
      <c r="FB355" s="67" t="s">
        <v>2863</v>
      </c>
      <c r="FC355" s="67" t="s">
        <v>2864</v>
      </c>
      <c r="FD355" s="67" t="s">
        <v>2865</v>
      </c>
      <c r="FE355" s="68" t="s">
        <v>2866</v>
      </c>
      <c r="FF355" s="68" t="s">
        <v>2867</v>
      </c>
    </row>
    <row r="356" spans="151:162" x14ac:dyDescent="0.2">
      <c r="EU356" s="67">
        <v>562.03</v>
      </c>
      <c r="EV356" s="67" t="s">
        <v>2868</v>
      </c>
      <c r="EW356" s="67">
        <v>484.61</v>
      </c>
      <c r="EX356" s="67" t="s">
        <v>2869</v>
      </c>
      <c r="EY356" s="67">
        <v>5634</v>
      </c>
      <c r="EZ356" s="67" t="s">
        <v>2870</v>
      </c>
      <c r="FA356" s="67">
        <v>19906.5</v>
      </c>
      <c r="FB356" s="67" t="s">
        <v>2871</v>
      </c>
      <c r="FC356" s="67" t="s">
        <v>2872</v>
      </c>
      <c r="FD356" s="67" t="s">
        <v>2873</v>
      </c>
      <c r="FE356" s="68" t="s">
        <v>2874</v>
      </c>
      <c r="FF356" s="68" t="s">
        <v>2875</v>
      </c>
    </row>
    <row r="357" spans="151:162" x14ac:dyDescent="0.2">
      <c r="EU357" s="67">
        <v>562.03</v>
      </c>
      <c r="EV357" s="67" t="s">
        <v>2876</v>
      </c>
      <c r="EW357" s="67">
        <v>484.61</v>
      </c>
      <c r="EX357" s="67" t="s">
        <v>2877</v>
      </c>
      <c r="EY357" s="67">
        <v>5633.25</v>
      </c>
      <c r="EZ357" s="67" t="s">
        <v>2878</v>
      </c>
      <c r="FA357" s="67">
        <v>19906</v>
      </c>
      <c r="FB357" s="67" t="s">
        <v>2879</v>
      </c>
      <c r="FC357" s="67" t="s">
        <v>2880</v>
      </c>
      <c r="FD357" s="67" t="s">
        <v>2881</v>
      </c>
      <c r="FE357" s="68" t="s">
        <v>2882</v>
      </c>
      <c r="FF357" s="68" t="s">
        <v>2883</v>
      </c>
    </row>
    <row r="358" spans="151:162" x14ac:dyDescent="0.2">
      <c r="EU358" s="67">
        <v>561.97</v>
      </c>
      <c r="EV358" s="67" t="s">
        <v>2884</v>
      </c>
      <c r="EW358" s="67">
        <v>484.61</v>
      </c>
      <c r="EX358" s="67" t="s">
        <v>2885</v>
      </c>
      <c r="EY358" s="67">
        <v>5633.25</v>
      </c>
      <c r="EZ358" s="67" t="s">
        <v>2886</v>
      </c>
      <c r="FA358" s="67">
        <v>19905</v>
      </c>
      <c r="FB358" s="67" t="s">
        <v>2887</v>
      </c>
      <c r="FC358" s="67" t="s">
        <v>2888</v>
      </c>
      <c r="FD358" s="67" t="s">
        <v>2889</v>
      </c>
      <c r="FE358" s="68" t="s">
        <v>2890</v>
      </c>
      <c r="FF358" s="68" t="s">
        <v>2891</v>
      </c>
    </row>
    <row r="359" spans="151:162" x14ac:dyDescent="0.2">
      <c r="EU359" s="67">
        <v>561.97</v>
      </c>
      <c r="EV359" s="67" t="s">
        <v>2892</v>
      </c>
      <c r="EW359" s="67">
        <v>484.6</v>
      </c>
      <c r="EX359" s="67" t="s">
        <v>2893</v>
      </c>
      <c r="EY359" s="67">
        <v>5633.25</v>
      </c>
      <c r="EZ359" s="67" t="s">
        <v>2894</v>
      </c>
      <c r="FA359" s="67">
        <v>19906</v>
      </c>
      <c r="FB359" s="67" t="s">
        <v>2895</v>
      </c>
      <c r="FC359" s="67" t="s">
        <v>2896</v>
      </c>
      <c r="FD359" s="67" t="s">
        <v>2897</v>
      </c>
      <c r="FE359" s="68" t="s">
        <v>2898</v>
      </c>
      <c r="FF359" s="68" t="s">
        <v>2899</v>
      </c>
    </row>
    <row r="360" spans="151:162" x14ac:dyDescent="0.2">
      <c r="EU360" s="67">
        <v>561.97</v>
      </c>
      <c r="EV360" s="67" t="s">
        <v>2900</v>
      </c>
      <c r="EW360" s="67">
        <v>484.63</v>
      </c>
      <c r="EX360" s="67" t="s">
        <v>2901</v>
      </c>
      <c r="EY360" s="67">
        <v>5633.25</v>
      </c>
      <c r="EZ360" s="67" t="s">
        <v>2902</v>
      </c>
      <c r="FA360" s="67">
        <v>19906.25</v>
      </c>
      <c r="FB360" s="67" t="s">
        <v>2903</v>
      </c>
      <c r="FC360" s="67" t="s">
        <v>2904</v>
      </c>
      <c r="FD360" s="67" t="s">
        <v>2905</v>
      </c>
      <c r="FE360" s="68" t="s">
        <v>2906</v>
      </c>
      <c r="FF360" s="68" t="s">
        <v>2907</v>
      </c>
    </row>
    <row r="361" spans="151:162" x14ac:dyDescent="0.2">
      <c r="EU361" s="67">
        <v>562.04999999999995</v>
      </c>
      <c r="EV361" s="67" t="s">
        <v>2908</v>
      </c>
      <c r="EW361" s="67">
        <v>484.68</v>
      </c>
      <c r="EX361" s="67" t="s">
        <v>2909</v>
      </c>
      <c r="EY361" s="67">
        <v>5634</v>
      </c>
      <c r="EZ361" s="67" t="s">
        <v>2910</v>
      </c>
      <c r="FA361" s="67">
        <v>19908.75</v>
      </c>
      <c r="FB361" s="67" t="s">
        <v>2911</v>
      </c>
      <c r="FC361" s="67" t="s">
        <v>2912</v>
      </c>
      <c r="FD361" s="67" t="s">
        <v>2913</v>
      </c>
      <c r="FE361" s="68" t="s">
        <v>2914</v>
      </c>
      <c r="FF361" s="68" t="s">
        <v>2915</v>
      </c>
    </row>
    <row r="362" spans="151:162" x14ac:dyDescent="0.2">
      <c r="EU362" s="67">
        <v>562.01</v>
      </c>
      <c r="EV362" s="67" t="s">
        <v>2916</v>
      </c>
      <c r="EW362" s="67">
        <v>484.66</v>
      </c>
      <c r="EX362" s="67" t="s">
        <v>2917</v>
      </c>
      <c r="EY362" s="67">
        <v>5633.5</v>
      </c>
      <c r="EZ362" s="67" t="s">
        <v>2918</v>
      </c>
      <c r="FA362" s="67">
        <v>19907.5</v>
      </c>
      <c r="FB362" s="67" t="s">
        <v>2919</v>
      </c>
      <c r="FC362" s="67" t="s">
        <v>2920</v>
      </c>
      <c r="FD362" s="67" t="s">
        <v>2921</v>
      </c>
      <c r="FE362" s="68" t="s">
        <v>2922</v>
      </c>
      <c r="FF362" s="68" t="s">
        <v>2923</v>
      </c>
    </row>
    <row r="363" spans="151:162" x14ac:dyDescent="0.2">
      <c r="EU363" s="67">
        <v>562</v>
      </c>
      <c r="EV363" s="67" t="s">
        <v>2924</v>
      </c>
      <c r="EW363" s="67">
        <v>484.65</v>
      </c>
      <c r="EX363" s="67" t="s">
        <v>2925</v>
      </c>
      <c r="EY363" s="67">
        <v>5633.5</v>
      </c>
      <c r="EZ363" s="67" t="s">
        <v>2926</v>
      </c>
      <c r="FA363" s="67">
        <v>19907.75</v>
      </c>
      <c r="FB363" s="67" t="s">
        <v>2927</v>
      </c>
      <c r="FC363" s="67" t="s">
        <v>2928</v>
      </c>
      <c r="FD363" s="67" t="s">
        <v>2929</v>
      </c>
      <c r="FE363" s="68" t="s">
        <v>2930</v>
      </c>
      <c r="FF363" s="68" t="s">
        <v>2931</v>
      </c>
    </row>
    <row r="364" spans="151:162" x14ac:dyDescent="0.2">
      <c r="EU364" s="67">
        <v>561.99</v>
      </c>
      <c r="EV364" s="67" t="s">
        <v>2932</v>
      </c>
      <c r="EW364" s="67">
        <v>484.63</v>
      </c>
      <c r="EX364" s="67" t="s">
        <v>2933</v>
      </c>
      <c r="EY364" s="67">
        <v>5633.75</v>
      </c>
      <c r="EZ364" s="67" t="s">
        <v>2934</v>
      </c>
      <c r="FA364" s="67">
        <v>19907.25</v>
      </c>
      <c r="FB364" s="67" t="s">
        <v>2935</v>
      </c>
      <c r="FC364" s="67" t="s">
        <v>2936</v>
      </c>
      <c r="FD364" s="67" t="s">
        <v>2937</v>
      </c>
      <c r="FE364" s="68" t="s">
        <v>2938</v>
      </c>
      <c r="FF364" s="68" t="s">
        <v>2939</v>
      </c>
    </row>
    <row r="365" spans="151:162" x14ac:dyDescent="0.2">
      <c r="EU365" s="67">
        <v>561.88</v>
      </c>
      <c r="EV365" s="67" t="s">
        <v>2940</v>
      </c>
      <c r="EW365" s="67">
        <v>484.52</v>
      </c>
      <c r="EX365" s="67" t="s">
        <v>2941</v>
      </c>
      <c r="EY365" s="67">
        <v>5632.25</v>
      </c>
      <c r="EZ365" s="67" t="s">
        <v>2942</v>
      </c>
      <c r="FA365" s="67">
        <v>19902.25</v>
      </c>
      <c r="FB365" s="67" t="s">
        <v>2943</v>
      </c>
      <c r="FC365" s="67" t="s">
        <v>2944</v>
      </c>
      <c r="FD365" s="67" t="s">
        <v>2945</v>
      </c>
      <c r="FE365" s="68" t="s">
        <v>2946</v>
      </c>
      <c r="FF365" s="68" t="s">
        <v>2947</v>
      </c>
    </row>
    <row r="366" spans="151:162" x14ac:dyDescent="0.2">
      <c r="EU366" s="67">
        <v>561.85</v>
      </c>
      <c r="EV366" s="67" t="s">
        <v>2948</v>
      </c>
      <c r="EW366" s="67">
        <v>484.51</v>
      </c>
      <c r="EX366" s="67" t="s">
        <v>2949</v>
      </c>
      <c r="EY366" s="67">
        <v>5632</v>
      </c>
      <c r="EZ366" s="67" t="s">
        <v>2950</v>
      </c>
      <c r="FA366" s="67">
        <v>19902</v>
      </c>
      <c r="FB366" s="67" t="s">
        <v>2951</v>
      </c>
      <c r="FC366" s="67" t="s">
        <v>2952</v>
      </c>
      <c r="FD366" s="67" t="s">
        <v>2953</v>
      </c>
      <c r="FE366" s="68" t="s">
        <v>2954</v>
      </c>
      <c r="FF366" s="68" t="s">
        <v>2955</v>
      </c>
    </row>
    <row r="367" spans="151:162" x14ac:dyDescent="0.2">
      <c r="EU367" s="67">
        <v>561.82000000000005</v>
      </c>
      <c r="EV367" s="67" t="s">
        <v>2956</v>
      </c>
      <c r="EW367" s="67">
        <v>484.43</v>
      </c>
      <c r="EX367" s="67" t="s">
        <v>2957</v>
      </c>
      <c r="EY367" s="67">
        <v>5631.75</v>
      </c>
      <c r="EZ367" s="67" t="s">
        <v>2958</v>
      </c>
      <c r="FA367" s="67">
        <v>19898.25</v>
      </c>
      <c r="FB367" s="67" t="s">
        <v>2959</v>
      </c>
      <c r="FC367" s="67" t="s">
        <v>2960</v>
      </c>
      <c r="FD367" s="67" t="s">
        <v>2961</v>
      </c>
      <c r="FE367" s="68" t="s">
        <v>2962</v>
      </c>
      <c r="FF367" s="68" t="s">
        <v>2963</v>
      </c>
    </row>
    <row r="368" spans="151:162" x14ac:dyDescent="0.2">
      <c r="EU368" s="67">
        <v>561.79999999999995</v>
      </c>
      <c r="EV368" s="67" t="s">
        <v>2964</v>
      </c>
      <c r="EW368" s="67">
        <v>484.42</v>
      </c>
      <c r="EX368" s="67" t="s">
        <v>2965</v>
      </c>
      <c r="EY368" s="67">
        <v>5631.5</v>
      </c>
      <c r="EZ368" s="67" t="s">
        <v>2966</v>
      </c>
      <c r="FA368" s="67">
        <v>19898.5</v>
      </c>
      <c r="FB368" s="67" t="s">
        <v>2967</v>
      </c>
      <c r="FC368" s="67" t="s">
        <v>2968</v>
      </c>
      <c r="FD368" s="67" t="s">
        <v>2969</v>
      </c>
      <c r="FE368" s="68" t="s">
        <v>2970</v>
      </c>
      <c r="FF368" s="68" t="s">
        <v>2971</v>
      </c>
    </row>
    <row r="369" spans="151:162" x14ac:dyDescent="0.2">
      <c r="EU369" s="67">
        <v>561.71</v>
      </c>
      <c r="EV369" s="67" t="s">
        <v>2972</v>
      </c>
      <c r="EW369" s="67">
        <v>484.37</v>
      </c>
      <c r="EX369" s="67" t="s">
        <v>2973</v>
      </c>
      <c r="EY369" s="67">
        <v>5631.25</v>
      </c>
      <c r="EZ369" s="67" t="s">
        <v>2974</v>
      </c>
      <c r="FA369" s="67">
        <v>19896.75</v>
      </c>
      <c r="FB369" s="67" t="s">
        <v>2975</v>
      </c>
      <c r="FC369" s="67" t="s">
        <v>2976</v>
      </c>
      <c r="FD369" s="67" t="s">
        <v>2977</v>
      </c>
      <c r="FE369" s="68" t="s">
        <v>2978</v>
      </c>
      <c r="FF369" s="68" t="s">
        <v>2979</v>
      </c>
    </row>
    <row r="370" spans="151:162" x14ac:dyDescent="0.2">
      <c r="EU370" s="67">
        <v>561.74</v>
      </c>
      <c r="EV370" s="67" t="s">
        <v>2980</v>
      </c>
      <c r="EW370" s="67">
        <v>484.38</v>
      </c>
      <c r="EX370" s="67" t="s">
        <v>2981</v>
      </c>
      <c r="EY370" s="67">
        <v>5631</v>
      </c>
      <c r="EZ370" s="67" t="s">
        <v>2982</v>
      </c>
      <c r="FA370" s="67">
        <v>19896.75</v>
      </c>
      <c r="FB370" s="67" t="s">
        <v>2983</v>
      </c>
      <c r="FC370" s="67" t="s">
        <v>2984</v>
      </c>
      <c r="FD370" s="67" t="s">
        <v>2985</v>
      </c>
      <c r="FE370" s="68" t="s">
        <v>2986</v>
      </c>
      <c r="FF370" s="68" t="s">
        <v>2987</v>
      </c>
    </row>
    <row r="371" spans="151:162" x14ac:dyDescent="0.2">
      <c r="EU371" s="67">
        <v>561.83000000000004</v>
      </c>
      <c r="EV371" s="67" t="s">
        <v>2988</v>
      </c>
      <c r="EW371" s="67">
        <v>484.48</v>
      </c>
      <c r="EX371" s="67" t="s">
        <v>2989</v>
      </c>
      <c r="EY371" s="67">
        <v>5631.75</v>
      </c>
      <c r="EZ371" s="67" t="s">
        <v>2990</v>
      </c>
      <c r="FA371" s="67">
        <v>19901.5</v>
      </c>
      <c r="FB371" s="67" t="s">
        <v>2991</v>
      </c>
      <c r="FC371" s="67" t="s">
        <v>2992</v>
      </c>
      <c r="FD371" s="67" t="s">
        <v>2993</v>
      </c>
      <c r="FE371" s="68" t="s">
        <v>2994</v>
      </c>
      <c r="FF371" s="68" t="s">
        <v>2995</v>
      </c>
    </row>
    <row r="372" spans="151:162" x14ac:dyDescent="0.2">
      <c r="EU372" s="67">
        <v>561.91</v>
      </c>
      <c r="EV372" s="67" t="s">
        <v>2996</v>
      </c>
      <c r="EW372" s="67">
        <v>484.6</v>
      </c>
      <c r="EX372" s="67" t="s">
        <v>2997</v>
      </c>
      <c r="EY372" s="67">
        <v>5632.5</v>
      </c>
      <c r="EZ372" s="67" t="s">
        <v>2998</v>
      </c>
      <c r="FA372" s="67">
        <v>19905.75</v>
      </c>
      <c r="FB372" s="67" t="s">
        <v>2999</v>
      </c>
      <c r="FC372" s="67" t="s">
        <v>3000</v>
      </c>
      <c r="FD372" s="67" t="s">
        <v>3001</v>
      </c>
      <c r="FE372" s="68" t="s">
        <v>3002</v>
      </c>
      <c r="FF372" s="68" t="s">
        <v>3003</v>
      </c>
    </row>
    <row r="373" spans="151:162" x14ac:dyDescent="0.2">
      <c r="EU373" s="67">
        <v>561.98</v>
      </c>
      <c r="EV373" s="67" t="s">
        <v>3004</v>
      </c>
      <c r="EW373" s="67">
        <v>484.58</v>
      </c>
      <c r="EX373" s="67" t="s">
        <v>3005</v>
      </c>
      <c r="EY373" s="67">
        <v>5633.25</v>
      </c>
      <c r="EZ373" s="67" t="s">
        <v>3006</v>
      </c>
      <c r="FA373" s="67">
        <v>19906.25</v>
      </c>
      <c r="FB373" s="67" t="s">
        <v>3007</v>
      </c>
      <c r="FC373" s="67" t="s">
        <v>3008</v>
      </c>
      <c r="FD373" s="67" t="s">
        <v>3009</v>
      </c>
      <c r="FE373" s="68" t="s">
        <v>3010</v>
      </c>
      <c r="FF373" s="68" t="s">
        <v>3011</v>
      </c>
    </row>
    <row r="374" spans="151:162" x14ac:dyDescent="0.2">
      <c r="EU374" s="67">
        <v>561.96</v>
      </c>
      <c r="EV374" s="67" t="s">
        <v>3012</v>
      </c>
      <c r="EW374" s="67">
        <v>484.6</v>
      </c>
      <c r="EX374" s="67" t="s">
        <v>3013</v>
      </c>
      <c r="EY374" s="67">
        <v>5633</v>
      </c>
      <c r="EZ374" s="67" t="s">
        <v>3014</v>
      </c>
      <c r="FA374" s="67">
        <v>19905.5</v>
      </c>
      <c r="FB374" s="67" t="s">
        <v>3015</v>
      </c>
      <c r="FC374" s="67" t="s">
        <v>3016</v>
      </c>
      <c r="FD374" s="67" t="s">
        <v>3017</v>
      </c>
      <c r="FE374" s="68" t="s">
        <v>3018</v>
      </c>
      <c r="FF374" s="68" t="s">
        <v>3019</v>
      </c>
    </row>
    <row r="375" spans="151:162" x14ac:dyDescent="0.2">
      <c r="EU375" s="67">
        <v>561.9</v>
      </c>
      <c r="EV375" s="67" t="s">
        <v>3020</v>
      </c>
      <c r="EW375" s="67">
        <v>484.6</v>
      </c>
      <c r="EX375" s="67" t="s">
        <v>3021</v>
      </c>
      <c r="EY375" s="67">
        <v>5633.25</v>
      </c>
      <c r="EZ375" s="67" t="s">
        <v>3022</v>
      </c>
      <c r="FA375" s="67">
        <v>19905.5</v>
      </c>
      <c r="FB375" s="67" t="s">
        <v>3023</v>
      </c>
      <c r="FC375" s="67" t="s">
        <v>3024</v>
      </c>
      <c r="FD375" s="67" t="s">
        <v>3025</v>
      </c>
      <c r="FE375" s="68" t="s">
        <v>3026</v>
      </c>
      <c r="FF375" s="68" t="s">
        <v>3027</v>
      </c>
    </row>
    <row r="376" spans="151:162" x14ac:dyDescent="0.2">
      <c r="EU376" s="67">
        <v>561.95000000000005</v>
      </c>
      <c r="EV376" s="67" t="s">
        <v>3028</v>
      </c>
      <c r="EW376" s="67">
        <v>484.55</v>
      </c>
      <c r="EX376" s="67" t="s">
        <v>3029</v>
      </c>
      <c r="EY376" s="67">
        <v>5633</v>
      </c>
      <c r="EZ376" s="67" t="s">
        <v>3030</v>
      </c>
      <c r="FA376" s="67">
        <v>19906.25</v>
      </c>
      <c r="FB376" s="67" t="s">
        <v>3031</v>
      </c>
      <c r="FC376" s="67" t="s">
        <v>3032</v>
      </c>
      <c r="FD376" s="67" t="s">
        <v>3033</v>
      </c>
      <c r="FE376" s="68" t="s">
        <v>3034</v>
      </c>
      <c r="FF376" s="68" t="s">
        <v>3035</v>
      </c>
    </row>
    <row r="377" spans="151:162" x14ac:dyDescent="0.2">
      <c r="EU377" s="67">
        <v>561.97</v>
      </c>
      <c r="EV377" s="67" t="s">
        <v>3036</v>
      </c>
      <c r="EW377" s="67">
        <v>484.6</v>
      </c>
      <c r="EX377" s="67" t="s">
        <v>3037</v>
      </c>
      <c r="EY377" s="67">
        <v>5633.5</v>
      </c>
      <c r="EZ377" s="67" t="s">
        <v>3038</v>
      </c>
      <c r="FA377" s="67">
        <v>19905.25</v>
      </c>
      <c r="FB377" s="67" t="s">
        <v>3039</v>
      </c>
      <c r="FC377" s="67" t="s">
        <v>3040</v>
      </c>
      <c r="FD377" s="67" t="s">
        <v>3041</v>
      </c>
      <c r="FE377" s="68" t="s">
        <v>3042</v>
      </c>
      <c r="FF377" s="68" t="s">
        <v>3043</v>
      </c>
    </row>
    <row r="378" spans="151:162" x14ac:dyDescent="0.2">
      <c r="EU378" s="67">
        <v>562.05999999999995</v>
      </c>
      <c r="EV378" s="67" t="s">
        <v>3044</v>
      </c>
      <c r="EW378" s="67">
        <v>484.76</v>
      </c>
      <c r="EX378" s="67" t="s">
        <v>3045</v>
      </c>
      <c r="EY378" s="67">
        <v>5634.5</v>
      </c>
      <c r="EZ378" s="67" t="s">
        <v>3046</v>
      </c>
      <c r="FA378" s="67">
        <v>19912.75</v>
      </c>
      <c r="FB378" s="67" t="s">
        <v>3047</v>
      </c>
      <c r="FC378" s="67" t="s">
        <v>3048</v>
      </c>
      <c r="FD378" s="67" t="s">
        <v>3049</v>
      </c>
      <c r="FE378" s="68" t="s">
        <v>3050</v>
      </c>
      <c r="FF378" s="68" t="s">
        <v>3051</v>
      </c>
    </row>
    <row r="379" spans="151:162" x14ac:dyDescent="0.2">
      <c r="EU379" s="67">
        <v>562.17999999999995</v>
      </c>
      <c r="EV379" s="67" t="s">
        <v>3052</v>
      </c>
      <c r="EW379" s="67">
        <v>484.92</v>
      </c>
      <c r="EX379" s="67" t="s">
        <v>3053</v>
      </c>
      <c r="EY379" s="67">
        <v>5635.75</v>
      </c>
      <c r="EZ379" s="67" t="s">
        <v>3054</v>
      </c>
      <c r="FA379" s="67">
        <v>19918.75</v>
      </c>
      <c r="FB379" s="67" t="s">
        <v>3055</v>
      </c>
      <c r="FC379" s="67" t="s">
        <v>3056</v>
      </c>
      <c r="FD379" s="67" t="s">
        <v>3057</v>
      </c>
      <c r="FE379" s="68" t="s">
        <v>3058</v>
      </c>
      <c r="FF379" s="68" t="s">
        <v>3059</v>
      </c>
    </row>
    <row r="380" spans="151:162" x14ac:dyDescent="0.2">
      <c r="EU380" s="67">
        <v>562.17999999999995</v>
      </c>
      <c r="EV380" s="67" t="s">
        <v>3060</v>
      </c>
      <c r="EW380" s="67">
        <v>484.86</v>
      </c>
      <c r="EX380" s="67" t="s">
        <v>3061</v>
      </c>
      <c r="EY380" s="67">
        <v>5635.25</v>
      </c>
      <c r="EZ380" s="67" t="s">
        <v>3062</v>
      </c>
      <c r="FA380" s="67">
        <v>19918</v>
      </c>
      <c r="FB380" s="67" t="s">
        <v>3063</v>
      </c>
      <c r="FC380" s="67" t="s">
        <v>3064</v>
      </c>
      <c r="FD380" s="67" t="s">
        <v>3065</v>
      </c>
      <c r="FE380" s="68" t="s">
        <v>3066</v>
      </c>
      <c r="FF380" s="68" t="s">
        <v>3067</v>
      </c>
    </row>
    <row r="381" spans="151:162" x14ac:dyDescent="0.2">
      <c r="EU381" s="67">
        <v>562.14</v>
      </c>
      <c r="EV381" s="67" t="s">
        <v>3068</v>
      </c>
      <c r="EW381" s="67">
        <v>484.86</v>
      </c>
      <c r="EX381" s="67" t="s">
        <v>3069</v>
      </c>
      <c r="EY381" s="67">
        <v>5635</v>
      </c>
      <c r="EZ381" s="67" t="s">
        <v>3070</v>
      </c>
      <c r="FA381" s="67">
        <v>19916.75</v>
      </c>
      <c r="FB381" s="67" t="s">
        <v>3071</v>
      </c>
      <c r="FC381" s="67" t="s">
        <v>3072</v>
      </c>
      <c r="FD381" s="67" t="s">
        <v>3073</v>
      </c>
      <c r="FE381" s="68" t="s">
        <v>3074</v>
      </c>
      <c r="FF381" s="68" t="s">
        <v>3075</v>
      </c>
    </row>
    <row r="382" spans="151:162" x14ac:dyDescent="0.2">
      <c r="EU382" s="67">
        <v>562.24</v>
      </c>
      <c r="EV382" s="67" t="s">
        <v>3076</v>
      </c>
      <c r="EW382" s="67">
        <v>484.39</v>
      </c>
      <c r="EX382" s="67" t="s">
        <v>3077</v>
      </c>
      <c r="EY382" s="67">
        <v>5635.75</v>
      </c>
      <c r="EZ382" s="67" t="s">
        <v>3078</v>
      </c>
      <c r="FA382" s="67">
        <v>19893.5</v>
      </c>
      <c r="FB382" s="67" t="s">
        <v>3079</v>
      </c>
      <c r="FC382" s="67" t="s">
        <v>3080</v>
      </c>
      <c r="FD382" s="67" t="s">
        <v>3081</v>
      </c>
      <c r="FE382" s="68" t="s">
        <v>3082</v>
      </c>
      <c r="FF382" s="68" t="s">
        <v>3083</v>
      </c>
    </row>
    <row r="383" spans="151:162" x14ac:dyDescent="0.2">
      <c r="EU383" s="67">
        <v>562.75</v>
      </c>
      <c r="EV383" s="67" t="s">
        <v>3084</v>
      </c>
      <c r="EW383" s="67">
        <v>484.9</v>
      </c>
      <c r="EX383" s="67" t="s">
        <v>3085</v>
      </c>
      <c r="EY383" s="67">
        <v>5640.5</v>
      </c>
      <c r="EZ383" s="67" t="s">
        <v>3086</v>
      </c>
      <c r="FA383" s="67">
        <v>19915.5</v>
      </c>
      <c r="FB383" s="67" t="s">
        <v>3087</v>
      </c>
      <c r="FC383" s="67" t="s">
        <v>3088</v>
      </c>
      <c r="FD383" s="67" t="s">
        <v>3089</v>
      </c>
      <c r="FE383" s="68" t="s">
        <v>3090</v>
      </c>
      <c r="FF383" s="68" t="s">
        <v>3091</v>
      </c>
    </row>
    <row r="384" spans="151:162" x14ac:dyDescent="0.2">
      <c r="EU384" s="67">
        <v>562.77</v>
      </c>
      <c r="EV384" s="67" t="s">
        <v>3092</v>
      </c>
      <c r="EW384" s="67">
        <v>484.94</v>
      </c>
      <c r="EX384" s="67" t="s">
        <v>3093</v>
      </c>
      <c r="EY384" s="67">
        <v>5640.75</v>
      </c>
      <c r="EZ384" s="67" t="s">
        <v>3094</v>
      </c>
      <c r="FA384" s="67">
        <v>19917</v>
      </c>
      <c r="FB384" s="67" t="s">
        <v>3095</v>
      </c>
      <c r="FC384" s="67" t="s">
        <v>3096</v>
      </c>
      <c r="FD384" s="67" t="s">
        <v>3097</v>
      </c>
      <c r="FE384" s="68" t="s">
        <v>3098</v>
      </c>
      <c r="FF384" s="68" t="s">
        <v>3099</v>
      </c>
    </row>
    <row r="385" spans="151:162" x14ac:dyDescent="0.2">
      <c r="EU385" s="67">
        <v>562.83000000000004</v>
      </c>
      <c r="EV385" s="67" t="s">
        <v>3100</v>
      </c>
      <c r="EW385" s="67">
        <v>485.03</v>
      </c>
      <c r="EX385" s="67" t="s">
        <v>3101</v>
      </c>
      <c r="EY385" s="67">
        <v>5641.5</v>
      </c>
      <c r="EZ385" s="67" t="s">
        <v>3102</v>
      </c>
      <c r="FA385" s="67">
        <v>19920.75</v>
      </c>
      <c r="FB385" s="67" t="s">
        <v>3103</v>
      </c>
      <c r="FC385" s="67" t="s">
        <v>3104</v>
      </c>
      <c r="FD385" s="67" t="s">
        <v>3105</v>
      </c>
      <c r="FE385" s="68" t="s">
        <v>3106</v>
      </c>
      <c r="FF385" s="68" t="s">
        <v>3107</v>
      </c>
    </row>
    <row r="386" spans="151:162" x14ac:dyDescent="0.2">
      <c r="EU386" s="67">
        <v>562.73</v>
      </c>
      <c r="EV386" s="67" t="s">
        <v>3108</v>
      </c>
      <c r="EW386" s="67">
        <v>484.93</v>
      </c>
      <c r="EX386" s="67" t="s">
        <v>3109</v>
      </c>
      <c r="EY386" s="67">
        <v>5640.5</v>
      </c>
      <c r="EZ386" s="67" t="s">
        <v>3110</v>
      </c>
      <c r="FA386" s="67">
        <v>19916.5</v>
      </c>
      <c r="FB386" s="67" t="s">
        <v>3111</v>
      </c>
      <c r="FC386" s="67" t="s">
        <v>3112</v>
      </c>
      <c r="FD386" s="67" t="s">
        <v>3113</v>
      </c>
      <c r="FE386" s="68" t="s">
        <v>3114</v>
      </c>
      <c r="FF386" s="68" t="s">
        <v>3115</v>
      </c>
    </row>
    <row r="387" spans="151:162" x14ac:dyDescent="0.2">
      <c r="EU387" s="67">
        <v>562.74</v>
      </c>
      <c r="EV387" s="67" t="s">
        <v>3116</v>
      </c>
      <c r="EW387" s="67">
        <v>484.96</v>
      </c>
      <c r="EX387" s="67" t="s">
        <v>3117</v>
      </c>
      <c r="EY387" s="67">
        <v>5640.75</v>
      </c>
      <c r="EZ387" s="67" t="s">
        <v>3118</v>
      </c>
      <c r="FA387" s="67">
        <v>19917.25</v>
      </c>
      <c r="FB387" s="67" t="s">
        <v>3119</v>
      </c>
      <c r="FC387" s="67" t="s">
        <v>3120</v>
      </c>
      <c r="FD387" s="67" t="s">
        <v>3121</v>
      </c>
      <c r="FE387" s="68" t="s">
        <v>3122</v>
      </c>
      <c r="FF387" s="68" t="s">
        <v>3123</v>
      </c>
    </row>
    <row r="388" spans="151:162" x14ac:dyDescent="0.2">
      <c r="EU388" s="67">
        <v>562.86</v>
      </c>
      <c r="EV388" s="67" t="s">
        <v>3124</v>
      </c>
      <c r="EW388" s="67">
        <v>485.1</v>
      </c>
      <c r="EX388" s="67" t="s">
        <v>3125</v>
      </c>
      <c r="EY388" s="67">
        <v>5642</v>
      </c>
      <c r="EZ388" s="67" t="s">
        <v>3126</v>
      </c>
      <c r="FA388" s="67">
        <v>19923.5</v>
      </c>
      <c r="FB388" s="67" t="s">
        <v>3127</v>
      </c>
      <c r="FC388" s="67" t="s">
        <v>3128</v>
      </c>
      <c r="FD388" s="67" t="s">
        <v>3129</v>
      </c>
      <c r="FE388" s="68" t="s">
        <v>3130</v>
      </c>
      <c r="FF388" s="68" t="s">
        <v>3131</v>
      </c>
    </row>
    <row r="389" spans="151:162" x14ac:dyDescent="0.2">
      <c r="EU389" s="67">
        <v>562.66999999999996</v>
      </c>
      <c r="EV389" s="67" t="s">
        <v>3132</v>
      </c>
      <c r="EW389" s="67">
        <v>484.9</v>
      </c>
      <c r="EX389" s="67" t="s">
        <v>3133</v>
      </c>
      <c r="EY389" s="67">
        <v>5640</v>
      </c>
      <c r="EZ389" s="67" t="s">
        <v>3134</v>
      </c>
      <c r="FA389" s="67">
        <v>19914.5</v>
      </c>
      <c r="FB389" s="67" t="s">
        <v>3135</v>
      </c>
      <c r="FC389" s="67" t="s">
        <v>3136</v>
      </c>
      <c r="FD389" s="67" t="s">
        <v>3137</v>
      </c>
      <c r="FE389" s="68" t="s">
        <v>3138</v>
      </c>
      <c r="FF389" s="68" t="s">
        <v>3139</v>
      </c>
    </row>
    <row r="390" spans="151:162" x14ac:dyDescent="0.2">
      <c r="EU390" s="67">
        <v>562.6</v>
      </c>
      <c r="EV390" s="67" t="s">
        <v>3140</v>
      </c>
      <c r="EW390" s="67">
        <v>484.8</v>
      </c>
      <c r="EX390" s="67" t="s">
        <v>3141</v>
      </c>
      <c r="EY390" s="67">
        <v>5639.25</v>
      </c>
      <c r="EZ390" s="67" t="s">
        <v>3142</v>
      </c>
      <c r="FA390" s="67">
        <v>19911.25</v>
      </c>
      <c r="FB390" s="67" t="s">
        <v>3143</v>
      </c>
      <c r="FC390" s="67" t="s">
        <v>3144</v>
      </c>
      <c r="FD390" s="67" t="s">
        <v>3145</v>
      </c>
      <c r="FE390" s="68" t="s">
        <v>3146</v>
      </c>
      <c r="FF390" s="68" t="s">
        <v>3147</v>
      </c>
    </row>
    <row r="391" spans="151:162" x14ac:dyDescent="0.2">
      <c r="EU391" s="67">
        <v>562.4</v>
      </c>
      <c r="EV391" s="67" t="s">
        <v>3148</v>
      </c>
      <c r="EW391" s="67">
        <v>484.62</v>
      </c>
      <c r="EX391" s="67" t="s">
        <v>3149</v>
      </c>
      <c r="EY391" s="67">
        <v>5637.25</v>
      </c>
      <c r="EZ391" s="67" t="s">
        <v>3150</v>
      </c>
      <c r="FA391" s="67">
        <v>19903.75</v>
      </c>
      <c r="FB391" s="67" t="s">
        <v>3151</v>
      </c>
      <c r="FC391" s="67" t="s">
        <v>3152</v>
      </c>
      <c r="FD391" s="67" t="s">
        <v>3153</v>
      </c>
      <c r="FE391" s="68" t="s">
        <v>3154</v>
      </c>
      <c r="FF391" s="68" t="s">
        <v>3155</v>
      </c>
    </row>
    <row r="392" spans="151:162" x14ac:dyDescent="0.2">
      <c r="EU392" s="67">
        <v>562.45000000000005</v>
      </c>
      <c r="EV392" s="67" t="s">
        <v>3156</v>
      </c>
      <c r="EW392" s="67">
        <v>484.61</v>
      </c>
      <c r="EX392" s="67" t="s">
        <v>3157</v>
      </c>
      <c r="EY392" s="67">
        <v>5637.5</v>
      </c>
      <c r="EZ392" s="67" t="s">
        <v>3158</v>
      </c>
      <c r="FA392" s="67">
        <v>19901.5</v>
      </c>
      <c r="FB392" s="67" t="s">
        <v>3159</v>
      </c>
      <c r="FC392" s="67" t="s">
        <v>3160</v>
      </c>
      <c r="FD392" s="67" t="s">
        <v>3161</v>
      </c>
      <c r="FE392" s="68" t="s">
        <v>3162</v>
      </c>
      <c r="FF392" s="68" t="s">
        <v>3163</v>
      </c>
    </row>
    <row r="393" spans="151:162" x14ac:dyDescent="0.2">
      <c r="EU393" s="67">
        <v>562.39</v>
      </c>
      <c r="EV393" s="67" t="s">
        <v>3164</v>
      </c>
      <c r="EW393" s="67">
        <v>484.55</v>
      </c>
      <c r="EX393" s="67" t="s">
        <v>3165</v>
      </c>
      <c r="EY393" s="67">
        <v>5637.25</v>
      </c>
      <c r="EZ393" s="67" t="s">
        <v>3166</v>
      </c>
      <c r="FA393" s="67">
        <v>19901</v>
      </c>
      <c r="FB393" s="67" t="s">
        <v>3167</v>
      </c>
      <c r="FC393" s="67" t="s">
        <v>3168</v>
      </c>
      <c r="FD393" s="67" t="s">
        <v>3169</v>
      </c>
      <c r="FE393" s="68" t="s">
        <v>3170</v>
      </c>
      <c r="FF393" s="68" t="s">
        <v>3171</v>
      </c>
    </row>
    <row r="394" spans="151:162" x14ac:dyDescent="0.2">
      <c r="EU394" s="67">
        <v>562.45000000000005</v>
      </c>
      <c r="EV394" s="67" t="s">
        <v>3172</v>
      </c>
      <c r="EW394" s="67">
        <v>484.6</v>
      </c>
      <c r="EX394" s="67" t="s">
        <v>3173</v>
      </c>
      <c r="EY394" s="67">
        <v>5638</v>
      </c>
      <c r="EZ394" s="67" t="s">
        <v>3174</v>
      </c>
      <c r="FA394" s="67">
        <v>19902.5</v>
      </c>
      <c r="FB394" s="67" t="s">
        <v>3175</v>
      </c>
      <c r="FC394" s="67" t="s">
        <v>3176</v>
      </c>
      <c r="FD394" s="67" t="s">
        <v>3177</v>
      </c>
      <c r="FE394" s="68" t="s">
        <v>3178</v>
      </c>
      <c r="FF394" s="68" t="s">
        <v>3179</v>
      </c>
    </row>
    <row r="395" spans="151:162" x14ac:dyDescent="0.2">
      <c r="EU395" s="67">
        <v>562.41</v>
      </c>
      <c r="EV395" s="67" t="s">
        <v>3180</v>
      </c>
      <c r="EW395" s="67">
        <v>484.56</v>
      </c>
      <c r="EX395" s="67" t="s">
        <v>3181</v>
      </c>
      <c r="EY395" s="67">
        <v>5637.5</v>
      </c>
      <c r="EZ395" s="67" t="s">
        <v>3182</v>
      </c>
      <c r="FA395" s="67">
        <v>19901</v>
      </c>
      <c r="FB395" s="67" t="s">
        <v>3183</v>
      </c>
      <c r="FC395" s="67" t="s">
        <v>3184</v>
      </c>
      <c r="FD395" s="67" t="s">
        <v>3185</v>
      </c>
      <c r="FE395" s="68" t="s">
        <v>3186</v>
      </c>
      <c r="FF395" s="68" t="s">
        <v>3187</v>
      </c>
    </row>
    <row r="396" spans="151:162" x14ac:dyDescent="0.2">
      <c r="EU396" s="67">
        <v>562.41999999999996</v>
      </c>
      <c r="EV396" s="67" t="s">
        <v>3188</v>
      </c>
      <c r="EW396" s="67">
        <v>484.57</v>
      </c>
      <c r="EX396" s="67" t="s">
        <v>3189</v>
      </c>
      <c r="EY396" s="67">
        <v>5637.5</v>
      </c>
      <c r="EZ396" s="67" t="s">
        <v>3190</v>
      </c>
      <c r="FA396" s="67">
        <v>19902</v>
      </c>
      <c r="FB396" s="67" t="s">
        <v>3191</v>
      </c>
      <c r="FC396" s="67" t="s">
        <v>3192</v>
      </c>
      <c r="FD396" s="67" t="s">
        <v>3193</v>
      </c>
      <c r="FE396" s="68" t="s">
        <v>3194</v>
      </c>
      <c r="FF396" s="68" t="s">
        <v>3195</v>
      </c>
    </row>
    <row r="397" spans="151:162" x14ac:dyDescent="0.2">
      <c r="EU397" s="67">
        <v>562.54</v>
      </c>
      <c r="EV397" s="67" t="s">
        <v>3196</v>
      </c>
      <c r="EW397" s="67">
        <v>484.7</v>
      </c>
      <c r="EX397" s="67" t="s">
        <v>3197</v>
      </c>
      <c r="EY397" s="67">
        <v>5638.75</v>
      </c>
      <c r="EZ397" s="67" t="s">
        <v>3198</v>
      </c>
      <c r="FA397" s="67">
        <v>19906.75</v>
      </c>
      <c r="FB397" s="67" t="s">
        <v>3199</v>
      </c>
      <c r="FC397" s="67" t="s">
        <v>3200</v>
      </c>
      <c r="FD397" s="67" t="s">
        <v>3201</v>
      </c>
      <c r="FE397" s="68" t="s">
        <v>3202</v>
      </c>
      <c r="FF397" s="68" t="s">
        <v>3203</v>
      </c>
    </row>
    <row r="398" spans="151:162" x14ac:dyDescent="0.2">
      <c r="EU398" s="67">
        <v>562.45000000000005</v>
      </c>
      <c r="EV398" s="67" t="s">
        <v>3204</v>
      </c>
      <c r="EW398" s="67">
        <v>484.63</v>
      </c>
      <c r="EX398" s="67" t="s">
        <v>3205</v>
      </c>
      <c r="EY398" s="67">
        <v>5637.75</v>
      </c>
      <c r="EZ398" s="67" t="s">
        <v>3206</v>
      </c>
      <c r="FA398" s="67">
        <v>19903.5</v>
      </c>
      <c r="FB398" s="67" t="s">
        <v>3207</v>
      </c>
      <c r="FC398" s="67" t="s">
        <v>3208</v>
      </c>
      <c r="FD398" s="67" t="s">
        <v>3209</v>
      </c>
      <c r="FE398" s="68" t="s">
        <v>3210</v>
      </c>
      <c r="FF398" s="68" t="s">
        <v>3211</v>
      </c>
    </row>
    <row r="399" spans="151:162" x14ac:dyDescent="0.2">
      <c r="EU399" s="67">
        <v>562.47</v>
      </c>
      <c r="EV399" s="67" t="s">
        <v>3212</v>
      </c>
      <c r="EW399" s="67">
        <v>484.59</v>
      </c>
      <c r="EX399" s="67" t="s">
        <v>3213</v>
      </c>
      <c r="EY399" s="67">
        <v>5638</v>
      </c>
      <c r="EZ399" s="67" t="s">
        <v>3214</v>
      </c>
      <c r="FA399" s="67">
        <v>19902.5</v>
      </c>
      <c r="FB399" s="67" t="s">
        <v>3215</v>
      </c>
      <c r="FC399" s="67" t="s">
        <v>3216</v>
      </c>
      <c r="FD399" s="67" t="s">
        <v>3217</v>
      </c>
      <c r="FE399" s="68" t="s">
        <v>3218</v>
      </c>
      <c r="FF399" s="68" t="s">
        <v>3219</v>
      </c>
    </row>
    <row r="400" spans="151:162" x14ac:dyDescent="0.2">
      <c r="EU400" s="67">
        <v>562.42999999999995</v>
      </c>
      <c r="EV400" s="67" t="s">
        <v>3220</v>
      </c>
      <c r="EW400" s="67">
        <v>484.54</v>
      </c>
      <c r="EX400" s="67" t="s">
        <v>3221</v>
      </c>
      <c r="EY400" s="67">
        <v>5637.25</v>
      </c>
      <c r="EZ400" s="67" t="s">
        <v>3222</v>
      </c>
      <c r="FA400" s="67">
        <v>19899.25</v>
      </c>
      <c r="FB400" s="67" t="s">
        <v>3223</v>
      </c>
      <c r="FC400" s="67" t="s">
        <v>3224</v>
      </c>
      <c r="FD400" s="67" t="s">
        <v>3225</v>
      </c>
      <c r="FE400" s="68" t="s">
        <v>3226</v>
      </c>
      <c r="FF400" s="68" t="s">
        <v>3227</v>
      </c>
    </row>
    <row r="401" spans="151:162" x14ac:dyDescent="0.2">
      <c r="EU401" s="67">
        <v>562.37</v>
      </c>
      <c r="EV401" s="67" t="s">
        <v>3228</v>
      </c>
      <c r="EW401" s="67">
        <v>484.54</v>
      </c>
      <c r="EX401" s="67" t="s">
        <v>3229</v>
      </c>
      <c r="EY401" s="67">
        <v>5636.75</v>
      </c>
      <c r="EZ401" s="67" t="s">
        <v>3230</v>
      </c>
      <c r="FA401" s="67">
        <v>19898.75</v>
      </c>
      <c r="FB401" s="67" t="s">
        <v>3231</v>
      </c>
      <c r="FC401" s="67" t="s">
        <v>3232</v>
      </c>
      <c r="FD401" s="67" t="s">
        <v>3233</v>
      </c>
      <c r="FE401" s="68" t="s">
        <v>3234</v>
      </c>
      <c r="FF401" s="68" t="s">
        <v>3235</v>
      </c>
    </row>
    <row r="402" spans="151:162" x14ac:dyDescent="0.2">
      <c r="EU402" s="67">
        <v>562.22</v>
      </c>
      <c r="EV402" s="67" t="s">
        <v>3236</v>
      </c>
      <c r="EW402" s="67">
        <v>484.33</v>
      </c>
      <c r="EX402" s="67" t="s">
        <v>3237</v>
      </c>
      <c r="EY402" s="67">
        <v>5635.5</v>
      </c>
      <c r="EZ402" s="67" t="s">
        <v>3238</v>
      </c>
      <c r="FA402" s="67">
        <v>19891.25</v>
      </c>
      <c r="FB402" s="67" t="s">
        <v>3239</v>
      </c>
      <c r="FC402" s="67" t="s">
        <v>3240</v>
      </c>
      <c r="FD402" s="67" t="s">
        <v>3241</v>
      </c>
      <c r="FE402" s="68" t="s">
        <v>3242</v>
      </c>
      <c r="FF402" s="68" t="s">
        <v>3243</v>
      </c>
    </row>
    <row r="403" spans="151:162" x14ac:dyDescent="0.2">
      <c r="EU403" s="67">
        <v>562.32000000000005</v>
      </c>
      <c r="EV403" s="67" t="s">
        <v>3244</v>
      </c>
      <c r="EW403" s="67">
        <v>484.44</v>
      </c>
      <c r="EX403" s="67" t="s">
        <v>3245</v>
      </c>
      <c r="EY403" s="67">
        <v>5636.5</v>
      </c>
      <c r="EZ403" s="67" t="s">
        <v>3246</v>
      </c>
      <c r="FA403" s="67">
        <v>19896.25</v>
      </c>
      <c r="FB403" s="67" t="s">
        <v>3247</v>
      </c>
      <c r="FC403" s="67" t="s">
        <v>3248</v>
      </c>
      <c r="FD403" s="67" t="s">
        <v>3249</v>
      </c>
      <c r="FE403" s="68" t="s">
        <v>3250</v>
      </c>
      <c r="FF403" s="68" t="s">
        <v>3251</v>
      </c>
    </row>
    <row r="404" spans="151:162" x14ac:dyDescent="0.2">
      <c r="EU404" s="67">
        <v>562.27</v>
      </c>
      <c r="EV404" s="67" t="s">
        <v>3252</v>
      </c>
      <c r="EW404" s="67">
        <v>484.43</v>
      </c>
      <c r="EX404" s="67" t="s">
        <v>3253</v>
      </c>
      <c r="EY404" s="67">
        <v>5636</v>
      </c>
      <c r="EZ404" s="67" t="s">
        <v>3254</v>
      </c>
      <c r="FA404" s="67">
        <v>19894.75</v>
      </c>
      <c r="FB404" s="67" t="s">
        <v>3255</v>
      </c>
      <c r="FC404" s="67" t="s">
        <v>3256</v>
      </c>
      <c r="FD404" s="67" t="s">
        <v>3257</v>
      </c>
      <c r="FE404" s="68" t="s">
        <v>3258</v>
      </c>
      <c r="FF404" s="68" t="s">
        <v>3259</v>
      </c>
    </row>
    <row r="405" spans="151:162" x14ac:dyDescent="0.2">
      <c r="EU405" s="67">
        <v>562.07000000000005</v>
      </c>
      <c r="EV405" s="67" t="s">
        <v>3260</v>
      </c>
      <c r="EW405" s="67">
        <v>484.26</v>
      </c>
      <c r="EX405" s="67" t="s">
        <v>3261</v>
      </c>
      <c r="EY405" s="67">
        <v>5634</v>
      </c>
      <c r="EZ405" s="67" t="s">
        <v>3262</v>
      </c>
      <c r="FA405" s="67">
        <v>19888</v>
      </c>
      <c r="FB405" s="67" t="s">
        <v>3263</v>
      </c>
      <c r="FC405" s="67" t="s">
        <v>3264</v>
      </c>
      <c r="FD405" s="67" t="s">
        <v>3265</v>
      </c>
      <c r="FE405" s="68" t="s">
        <v>3266</v>
      </c>
      <c r="FF405" s="68" t="s">
        <v>3267</v>
      </c>
    </row>
    <row r="406" spans="151:162" x14ac:dyDescent="0.2">
      <c r="EU406" s="67">
        <v>562.07000000000005</v>
      </c>
      <c r="EV406" s="67" t="s">
        <v>3268</v>
      </c>
      <c r="EW406" s="67">
        <v>484.26</v>
      </c>
      <c r="EX406" s="67" t="s">
        <v>3269</v>
      </c>
      <c r="EY406" s="67">
        <v>5633.75</v>
      </c>
      <c r="EZ406" s="67" t="s">
        <v>3270</v>
      </c>
      <c r="FA406" s="67">
        <v>19887.5</v>
      </c>
      <c r="FB406" s="67" t="s">
        <v>3271</v>
      </c>
      <c r="FC406" s="67" t="s">
        <v>3272</v>
      </c>
      <c r="FD406" s="67" t="s">
        <v>3273</v>
      </c>
      <c r="FE406" s="68" t="s">
        <v>3274</v>
      </c>
      <c r="FF406" s="68" t="s">
        <v>3275</v>
      </c>
    </row>
    <row r="407" spans="151:162" x14ac:dyDescent="0.2">
      <c r="EU407" s="67">
        <v>561.89</v>
      </c>
      <c r="EV407" s="67" t="s">
        <v>3276</v>
      </c>
      <c r="EW407" s="67">
        <v>484.18</v>
      </c>
      <c r="EX407" s="67" t="s">
        <v>3277</v>
      </c>
      <c r="EY407" s="67">
        <v>5632.25</v>
      </c>
      <c r="EZ407" s="67" t="s">
        <v>3278</v>
      </c>
      <c r="FA407" s="67">
        <v>19883.5</v>
      </c>
      <c r="FB407" s="67" t="s">
        <v>3279</v>
      </c>
      <c r="FC407" s="67" t="s">
        <v>3280</v>
      </c>
      <c r="FD407" s="67" t="s">
        <v>3281</v>
      </c>
      <c r="FE407" s="68" t="s">
        <v>3282</v>
      </c>
      <c r="FF407" s="68" t="s">
        <v>3283</v>
      </c>
    </row>
    <row r="408" spans="151:162" x14ac:dyDescent="0.2">
      <c r="EU408" s="67">
        <v>561.87</v>
      </c>
      <c r="EV408" s="67" t="s">
        <v>3284</v>
      </c>
      <c r="EW408" s="67">
        <v>484.12</v>
      </c>
      <c r="EX408" s="67" t="s">
        <v>3285</v>
      </c>
      <c r="EY408" s="67">
        <v>5632</v>
      </c>
      <c r="EZ408" s="67" t="s">
        <v>3286</v>
      </c>
      <c r="FA408" s="67">
        <v>19882.25</v>
      </c>
      <c r="FB408" s="67" t="s">
        <v>3287</v>
      </c>
      <c r="FC408" s="67" t="s">
        <v>3288</v>
      </c>
      <c r="FD408" s="67" t="s">
        <v>3289</v>
      </c>
      <c r="FE408" s="68" t="s">
        <v>3290</v>
      </c>
      <c r="FF408" s="68" t="s">
        <v>3291</v>
      </c>
    </row>
    <row r="409" spans="151:162" x14ac:dyDescent="0.2">
      <c r="EU409" s="67">
        <v>561.91</v>
      </c>
      <c r="EV409" s="67" t="s">
        <v>3292</v>
      </c>
      <c r="EW409" s="67">
        <v>484.15</v>
      </c>
      <c r="EX409" s="67" t="s">
        <v>3293</v>
      </c>
      <c r="EY409" s="67">
        <v>5632.25</v>
      </c>
      <c r="EZ409" s="67" t="s">
        <v>3294</v>
      </c>
      <c r="FA409" s="67">
        <v>19883.25</v>
      </c>
      <c r="FB409" s="67" t="s">
        <v>3295</v>
      </c>
      <c r="FC409" s="67" t="s">
        <v>3296</v>
      </c>
      <c r="FD409" s="67" t="s">
        <v>3297</v>
      </c>
      <c r="FE409" s="68" t="s">
        <v>3298</v>
      </c>
      <c r="FF409" s="68" t="s">
        <v>3299</v>
      </c>
    </row>
    <row r="410" spans="151:162" x14ac:dyDescent="0.2">
      <c r="EU410" s="67">
        <v>562.16</v>
      </c>
      <c r="EV410" s="67" t="s">
        <v>3300</v>
      </c>
      <c r="EW410" s="67">
        <v>484.38</v>
      </c>
      <c r="EX410" s="67" t="s">
        <v>3301</v>
      </c>
      <c r="EY410" s="67">
        <v>5635</v>
      </c>
      <c r="EZ410" s="67" t="s">
        <v>3302</v>
      </c>
      <c r="FA410" s="67">
        <v>19893</v>
      </c>
      <c r="FB410" s="67" t="s">
        <v>3303</v>
      </c>
      <c r="FC410" s="67" t="s">
        <v>3304</v>
      </c>
      <c r="FD410" s="67" t="s">
        <v>3305</v>
      </c>
      <c r="FE410" s="68" t="s">
        <v>3306</v>
      </c>
      <c r="FF410" s="68" t="s">
        <v>3307</v>
      </c>
    </row>
    <row r="411" spans="151:162" x14ac:dyDescent="0.2">
      <c r="EU411" s="67">
        <v>562.1</v>
      </c>
      <c r="EV411" s="67" t="s">
        <v>3308</v>
      </c>
      <c r="EW411" s="67">
        <v>484.32</v>
      </c>
      <c r="EX411" s="67" t="s">
        <v>3309</v>
      </c>
      <c r="EY411" s="67">
        <v>5634.25</v>
      </c>
      <c r="EZ411" s="67" t="s">
        <v>3310</v>
      </c>
      <c r="FA411" s="67">
        <v>19890.75</v>
      </c>
      <c r="FB411" s="67" t="s">
        <v>3311</v>
      </c>
      <c r="FC411" s="67" t="s">
        <v>3312</v>
      </c>
      <c r="FD411" s="67" t="s">
        <v>3313</v>
      </c>
      <c r="FE411" s="68" t="s">
        <v>3314</v>
      </c>
      <c r="FF411" s="68" t="s">
        <v>3315</v>
      </c>
    </row>
    <row r="412" spans="151:162" x14ac:dyDescent="0.2">
      <c r="EU412" s="67">
        <v>562.22</v>
      </c>
      <c r="EV412" s="67" t="s">
        <v>3316</v>
      </c>
      <c r="EW412" s="67">
        <v>484.42</v>
      </c>
      <c r="EX412" s="67" t="s">
        <v>3317</v>
      </c>
      <c r="EY412" s="67">
        <v>5635.5</v>
      </c>
      <c r="EZ412" s="67" t="s">
        <v>3318</v>
      </c>
      <c r="FA412" s="67">
        <v>19895</v>
      </c>
      <c r="FB412" s="67" t="s">
        <v>3319</v>
      </c>
      <c r="FC412" s="67" t="s">
        <v>3320</v>
      </c>
      <c r="FD412" s="67" t="s">
        <v>3321</v>
      </c>
      <c r="FE412" s="68" t="s">
        <v>3322</v>
      </c>
      <c r="FF412" s="68" t="s">
        <v>3323</v>
      </c>
    </row>
    <row r="413" spans="151:162" x14ac:dyDescent="0.2">
      <c r="EU413" s="67">
        <v>562.22</v>
      </c>
      <c r="EV413" s="67" t="s">
        <v>3324</v>
      </c>
      <c r="EW413" s="67">
        <v>484.41</v>
      </c>
      <c r="EX413" s="67" t="s">
        <v>3325</v>
      </c>
      <c r="EY413" s="67">
        <v>5635.75</v>
      </c>
      <c r="EZ413" s="67" t="s">
        <v>3326</v>
      </c>
      <c r="FA413" s="67">
        <v>19894.75</v>
      </c>
      <c r="FB413" s="67" t="s">
        <v>3327</v>
      </c>
      <c r="FC413" s="67" t="s">
        <v>3328</v>
      </c>
      <c r="FD413" s="67" t="s">
        <v>3329</v>
      </c>
      <c r="FE413" s="68" t="s">
        <v>3330</v>
      </c>
      <c r="FF413" s="68" t="s">
        <v>3331</v>
      </c>
    </row>
    <row r="414" spans="151:162" x14ac:dyDescent="0.2">
      <c r="EU414" s="67">
        <v>562.24</v>
      </c>
      <c r="EV414" s="67" t="s">
        <v>3332</v>
      </c>
      <c r="EW414" s="67">
        <v>484.41</v>
      </c>
      <c r="EX414" s="67" t="s">
        <v>3333</v>
      </c>
      <c r="EY414" s="67">
        <v>5635.75</v>
      </c>
      <c r="EZ414" s="67" t="s">
        <v>3334</v>
      </c>
      <c r="FA414" s="67">
        <v>19894.5</v>
      </c>
      <c r="FB414" s="67" t="s">
        <v>3335</v>
      </c>
      <c r="FC414" s="67" t="s">
        <v>3336</v>
      </c>
      <c r="FD414" s="67" t="s">
        <v>3337</v>
      </c>
      <c r="FE414" s="68" t="s">
        <v>3338</v>
      </c>
      <c r="FF414" s="68" t="s">
        <v>3339</v>
      </c>
    </row>
    <row r="415" spans="151:162" x14ac:dyDescent="0.2">
      <c r="EU415" s="67">
        <v>562.22</v>
      </c>
      <c r="EV415" s="67" t="s">
        <v>3340</v>
      </c>
      <c r="EW415" s="67">
        <v>484.46</v>
      </c>
      <c r="EX415" s="67" t="s">
        <v>3341</v>
      </c>
      <c r="EY415" s="67">
        <v>5635.5</v>
      </c>
      <c r="EZ415" s="67" t="s">
        <v>3342</v>
      </c>
      <c r="FA415" s="67">
        <v>19896.75</v>
      </c>
      <c r="FB415" s="67" t="s">
        <v>3343</v>
      </c>
      <c r="FC415" s="67" t="s">
        <v>3344</v>
      </c>
      <c r="FD415" s="67" t="s">
        <v>3345</v>
      </c>
      <c r="FE415" s="68" t="s">
        <v>3346</v>
      </c>
      <c r="FF415" s="68" t="s">
        <v>3347</v>
      </c>
    </row>
    <row r="416" spans="151:162" x14ac:dyDescent="0.2">
      <c r="EU416" s="67">
        <v>562.17999999999995</v>
      </c>
      <c r="EV416" s="67" t="s">
        <v>3348</v>
      </c>
      <c r="EW416" s="67">
        <v>484.43</v>
      </c>
      <c r="EX416" s="67" t="s">
        <v>3349</v>
      </c>
      <c r="EY416" s="67">
        <v>5635</v>
      </c>
      <c r="EZ416" s="67" t="s">
        <v>3350</v>
      </c>
      <c r="FA416" s="67">
        <v>19895.25</v>
      </c>
      <c r="FB416" s="67" t="s">
        <v>3351</v>
      </c>
      <c r="FC416" s="67" t="s">
        <v>3352</v>
      </c>
      <c r="FD416" s="67" t="s">
        <v>3353</v>
      </c>
      <c r="FE416" s="68" t="s">
        <v>3354</v>
      </c>
      <c r="FF416" s="68" t="s">
        <v>3355</v>
      </c>
    </row>
    <row r="417" spans="151:162" x14ac:dyDescent="0.2">
      <c r="EU417" s="67">
        <v>562.26</v>
      </c>
      <c r="EV417" s="67" t="s">
        <v>3356</v>
      </c>
      <c r="EW417" s="67">
        <v>484.52</v>
      </c>
      <c r="EX417" s="67" t="s">
        <v>3357</v>
      </c>
      <c r="EY417" s="67">
        <v>5636</v>
      </c>
      <c r="EZ417" s="67" t="s">
        <v>3358</v>
      </c>
      <c r="FA417" s="67">
        <v>19898.5</v>
      </c>
      <c r="FB417" s="67" t="s">
        <v>3359</v>
      </c>
      <c r="FC417" s="67" t="s">
        <v>3360</v>
      </c>
      <c r="FD417" s="67" t="s">
        <v>3361</v>
      </c>
      <c r="FE417" s="68" t="s">
        <v>3362</v>
      </c>
      <c r="FF417" s="68" t="s">
        <v>3363</v>
      </c>
    </row>
    <row r="418" spans="151:162" x14ac:dyDescent="0.2">
      <c r="EU418" s="67">
        <v>562.16</v>
      </c>
      <c r="EV418" s="67" t="s">
        <v>3364</v>
      </c>
      <c r="EW418" s="67">
        <v>484.4</v>
      </c>
      <c r="EX418" s="67" t="s">
        <v>3365</v>
      </c>
      <c r="EY418" s="67">
        <v>5635</v>
      </c>
      <c r="EZ418" s="67" t="s">
        <v>3366</v>
      </c>
      <c r="FA418" s="67">
        <v>19892.5</v>
      </c>
      <c r="FB418" s="67" t="s">
        <v>3367</v>
      </c>
      <c r="FC418" s="67" t="s">
        <v>3368</v>
      </c>
      <c r="FD418" s="67" t="s">
        <v>3369</v>
      </c>
      <c r="FE418" s="68" t="s">
        <v>3370</v>
      </c>
      <c r="FF418" s="68" t="s">
        <v>3371</v>
      </c>
    </row>
    <row r="419" spans="151:162" x14ac:dyDescent="0.2">
      <c r="EU419" s="67">
        <v>562.12</v>
      </c>
      <c r="EV419" s="67" t="s">
        <v>3372</v>
      </c>
      <c r="EW419" s="67">
        <v>484.36</v>
      </c>
      <c r="EX419" s="67" t="s">
        <v>3373</v>
      </c>
      <c r="EY419" s="67">
        <v>5634.75</v>
      </c>
      <c r="EZ419" s="67" t="s">
        <v>3374</v>
      </c>
      <c r="FA419" s="67">
        <v>19892.25</v>
      </c>
      <c r="FB419" s="67" t="s">
        <v>3375</v>
      </c>
      <c r="FC419" s="67" t="s">
        <v>3376</v>
      </c>
      <c r="FD419" s="67" t="s">
        <v>3377</v>
      </c>
      <c r="FE419" s="68" t="s">
        <v>3378</v>
      </c>
      <c r="FF419" s="68" t="s">
        <v>3379</v>
      </c>
    </row>
    <row r="420" spans="151:162" x14ac:dyDescent="0.2">
      <c r="EU420" s="67">
        <v>562.16999999999996</v>
      </c>
      <c r="EV420" s="67" t="s">
        <v>3380</v>
      </c>
      <c r="EW420" s="67">
        <v>484.42</v>
      </c>
      <c r="EX420" s="67" t="s">
        <v>3381</v>
      </c>
      <c r="EY420" s="67">
        <v>5635</v>
      </c>
      <c r="EZ420" s="67" t="s">
        <v>3382</v>
      </c>
      <c r="FA420" s="67">
        <v>19895.5</v>
      </c>
      <c r="FB420" s="67" t="s">
        <v>3383</v>
      </c>
      <c r="FC420" s="67" t="s">
        <v>3384</v>
      </c>
      <c r="FD420" s="67" t="s">
        <v>3385</v>
      </c>
      <c r="FE420" s="68" t="s">
        <v>3386</v>
      </c>
      <c r="FF420" s="68" t="s">
        <v>3387</v>
      </c>
    </row>
    <row r="421" spans="151:162" x14ac:dyDescent="0.2">
      <c r="EU421" s="67">
        <v>562.07000000000005</v>
      </c>
      <c r="EV421" s="67" t="s">
        <v>3388</v>
      </c>
      <c r="EW421" s="67">
        <v>484.32</v>
      </c>
      <c r="EX421" s="67" t="s">
        <v>3389</v>
      </c>
      <c r="EY421" s="67">
        <v>5634.25</v>
      </c>
      <c r="EZ421" s="67" t="s">
        <v>3390</v>
      </c>
      <c r="FA421" s="67">
        <v>19891.5</v>
      </c>
      <c r="FB421" s="67" t="s">
        <v>3391</v>
      </c>
      <c r="FC421" s="67" t="s">
        <v>3392</v>
      </c>
      <c r="FD421" s="67" t="s">
        <v>3393</v>
      </c>
      <c r="FE421" s="68" t="s">
        <v>3394</v>
      </c>
      <c r="FF421" s="68" t="s">
        <v>3395</v>
      </c>
    </row>
    <row r="422" spans="151:162" x14ac:dyDescent="0.2">
      <c r="EU422" s="67">
        <v>562.13</v>
      </c>
      <c r="EV422" s="67" t="s">
        <v>3396</v>
      </c>
      <c r="EW422" s="67">
        <v>484.33</v>
      </c>
      <c r="EX422" s="67" t="s">
        <v>3397</v>
      </c>
      <c r="EY422" s="67">
        <v>5634.75</v>
      </c>
      <c r="EZ422" s="67" t="s">
        <v>3398</v>
      </c>
      <c r="FA422" s="67">
        <v>19891.5</v>
      </c>
      <c r="FB422" s="67" t="s">
        <v>3399</v>
      </c>
      <c r="FC422" s="67" t="s">
        <v>3400</v>
      </c>
      <c r="FD422" s="67" t="s">
        <v>3401</v>
      </c>
      <c r="FE422" s="68" t="s">
        <v>3402</v>
      </c>
      <c r="FF422" s="68" t="s">
        <v>3403</v>
      </c>
    </row>
    <row r="423" spans="151:162" x14ac:dyDescent="0.2">
      <c r="EU423" s="67">
        <v>562.21</v>
      </c>
      <c r="EV423" s="67" t="s">
        <v>3404</v>
      </c>
      <c r="EW423" s="67">
        <v>484.43</v>
      </c>
      <c r="EX423" s="67" t="s">
        <v>3405</v>
      </c>
      <c r="EY423" s="67">
        <v>5635.25</v>
      </c>
      <c r="EZ423" s="67" t="s">
        <v>3406</v>
      </c>
      <c r="FA423" s="67">
        <v>19895.75</v>
      </c>
      <c r="FB423" s="67" t="s">
        <v>3407</v>
      </c>
      <c r="FC423" s="67" t="s">
        <v>3408</v>
      </c>
      <c r="FD423" s="67" t="s">
        <v>3409</v>
      </c>
      <c r="FE423" s="68" t="s">
        <v>3410</v>
      </c>
      <c r="FF423" s="68" t="s">
        <v>3411</v>
      </c>
    </row>
    <row r="424" spans="151:162" x14ac:dyDescent="0.2">
      <c r="EU424" s="67">
        <v>562.19000000000005</v>
      </c>
      <c r="EV424" s="67" t="s">
        <v>3412</v>
      </c>
      <c r="EW424" s="67">
        <v>484.41</v>
      </c>
      <c r="EX424" s="67" t="s">
        <v>3413</v>
      </c>
      <c r="EY424" s="67">
        <v>5635.25</v>
      </c>
      <c r="EZ424" s="67" t="s">
        <v>3414</v>
      </c>
      <c r="FA424" s="67">
        <v>19895.5</v>
      </c>
      <c r="FB424" s="67" t="s">
        <v>3415</v>
      </c>
      <c r="FC424" s="67" t="s">
        <v>3416</v>
      </c>
      <c r="FD424" s="67" t="s">
        <v>3417</v>
      </c>
      <c r="FE424" s="68" t="s">
        <v>3418</v>
      </c>
      <c r="FF424" s="68" t="s">
        <v>3419</v>
      </c>
    </row>
    <row r="425" spans="151:162" x14ac:dyDescent="0.2">
      <c r="EU425" s="67">
        <v>562.22</v>
      </c>
      <c r="EV425" s="67" t="s">
        <v>3420</v>
      </c>
      <c r="EW425" s="67">
        <v>484.41</v>
      </c>
      <c r="EX425" s="67" t="s">
        <v>3421</v>
      </c>
      <c r="EY425" s="67">
        <v>5635.5</v>
      </c>
      <c r="EZ425" s="67" t="s">
        <v>3422</v>
      </c>
      <c r="FA425" s="67">
        <v>19895.25</v>
      </c>
      <c r="FB425" s="67" t="s">
        <v>3423</v>
      </c>
      <c r="FC425" s="67" t="s">
        <v>3424</v>
      </c>
      <c r="FD425" s="67" t="s">
        <v>3425</v>
      </c>
      <c r="FE425" s="68" t="s">
        <v>3426</v>
      </c>
      <c r="FF425" s="68" t="s">
        <v>3427</v>
      </c>
    </row>
    <row r="426" spans="151:162" x14ac:dyDescent="0.2">
      <c r="EU426" s="67">
        <v>562.24</v>
      </c>
      <c r="EV426" s="67" t="s">
        <v>3428</v>
      </c>
      <c r="EW426" s="67">
        <v>484.4</v>
      </c>
      <c r="EX426" s="67" t="s">
        <v>3429</v>
      </c>
      <c r="EY426" s="67">
        <v>5635.75</v>
      </c>
      <c r="EZ426" s="67" t="s">
        <v>3430</v>
      </c>
      <c r="FA426" s="67">
        <v>19894.75</v>
      </c>
      <c r="FB426" s="67" t="s">
        <v>3431</v>
      </c>
      <c r="FC426" s="67" t="s">
        <v>3432</v>
      </c>
      <c r="FD426" s="67" t="s">
        <v>3433</v>
      </c>
      <c r="FE426" s="68" t="s">
        <v>3434</v>
      </c>
      <c r="FF426" s="68" t="s">
        <v>3435</v>
      </c>
    </row>
    <row r="427" spans="151:162" x14ac:dyDescent="0.2">
      <c r="EU427" s="67">
        <v>562.23</v>
      </c>
      <c r="EV427" s="67" t="s">
        <v>3436</v>
      </c>
      <c r="EW427" s="67">
        <v>484.42</v>
      </c>
      <c r="EX427" s="67" t="s">
        <v>3437</v>
      </c>
      <c r="EY427" s="67">
        <v>5635.75</v>
      </c>
      <c r="EZ427" s="67" t="s">
        <v>3438</v>
      </c>
      <c r="FA427" s="67">
        <v>19896.25</v>
      </c>
      <c r="FB427" s="67" t="s">
        <v>3439</v>
      </c>
      <c r="FC427" s="67" t="s">
        <v>3440</v>
      </c>
      <c r="FD427" s="67" t="s">
        <v>3441</v>
      </c>
      <c r="FE427" s="68" t="s">
        <v>3442</v>
      </c>
      <c r="FF427" s="68" t="s">
        <v>3443</v>
      </c>
    </row>
    <row r="428" spans="151:162" x14ac:dyDescent="0.2">
      <c r="EU428" s="67">
        <v>562.07000000000005</v>
      </c>
      <c r="EV428" s="67" t="s">
        <v>3444</v>
      </c>
      <c r="EW428" s="67">
        <v>484.22</v>
      </c>
      <c r="EX428" s="67" t="s">
        <v>3445</v>
      </c>
      <c r="EY428" s="67">
        <v>5634.25</v>
      </c>
      <c r="EZ428" s="67" t="s">
        <v>3446</v>
      </c>
      <c r="FA428" s="67">
        <v>19887.75</v>
      </c>
      <c r="FB428" s="67" t="s">
        <v>3447</v>
      </c>
      <c r="FC428" s="67" t="s">
        <v>3448</v>
      </c>
      <c r="FD428" s="67" t="s">
        <v>3449</v>
      </c>
      <c r="FE428" s="68" t="s">
        <v>3450</v>
      </c>
      <c r="FF428" s="68" t="s">
        <v>3451</v>
      </c>
    </row>
    <row r="429" spans="151:162" x14ac:dyDescent="0.2">
      <c r="EU429" s="67">
        <v>561.75</v>
      </c>
      <c r="EV429" s="67" t="s">
        <v>3452</v>
      </c>
      <c r="EW429" s="67">
        <v>483.91</v>
      </c>
      <c r="EX429" s="67" t="s">
        <v>3453</v>
      </c>
      <c r="EY429" s="67">
        <v>5630.75</v>
      </c>
      <c r="EZ429" s="67" t="s">
        <v>3454</v>
      </c>
      <c r="FA429" s="67">
        <v>19874.5</v>
      </c>
      <c r="FB429" s="67" t="s">
        <v>3455</v>
      </c>
      <c r="FC429" s="67" t="s">
        <v>3456</v>
      </c>
      <c r="FD429" s="67" t="s">
        <v>3457</v>
      </c>
      <c r="FE429" s="68" t="s">
        <v>3458</v>
      </c>
      <c r="FF429" s="68" t="s">
        <v>3459</v>
      </c>
    </row>
    <row r="430" spans="151:162" x14ac:dyDescent="0.2">
      <c r="EU430" s="67">
        <v>561.54</v>
      </c>
      <c r="EV430" s="67" t="s">
        <v>3460</v>
      </c>
      <c r="EW430" s="67">
        <v>483.57</v>
      </c>
      <c r="EX430" s="67" t="s">
        <v>3461</v>
      </c>
      <c r="EY430" s="67">
        <v>5628.5</v>
      </c>
      <c r="EZ430" s="67" t="s">
        <v>3462</v>
      </c>
      <c r="FA430" s="67">
        <v>19859.75</v>
      </c>
      <c r="FB430" s="67" t="s">
        <v>3463</v>
      </c>
      <c r="FC430" s="67" t="s">
        <v>3464</v>
      </c>
      <c r="FD430" s="67" t="s">
        <v>3465</v>
      </c>
      <c r="FE430" s="68" t="s">
        <v>3466</v>
      </c>
      <c r="FF430" s="68" t="s">
        <v>3467</v>
      </c>
    </row>
    <row r="431" spans="151:162" x14ac:dyDescent="0.2">
      <c r="EU431" s="67">
        <v>561.54999999999995</v>
      </c>
      <c r="EV431" s="67" t="s">
        <v>3468</v>
      </c>
      <c r="EW431" s="67">
        <v>483.56</v>
      </c>
      <c r="EX431" s="67" t="s">
        <v>3469</v>
      </c>
      <c r="EY431" s="67">
        <v>5628.75</v>
      </c>
      <c r="EZ431" s="67" t="s">
        <v>3470</v>
      </c>
      <c r="FA431" s="67">
        <v>19860.5</v>
      </c>
      <c r="FB431" s="67" t="s">
        <v>3471</v>
      </c>
      <c r="FC431" s="67" t="s">
        <v>3472</v>
      </c>
      <c r="FD431" s="67" t="s">
        <v>3473</v>
      </c>
      <c r="FE431" s="68" t="s">
        <v>3474</v>
      </c>
      <c r="FF431" s="68" t="s">
        <v>3475</v>
      </c>
    </row>
    <row r="432" spans="151:162" x14ac:dyDescent="0.2">
      <c r="EU432" s="67">
        <v>561.16</v>
      </c>
      <c r="EV432" s="67" t="s">
        <v>3476</v>
      </c>
      <c r="EW432" s="67">
        <v>483.07</v>
      </c>
      <c r="EX432" s="67" t="s">
        <v>3477</v>
      </c>
      <c r="EY432" s="67">
        <v>5624.75</v>
      </c>
      <c r="EZ432" s="67" t="s">
        <v>3478</v>
      </c>
      <c r="FA432" s="67">
        <v>19840.75</v>
      </c>
      <c r="FB432" s="67" t="s">
        <v>3479</v>
      </c>
      <c r="FC432" s="67" t="s">
        <v>3480</v>
      </c>
      <c r="FD432" s="67" t="s">
        <v>3481</v>
      </c>
      <c r="FE432" s="68" t="s">
        <v>3482</v>
      </c>
      <c r="FF432" s="68" t="s">
        <v>3483</v>
      </c>
    </row>
    <row r="433" spans="151:162" x14ac:dyDescent="0.2">
      <c r="EU433" s="67">
        <v>561.03</v>
      </c>
      <c r="EV433" s="67" t="s">
        <v>3484</v>
      </c>
      <c r="EW433" s="67">
        <v>482.91</v>
      </c>
      <c r="EX433" s="67" t="s">
        <v>3485</v>
      </c>
      <c r="EY433" s="67">
        <v>5623</v>
      </c>
      <c r="EZ433" s="67" t="s">
        <v>3486</v>
      </c>
      <c r="FA433" s="67">
        <v>19831.75</v>
      </c>
      <c r="FB433" s="67" t="s">
        <v>3487</v>
      </c>
      <c r="FC433" s="67" t="s">
        <v>3488</v>
      </c>
      <c r="FD433" s="67" t="s">
        <v>3489</v>
      </c>
      <c r="FE433" s="68" t="s">
        <v>3490</v>
      </c>
      <c r="FF433" s="68" t="s">
        <v>3491</v>
      </c>
    </row>
    <row r="434" spans="151:162" x14ac:dyDescent="0.2">
      <c r="EU434" s="67">
        <v>560.79999999999995</v>
      </c>
      <c r="EV434" s="67" t="s">
        <v>3492</v>
      </c>
      <c r="EW434" s="67">
        <v>482.7</v>
      </c>
      <c r="EX434" s="67" t="s">
        <v>3493</v>
      </c>
      <c r="EY434" s="67">
        <v>5621</v>
      </c>
      <c r="EZ434" s="67" t="s">
        <v>3494</v>
      </c>
      <c r="FA434" s="67">
        <v>19823.75</v>
      </c>
      <c r="FB434" s="67" t="s">
        <v>3495</v>
      </c>
      <c r="FC434" s="67" t="s">
        <v>3496</v>
      </c>
      <c r="FD434" s="67" t="s">
        <v>3497</v>
      </c>
      <c r="FE434" s="68" t="s">
        <v>3498</v>
      </c>
      <c r="FF434" s="68" t="s">
        <v>3499</v>
      </c>
    </row>
    <row r="435" spans="151:162" x14ac:dyDescent="0.2">
      <c r="EU435" s="67">
        <v>560.83000000000004</v>
      </c>
      <c r="EV435" s="67" t="s">
        <v>3500</v>
      </c>
      <c r="EW435" s="67">
        <v>482.76</v>
      </c>
      <c r="EX435" s="67" t="s">
        <v>3501</v>
      </c>
      <c r="EY435" s="67">
        <v>5621.75</v>
      </c>
      <c r="EZ435" s="67" t="s">
        <v>3502</v>
      </c>
      <c r="FA435" s="67">
        <v>19826.75</v>
      </c>
      <c r="FB435" s="67" t="s">
        <v>3503</v>
      </c>
      <c r="FC435" s="67" t="s">
        <v>3504</v>
      </c>
      <c r="FD435" s="67" t="s">
        <v>3505</v>
      </c>
      <c r="FE435" s="68" t="s">
        <v>3506</v>
      </c>
      <c r="FF435" s="68" t="s">
        <v>3507</v>
      </c>
    </row>
    <row r="436" spans="151:162" x14ac:dyDescent="0.2">
      <c r="EU436" s="67">
        <v>560.92999999999995</v>
      </c>
      <c r="EV436" s="67" t="s">
        <v>3508</v>
      </c>
      <c r="EW436" s="67">
        <v>482.89</v>
      </c>
      <c r="EX436" s="67" t="s">
        <v>3509</v>
      </c>
      <c r="EY436" s="67">
        <v>5622.25</v>
      </c>
      <c r="EZ436" s="67" t="s">
        <v>3510</v>
      </c>
      <c r="FA436" s="67">
        <v>19833</v>
      </c>
      <c r="FB436" s="67" t="s">
        <v>3511</v>
      </c>
      <c r="FC436" s="67" t="s">
        <v>3512</v>
      </c>
      <c r="FD436" s="67" t="s">
        <v>3513</v>
      </c>
      <c r="FE436" s="68" t="s">
        <v>3514</v>
      </c>
      <c r="FF436" s="68" t="s">
        <v>3515</v>
      </c>
    </row>
    <row r="437" spans="151:162" x14ac:dyDescent="0.2">
      <c r="EU437" s="67">
        <v>560.79999999999995</v>
      </c>
      <c r="EV437" s="67" t="s">
        <v>3516</v>
      </c>
      <c r="EW437" s="67">
        <v>482.82</v>
      </c>
      <c r="EX437" s="67" t="s">
        <v>3517</v>
      </c>
      <c r="EY437" s="67">
        <v>5621.25</v>
      </c>
      <c r="EZ437" s="67" t="s">
        <v>3518</v>
      </c>
      <c r="FA437" s="67">
        <v>19828.75</v>
      </c>
      <c r="FB437" s="67" t="s">
        <v>3519</v>
      </c>
      <c r="FC437" s="67" t="s">
        <v>3520</v>
      </c>
      <c r="FD437" s="67" t="s">
        <v>3521</v>
      </c>
      <c r="FE437" s="68" t="s">
        <v>3522</v>
      </c>
      <c r="FF437" s="68" t="s">
        <v>3523</v>
      </c>
    </row>
    <row r="438" spans="151:162" x14ac:dyDescent="0.2">
      <c r="EU438" s="67">
        <v>560.72</v>
      </c>
      <c r="EV438" s="67" t="s">
        <v>3524</v>
      </c>
      <c r="EW438" s="67">
        <v>482.7</v>
      </c>
      <c r="EX438" s="67" t="s">
        <v>3525</v>
      </c>
      <c r="EY438" s="67">
        <v>5620.25</v>
      </c>
      <c r="EZ438" s="67" t="s">
        <v>3526</v>
      </c>
      <c r="FA438" s="67">
        <v>19824.75</v>
      </c>
      <c r="FB438" s="67" t="s">
        <v>3527</v>
      </c>
      <c r="FC438" s="67" t="s">
        <v>3528</v>
      </c>
      <c r="FD438" s="67" t="s">
        <v>3529</v>
      </c>
      <c r="FE438" s="68" t="s">
        <v>3530</v>
      </c>
      <c r="FF438" s="68" t="s">
        <v>3531</v>
      </c>
    </row>
    <row r="439" spans="151:162" x14ac:dyDescent="0.2">
      <c r="EU439" s="67">
        <v>560.92999999999995</v>
      </c>
      <c r="EV439" s="67" t="s">
        <v>3532</v>
      </c>
      <c r="EW439" s="67">
        <v>482.97</v>
      </c>
      <c r="EX439" s="67" t="s">
        <v>3533</v>
      </c>
      <c r="EY439" s="67">
        <v>5622.5</v>
      </c>
      <c r="EZ439" s="67" t="s">
        <v>3534</v>
      </c>
      <c r="FA439" s="67">
        <v>19836.25</v>
      </c>
      <c r="FB439" s="67" t="s">
        <v>3535</v>
      </c>
      <c r="FC439" s="67" t="s">
        <v>3536</v>
      </c>
      <c r="FD439" s="67" t="s">
        <v>3537</v>
      </c>
      <c r="FE439" s="68" t="s">
        <v>3538</v>
      </c>
      <c r="FF439" s="68" t="s">
        <v>3539</v>
      </c>
    </row>
    <row r="440" spans="151:162" x14ac:dyDescent="0.2">
      <c r="EU440" s="67">
        <v>560.76</v>
      </c>
      <c r="EV440" s="67" t="s">
        <v>3540</v>
      </c>
      <c r="EW440" s="67">
        <v>482.8</v>
      </c>
      <c r="EX440" s="67" t="s">
        <v>3541</v>
      </c>
      <c r="EY440" s="67">
        <v>5621</v>
      </c>
      <c r="EZ440" s="67" t="s">
        <v>3542</v>
      </c>
      <c r="FA440" s="67">
        <v>19828.75</v>
      </c>
      <c r="FB440" s="67" t="s">
        <v>3543</v>
      </c>
      <c r="FC440" s="67" t="s">
        <v>3544</v>
      </c>
      <c r="FD440" s="67" t="s">
        <v>3545</v>
      </c>
      <c r="FE440" s="68" t="s">
        <v>3546</v>
      </c>
      <c r="FF440" s="68" t="s">
        <v>3547</v>
      </c>
    </row>
    <row r="441" spans="151:162" x14ac:dyDescent="0.2">
      <c r="EU441" s="67">
        <v>561.15</v>
      </c>
      <c r="EV441" s="67" t="s">
        <v>3548</v>
      </c>
      <c r="EW441" s="67">
        <v>483.15</v>
      </c>
      <c r="EX441" s="67" t="s">
        <v>3549</v>
      </c>
      <c r="EY441" s="67">
        <v>5624.5</v>
      </c>
      <c r="EZ441" s="67" t="s">
        <v>3550</v>
      </c>
      <c r="FA441" s="67">
        <v>19843</v>
      </c>
      <c r="FB441" s="67" t="s">
        <v>3551</v>
      </c>
      <c r="FC441" s="67" t="s">
        <v>3552</v>
      </c>
      <c r="FD441" s="67" t="s">
        <v>3553</v>
      </c>
      <c r="FE441" s="68" t="s">
        <v>3554</v>
      </c>
      <c r="FF441" s="68" t="s">
        <v>3555</v>
      </c>
    </row>
    <row r="442" spans="151:162" x14ac:dyDescent="0.2">
      <c r="EU442" s="67">
        <v>561.05999999999995</v>
      </c>
      <c r="EV442" s="67" t="s">
        <v>3556</v>
      </c>
      <c r="EW442" s="67">
        <v>483.07</v>
      </c>
      <c r="EX442" s="67" t="s">
        <v>3557</v>
      </c>
      <c r="EY442" s="67">
        <v>5623.5</v>
      </c>
      <c r="EZ442" s="67" t="s">
        <v>3558</v>
      </c>
      <c r="FA442" s="67">
        <v>19840</v>
      </c>
      <c r="FB442" s="67" t="s">
        <v>3559</v>
      </c>
      <c r="FC442" s="67" t="s">
        <v>3560</v>
      </c>
      <c r="FD442" s="67" t="s">
        <v>3561</v>
      </c>
      <c r="FE442" s="68" t="s">
        <v>3562</v>
      </c>
      <c r="FF442" s="68" t="s">
        <v>3563</v>
      </c>
    </row>
    <row r="443" spans="151:162" x14ac:dyDescent="0.2">
      <c r="EU443" s="67">
        <v>561.19000000000005</v>
      </c>
      <c r="EV443" s="67" t="s">
        <v>3564</v>
      </c>
      <c r="EW443" s="67">
        <v>483.14</v>
      </c>
      <c r="EX443" s="67" t="s">
        <v>3565</v>
      </c>
      <c r="EY443" s="67">
        <v>5624.75</v>
      </c>
      <c r="EZ443" s="67" t="s">
        <v>3566</v>
      </c>
      <c r="FA443" s="67">
        <v>19843</v>
      </c>
      <c r="FB443" s="67" t="s">
        <v>3567</v>
      </c>
      <c r="FC443" s="67" t="s">
        <v>3568</v>
      </c>
      <c r="FD443" s="67" t="s">
        <v>3569</v>
      </c>
      <c r="FE443" s="68" t="s">
        <v>3570</v>
      </c>
      <c r="FF443" s="68" t="s">
        <v>3571</v>
      </c>
    </row>
    <row r="444" spans="151:162" x14ac:dyDescent="0.2">
      <c r="EU444" s="67">
        <v>561.11</v>
      </c>
      <c r="EV444" s="67" t="s">
        <v>3572</v>
      </c>
      <c r="EW444" s="67">
        <v>483.08</v>
      </c>
      <c r="EX444" s="67" t="s">
        <v>3573</v>
      </c>
      <c r="EY444" s="67">
        <v>5624.25</v>
      </c>
      <c r="EZ444" s="67" t="s">
        <v>3574</v>
      </c>
      <c r="FA444" s="67">
        <v>19840.75</v>
      </c>
      <c r="FB444" s="67" t="s">
        <v>3575</v>
      </c>
      <c r="FC444" s="67" t="s">
        <v>3576</v>
      </c>
      <c r="FD444" s="67" t="s">
        <v>3577</v>
      </c>
      <c r="FE444" s="68" t="s">
        <v>3578</v>
      </c>
      <c r="FF444" s="68" t="s">
        <v>3579</v>
      </c>
    </row>
    <row r="445" spans="151:162" x14ac:dyDescent="0.2">
      <c r="EU445" s="67">
        <v>561.11</v>
      </c>
      <c r="EV445" s="67" t="s">
        <v>3580</v>
      </c>
      <c r="EW445" s="67">
        <v>483.08</v>
      </c>
      <c r="EX445" s="67" t="s">
        <v>3581</v>
      </c>
      <c r="EY445" s="67">
        <v>5624.25</v>
      </c>
      <c r="EZ445" s="67" t="s">
        <v>3582</v>
      </c>
      <c r="FA445" s="67">
        <v>19840.5</v>
      </c>
      <c r="FB445" s="67" t="s">
        <v>3583</v>
      </c>
      <c r="FC445" s="67" t="s">
        <v>3584</v>
      </c>
      <c r="FD445" s="67" t="s">
        <v>3585</v>
      </c>
      <c r="FE445" s="68" t="s">
        <v>3586</v>
      </c>
      <c r="FF445" s="68" t="s">
        <v>3587</v>
      </c>
    </row>
    <row r="446" spans="151:162" x14ac:dyDescent="0.2">
      <c r="EU446" s="67">
        <v>561.29999999999995</v>
      </c>
      <c r="EV446" s="67" t="s">
        <v>3588</v>
      </c>
      <c r="EW446" s="67">
        <v>483.28</v>
      </c>
      <c r="EX446" s="67" t="s">
        <v>3589</v>
      </c>
      <c r="EY446" s="67">
        <v>5626</v>
      </c>
      <c r="EZ446" s="67" t="s">
        <v>3590</v>
      </c>
      <c r="FA446" s="67">
        <v>19848.25</v>
      </c>
      <c r="FB446" s="67" t="s">
        <v>3591</v>
      </c>
      <c r="FC446" s="67" t="s">
        <v>3592</v>
      </c>
      <c r="FD446" s="67" t="s">
        <v>3593</v>
      </c>
      <c r="FE446" s="68" t="s">
        <v>3594</v>
      </c>
      <c r="FF446" s="68" t="s">
        <v>3595</v>
      </c>
    </row>
    <row r="447" spans="151:162" x14ac:dyDescent="0.2">
      <c r="EU447" s="67">
        <v>561.1</v>
      </c>
      <c r="EV447" s="67" t="s">
        <v>3596</v>
      </c>
      <c r="EW447" s="67">
        <v>483.06</v>
      </c>
      <c r="EX447" s="67" t="s">
        <v>3597</v>
      </c>
      <c r="EY447" s="67">
        <v>5624.25</v>
      </c>
      <c r="EZ447" s="67" t="s">
        <v>3598</v>
      </c>
      <c r="FA447" s="67">
        <v>19840.5</v>
      </c>
      <c r="FB447" s="67" t="s">
        <v>3599</v>
      </c>
      <c r="FC447" s="67" t="s">
        <v>3600</v>
      </c>
      <c r="FD447" s="67" t="s">
        <v>3601</v>
      </c>
      <c r="FE447" s="68" t="s">
        <v>3602</v>
      </c>
      <c r="FF447" s="68" t="s">
        <v>3603</v>
      </c>
    </row>
    <row r="448" spans="151:162" x14ac:dyDescent="0.2">
      <c r="EU448" s="67">
        <v>560.87</v>
      </c>
      <c r="EV448" s="67" t="s">
        <v>3604</v>
      </c>
      <c r="EW448" s="67">
        <v>482.84</v>
      </c>
      <c r="EX448" s="67" t="s">
        <v>3605</v>
      </c>
      <c r="EY448" s="67">
        <v>5621.75</v>
      </c>
      <c r="EZ448" s="67" t="s">
        <v>3606</v>
      </c>
      <c r="FA448" s="67">
        <v>19831</v>
      </c>
      <c r="FB448" s="67" t="s">
        <v>3607</v>
      </c>
      <c r="FC448" s="67" t="s">
        <v>3608</v>
      </c>
      <c r="FD448" s="67" t="s">
        <v>3609</v>
      </c>
      <c r="FE448" s="68" t="s">
        <v>3610</v>
      </c>
      <c r="FF448" s="68" t="s">
        <v>3611</v>
      </c>
    </row>
    <row r="449" spans="151:162" x14ac:dyDescent="0.2">
      <c r="EU449" s="67">
        <v>560.77</v>
      </c>
      <c r="EV449" s="67" t="s">
        <v>3612</v>
      </c>
      <c r="EW449" s="67">
        <v>482.7</v>
      </c>
      <c r="EX449" s="67" t="s">
        <v>3613</v>
      </c>
      <c r="EY449" s="67">
        <v>5621</v>
      </c>
      <c r="EZ449" s="67" t="s">
        <v>3614</v>
      </c>
      <c r="FA449" s="67">
        <v>19824</v>
      </c>
      <c r="FB449" s="67" t="s">
        <v>3615</v>
      </c>
      <c r="FC449" s="67" t="s">
        <v>3616</v>
      </c>
      <c r="FD449" s="67" t="s">
        <v>3617</v>
      </c>
      <c r="FE449" s="68" t="s">
        <v>3618</v>
      </c>
      <c r="FF449" s="68" t="s">
        <v>3619</v>
      </c>
    </row>
    <row r="450" spans="151:162" x14ac:dyDescent="0.2">
      <c r="EU450" s="67">
        <v>560.79999999999995</v>
      </c>
      <c r="EV450" s="67" t="s">
        <v>3620</v>
      </c>
      <c r="EW450" s="67">
        <v>482.75</v>
      </c>
      <c r="EX450" s="67" t="s">
        <v>3621</v>
      </c>
      <c r="EY450" s="67">
        <v>5621.75</v>
      </c>
      <c r="EZ450" s="67" t="s">
        <v>3622</v>
      </c>
      <c r="FA450" s="67">
        <v>19828.25</v>
      </c>
      <c r="FB450" s="67" t="s">
        <v>3623</v>
      </c>
      <c r="FC450" s="67" t="s">
        <v>3624</v>
      </c>
      <c r="FD450" s="67" t="s">
        <v>3625</v>
      </c>
      <c r="FE450" s="68" t="s">
        <v>3626</v>
      </c>
      <c r="FF450" s="68" t="s">
        <v>3627</v>
      </c>
    </row>
    <row r="451" spans="151:162" x14ac:dyDescent="0.2">
      <c r="EU451" s="67">
        <v>560.79999999999995</v>
      </c>
      <c r="EV451" s="67" t="s">
        <v>3628</v>
      </c>
      <c r="EW451" s="67">
        <v>482.73</v>
      </c>
      <c r="EX451" s="67" t="s">
        <v>3629</v>
      </c>
      <c r="EY451" s="67">
        <v>5621.25</v>
      </c>
      <c r="EZ451" s="67" t="s">
        <v>3630</v>
      </c>
      <c r="FA451" s="67">
        <v>19826</v>
      </c>
      <c r="FB451" s="67" t="s">
        <v>3631</v>
      </c>
      <c r="FC451" s="67" t="s">
        <v>3632</v>
      </c>
      <c r="FD451" s="67" t="s">
        <v>3633</v>
      </c>
      <c r="FE451" s="68" t="s">
        <v>3634</v>
      </c>
      <c r="FF451" s="68" t="s">
        <v>3635</v>
      </c>
    </row>
    <row r="452" spans="151:162" x14ac:dyDescent="0.2">
      <c r="EU452" s="67">
        <v>560.94000000000005</v>
      </c>
      <c r="EV452" s="67" t="s">
        <v>3636</v>
      </c>
      <c r="EW452" s="67">
        <v>482.77</v>
      </c>
      <c r="EX452" s="67" t="s">
        <v>3637</v>
      </c>
      <c r="EY452" s="67">
        <v>5622.75</v>
      </c>
      <c r="EZ452" s="67" t="s">
        <v>3638</v>
      </c>
      <c r="FA452" s="67">
        <v>19827</v>
      </c>
      <c r="FB452" s="67" t="s">
        <v>3639</v>
      </c>
      <c r="FC452" s="67" t="s">
        <v>3640</v>
      </c>
      <c r="FD452" s="67" t="s">
        <v>3641</v>
      </c>
      <c r="FE452" s="68" t="s">
        <v>3642</v>
      </c>
      <c r="FF452" s="68" t="s">
        <v>3643</v>
      </c>
    </row>
    <row r="453" spans="151:162" x14ac:dyDescent="0.2">
      <c r="EU453" s="67">
        <v>561.04999999999995</v>
      </c>
      <c r="EV453" s="67" t="s">
        <v>3644</v>
      </c>
      <c r="EW453" s="67">
        <v>482.87</v>
      </c>
      <c r="EX453" s="67" t="s">
        <v>3645</v>
      </c>
      <c r="EY453" s="67">
        <v>5623.75</v>
      </c>
      <c r="EZ453" s="67" t="s">
        <v>3646</v>
      </c>
      <c r="FA453" s="67">
        <v>19831.5</v>
      </c>
      <c r="FB453" s="67" t="s">
        <v>3647</v>
      </c>
      <c r="FC453" s="67" t="s">
        <v>3648</v>
      </c>
      <c r="FD453" s="67" t="s">
        <v>3649</v>
      </c>
      <c r="FE453" s="68" t="s">
        <v>3650</v>
      </c>
      <c r="FF453" s="68" t="s">
        <v>3651</v>
      </c>
    </row>
    <row r="454" spans="151:162" x14ac:dyDescent="0.2">
      <c r="EU454" s="67">
        <v>560.82000000000005</v>
      </c>
      <c r="EV454" s="67" t="s">
        <v>3652</v>
      </c>
      <c r="EW454" s="67">
        <v>482.69</v>
      </c>
      <c r="EX454" s="67" t="s">
        <v>3653</v>
      </c>
      <c r="EY454" s="67">
        <v>5621.5</v>
      </c>
      <c r="EZ454" s="67" t="s">
        <v>3654</v>
      </c>
      <c r="FA454" s="67">
        <v>19824.25</v>
      </c>
      <c r="FB454" s="67" t="s">
        <v>3655</v>
      </c>
      <c r="FC454" s="67" t="s">
        <v>3656</v>
      </c>
      <c r="FD454" s="67" t="s">
        <v>3657</v>
      </c>
      <c r="FE454" s="68" t="s">
        <v>3658</v>
      </c>
      <c r="FF454" s="68" t="s">
        <v>3659</v>
      </c>
    </row>
    <row r="455" spans="151:162" x14ac:dyDescent="0.2">
      <c r="EU455" s="67">
        <v>560.75</v>
      </c>
      <c r="EV455" s="67" t="s">
        <v>3660</v>
      </c>
      <c r="EW455" s="67">
        <v>482.59</v>
      </c>
      <c r="EX455" s="67" t="s">
        <v>3661</v>
      </c>
      <c r="EY455" s="67">
        <v>5620.75</v>
      </c>
      <c r="EZ455" s="67" t="s">
        <v>3662</v>
      </c>
      <c r="FA455" s="67">
        <v>19821</v>
      </c>
      <c r="FB455" s="67" t="s">
        <v>3663</v>
      </c>
      <c r="FC455" s="67" t="s">
        <v>3664</v>
      </c>
      <c r="FD455" s="67" t="s">
        <v>3665</v>
      </c>
      <c r="FE455" s="68" t="s">
        <v>3666</v>
      </c>
      <c r="FF455" s="68" t="s">
        <v>3667</v>
      </c>
    </row>
    <row r="456" spans="151:162" x14ac:dyDescent="0.2">
      <c r="EU456" s="67">
        <v>560.9</v>
      </c>
      <c r="EV456" s="67" t="s">
        <v>3668</v>
      </c>
      <c r="EW456" s="67">
        <v>482.8</v>
      </c>
      <c r="EX456" s="67" t="s">
        <v>3669</v>
      </c>
      <c r="EY456" s="67">
        <v>5622.25</v>
      </c>
      <c r="EZ456" s="67" t="s">
        <v>3670</v>
      </c>
      <c r="FA456" s="67">
        <v>19829.5</v>
      </c>
      <c r="FB456" s="67" t="s">
        <v>3671</v>
      </c>
      <c r="FC456" s="67" t="s">
        <v>3672</v>
      </c>
      <c r="FD456" s="67" t="s">
        <v>3673</v>
      </c>
      <c r="FE456" s="68" t="s">
        <v>3674</v>
      </c>
      <c r="FF456" s="68" t="s">
        <v>3675</v>
      </c>
    </row>
    <row r="457" spans="151:162" x14ac:dyDescent="0.2">
      <c r="EU457" s="67">
        <v>560.85</v>
      </c>
      <c r="EV457" s="67" t="s">
        <v>3676</v>
      </c>
      <c r="EW457" s="67">
        <v>482.76</v>
      </c>
      <c r="EX457" s="67" t="s">
        <v>3677</v>
      </c>
      <c r="EY457" s="67">
        <v>5621.75</v>
      </c>
      <c r="EZ457" s="67" t="s">
        <v>3678</v>
      </c>
      <c r="FA457" s="67">
        <v>19826.5</v>
      </c>
      <c r="FB457" s="67" t="s">
        <v>3679</v>
      </c>
      <c r="FC457" s="67" t="s">
        <v>3680</v>
      </c>
      <c r="FD457" s="67" t="s">
        <v>3681</v>
      </c>
      <c r="FE457" s="68" t="s">
        <v>3682</v>
      </c>
      <c r="FF457" s="68" t="s">
        <v>3683</v>
      </c>
    </row>
    <row r="458" spans="151:162" x14ac:dyDescent="0.2">
      <c r="EU458" s="67">
        <v>560.77</v>
      </c>
      <c r="EV458" s="67" t="s">
        <v>3684</v>
      </c>
      <c r="EW458" s="67">
        <v>482.68</v>
      </c>
      <c r="EX458" s="67" t="s">
        <v>3685</v>
      </c>
      <c r="EY458" s="67">
        <v>5621</v>
      </c>
      <c r="EZ458" s="67" t="s">
        <v>3686</v>
      </c>
      <c r="FA458" s="67">
        <v>19824.25</v>
      </c>
      <c r="FB458" s="67" t="s">
        <v>3687</v>
      </c>
      <c r="FC458" s="67" t="s">
        <v>3688</v>
      </c>
      <c r="FD458" s="67" t="s">
        <v>3689</v>
      </c>
      <c r="FE458" s="68" t="s">
        <v>3690</v>
      </c>
      <c r="FF458" s="68" t="s">
        <v>3691</v>
      </c>
    </row>
    <row r="459" spans="151:162" x14ac:dyDescent="0.2">
      <c r="EU459" s="67">
        <v>560.94000000000005</v>
      </c>
      <c r="EV459" s="67" t="s">
        <v>3692</v>
      </c>
      <c r="EW459" s="67">
        <v>482.87</v>
      </c>
      <c r="EX459" s="67" t="s">
        <v>3693</v>
      </c>
      <c r="EY459" s="67">
        <v>5622.75</v>
      </c>
      <c r="EZ459" s="67" t="s">
        <v>3694</v>
      </c>
      <c r="FA459" s="67">
        <v>19832.25</v>
      </c>
      <c r="FB459" s="67" t="s">
        <v>3695</v>
      </c>
      <c r="FC459" s="67" t="s">
        <v>3696</v>
      </c>
      <c r="FD459" s="67" t="s">
        <v>3697</v>
      </c>
      <c r="FE459" s="68" t="s">
        <v>3698</v>
      </c>
      <c r="FF459" s="68" t="s">
        <v>3699</v>
      </c>
    </row>
    <row r="460" spans="151:162" x14ac:dyDescent="0.2">
      <c r="EU460" s="67">
        <v>560.99</v>
      </c>
      <c r="EV460" s="67" t="s">
        <v>3700</v>
      </c>
      <c r="EW460" s="67">
        <v>482.94</v>
      </c>
      <c r="EX460" s="67" t="s">
        <v>3701</v>
      </c>
      <c r="EY460" s="67">
        <v>5623</v>
      </c>
      <c r="EZ460" s="67" t="s">
        <v>3702</v>
      </c>
      <c r="FA460" s="67">
        <v>19834.5</v>
      </c>
      <c r="FB460" s="67" t="s">
        <v>3703</v>
      </c>
      <c r="FC460" s="67" t="s">
        <v>3704</v>
      </c>
      <c r="FD460" s="67" t="s">
        <v>3705</v>
      </c>
      <c r="FE460" s="68" t="s">
        <v>3706</v>
      </c>
      <c r="FF460" s="68" t="s">
        <v>3707</v>
      </c>
    </row>
    <row r="461" spans="151:162" x14ac:dyDescent="0.2">
      <c r="EU461" s="67">
        <v>561.02</v>
      </c>
      <c r="EV461" s="67" t="s">
        <v>3708</v>
      </c>
      <c r="EW461" s="67">
        <v>483.01</v>
      </c>
      <c r="EX461" s="67" t="s">
        <v>3709</v>
      </c>
      <c r="EY461" s="67">
        <v>5623.25</v>
      </c>
      <c r="EZ461" s="67" t="s">
        <v>3710</v>
      </c>
      <c r="FA461" s="67">
        <v>19837.5</v>
      </c>
      <c r="FB461" s="67" t="s">
        <v>3711</v>
      </c>
      <c r="FC461" s="67" t="s">
        <v>3712</v>
      </c>
      <c r="FD461" s="67" t="s">
        <v>3713</v>
      </c>
      <c r="FE461" s="68" t="s">
        <v>3714</v>
      </c>
      <c r="FF461" s="68" t="s">
        <v>3715</v>
      </c>
    </row>
    <row r="462" spans="151:162" x14ac:dyDescent="0.2">
      <c r="EU462" s="67">
        <v>561.12</v>
      </c>
      <c r="EV462" s="67" t="s">
        <v>3716</v>
      </c>
      <c r="EW462" s="67">
        <v>483.13</v>
      </c>
      <c r="EX462" s="67" t="s">
        <v>3717</v>
      </c>
      <c r="EY462" s="67">
        <v>5624.25</v>
      </c>
      <c r="EZ462" s="67" t="s">
        <v>3718</v>
      </c>
      <c r="FA462" s="67">
        <v>19842</v>
      </c>
      <c r="FB462" s="67" t="s">
        <v>3719</v>
      </c>
      <c r="FC462" s="67" t="s">
        <v>3720</v>
      </c>
      <c r="FD462" s="67" t="s">
        <v>3721</v>
      </c>
      <c r="FE462" s="68" t="s">
        <v>3722</v>
      </c>
      <c r="FF462" s="68" t="s">
        <v>3723</v>
      </c>
    </row>
    <row r="463" spans="151:162" x14ac:dyDescent="0.2">
      <c r="EU463" s="67">
        <v>561.1</v>
      </c>
      <c r="EV463" s="67" t="s">
        <v>3724</v>
      </c>
      <c r="EW463" s="67">
        <v>483.16</v>
      </c>
      <c r="EX463" s="67" t="s">
        <v>3725</v>
      </c>
      <c r="EY463" s="67">
        <v>5624</v>
      </c>
      <c r="EZ463" s="67" t="s">
        <v>3726</v>
      </c>
      <c r="FA463" s="67">
        <v>19843.5</v>
      </c>
      <c r="FB463" s="67" t="s">
        <v>3727</v>
      </c>
      <c r="FC463" s="67" t="s">
        <v>3728</v>
      </c>
      <c r="FD463" s="67" t="s">
        <v>3729</v>
      </c>
      <c r="FE463" s="68" t="s">
        <v>3730</v>
      </c>
      <c r="FF463" s="68" t="s">
        <v>3731</v>
      </c>
    </row>
    <row r="464" spans="151:162" x14ac:dyDescent="0.2">
      <c r="EU464" s="67">
        <v>561.13</v>
      </c>
      <c r="EV464" s="67" t="s">
        <v>3732</v>
      </c>
      <c r="EW464" s="67">
        <v>483.18</v>
      </c>
      <c r="EX464" s="67" t="s">
        <v>3733</v>
      </c>
      <c r="EY464" s="67">
        <v>5624.5</v>
      </c>
      <c r="EZ464" s="67" t="s">
        <v>3734</v>
      </c>
      <c r="FA464" s="67">
        <v>19845</v>
      </c>
      <c r="FB464" s="67" t="s">
        <v>3735</v>
      </c>
      <c r="FC464" s="67" t="s">
        <v>3736</v>
      </c>
      <c r="FD464" s="67" t="s">
        <v>3737</v>
      </c>
      <c r="FE464" s="68" t="s">
        <v>3738</v>
      </c>
      <c r="FF464" s="68" t="s">
        <v>3739</v>
      </c>
    </row>
    <row r="465" spans="151:162" x14ac:dyDescent="0.2">
      <c r="EU465" s="67">
        <v>561.13</v>
      </c>
      <c r="EV465" s="67" t="s">
        <v>3740</v>
      </c>
      <c r="EW465" s="67">
        <v>483.19</v>
      </c>
      <c r="EX465" s="67" t="s">
        <v>3741</v>
      </c>
      <c r="EY465" s="67">
        <v>5624.5</v>
      </c>
      <c r="EZ465" s="67" t="s">
        <v>3742</v>
      </c>
      <c r="FA465" s="67">
        <v>19845.5</v>
      </c>
      <c r="FB465" s="67" t="s">
        <v>3743</v>
      </c>
      <c r="FC465" s="67" t="s">
        <v>3744</v>
      </c>
      <c r="FD465" s="67" t="s">
        <v>3745</v>
      </c>
      <c r="FE465" s="68" t="s">
        <v>3746</v>
      </c>
      <c r="FF465" s="68" t="s">
        <v>3747</v>
      </c>
    </row>
    <row r="466" spans="151:162" x14ac:dyDescent="0.2">
      <c r="EU466" s="67">
        <v>561.21</v>
      </c>
      <c r="EV466" s="67" t="s">
        <v>3748</v>
      </c>
      <c r="EW466" s="67">
        <v>483.29</v>
      </c>
      <c r="EX466" s="67" t="s">
        <v>3749</v>
      </c>
      <c r="EY466" s="67">
        <v>5625.5</v>
      </c>
      <c r="EZ466" s="67" t="s">
        <v>3750</v>
      </c>
      <c r="FA466" s="67">
        <v>19849</v>
      </c>
      <c r="FB466" s="67" t="s">
        <v>3751</v>
      </c>
      <c r="FC466" s="67" t="s">
        <v>3752</v>
      </c>
      <c r="FD466" s="67" t="s">
        <v>3753</v>
      </c>
      <c r="FE466" s="68" t="s">
        <v>3754</v>
      </c>
      <c r="FF466" s="68" t="s">
        <v>3755</v>
      </c>
    </row>
    <row r="467" spans="151:162" x14ac:dyDescent="0.2">
      <c r="EU467" s="67">
        <v>560.97</v>
      </c>
      <c r="EV467" s="67" t="s">
        <v>3756</v>
      </c>
      <c r="EW467" s="67">
        <v>483.05</v>
      </c>
      <c r="EX467" s="67" t="s">
        <v>3757</v>
      </c>
      <c r="EY467" s="67">
        <v>5622.5</v>
      </c>
      <c r="EZ467" s="67" t="s">
        <v>3758</v>
      </c>
      <c r="FA467" s="67">
        <v>19838</v>
      </c>
      <c r="FB467" s="67" t="s">
        <v>3759</v>
      </c>
      <c r="FC467" s="67" t="s">
        <v>3760</v>
      </c>
      <c r="FD467" s="67" t="s">
        <v>3761</v>
      </c>
      <c r="FE467" s="68" t="s">
        <v>3762</v>
      </c>
      <c r="FF467" s="68" t="s">
        <v>3763</v>
      </c>
    </row>
    <row r="468" spans="151:162" x14ac:dyDescent="0.2">
      <c r="EU468" s="67">
        <v>561.02</v>
      </c>
      <c r="EV468" s="67" t="s">
        <v>3764</v>
      </c>
      <c r="EW468" s="67">
        <v>483.08</v>
      </c>
      <c r="EX468" s="67" t="s">
        <v>3765</v>
      </c>
      <c r="EY468" s="67">
        <v>5623.25</v>
      </c>
      <c r="EZ468" s="67" t="s">
        <v>3766</v>
      </c>
      <c r="FA468" s="67">
        <v>19841</v>
      </c>
      <c r="FB468" s="67" t="s">
        <v>3767</v>
      </c>
      <c r="FC468" s="67" t="s">
        <v>3768</v>
      </c>
      <c r="FD468" s="67" t="s">
        <v>3769</v>
      </c>
      <c r="FE468" s="68" t="s">
        <v>3770</v>
      </c>
      <c r="FF468" s="68" t="s">
        <v>3771</v>
      </c>
    </row>
    <row r="469" spans="151:162" x14ac:dyDescent="0.2">
      <c r="EU469" s="67">
        <v>561.15</v>
      </c>
      <c r="EV469" s="67" t="s">
        <v>3772</v>
      </c>
      <c r="EW469" s="67">
        <v>483.21</v>
      </c>
      <c r="EX469" s="67" t="s">
        <v>3773</v>
      </c>
      <c r="EY469" s="67">
        <v>5624.25</v>
      </c>
      <c r="EZ469" s="67" t="s">
        <v>3774</v>
      </c>
      <c r="FA469" s="67">
        <v>19846</v>
      </c>
      <c r="FB469" s="67" t="s">
        <v>3775</v>
      </c>
      <c r="FC469" s="67" t="s">
        <v>3776</v>
      </c>
      <c r="FD469" s="67" t="s">
        <v>3777</v>
      </c>
      <c r="FE469" s="68" t="s">
        <v>3778</v>
      </c>
      <c r="FF469" s="68" t="s">
        <v>3779</v>
      </c>
    </row>
    <row r="470" spans="151:162" x14ac:dyDescent="0.2">
      <c r="EU470" s="67">
        <v>561.29999999999995</v>
      </c>
      <c r="EV470" s="67" t="s">
        <v>3780</v>
      </c>
      <c r="EW470" s="67">
        <v>483.4</v>
      </c>
      <c r="EX470" s="67" t="s">
        <v>3781</v>
      </c>
      <c r="EY470" s="67">
        <v>5626.25</v>
      </c>
      <c r="EZ470" s="67" t="s">
        <v>3782</v>
      </c>
      <c r="FA470" s="67">
        <v>19853.75</v>
      </c>
      <c r="FB470" s="67" t="s">
        <v>3783</v>
      </c>
      <c r="FC470" s="67" t="s">
        <v>3784</v>
      </c>
      <c r="FD470" s="67" t="s">
        <v>3785</v>
      </c>
      <c r="FE470" s="68" t="s">
        <v>3786</v>
      </c>
      <c r="FF470" s="68" t="s">
        <v>3787</v>
      </c>
    </row>
    <row r="471" spans="151:162" x14ac:dyDescent="0.2">
      <c r="EU471" s="67">
        <v>561.46</v>
      </c>
      <c r="EV471" s="67" t="s">
        <v>3788</v>
      </c>
      <c r="EW471" s="67">
        <v>483.51</v>
      </c>
      <c r="EX471" s="67" t="s">
        <v>3789</v>
      </c>
      <c r="EY471" s="67">
        <v>5627.75</v>
      </c>
      <c r="EZ471" s="67" t="s">
        <v>3790</v>
      </c>
      <c r="FA471" s="67">
        <v>19859.25</v>
      </c>
      <c r="FB471" s="67" t="s">
        <v>3791</v>
      </c>
      <c r="FC471" s="67" t="s">
        <v>3792</v>
      </c>
      <c r="FD471" s="67" t="s">
        <v>3793</v>
      </c>
      <c r="FE471" s="68" t="s">
        <v>3794</v>
      </c>
      <c r="FF471" s="68" t="s">
        <v>3795</v>
      </c>
    </row>
    <row r="472" spans="151:162" x14ac:dyDescent="0.2">
      <c r="EU472" s="67">
        <v>561.37</v>
      </c>
      <c r="EV472" s="67" t="s">
        <v>3796</v>
      </c>
      <c r="EW472" s="67">
        <v>483.45</v>
      </c>
      <c r="EX472" s="67" t="s">
        <v>3797</v>
      </c>
      <c r="EY472" s="67">
        <v>5626.75</v>
      </c>
      <c r="EZ472" s="67" t="s">
        <v>3798</v>
      </c>
      <c r="FA472" s="67">
        <v>19855</v>
      </c>
      <c r="FB472" s="67" t="s">
        <v>3799</v>
      </c>
      <c r="FC472" s="67" t="s">
        <v>3800</v>
      </c>
      <c r="FD472" s="67" t="s">
        <v>3801</v>
      </c>
      <c r="FE472" s="68" t="s">
        <v>3802</v>
      </c>
      <c r="FF472" s="68" t="s">
        <v>3803</v>
      </c>
    </row>
    <row r="473" spans="151:162" x14ac:dyDescent="0.2">
      <c r="EU473" s="67">
        <v>561.28</v>
      </c>
      <c r="EV473" s="67" t="s">
        <v>3804</v>
      </c>
      <c r="EW473" s="67">
        <v>483.4</v>
      </c>
      <c r="EX473" s="67" t="s">
        <v>3805</v>
      </c>
      <c r="EY473" s="67">
        <v>5625.75</v>
      </c>
      <c r="EZ473" s="67" t="s">
        <v>3806</v>
      </c>
      <c r="FA473" s="67">
        <v>19852.75</v>
      </c>
      <c r="FB473" s="67" t="s">
        <v>3807</v>
      </c>
      <c r="FC473" s="67" t="s">
        <v>3808</v>
      </c>
      <c r="FD473" s="67" t="s">
        <v>3809</v>
      </c>
      <c r="FE473" s="68" t="s">
        <v>3810</v>
      </c>
      <c r="FF473" s="68" t="s">
        <v>3811</v>
      </c>
    </row>
    <row r="474" spans="151:162" x14ac:dyDescent="0.2">
      <c r="EU474" s="67">
        <v>560.99</v>
      </c>
      <c r="EV474" s="67" t="s">
        <v>3812</v>
      </c>
      <c r="EW474" s="67">
        <v>483.09</v>
      </c>
      <c r="EX474" s="67" t="s">
        <v>3813</v>
      </c>
      <c r="EY474" s="67">
        <v>5623</v>
      </c>
      <c r="EZ474" s="67" t="s">
        <v>3814</v>
      </c>
      <c r="FA474" s="67">
        <v>19841</v>
      </c>
      <c r="FB474" s="67" t="s">
        <v>3815</v>
      </c>
      <c r="FC474" s="67" t="s">
        <v>3816</v>
      </c>
      <c r="FD474" s="67" t="s">
        <v>3817</v>
      </c>
      <c r="FE474" s="68" t="s">
        <v>3818</v>
      </c>
      <c r="FF474" s="68" t="s">
        <v>3819</v>
      </c>
    </row>
    <row r="475" spans="151:162" x14ac:dyDescent="0.2">
      <c r="EU475" s="67">
        <v>561</v>
      </c>
      <c r="EV475" s="67" t="s">
        <v>3820</v>
      </c>
      <c r="EW475" s="67">
        <v>483.03</v>
      </c>
      <c r="EX475" s="67" t="s">
        <v>3821</v>
      </c>
      <c r="EY475" s="67">
        <v>5623</v>
      </c>
      <c r="EZ475" s="67" t="s">
        <v>3822</v>
      </c>
      <c r="FA475" s="67">
        <v>19839.25</v>
      </c>
      <c r="FB475" s="67" t="s">
        <v>3823</v>
      </c>
      <c r="FC475" s="67" t="s">
        <v>3824</v>
      </c>
      <c r="FD475" s="67" t="s">
        <v>3825</v>
      </c>
      <c r="FE475" s="68" t="s">
        <v>3826</v>
      </c>
      <c r="FF475" s="68" t="s">
        <v>3827</v>
      </c>
    </row>
    <row r="476" spans="151:162" x14ac:dyDescent="0.2">
      <c r="EU476" s="67">
        <v>560.89</v>
      </c>
      <c r="EV476" s="67" t="s">
        <v>3828</v>
      </c>
      <c r="EW476" s="67">
        <v>482.96</v>
      </c>
      <c r="EX476" s="67" t="s">
        <v>3829</v>
      </c>
      <c r="EY476" s="67">
        <v>5622</v>
      </c>
      <c r="EZ476" s="67" t="s">
        <v>3830</v>
      </c>
      <c r="FA476" s="67">
        <v>19835.75</v>
      </c>
      <c r="FB476" s="67" t="s">
        <v>3831</v>
      </c>
      <c r="FC476" s="67" t="s">
        <v>3832</v>
      </c>
      <c r="FD476" s="67" t="s">
        <v>3833</v>
      </c>
      <c r="FE476" s="68" t="s">
        <v>3834</v>
      </c>
      <c r="FF476" s="68" t="s">
        <v>3835</v>
      </c>
    </row>
    <row r="477" spans="151:162" x14ac:dyDescent="0.2">
      <c r="EU477" s="67">
        <v>560.79</v>
      </c>
      <c r="EV477" s="67" t="s">
        <v>3836</v>
      </c>
      <c r="EW477" s="67">
        <v>482.85</v>
      </c>
      <c r="EX477" s="67" t="s">
        <v>3837</v>
      </c>
      <c r="EY477" s="67">
        <v>5621</v>
      </c>
      <c r="EZ477" s="67" t="s">
        <v>3838</v>
      </c>
      <c r="FA477" s="67">
        <v>19830.75</v>
      </c>
      <c r="FB477" s="67" t="s">
        <v>3839</v>
      </c>
      <c r="FC477" s="67" t="s">
        <v>3840</v>
      </c>
      <c r="FD477" s="67" t="s">
        <v>3841</v>
      </c>
      <c r="FE477" s="68" t="s">
        <v>3842</v>
      </c>
      <c r="FF477" s="68" t="s">
        <v>3843</v>
      </c>
    </row>
    <row r="478" spans="151:162" x14ac:dyDescent="0.2">
      <c r="EU478" s="67">
        <v>560.85</v>
      </c>
      <c r="EV478" s="67" t="s">
        <v>3844</v>
      </c>
      <c r="EW478" s="67">
        <v>482.92</v>
      </c>
      <c r="EX478" s="67" t="s">
        <v>3845</v>
      </c>
      <c r="EY478" s="67">
        <v>5621.25</v>
      </c>
      <c r="EZ478" s="67" t="s">
        <v>3846</v>
      </c>
      <c r="FA478" s="67">
        <v>19833.75</v>
      </c>
      <c r="FB478" s="67" t="s">
        <v>3847</v>
      </c>
      <c r="FC478" s="67" t="s">
        <v>3848</v>
      </c>
      <c r="FD478" s="67" t="s">
        <v>3849</v>
      </c>
      <c r="FE478" s="68" t="s">
        <v>3850</v>
      </c>
      <c r="FF478" s="68" t="s">
        <v>3851</v>
      </c>
    </row>
    <row r="479" spans="151:162" x14ac:dyDescent="0.2">
      <c r="EU479" s="67">
        <v>560.5</v>
      </c>
      <c r="EV479" s="67" t="s">
        <v>3852</v>
      </c>
      <c r="EW479" s="67">
        <v>482.47</v>
      </c>
      <c r="EX479" s="67" t="s">
        <v>3853</v>
      </c>
      <c r="EY479" s="67">
        <v>5617.5</v>
      </c>
      <c r="EZ479" s="67" t="s">
        <v>3854</v>
      </c>
      <c r="FA479" s="67">
        <v>19815</v>
      </c>
      <c r="FB479" s="67" t="s">
        <v>3855</v>
      </c>
      <c r="FC479" s="67" t="s">
        <v>3856</v>
      </c>
      <c r="FD479" s="67" t="s">
        <v>3857</v>
      </c>
      <c r="FE479" s="68" t="s">
        <v>3858</v>
      </c>
      <c r="FF479" s="68" t="s">
        <v>3859</v>
      </c>
    </row>
    <row r="480" spans="151:162" x14ac:dyDescent="0.2">
      <c r="EU480" s="67">
        <v>560.4</v>
      </c>
      <c r="EV480" s="67" t="s">
        <v>3860</v>
      </c>
      <c r="EW480" s="67">
        <v>482.51</v>
      </c>
      <c r="EX480" s="67" t="s">
        <v>3861</v>
      </c>
      <c r="EY480" s="67">
        <v>5616.75</v>
      </c>
      <c r="EZ480" s="67" t="s">
        <v>3862</v>
      </c>
      <c r="FA480" s="67">
        <v>19816.25</v>
      </c>
      <c r="FB480" s="67" t="s">
        <v>3863</v>
      </c>
      <c r="FC480" s="67" t="s">
        <v>3864</v>
      </c>
      <c r="FD480" s="67" t="s">
        <v>3865</v>
      </c>
      <c r="FE480" s="68" t="s">
        <v>3866</v>
      </c>
      <c r="FF480" s="68" t="s">
        <v>3867</v>
      </c>
    </row>
    <row r="481" spans="151:162" x14ac:dyDescent="0.2">
      <c r="EU481" s="67">
        <v>560.47</v>
      </c>
      <c r="EV481" s="67" t="s">
        <v>3868</v>
      </c>
      <c r="EW481" s="67">
        <v>482.56</v>
      </c>
      <c r="EX481" s="67" t="s">
        <v>3869</v>
      </c>
      <c r="EY481" s="67">
        <v>5617.5</v>
      </c>
      <c r="EZ481" s="67" t="s">
        <v>3870</v>
      </c>
      <c r="FA481" s="67">
        <v>19818.5</v>
      </c>
      <c r="FB481" s="67" t="s">
        <v>3871</v>
      </c>
      <c r="FC481" s="67" t="s">
        <v>3872</v>
      </c>
      <c r="FD481" s="67" t="s">
        <v>3873</v>
      </c>
      <c r="FE481" s="68" t="s">
        <v>3874</v>
      </c>
      <c r="FF481" s="68" t="s">
        <v>3875</v>
      </c>
    </row>
    <row r="482" spans="151:162" x14ac:dyDescent="0.2">
      <c r="EU482" s="67">
        <v>560.48</v>
      </c>
      <c r="EV482" s="67" t="s">
        <v>3876</v>
      </c>
      <c r="EW482" s="67">
        <v>482.56</v>
      </c>
      <c r="EX482" s="67" t="s">
        <v>3877</v>
      </c>
      <c r="EY482" s="67">
        <v>5617.75</v>
      </c>
      <c r="EZ482" s="67" t="s">
        <v>3878</v>
      </c>
      <c r="FA482" s="67">
        <v>19819.5</v>
      </c>
      <c r="FB482" s="67" t="s">
        <v>3879</v>
      </c>
      <c r="FC482" s="67" t="s">
        <v>3880</v>
      </c>
      <c r="FD482" s="67" t="s">
        <v>3881</v>
      </c>
      <c r="FE482" s="68" t="s">
        <v>3882</v>
      </c>
      <c r="FF482" s="68" t="s">
        <v>3883</v>
      </c>
    </row>
    <row r="483" spans="151:162" x14ac:dyDescent="0.2">
      <c r="EU483" s="67">
        <v>560.41999999999996</v>
      </c>
      <c r="EV483" s="67" t="s">
        <v>3884</v>
      </c>
      <c r="EW483" s="67">
        <v>482.51</v>
      </c>
      <c r="EX483" s="67" t="s">
        <v>3885</v>
      </c>
      <c r="EY483" s="67">
        <v>5617</v>
      </c>
      <c r="EZ483" s="67" t="s">
        <v>3886</v>
      </c>
      <c r="FA483" s="67">
        <v>19816.5</v>
      </c>
      <c r="FB483" s="67" t="s">
        <v>3887</v>
      </c>
      <c r="FC483" s="67" t="s">
        <v>3888</v>
      </c>
      <c r="FD483" s="67" t="s">
        <v>3889</v>
      </c>
      <c r="FE483" s="68" t="s">
        <v>3890</v>
      </c>
      <c r="FF483" s="68" t="s">
        <v>3891</v>
      </c>
    </row>
    <row r="484" spans="151:162" x14ac:dyDescent="0.2">
      <c r="EU484" s="67">
        <v>560.15</v>
      </c>
      <c r="EV484" s="67" t="s">
        <v>3892</v>
      </c>
      <c r="EW484" s="67">
        <v>482.19</v>
      </c>
      <c r="EX484" s="67" t="s">
        <v>3893</v>
      </c>
      <c r="EY484" s="67">
        <v>5614.25</v>
      </c>
      <c r="EZ484" s="67" t="s">
        <v>3894</v>
      </c>
      <c r="FA484" s="67">
        <v>19802.75</v>
      </c>
      <c r="FB484" s="67" t="s">
        <v>3895</v>
      </c>
      <c r="FC484" s="67" t="s">
        <v>3896</v>
      </c>
      <c r="FD484" s="67" t="s">
        <v>3897</v>
      </c>
      <c r="FE484" s="68" t="s">
        <v>3898</v>
      </c>
      <c r="FF484" s="68" t="s">
        <v>3899</v>
      </c>
    </row>
    <row r="485" spans="151:162" x14ac:dyDescent="0.2">
      <c r="EU485" s="67">
        <v>560.02</v>
      </c>
      <c r="EV485" s="67" t="s">
        <v>3900</v>
      </c>
      <c r="EW485" s="67">
        <v>482</v>
      </c>
      <c r="EX485" s="67" t="s">
        <v>3901</v>
      </c>
      <c r="EY485" s="67">
        <v>5613</v>
      </c>
      <c r="EZ485" s="67" t="s">
        <v>3902</v>
      </c>
      <c r="FA485" s="67">
        <v>19796.5</v>
      </c>
      <c r="FB485" s="67" t="s">
        <v>3903</v>
      </c>
      <c r="FC485" s="67" t="s">
        <v>3904</v>
      </c>
      <c r="FD485" s="67" t="s">
        <v>3905</v>
      </c>
      <c r="FE485" s="68" t="s">
        <v>3906</v>
      </c>
      <c r="FF485" s="68" t="s">
        <v>3907</v>
      </c>
    </row>
    <row r="486" spans="151:162" x14ac:dyDescent="0.2">
      <c r="EU486" s="67">
        <v>560.03</v>
      </c>
      <c r="EV486" s="67" t="s">
        <v>3908</v>
      </c>
      <c r="EW486" s="67">
        <v>482.01</v>
      </c>
      <c r="EX486" s="67" t="s">
        <v>3909</v>
      </c>
      <c r="EY486" s="67">
        <v>5613.25</v>
      </c>
      <c r="EZ486" s="67" t="s">
        <v>3910</v>
      </c>
      <c r="FA486" s="67">
        <v>19796</v>
      </c>
      <c r="FB486" s="67" t="s">
        <v>3911</v>
      </c>
      <c r="FC486" s="67" t="s">
        <v>3912</v>
      </c>
      <c r="FD486" s="67" t="s">
        <v>3913</v>
      </c>
      <c r="FE486" s="68" t="s">
        <v>3914</v>
      </c>
      <c r="FF486" s="68" t="s">
        <v>3915</v>
      </c>
    </row>
    <row r="487" spans="151:162" x14ac:dyDescent="0.2">
      <c r="EU487" s="67">
        <v>559.9</v>
      </c>
      <c r="EV487" s="67" t="s">
        <v>3916</v>
      </c>
      <c r="EW487" s="67">
        <v>481.92</v>
      </c>
      <c r="EX487" s="67" t="s">
        <v>3917</v>
      </c>
      <c r="EY487" s="67">
        <v>5611.75</v>
      </c>
      <c r="EZ487" s="67" t="s">
        <v>3918</v>
      </c>
      <c r="FA487" s="67">
        <v>19792.25</v>
      </c>
      <c r="FB487" s="67" t="s">
        <v>3919</v>
      </c>
      <c r="FC487" s="67" t="s">
        <v>3920</v>
      </c>
      <c r="FD487" s="67" t="s">
        <v>3921</v>
      </c>
      <c r="FE487" s="68" t="s">
        <v>3922</v>
      </c>
      <c r="FF487" s="68" t="s">
        <v>3923</v>
      </c>
    </row>
    <row r="488" spans="151:162" x14ac:dyDescent="0.2">
      <c r="EU488" s="67">
        <v>559.83000000000004</v>
      </c>
      <c r="EV488" s="67" t="s">
        <v>3924</v>
      </c>
      <c r="EW488" s="67">
        <v>481.79</v>
      </c>
      <c r="EX488" s="67" t="s">
        <v>3925</v>
      </c>
      <c r="EY488" s="67">
        <v>5611</v>
      </c>
      <c r="EZ488" s="67" t="s">
        <v>3926</v>
      </c>
      <c r="FA488" s="67">
        <v>19786.75</v>
      </c>
      <c r="FB488" s="67" t="s">
        <v>3927</v>
      </c>
      <c r="FC488" s="67" t="s">
        <v>3928</v>
      </c>
      <c r="FD488" s="67" t="s">
        <v>3929</v>
      </c>
      <c r="FE488" s="68" t="s">
        <v>3930</v>
      </c>
      <c r="FF488" s="68" t="s">
        <v>3931</v>
      </c>
    </row>
    <row r="489" spans="151:162" x14ac:dyDescent="0.2">
      <c r="EU489" s="67">
        <v>559.94000000000005</v>
      </c>
      <c r="EV489" s="67" t="s">
        <v>3932</v>
      </c>
      <c r="EW489" s="67">
        <v>481.95</v>
      </c>
      <c r="EX489" s="67" t="s">
        <v>3933</v>
      </c>
      <c r="EY489" s="67">
        <v>5612.25</v>
      </c>
      <c r="EZ489" s="67" t="s">
        <v>3934</v>
      </c>
      <c r="FA489" s="67">
        <v>19793</v>
      </c>
      <c r="FB489" s="67" t="s">
        <v>3935</v>
      </c>
      <c r="FC489" s="67" t="s">
        <v>3936</v>
      </c>
      <c r="FD489" s="67" t="s">
        <v>3937</v>
      </c>
      <c r="FE489" s="68" t="s">
        <v>3938</v>
      </c>
      <c r="FF489" s="68" t="s">
        <v>3939</v>
      </c>
    </row>
    <row r="490" spans="151:162" x14ac:dyDescent="0.2">
      <c r="EU490" s="67">
        <v>559.9</v>
      </c>
      <c r="EV490" s="67" t="s">
        <v>3940</v>
      </c>
      <c r="EW490" s="67">
        <v>481.91</v>
      </c>
      <c r="EX490" s="67" t="s">
        <v>3941</v>
      </c>
      <c r="EY490" s="67">
        <v>5611.5</v>
      </c>
      <c r="EZ490" s="67" t="s">
        <v>3942</v>
      </c>
      <c r="FA490" s="67">
        <v>19791.75</v>
      </c>
      <c r="FB490" s="67" t="s">
        <v>3943</v>
      </c>
      <c r="FC490" s="67" t="s">
        <v>3944</v>
      </c>
      <c r="FD490" s="67" t="s">
        <v>3945</v>
      </c>
      <c r="FE490" s="68" t="s">
        <v>3946</v>
      </c>
      <c r="FF490" s="68" t="s">
        <v>3947</v>
      </c>
    </row>
    <row r="491" spans="151:162" x14ac:dyDescent="0.2">
      <c r="EU491" s="67">
        <v>559.97</v>
      </c>
      <c r="EV491" s="67" t="s">
        <v>3948</v>
      </c>
      <c r="EW491" s="67">
        <v>481.98</v>
      </c>
      <c r="EX491" s="67" t="s">
        <v>3949</v>
      </c>
      <c r="EY491" s="67">
        <v>5612.5</v>
      </c>
      <c r="EZ491" s="67" t="s">
        <v>3950</v>
      </c>
      <c r="FA491" s="67">
        <v>19794.5</v>
      </c>
      <c r="FB491" s="67" t="s">
        <v>3951</v>
      </c>
      <c r="FC491" s="67" t="s">
        <v>3952</v>
      </c>
      <c r="FD491" s="67" t="s">
        <v>3953</v>
      </c>
      <c r="FE491" s="68" t="s">
        <v>3954</v>
      </c>
      <c r="FF491" s="68" t="s">
        <v>3955</v>
      </c>
    </row>
    <row r="492" spans="151:162" x14ac:dyDescent="0.2">
      <c r="EU492" s="67">
        <v>559.82000000000005</v>
      </c>
      <c r="EV492" s="67" t="s">
        <v>3956</v>
      </c>
      <c r="EW492" s="67">
        <v>481.83</v>
      </c>
      <c r="EX492" s="67" t="s">
        <v>3957</v>
      </c>
      <c r="EY492" s="67">
        <v>5611</v>
      </c>
      <c r="EZ492" s="67" t="s">
        <v>3958</v>
      </c>
      <c r="FA492" s="67">
        <v>19788.75</v>
      </c>
      <c r="FB492" s="67" t="s">
        <v>3959</v>
      </c>
      <c r="FC492" s="67" t="s">
        <v>3960</v>
      </c>
      <c r="FD492" s="67" t="s">
        <v>3961</v>
      </c>
      <c r="FE492" s="68" t="s">
        <v>3962</v>
      </c>
      <c r="FF492" s="68" t="s">
        <v>3963</v>
      </c>
    </row>
    <row r="493" spans="151:162" x14ac:dyDescent="0.2">
      <c r="EU493" s="67">
        <v>559.74</v>
      </c>
      <c r="EV493" s="67" t="s">
        <v>3964</v>
      </c>
      <c r="EW493" s="67">
        <v>481.75</v>
      </c>
      <c r="EX493" s="67" t="s">
        <v>3965</v>
      </c>
      <c r="EY493" s="67">
        <v>5610</v>
      </c>
      <c r="EZ493" s="67" t="s">
        <v>3966</v>
      </c>
      <c r="FA493" s="67">
        <v>19785.5</v>
      </c>
      <c r="FB493" s="67" t="s">
        <v>3967</v>
      </c>
      <c r="FC493" s="67" t="s">
        <v>3968</v>
      </c>
      <c r="FD493" s="67" t="s">
        <v>3969</v>
      </c>
      <c r="FE493" s="68" t="s">
        <v>3970</v>
      </c>
      <c r="FF493" s="68" t="s">
        <v>3971</v>
      </c>
    </row>
    <row r="494" spans="151:162" x14ac:dyDescent="0.2">
      <c r="EU494" s="67">
        <v>560.08000000000004</v>
      </c>
      <c r="EV494" s="67" t="s">
        <v>3972</v>
      </c>
      <c r="EW494" s="67">
        <v>482.12</v>
      </c>
      <c r="EX494" s="67" t="s">
        <v>3973</v>
      </c>
      <c r="EY494" s="67">
        <v>5613.25</v>
      </c>
      <c r="EZ494" s="67" t="s">
        <v>3974</v>
      </c>
      <c r="FA494" s="67">
        <v>19801.75</v>
      </c>
      <c r="FB494" s="67" t="s">
        <v>3975</v>
      </c>
      <c r="FC494" s="67" t="s">
        <v>3976</v>
      </c>
      <c r="FD494" s="67" t="s">
        <v>3977</v>
      </c>
      <c r="FE494" s="68" t="s">
        <v>3978</v>
      </c>
      <c r="FF494" s="68" t="s">
        <v>3979</v>
      </c>
    </row>
    <row r="495" spans="151:162" x14ac:dyDescent="0.2">
      <c r="EU495" s="67">
        <v>560.13</v>
      </c>
      <c r="EV495" s="67" t="s">
        <v>3980</v>
      </c>
      <c r="EW495" s="67">
        <v>482.19</v>
      </c>
      <c r="EX495" s="67" t="s">
        <v>3981</v>
      </c>
      <c r="EY495" s="67">
        <v>5614</v>
      </c>
      <c r="EZ495" s="67" t="s">
        <v>3982</v>
      </c>
      <c r="FA495" s="67">
        <v>19803</v>
      </c>
      <c r="FB495" s="67" t="s">
        <v>3983</v>
      </c>
      <c r="FC495" s="67" t="s">
        <v>3984</v>
      </c>
      <c r="FD495" s="67" t="s">
        <v>3985</v>
      </c>
      <c r="FE495" s="68" t="s">
        <v>3986</v>
      </c>
      <c r="FF495" s="68" t="s">
        <v>3987</v>
      </c>
    </row>
    <row r="496" spans="151:162" x14ac:dyDescent="0.2">
      <c r="EU496" s="67">
        <v>560.09</v>
      </c>
      <c r="EV496" s="67" t="s">
        <v>3988</v>
      </c>
      <c r="EW496" s="67">
        <v>482.19</v>
      </c>
      <c r="EX496" s="67" t="s">
        <v>3989</v>
      </c>
      <c r="EY496" s="67">
        <v>5613.75</v>
      </c>
      <c r="EZ496" s="67" t="s">
        <v>3990</v>
      </c>
      <c r="FA496" s="67">
        <v>19803.5</v>
      </c>
      <c r="FB496" s="67" t="s">
        <v>3991</v>
      </c>
      <c r="FC496" s="67" t="s">
        <v>3992</v>
      </c>
      <c r="FD496" s="67" t="s">
        <v>3993</v>
      </c>
      <c r="FE496" s="68" t="s">
        <v>3994</v>
      </c>
      <c r="FF496" s="68" t="s">
        <v>3995</v>
      </c>
    </row>
    <row r="497" spans="151:162" x14ac:dyDescent="0.2">
      <c r="EU497" s="67">
        <v>559.96</v>
      </c>
      <c r="EV497" s="67" t="s">
        <v>3996</v>
      </c>
      <c r="EW497" s="67">
        <v>482.02</v>
      </c>
      <c r="EX497" s="67" t="s">
        <v>3997</v>
      </c>
      <c r="EY497" s="67">
        <v>5612.25</v>
      </c>
      <c r="EZ497" s="67" t="s">
        <v>3998</v>
      </c>
      <c r="FA497" s="67">
        <v>19796.75</v>
      </c>
      <c r="FB497" s="67" t="s">
        <v>3999</v>
      </c>
      <c r="FC497" s="67" t="s">
        <v>4000</v>
      </c>
      <c r="FD497" s="67" t="s">
        <v>4001</v>
      </c>
      <c r="FE497" s="68" t="s">
        <v>4002</v>
      </c>
      <c r="FF497" s="68" t="s">
        <v>4003</v>
      </c>
    </row>
    <row r="498" spans="151:162" x14ac:dyDescent="0.2">
      <c r="EU498" s="67">
        <v>559.95000000000005</v>
      </c>
      <c r="EV498" s="67" t="s">
        <v>4004</v>
      </c>
      <c r="EW498" s="67">
        <v>482.07</v>
      </c>
      <c r="EX498" s="67" t="s">
        <v>4005</v>
      </c>
      <c r="EY498" s="67">
        <v>5612</v>
      </c>
      <c r="EZ498" s="67" t="s">
        <v>4006</v>
      </c>
      <c r="FA498" s="67">
        <v>19798.5</v>
      </c>
      <c r="FB498" s="67" t="s">
        <v>4007</v>
      </c>
      <c r="FC498" s="67" t="s">
        <v>4008</v>
      </c>
      <c r="FD498" s="67" t="s">
        <v>4009</v>
      </c>
      <c r="FE498" s="68" t="s">
        <v>4010</v>
      </c>
      <c r="FF498" s="68" t="s">
        <v>4011</v>
      </c>
    </row>
    <row r="499" spans="151:162" x14ac:dyDescent="0.2">
      <c r="EU499" s="67">
        <v>559.85</v>
      </c>
      <c r="EV499" s="67" t="s">
        <v>4012</v>
      </c>
      <c r="EW499" s="67">
        <v>481.96</v>
      </c>
      <c r="EX499" s="67" t="s">
        <v>4013</v>
      </c>
      <c r="EY499" s="67">
        <v>5611.25</v>
      </c>
      <c r="EZ499" s="67" t="s">
        <v>4014</v>
      </c>
      <c r="FA499" s="67">
        <v>19793.5</v>
      </c>
      <c r="FB499" s="67" t="s">
        <v>4015</v>
      </c>
      <c r="FC499" s="67" t="s">
        <v>4016</v>
      </c>
      <c r="FD499" s="67" t="s">
        <v>4017</v>
      </c>
      <c r="FE499" s="68" t="s">
        <v>4018</v>
      </c>
      <c r="FF499" s="68" t="s">
        <v>4019</v>
      </c>
    </row>
    <row r="500" spans="151:162" x14ac:dyDescent="0.2">
      <c r="EU500" s="67">
        <v>560.21</v>
      </c>
      <c r="EV500" s="67" t="s">
        <v>4020</v>
      </c>
      <c r="EW500" s="67">
        <v>482.23</v>
      </c>
      <c r="EX500" s="67" t="s">
        <v>4021</v>
      </c>
      <c r="EY500" s="67">
        <v>5615</v>
      </c>
      <c r="EZ500" s="67" t="s">
        <v>4022</v>
      </c>
      <c r="FA500" s="67">
        <v>19804.75</v>
      </c>
      <c r="FB500" s="67" t="s">
        <v>4023</v>
      </c>
      <c r="FC500" s="67" t="s">
        <v>4024</v>
      </c>
      <c r="FD500" s="67" t="s">
        <v>4025</v>
      </c>
      <c r="FE500" s="68" t="s">
        <v>4026</v>
      </c>
      <c r="FF500" s="68" t="s">
        <v>4027</v>
      </c>
    </row>
    <row r="501" spans="151:162" x14ac:dyDescent="0.2">
      <c r="EU501" s="67">
        <v>560.30999999999995</v>
      </c>
      <c r="EV501" s="67" t="s">
        <v>4028</v>
      </c>
      <c r="EW501" s="67">
        <v>482.33</v>
      </c>
      <c r="EX501" s="67" t="s">
        <v>4029</v>
      </c>
      <c r="EY501" s="67">
        <v>5615.75</v>
      </c>
      <c r="EZ501" s="67" t="s">
        <v>4030</v>
      </c>
      <c r="FA501" s="67">
        <v>19809</v>
      </c>
      <c r="FB501" s="67" t="s">
        <v>4031</v>
      </c>
      <c r="FC501" s="67" t="s">
        <v>4032</v>
      </c>
      <c r="FD501" s="67" t="s">
        <v>4033</v>
      </c>
      <c r="FE501" s="68" t="s">
        <v>4034</v>
      </c>
      <c r="FF501" s="68" t="s">
        <v>4035</v>
      </c>
    </row>
    <row r="502" spans="151:162" x14ac:dyDescent="0.2">
      <c r="EU502" s="67">
        <v>560.24</v>
      </c>
      <c r="EV502" s="67" t="s">
        <v>4036</v>
      </c>
      <c r="EW502" s="67">
        <v>482.2</v>
      </c>
      <c r="EX502" s="67" t="s">
        <v>4037</v>
      </c>
      <c r="EY502" s="67">
        <v>5615</v>
      </c>
      <c r="EZ502" s="67" t="s">
        <v>4038</v>
      </c>
      <c r="FA502" s="67">
        <v>19804.25</v>
      </c>
      <c r="FB502" s="67" t="s">
        <v>4039</v>
      </c>
      <c r="FC502" s="67" t="s">
        <v>4040</v>
      </c>
      <c r="FD502" s="67" t="s">
        <v>4041</v>
      </c>
      <c r="FE502" s="68" t="s">
        <v>4042</v>
      </c>
      <c r="FF502" s="68" t="s">
        <v>4043</v>
      </c>
    </row>
    <row r="503" spans="151:162" x14ac:dyDescent="0.2">
      <c r="EU503" s="67">
        <v>560.30999999999995</v>
      </c>
      <c r="EV503" s="67" t="s">
        <v>4044</v>
      </c>
      <c r="EW503" s="67">
        <v>482.32</v>
      </c>
      <c r="EX503" s="67" t="s">
        <v>4045</v>
      </c>
      <c r="EY503" s="67">
        <v>5615.75</v>
      </c>
      <c r="EZ503" s="67" t="s">
        <v>4046</v>
      </c>
      <c r="FA503" s="67">
        <v>19808.5</v>
      </c>
      <c r="FB503" s="67" t="s">
        <v>4047</v>
      </c>
      <c r="FC503" s="67" t="s">
        <v>4048</v>
      </c>
      <c r="FD503" s="67" t="s">
        <v>4049</v>
      </c>
      <c r="FE503" s="68" t="s">
        <v>4050</v>
      </c>
      <c r="FF503" s="68" t="s">
        <v>4051</v>
      </c>
    </row>
    <row r="504" spans="151:162" x14ac:dyDescent="0.2">
      <c r="EU504" s="67">
        <v>560.24</v>
      </c>
      <c r="EV504" s="67" t="s">
        <v>4052</v>
      </c>
      <c r="EW504" s="67">
        <v>482.23</v>
      </c>
      <c r="EX504" s="67" t="s">
        <v>4053</v>
      </c>
      <c r="EY504" s="67">
        <v>5614.75</v>
      </c>
      <c r="EZ504" s="67" t="s">
        <v>4054</v>
      </c>
      <c r="FA504" s="67">
        <v>19807.25</v>
      </c>
      <c r="FB504" s="67" t="s">
        <v>4055</v>
      </c>
      <c r="FC504" s="67" t="s">
        <v>4056</v>
      </c>
      <c r="FD504" s="67" t="s">
        <v>4057</v>
      </c>
      <c r="FE504" s="68" t="s">
        <v>4058</v>
      </c>
      <c r="FF504" s="68" t="s">
        <v>4059</v>
      </c>
    </row>
    <row r="505" spans="151:162" x14ac:dyDescent="0.2">
      <c r="EU505" s="67">
        <v>560.23</v>
      </c>
      <c r="EV505" s="67" t="s">
        <v>4060</v>
      </c>
      <c r="EW505" s="67">
        <v>482.23</v>
      </c>
      <c r="EX505" s="67" t="s">
        <v>4061</v>
      </c>
      <c r="EY505" s="67">
        <v>5614.75</v>
      </c>
      <c r="EZ505" s="67" t="s">
        <v>4062</v>
      </c>
      <c r="FA505" s="67">
        <v>19806.75</v>
      </c>
      <c r="FB505" s="67" t="s">
        <v>4063</v>
      </c>
      <c r="FC505" s="67" t="s">
        <v>4064</v>
      </c>
      <c r="FD505" s="67" t="s">
        <v>4065</v>
      </c>
      <c r="FE505" s="68" t="s">
        <v>4066</v>
      </c>
      <c r="FF505" s="68" t="s">
        <v>4067</v>
      </c>
    </row>
    <row r="506" spans="151:162" x14ac:dyDescent="0.2">
      <c r="EU506" s="67">
        <v>560.16</v>
      </c>
      <c r="EV506" s="67" t="s">
        <v>4068</v>
      </c>
      <c r="EW506" s="67">
        <v>482.07</v>
      </c>
      <c r="EX506" s="67" t="s">
        <v>4069</v>
      </c>
      <c r="EY506" s="67">
        <v>5614.25</v>
      </c>
      <c r="EZ506" s="67" t="s">
        <v>4070</v>
      </c>
      <c r="FA506" s="67">
        <v>19799</v>
      </c>
      <c r="FB506" s="67" t="s">
        <v>4071</v>
      </c>
      <c r="FC506" s="67" t="s">
        <v>4072</v>
      </c>
      <c r="FD506" s="67" t="s">
        <v>4073</v>
      </c>
      <c r="FE506" s="68" t="s">
        <v>4074</v>
      </c>
      <c r="FF506" s="68" t="s">
        <v>4075</v>
      </c>
    </row>
    <row r="507" spans="151:162" x14ac:dyDescent="0.2">
      <c r="EU507" s="67">
        <v>560.01</v>
      </c>
      <c r="EV507" s="67" t="s">
        <v>4076</v>
      </c>
      <c r="EW507" s="67">
        <v>481.96</v>
      </c>
      <c r="EX507" s="67" t="s">
        <v>4077</v>
      </c>
      <c r="EY507" s="67">
        <v>5612.75</v>
      </c>
      <c r="EZ507" s="67" t="s">
        <v>4078</v>
      </c>
      <c r="FA507" s="67">
        <v>19793.75</v>
      </c>
      <c r="FB507" s="67" t="s">
        <v>4079</v>
      </c>
      <c r="FC507" s="67" t="s">
        <v>4080</v>
      </c>
      <c r="FD507" s="67" t="s">
        <v>4081</v>
      </c>
      <c r="FE507" s="68" t="s">
        <v>4082</v>
      </c>
      <c r="FF507" s="68" t="s">
        <v>4083</v>
      </c>
    </row>
    <row r="508" spans="151:162" x14ac:dyDescent="0.2">
      <c r="EU508" s="67">
        <v>559.67999999999995</v>
      </c>
      <c r="EV508" s="67" t="s">
        <v>4084</v>
      </c>
      <c r="EW508" s="67">
        <v>481.49</v>
      </c>
      <c r="EX508" s="67" t="s">
        <v>4085</v>
      </c>
      <c r="EY508" s="67">
        <v>5609</v>
      </c>
      <c r="EZ508" s="67" t="s">
        <v>4086</v>
      </c>
      <c r="FA508" s="67">
        <v>19772.5</v>
      </c>
      <c r="FB508" s="67" t="s">
        <v>4087</v>
      </c>
      <c r="FC508" s="67" t="s">
        <v>4088</v>
      </c>
      <c r="FD508" s="67" t="s">
        <v>4089</v>
      </c>
      <c r="FE508" s="68" t="s">
        <v>4090</v>
      </c>
      <c r="FF508" s="68" t="s">
        <v>4091</v>
      </c>
    </row>
    <row r="509" spans="151:162" x14ac:dyDescent="0.2">
      <c r="EU509" s="67">
        <v>560.38</v>
      </c>
      <c r="EV509" s="67" t="s">
        <v>4092</v>
      </c>
      <c r="EW509" s="67">
        <v>481.98</v>
      </c>
      <c r="EX509" s="67" t="s">
        <v>4093</v>
      </c>
      <c r="EY509" s="67">
        <v>5616.25</v>
      </c>
      <c r="EZ509" s="67" t="s">
        <v>4094</v>
      </c>
      <c r="FA509" s="67">
        <v>19805</v>
      </c>
      <c r="FB509" s="67" t="s">
        <v>4095</v>
      </c>
      <c r="FC509" s="67" t="s">
        <v>4096</v>
      </c>
      <c r="FD509" s="67" t="s">
        <v>4097</v>
      </c>
      <c r="FE509" s="68" t="s">
        <v>4098</v>
      </c>
      <c r="FF509" s="68" t="s">
        <v>4099</v>
      </c>
    </row>
    <row r="510" spans="151:162" x14ac:dyDescent="0.2">
      <c r="EU510" s="67">
        <v>560.59</v>
      </c>
      <c r="EV510" s="67" t="s">
        <v>4100</v>
      </c>
      <c r="EW510" s="67">
        <v>482.43</v>
      </c>
      <c r="EX510" s="67" t="s">
        <v>4101</v>
      </c>
      <c r="EY510" s="67">
        <v>5618.25</v>
      </c>
      <c r="EZ510" s="67" t="s">
        <v>4102</v>
      </c>
      <c r="FA510" s="67">
        <v>19810.5</v>
      </c>
      <c r="FB510" s="67" t="s">
        <v>4103</v>
      </c>
      <c r="FC510" s="67" t="s">
        <v>4104</v>
      </c>
      <c r="FD510" s="67" t="s">
        <v>4105</v>
      </c>
      <c r="FE510" s="68" t="s">
        <v>4106</v>
      </c>
      <c r="FF510" s="68" t="s">
        <v>4107</v>
      </c>
    </row>
    <row r="511" spans="151:162" x14ac:dyDescent="0.2">
      <c r="EU511" s="67">
        <v>560.41</v>
      </c>
      <c r="EV511" s="67" t="s">
        <v>4108</v>
      </c>
      <c r="EW511" s="67">
        <v>482.4</v>
      </c>
      <c r="EX511" s="67" t="s">
        <v>4109</v>
      </c>
      <c r="EY511" s="67">
        <v>5616</v>
      </c>
      <c r="EZ511" s="67" t="s">
        <v>4110</v>
      </c>
      <c r="FA511" s="67">
        <v>19810</v>
      </c>
      <c r="FB511" s="67" t="s">
        <v>4111</v>
      </c>
      <c r="FC511" s="67" t="s">
        <v>4112</v>
      </c>
      <c r="FD511" s="67" t="s">
        <v>4113</v>
      </c>
      <c r="FE511" s="68" t="s">
        <v>4114</v>
      </c>
      <c r="FF511" s="68" t="s">
        <v>4115</v>
      </c>
    </row>
    <row r="512" spans="151:162" x14ac:dyDescent="0.2">
      <c r="EU512" s="67">
        <v>560.34</v>
      </c>
      <c r="EV512" s="67" t="s">
        <v>4116</v>
      </c>
      <c r="EW512" s="67">
        <v>482.23</v>
      </c>
      <c r="EX512" s="67" t="s">
        <v>4117</v>
      </c>
      <c r="EY512" s="67">
        <v>5615.75</v>
      </c>
      <c r="EZ512" s="67" t="s">
        <v>4118</v>
      </c>
      <c r="FA512" s="67">
        <v>19803</v>
      </c>
      <c r="FB512" s="67" t="s">
        <v>4119</v>
      </c>
      <c r="FC512" s="67" t="s">
        <v>4120</v>
      </c>
      <c r="FD512" s="67" t="s">
        <v>4121</v>
      </c>
      <c r="FE512" s="68" t="s">
        <v>4122</v>
      </c>
      <c r="FF512" s="68" t="s">
        <v>4123</v>
      </c>
    </row>
    <row r="513" spans="151:162" x14ac:dyDescent="0.2">
      <c r="EU513" s="67">
        <v>559.58000000000004</v>
      </c>
      <c r="EV513" s="67" t="s">
        <v>4124</v>
      </c>
      <c r="EW513" s="67">
        <v>481.44</v>
      </c>
      <c r="EX513" s="67" t="s">
        <v>4125</v>
      </c>
      <c r="EY513" s="67">
        <v>5608</v>
      </c>
      <c r="EZ513" s="67" t="s">
        <v>4126</v>
      </c>
      <c r="FA513" s="67">
        <v>19771.75</v>
      </c>
      <c r="FB513" s="67" t="s">
        <v>4127</v>
      </c>
      <c r="FC513" s="67" t="s">
        <v>4128</v>
      </c>
      <c r="FD513" s="67" t="s">
        <v>4129</v>
      </c>
      <c r="FE513" s="68" t="s">
        <v>4130</v>
      </c>
      <c r="FF513" s="68" t="s">
        <v>4131</v>
      </c>
    </row>
    <row r="514" spans="151:162" x14ac:dyDescent="0.2">
      <c r="EU514" s="67">
        <v>559.95000000000005</v>
      </c>
      <c r="EV514" s="67" t="s">
        <v>4132</v>
      </c>
      <c r="EW514" s="67">
        <v>481.66</v>
      </c>
      <c r="EX514" s="67" t="s">
        <v>4133</v>
      </c>
      <c r="EY514" s="67">
        <v>5611.75</v>
      </c>
      <c r="EZ514" s="67" t="s">
        <v>4134</v>
      </c>
      <c r="FA514" s="67">
        <v>19780</v>
      </c>
      <c r="FB514" s="67" t="s">
        <v>4135</v>
      </c>
      <c r="FC514" s="67" t="s">
        <v>4136</v>
      </c>
      <c r="FD514" s="67" t="s">
        <v>4137</v>
      </c>
      <c r="FE514" s="68" t="s">
        <v>4138</v>
      </c>
      <c r="FF514" s="68" t="s">
        <v>4139</v>
      </c>
    </row>
    <row r="515" spans="151:162" x14ac:dyDescent="0.2">
      <c r="EU515" s="67">
        <v>559.86</v>
      </c>
      <c r="EV515" s="67" t="s">
        <v>4140</v>
      </c>
      <c r="EW515" s="67">
        <v>481.72</v>
      </c>
      <c r="EX515" s="67" t="s">
        <v>4141</v>
      </c>
      <c r="EY515" s="67">
        <v>5616.75</v>
      </c>
      <c r="EZ515" s="67" t="s">
        <v>4142</v>
      </c>
      <c r="FA515" s="67">
        <v>19800.147000000001</v>
      </c>
      <c r="FB515" s="67" t="s">
        <v>4143</v>
      </c>
      <c r="FC515" s="67" t="s">
        <v>4144</v>
      </c>
      <c r="FD515" s="67" t="s">
        <v>4145</v>
      </c>
      <c r="FE515" s="68" t="s">
        <v>4146</v>
      </c>
      <c r="FF515" s="68" t="s">
        <v>4147</v>
      </c>
    </row>
    <row r="516" spans="151:162" x14ac:dyDescent="0.2">
      <c r="EU516" s="67">
        <v>559.94000000000005</v>
      </c>
      <c r="EV516" s="67" t="s">
        <v>4148</v>
      </c>
      <c r="EW516" s="67">
        <v>481.73</v>
      </c>
      <c r="EX516" s="67" t="s">
        <v>4149</v>
      </c>
      <c r="EY516" s="67">
        <v>5616.69</v>
      </c>
      <c r="EZ516" s="67" t="s">
        <v>4150</v>
      </c>
      <c r="FA516" s="67">
        <v>19802.081999999999</v>
      </c>
      <c r="FB516" s="67" t="s">
        <v>4151</v>
      </c>
      <c r="FC516" s="67" t="s">
        <v>4152</v>
      </c>
      <c r="FD516" s="67" t="s">
        <v>4153</v>
      </c>
      <c r="FE516" s="68" t="s">
        <v>4154</v>
      </c>
      <c r="FF516" s="68" t="s">
        <v>4155</v>
      </c>
    </row>
    <row r="517" spans="151:162" x14ac:dyDescent="0.2">
      <c r="EU517" s="67">
        <v>560.09</v>
      </c>
      <c r="EV517" s="67" t="s">
        <v>4156</v>
      </c>
      <c r="EW517" s="67">
        <v>481.85</v>
      </c>
      <c r="EX517" s="67" t="s">
        <v>4157</v>
      </c>
      <c r="EY517" s="67">
        <v>5618.9</v>
      </c>
      <c r="EZ517" s="67" t="s">
        <v>4158</v>
      </c>
      <c r="FA517" s="67">
        <v>19808.167000000001</v>
      </c>
      <c r="FB517" s="67" t="s">
        <v>4159</v>
      </c>
      <c r="FC517" s="67" t="s">
        <v>4160</v>
      </c>
      <c r="FD517" s="67" t="s">
        <v>4161</v>
      </c>
      <c r="FE517" s="68" t="s">
        <v>4162</v>
      </c>
      <c r="FF517" s="68" t="s">
        <v>4163</v>
      </c>
    </row>
    <row r="518" spans="151:162" x14ac:dyDescent="0.2">
      <c r="EU518" s="67">
        <v>560.74</v>
      </c>
      <c r="EV518" s="67" t="s">
        <v>4164</v>
      </c>
      <c r="EW518" s="67">
        <v>482.52</v>
      </c>
      <c r="EX518" s="67" t="s">
        <v>4165</v>
      </c>
      <c r="EY518" s="67">
        <v>5625.05</v>
      </c>
      <c r="EZ518" s="67" t="s">
        <v>4166</v>
      </c>
      <c r="FA518" s="67">
        <v>19833.697</v>
      </c>
      <c r="FB518" s="67" t="s">
        <v>4167</v>
      </c>
      <c r="FC518" s="67" t="s">
        <v>4168</v>
      </c>
      <c r="FD518" s="67" t="s">
        <v>4169</v>
      </c>
      <c r="FE518" s="68" t="s">
        <v>4170</v>
      </c>
      <c r="FF518" s="68" t="s">
        <v>4171</v>
      </c>
    </row>
    <row r="519" spans="151:162" x14ac:dyDescent="0.2">
      <c r="EU519" s="67">
        <v>560.78</v>
      </c>
      <c r="EV519" s="67" t="s">
        <v>4172</v>
      </c>
      <c r="EW519" s="67">
        <v>482.56599999999997</v>
      </c>
      <c r="EX519" s="67" t="s">
        <v>4173</v>
      </c>
      <c r="EY519" s="67">
        <v>5624.82</v>
      </c>
      <c r="EZ519" s="67" t="s">
        <v>4174</v>
      </c>
      <c r="FA519" s="67">
        <v>19834.714</v>
      </c>
      <c r="FB519" s="67" t="s">
        <v>4175</v>
      </c>
      <c r="FC519" s="67" t="s">
        <v>4176</v>
      </c>
      <c r="FD519" s="67" t="s">
        <v>4177</v>
      </c>
      <c r="FE519" s="68" t="s">
        <v>4178</v>
      </c>
      <c r="FF519" s="68" t="s">
        <v>4179</v>
      </c>
    </row>
    <row r="520" spans="151:162" x14ac:dyDescent="0.2">
      <c r="EU520" s="67">
        <v>560.82000000000005</v>
      </c>
      <c r="EV520" s="67" t="s">
        <v>4180</v>
      </c>
      <c r="EW520" s="67">
        <v>482.61</v>
      </c>
      <c r="EX520" s="67" t="s">
        <v>4181</v>
      </c>
      <c r="EY520" s="67">
        <v>5625.76</v>
      </c>
      <c r="EZ520" s="67" t="s">
        <v>4182</v>
      </c>
      <c r="FA520" s="67">
        <v>19835.151000000002</v>
      </c>
      <c r="FB520" s="67" t="s">
        <v>4183</v>
      </c>
      <c r="FC520" s="67" t="s">
        <v>4184</v>
      </c>
      <c r="FD520" s="67" t="s">
        <v>4185</v>
      </c>
      <c r="FE520" s="68" t="s">
        <v>4186</v>
      </c>
      <c r="FF520" s="68" t="s">
        <v>4187</v>
      </c>
    </row>
    <row r="521" spans="151:162" x14ac:dyDescent="0.2">
      <c r="EU521" s="67">
        <v>560.97</v>
      </c>
      <c r="EV521" s="67" t="s">
        <v>4188</v>
      </c>
      <c r="EW521" s="67">
        <v>482.71</v>
      </c>
      <c r="EX521" s="67" t="s">
        <v>4189</v>
      </c>
      <c r="EY521" s="67">
        <v>5627.02</v>
      </c>
      <c r="EZ521" s="67" t="s">
        <v>4190</v>
      </c>
      <c r="FA521" s="67">
        <v>19841.044999999998</v>
      </c>
      <c r="FB521" s="67" t="s">
        <v>4191</v>
      </c>
      <c r="FC521" s="67" t="s">
        <v>4192</v>
      </c>
      <c r="FD521" s="67" t="s">
        <v>4193</v>
      </c>
      <c r="FE521" s="68" t="s">
        <v>4194</v>
      </c>
      <c r="FF521" s="68" t="s">
        <v>4195</v>
      </c>
    </row>
    <row r="522" spans="151:162" x14ac:dyDescent="0.2">
      <c r="EU522" s="67">
        <v>561.05999999999995</v>
      </c>
      <c r="EV522" s="67" t="s">
        <v>4196</v>
      </c>
      <c r="EW522" s="67">
        <v>482.8</v>
      </c>
      <c r="EX522" s="67" t="s">
        <v>4197</v>
      </c>
      <c r="EY522" s="67">
        <v>5627.95</v>
      </c>
      <c r="EZ522" s="67" t="s">
        <v>4198</v>
      </c>
      <c r="FA522" s="67">
        <v>19843.887999999999</v>
      </c>
      <c r="FB522" s="67" t="s">
        <v>4199</v>
      </c>
      <c r="FC522" s="67" t="s">
        <v>4200</v>
      </c>
      <c r="FD522" s="67" t="s">
        <v>4201</v>
      </c>
      <c r="FE522" s="68" t="s">
        <v>4202</v>
      </c>
      <c r="FF522" s="68" t="s">
        <v>4203</v>
      </c>
    </row>
    <row r="523" spans="151:162" x14ac:dyDescent="0.2">
      <c r="EU523" s="67">
        <v>560.69000000000005</v>
      </c>
      <c r="EV523" s="67" t="s">
        <v>4204</v>
      </c>
      <c r="EW523" s="67">
        <v>482.27</v>
      </c>
      <c r="EX523" s="67" t="s">
        <v>4205</v>
      </c>
      <c r="EY523" s="67">
        <v>5624.71</v>
      </c>
      <c r="EZ523" s="67" t="s">
        <v>4206</v>
      </c>
      <c r="FA523" s="67">
        <v>19825.603999999999</v>
      </c>
      <c r="FB523" s="67" t="s">
        <v>4207</v>
      </c>
      <c r="FC523" s="67" t="s">
        <v>4208</v>
      </c>
      <c r="FD523" s="67" t="s">
        <v>4209</v>
      </c>
      <c r="FE523" s="68" t="s">
        <v>4210</v>
      </c>
      <c r="FF523" s="68" t="s">
        <v>4211</v>
      </c>
    </row>
    <row r="524" spans="151:162" x14ac:dyDescent="0.2">
      <c r="EU524" s="67">
        <v>560.99400000000003</v>
      </c>
      <c r="EV524" s="67" t="s">
        <v>4212</v>
      </c>
      <c r="EW524" s="67">
        <v>482.58</v>
      </c>
      <c r="EX524" s="67" t="s">
        <v>4213</v>
      </c>
      <c r="EY524" s="67">
        <v>5627.5</v>
      </c>
      <c r="EZ524" s="67" t="s">
        <v>4214</v>
      </c>
      <c r="FA524" s="67">
        <v>19834.844000000001</v>
      </c>
      <c r="FB524" s="67" t="s">
        <v>4215</v>
      </c>
      <c r="FC524" s="67" t="s">
        <v>4216</v>
      </c>
      <c r="FD524" s="67" t="s">
        <v>4217</v>
      </c>
      <c r="FE524" s="68" t="s">
        <v>4218</v>
      </c>
      <c r="FF524" s="68" t="s">
        <v>4219</v>
      </c>
    </row>
    <row r="525" spans="151:162" x14ac:dyDescent="0.2">
      <c r="EU525" s="67">
        <v>561.21</v>
      </c>
      <c r="EV525" s="67" t="s">
        <v>4220</v>
      </c>
      <c r="EW525" s="67">
        <v>482.80500000000001</v>
      </c>
      <c r="EX525" s="67" t="s">
        <v>4221</v>
      </c>
      <c r="EY525" s="67">
        <v>5629.81</v>
      </c>
      <c r="EZ525" s="67" t="s">
        <v>4222</v>
      </c>
      <c r="FA525" s="67">
        <v>19845.185000000001</v>
      </c>
      <c r="FB525" s="67" t="s">
        <v>4223</v>
      </c>
      <c r="FC525" s="67" t="s">
        <v>4224</v>
      </c>
      <c r="FD525" s="67" t="s">
        <v>4225</v>
      </c>
      <c r="FE525" s="68" t="s">
        <v>4226</v>
      </c>
      <c r="FF525" s="68" t="s">
        <v>4227</v>
      </c>
    </row>
    <row r="526" spans="151:162" x14ac:dyDescent="0.2">
      <c r="EU526" s="67">
        <v>560.20000000000005</v>
      </c>
      <c r="EV526" s="67" t="s">
        <v>4228</v>
      </c>
      <c r="EW526" s="67">
        <v>481.72</v>
      </c>
      <c r="EX526" s="67" t="s">
        <v>4229</v>
      </c>
      <c r="EY526" s="67">
        <v>5620.04</v>
      </c>
      <c r="EZ526" s="67" t="s">
        <v>4230</v>
      </c>
      <c r="FA526" s="67">
        <v>19805.912</v>
      </c>
      <c r="FB526" s="67" t="s">
        <v>4231</v>
      </c>
      <c r="FC526" s="67" t="s">
        <v>4232</v>
      </c>
      <c r="FD526" s="67" t="s">
        <v>4233</v>
      </c>
      <c r="FE526" s="68" t="s">
        <v>4234</v>
      </c>
      <c r="FF526" s="68" t="s">
        <v>4235</v>
      </c>
    </row>
    <row r="527" spans="151:162" x14ac:dyDescent="0.2">
      <c r="EU527" s="67">
        <v>560.38</v>
      </c>
      <c r="EV527" s="67" t="s">
        <v>4236</v>
      </c>
      <c r="EW527" s="67">
        <v>481.98</v>
      </c>
      <c r="EX527" s="67" t="s">
        <v>4237</v>
      </c>
      <c r="EY527" s="67">
        <v>5620.34</v>
      </c>
      <c r="EZ527" s="67" t="s">
        <v>4238</v>
      </c>
      <c r="FA527" s="67">
        <v>19807.835999999999</v>
      </c>
      <c r="FB527" s="67" t="s">
        <v>4239</v>
      </c>
      <c r="FC527" s="67" t="s">
        <v>4240</v>
      </c>
      <c r="FD527" s="67" t="s">
        <v>4241</v>
      </c>
      <c r="FE527" s="68" t="s">
        <v>4242</v>
      </c>
      <c r="FF527" s="68" t="s">
        <v>4243</v>
      </c>
    </row>
    <row r="528" spans="151:162" x14ac:dyDescent="0.2">
      <c r="EU528" s="67">
        <v>560.51</v>
      </c>
      <c r="EV528" s="67" t="s">
        <v>4244</v>
      </c>
      <c r="EW528" s="67">
        <v>482.1</v>
      </c>
      <c r="EX528" s="67" t="s">
        <v>4245</v>
      </c>
      <c r="EY528" s="67">
        <v>5621.36</v>
      </c>
      <c r="EZ528" s="67" t="s">
        <v>4246</v>
      </c>
      <c r="FA528" s="67">
        <v>19807.367999999999</v>
      </c>
      <c r="FB528" s="67" t="s">
        <v>4247</v>
      </c>
      <c r="FC528" s="67" t="s">
        <v>4248</v>
      </c>
      <c r="FD528" s="67" t="s">
        <v>4249</v>
      </c>
      <c r="FE528" s="68" t="s">
        <v>4250</v>
      </c>
      <c r="FF528" s="68" t="s">
        <v>4251</v>
      </c>
    </row>
    <row r="529" spans="151:162" x14ac:dyDescent="0.2">
      <c r="EU529" s="67">
        <v>560.34</v>
      </c>
      <c r="EV529" s="67" t="s">
        <v>4252</v>
      </c>
      <c r="EW529" s="67">
        <v>481.88</v>
      </c>
      <c r="EX529" s="67" t="s">
        <v>4253</v>
      </c>
      <c r="EY529" s="67">
        <v>5620.16</v>
      </c>
      <c r="EZ529" s="67" t="s">
        <v>4254</v>
      </c>
      <c r="FA529" s="67">
        <v>19804.073</v>
      </c>
      <c r="FB529" s="67" t="s">
        <v>4255</v>
      </c>
      <c r="FC529" s="67" t="s">
        <v>4256</v>
      </c>
      <c r="FD529" s="67" t="s">
        <v>4257</v>
      </c>
      <c r="FE529" s="68" t="s">
        <v>4258</v>
      </c>
      <c r="FF529" s="68" t="s">
        <v>4259</v>
      </c>
    </row>
    <row r="530" spans="151:162" x14ac:dyDescent="0.2">
      <c r="EU530" s="67">
        <v>560.82000000000005</v>
      </c>
      <c r="EV530" s="67" t="s">
        <v>4260</v>
      </c>
      <c r="EW530" s="67">
        <v>482.32</v>
      </c>
      <c r="EX530" s="67" t="s">
        <v>4261</v>
      </c>
      <c r="EY530" s="67">
        <v>5624.71</v>
      </c>
      <c r="EZ530" s="67" t="s">
        <v>4262</v>
      </c>
      <c r="FA530" s="67">
        <v>19821.781999999999</v>
      </c>
      <c r="FB530" s="67" t="s">
        <v>4263</v>
      </c>
      <c r="FC530" s="67" t="s">
        <v>4264</v>
      </c>
      <c r="FD530" s="67" t="s">
        <v>4265</v>
      </c>
      <c r="FE530" s="68" t="s">
        <v>4266</v>
      </c>
      <c r="FF530" s="68" t="s">
        <v>4267</v>
      </c>
    </row>
    <row r="531" spans="151:162" x14ac:dyDescent="0.2">
      <c r="EU531" s="67">
        <v>560.51</v>
      </c>
      <c r="EV531" s="67" t="s">
        <v>4268</v>
      </c>
      <c r="EW531" s="67">
        <v>482.05</v>
      </c>
      <c r="EX531" s="67" t="s">
        <v>4269</v>
      </c>
      <c r="EY531" s="67">
        <v>5622.1</v>
      </c>
      <c r="EZ531" s="67" t="s">
        <v>4270</v>
      </c>
      <c r="FA531" s="67">
        <v>19809.54</v>
      </c>
      <c r="FB531" s="67" t="s">
        <v>4271</v>
      </c>
      <c r="FC531" s="67" t="s">
        <v>4272</v>
      </c>
      <c r="FD531" s="67" t="s">
        <v>4273</v>
      </c>
      <c r="FE531" s="68" t="s">
        <v>4274</v>
      </c>
      <c r="FF531" s="68" t="s">
        <v>4275</v>
      </c>
    </row>
    <row r="532" spans="151:162" x14ac:dyDescent="0.2">
      <c r="EU532" s="67">
        <v>560.92999999999995</v>
      </c>
      <c r="EV532" s="67" t="s">
        <v>4276</v>
      </c>
      <c r="EW532" s="67">
        <v>482.52</v>
      </c>
      <c r="EX532" s="67" t="s">
        <v>4277</v>
      </c>
      <c r="EY532" s="67">
        <v>5626.17</v>
      </c>
      <c r="EZ532" s="67" t="s">
        <v>4278</v>
      </c>
      <c r="FA532" s="67">
        <v>19827.591</v>
      </c>
      <c r="FB532" s="67" t="s">
        <v>4279</v>
      </c>
      <c r="FC532" s="67" t="s">
        <v>4280</v>
      </c>
      <c r="FD532" s="67" t="s">
        <v>4281</v>
      </c>
      <c r="FE532" s="68" t="s">
        <v>4282</v>
      </c>
      <c r="FF532" s="68" t="s">
        <v>4283</v>
      </c>
    </row>
    <row r="533" spans="151:162" x14ac:dyDescent="0.2">
      <c r="EU533" s="67">
        <v>561.35299999999995</v>
      </c>
      <c r="EV533" s="67" t="s">
        <v>4284</v>
      </c>
      <c r="EW533" s="67">
        <v>482.86</v>
      </c>
      <c r="EX533" s="67" t="s">
        <v>4285</v>
      </c>
      <c r="EY533" s="67">
        <v>5630.05</v>
      </c>
      <c r="EZ533" s="67" t="s">
        <v>4286</v>
      </c>
      <c r="FA533" s="67">
        <v>19841.242999999999</v>
      </c>
      <c r="FB533" s="67" t="s">
        <v>4287</v>
      </c>
      <c r="FC533" s="67" t="s">
        <v>4288</v>
      </c>
      <c r="FD533" s="67" t="s">
        <v>4289</v>
      </c>
      <c r="FE533" s="68" t="s">
        <v>4290</v>
      </c>
      <c r="FF533" s="68" t="s">
        <v>4291</v>
      </c>
    </row>
    <row r="534" spans="151:162" x14ac:dyDescent="0.2">
      <c r="EU534" s="67">
        <v>561.48500000000001</v>
      </c>
      <c r="EV534" s="67" t="s">
        <v>4292</v>
      </c>
      <c r="EW534" s="67">
        <v>483.05</v>
      </c>
      <c r="EX534" s="67" t="s">
        <v>4293</v>
      </c>
      <c r="EY534" s="67">
        <v>5632.07</v>
      </c>
      <c r="EZ534" s="67" t="s">
        <v>4294</v>
      </c>
      <c r="FA534" s="67">
        <v>19851.705000000002</v>
      </c>
      <c r="FB534" s="67" t="s">
        <v>4295</v>
      </c>
      <c r="FC534" s="67" t="s">
        <v>4296</v>
      </c>
      <c r="FD534" s="67" t="s">
        <v>4297</v>
      </c>
      <c r="FE534" s="68" t="s">
        <v>4298</v>
      </c>
      <c r="FF534" s="68" t="s">
        <v>4299</v>
      </c>
    </row>
    <row r="535" spans="151:162" x14ac:dyDescent="0.2">
      <c r="EU535" s="67">
        <v>561.27</v>
      </c>
      <c r="EV535" s="67" t="s">
        <v>4300</v>
      </c>
      <c r="EW535" s="67">
        <v>482.87</v>
      </c>
      <c r="EX535" s="67" t="s">
        <v>4301</v>
      </c>
      <c r="EY535" s="67">
        <v>5630.39</v>
      </c>
      <c r="EZ535" s="67" t="s">
        <v>4302</v>
      </c>
      <c r="FA535" s="67">
        <v>19847.345000000001</v>
      </c>
      <c r="FB535" s="67" t="s">
        <v>4303</v>
      </c>
      <c r="FC535" s="67" t="s">
        <v>4304</v>
      </c>
      <c r="FD535" s="67" t="s">
        <v>4305</v>
      </c>
      <c r="FE535" s="68" t="s">
        <v>4306</v>
      </c>
      <c r="FF535" s="68" t="s">
        <v>4307</v>
      </c>
    </row>
    <row r="536" spans="151:162" x14ac:dyDescent="0.2">
      <c r="EU536" s="67">
        <v>561.30999999999995</v>
      </c>
      <c r="EV536" s="67" t="s">
        <v>4308</v>
      </c>
      <c r="EW536" s="67">
        <v>482.86</v>
      </c>
      <c r="EX536" s="67" t="s">
        <v>4309</v>
      </c>
      <c r="EY536" s="67">
        <v>5630.81</v>
      </c>
      <c r="EZ536" s="67" t="s">
        <v>4310</v>
      </c>
      <c r="FA536" s="67">
        <v>19850.514999999999</v>
      </c>
      <c r="FB536" s="67" t="s">
        <v>4311</v>
      </c>
      <c r="FC536" s="67" t="s">
        <v>4312</v>
      </c>
      <c r="FD536" s="67" t="s">
        <v>4313</v>
      </c>
      <c r="FE536" s="68" t="s">
        <v>4314</v>
      </c>
      <c r="FF536" s="68" t="s">
        <v>4315</v>
      </c>
    </row>
    <row r="537" spans="151:162" x14ac:dyDescent="0.2">
      <c r="EU537" s="67">
        <v>561.26</v>
      </c>
      <c r="EV537" s="67" t="s">
        <v>4316</v>
      </c>
      <c r="EW537" s="67">
        <v>482.73</v>
      </c>
      <c r="EX537" s="67" t="s">
        <v>4317</v>
      </c>
      <c r="EY537" s="67">
        <v>5629.72</v>
      </c>
      <c r="EZ537" s="67" t="s">
        <v>4318</v>
      </c>
      <c r="FA537" s="67">
        <v>19843.466</v>
      </c>
      <c r="FB537" s="67" t="s">
        <v>4319</v>
      </c>
      <c r="FC537" s="67" t="s">
        <v>4320</v>
      </c>
      <c r="FD537" s="67" t="s">
        <v>4321</v>
      </c>
      <c r="FE537" s="68" t="s">
        <v>4322</v>
      </c>
      <c r="FF537" s="68" t="s">
        <v>4323</v>
      </c>
    </row>
    <row r="538" spans="151:162" x14ac:dyDescent="0.2">
      <c r="EU538" s="67">
        <v>561.42999999999995</v>
      </c>
      <c r="EV538" s="67" t="s">
        <v>4324</v>
      </c>
      <c r="EW538" s="67">
        <v>483</v>
      </c>
      <c r="EX538" s="67" t="s">
        <v>4325</v>
      </c>
      <c r="EY538" s="67">
        <v>5632.04</v>
      </c>
      <c r="EZ538" s="67" t="s">
        <v>4326</v>
      </c>
      <c r="FA538" s="67">
        <v>19852.991000000002</v>
      </c>
      <c r="FB538" s="67" t="s">
        <v>4327</v>
      </c>
      <c r="FC538" s="67" t="s">
        <v>4328</v>
      </c>
      <c r="FD538" s="67" t="s">
        <v>4329</v>
      </c>
      <c r="FE538" s="68" t="s">
        <v>4330</v>
      </c>
      <c r="FF538" s="68" t="s">
        <v>4331</v>
      </c>
    </row>
    <row r="539" spans="151:162" x14ac:dyDescent="0.2">
      <c r="EU539" s="67">
        <v>561.42200000000003</v>
      </c>
      <c r="EV539" s="67" t="s">
        <v>4332</v>
      </c>
      <c r="EW539" s="67">
        <v>482.9</v>
      </c>
      <c r="EX539" s="67" t="s">
        <v>4333</v>
      </c>
      <c r="EY539" s="67">
        <v>5631.76</v>
      </c>
      <c r="EZ539" s="67" t="s">
        <v>4334</v>
      </c>
      <c r="FA539" s="67">
        <v>19850.295999999998</v>
      </c>
      <c r="FB539" s="67" t="s">
        <v>4335</v>
      </c>
      <c r="FC539" s="67" t="s">
        <v>4336</v>
      </c>
      <c r="FD539" s="67" t="s">
        <v>4337</v>
      </c>
      <c r="FE539" s="68" t="s">
        <v>4338</v>
      </c>
      <c r="FF539" s="68" t="s">
        <v>4339</v>
      </c>
    </row>
    <row r="540" spans="151:162" x14ac:dyDescent="0.2">
      <c r="EU540" s="67">
        <v>561.36</v>
      </c>
      <c r="EV540" s="67" t="s">
        <v>4340</v>
      </c>
      <c r="EW540" s="67">
        <v>482.84</v>
      </c>
      <c r="EX540" s="67" t="s">
        <v>4341</v>
      </c>
      <c r="EY540" s="67">
        <v>5631.04</v>
      </c>
      <c r="EZ540" s="67" t="s">
        <v>4342</v>
      </c>
      <c r="FA540" s="67">
        <v>19845.769</v>
      </c>
      <c r="FB540" s="67" t="s">
        <v>4343</v>
      </c>
      <c r="FC540" s="67" t="s">
        <v>4344</v>
      </c>
      <c r="FD540" s="67" t="s">
        <v>4345</v>
      </c>
      <c r="FE540" s="68" t="s">
        <v>4346</v>
      </c>
      <c r="FF540" s="68" t="s">
        <v>4347</v>
      </c>
    </row>
    <row r="541" spans="151:162" x14ac:dyDescent="0.2">
      <c r="EU541" s="67">
        <v>561.52</v>
      </c>
      <c r="EV541" s="67" t="s">
        <v>4348</v>
      </c>
      <c r="EW541" s="67">
        <v>482.95</v>
      </c>
      <c r="EX541" s="67" t="s">
        <v>4349</v>
      </c>
      <c r="EY541" s="67">
        <v>5631.86</v>
      </c>
      <c r="EZ541" s="67" t="s">
        <v>4350</v>
      </c>
      <c r="FA541" s="67">
        <v>19850.002</v>
      </c>
      <c r="FB541" s="67" t="s">
        <v>4351</v>
      </c>
      <c r="FC541" s="67" t="s">
        <v>4352</v>
      </c>
      <c r="FD541" s="67" t="s">
        <v>4353</v>
      </c>
      <c r="FE541" s="68" t="s">
        <v>4354</v>
      </c>
      <c r="FF541" s="68" t="s">
        <v>4355</v>
      </c>
    </row>
    <row r="542" spans="151:162" x14ac:dyDescent="0.2">
      <c r="EU542" s="67">
        <v>561.21</v>
      </c>
      <c r="EV542" s="67" t="s">
        <v>4356</v>
      </c>
      <c r="EW542" s="67">
        <v>482.7</v>
      </c>
      <c r="EX542" s="67" t="s">
        <v>4357</v>
      </c>
      <c r="EY542" s="67">
        <v>5629.72</v>
      </c>
      <c r="EZ542" s="67" t="s">
        <v>4358</v>
      </c>
      <c r="FA542" s="67">
        <v>19838.071</v>
      </c>
      <c r="FB542" s="67" t="s">
        <v>4359</v>
      </c>
      <c r="FC542" s="67" t="s">
        <v>4360</v>
      </c>
      <c r="FD542" s="67" t="s">
        <v>4361</v>
      </c>
      <c r="FE542" s="68" t="s">
        <v>4362</v>
      </c>
      <c r="FF542" s="68" t="s">
        <v>4363</v>
      </c>
    </row>
    <row r="543" spans="151:162" x14ac:dyDescent="0.2">
      <c r="EU543" s="67">
        <v>561.71</v>
      </c>
      <c r="EV543" s="67" t="s">
        <v>4364</v>
      </c>
      <c r="EW543" s="67">
        <v>483.22</v>
      </c>
      <c r="EX543" s="67" t="s">
        <v>4365</v>
      </c>
      <c r="EY543" s="67">
        <v>5633.97</v>
      </c>
      <c r="EZ543" s="67" t="s">
        <v>4366</v>
      </c>
      <c r="FA543" s="67">
        <v>19858.414000000001</v>
      </c>
      <c r="FB543" s="67" t="s">
        <v>4367</v>
      </c>
      <c r="FC543" s="67" t="s">
        <v>4368</v>
      </c>
      <c r="FD543" s="67" t="s">
        <v>4369</v>
      </c>
      <c r="FE543" s="68" t="s">
        <v>4370</v>
      </c>
      <c r="FF543" s="68" t="s">
        <v>4371</v>
      </c>
    </row>
    <row r="544" spans="151:162" x14ac:dyDescent="0.2">
      <c r="EU544" s="67">
        <v>561.62</v>
      </c>
      <c r="EV544" s="67" t="s">
        <v>4372</v>
      </c>
      <c r="EW544" s="67">
        <v>483.16</v>
      </c>
      <c r="EX544" s="67" t="s">
        <v>4373</v>
      </c>
      <c r="EY544" s="67">
        <v>5633.49</v>
      </c>
      <c r="EZ544" s="67" t="s">
        <v>4374</v>
      </c>
      <c r="FA544" s="67">
        <v>19856.444</v>
      </c>
      <c r="FB544" s="67" t="s">
        <v>4375</v>
      </c>
      <c r="FC544" s="67" t="s">
        <v>4376</v>
      </c>
      <c r="FD544" s="67" t="s">
        <v>4377</v>
      </c>
      <c r="FE544" s="68" t="s">
        <v>4378</v>
      </c>
      <c r="FF544" s="68" t="s">
        <v>4379</v>
      </c>
    </row>
    <row r="545" spans="151:162" x14ac:dyDescent="0.2">
      <c r="EU545" s="67">
        <v>561.64</v>
      </c>
      <c r="EV545" s="67" t="s">
        <v>4380</v>
      </c>
      <c r="EW545" s="67">
        <v>483.21</v>
      </c>
      <c r="EX545" s="67" t="s">
        <v>4381</v>
      </c>
      <c r="EY545" s="67">
        <v>5633.65</v>
      </c>
      <c r="EZ545" s="67" t="s">
        <v>4382</v>
      </c>
      <c r="FA545" s="67">
        <v>19861.508000000002</v>
      </c>
      <c r="FB545" s="67" t="s">
        <v>4383</v>
      </c>
      <c r="FC545" s="67" t="s">
        <v>4384</v>
      </c>
      <c r="FD545" s="67" t="s">
        <v>4385</v>
      </c>
      <c r="FE545" s="68" t="s">
        <v>4386</v>
      </c>
      <c r="FF545" s="68" t="s">
        <v>4387</v>
      </c>
    </row>
    <row r="546" spans="151:162" x14ac:dyDescent="0.2">
      <c r="EU546" s="67">
        <v>561.70000000000005</v>
      </c>
      <c r="EV546" s="67" t="s">
        <v>4388</v>
      </c>
      <c r="EW546" s="67">
        <v>483.28899999999999</v>
      </c>
      <c r="EX546" s="67" t="s">
        <v>4389</v>
      </c>
      <c r="EY546" s="67">
        <v>5633.97</v>
      </c>
      <c r="EZ546" s="67" t="s">
        <v>4390</v>
      </c>
      <c r="FA546" s="67">
        <v>19862.473999999998</v>
      </c>
      <c r="FB546" s="67" t="s">
        <v>4391</v>
      </c>
      <c r="FC546" s="67" t="s">
        <v>4392</v>
      </c>
      <c r="FD546" s="67" t="s">
        <v>4393</v>
      </c>
      <c r="FE546" s="68" t="s">
        <v>4394</v>
      </c>
      <c r="FF546" s="68" t="s">
        <v>4395</v>
      </c>
    </row>
    <row r="547" spans="151:162" x14ac:dyDescent="0.2">
      <c r="EU547" s="67">
        <v>561.64</v>
      </c>
      <c r="EV547" s="67" t="s">
        <v>4396</v>
      </c>
      <c r="EW547" s="67">
        <v>483.21</v>
      </c>
      <c r="EX547" s="67" t="s">
        <v>4397</v>
      </c>
      <c r="EY547" s="67">
        <v>5633.7</v>
      </c>
      <c r="EZ547" s="67" t="s">
        <v>4398</v>
      </c>
      <c r="FA547" s="67">
        <v>19861.93</v>
      </c>
      <c r="FB547" s="67" t="s">
        <v>4399</v>
      </c>
      <c r="FC547" s="67" t="s">
        <v>4400</v>
      </c>
      <c r="FD547" s="67" t="s">
        <v>4401</v>
      </c>
      <c r="FE547" s="68" t="s">
        <v>4402</v>
      </c>
      <c r="FF547" s="68" t="s">
        <v>4403</v>
      </c>
    </row>
    <row r="548" spans="151:162" x14ac:dyDescent="0.2">
      <c r="EU548" s="67">
        <v>561.44000000000005</v>
      </c>
      <c r="EV548" s="67" t="s">
        <v>4404</v>
      </c>
      <c r="EW548" s="67">
        <v>483.12</v>
      </c>
      <c r="EX548" s="67" t="s">
        <v>4405</v>
      </c>
      <c r="EY548" s="67">
        <v>5632.21</v>
      </c>
      <c r="EZ548" s="67" t="s">
        <v>4406</v>
      </c>
      <c r="FA548" s="67">
        <v>19861.672999999999</v>
      </c>
      <c r="FB548" s="67" t="s">
        <v>4407</v>
      </c>
      <c r="FC548" s="67" t="s">
        <v>4408</v>
      </c>
      <c r="FD548" s="67" t="s">
        <v>4409</v>
      </c>
      <c r="FE548" s="68" t="s">
        <v>4410</v>
      </c>
      <c r="FF548" s="68" t="s">
        <v>4411</v>
      </c>
    </row>
    <row r="549" spans="151:162" x14ac:dyDescent="0.2">
      <c r="EU549" s="67">
        <v>561.24</v>
      </c>
      <c r="EV549" s="67" t="s">
        <v>4412</v>
      </c>
      <c r="EW549" s="67">
        <v>482.92</v>
      </c>
      <c r="EX549" s="67" t="s">
        <v>4413</v>
      </c>
      <c r="EY549" s="67">
        <v>5629.81</v>
      </c>
      <c r="EZ549" s="67" t="s">
        <v>4414</v>
      </c>
      <c r="FA549" s="67">
        <v>19850.692999999999</v>
      </c>
      <c r="FB549" s="67" t="s">
        <v>4415</v>
      </c>
      <c r="FC549" s="67" t="s">
        <v>4416</v>
      </c>
      <c r="FD549" s="67" t="s">
        <v>4417</v>
      </c>
      <c r="FE549" s="68" t="s">
        <v>4418</v>
      </c>
      <c r="FF549" s="68" t="s">
        <v>4419</v>
      </c>
    </row>
    <row r="550" spans="151:162" x14ac:dyDescent="0.2">
      <c r="EU550" s="67">
        <v>561.44000000000005</v>
      </c>
      <c r="EV550" s="67" t="s">
        <v>4420</v>
      </c>
      <c r="EW550" s="67">
        <v>483.25</v>
      </c>
      <c r="EX550" s="67" t="s">
        <v>4421</v>
      </c>
      <c r="EY550" s="67">
        <v>5631.88</v>
      </c>
      <c r="EZ550" s="67" t="s">
        <v>4422</v>
      </c>
      <c r="FA550" s="67">
        <v>19862.844000000001</v>
      </c>
      <c r="FB550" s="67" t="s">
        <v>4423</v>
      </c>
      <c r="FC550" s="67" t="s">
        <v>4424</v>
      </c>
      <c r="FD550" s="67" t="s">
        <v>4425</v>
      </c>
      <c r="FE550" s="68" t="s">
        <v>4426</v>
      </c>
      <c r="FF550" s="68" t="s">
        <v>4427</v>
      </c>
    </row>
    <row r="551" spans="151:162" x14ac:dyDescent="0.2">
      <c r="EU551" s="67">
        <v>561.51</v>
      </c>
      <c r="EV551" s="67" t="s">
        <v>4428</v>
      </c>
      <c r="EW551" s="67">
        <v>483.33</v>
      </c>
      <c r="EX551" s="67" t="s">
        <v>4429</v>
      </c>
      <c r="EY551" s="67">
        <v>5632.14</v>
      </c>
      <c r="EZ551" s="67" t="s">
        <v>4430</v>
      </c>
      <c r="FA551" s="67">
        <v>19865.095000000001</v>
      </c>
      <c r="FB551" s="67" t="s">
        <v>4431</v>
      </c>
      <c r="FC551" s="67" t="s">
        <v>4432</v>
      </c>
      <c r="FD551" s="67" t="s">
        <v>4433</v>
      </c>
      <c r="FE551" s="68" t="s">
        <v>4434</v>
      </c>
      <c r="FF551" s="68" t="s">
        <v>4435</v>
      </c>
    </row>
    <row r="552" spans="151:162" x14ac:dyDescent="0.2">
      <c r="EU552" s="67">
        <v>561.17499999999995</v>
      </c>
      <c r="EV552" s="67" t="s">
        <v>4436</v>
      </c>
      <c r="EW552" s="67">
        <v>483.01</v>
      </c>
      <c r="EX552" s="67" t="s">
        <v>4437</v>
      </c>
      <c r="EY552" s="67">
        <v>5629.7</v>
      </c>
      <c r="EZ552" s="67" t="s">
        <v>4438</v>
      </c>
      <c r="FA552" s="67">
        <v>19855.030999999999</v>
      </c>
      <c r="FB552" s="67" t="s">
        <v>4439</v>
      </c>
      <c r="FC552" s="67" t="s">
        <v>4440</v>
      </c>
      <c r="FD552" s="67" t="s">
        <v>4441</v>
      </c>
      <c r="FE552" s="68" t="s">
        <v>4442</v>
      </c>
      <c r="FF552" s="68" t="s">
        <v>4443</v>
      </c>
    </row>
    <row r="553" spans="151:162" x14ac:dyDescent="0.2">
      <c r="EU553" s="67">
        <v>561.59</v>
      </c>
      <c r="EV553" s="67" t="s">
        <v>4444</v>
      </c>
      <c r="EW553" s="67">
        <v>483.38</v>
      </c>
      <c r="EX553" s="67" t="s">
        <v>4445</v>
      </c>
      <c r="EY553" s="67">
        <v>5632.45</v>
      </c>
      <c r="EZ553" s="67" t="s">
        <v>4446</v>
      </c>
      <c r="FA553" s="67">
        <v>19866.97</v>
      </c>
      <c r="FB553" s="67" t="s">
        <v>4447</v>
      </c>
      <c r="FC553" s="67" t="s">
        <v>4448</v>
      </c>
      <c r="FD553" s="67" t="s">
        <v>4449</v>
      </c>
      <c r="FE553" s="68" t="s">
        <v>4450</v>
      </c>
      <c r="FF553" s="68" t="s">
        <v>4451</v>
      </c>
    </row>
    <row r="554" spans="151:162" x14ac:dyDescent="0.2">
      <c r="EU554" s="67">
        <v>561.54</v>
      </c>
      <c r="EV554" s="67" t="s">
        <v>4452</v>
      </c>
      <c r="EW554" s="67">
        <v>483.38</v>
      </c>
      <c r="EX554" s="67" t="s">
        <v>4453</v>
      </c>
      <c r="EY554" s="67">
        <v>5633.03</v>
      </c>
      <c r="EZ554" s="67" t="s">
        <v>4454</v>
      </c>
      <c r="FA554" s="67">
        <v>19870.195</v>
      </c>
      <c r="FB554" s="67" t="s">
        <v>4455</v>
      </c>
      <c r="FC554" s="67" t="s">
        <v>4456</v>
      </c>
      <c r="FD554" s="67" t="s">
        <v>4457</v>
      </c>
      <c r="FE554" s="68" t="s">
        <v>4458</v>
      </c>
      <c r="FF554" s="68" t="s">
        <v>4459</v>
      </c>
    </row>
    <row r="555" spans="151:162" x14ac:dyDescent="0.2">
      <c r="EU555" s="67">
        <v>561.52</v>
      </c>
      <c r="EV555" s="67" t="s">
        <v>4460</v>
      </c>
      <c r="EW555" s="67">
        <v>483.24</v>
      </c>
      <c r="EX555" s="67" t="s">
        <v>4461</v>
      </c>
      <c r="EY555" s="67">
        <v>5632.37</v>
      </c>
      <c r="EZ555" s="67" t="s">
        <v>4462</v>
      </c>
      <c r="FA555" s="67">
        <v>19863.159</v>
      </c>
      <c r="FB555" s="67" t="s">
        <v>4463</v>
      </c>
      <c r="FC555" s="67" t="s">
        <v>4464</v>
      </c>
      <c r="FD555" s="67" t="s">
        <v>4465</v>
      </c>
      <c r="FE555" s="68" t="s">
        <v>4466</v>
      </c>
      <c r="FF555" s="68" t="s">
        <v>4467</v>
      </c>
    </row>
    <row r="556" spans="151:162" x14ac:dyDescent="0.2">
      <c r="EU556" s="67">
        <v>561.54</v>
      </c>
      <c r="EV556" s="67" t="s">
        <v>4468</v>
      </c>
      <c r="EW556" s="67">
        <v>483.21</v>
      </c>
      <c r="EX556" s="67" t="s">
        <v>4469</v>
      </c>
      <c r="EY556" s="67">
        <v>5632.75</v>
      </c>
      <c r="EZ556" s="67" t="s">
        <v>4470</v>
      </c>
      <c r="FA556" s="67">
        <v>19864.969000000001</v>
      </c>
      <c r="FB556" s="67" t="s">
        <v>4471</v>
      </c>
      <c r="FC556" s="67" t="s">
        <v>4472</v>
      </c>
      <c r="FD556" s="67" t="s">
        <v>4473</v>
      </c>
      <c r="FE556" s="68" t="s">
        <v>4474</v>
      </c>
      <c r="FF556" s="68" t="s">
        <v>4475</v>
      </c>
    </row>
    <row r="557" spans="151:162" x14ac:dyDescent="0.2">
      <c r="EU557" s="67">
        <v>561.58000000000004</v>
      </c>
      <c r="EV557" s="67" t="s">
        <v>4476</v>
      </c>
      <c r="EW557" s="67">
        <v>483.37</v>
      </c>
      <c r="EX557" s="67" t="s">
        <v>4477</v>
      </c>
      <c r="EY557" s="67">
        <v>5633.07</v>
      </c>
      <c r="EZ557" s="67" t="s">
        <v>4478</v>
      </c>
      <c r="FA557" s="67">
        <v>19866.713</v>
      </c>
      <c r="FB557" s="67" t="s">
        <v>4479</v>
      </c>
      <c r="FC557" s="67" t="s">
        <v>4480</v>
      </c>
      <c r="FD557" s="67" t="s">
        <v>4481</v>
      </c>
      <c r="FE557" s="68" t="s">
        <v>4482</v>
      </c>
      <c r="FF557" s="68" t="s">
        <v>4483</v>
      </c>
    </row>
    <row r="558" spans="151:162" x14ac:dyDescent="0.2">
      <c r="EU558" s="67">
        <v>561.16999999999996</v>
      </c>
      <c r="EV558" s="67" t="s">
        <v>4484</v>
      </c>
      <c r="EW558" s="67">
        <v>483.03</v>
      </c>
      <c r="EX558" s="67" t="s">
        <v>4485</v>
      </c>
      <c r="EY558" s="67">
        <v>5628.75</v>
      </c>
      <c r="EZ558" s="67" t="s">
        <v>4486</v>
      </c>
      <c r="FA558" s="67">
        <v>19854.595000000001</v>
      </c>
      <c r="FB558" s="67" t="s">
        <v>4487</v>
      </c>
      <c r="FC558" s="67" t="s">
        <v>4488</v>
      </c>
      <c r="FD558" s="67" t="s">
        <v>4489</v>
      </c>
      <c r="FE558" s="68" t="s">
        <v>4490</v>
      </c>
      <c r="FF558" s="68" t="s">
        <v>4491</v>
      </c>
    </row>
    <row r="559" spans="151:162" x14ac:dyDescent="0.2">
      <c r="EU559" s="67">
        <v>561.6</v>
      </c>
      <c r="EV559" s="67" t="s">
        <v>4492</v>
      </c>
      <c r="EW559" s="67">
        <v>483.49</v>
      </c>
      <c r="EX559" s="67" t="s">
        <v>4493</v>
      </c>
      <c r="EY559" s="67">
        <v>5633.61</v>
      </c>
      <c r="EZ559" s="67" t="s">
        <v>4494</v>
      </c>
      <c r="FA559" s="67">
        <v>19874.624</v>
      </c>
      <c r="FB559" s="67" t="s">
        <v>4495</v>
      </c>
      <c r="FC559" s="67" t="s">
        <v>4496</v>
      </c>
      <c r="FD559" s="67" t="s">
        <v>4497</v>
      </c>
      <c r="FE559" s="68" t="s">
        <v>4498</v>
      </c>
      <c r="FF559" s="68" t="s">
        <v>4499</v>
      </c>
    </row>
    <row r="560" spans="151:162" x14ac:dyDescent="0.2">
      <c r="EU560" s="67">
        <v>561.66999999999996</v>
      </c>
      <c r="EV560" s="67" t="s">
        <v>4500</v>
      </c>
      <c r="EW560" s="67">
        <v>483.64</v>
      </c>
      <c r="EX560" s="67" t="s">
        <v>4501</v>
      </c>
      <c r="EY560" s="67">
        <v>5633.88</v>
      </c>
      <c r="EZ560" s="67" t="s">
        <v>4502</v>
      </c>
      <c r="FA560" s="67">
        <v>19879.428</v>
      </c>
      <c r="FB560" s="67" t="s">
        <v>4503</v>
      </c>
      <c r="FC560" s="67" t="s">
        <v>4504</v>
      </c>
      <c r="FD560" s="67" t="s">
        <v>4505</v>
      </c>
      <c r="FE560" s="68" t="s">
        <v>4506</v>
      </c>
      <c r="FF560" s="68" t="s">
        <v>4507</v>
      </c>
    </row>
    <row r="561" spans="151:162" x14ac:dyDescent="0.2">
      <c r="EU561" s="67">
        <v>561.42999999999995</v>
      </c>
      <c r="EV561" s="67" t="s">
        <v>4508</v>
      </c>
      <c r="EW561" s="67">
        <v>483.54</v>
      </c>
      <c r="EX561" s="67" t="s">
        <v>4509</v>
      </c>
      <c r="EY561" s="67">
        <v>5632.17</v>
      </c>
      <c r="EZ561" s="67" t="s">
        <v>4510</v>
      </c>
      <c r="FA561" s="67">
        <v>19875.491999999998</v>
      </c>
      <c r="FB561" s="67" t="s">
        <v>4511</v>
      </c>
      <c r="FC561" s="67" t="s">
        <v>4512</v>
      </c>
      <c r="FD561" s="67" t="s">
        <v>4513</v>
      </c>
      <c r="FE561" s="68" t="s">
        <v>4514</v>
      </c>
      <c r="FF561" s="68" t="s">
        <v>4515</v>
      </c>
    </row>
    <row r="562" spans="151:162" x14ac:dyDescent="0.2">
      <c r="EU562" s="67">
        <v>561.64</v>
      </c>
      <c r="EV562" s="67" t="s">
        <v>4516</v>
      </c>
      <c r="EW562" s="67">
        <v>483.70499999999998</v>
      </c>
      <c r="EX562" s="67" t="s">
        <v>4517</v>
      </c>
      <c r="EY562" s="67">
        <v>5634.15</v>
      </c>
      <c r="EZ562" s="67" t="s">
        <v>4518</v>
      </c>
      <c r="FA562" s="67">
        <v>19883.564999999999</v>
      </c>
      <c r="FB562" s="67" t="s">
        <v>4519</v>
      </c>
      <c r="FC562" s="67" t="s">
        <v>4520</v>
      </c>
      <c r="FD562" s="67" t="s">
        <v>4521</v>
      </c>
      <c r="FE562" s="68" t="s">
        <v>4522</v>
      </c>
      <c r="FF562" s="68" t="s">
        <v>4523</v>
      </c>
    </row>
    <row r="563" spans="151:162" x14ac:dyDescent="0.2">
      <c r="EU563" s="67">
        <v>561.78</v>
      </c>
      <c r="EV563" s="67" t="s">
        <v>4524</v>
      </c>
      <c r="EW563" s="67">
        <v>483.81</v>
      </c>
      <c r="EX563" s="67" t="s">
        <v>4525</v>
      </c>
      <c r="EY563" s="67">
        <v>5635.69</v>
      </c>
      <c r="EZ563" s="67" t="s">
        <v>4526</v>
      </c>
      <c r="FA563" s="67">
        <v>19888.016</v>
      </c>
      <c r="FB563" s="67" t="s">
        <v>4527</v>
      </c>
      <c r="FC563" s="67" t="s">
        <v>4528</v>
      </c>
      <c r="FD563" s="67" t="s">
        <v>4529</v>
      </c>
      <c r="FE563" s="68" t="s">
        <v>4530</v>
      </c>
      <c r="FF563" s="68" t="s">
        <v>4531</v>
      </c>
    </row>
    <row r="564" spans="151:162" x14ac:dyDescent="0.2">
      <c r="EU564" s="67">
        <v>561.84</v>
      </c>
      <c r="EV564" s="67" t="s">
        <v>4532</v>
      </c>
      <c r="EW564" s="67">
        <v>483.93</v>
      </c>
      <c r="EX564" s="67" t="s">
        <v>4533</v>
      </c>
      <c r="EY564" s="67">
        <v>5636.27</v>
      </c>
      <c r="EZ564" s="67" t="s">
        <v>4534</v>
      </c>
      <c r="FA564" s="67">
        <v>19893.473999999998</v>
      </c>
      <c r="FB564" s="67" t="s">
        <v>4535</v>
      </c>
      <c r="FC564" s="67" t="s">
        <v>4536</v>
      </c>
      <c r="FD564" s="67" t="s">
        <v>4537</v>
      </c>
      <c r="FE564" s="68" t="s">
        <v>4538</v>
      </c>
      <c r="FF564" s="68" t="s">
        <v>4539</v>
      </c>
    </row>
    <row r="565" spans="151:162" x14ac:dyDescent="0.2">
      <c r="EU565" s="67">
        <v>561.87</v>
      </c>
      <c r="EV565" s="67" t="s">
        <v>4540</v>
      </c>
      <c r="EW565" s="67">
        <v>483.87</v>
      </c>
      <c r="EX565" s="67" t="s">
        <v>4541</v>
      </c>
      <c r="EY565" s="67">
        <v>5635.86</v>
      </c>
      <c r="EZ565" s="67" t="s">
        <v>4542</v>
      </c>
      <c r="FA565" s="67">
        <v>19889.196</v>
      </c>
      <c r="FB565" s="67" t="s">
        <v>4543</v>
      </c>
      <c r="FC565" s="67" t="s">
        <v>4544</v>
      </c>
      <c r="FD565" s="67" t="s">
        <v>4545</v>
      </c>
      <c r="FE565" s="68" t="s">
        <v>4546</v>
      </c>
      <c r="FF565" s="68" t="s">
        <v>4547</v>
      </c>
    </row>
    <row r="566" spans="151:162" x14ac:dyDescent="0.2">
      <c r="EU566" s="67">
        <v>561.9</v>
      </c>
      <c r="EV566" s="67" t="s">
        <v>4548</v>
      </c>
      <c r="EW566" s="67">
        <v>483.91</v>
      </c>
      <c r="EX566" s="67" t="s">
        <v>4549</v>
      </c>
      <c r="EY566" s="67">
        <v>5636.25</v>
      </c>
      <c r="EZ566" s="67" t="s">
        <v>4550</v>
      </c>
      <c r="FA566" s="67">
        <v>19890.137999999999</v>
      </c>
      <c r="FB566" s="67" t="s">
        <v>4551</v>
      </c>
      <c r="FC566" s="67" t="s">
        <v>4552</v>
      </c>
      <c r="FD566" s="67" t="s">
        <v>4553</v>
      </c>
      <c r="FE566" s="68" t="s">
        <v>4554</v>
      </c>
      <c r="FF566" s="68" t="s">
        <v>4555</v>
      </c>
    </row>
    <row r="567" spans="151:162" x14ac:dyDescent="0.2">
      <c r="EU567" s="67">
        <v>561.76</v>
      </c>
      <c r="EV567" s="67" t="s">
        <v>4556</v>
      </c>
      <c r="EW567" s="67">
        <v>483.8</v>
      </c>
      <c r="EX567" s="67" t="s">
        <v>4557</v>
      </c>
      <c r="EY567" s="67">
        <v>5635.24</v>
      </c>
      <c r="EZ567" s="67" t="s">
        <v>4558</v>
      </c>
      <c r="FA567" s="67">
        <v>19886.795999999998</v>
      </c>
      <c r="FB567" s="67" t="s">
        <v>4559</v>
      </c>
      <c r="FC567" s="67" t="s">
        <v>4560</v>
      </c>
      <c r="FD567" s="67" t="s">
        <v>4561</v>
      </c>
      <c r="FE567" s="68" t="s">
        <v>4562</v>
      </c>
      <c r="FF567" s="68" t="s">
        <v>4563</v>
      </c>
    </row>
    <row r="568" spans="151:162" x14ac:dyDescent="0.2">
      <c r="EU568" s="67">
        <v>561.57000000000005</v>
      </c>
      <c r="EV568" s="67" t="s">
        <v>4564</v>
      </c>
      <c r="EW568" s="67">
        <v>483.72</v>
      </c>
      <c r="EX568" s="67" t="s">
        <v>4565</v>
      </c>
      <c r="EY568" s="67">
        <v>5633.79</v>
      </c>
      <c r="EZ568" s="67" t="s">
        <v>4566</v>
      </c>
      <c r="FA568" s="67">
        <v>19883.172999999999</v>
      </c>
      <c r="FB568" s="67" t="s">
        <v>4567</v>
      </c>
      <c r="FC568" s="67" t="s">
        <v>4568</v>
      </c>
      <c r="FD568" s="67" t="s">
        <v>4569</v>
      </c>
      <c r="FE568" s="68" t="s">
        <v>4570</v>
      </c>
      <c r="FF568" s="68" t="s">
        <v>4571</v>
      </c>
    </row>
    <row r="569" spans="151:162" x14ac:dyDescent="0.2">
      <c r="EU569" s="67">
        <v>561.55999999999995</v>
      </c>
      <c r="EV569" s="67" t="s">
        <v>4572</v>
      </c>
      <c r="EW569" s="67">
        <v>483.69</v>
      </c>
      <c r="EX569" s="67" t="s">
        <v>4573</v>
      </c>
      <c r="EY569" s="67">
        <v>5633.5</v>
      </c>
      <c r="EZ569" s="67" t="s">
        <v>4574</v>
      </c>
      <c r="FA569" s="67">
        <v>19881.286</v>
      </c>
      <c r="FB569" s="67" t="s">
        <v>4575</v>
      </c>
      <c r="FC569" s="67" t="s">
        <v>4576</v>
      </c>
      <c r="FD569" s="67" t="s">
        <v>4577</v>
      </c>
      <c r="FE569" s="68" t="s">
        <v>4578</v>
      </c>
      <c r="FF569" s="68" t="s">
        <v>4579</v>
      </c>
    </row>
    <row r="570" spans="151:162" x14ac:dyDescent="0.2">
      <c r="EU570" s="67">
        <v>561.49</v>
      </c>
      <c r="EV570" s="67" t="s">
        <v>4580</v>
      </c>
      <c r="EW570" s="67">
        <v>483.61</v>
      </c>
      <c r="EX570" s="67" t="s">
        <v>4581</v>
      </c>
      <c r="EY570" s="67">
        <v>5632.55</v>
      </c>
      <c r="EZ570" s="67" t="s">
        <v>4582</v>
      </c>
      <c r="FA570" s="67">
        <v>19879.415000000001</v>
      </c>
      <c r="FB570" s="67" t="s">
        <v>4583</v>
      </c>
      <c r="FC570" s="67" t="s">
        <v>4584</v>
      </c>
      <c r="FD570" s="67" t="s">
        <v>4585</v>
      </c>
      <c r="FE570" s="68" t="s">
        <v>4586</v>
      </c>
      <c r="FF570" s="68" t="s">
        <v>4587</v>
      </c>
    </row>
    <row r="571" spans="151:162" x14ac:dyDescent="0.2">
      <c r="EU571" s="67">
        <v>561.59</v>
      </c>
      <c r="EV571" s="67" t="s">
        <v>4588</v>
      </c>
      <c r="EW571" s="67">
        <v>483.75</v>
      </c>
      <c r="EX571" s="67" t="s">
        <v>4589</v>
      </c>
      <c r="EY571" s="67">
        <v>5633.92</v>
      </c>
      <c r="EZ571" s="67" t="s">
        <v>4590</v>
      </c>
      <c r="FA571" s="67">
        <v>19884.46</v>
      </c>
      <c r="FB571" s="67" t="s">
        <v>4591</v>
      </c>
      <c r="FC571" s="67" t="s">
        <v>4592</v>
      </c>
      <c r="FD571" s="67" t="s">
        <v>4593</v>
      </c>
      <c r="FE571" s="68" t="s">
        <v>4594</v>
      </c>
      <c r="FF571" s="68" t="s">
        <v>4595</v>
      </c>
    </row>
    <row r="572" spans="151:162" x14ac:dyDescent="0.2">
      <c r="EU572" s="67">
        <v>561.78</v>
      </c>
      <c r="EV572" s="67" t="s">
        <v>4596</v>
      </c>
      <c r="EW572" s="67">
        <v>483.85</v>
      </c>
      <c r="EX572" s="67" t="s">
        <v>4597</v>
      </c>
      <c r="EY572" s="67">
        <v>5634.96</v>
      </c>
      <c r="EZ572" s="67" t="s">
        <v>4598</v>
      </c>
      <c r="FA572" s="67">
        <v>19885.446</v>
      </c>
      <c r="FB572" s="67" t="s">
        <v>4599</v>
      </c>
      <c r="FC572" s="67" t="s">
        <v>4600</v>
      </c>
      <c r="FD572" s="67" t="s">
        <v>4601</v>
      </c>
      <c r="FE572" s="68" t="s">
        <v>4602</v>
      </c>
      <c r="FF572" s="68" t="s">
        <v>4603</v>
      </c>
    </row>
    <row r="573" spans="151:162" x14ac:dyDescent="0.2">
      <c r="EU573" s="67">
        <v>561.64</v>
      </c>
      <c r="EV573" s="67" t="s">
        <v>4604</v>
      </c>
      <c r="EW573" s="67">
        <v>483.74900000000002</v>
      </c>
      <c r="EX573" s="67" t="s">
        <v>4605</v>
      </c>
      <c r="EY573" s="67">
        <v>5634.36</v>
      </c>
      <c r="EZ573" s="67" t="s">
        <v>4606</v>
      </c>
      <c r="FA573" s="67">
        <v>19884.929</v>
      </c>
      <c r="FB573" s="67" t="s">
        <v>4607</v>
      </c>
      <c r="FC573" s="67" t="s">
        <v>4608</v>
      </c>
      <c r="FD573" s="67" t="s">
        <v>4609</v>
      </c>
      <c r="FE573" s="68" t="s">
        <v>4610</v>
      </c>
      <c r="FF573" s="68" t="s">
        <v>4611</v>
      </c>
    </row>
    <row r="574" spans="151:162" x14ac:dyDescent="0.2">
      <c r="EU574" s="67">
        <v>561.67499999999995</v>
      </c>
      <c r="EV574" s="67" t="s">
        <v>4612</v>
      </c>
      <c r="EW574" s="67">
        <v>483.66</v>
      </c>
      <c r="EX574" s="67" t="s">
        <v>4613</v>
      </c>
      <c r="EY574" s="67">
        <v>5634.4</v>
      </c>
      <c r="EZ574" s="67" t="s">
        <v>4614</v>
      </c>
      <c r="FA574" s="67">
        <v>19879.938999999998</v>
      </c>
      <c r="FB574" s="67" t="s">
        <v>4615</v>
      </c>
      <c r="FC574" s="67" t="s">
        <v>4616</v>
      </c>
      <c r="FD574" s="67" t="s">
        <v>4617</v>
      </c>
      <c r="FE574" s="68" t="s">
        <v>4618</v>
      </c>
      <c r="FF574" s="68" t="s">
        <v>4619</v>
      </c>
    </row>
    <row r="575" spans="151:162" x14ac:dyDescent="0.2">
      <c r="EU575" s="67">
        <v>561.66499999999996</v>
      </c>
      <c r="EV575" s="67" t="s">
        <v>4620</v>
      </c>
      <c r="EW575" s="67">
        <v>483.57</v>
      </c>
      <c r="EX575" s="67" t="s">
        <v>4621</v>
      </c>
      <c r="EY575" s="67">
        <v>5634.15</v>
      </c>
      <c r="EZ575" s="67" t="s">
        <v>4622</v>
      </c>
      <c r="FA575" s="67">
        <v>19875.12</v>
      </c>
      <c r="FB575" s="67" t="s">
        <v>4623</v>
      </c>
      <c r="FC575" s="67" t="s">
        <v>4624</v>
      </c>
      <c r="FD575" s="67" t="s">
        <v>4625</v>
      </c>
      <c r="FE575" s="68" t="s">
        <v>4626</v>
      </c>
      <c r="FF575" s="68" t="s">
        <v>4627</v>
      </c>
    </row>
    <row r="576" spans="151:162" x14ac:dyDescent="0.2">
      <c r="EU576" s="67">
        <v>561.59</v>
      </c>
      <c r="EV576" s="67" t="s">
        <v>4628</v>
      </c>
      <c r="EW576" s="67">
        <v>483.536</v>
      </c>
      <c r="EX576" s="67" t="s">
        <v>4629</v>
      </c>
      <c r="EY576" s="67">
        <v>5633.05</v>
      </c>
      <c r="EZ576" s="67" t="s">
        <v>4630</v>
      </c>
      <c r="FA576" s="67">
        <v>19873.674999999999</v>
      </c>
      <c r="FB576" s="67" t="s">
        <v>4631</v>
      </c>
      <c r="FC576" s="67" t="s">
        <v>4632</v>
      </c>
      <c r="FD576" s="67" t="s">
        <v>4633</v>
      </c>
      <c r="FE576" s="68" t="s">
        <v>4634</v>
      </c>
      <c r="FF576" s="68" t="s">
        <v>4635</v>
      </c>
    </row>
    <row r="577" spans="151:162" x14ac:dyDescent="0.2">
      <c r="EU577" s="67">
        <v>561.53300000000002</v>
      </c>
      <c r="EV577" s="67" t="s">
        <v>4636</v>
      </c>
      <c r="EW577" s="67">
        <v>483.46</v>
      </c>
      <c r="EX577" s="67" t="s">
        <v>4637</v>
      </c>
      <c r="EY577" s="67">
        <v>5633.15</v>
      </c>
      <c r="EZ577" s="67" t="s">
        <v>4638</v>
      </c>
      <c r="FA577" s="67">
        <v>19872.772000000001</v>
      </c>
      <c r="FB577" s="67" t="s">
        <v>4639</v>
      </c>
      <c r="FC577" s="67" t="s">
        <v>4640</v>
      </c>
      <c r="FD577" s="67" t="s">
        <v>4641</v>
      </c>
      <c r="FE577" s="68" t="s">
        <v>4642</v>
      </c>
      <c r="FF577" s="68" t="s">
        <v>4643</v>
      </c>
    </row>
    <row r="578" spans="151:162" x14ac:dyDescent="0.2">
      <c r="EU578" s="67">
        <v>561.66</v>
      </c>
      <c r="EV578" s="67" t="s">
        <v>4644</v>
      </c>
      <c r="EW578" s="67">
        <v>483.56</v>
      </c>
      <c r="EX578" s="67" t="s">
        <v>4645</v>
      </c>
      <c r="EY578" s="67">
        <v>5633.89</v>
      </c>
      <c r="EZ578" s="67" t="s">
        <v>4646</v>
      </c>
      <c r="FA578" s="67">
        <v>19875.267</v>
      </c>
      <c r="FB578" s="67" t="s">
        <v>4647</v>
      </c>
      <c r="FC578" s="67" t="s">
        <v>4648</v>
      </c>
      <c r="FD578" s="67" t="s">
        <v>4649</v>
      </c>
      <c r="FE578" s="68" t="s">
        <v>4650</v>
      </c>
      <c r="FF578" s="68" t="s">
        <v>4651</v>
      </c>
    </row>
    <row r="579" spans="151:162" x14ac:dyDescent="0.2">
      <c r="EU579" s="67">
        <v>561.69000000000005</v>
      </c>
      <c r="EV579" s="67" t="s">
        <v>4652</v>
      </c>
      <c r="EW579" s="67">
        <v>483.56</v>
      </c>
      <c r="EX579" s="67" t="s">
        <v>4653</v>
      </c>
      <c r="EY579" s="67">
        <v>5634.29</v>
      </c>
      <c r="EZ579" s="67" t="s">
        <v>4654</v>
      </c>
      <c r="FA579" s="67">
        <v>19874.899000000001</v>
      </c>
      <c r="FB579" s="67" t="s">
        <v>4655</v>
      </c>
      <c r="FC579" s="67" t="s">
        <v>4656</v>
      </c>
      <c r="FD579" s="67" t="s">
        <v>4657</v>
      </c>
      <c r="FE579" s="68" t="s">
        <v>4658</v>
      </c>
      <c r="FF579" s="68" t="s">
        <v>4659</v>
      </c>
    </row>
    <row r="580" spans="151:162" x14ac:dyDescent="0.2">
      <c r="EU580" s="67">
        <v>561.77</v>
      </c>
      <c r="EV580" s="67" t="s">
        <v>4660</v>
      </c>
      <c r="EW580" s="67">
        <v>483.58</v>
      </c>
      <c r="EX580" s="67" t="s">
        <v>4661</v>
      </c>
      <c r="EY580" s="67">
        <v>5634.93</v>
      </c>
      <c r="EZ580" s="67" t="s">
        <v>4662</v>
      </c>
      <c r="FA580" s="67">
        <v>19875.404999999999</v>
      </c>
      <c r="FB580" s="67" t="s">
        <v>4663</v>
      </c>
      <c r="FC580" s="67" t="s">
        <v>4664</v>
      </c>
      <c r="FD580" s="67" t="s">
        <v>4665</v>
      </c>
      <c r="FE580" s="68" t="s">
        <v>4666</v>
      </c>
      <c r="FF580" s="68" t="s">
        <v>4667</v>
      </c>
    </row>
    <row r="581" spans="151:162" x14ac:dyDescent="0.2">
      <c r="EU581" s="67">
        <v>561.71</v>
      </c>
      <c r="EV581" s="67" t="s">
        <v>4668</v>
      </c>
      <c r="EW581" s="67">
        <v>483.5</v>
      </c>
      <c r="EX581" s="67" t="s">
        <v>4669</v>
      </c>
      <c r="EY581" s="67">
        <v>5634.53</v>
      </c>
      <c r="EZ581" s="67" t="s">
        <v>4670</v>
      </c>
      <c r="FA581" s="67">
        <v>19871.352999999999</v>
      </c>
      <c r="FB581" s="67" t="s">
        <v>4671</v>
      </c>
      <c r="FC581" s="67" t="s">
        <v>4672</v>
      </c>
      <c r="FD581" s="67" t="s">
        <v>4673</v>
      </c>
      <c r="FE581" s="68" t="s">
        <v>4674</v>
      </c>
      <c r="FF581" s="68" t="s">
        <v>4675</v>
      </c>
    </row>
    <row r="582" spans="151:162" x14ac:dyDescent="0.2">
      <c r="EU582" s="67">
        <v>561.48</v>
      </c>
      <c r="EV582" s="67" t="s">
        <v>4676</v>
      </c>
      <c r="EW582" s="67">
        <v>483.2</v>
      </c>
      <c r="EX582" s="67" t="s">
        <v>4677</v>
      </c>
      <c r="EY582" s="67">
        <v>5632.48</v>
      </c>
      <c r="EZ582" s="67" t="s">
        <v>4678</v>
      </c>
      <c r="FA582" s="67">
        <v>19863.112000000001</v>
      </c>
      <c r="FB582" s="67" t="s">
        <v>4679</v>
      </c>
      <c r="FC582" s="67" t="s">
        <v>4680</v>
      </c>
      <c r="FD582" s="67" t="s">
        <v>4681</v>
      </c>
      <c r="FE582" s="68" t="s">
        <v>4682</v>
      </c>
      <c r="FF582" s="68" t="s">
        <v>4683</v>
      </c>
    </row>
    <row r="583" spans="151:162" x14ac:dyDescent="0.2">
      <c r="EU583" s="67">
        <v>561.48</v>
      </c>
      <c r="EV583" s="67" t="s">
        <v>4684</v>
      </c>
      <c r="EW583" s="67">
        <v>483.20499999999998</v>
      </c>
      <c r="EX583" s="67" t="s">
        <v>4685</v>
      </c>
      <c r="EY583" s="67">
        <v>5632.32</v>
      </c>
      <c r="EZ583" s="67" t="s">
        <v>4686</v>
      </c>
      <c r="FA583" s="67">
        <v>19862.201000000001</v>
      </c>
      <c r="FB583" s="67" t="s">
        <v>4687</v>
      </c>
      <c r="FC583" s="67" t="s">
        <v>4688</v>
      </c>
      <c r="FD583" s="67" t="s">
        <v>4689</v>
      </c>
      <c r="FE583" s="68" t="s">
        <v>4690</v>
      </c>
      <c r="FF583" s="68" t="s">
        <v>4691</v>
      </c>
    </row>
    <row r="584" spans="151:162" x14ac:dyDescent="0.2">
      <c r="EU584" s="67">
        <v>560.98500000000001</v>
      </c>
      <c r="EV584" s="67" t="s">
        <v>4692</v>
      </c>
      <c r="EW584" s="67">
        <v>482.59</v>
      </c>
      <c r="EX584" s="67" t="s">
        <v>4693</v>
      </c>
      <c r="EY584" s="67">
        <v>5627.83</v>
      </c>
      <c r="EZ584" s="67" t="s">
        <v>4694</v>
      </c>
      <c r="FA584" s="67">
        <v>19839.363000000001</v>
      </c>
      <c r="FB584" s="67" t="s">
        <v>4695</v>
      </c>
      <c r="FC584" s="67" t="s">
        <v>4696</v>
      </c>
      <c r="FD584" s="67" t="s">
        <v>4697</v>
      </c>
      <c r="FE584" s="68" t="s">
        <v>4698</v>
      </c>
      <c r="FF584" s="68" t="s">
        <v>4699</v>
      </c>
    </row>
    <row r="585" spans="151:162" x14ac:dyDescent="0.2">
      <c r="EU585" s="67">
        <v>560.76</v>
      </c>
      <c r="EV585" s="67" t="s">
        <v>4700</v>
      </c>
      <c r="EW585" s="67">
        <v>482.42899999999997</v>
      </c>
      <c r="EX585" s="67" t="s">
        <v>4701</v>
      </c>
      <c r="EY585" s="67">
        <v>5625.59</v>
      </c>
      <c r="EZ585" s="67" t="s">
        <v>4702</v>
      </c>
      <c r="FA585" s="67">
        <v>19829.399000000001</v>
      </c>
      <c r="FB585" s="67" t="s">
        <v>4703</v>
      </c>
      <c r="FC585" s="67" t="s">
        <v>4704</v>
      </c>
      <c r="FD585" s="67" t="s">
        <v>4705</v>
      </c>
      <c r="FE585" s="68" t="s">
        <v>4706</v>
      </c>
      <c r="FF585" s="68" t="s">
        <v>4707</v>
      </c>
    </row>
    <row r="586" spans="151:162" x14ac:dyDescent="0.2">
      <c r="EU586" s="67">
        <v>560.57000000000005</v>
      </c>
      <c r="EV586" s="67" t="s">
        <v>4708</v>
      </c>
      <c r="EW586" s="67">
        <v>482.19</v>
      </c>
      <c r="EX586" s="67" t="s">
        <v>4709</v>
      </c>
      <c r="EY586" s="67">
        <v>5622.78</v>
      </c>
      <c r="EZ586" s="67" t="s">
        <v>4710</v>
      </c>
      <c r="FA586" s="67">
        <v>19817.963</v>
      </c>
      <c r="FB586" s="67" t="s">
        <v>4711</v>
      </c>
      <c r="FC586" s="67" t="s">
        <v>4712</v>
      </c>
      <c r="FD586" s="67" t="s">
        <v>4713</v>
      </c>
      <c r="FE586" s="68" t="s">
        <v>4714</v>
      </c>
      <c r="FF586" s="68" t="s">
        <v>4715</v>
      </c>
    </row>
    <row r="587" spans="151:162" x14ac:dyDescent="0.2">
      <c r="EU587" s="67">
        <v>560.19500000000005</v>
      </c>
      <c r="EV587" s="67" t="s">
        <v>4716</v>
      </c>
      <c r="EW587" s="67">
        <v>481.8</v>
      </c>
      <c r="EX587" s="67" t="s">
        <v>4717</v>
      </c>
      <c r="EY587" s="67">
        <v>5618.88</v>
      </c>
      <c r="EZ587" s="67" t="s">
        <v>4718</v>
      </c>
      <c r="FA587" s="67">
        <v>19803.571</v>
      </c>
      <c r="FB587" s="67" t="s">
        <v>4719</v>
      </c>
      <c r="FC587" s="67" t="s">
        <v>4720</v>
      </c>
      <c r="FD587" s="67" t="s">
        <v>4721</v>
      </c>
      <c r="FE587" s="68" t="s">
        <v>4722</v>
      </c>
      <c r="FF587" s="68" t="s">
        <v>4723</v>
      </c>
    </row>
    <row r="588" spans="151:162" x14ac:dyDescent="0.2">
      <c r="EU588" s="67">
        <v>559.94000000000005</v>
      </c>
      <c r="EV588" s="67" t="s">
        <v>4724</v>
      </c>
      <c r="EW588" s="67">
        <v>481.54</v>
      </c>
      <c r="EX588" s="67" t="s">
        <v>4725</v>
      </c>
      <c r="EY588" s="67">
        <v>5616.49</v>
      </c>
      <c r="EZ588" s="67" t="s">
        <v>4726</v>
      </c>
      <c r="FA588" s="67">
        <v>19793.976999999999</v>
      </c>
      <c r="FB588" s="67" t="s">
        <v>4727</v>
      </c>
      <c r="FC588" s="67" t="s">
        <v>4728</v>
      </c>
      <c r="FD588" s="67" t="s">
        <v>4729</v>
      </c>
      <c r="FE588" s="68" t="s">
        <v>4730</v>
      </c>
      <c r="FF588" s="68" t="s">
        <v>4731</v>
      </c>
    </row>
    <row r="589" spans="151:162" x14ac:dyDescent="0.2">
      <c r="EU589" s="67">
        <v>559.41</v>
      </c>
      <c r="EV589" s="67" t="s">
        <v>4732</v>
      </c>
      <c r="EW589" s="67">
        <v>480.98</v>
      </c>
      <c r="EX589" s="67" t="s">
        <v>4733</v>
      </c>
      <c r="EY589" s="67">
        <v>5611.01</v>
      </c>
      <c r="EZ589" s="67" t="s">
        <v>4734</v>
      </c>
      <c r="FA589" s="67">
        <v>19768.392</v>
      </c>
      <c r="FB589" s="67" t="s">
        <v>4735</v>
      </c>
      <c r="FC589" s="67" t="s">
        <v>4736</v>
      </c>
      <c r="FD589" s="67" t="s">
        <v>4737</v>
      </c>
      <c r="FE589" s="68" t="s">
        <v>4738</v>
      </c>
      <c r="FF589" s="68" t="s">
        <v>4739</v>
      </c>
    </row>
    <row r="590" spans="151:162" x14ac:dyDescent="0.2">
      <c r="EU590" s="67">
        <v>559.21</v>
      </c>
      <c r="EV590" s="67" t="s">
        <v>4740</v>
      </c>
      <c r="EW590" s="67">
        <v>480.71499999999997</v>
      </c>
      <c r="EX590" s="67" t="s">
        <v>4741</v>
      </c>
      <c r="EY590" s="67">
        <v>5608.96</v>
      </c>
      <c r="EZ590" s="67" t="s">
        <v>4742</v>
      </c>
      <c r="FA590" s="67">
        <v>19759.241999999998</v>
      </c>
      <c r="FB590" s="67" t="s">
        <v>4743</v>
      </c>
      <c r="FC590" s="67" t="s">
        <v>4744</v>
      </c>
      <c r="FD590" s="67" t="s">
        <v>4745</v>
      </c>
      <c r="FE590" s="68" t="s">
        <v>4746</v>
      </c>
      <c r="FF590" s="68" t="s">
        <v>4747</v>
      </c>
    </row>
    <row r="591" spans="151:162" x14ac:dyDescent="0.2">
      <c r="EU591" s="67">
        <v>559.28899999999999</v>
      </c>
      <c r="EV591" s="67" t="s">
        <v>4748</v>
      </c>
      <c r="EW591" s="67">
        <v>480.77</v>
      </c>
      <c r="EX591" s="67" t="s">
        <v>4749</v>
      </c>
      <c r="EY591" s="67">
        <v>5609.25</v>
      </c>
      <c r="EZ591" s="67" t="s">
        <v>4750</v>
      </c>
      <c r="FA591" s="67">
        <v>19757.93</v>
      </c>
      <c r="FB591" s="67" t="s">
        <v>4751</v>
      </c>
      <c r="FC591" s="67" t="s">
        <v>4752</v>
      </c>
      <c r="FD591" s="67" t="s">
        <v>4753</v>
      </c>
      <c r="FE591" s="68" t="s">
        <v>4754</v>
      </c>
      <c r="FF591" s="68" t="s">
        <v>4755</v>
      </c>
    </row>
    <row r="592" spans="151:162" x14ac:dyDescent="0.2">
      <c r="EU592" s="67">
        <v>559.17999999999995</v>
      </c>
      <c r="EV592" s="67" t="s">
        <v>4756</v>
      </c>
      <c r="EW592" s="67">
        <v>480.64</v>
      </c>
      <c r="EX592" s="67" t="s">
        <v>4757</v>
      </c>
      <c r="EY592" s="67">
        <v>5608.79</v>
      </c>
      <c r="EZ592" s="67" t="s">
        <v>4758</v>
      </c>
      <c r="FA592" s="67">
        <v>19756.542000000001</v>
      </c>
      <c r="FB592" s="67" t="s">
        <v>4759</v>
      </c>
      <c r="FC592" s="67" t="s">
        <v>4760</v>
      </c>
      <c r="FD592" s="67" t="s">
        <v>4761</v>
      </c>
      <c r="FE592" s="68" t="s">
        <v>4762</v>
      </c>
      <c r="FF592" s="68" t="s">
        <v>4763</v>
      </c>
    </row>
    <row r="593" spans="151:162" x14ac:dyDescent="0.2">
      <c r="EU593" s="67">
        <v>559.51</v>
      </c>
      <c r="EV593" s="67" t="s">
        <v>4764</v>
      </c>
      <c r="EW593" s="67">
        <v>480.93</v>
      </c>
      <c r="EX593" s="67" t="s">
        <v>4765</v>
      </c>
      <c r="EY593" s="67">
        <v>5611.2</v>
      </c>
      <c r="EZ593" s="67" t="s">
        <v>4766</v>
      </c>
      <c r="FA593" s="67">
        <v>19767.972000000002</v>
      </c>
      <c r="FB593" s="67" t="s">
        <v>4767</v>
      </c>
      <c r="FC593" s="67" t="s">
        <v>4768</v>
      </c>
      <c r="FD593" s="67" t="s">
        <v>4769</v>
      </c>
      <c r="FE593" s="68" t="s">
        <v>4770</v>
      </c>
      <c r="FF593" s="68" t="s">
        <v>4771</v>
      </c>
    </row>
    <row r="594" spans="151:162" x14ac:dyDescent="0.2">
      <c r="EU594" s="67">
        <v>559.42999999999995</v>
      </c>
      <c r="EV594" s="67" t="s">
        <v>4772</v>
      </c>
      <c r="EW594" s="67">
        <v>480.73500000000001</v>
      </c>
      <c r="EX594" s="67" t="s">
        <v>4773</v>
      </c>
      <c r="EY594" s="67">
        <v>5611.11</v>
      </c>
      <c r="EZ594" s="67" t="s">
        <v>4774</v>
      </c>
      <c r="FA594" s="67">
        <v>19762.886999999999</v>
      </c>
      <c r="FB594" s="67" t="s">
        <v>4775</v>
      </c>
      <c r="FC594" s="67" t="s">
        <v>4776</v>
      </c>
      <c r="FD594" s="67" t="s">
        <v>4777</v>
      </c>
      <c r="FE594" s="68" t="s">
        <v>4778</v>
      </c>
      <c r="FF594" s="68" t="s">
        <v>4779</v>
      </c>
    </row>
    <row r="595" spans="151:162" x14ac:dyDescent="0.2">
      <c r="EU595" s="67">
        <v>558.91999999999996</v>
      </c>
      <c r="EV595" s="67" t="s">
        <v>4780</v>
      </c>
      <c r="EW595" s="67">
        <v>480.13</v>
      </c>
      <c r="EX595" s="67" t="s">
        <v>4781</v>
      </c>
      <c r="EY595" s="67">
        <v>5606.56</v>
      </c>
      <c r="EZ595" s="67" t="s">
        <v>4782</v>
      </c>
      <c r="FA595" s="67">
        <v>19739.563999999998</v>
      </c>
      <c r="FB595" s="67" t="s">
        <v>4783</v>
      </c>
      <c r="FC595" s="67" t="s">
        <v>4784</v>
      </c>
      <c r="FD595" s="67" t="s">
        <v>4785</v>
      </c>
      <c r="FE595" s="68" t="s">
        <v>4786</v>
      </c>
      <c r="FF595" s="68" t="s">
        <v>4787</v>
      </c>
    </row>
    <row r="596" spans="151:162" x14ac:dyDescent="0.2">
      <c r="EU596" s="67">
        <v>558.89</v>
      </c>
      <c r="EV596" s="67" t="s">
        <v>4788</v>
      </c>
      <c r="EW596" s="67">
        <v>480.16</v>
      </c>
      <c r="EX596" s="67" t="s">
        <v>4789</v>
      </c>
      <c r="EY596" s="67">
        <v>5605.75</v>
      </c>
      <c r="EZ596" s="67" t="s">
        <v>4790</v>
      </c>
      <c r="FA596" s="67">
        <v>19737.297999999999</v>
      </c>
      <c r="FB596" s="67" t="s">
        <v>4791</v>
      </c>
      <c r="FC596" s="67" t="s">
        <v>4792</v>
      </c>
      <c r="FD596" s="67" t="s">
        <v>4793</v>
      </c>
      <c r="FE596" s="68" t="s">
        <v>4794</v>
      </c>
      <c r="FF596" s="68" t="s">
        <v>4795</v>
      </c>
    </row>
    <row r="597" spans="151:162" x14ac:dyDescent="0.2">
      <c r="EU597" s="67">
        <v>558.84</v>
      </c>
      <c r="EV597" s="67" t="s">
        <v>4796</v>
      </c>
      <c r="EW597" s="67">
        <v>480.13</v>
      </c>
      <c r="EX597" s="67" t="s">
        <v>4797</v>
      </c>
      <c r="EY597" s="67">
        <v>5605.45</v>
      </c>
      <c r="EZ597" s="67" t="s">
        <v>4798</v>
      </c>
      <c r="FA597" s="67">
        <v>19735.955999999998</v>
      </c>
      <c r="FB597" s="67" t="s">
        <v>4799</v>
      </c>
      <c r="FC597" s="67" t="s">
        <v>4800</v>
      </c>
      <c r="FD597" s="67" t="s">
        <v>4801</v>
      </c>
      <c r="FE597" s="68" t="s">
        <v>4802</v>
      </c>
      <c r="FF597" s="68" t="s">
        <v>4803</v>
      </c>
    </row>
    <row r="598" spans="151:162" x14ac:dyDescent="0.2">
      <c r="EU598" s="67">
        <v>559.1</v>
      </c>
      <c r="EV598" s="67" t="s">
        <v>4804</v>
      </c>
      <c r="EW598" s="67">
        <v>480.3</v>
      </c>
      <c r="EX598" s="67" t="s">
        <v>4805</v>
      </c>
      <c r="EY598" s="67">
        <v>5607.18</v>
      </c>
      <c r="EZ598" s="67" t="s">
        <v>4806</v>
      </c>
      <c r="FA598" s="67">
        <v>19741.005000000001</v>
      </c>
      <c r="FB598" s="67" t="s">
        <v>4807</v>
      </c>
      <c r="FC598" s="67" t="s">
        <v>4808</v>
      </c>
      <c r="FD598" s="67" t="s">
        <v>4809</v>
      </c>
      <c r="FE598" s="68" t="s">
        <v>4810</v>
      </c>
      <c r="FF598" s="68" t="s">
        <v>4811</v>
      </c>
    </row>
    <row r="599" spans="151:162" x14ac:dyDescent="0.2">
      <c r="EU599" s="67">
        <v>559.11</v>
      </c>
      <c r="EV599" s="67" t="s">
        <v>4812</v>
      </c>
      <c r="EW599" s="67">
        <v>480.185</v>
      </c>
      <c r="EX599" s="67" t="s">
        <v>4813</v>
      </c>
      <c r="EY599" s="67">
        <v>5607.03</v>
      </c>
      <c r="EZ599" s="67" t="s">
        <v>4814</v>
      </c>
      <c r="FA599" s="67">
        <v>19739.885999999999</v>
      </c>
      <c r="FB599" s="67" t="s">
        <v>4815</v>
      </c>
      <c r="FC599" s="67" t="s">
        <v>4816</v>
      </c>
      <c r="FD599" s="67" t="s">
        <v>4817</v>
      </c>
      <c r="FE599" s="68" t="s">
        <v>4818</v>
      </c>
      <c r="FF599" s="68" t="s">
        <v>4819</v>
      </c>
    </row>
    <row r="600" spans="151:162" x14ac:dyDescent="0.2">
      <c r="EU600" s="67">
        <v>559.30499999999995</v>
      </c>
      <c r="EV600" s="67" t="s">
        <v>4820</v>
      </c>
      <c r="EW600" s="67">
        <v>480.56</v>
      </c>
      <c r="EX600" s="67" t="s">
        <v>4821</v>
      </c>
      <c r="EY600" s="67">
        <v>5609.9</v>
      </c>
      <c r="EZ600" s="67" t="s">
        <v>4822</v>
      </c>
      <c r="FA600" s="67">
        <v>19751.737000000001</v>
      </c>
      <c r="FB600" s="67" t="s">
        <v>4823</v>
      </c>
      <c r="FC600" s="67" t="s">
        <v>4824</v>
      </c>
      <c r="FD600" s="67" t="s">
        <v>4825</v>
      </c>
      <c r="FE600" s="68" t="s">
        <v>4826</v>
      </c>
      <c r="FF600" s="68" t="s">
        <v>4827</v>
      </c>
    </row>
    <row r="601" spans="151:162" x14ac:dyDescent="0.2">
      <c r="EU601" s="67">
        <v>558.78</v>
      </c>
      <c r="EV601" s="67" t="s">
        <v>4828</v>
      </c>
      <c r="EW601" s="67">
        <v>479.9</v>
      </c>
      <c r="EX601" s="67" t="s">
        <v>4829</v>
      </c>
      <c r="EY601" s="67">
        <v>5603.97</v>
      </c>
      <c r="EZ601" s="67" t="s">
        <v>4830</v>
      </c>
      <c r="FA601" s="67">
        <v>19725.342000000001</v>
      </c>
      <c r="FB601" s="67" t="s">
        <v>4831</v>
      </c>
      <c r="FC601" s="67" t="s">
        <v>4832</v>
      </c>
      <c r="FD601" s="67" t="s">
        <v>4833</v>
      </c>
      <c r="FE601" s="68" t="s">
        <v>4834</v>
      </c>
      <c r="FF601" s="68" t="s">
        <v>4835</v>
      </c>
    </row>
    <row r="602" spans="151:162" x14ac:dyDescent="0.2">
      <c r="EU602" s="67">
        <v>559.03</v>
      </c>
      <c r="EV602" s="67" t="s">
        <v>4836</v>
      </c>
      <c r="EW602" s="67">
        <v>480.12</v>
      </c>
      <c r="EX602" s="67" t="s">
        <v>4837</v>
      </c>
      <c r="EY602" s="67">
        <v>5606.95</v>
      </c>
      <c r="EZ602" s="67" t="s">
        <v>4838</v>
      </c>
      <c r="FA602" s="67">
        <v>19734.417000000001</v>
      </c>
      <c r="FB602" s="67" t="s">
        <v>4839</v>
      </c>
      <c r="FC602" s="67" t="s">
        <v>4840</v>
      </c>
      <c r="FD602" s="67" t="s">
        <v>4841</v>
      </c>
      <c r="FE602" s="68" t="s">
        <v>4842</v>
      </c>
      <c r="FF602" s="68" t="s">
        <v>4843</v>
      </c>
    </row>
    <row r="603" spans="151:162" x14ac:dyDescent="0.2">
      <c r="EU603" s="67">
        <v>559.04999999999995</v>
      </c>
      <c r="EV603" s="67" t="s">
        <v>4844</v>
      </c>
      <c r="EW603" s="67">
        <v>480.06</v>
      </c>
      <c r="EX603" s="67" t="s">
        <v>4845</v>
      </c>
      <c r="EY603" s="67">
        <v>5607.63</v>
      </c>
      <c r="EZ603" s="67" t="s">
        <v>4846</v>
      </c>
      <c r="FA603" s="67">
        <v>19736.483</v>
      </c>
      <c r="FB603" s="67" t="s">
        <v>4847</v>
      </c>
      <c r="FC603" s="67" t="s">
        <v>4848</v>
      </c>
      <c r="FD603" s="67" t="s">
        <v>4849</v>
      </c>
      <c r="FE603" s="68" t="s">
        <v>4850</v>
      </c>
      <c r="FF603" s="68" t="s">
        <v>4851</v>
      </c>
    </row>
    <row r="604" spans="151:162" x14ac:dyDescent="0.2">
      <c r="EU604" s="67">
        <v>559.4</v>
      </c>
      <c r="EV604" s="67" t="s">
        <v>4852</v>
      </c>
      <c r="EW604" s="67">
        <v>480.53</v>
      </c>
      <c r="EX604" s="67" t="s">
        <v>4853</v>
      </c>
      <c r="EY604" s="67">
        <v>5610.76</v>
      </c>
      <c r="EZ604" s="67" t="s">
        <v>4854</v>
      </c>
      <c r="FA604" s="67">
        <v>19747.668000000001</v>
      </c>
      <c r="FB604" s="67" t="s">
        <v>4855</v>
      </c>
      <c r="FC604" s="67" t="s">
        <v>4856</v>
      </c>
      <c r="FD604" s="67" t="s">
        <v>4857</v>
      </c>
      <c r="FE604" s="68" t="s">
        <v>4858</v>
      </c>
      <c r="FF604" s="68" t="s">
        <v>4859</v>
      </c>
    </row>
    <row r="605" spans="151:162" x14ac:dyDescent="0.2">
      <c r="EU605" s="67">
        <v>559.38</v>
      </c>
      <c r="EV605" s="67" t="s">
        <v>4860</v>
      </c>
      <c r="EW605" s="67">
        <v>480.45</v>
      </c>
      <c r="EX605" s="67" t="s">
        <v>4861</v>
      </c>
      <c r="EY605" s="67">
        <v>5610.44</v>
      </c>
      <c r="EZ605" s="67" t="s">
        <v>4862</v>
      </c>
      <c r="FA605" s="67">
        <v>19748.882000000001</v>
      </c>
      <c r="FB605" s="67" t="s">
        <v>4863</v>
      </c>
      <c r="FC605" s="67" t="s">
        <v>4864</v>
      </c>
      <c r="FD605" s="67" t="s">
        <v>4865</v>
      </c>
      <c r="FE605" s="68" t="s">
        <v>4866</v>
      </c>
      <c r="FF605" s="68" t="s">
        <v>4867</v>
      </c>
    </row>
    <row r="606" spans="151:162" x14ac:dyDescent="0.2">
      <c r="EU606" s="67">
        <v>559.08000000000004</v>
      </c>
      <c r="EV606" s="67" t="s">
        <v>4868</v>
      </c>
      <c r="EW606" s="67">
        <v>480.18</v>
      </c>
      <c r="EX606" s="67" t="s">
        <v>4869</v>
      </c>
      <c r="EY606" s="67">
        <v>5608.03</v>
      </c>
      <c r="EZ606" s="67" t="s">
        <v>4870</v>
      </c>
      <c r="FA606" s="67">
        <v>19741.695</v>
      </c>
      <c r="FB606" s="67" t="s">
        <v>4871</v>
      </c>
      <c r="FC606" s="67" t="s">
        <v>4872</v>
      </c>
      <c r="FD606" s="67" t="s">
        <v>4873</v>
      </c>
      <c r="FE606" s="68" t="s">
        <v>4874</v>
      </c>
      <c r="FF606" s="68" t="s">
        <v>4875</v>
      </c>
    </row>
    <row r="607" spans="151:162" x14ac:dyDescent="0.2">
      <c r="EU607" s="67">
        <v>558.59</v>
      </c>
      <c r="EV607" s="67" t="s">
        <v>4876</v>
      </c>
      <c r="EW607" s="67">
        <v>479.66</v>
      </c>
      <c r="EX607" s="67" t="s">
        <v>4877</v>
      </c>
      <c r="EY607" s="67">
        <v>5603.2</v>
      </c>
      <c r="EZ607" s="67" t="s">
        <v>4878</v>
      </c>
      <c r="FA607" s="67">
        <v>19719.735000000001</v>
      </c>
      <c r="FB607" s="67" t="s">
        <v>4879</v>
      </c>
      <c r="FC607" s="67" t="s">
        <v>4880</v>
      </c>
      <c r="FD607" s="67" t="s">
        <v>4881</v>
      </c>
      <c r="FE607" s="68" t="s">
        <v>4882</v>
      </c>
      <c r="FF607" s="68" t="s">
        <v>4883</v>
      </c>
    </row>
    <row r="608" spans="151:162" x14ac:dyDescent="0.2">
      <c r="EU608" s="67">
        <v>558.53099999999995</v>
      </c>
      <c r="EV608" s="67" t="s">
        <v>4884</v>
      </c>
      <c r="EW608" s="67">
        <v>479.66</v>
      </c>
      <c r="EX608" s="67" t="s">
        <v>4885</v>
      </c>
      <c r="EY608" s="67">
        <v>5602.11</v>
      </c>
      <c r="EZ608" s="67" t="s">
        <v>4886</v>
      </c>
      <c r="FA608" s="67">
        <v>19716.68</v>
      </c>
      <c r="FB608" s="67" t="s">
        <v>4887</v>
      </c>
      <c r="FC608" s="67" t="s">
        <v>4888</v>
      </c>
      <c r="FD608" s="67" t="s">
        <v>4889</v>
      </c>
      <c r="FE608" s="68" t="s">
        <v>4890</v>
      </c>
      <c r="FF608" s="68" t="s">
        <v>4891</v>
      </c>
    </row>
    <row r="609" spans="151:162" x14ac:dyDescent="0.2">
      <c r="EU609" s="67">
        <v>558.70000000000005</v>
      </c>
      <c r="EV609" s="67" t="s">
        <v>4892</v>
      </c>
      <c r="EW609" s="67">
        <v>479.93</v>
      </c>
      <c r="EX609" s="67" t="s">
        <v>4893</v>
      </c>
      <c r="EY609" s="67">
        <v>5604.24</v>
      </c>
      <c r="EZ609" s="67" t="s">
        <v>4894</v>
      </c>
      <c r="FA609" s="67">
        <v>19728.924999999999</v>
      </c>
      <c r="FB609" s="67" t="s">
        <v>4895</v>
      </c>
      <c r="FC609" s="67" t="s">
        <v>4896</v>
      </c>
      <c r="FD609" s="67" t="s">
        <v>4897</v>
      </c>
      <c r="FE609" s="68" t="s">
        <v>4898</v>
      </c>
      <c r="FF609" s="68" t="s">
        <v>4899</v>
      </c>
    </row>
    <row r="610" spans="151:162" x14ac:dyDescent="0.2">
      <c r="EU610" s="67">
        <v>558.98</v>
      </c>
      <c r="EV610" s="67" t="s">
        <v>4900</v>
      </c>
      <c r="EW610" s="67">
        <v>480.27</v>
      </c>
      <c r="EX610" s="67" t="s">
        <v>4901</v>
      </c>
      <c r="EY610" s="67">
        <v>5606.86</v>
      </c>
      <c r="EZ610" s="67" t="s">
        <v>4902</v>
      </c>
      <c r="FA610" s="67">
        <v>19739.807000000001</v>
      </c>
      <c r="FB610" s="67" t="s">
        <v>4903</v>
      </c>
      <c r="FC610" s="67" t="s">
        <v>4904</v>
      </c>
      <c r="FD610" s="67" t="s">
        <v>4905</v>
      </c>
      <c r="FE610" s="68" t="s">
        <v>4906</v>
      </c>
      <c r="FF610" s="68" t="s">
        <v>4907</v>
      </c>
    </row>
    <row r="611" spans="151:162" x14ac:dyDescent="0.2">
      <c r="EU611" s="67">
        <v>558.95899999999995</v>
      </c>
      <c r="EV611" s="67" t="s">
        <v>4908</v>
      </c>
      <c r="EW611" s="67">
        <v>480.18</v>
      </c>
      <c r="EX611" s="67" t="s">
        <v>4909</v>
      </c>
      <c r="EY611" s="67">
        <v>5605.74</v>
      </c>
      <c r="EZ611" s="67" t="s">
        <v>4910</v>
      </c>
      <c r="FA611" s="67">
        <v>19733.273000000001</v>
      </c>
      <c r="FB611" s="67" t="s">
        <v>4911</v>
      </c>
      <c r="FC611" s="67" t="s">
        <v>4912</v>
      </c>
      <c r="FD611" s="67" t="s">
        <v>4913</v>
      </c>
      <c r="FE611" s="68" t="s">
        <v>4914</v>
      </c>
      <c r="FF611" s="68" t="s">
        <v>4915</v>
      </c>
    </row>
    <row r="612" spans="151:162" x14ac:dyDescent="0.2">
      <c r="EU612" s="67">
        <v>559.02</v>
      </c>
      <c r="EV612" s="67" t="s">
        <v>4916</v>
      </c>
      <c r="EW612" s="67">
        <v>480.22</v>
      </c>
      <c r="EX612" s="67" t="s">
        <v>4917</v>
      </c>
      <c r="EY612" s="67">
        <v>5606.59</v>
      </c>
      <c r="EZ612" s="67" t="s">
        <v>4918</v>
      </c>
      <c r="FA612" s="67">
        <v>19736.083999999999</v>
      </c>
      <c r="FB612" s="67" t="s">
        <v>4919</v>
      </c>
      <c r="FC612" s="67" t="s">
        <v>4920</v>
      </c>
      <c r="FD612" s="67" t="s">
        <v>4921</v>
      </c>
      <c r="FE612" s="68" t="s">
        <v>4922</v>
      </c>
      <c r="FF612" s="68" t="s">
        <v>4923</v>
      </c>
    </row>
    <row r="613" spans="151:162" x14ac:dyDescent="0.2">
      <c r="EU613" s="67">
        <v>558.89</v>
      </c>
      <c r="EV613" s="67" t="s">
        <v>4924</v>
      </c>
      <c r="EW613" s="67">
        <v>480.15</v>
      </c>
      <c r="EX613" s="67" t="s">
        <v>4925</v>
      </c>
      <c r="EY613" s="67">
        <v>5606.1</v>
      </c>
      <c r="EZ613" s="67" t="s">
        <v>4926</v>
      </c>
      <c r="FA613" s="67">
        <v>19734</v>
      </c>
      <c r="FB613" s="67" t="s">
        <v>4927</v>
      </c>
      <c r="FC613" s="67" t="s">
        <v>4928</v>
      </c>
      <c r="FD613" s="67" t="s">
        <v>4929</v>
      </c>
      <c r="FE613" s="68" t="s">
        <v>4930</v>
      </c>
      <c r="FF613" s="68" t="s">
        <v>4931</v>
      </c>
    </row>
    <row r="614" spans="151:162" x14ac:dyDescent="0.2">
      <c r="EU614" s="67">
        <v>558.86</v>
      </c>
      <c r="EV614" s="67" t="s">
        <v>4932</v>
      </c>
      <c r="EW614" s="67">
        <v>480.10500000000002</v>
      </c>
      <c r="EX614" s="67" t="s">
        <v>4933</v>
      </c>
      <c r="EY614" s="67">
        <v>5606.18</v>
      </c>
      <c r="EZ614" s="67" t="s">
        <v>4934</v>
      </c>
      <c r="FA614" s="67">
        <v>19735.227999999999</v>
      </c>
      <c r="FB614" s="67" t="s">
        <v>4935</v>
      </c>
      <c r="FC614" s="67" t="s">
        <v>4936</v>
      </c>
      <c r="FD614" s="67" t="s">
        <v>4937</v>
      </c>
      <c r="FE614" s="68" t="s">
        <v>4938</v>
      </c>
      <c r="FF614" s="68" t="s">
        <v>4939</v>
      </c>
    </row>
    <row r="615" spans="151:162" x14ac:dyDescent="0.2">
      <c r="EU615" s="67">
        <v>559.46</v>
      </c>
      <c r="EV615" s="67" t="s">
        <v>4940</v>
      </c>
      <c r="EW615" s="67">
        <v>480.68</v>
      </c>
      <c r="EX615" s="67" t="s">
        <v>4941</v>
      </c>
      <c r="EY615" s="67">
        <v>5610.74</v>
      </c>
      <c r="EZ615" s="67" t="s">
        <v>4942</v>
      </c>
      <c r="FA615" s="67">
        <v>19755.554</v>
      </c>
      <c r="FB615" s="67" t="s">
        <v>4943</v>
      </c>
      <c r="FC615" s="67" t="s">
        <v>4944</v>
      </c>
      <c r="FD615" s="67" t="s">
        <v>4945</v>
      </c>
      <c r="FE615" s="68" t="s">
        <v>4946</v>
      </c>
      <c r="FF615" s="68" t="s">
        <v>4947</v>
      </c>
    </row>
    <row r="616" spans="151:162" x14ac:dyDescent="0.2">
      <c r="EU616" s="67">
        <v>559.125</v>
      </c>
      <c r="EV616" s="67" t="s">
        <v>4948</v>
      </c>
      <c r="EW616" s="67">
        <v>480.30900000000003</v>
      </c>
      <c r="EX616" s="67" t="s">
        <v>4949</v>
      </c>
      <c r="EY616" s="67">
        <v>5608.12</v>
      </c>
      <c r="EZ616" s="67" t="s">
        <v>4950</v>
      </c>
      <c r="FA616" s="67">
        <v>19742.093000000001</v>
      </c>
      <c r="FB616" s="67" t="s">
        <v>4951</v>
      </c>
      <c r="FC616" s="67" t="s">
        <v>4952</v>
      </c>
      <c r="FD616" s="67" t="s">
        <v>4953</v>
      </c>
      <c r="FE616" s="68" t="s">
        <v>4954</v>
      </c>
      <c r="FF616" s="68" t="s">
        <v>4955</v>
      </c>
    </row>
    <row r="617" spans="151:162" x14ac:dyDescent="0.2">
      <c r="EU617" s="67">
        <v>559.20000000000005</v>
      </c>
      <c r="EV617" s="67" t="s">
        <v>4956</v>
      </c>
      <c r="EW617" s="67">
        <v>480.44</v>
      </c>
      <c r="EX617" s="67" t="s">
        <v>4957</v>
      </c>
      <c r="EY617" s="67">
        <v>5609.64</v>
      </c>
      <c r="EZ617" s="67" t="s">
        <v>4958</v>
      </c>
      <c r="FA617" s="67">
        <v>19748.652999999998</v>
      </c>
      <c r="FB617" s="67" t="s">
        <v>4959</v>
      </c>
      <c r="FC617" s="67" t="s">
        <v>4960</v>
      </c>
      <c r="FD617" s="67" t="s">
        <v>4961</v>
      </c>
      <c r="FE617" s="68" t="s">
        <v>4962</v>
      </c>
      <c r="FF617" s="68" t="s">
        <v>4963</v>
      </c>
    </row>
    <row r="618" spans="151:162" x14ac:dyDescent="0.2">
      <c r="EU618" s="67">
        <v>559.279</v>
      </c>
      <c r="EV618" s="67" t="s">
        <v>4964</v>
      </c>
      <c r="EW618" s="67">
        <v>480.44</v>
      </c>
      <c r="EX618" s="67" t="s">
        <v>4965</v>
      </c>
      <c r="EY618" s="67">
        <v>5609.57</v>
      </c>
      <c r="EZ618" s="67" t="s">
        <v>4966</v>
      </c>
      <c r="FA618" s="67">
        <v>19745.912</v>
      </c>
      <c r="FB618" s="67" t="s">
        <v>4967</v>
      </c>
      <c r="FC618" s="67" t="s">
        <v>4968</v>
      </c>
      <c r="FD618" s="67" t="s">
        <v>4969</v>
      </c>
      <c r="FE618" s="68" t="s">
        <v>4970</v>
      </c>
      <c r="FF618" s="68" t="s">
        <v>4971</v>
      </c>
    </row>
    <row r="619" spans="151:162" x14ac:dyDescent="0.2">
      <c r="EU619" s="67">
        <v>559.16999999999996</v>
      </c>
      <c r="EV619" s="67" t="s">
        <v>4972</v>
      </c>
      <c r="EW619" s="67">
        <v>480.16</v>
      </c>
      <c r="EX619" s="67" t="s">
        <v>4973</v>
      </c>
      <c r="EY619" s="67">
        <v>5608.24</v>
      </c>
      <c r="EZ619" s="67" t="s">
        <v>4974</v>
      </c>
      <c r="FA619" s="67">
        <v>19734.503000000001</v>
      </c>
      <c r="FB619" s="67" t="s">
        <v>4975</v>
      </c>
      <c r="FC619" s="67" t="s">
        <v>4976</v>
      </c>
      <c r="FD619" s="67" t="s">
        <v>4977</v>
      </c>
      <c r="FE619" s="68" t="s">
        <v>4978</v>
      </c>
      <c r="FF619" s="68" t="s">
        <v>4979</v>
      </c>
    </row>
    <row r="620" spans="151:162" x14ac:dyDescent="0.2">
      <c r="EU620" s="67">
        <v>559.02</v>
      </c>
      <c r="EV620" s="67" t="s">
        <v>4980</v>
      </c>
      <c r="EW620" s="67">
        <v>479.95</v>
      </c>
      <c r="EX620" s="67" t="s">
        <v>4981</v>
      </c>
      <c r="EY620" s="67">
        <v>5606.84</v>
      </c>
      <c r="EZ620" s="67" t="s">
        <v>4982</v>
      </c>
      <c r="FA620" s="67">
        <v>19726.101999999999</v>
      </c>
      <c r="FB620" s="67" t="s">
        <v>4983</v>
      </c>
      <c r="FC620" s="67" t="s">
        <v>4984</v>
      </c>
      <c r="FD620" s="67" t="s">
        <v>4985</v>
      </c>
      <c r="FE620" s="68" t="s">
        <v>4986</v>
      </c>
      <c r="FF620" s="68" t="s">
        <v>4987</v>
      </c>
    </row>
    <row r="621" spans="151:162" x14ac:dyDescent="0.2">
      <c r="EU621" s="67">
        <v>558.86</v>
      </c>
      <c r="EV621" s="67" t="s">
        <v>4988</v>
      </c>
      <c r="EW621" s="67">
        <v>479.76</v>
      </c>
      <c r="EX621" s="67" t="s">
        <v>4989</v>
      </c>
      <c r="EY621" s="67">
        <v>5605.71</v>
      </c>
      <c r="EZ621" s="67" t="s">
        <v>4990</v>
      </c>
      <c r="FA621" s="67">
        <v>19721.383999999998</v>
      </c>
      <c r="FB621" s="67" t="s">
        <v>4991</v>
      </c>
      <c r="FC621" s="67" t="s">
        <v>4992</v>
      </c>
      <c r="FD621" s="67" t="s">
        <v>4993</v>
      </c>
      <c r="FE621" s="68" t="s">
        <v>4994</v>
      </c>
      <c r="FF621" s="68" t="s">
        <v>4995</v>
      </c>
    </row>
    <row r="622" spans="151:162" x14ac:dyDescent="0.2">
      <c r="EU622" s="67">
        <v>558.77</v>
      </c>
      <c r="EV622" s="67" t="s">
        <v>4996</v>
      </c>
      <c r="EW622" s="67">
        <v>479.66</v>
      </c>
      <c r="EX622" s="67" t="s">
        <v>4997</v>
      </c>
      <c r="EY622" s="67">
        <v>5604.87</v>
      </c>
      <c r="EZ622" s="67" t="s">
        <v>4998</v>
      </c>
      <c r="FA622" s="67">
        <v>19719.415000000001</v>
      </c>
      <c r="FB622" s="67" t="s">
        <v>4999</v>
      </c>
      <c r="FC622" s="67" t="s">
        <v>5000</v>
      </c>
      <c r="FD622" s="67" t="s">
        <v>5001</v>
      </c>
      <c r="FE622" s="68" t="s">
        <v>5002</v>
      </c>
      <c r="FF622" s="68" t="s">
        <v>5003</v>
      </c>
    </row>
    <row r="623" spans="151:162" x14ac:dyDescent="0.2">
      <c r="EU623" s="67">
        <v>559.24</v>
      </c>
      <c r="EV623" s="67" t="s">
        <v>5004</v>
      </c>
      <c r="EW623" s="67">
        <v>480.1</v>
      </c>
      <c r="EX623" s="67" t="s">
        <v>5005</v>
      </c>
      <c r="EY623" s="67">
        <v>5608.95</v>
      </c>
      <c r="EZ623" s="67" t="s">
        <v>5006</v>
      </c>
      <c r="FA623" s="67">
        <v>19732.254000000001</v>
      </c>
      <c r="FB623" s="67" t="s">
        <v>5007</v>
      </c>
      <c r="FC623" s="67" t="s">
        <v>5008</v>
      </c>
      <c r="FD623" s="67" t="s">
        <v>5009</v>
      </c>
      <c r="FE623" s="68" t="s">
        <v>5010</v>
      </c>
      <c r="FF623" s="68" t="s">
        <v>5011</v>
      </c>
    </row>
    <row r="624" spans="151:162" x14ac:dyDescent="0.2">
      <c r="EU624" s="67">
        <v>559.12</v>
      </c>
      <c r="EV624" s="67" t="s">
        <v>5012</v>
      </c>
      <c r="EW624" s="67">
        <v>479.98</v>
      </c>
      <c r="EX624" s="67" t="s">
        <v>5013</v>
      </c>
      <c r="EY624" s="67">
        <v>5608</v>
      </c>
      <c r="EZ624" s="67" t="s">
        <v>5014</v>
      </c>
      <c r="FA624" s="67">
        <v>19728.016</v>
      </c>
      <c r="FB624" s="67" t="s">
        <v>5015</v>
      </c>
      <c r="FC624" s="67" t="s">
        <v>5016</v>
      </c>
      <c r="FD624" s="67" t="s">
        <v>5017</v>
      </c>
      <c r="FE624" s="68" t="s">
        <v>5018</v>
      </c>
      <c r="FF624" s="68" t="s">
        <v>5019</v>
      </c>
    </row>
    <row r="625" spans="151:162" x14ac:dyDescent="0.2">
      <c r="EU625" s="67">
        <v>559.19000000000005</v>
      </c>
      <c r="EV625" s="67" t="s">
        <v>5020</v>
      </c>
      <c r="EW625" s="67">
        <v>480.01</v>
      </c>
      <c r="EX625" s="67" t="s">
        <v>5021</v>
      </c>
      <c r="EY625" s="67">
        <v>5608.26</v>
      </c>
      <c r="EZ625" s="67" t="s">
        <v>5022</v>
      </c>
      <c r="FA625" s="67">
        <v>19728.036</v>
      </c>
      <c r="FB625" s="67" t="s">
        <v>5023</v>
      </c>
      <c r="FC625" s="67" t="s">
        <v>5024</v>
      </c>
      <c r="FD625" s="67" t="s">
        <v>5025</v>
      </c>
      <c r="FE625" s="68" t="s">
        <v>5026</v>
      </c>
      <c r="FF625" s="68" t="s">
        <v>5027</v>
      </c>
    </row>
    <row r="626" spans="151:162" x14ac:dyDescent="0.2">
      <c r="EU626" s="67">
        <v>559.05100000000004</v>
      </c>
      <c r="EV626" s="67" t="s">
        <v>5028</v>
      </c>
      <c r="EW626" s="67">
        <v>479.85</v>
      </c>
      <c r="EX626" s="67" t="s">
        <v>5029</v>
      </c>
      <c r="EY626" s="67">
        <v>5607.43</v>
      </c>
      <c r="EZ626" s="67" t="s">
        <v>5030</v>
      </c>
      <c r="FA626" s="67">
        <v>19724.296999999999</v>
      </c>
      <c r="FB626" s="67" t="s">
        <v>5031</v>
      </c>
      <c r="FC626" s="67" t="s">
        <v>5032</v>
      </c>
      <c r="FD626" s="67" t="s">
        <v>5033</v>
      </c>
      <c r="FE626" s="68" t="s">
        <v>5034</v>
      </c>
      <c r="FF626" s="68" t="s">
        <v>5035</v>
      </c>
    </row>
    <row r="627" spans="151:162" x14ac:dyDescent="0.2">
      <c r="EU627" s="67">
        <v>559.09</v>
      </c>
      <c r="EV627" s="67" t="s">
        <v>5036</v>
      </c>
      <c r="EW627" s="67">
        <v>479.86</v>
      </c>
      <c r="EX627" s="67" t="s">
        <v>5037</v>
      </c>
      <c r="EY627" s="67">
        <v>5607.85</v>
      </c>
      <c r="EZ627" s="67" t="s">
        <v>5038</v>
      </c>
      <c r="FA627" s="67">
        <v>19723.605</v>
      </c>
      <c r="FB627" s="67" t="s">
        <v>5039</v>
      </c>
      <c r="FC627" s="67" t="s">
        <v>5040</v>
      </c>
      <c r="FD627" s="67" t="s">
        <v>5041</v>
      </c>
      <c r="FE627" s="68" t="s">
        <v>5042</v>
      </c>
      <c r="FF627" s="68" t="s">
        <v>5043</v>
      </c>
    </row>
    <row r="628" spans="151:162" x14ac:dyDescent="0.2">
      <c r="EU628" s="67">
        <v>558.88</v>
      </c>
      <c r="EV628" s="67" t="s">
        <v>5044</v>
      </c>
      <c r="EW628" s="67">
        <v>479.63</v>
      </c>
      <c r="EX628" s="67" t="s">
        <v>5045</v>
      </c>
      <c r="EY628" s="67">
        <v>5606.4</v>
      </c>
      <c r="EZ628" s="67" t="s">
        <v>5046</v>
      </c>
      <c r="FA628" s="67">
        <v>19716.026000000002</v>
      </c>
      <c r="FB628" s="67" t="s">
        <v>5047</v>
      </c>
      <c r="FC628" s="67" t="s">
        <v>5048</v>
      </c>
      <c r="FD628" s="67" t="s">
        <v>5049</v>
      </c>
      <c r="FE628" s="68" t="s">
        <v>5050</v>
      </c>
      <c r="FF628" s="68" t="s">
        <v>5051</v>
      </c>
    </row>
    <row r="629" spans="151:162" x14ac:dyDescent="0.2">
      <c r="EU629" s="67">
        <v>559.21</v>
      </c>
      <c r="EV629" s="67" t="s">
        <v>5052</v>
      </c>
      <c r="EW629" s="67">
        <v>479.98</v>
      </c>
      <c r="EX629" s="67" t="s">
        <v>5053</v>
      </c>
      <c r="EY629" s="67">
        <v>5608.72</v>
      </c>
      <c r="EZ629" s="67" t="s">
        <v>5054</v>
      </c>
      <c r="FA629" s="67">
        <v>19727.366000000002</v>
      </c>
      <c r="FB629" s="67" t="s">
        <v>5055</v>
      </c>
      <c r="FC629" s="67" t="s">
        <v>5056</v>
      </c>
      <c r="FD629" s="67" t="s">
        <v>5057</v>
      </c>
      <c r="FE629" s="68" t="s">
        <v>5058</v>
      </c>
      <c r="FF629" s="68" t="s">
        <v>5059</v>
      </c>
    </row>
    <row r="630" spans="151:162" x14ac:dyDescent="0.2">
      <c r="EU630" s="67">
        <v>559.04</v>
      </c>
      <c r="EV630" s="67" t="s">
        <v>5060</v>
      </c>
      <c r="EW630" s="67">
        <v>479.81</v>
      </c>
      <c r="EX630" s="67" t="s">
        <v>5061</v>
      </c>
      <c r="EY630" s="67">
        <v>5607.01</v>
      </c>
      <c r="EZ630" s="67" t="s">
        <v>5062</v>
      </c>
      <c r="FA630" s="67">
        <v>19718.981</v>
      </c>
      <c r="FB630" s="67" t="s">
        <v>5063</v>
      </c>
      <c r="FC630" s="67" t="s">
        <v>5064</v>
      </c>
      <c r="FD630" s="67" t="s">
        <v>5065</v>
      </c>
      <c r="FE630" s="68" t="s">
        <v>5066</v>
      </c>
      <c r="FF630" s="68" t="s">
        <v>5067</v>
      </c>
    </row>
    <row r="631" spans="151:162" x14ac:dyDescent="0.2">
      <c r="EU631" s="67">
        <v>559.21</v>
      </c>
      <c r="EV631" s="67" t="s">
        <v>5068</v>
      </c>
      <c r="EW631" s="67">
        <v>480.04</v>
      </c>
      <c r="EX631" s="67" t="s">
        <v>5069</v>
      </c>
      <c r="EY631" s="67">
        <v>5608.51</v>
      </c>
      <c r="EZ631" s="67" t="s">
        <v>5070</v>
      </c>
      <c r="FA631" s="67">
        <v>19727.815999999999</v>
      </c>
      <c r="FB631" s="67" t="s">
        <v>5071</v>
      </c>
      <c r="FC631" s="67" t="s">
        <v>5072</v>
      </c>
      <c r="FD631" s="67" t="s">
        <v>5073</v>
      </c>
      <c r="FE631" s="68" t="s">
        <v>5074</v>
      </c>
      <c r="FF631" s="68" t="s">
        <v>5075</v>
      </c>
    </row>
    <row r="632" spans="151:162" x14ac:dyDescent="0.2">
      <c r="EU632" s="67">
        <v>559.48</v>
      </c>
      <c r="EV632" s="67" t="s">
        <v>5076</v>
      </c>
      <c r="EW632" s="67">
        <v>480.28</v>
      </c>
      <c r="EX632" s="67" t="s">
        <v>5077</v>
      </c>
      <c r="EY632" s="67">
        <v>5611.14</v>
      </c>
      <c r="EZ632" s="67" t="s">
        <v>5078</v>
      </c>
      <c r="FA632" s="67">
        <v>19737.678</v>
      </c>
      <c r="FB632" s="67" t="s">
        <v>5079</v>
      </c>
      <c r="FC632" s="67" t="s">
        <v>5080</v>
      </c>
      <c r="FD632" s="67" t="s">
        <v>5081</v>
      </c>
      <c r="FE632" s="68" t="s">
        <v>5082</v>
      </c>
      <c r="FF632" s="68" t="s">
        <v>5083</v>
      </c>
    </row>
    <row r="633" spans="151:162" x14ac:dyDescent="0.2">
      <c r="EU633" s="67">
        <v>559.37</v>
      </c>
      <c r="EV633" s="67" t="s">
        <v>5084</v>
      </c>
      <c r="EW633" s="67">
        <v>480.18</v>
      </c>
      <c r="EX633" s="67" t="s">
        <v>5085</v>
      </c>
      <c r="EY633" s="67">
        <v>5610.3</v>
      </c>
      <c r="EZ633" s="67" t="s">
        <v>5086</v>
      </c>
      <c r="FA633" s="67">
        <v>19734.082999999999</v>
      </c>
      <c r="FB633" s="67" t="s">
        <v>5087</v>
      </c>
      <c r="FC633" s="67" t="s">
        <v>5088</v>
      </c>
      <c r="FD633" s="67" t="s">
        <v>5089</v>
      </c>
      <c r="FE633" s="68" t="s">
        <v>5090</v>
      </c>
      <c r="FF633" s="68" t="s">
        <v>5091</v>
      </c>
    </row>
    <row r="634" spans="151:162" x14ac:dyDescent="0.2">
      <c r="EU634" s="67">
        <v>559.58000000000004</v>
      </c>
      <c r="EV634" s="67" t="s">
        <v>5092</v>
      </c>
      <c r="EW634" s="67">
        <v>480.34</v>
      </c>
      <c r="EX634" s="67" t="s">
        <v>5093</v>
      </c>
      <c r="EY634" s="67">
        <v>5612.51</v>
      </c>
      <c r="EZ634" s="67" t="s">
        <v>5094</v>
      </c>
      <c r="FA634" s="67">
        <v>19743.222000000002</v>
      </c>
      <c r="FB634" s="67" t="s">
        <v>5095</v>
      </c>
      <c r="FC634" s="67" t="s">
        <v>5096</v>
      </c>
      <c r="FD634" s="67" t="s">
        <v>5097</v>
      </c>
      <c r="FE634" s="68" t="s">
        <v>5098</v>
      </c>
      <c r="FF634" s="68" t="s">
        <v>5099</v>
      </c>
    </row>
    <row r="635" spans="151:162" x14ac:dyDescent="0.2">
      <c r="EU635" s="67">
        <v>559.88</v>
      </c>
      <c r="EV635" s="67" t="s">
        <v>5100</v>
      </c>
      <c r="EW635" s="67">
        <v>480.67</v>
      </c>
      <c r="EX635" s="67" t="s">
        <v>5101</v>
      </c>
      <c r="EY635" s="67">
        <v>5615.64</v>
      </c>
      <c r="EZ635" s="67" t="s">
        <v>5102</v>
      </c>
      <c r="FA635" s="67">
        <v>19753.612000000001</v>
      </c>
      <c r="FB635" s="67" t="s">
        <v>5103</v>
      </c>
      <c r="FC635" s="67" t="s">
        <v>5104</v>
      </c>
      <c r="FD635" s="67" t="s">
        <v>5105</v>
      </c>
      <c r="FE635" s="68" t="s">
        <v>5106</v>
      </c>
      <c r="FF635" s="68" t="s">
        <v>5107</v>
      </c>
    </row>
    <row r="636" spans="151:162" x14ac:dyDescent="0.2">
      <c r="EU636" s="67">
        <v>559.94000000000005</v>
      </c>
      <c r="EV636" s="67" t="s">
        <v>5108</v>
      </c>
      <c r="EW636" s="67">
        <v>480.73</v>
      </c>
      <c r="EX636" s="67" t="s">
        <v>5109</v>
      </c>
      <c r="EY636" s="67">
        <v>5616.53</v>
      </c>
      <c r="EZ636" s="67" t="s">
        <v>5110</v>
      </c>
      <c r="FA636" s="67">
        <v>19757.713</v>
      </c>
      <c r="FB636" s="67" t="s">
        <v>5111</v>
      </c>
      <c r="FC636" s="67" t="s">
        <v>5112</v>
      </c>
      <c r="FD636" s="67" t="s">
        <v>5113</v>
      </c>
      <c r="FE636" s="68" t="s">
        <v>5114</v>
      </c>
      <c r="FF636" s="68" t="s">
        <v>5115</v>
      </c>
    </row>
    <row r="637" spans="151:162" x14ac:dyDescent="0.2">
      <c r="EU637" s="67">
        <v>560.11</v>
      </c>
      <c r="EV637" s="67" t="s">
        <v>5116</v>
      </c>
      <c r="EW637" s="67">
        <v>480.97500000000002</v>
      </c>
      <c r="EX637" s="67" t="s">
        <v>5117</v>
      </c>
      <c r="EY637" s="67">
        <v>5618.02</v>
      </c>
      <c r="EZ637" s="67" t="s">
        <v>5118</v>
      </c>
      <c r="FA637" s="67">
        <v>19766.55</v>
      </c>
      <c r="FB637" s="67" t="s">
        <v>5119</v>
      </c>
      <c r="FC637" s="67" t="s">
        <v>5120</v>
      </c>
      <c r="FD637" s="67" t="s">
        <v>5121</v>
      </c>
      <c r="FE637" s="68" t="s">
        <v>5122</v>
      </c>
      <c r="FF637" s="68" t="s">
        <v>5123</v>
      </c>
    </row>
    <row r="638" spans="151:162" x14ac:dyDescent="0.2">
      <c r="EU638" s="67">
        <v>560.10500000000002</v>
      </c>
      <c r="EV638" s="67" t="s">
        <v>5124</v>
      </c>
      <c r="EW638" s="67">
        <v>481.02499999999998</v>
      </c>
      <c r="EX638" s="67" t="s">
        <v>5125</v>
      </c>
      <c r="EY638" s="67">
        <v>5618.04</v>
      </c>
      <c r="EZ638" s="67" t="s">
        <v>5126</v>
      </c>
      <c r="FA638" s="67">
        <v>19768.842000000001</v>
      </c>
      <c r="FB638" s="67" t="s">
        <v>5127</v>
      </c>
      <c r="FC638" s="67" t="s">
        <v>5128</v>
      </c>
      <c r="FD638" s="67" t="s">
        <v>5129</v>
      </c>
      <c r="FE638" s="68" t="s">
        <v>5130</v>
      </c>
      <c r="FF638" s="68" t="s">
        <v>5131</v>
      </c>
    </row>
    <row r="639" spans="151:162" x14ac:dyDescent="0.2">
      <c r="EU639" s="67">
        <v>560.08000000000004</v>
      </c>
      <c r="EV639" s="67" t="s">
        <v>5132</v>
      </c>
      <c r="EW639" s="67">
        <v>481.02</v>
      </c>
      <c r="EX639" s="67" t="s">
        <v>5133</v>
      </c>
      <c r="EY639" s="67">
        <v>5617.37</v>
      </c>
      <c r="EZ639" s="67" t="s">
        <v>5134</v>
      </c>
      <c r="FA639" s="67">
        <v>19767.933000000001</v>
      </c>
      <c r="FB639" s="67" t="s">
        <v>5135</v>
      </c>
      <c r="FC639" s="67" t="s">
        <v>5136</v>
      </c>
      <c r="FD639" s="67" t="s">
        <v>5137</v>
      </c>
      <c r="FE639" s="68" t="s">
        <v>5138</v>
      </c>
      <c r="FF639" s="68" t="s">
        <v>5139</v>
      </c>
    </row>
    <row r="640" spans="151:162" x14ac:dyDescent="0.2">
      <c r="EU640" s="67">
        <v>559.62</v>
      </c>
      <c r="EV640" s="67" t="s">
        <v>5140</v>
      </c>
      <c r="EW640" s="67">
        <v>480.55</v>
      </c>
      <c r="EX640" s="67" t="s">
        <v>5141</v>
      </c>
      <c r="EY640" s="67">
        <v>5613.56</v>
      </c>
      <c r="EZ640" s="67" t="s">
        <v>5142</v>
      </c>
      <c r="FA640" s="67">
        <v>19752.927</v>
      </c>
      <c r="FB640" s="67" t="s">
        <v>5143</v>
      </c>
      <c r="FC640" s="67" t="s">
        <v>5144</v>
      </c>
      <c r="FD640" s="67" t="s">
        <v>5145</v>
      </c>
      <c r="FE640" s="68" t="s">
        <v>5146</v>
      </c>
      <c r="FF640" s="68" t="s">
        <v>5147</v>
      </c>
    </row>
    <row r="641" spans="151:162" x14ac:dyDescent="0.2">
      <c r="EU641" s="67">
        <v>559.05999999999995</v>
      </c>
      <c r="EV641" s="67" t="s">
        <v>5148</v>
      </c>
      <c r="EW641" s="67">
        <v>479.92</v>
      </c>
      <c r="EX641" s="67" t="s">
        <v>5149</v>
      </c>
      <c r="EY641" s="67">
        <v>5607.86</v>
      </c>
      <c r="EZ641" s="67" t="s">
        <v>5150</v>
      </c>
      <c r="FA641" s="67">
        <v>19729.988000000001</v>
      </c>
      <c r="FB641" s="67" t="s">
        <v>5151</v>
      </c>
      <c r="FC641" s="67" t="s">
        <v>5152</v>
      </c>
      <c r="FD641" s="67" t="s">
        <v>5153</v>
      </c>
      <c r="FE641" s="68" t="s">
        <v>5154</v>
      </c>
      <c r="FF641" s="68" t="s">
        <v>5155</v>
      </c>
    </row>
    <row r="642" spans="151:162" x14ac:dyDescent="0.2">
      <c r="EU642" s="67">
        <v>558.91999999999996</v>
      </c>
      <c r="EV642" s="67" t="s">
        <v>5156</v>
      </c>
      <c r="EW642" s="67">
        <v>479.75</v>
      </c>
      <c r="EX642" s="67" t="s">
        <v>5157</v>
      </c>
      <c r="EY642" s="67">
        <v>5606.07</v>
      </c>
      <c r="EZ642" s="67" t="s">
        <v>5158</v>
      </c>
      <c r="FA642" s="67">
        <v>19720.984</v>
      </c>
      <c r="FB642" s="67" t="s">
        <v>5159</v>
      </c>
      <c r="FC642" s="67" t="s">
        <v>5160</v>
      </c>
      <c r="FD642" s="67" t="s">
        <v>5161</v>
      </c>
      <c r="FE642" s="68" t="s">
        <v>5162</v>
      </c>
      <c r="FF642" s="68" t="s">
        <v>5163</v>
      </c>
    </row>
    <row r="643" spans="151:162" x14ac:dyDescent="0.2">
      <c r="EU643" s="67">
        <v>558.98</v>
      </c>
      <c r="EV643" s="67" t="s">
        <v>5164</v>
      </c>
      <c r="EW643" s="67">
        <v>479.78</v>
      </c>
      <c r="EX643" s="67" t="s">
        <v>5165</v>
      </c>
      <c r="EY643" s="67">
        <v>5606.21</v>
      </c>
      <c r="EZ643" s="67" t="s">
        <v>5166</v>
      </c>
      <c r="FA643" s="67">
        <v>19718.614000000001</v>
      </c>
      <c r="FB643" s="67" t="s">
        <v>5167</v>
      </c>
      <c r="FC643" s="67" t="s">
        <v>5168</v>
      </c>
      <c r="FD643" s="67" t="s">
        <v>5169</v>
      </c>
      <c r="FE643" s="68" t="s">
        <v>5170</v>
      </c>
      <c r="FF643" s="68" t="s">
        <v>5171</v>
      </c>
    </row>
    <row r="644" spans="151:162" x14ac:dyDescent="0.2">
      <c r="EU644" s="67">
        <v>558.85500000000002</v>
      </c>
      <c r="EV644" s="67" t="s">
        <v>5172</v>
      </c>
      <c r="EW644" s="67">
        <v>479.7</v>
      </c>
      <c r="EX644" s="67" t="s">
        <v>5173</v>
      </c>
      <c r="EY644" s="67">
        <v>5605.21</v>
      </c>
      <c r="EZ644" s="67" t="s">
        <v>5174</v>
      </c>
      <c r="FA644" s="67">
        <v>19716.455999999998</v>
      </c>
      <c r="FB644" s="67" t="s">
        <v>5175</v>
      </c>
      <c r="FC644" s="67" t="s">
        <v>5176</v>
      </c>
      <c r="FD644" s="67" t="s">
        <v>5177</v>
      </c>
      <c r="FE644" s="68" t="s">
        <v>5178</v>
      </c>
      <c r="FF644" s="68" t="s">
        <v>5179</v>
      </c>
    </row>
    <row r="645" spans="151:162" x14ac:dyDescent="0.2">
      <c r="EU645" s="67">
        <v>559.14</v>
      </c>
      <c r="EV645" s="67" t="s">
        <v>5180</v>
      </c>
      <c r="EW645" s="67">
        <v>480.04</v>
      </c>
      <c r="EX645" s="67" t="s">
        <v>5181</v>
      </c>
      <c r="EY645" s="67">
        <v>5608.15</v>
      </c>
      <c r="EZ645" s="67" t="s">
        <v>5182</v>
      </c>
      <c r="FA645" s="67">
        <v>19729.240000000002</v>
      </c>
      <c r="FB645" s="67" t="s">
        <v>5183</v>
      </c>
      <c r="FC645" s="67" t="s">
        <v>5184</v>
      </c>
      <c r="FD645" s="67" t="s">
        <v>5185</v>
      </c>
      <c r="FE645" s="68" t="s">
        <v>5186</v>
      </c>
      <c r="FF645" s="68" t="s">
        <v>5187</v>
      </c>
    </row>
    <row r="646" spans="151:162" x14ac:dyDescent="0.2">
      <c r="EU646" s="67">
        <v>559.75</v>
      </c>
      <c r="EV646" s="67" t="s">
        <v>5188</v>
      </c>
      <c r="EW646" s="67">
        <v>480.69</v>
      </c>
      <c r="EX646" s="67" t="s">
        <v>5189</v>
      </c>
      <c r="EY646" s="67">
        <v>5614.25</v>
      </c>
      <c r="EZ646" s="67" t="s">
        <v>5190</v>
      </c>
      <c r="FA646" s="67">
        <v>19754.153999999999</v>
      </c>
      <c r="FB646" s="67" t="s">
        <v>5191</v>
      </c>
      <c r="FC646" s="67" t="s">
        <v>5192</v>
      </c>
      <c r="FD646" s="67" t="s">
        <v>5193</v>
      </c>
      <c r="FE646" s="68" t="s">
        <v>5194</v>
      </c>
      <c r="FF646" s="68" t="s">
        <v>5195</v>
      </c>
    </row>
    <row r="647" spans="151:162" x14ac:dyDescent="0.2">
      <c r="EU647" s="67">
        <v>559.73</v>
      </c>
      <c r="EV647" s="67" t="s">
        <v>5196</v>
      </c>
      <c r="EW647" s="67">
        <v>480.71</v>
      </c>
      <c r="EX647" s="67" t="s">
        <v>5197</v>
      </c>
      <c r="EY647" s="67">
        <v>5614.31</v>
      </c>
      <c r="EZ647" s="67" t="s">
        <v>5198</v>
      </c>
      <c r="FA647" s="67">
        <v>19755.492999999999</v>
      </c>
      <c r="FB647" s="67" t="s">
        <v>5199</v>
      </c>
      <c r="FC647" s="67" t="s">
        <v>5200</v>
      </c>
      <c r="FD647" s="67" t="s">
        <v>5201</v>
      </c>
      <c r="FE647" s="68" t="s">
        <v>5202</v>
      </c>
      <c r="FF647" s="68" t="s">
        <v>5203</v>
      </c>
    </row>
    <row r="648" spans="151:162" x14ac:dyDescent="0.2">
      <c r="EU648" s="67">
        <v>559.6</v>
      </c>
      <c r="EV648" s="67" t="s">
        <v>5204</v>
      </c>
      <c r="EW648" s="67">
        <v>480.54</v>
      </c>
      <c r="EX648" s="67" t="s">
        <v>5205</v>
      </c>
      <c r="EY648" s="67">
        <v>5612.8</v>
      </c>
      <c r="EZ648" s="67" t="s">
        <v>5206</v>
      </c>
      <c r="FA648" s="67">
        <v>19749.059000000001</v>
      </c>
      <c r="FB648" s="67" t="s">
        <v>5207</v>
      </c>
      <c r="FC648" s="67" t="s">
        <v>5208</v>
      </c>
      <c r="FD648" s="67" t="s">
        <v>5209</v>
      </c>
      <c r="FE648" s="68" t="s">
        <v>5210</v>
      </c>
      <c r="FF648" s="68" t="s">
        <v>5211</v>
      </c>
    </row>
    <row r="649" spans="151:162" x14ac:dyDescent="0.2">
      <c r="EU649" s="67">
        <v>559.65</v>
      </c>
      <c r="EV649" s="67" t="s">
        <v>5212</v>
      </c>
      <c r="EW649" s="67">
        <v>480.69</v>
      </c>
      <c r="EX649" s="67" t="s">
        <v>5213</v>
      </c>
      <c r="EY649" s="67">
        <v>5613.16</v>
      </c>
      <c r="EZ649" s="67" t="s">
        <v>5214</v>
      </c>
      <c r="FA649" s="67">
        <v>19752.398000000001</v>
      </c>
      <c r="FB649" s="67" t="s">
        <v>5215</v>
      </c>
      <c r="FC649" s="67" t="s">
        <v>5216</v>
      </c>
      <c r="FD649" s="67" t="s">
        <v>5217</v>
      </c>
      <c r="FE649" s="68" t="s">
        <v>5218</v>
      </c>
      <c r="FF649" s="68" t="s">
        <v>5219</v>
      </c>
    </row>
    <row r="650" spans="151:162" x14ac:dyDescent="0.2">
      <c r="EU650" s="67">
        <v>559.85</v>
      </c>
      <c r="EV650" s="67" t="s">
        <v>5220</v>
      </c>
      <c r="EW650" s="67">
        <v>480.8</v>
      </c>
      <c r="EX650" s="67" t="s">
        <v>5221</v>
      </c>
      <c r="EY650" s="67">
        <v>5615.32</v>
      </c>
      <c r="EZ650" s="67" t="s">
        <v>5222</v>
      </c>
      <c r="FA650" s="67">
        <v>19761.685000000001</v>
      </c>
      <c r="FB650" s="67" t="s">
        <v>5223</v>
      </c>
      <c r="FC650" s="67" t="s">
        <v>5224</v>
      </c>
      <c r="FD650" s="67" t="s">
        <v>5225</v>
      </c>
      <c r="FE650" s="68" t="s">
        <v>5226</v>
      </c>
      <c r="FF650" s="68" t="s">
        <v>5227</v>
      </c>
    </row>
    <row r="651" spans="151:162" x14ac:dyDescent="0.2">
      <c r="EU651" s="67">
        <v>559.96</v>
      </c>
      <c r="EV651" s="67" t="s">
        <v>5228</v>
      </c>
      <c r="EW651" s="67">
        <v>480.96</v>
      </c>
      <c r="EX651" s="67" t="s">
        <v>5229</v>
      </c>
      <c r="EY651" s="67">
        <v>5616.49</v>
      </c>
      <c r="EZ651" s="67" t="s">
        <v>5230</v>
      </c>
      <c r="FA651" s="67">
        <v>19766.187000000002</v>
      </c>
      <c r="FB651" s="67" t="s">
        <v>5231</v>
      </c>
      <c r="FC651" s="67" t="s">
        <v>5232</v>
      </c>
      <c r="FD651" s="67" t="s">
        <v>5233</v>
      </c>
      <c r="FE651" s="68" t="s">
        <v>5234</v>
      </c>
      <c r="FF651" s="68" t="s">
        <v>5235</v>
      </c>
    </row>
    <row r="652" spans="151:162" x14ac:dyDescent="0.2">
      <c r="EU652" s="67">
        <v>559.85</v>
      </c>
      <c r="EV652" s="67" t="s">
        <v>5236</v>
      </c>
      <c r="EW652" s="67">
        <v>480.85</v>
      </c>
      <c r="EX652" s="67" t="s">
        <v>5237</v>
      </c>
      <c r="EY652" s="67">
        <v>5615.04</v>
      </c>
      <c r="EZ652" s="67" t="s">
        <v>5238</v>
      </c>
      <c r="FA652" s="67">
        <v>19759.956999999999</v>
      </c>
      <c r="FB652" s="67" t="s">
        <v>5239</v>
      </c>
      <c r="FC652" s="67" t="s">
        <v>5240</v>
      </c>
      <c r="FD652" s="67" t="s">
        <v>5241</v>
      </c>
      <c r="FE652" s="68" t="s">
        <v>5242</v>
      </c>
      <c r="FF652" s="68" t="s">
        <v>5243</v>
      </c>
    </row>
    <row r="653" spans="151:162" x14ac:dyDescent="0.2">
      <c r="EU653" s="67">
        <v>559.86</v>
      </c>
      <c r="EV653" s="67" t="s">
        <v>5244</v>
      </c>
      <c r="EW653" s="67">
        <v>480.79</v>
      </c>
      <c r="EX653" s="67" t="s">
        <v>5245</v>
      </c>
      <c r="EY653" s="67">
        <v>5615.27</v>
      </c>
      <c r="EZ653" s="67" t="s">
        <v>5246</v>
      </c>
      <c r="FA653" s="67">
        <v>19759.115000000002</v>
      </c>
      <c r="FB653" s="67" t="s">
        <v>5247</v>
      </c>
      <c r="FC653" s="67" t="s">
        <v>5248</v>
      </c>
      <c r="FD653" s="67" t="s">
        <v>5249</v>
      </c>
      <c r="FE653" s="68" t="s">
        <v>5250</v>
      </c>
      <c r="FF653" s="68" t="s">
        <v>5251</v>
      </c>
    </row>
    <row r="654" spans="151:162" x14ac:dyDescent="0.2">
      <c r="EU654" s="67">
        <v>560.02</v>
      </c>
      <c r="EV654" s="67" t="s">
        <v>5252</v>
      </c>
      <c r="EW654" s="67">
        <v>480.88</v>
      </c>
      <c r="EX654" s="67" t="s">
        <v>5253</v>
      </c>
      <c r="EY654" s="67">
        <v>5616.93</v>
      </c>
      <c r="EZ654" s="67" t="s">
        <v>5254</v>
      </c>
      <c r="FA654" s="67">
        <v>19763.893</v>
      </c>
      <c r="FB654" s="67" t="s">
        <v>5255</v>
      </c>
      <c r="FC654" s="67" t="s">
        <v>5256</v>
      </c>
      <c r="FD654" s="67" t="s">
        <v>5257</v>
      </c>
      <c r="FE654" s="68" t="s">
        <v>5258</v>
      </c>
      <c r="FF654" s="68" t="s">
        <v>5259</v>
      </c>
    </row>
    <row r="655" spans="151:162" x14ac:dyDescent="0.2">
      <c r="EU655" s="67">
        <v>559.87</v>
      </c>
      <c r="EV655" s="67" t="s">
        <v>5260</v>
      </c>
      <c r="EW655" s="67">
        <v>480.67500000000001</v>
      </c>
      <c r="EX655" s="67" t="s">
        <v>5261</v>
      </c>
      <c r="EY655" s="67">
        <v>5615.91</v>
      </c>
      <c r="EZ655" s="67" t="s">
        <v>5262</v>
      </c>
      <c r="FA655" s="67">
        <v>19756.599999999999</v>
      </c>
      <c r="FB655" s="67" t="s">
        <v>5263</v>
      </c>
      <c r="FC655" s="67" t="s">
        <v>5264</v>
      </c>
      <c r="FD655" s="67" t="s">
        <v>5265</v>
      </c>
      <c r="FE655" s="68" t="s">
        <v>5266</v>
      </c>
      <c r="FF655" s="68" t="s">
        <v>5267</v>
      </c>
    </row>
    <row r="656" spans="151:162" x14ac:dyDescent="0.2">
      <c r="EU656" s="67">
        <v>559.91</v>
      </c>
      <c r="EV656" s="67" t="s">
        <v>5268</v>
      </c>
      <c r="EW656" s="67">
        <v>480.75</v>
      </c>
      <c r="EX656" s="67" t="s">
        <v>5269</v>
      </c>
      <c r="EY656" s="67">
        <v>5615.66</v>
      </c>
      <c r="EZ656" s="67" t="s">
        <v>5270</v>
      </c>
      <c r="FA656" s="67">
        <v>19756.422999999999</v>
      </c>
      <c r="FB656" s="67" t="s">
        <v>5271</v>
      </c>
      <c r="FC656" s="67" t="s">
        <v>5272</v>
      </c>
      <c r="FD656" s="67" t="s">
        <v>5273</v>
      </c>
      <c r="FE656" s="68" t="s">
        <v>5274</v>
      </c>
      <c r="FF656" s="68" t="s">
        <v>5275</v>
      </c>
    </row>
    <row r="657" spans="151:162" x14ac:dyDescent="0.2">
      <c r="EU657" s="67">
        <v>559.82000000000005</v>
      </c>
      <c r="EV657" s="67" t="s">
        <v>5276</v>
      </c>
      <c r="EW657" s="67">
        <v>480.61</v>
      </c>
      <c r="EX657" s="67" t="s">
        <v>5277</v>
      </c>
      <c r="EY657" s="67">
        <v>5615.07</v>
      </c>
      <c r="EZ657" s="67" t="s">
        <v>5278</v>
      </c>
      <c r="FA657" s="67">
        <v>19754.491999999998</v>
      </c>
      <c r="FB657" s="67" t="s">
        <v>5279</v>
      </c>
      <c r="FC657" s="67" t="s">
        <v>5280</v>
      </c>
      <c r="FD657" s="67" t="s">
        <v>5281</v>
      </c>
      <c r="FE657" s="68" t="s">
        <v>5282</v>
      </c>
      <c r="FF657" s="68" t="s">
        <v>5283</v>
      </c>
    </row>
    <row r="658" spans="151:162" x14ac:dyDescent="0.2">
      <c r="EU658" s="67">
        <v>560.15</v>
      </c>
      <c r="EV658" s="67" t="s">
        <v>5284</v>
      </c>
      <c r="EW658" s="67">
        <v>480.96</v>
      </c>
      <c r="EX658" s="67" t="s">
        <v>5285</v>
      </c>
      <c r="EY658" s="67">
        <v>5618.61</v>
      </c>
      <c r="EZ658" s="67" t="s">
        <v>5286</v>
      </c>
      <c r="FA658" s="67">
        <v>19766.416000000001</v>
      </c>
      <c r="FB658" s="67" t="s">
        <v>5287</v>
      </c>
      <c r="FC658" s="67" t="s">
        <v>5288</v>
      </c>
      <c r="FD658" s="67" t="s">
        <v>5289</v>
      </c>
      <c r="FE658" s="68" t="s">
        <v>5290</v>
      </c>
      <c r="FF658" s="68" t="s">
        <v>5291</v>
      </c>
    </row>
    <row r="659" spans="151:162" x14ac:dyDescent="0.2">
      <c r="EU659" s="67">
        <v>559.74</v>
      </c>
      <c r="EV659" s="67" t="s">
        <v>5292</v>
      </c>
      <c r="EW659" s="67">
        <v>480.55</v>
      </c>
      <c r="EX659" s="67" t="s">
        <v>5293</v>
      </c>
      <c r="EY659" s="67">
        <v>5614.36</v>
      </c>
      <c r="EZ659" s="67" t="s">
        <v>5294</v>
      </c>
      <c r="FA659" s="67">
        <v>19750.990000000002</v>
      </c>
      <c r="FB659" s="67" t="s">
        <v>5295</v>
      </c>
      <c r="FC659" s="67" t="s">
        <v>5296</v>
      </c>
      <c r="FD659" s="67" t="s">
        <v>5297</v>
      </c>
      <c r="FE659" s="68" t="s">
        <v>5298</v>
      </c>
      <c r="FF659" s="68" t="s">
        <v>5299</v>
      </c>
    </row>
    <row r="660" spans="151:162" x14ac:dyDescent="0.2">
      <c r="EU660" s="67">
        <v>559.92999999999995</v>
      </c>
      <c r="EV660" s="67" t="s">
        <v>5300</v>
      </c>
      <c r="EW660" s="67">
        <v>480.75</v>
      </c>
      <c r="EX660" s="67" t="s">
        <v>5301</v>
      </c>
      <c r="EY660" s="67">
        <v>5616</v>
      </c>
      <c r="EZ660" s="67" t="s">
        <v>5302</v>
      </c>
      <c r="FA660" s="67">
        <v>19754.66</v>
      </c>
      <c r="FB660" s="67" t="s">
        <v>5303</v>
      </c>
      <c r="FC660" s="67" t="s">
        <v>5304</v>
      </c>
      <c r="FD660" s="67" t="s">
        <v>5305</v>
      </c>
      <c r="FE660" s="68" t="s">
        <v>5306</v>
      </c>
      <c r="FF660" s="68" t="s">
        <v>5307</v>
      </c>
    </row>
    <row r="661" spans="151:162" x14ac:dyDescent="0.2">
      <c r="EU661" s="67">
        <v>559.846</v>
      </c>
      <c r="EV661" s="67" t="s">
        <v>5308</v>
      </c>
      <c r="EW661" s="67">
        <v>480.68</v>
      </c>
      <c r="EX661" s="67" t="s">
        <v>5309</v>
      </c>
      <c r="EY661" s="67">
        <v>5615.11</v>
      </c>
      <c r="EZ661" s="67" t="s">
        <v>5310</v>
      </c>
      <c r="FA661" s="67">
        <v>19752.689999999999</v>
      </c>
      <c r="FB661" s="67" t="s">
        <v>5311</v>
      </c>
      <c r="FC661" s="67" t="s">
        <v>5312</v>
      </c>
      <c r="FD661" s="67" t="s">
        <v>5313</v>
      </c>
      <c r="FE661" s="68" t="s">
        <v>5314</v>
      </c>
      <c r="FF661" s="68" t="s">
        <v>5315</v>
      </c>
    </row>
    <row r="662" spans="151:162" x14ac:dyDescent="0.2">
      <c r="EU662" s="67">
        <v>559.95000000000005</v>
      </c>
      <c r="EV662" s="67" t="s">
        <v>5316</v>
      </c>
      <c r="EW662" s="67">
        <v>480.76</v>
      </c>
      <c r="EX662" s="67" t="s">
        <v>5317</v>
      </c>
      <c r="EY662" s="67">
        <v>5616.36</v>
      </c>
      <c r="EZ662" s="67" t="s">
        <v>5318</v>
      </c>
      <c r="FA662" s="67">
        <v>19758.795999999998</v>
      </c>
      <c r="FB662" s="67" t="s">
        <v>5319</v>
      </c>
      <c r="FC662" s="67" t="s">
        <v>5320</v>
      </c>
      <c r="FD662" s="67" t="s">
        <v>5321</v>
      </c>
      <c r="FE662" s="68" t="s">
        <v>5322</v>
      </c>
      <c r="FF662" s="68" t="s">
        <v>5323</v>
      </c>
    </row>
    <row r="663" spans="151:162" x14ac:dyDescent="0.2">
      <c r="EU663" s="67">
        <v>560.07000000000005</v>
      </c>
      <c r="EV663" s="67" t="s">
        <v>5324</v>
      </c>
      <c r="EW663" s="67">
        <v>480.93</v>
      </c>
      <c r="EX663" s="67" t="s">
        <v>5325</v>
      </c>
      <c r="EY663" s="67">
        <v>5617.67</v>
      </c>
      <c r="EZ663" s="67" t="s">
        <v>5326</v>
      </c>
      <c r="FA663" s="67">
        <v>19762.753000000001</v>
      </c>
      <c r="FB663" s="67" t="s">
        <v>5327</v>
      </c>
      <c r="FC663" s="67" t="s">
        <v>5328</v>
      </c>
      <c r="FD663" s="67" t="s">
        <v>5329</v>
      </c>
      <c r="FE663" s="68" t="s">
        <v>5330</v>
      </c>
      <c r="FF663" s="68" t="s">
        <v>5331</v>
      </c>
    </row>
    <row r="664" spans="151:162" x14ac:dyDescent="0.2">
      <c r="EU664" s="67">
        <v>560</v>
      </c>
      <c r="EV664" s="67" t="s">
        <v>5332</v>
      </c>
      <c r="EW664" s="67">
        <v>480.83</v>
      </c>
      <c r="EX664" s="67" t="s">
        <v>5333</v>
      </c>
      <c r="EY664" s="67">
        <v>5617.06</v>
      </c>
      <c r="EZ664" s="67" t="s">
        <v>5334</v>
      </c>
      <c r="FA664" s="67">
        <v>19759.469000000001</v>
      </c>
      <c r="FB664" s="67" t="s">
        <v>5335</v>
      </c>
      <c r="FC664" s="67" t="s">
        <v>5336</v>
      </c>
      <c r="FD664" s="67" t="s">
        <v>5337</v>
      </c>
      <c r="FE664" s="68" t="s">
        <v>5338</v>
      </c>
      <c r="FF664" s="68" t="s">
        <v>5339</v>
      </c>
    </row>
    <row r="665" spans="151:162" x14ac:dyDescent="0.2">
      <c r="EU665" s="67">
        <v>559.94000000000005</v>
      </c>
      <c r="EV665" s="67" t="s">
        <v>5340</v>
      </c>
      <c r="EW665" s="67">
        <v>480.72</v>
      </c>
      <c r="EX665" s="67" t="s">
        <v>5341</v>
      </c>
      <c r="EY665" s="67">
        <v>5616.27</v>
      </c>
      <c r="EZ665" s="67" t="s">
        <v>5342</v>
      </c>
      <c r="FA665" s="67">
        <v>19756.133999999998</v>
      </c>
      <c r="FB665" s="67" t="s">
        <v>5343</v>
      </c>
      <c r="FC665" s="67" t="s">
        <v>5344</v>
      </c>
      <c r="FD665" s="67" t="s">
        <v>5345</v>
      </c>
      <c r="FE665" s="68" t="s">
        <v>5346</v>
      </c>
      <c r="FF665" s="68" t="s">
        <v>5347</v>
      </c>
    </row>
    <row r="666" spans="151:162" x14ac:dyDescent="0.2">
      <c r="EU666" s="67">
        <v>559.9</v>
      </c>
      <c r="EV666" s="67" t="s">
        <v>5348</v>
      </c>
      <c r="EW666" s="67">
        <v>480.66899999999998</v>
      </c>
      <c r="EX666" s="67" t="s">
        <v>5349</v>
      </c>
      <c r="EY666" s="67">
        <v>5615.91</v>
      </c>
      <c r="EZ666" s="67" t="s">
        <v>5350</v>
      </c>
      <c r="FA666" s="67">
        <v>19754.435000000001</v>
      </c>
      <c r="FB666" s="67" t="s">
        <v>5351</v>
      </c>
      <c r="FC666" s="67" t="s">
        <v>5352</v>
      </c>
      <c r="FD666" s="67" t="s">
        <v>5353</v>
      </c>
      <c r="FE666" s="68" t="s">
        <v>5354</v>
      </c>
      <c r="FF666" s="68" t="s">
        <v>5355</v>
      </c>
    </row>
    <row r="667" spans="151:162" x14ac:dyDescent="0.2">
      <c r="EU667" s="67">
        <v>559.92999999999995</v>
      </c>
      <c r="EV667" s="67" t="s">
        <v>5356</v>
      </c>
      <c r="EW667" s="67">
        <v>480.66</v>
      </c>
      <c r="EX667" s="67" t="s">
        <v>5357</v>
      </c>
      <c r="EY667" s="67">
        <v>5616.68</v>
      </c>
      <c r="EZ667" s="67" t="s">
        <v>5358</v>
      </c>
      <c r="FA667" s="67">
        <v>19756.666000000001</v>
      </c>
      <c r="FB667" s="67" t="s">
        <v>5359</v>
      </c>
      <c r="FC667" s="67" t="s">
        <v>5360</v>
      </c>
      <c r="FD667" s="67" t="s">
        <v>5361</v>
      </c>
      <c r="FE667" s="68" t="s">
        <v>5362</v>
      </c>
      <c r="FF667" s="68" t="s">
        <v>5363</v>
      </c>
    </row>
    <row r="668" spans="151:162" x14ac:dyDescent="0.2">
      <c r="EU668" s="67">
        <v>559.89</v>
      </c>
      <c r="EV668" s="67" t="s">
        <v>5364</v>
      </c>
      <c r="EW668" s="67">
        <v>480.5</v>
      </c>
      <c r="EX668" s="67" t="s">
        <v>5365</v>
      </c>
      <c r="EY668" s="67">
        <v>5615.65</v>
      </c>
      <c r="EZ668" s="67" t="s">
        <v>5366</v>
      </c>
      <c r="FA668" s="67">
        <v>19751.932000000001</v>
      </c>
      <c r="FB668" s="67" t="s">
        <v>5367</v>
      </c>
      <c r="FC668" s="67" t="s">
        <v>5368</v>
      </c>
      <c r="FD668" s="67" t="s">
        <v>5369</v>
      </c>
      <c r="FE668" s="68" t="s">
        <v>5370</v>
      </c>
      <c r="FF668" s="68" t="s">
        <v>5371</v>
      </c>
    </row>
    <row r="669" spans="151:162" x14ac:dyDescent="0.2">
      <c r="EU669" s="67">
        <v>559.78</v>
      </c>
      <c r="EV669" s="67" t="s">
        <v>5372</v>
      </c>
      <c r="EW669" s="67">
        <v>480.43</v>
      </c>
      <c r="EX669" s="67" t="s">
        <v>5373</v>
      </c>
      <c r="EY669" s="67">
        <v>5614.64</v>
      </c>
      <c r="EZ669" s="67" t="s">
        <v>5374</v>
      </c>
      <c r="FA669" s="67">
        <v>19745.521000000001</v>
      </c>
      <c r="FB669" s="67" t="s">
        <v>5375</v>
      </c>
      <c r="FC669" s="67" t="s">
        <v>5376</v>
      </c>
      <c r="FD669" s="67" t="s">
        <v>5377</v>
      </c>
      <c r="FE669" s="68" t="s">
        <v>5378</v>
      </c>
      <c r="FF669" s="68" t="s">
        <v>5379</v>
      </c>
    </row>
    <row r="670" spans="151:162" x14ac:dyDescent="0.2">
      <c r="EU670" s="67">
        <v>560.21</v>
      </c>
      <c r="EV670" s="67" t="s">
        <v>5380</v>
      </c>
      <c r="EW670" s="67">
        <v>480.88</v>
      </c>
      <c r="EX670" s="67" t="s">
        <v>5381</v>
      </c>
      <c r="EY670" s="67">
        <v>5618.71</v>
      </c>
      <c r="EZ670" s="67" t="s">
        <v>5382</v>
      </c>
      <c r="FA670" s="67">
        <v>19762.669000000002</v>
      </c>
      <c r="FB670" s="67" t="s">
        <v>5383</v>
      </c>
      <c r="FC670" s="67" t="s">
        <v>5384</v>
      </c>
      <c r="FD670" s="67" t="s">
        <v>5385</v>
      </c>
      <c r="FE670" s="68" t="s">
        <v>5386</v>
      </c>
      <c r="FF670" s="68" t="s">
        <v>5387</v>
      </c>
    </row>
    <row r="671" spans="151:162" x14ac:dyDescent="0.2">
      <c r="EU671" s="67">
        <v>559.92999999999995</v>
      </c>
      <c r="EV671" s="67" t="s">
        <v>5388</v>
      </c>
      <c r="EW671" s="67">
        <v>480.55</v>
      </c>
      <c r="EX671" s="67" t="s">
        <v>5389</v>
      </c>
      <c r="EY671" s="67">
        <v>5616.21</v>
      </c>
      <c r="EZ671" s="67" t="s">
        <v>5390</v>
      </c>
      <c r="FA671" s="67">
        <v>19749.876</v>
      </c>
      <c r="FB671" s="67" t="s">
        <v>5391</v>
      </c>
      <c r="FC671" s="67" t="s">
        <v>5392</v>
      </c>
      <c r="FD671" s="67" t="s">
        <v>5393</v>
      </c>
      <c r="FE671" s="68" t="s">
        <v>5394</v>
      </c>
      <c r="FF671" s="68" t="s">
        <v>5395</v>
      </c>
    </row>
    <row r="672" spans="151:162" x14ac:dyDescent="0.2">
      <c r="EU672" s="67">
        <v>560.36</v>
      </c>
      <c r="EV672" s="67" t="s">
        <v>5396</v>
      </c>
      <c r="EW672" s="67">
        <v>480.97</v>
      </c>
      <c r="EX672" s="67" t="s">
        <v>5397</v>
      </c>
      <c r="EY672" s="67">
        <v>5620.12</v>
      </c>
      <c r="EZ672" s="67" t="s">
        <v>5398</v>
      </c>
      <c r="FA672" s="67">
        <v>19765.243999999999</v>
      </c>
      <c r="FB672" s="67" t="s">
        <v>5399</v>
      </c>
      <c r="FC672" s="67" t="s">
        <v>5400</v>
      </c>
      <c r="FD672" s="67" t="s">
        <v>5401</v>
      </c>
      <c r="FE672" s="68" t="s">
        <v>5402</v>
      </c>
      <c r="FF672" s="68" t="s">
        <v>5403</v>
      </c>
    </row>
    <row r="673" spans="151:162" x14ac:dyDescent="0.2">
      <c r="EU673" s="67">
        <v>560.17999999999995</v>
      </c>
      <c r="EV673" s="67" t="s">
        <v>5404</v>
      </c>
      <c r="EW673" s="67">
        <v>480.84</v>
      </c>
      <c r="EX673" s="67" t="s">
        <v>5405</v>
      </c>
      <c r="EY673" s="67">
        <v>5619.16</v>
      </c>
      <c r="EZ673" s="67" t="s">
        <v>5406</v>
      </c>
      <c r="FA673" s="67">
        <v>19763.732</v>
      </c>
      <c r="FB673" s="67" t="s">
        <v>5407</v>
      </c>
      <c r="FC673" s="67" t="s">
        <v>5408</v>
      </c>
      <c r="FD673" s="67" t="s">
        <v>5409</v>
      </c>
      <c r="FE673" s="68" t="s">
        <v>5410</v>
      </c>
      <c r="FF673" s="68" t="s">
        <v>5411</v>
      </c>
    </row>
    <row r="674" spans="151:162" x14ac:dyDescent="0.2">
      <c r="EU674" s="67">
        <v>559.66</v>
      </c>
      <c r="EV674" s="67" t="s">
        <v>5412</v>
      </c>
      <c r="EW674" s="67">
        <v>480.29</v>
      </c>
      <c r="EX674" s="67" t="s">
        <v>5413</v>
      </c>
      <c r="EY674" s="67">
        <v>5614.03</v>
      </c>
      <c r="EZ674" s="67" t="s">
        <v>5414</v>
      </c>
      <c r="FA674" s="67">
        <v>19744.525000000001</v>
      </c>
      <c r="FB674" s="67" t="s">
        <v>5415</v>
      </c>
      <c r="FC674" s="67" t="s">
        <v>5416</v>
      </c>
      <c r="FD674" s="67" t="s">
        <v>5417</v>
      </c>
      <c r="FE674" s="68" t="s">
        <v>5418</v>
      </c>
      <c r="FF674" s="68" t="s">
        <v>5419</v>
      </c>
    </row>
    <row r="675" spans="151:162" x14ac:dyDescent="0.2">
      <c r="EU675" s="67">
        <v>559.41</v>
      </c>
      <c r="EV675" s="67" t="s">
        <v>5420</v>
      </c>
      <c r="EW675" s="67">
        <v>480.07</v>
      </c>
      <c r="EX675" s="67" t="s">
        <v>5421</v>
      </c>
      <c r="EY675" s="67">
        <v>5611.63</v>
      </c>
      <c r="EZ675" s="67" t="s">
        <v>5422</v>
      </c>
      <c r="FA675" s="67">
        <v>19734.368999999999</v>
      </c>
      <c r="FB675" s="67" t="s">
        <v>5423</v>
      </c>
      <c r="FC675" s="67" t="s">
        <v>5424</v>
      </c>
      <c r="FD675" s="67" t="s">
        <v>5425</v>
      </c>
      <c r="FE675" s="68" t="s">
        <v>5426</v>
      </c>
      <c r="FF675" s="68" t="s">
        <v>5427</v>
      </c>
    </row>
    <row r="676" spans="151:162" x14ac:dyDescent="0.2">
      <c r="EU676" s="67">
        <v>559.38</v>
      </c>
      <c r="EV676" s="67" t="s">
        <v>5428</v>
      </c>
      <c r="EW676" s="67">
        <v>480.08</v>
      </c>
      <c r="EX676" s="67" t="s">
        <v>5429</v>
      </c>
      <c r="EY676" s="67">
        <v>5611.27</v>
      </c>
      <c r="EZ676" s="67" t="s">
        <v>5430</v>
      </c>
      <c r="FA676" s="67">
        <v>19734.780999999999</v>
      </c>
      <c r="FB676" s="67" t="s">
        <v>5431</v>
      </c>
      <c r="FC676" s="67" t="s">
        <v>5432</v>
      </c>
      <c r="FD676" s="67" t="s">
        <v>5433</v>
      </c>
      <c r="FE676" s="68" t="s">
        <v>5434</v>
      </c>
      <c r="FF676" s="68" t="s">
        <v>5435</v>
      </c>
    </row>
    <row r="677" spans="151:162" x14ac:dyDescent="0.2">
      <c r="EU677" s="67">
        <v>559.47</v>
      </c>
      <c r="EV677" s="67" t="s">
        <v>5436</v>
      </c>
      <c r="EW677" s="67">
        <v>480.19</v>
      </c>
      <c r="EX677" s="67" t="s">
        <v>5437</v>
      </c>
      <c r="EY677" s="67">
        <v>5612.14</v>
      </c>
      <c r="EZ677" s="67" t="s">
        <v>5438</v>
      </c>
      <c r="FA677" s="67">
        <v>19738.7</v>
      </c>
      <c r="FB677" s="67" t="s">
        <v>5439</v>
      </c>
      <c r="FC677" s="67" t="s">
        <v>5440</v>
      </c>
      <c r="FD677" s="67" t="s">
        <v>5441</v>
      </c>
      <c r="FE677" s="68" t="s">
        <v>5442</v>
      </c>
      <c r="FF677" s="68" t="s">
        <v>5443</v>
      </c>
    </row>
    <row r="678" spans="151:162" x14ac:dyDescent="0.2">
      <c r="EU678" s="67">
        <v>559.62</v>
      </c>
      <c r="EV678" s="67" t="s">
        <v>5444</v>
      </c>
      <c r="EW678" s="67">
        <v>480.36</v>
      </c>
      <c r="EX678" s="67" t="s">
        <v>5445</v>
      </c>
      <c r="EY678" s="67">
        <v>5612.95</v>
      </c>
      <c r="EZ678" s="67" t="s">
        <v>5446</v>
      </c>
      <c r="FA678" s="67">
        <v>19743.447</v>
      </c>
      <c r="FB678" s="67" t="s">
        <v>5447</v>
      </c>
      <c r="FC678" s="67" t="s">
        <v>5448</v>
      </c>
      <c r="FD678" s="67" t="s">
        <v>5449</v>
      </c>
      <c r="FE678" s="68" t="s">
        <v>5450</v>
      </c>
      <c r="FF678" s="68" t="s">
        <v>5451</v>
      </c>
    </row>
    <row r="679" spans="151:162" x14ac:dyDescent="0.2">
      <c r="EU679" s="67">
        <v>559.54999999999995</v>
      </c>
      <c r="EV679" s="67" t="s">
        <v>5452</v>
      </c>
      <c r="EW679" s="67">
        <v>480.36</v>
      </c>
      <c r="EX679" s="67" t="s">
        <v>5453</v>
      </c>
      <c r="EY679" s="67">
        <v>5612.49</v>
      </c>
      <c r="EZ679" s="67" t="s">
        <v>5454</v>
      </c>
      <c r="FA679" s="67">
        <v>19743.941999999999</v>
      </c>
      <c r="FB679" s="67" t="s">
        <v>5455</v>
      </c>
      <c r="FC679" s="67" t="s">
        <v>5456</v>
      </c>
      <c r="FD679" s="67" t="s">
        <v>5457</v>
      </c>
      <c r="FE679" s="68" t="s">
        <v>5458</v>
      </c>
      <c r="FF679" s="68" t="s">
        <v>5459</v>
      </c>
    </row>
    <row r="680" spans="151:162" x14ac:dyDescent="0.2">
      <c r="EU680" s="67">
        <v>559.55999999999995</v>
      </c>
      <c r="EV680" s="67" t="s">
        <v>5460</v>
      </c>
      <c r="EW680" s="67">
        <v>480.31</v>
      </c>
      <c r="EX680" s="67" t="s">
        <v>5461</v>
      </c>
      <c r="EY680" s="67">
        <v>5612.69</v>
      </c>
      <c r="EZ680" s="67" t="s">
        <v>5462</v>
      </c>
      <c r="FA680" s="67">
        <v>19743.409</v>
      </c>
      <c r="FB680" s="67" t="s">
        <v>5463</v>
      </c>
      <c r="FC680" s="67" t="s">
        <v>5464</v>
      </c>
      <c r="FD680" s="67" t="s">
        <v>5465</v>
      </c>
      <c r="FE680" s="68" t="s">
        <v>5466</v>
      </c>
      <c r="FF680" s="68" t="s">
        <v>5467</v>
      </c>
    </row>
    <row r="681" spans="151:162" x14ac:dyDescent="0.2">
      <c r="EU681" s="67">
        <v>559.24</v>
      </c>
      <c r="EV681" s="67" t="s">
        <v>5468</v>
      </c>
      <c r="EW681" s="67">
        <v>480.02</v>
      </c>
      <c r="EX681" s="67" t="s">
        <v>5469</v>
      </c>
      <c r="EY681" s="67">
        <v>5609.55</v>
      </c>
      <c r="EZ681" s="67" t="s">
        <v>5470</v>
      </c>
      <c r="FA681" s="67">
        <v>19733.473000000002</v>
      </c>
      <c r="FB681" s="67" t="s">
        <v>5471</v>
      </c>
      <c r="FC681" s="67" t="s">
        <v>5472</v>
      </c>
      <c r="FD681" s="67" t="s">
        <v>5473</v>
      </c>
      <c r="FE681" s="68" t="s">
        <v>5474</v>
      </c>
      <c r="FF681" s="68" t="s">
        <v>5475</v>
      </c>
    </row>
    <row r="682" spans="151:162" x14ac:dyDescent="0.2">
      <c r="EU682" s="67">
        <v>559.29</v>
      </c>
      <c r="EV682" s="67" t="s">
        <v>5476</v>
      </c>
      <c r="EW682" s="67">
        <v>480.07299999999998</v>
      </c>
      <c r="EX682" s="67" t="s">
        <v>5477</v>
      </c>
      <c r="EY682" s="67">
        <v>5609.72</v>
      </c>
      <c r="EZ682" s="67" t="s">
        <v>5478</v>
      </c>
      <c r="FA682" s="67">
        <v>19731.23</v>
      </c>
      <c r="FB682" s="67" t="s">
        <v>5479</v>
      </c>
      <c r="FC682" s="67" t="s">
        <v>5480</v>
      </c>
      <c r="FD682" s="67" t="s">
        <v>5481</v>
      </c>
      <c r="FE682" s="68" t="s">
        <v>5482</v>
      </c>
      <c r="FF682" s="68" t="s">
        <v>5483</v>
      </c>
    </row>
    <row r="683" spans="151:162" x14ac:dyDescent="0.2">
      <c r="EU683" s="67">
        <v>559.32000000000005</v>
      </c>
      <c r="EV683" s="67" t="s">
        <v>5484</v>
      </c>
      <c r="EW683" s="67">
        <v>480.09</v>
      </c>
      <c r="EX683" s="67" t="s">
        <v>5485</v>
      </c>
      <c r="EY683" s="67">
        <v>5609.96</v>
      </c>
      <c r="EZ683" s="67" t="s">
        <v>5486</v>
      </c>
      <c r="FA683" s="67">
        <v>19731.082999999999</v>
      </c>
      <c r="FB683" s="67" t="s">
        <v>5487</v>
      </c>
      <c r="FC683" s="67" t="s">
        <v>5488</v>
      </c>
      <c r="FD683" s="67" t="s">
        <v>5489</v>
      </c>
      <c r="FE683" s="68" t="s">
        <v>5490</v>
      </c>
      <c r="FF683" s="68" t="s">
        <v>5491</v>
      </c>
    </row>
    <row r="684" spans="151:162" x14ac:dyDescent="0.2">
      <c r="EU684" s="67">
        <v>559.45000000000005</v>
      </c>
      <c r="EV684" s="67" t="s">
        <v>5492</v>
      </c>
      <c r="EW684" s="67">
        <v>480.24</v>
      </c>
      <c r="EX684" s="67" t="s">
        <v>5493</v>
      </c>
      <c r="EY684" s="67">
        <v>5611.07</v>
      </c>
      <c r="EZ684" s="67" t="s">
        <v>5494</v>
      </c>
      <c r="FA684" s="67">
        <v>19736.527999999998</v>
      </c>
      <c r="FB684" s="67" t="s">
        <v>5495</v>
      </c>
      <c r="FC684" s="67" t="s">
        <v>5496</v>
      </c>
      <c r="FD684" s="67" t="s">
        <v>5497</v>
      </c>
      <c r="FE684" s="68" t="s">
        <v>5498</v>
      </c>
      <c r="FF684" s="68" t="s">
        <v>5499</v>
      </c>
    </row>
    <row r="685" spans="151:162" x14ac:dyDescent="0.2">
      <c r="EU685" s="67">
        <v>559.52</v>
      </c>
      <c r="EV685" s="67" t="s">
        <v>5500</v>
      </c>
      <c r="EW685" s="67">
        <v>480.31</v>
      </c>
      <c r="EX685" s="67" t="s">
        <v>5501</v>
      </c>
      <c r="EY685" s="67">
        <v>5612.12</v>
      </c>
      <c r="EZ685" s="67" t="s">
        <v>5502</v>
      </c>
      <c r="FA685" s="67">
        <v>19739.361000000001</v>
      </c>
      <c r="FB685" s="67" t="s">
        <v>5503</v>
      </c>
      <c r="FC685" s="67" t="s">
        <v>5504</v>
      </c>
      <c r="FD685" s="67" t="s">
        <v>5505</v>
      </c>
      <c r="FE685" s="68" t="s">
        <v>5506</v>
      </c>
      <c r="FF685" s="68" t="s">
        <v>5507</v>
      </c>
    </row>
    <row r="686" spans="151:162" x14ac:dyDescent="0.2">
      <c r="EU686" s="67">
        <v>559.53</v>
      </c>
      <c r="EV686" s="67" t="s">
        <v>5508</v>
      </c>
      <c r="EW686" s="67">
        <v>480.28</v>
      </c>
      <c r="EX686" s="67" t="s">
        <v>5509</v>
      </c>
      <c r="EY686" s="67">
        <v>5612.02</v>
      </c>
      <c r="EZ686" s="67" t="s">
        <v>5510</v>
      </c>
      <c r="FA686" s="67">
        <v>19738.411</v>
      </c>
      <c r="FB686" s="67" t="s">
        <v>5511</v>
      </c>
      <c r="FC686" s="67" t="s">
        <v>5512</v>
      </c>
      <c r="FD686" s="67" t="s">
        <v>5513</v>
      </c>
      <c r="FE686" s="68" t="s">
        <v>5514</v>
      </c>
      <c r="FF686" s="68" t="s">
        <v>5515</v>
      </c>
    </row>
    <row r="687" spans="151:162" x14ac:dyDescent="0.2">
      <c r="EU687" s="67">
        <v>559.59</v>
      </c>
      <c r="EV687" s="67" t="s">
        <v>5516</v>
      </c>
      <c r="EW687" s="67">
        <v>480.36</v>
      </c>
      <c r="EX687" s="67" t="s">
        <v>5517</v>
      </c>
      <c r="EY687" s="67">
        <v>5612.71</v>
      </c>
      <c r="EZ687" s="67" t="s">
        <v>5518</v>
      </c>
      <c r="FA687" s="67">
        <v>19740.82</v>
      </c>
      <c r="FB687" s="67" t="s">
        <v>5519</v>
      </c>
      <c r="FC687" s="67" t="s">
        <v>5520</v>
      </c>
      <c r="FD687" s="67" t="s">
        <v>5521</v>
      </c>
      <c r="FE687" s="68" t="s">
        <v>5522</v>
      </c>
      <c r="FF687" s="68" t="s">
        <v>5523</v>
      </c>
    </row>
    <row r="688" spans="151:162" x14ac:dyDescent="0.2">
      <c r="EU688" s="67">
        <v>559.69000000000005</v>
      </c>
      <c r="EV688" s="67" t="s">
        <v>5524</v>
      </c>
      <c r="EW688" s="67">
        <v>480.49</v>
      </c>
      <c r="EX688" s="67" t="s">
        <v>5525</v>
      </c>
      <c r="EY688" s="67">
        <v>5613.52</v>
      </c>
      <c r="EZ688" s="67" t="s">
        <v>5526</v>
      </c>
      <c r="FA688" s="67">
        <v>19745.045999999998</v>
      </c>
      <c r="FB688" s="67" t="s">
        <v>5527</v>
      </c>
      <c r="FC688" s="67" t="s">
        <v>5528</v>
      </c>
      <c r="FD688" s="67" t="s">
        <v>5529</v>
      </c>
      <c r="FE688" s="68" t="s">
        <v>5530</v>
      </c>
      <c r="FF688" s="68" t="s">
        <v>5531</v>
      </c>
    </row>
    <row r="689" spans="151:162" x14ac:dyDescent="0.2">
      <c r="EU689" s="67">
        <v>559.54999999999995</v>
      </c>
      <c r="EV689" s="67" t="s">
        <v>5532</v>
      </c>
      <c r="EW689" s="67">
        <v>480.33</v>
      </c>
      <c r="EX689" s="67" t="s">
        <v>5533</v>
      </c>
      <c r="EY689" s="67">
        <v>5612.18</v>
      </c>
      <c r="EZ689" s="67" t="s">
        <v>5534</v>
      </c>
      <c r="FA689" s="67">
        <v>19740.769</v>
      </c>
      <c r="FB689" s="67" t="s">
        <v>5535</v>
      </c>
      <c r="FC689" s="67" t="s">
        <v>5536</v>
      </c>
      <c r="FD689" s="67" t="s">
        <v>5537</v>
      </c>
      <c r="FE689" s="68" t="s">
        <v>5538</v>
      </c>
      <c r="FF689" s="68" t="s">
        <v>5539</v>
      </c>
    </row>
    <row r="690" spans="151:162" x14ac:dyDescent="0.2">
      <c r="EU690" s="67">
        <v>559.61</v>
      </c>
      <c r="EV690" s="67" t="s">
        <v>5540</v>
      </c>
      <c r="EW690" s="67">
        <v>480.44</v>
      </c>
      <c r="EX690" s="67" t="s">
        <v>5541</v>
      </c>
      <c r="EY690" s="67">
        <v>5612.72</v>
      </c>
      <c r="EZ690" s="67" t="s">
        <v>5542</v>
      </c>
      <c r="FA690" s="67">
        <v>19742.958999999999</v>
      </c>
      <c r="FB690" s="67" t="s">
        <v>5543</v>
      </c>
      <c r="FC690" s="67" t="s">
        <v>5544</v>
      </c>
      <c r="FD690" s="67" t="s">
        <v>5545</v>
      </c>
      <c r="FE690" s="68" t="s">
        <v>5546</v>
      </c>
      <c r="FF690" s="68" t="s">
        <v>5547</v>
      </c>
    </row>
    <row r="691" spans="151:162" x14ac:dyDescent="0.2">
      <c r="EU691" s="67">
        <v>559.82000000000005</v>
      </c>
      <c r="EV691" s="67" t="s">
        <v>5548</v>
      </c>
      <c r="EW691" s="67">
        <v>480.61</v>
      </c>
      <c r="EX691" s="67" t="s">
        <v>5549</v>
      </c>
      <c r="EY691" s="67">
        <v>5615.36</v>
      </c>
      <c r="EZ691" s="67" t="s">
        <v>5550</v>
      </c>
      <c r="FA691" s="67">
        <v>19751.047999999999</v>
      </c>
      <c r="FB691" s="67" t="s">
        <v>5551</v>
      </c>
      <c r="FC691" s="67" t="s">
        <v>5552</v>
      </c>
      <c r="FD691" s="67" t="s">
        <v>5553</v>
      </c>
      <c r="FE691" s="68" t="s">
        <v>5554</v>
      </c>
      <c r="FF691" s="68" t="s">
        <v>5555</v>
      </c>
    </row>
    <row r="692" spans="151:162" x14ac:dyDescent="0.2">
      <c r="EU692" s="67">
        <v>560.17999999999995</v>
      </c>
      <c r="EV692" s="67" t="s">
        <v>5556</v>
      </c>
      <c r="EW692" s="67">
        <v>480.95</v>
      </c>
      <c r="EX692" s="67" t="s">
        <v>5557</v>
      </c>
      <c r="EY692" s="67">
        <v>5618.47</v>
      </c>
      <c r="EZ692" s="67" t="s">
        <v>5558</v>
      </c>
      <c r="FA692" s="67">
        <v>19764.23</v>
      </c>
      <c r="FB692" s="67" t="s">
        <v>5559</v>
      </c>
      <c r="FC692" s="67" t="s">
        <v>5560</v>
      </c>
      <c r="FD692" s="67" t="s">
        <v>5561</v>
      </c>
      <c r="FE692" s="68" t="s">
        <v>5562</v>
      </c>
      <c r="FF692" s="68" t="s">
        <v>5563</v>
      </c>
    </row>
    <row r="693" spans="151:162" x14ac:dyDescent="0.2">
      <c r="EU693" s="67">
        <v>560.36</v>
      </c>
      <c r="EV693" s="67" t="s">
        <v>5564</v>
      </c>
      <c r="EW693" s="67">
        <v>481.2</v>
      </c>
      <c r="EX693" s="67" t="s">
        <v>5565</v>
      </c>
      <c r="EY693" s="67">
        <v>5620.55</v>
      </c>
      <c r="EZ693" s="67" t="s">
        <v>5566</v>
      </c>
      <c r="FA693" s="67">
        <v>19773.662</v>
      </c>
      <c r="FB693" s="67" t="s">
        <v>5567</v>
      </c>
      <c r="FC693" s="67" t="s">
        <v>5568</v>
      </c>
      <c r="FD693" s="67" t="s">
        <v>5569</v>
      </c>
      <c r="FE693" s="68" t="s">
        <v>5570</v>
      </c>
      <c r="FF693" s="68" t="s">
        <v>5571</v>
      </c>
    </row>
    <row r="694" spans="151:162" x14ac:dyDescent="0.2">
      <c r="EU694" s="67">
        <v>560.5</v>
      </c>
      <c r="EV694" s="67" t="s">
        <v>5572</v>
      </c>
      <c r="EW694" s="67">
        <v>481.36</v>
      </c>
      <c r="EX694" s="67" t="s">
        <v>5573</v>
      </c>
      <c r="EY694" s="67">
        <v>5621.99</v>
      </c>
      <c r="EZ694" s="67" t="s">
        <v>5574</v>
      </c>
      <c r="FA694" s="67">
        <v>19780.355</v>
      </c>
      <c r="FB694" s="67" t="s">
        <v>5575</v>
      </c>
      <c r="FC694" s="67" t="s">
        <v>5576</v>
      </c>
      <c r="FD694" s="67" t="s">
        <v>5577</v>
      </c>
      <c r="FE694" s="68" t="s">
        <v>5578</v>
      </c>
      <c r="FF694" s="68" t="s">
        <v>5579</v>
      </c>
    </row>
    <row r="695" spans="151:162" x14ac:dyDescent="0.2">
      <c r="EU695" s="67">
        <v>560.30999999999995</v>
      </c>
      <c r="EV695" s="67" t="s">
        <v>5580</v>
      </c>
      <c r="EW695" s="67">
        <v>481.15499999999997</v>
      </c>
      <c r="EX695" s="67" t="s">
        <v>5581</v>
      </c>
      <c r="EY695" s="67">
        <v>5620.61</v>
      </c>
      <c r="EZ695" s="67" t="s">
        <v>5582</v>
      </c>
      <c r="FA695" s="67">
        <v>19776.476999999999</v>
      </c>
      <c r="FB695" s="67" t="s">
        <v>5583</v>
      </c>
      <c r="FC695" s="67" t="s">
        <v>5584</v>
      </c>
      <c r="FD695" s="67" t="s">
        <v>5585</v>
      </c>
      <c r="FE695" s="68" t="s">
        <v>5586</v>
      </c>
      <c r="FF695" s="68" t="s">
        <v>5587</v>
      </c>
    </row>
    <row r="696" spans="151:162" x14ac:dyDescent="0.2">
      <c r="EU696" s="67">
        <v>560.44000000000005</v>
      </c>
      <c r="EV696" s="67" t="s">
        <v>5588</v>
      </c>
      <c r="EW696" s="67">
        <v>481.31900000000002</v>
      </c>
      <c r="EX696" s="67" t="s">
        <v>5589</v>
      </c>
      <c r="EY696" s="67">
        <v>5621.6</v>
      </c>
      <c r="EZ696" s="67" t="s">
        <v>5590</v>
      </c>
      <c r="FA696" s="67">
        <v>19780.471000000001</v>
      </c>
      <c r="FB696" s="67" t="s">
        <v>5591</v>
      </c>
      <c r="FC696" s="67" t="s">
        <v>5592</v>
      </c>
      <c r="FD696" s="67" t="s">
        <v>5593</v>
      </c>
      <c r="FE696" s="68" t="s">
        <v>5594</v>
      </c>
      <c r="FF696" s="68" t="s">
        <v>5595</v>
      </c>
    </row>
    <row r="697" spans="151:162" x14ac:dyDescent="0.2">
      <c r="EU697" s="67">
        <v>560.54999999999995</v>
      </c>
      <c r="EV697" s="67" t="s">
        <v>5596</v>
      </c>
      <c r="EW697" s="67">
        <v>481.44</v>
      </c>
      <c r="EX697" s="67" t="s">
        <v>5597</v>
      </c>
      <c r="EY697" s="67">
        <v>5622.55</v>
      </c>
      <c r="EZ697" s="67" t="s">
        <v>5598</v>
      </c>
      <c r="FA697" s="67">
        <v>19785.18</v>
      </c>
      <c r="FB697" s="67" t="s">
        <v>5599</v>
      </c>
      <c r="FC697" s="67" t="s">
        <v>5600</v>
      </c>
      <c r="FD697" s="67" t="s">
        <v>5601</v>
      </c>
      <c r="FE697" s="68" t="s">
        <v>5602</v>
      </c>
      <c r="FF697" s="68" t="s">
        <v>5603</v>
      </c>
    </row>
    <row r="698" spans="151:162" x14ac:dyDescent="0.2">
      <c r="EU698" s="67">
        <v>560.34</v>
      </c>
      <c r="EV698" s="67" t="s">
        <v>5604</v>
      </c>
      <c r="EW698" s="67">
        <v>481.26</v>
      </c>
      <c r="EX698" s="67" t="s">
        <v>5605</v>
      </c>
      <c r="EY698" s="67">
        <v>5620.87</v>
      </c>
      <c r="EZ698" s="67" t="s">
        <v>5606</v>
      </c>
      <c r="FA698" s="67">
        <v>19780.696</v>
      </c>
      <c r="FB698" s="67" t="s">
        <v>5607</v>
      </c>
      <c r="FC698" s="67" t="s">
        <v>5608</v>
      </c>
      <c r="FD698" s="67" t="s">
        <v>5609</v>
      </c>
      <c r="FE698" s="68" t="s">
        <v>5610</v>
      </c>
      <c r="FF698" s="68" t="s">
        <v>5611</v>
      </c>
    </row>
    <row r="699" spans="151:162" x14ac:dyDescent="0.2">
      <c r="EU699" s="67">
        <v>560.54</v>
      </c>
      <c r="EV699" s="67" t="s">
        <v>5612</v>
      </c>
      <c r="EW699" s="67">
        <v>481.44</v>
      </c>
      <c r="EX699" s="67" t="s">
        <v>5613</v>
      </c>
      <c r="EY699" s="67">
        <v>5622.53</v>
      </c>
      <c r="EZ699" s="67" t="s">
        <v>5614</v>
      </c>
      <c r="FA699" s="67">
        <v>19785.96</v>
      </c>
      <c r="FB699" s="67" t="s">
        <v>5615</v>
      </c>
      <c r="FC699" s="67" t="s">
        <v>5616</v>
      </c>
      <c r="FD699" s="67" t="s">
        <v>5617</v>
      </c>
      <c r="FE699" s="68" t="s">
        <v>5618</v>
      </c>
      <c r="FF699" s="68" t="s">
        <v>5619</v>
      </c>
    </row>
    <row r="700" spans="151:162" x14ac:dyDescent="0.2">
      <c r="EU700" s="67">
        <v>560.6</v>
      </c>
      <c r="EV700" s="67" t="s">
        <v>5620</v>
      </c>
      <c r="EW700" s="67">
        <v>481.47</v>
      </c>
      <c r="EX700" s="67" t="s">
        <v>5621</v>
      </c>
      <c r="EY700" s="67">
        <v>5622.79</v>
      </c>
      <c r="EZ700" s="67" t="s">
        <v>5622</v>
      </c>
      <c r="FA700" s="67">
        <v>19786.517</v>
      </c>
      <c r="FB700" s="67" t="s">
        <v>5623</v>
      </c>
      <c r="FC700" s="67" t="s">
        <v>5624</v>
      </c>
      <c r="FD700" s="67" t="s">
        <v>5625</v>
      </c>
      <c r="FE700" s="68" t="s">
        <v>5626</v>
      </c>
      <c r="FF700" s="68" t="s">
        <v>5627</v>
      </c>
    </row>
    <row r="701" spans="151:162" x14ac:dyDescent="0.2">
      <c r="EU701" s="67">
        <v>560.54</v>
      </c>
      <c r="EV701" s="67" t="s">
        <v>5628</v>
      </c>
      <c r="EW701" s="67">
        <v>481.47</v>
      </c>
      <c r="EX701" s="67" t="s">
        <v>5629</v>
      </c>
      <c r="EY701" s="67">
        <v>5622.75</v>
      </c>
      <c r="EZ701" s="67" t="s">
        <v>5630</v>
      </c>
      <c r="FA701" s="67">
        <v>19788.02</v>
      </c>
      <c r="FB701" s="67" t="s">
        <v>5631</v>
      </c>
      <c r="FC701" s="67" t="s">
        <v>5632</v>
      </c>
      <c r="FD701" s="67" t="s">
        <v>5633</v>
      </c>
      <c r="FE701" s="68" t="s">
        <v>5634</v>
      </c>
      <c r="FF701" s="68" t="s">
        <v>5635</v>
      </c>
    </row>
    <row r="702" spans="151:162" x14ac:dyDescent="0.2">
      <c r="EU702" s="67">
        <v>560.54999999999995</v>
      </c>
      <c r="EV702" s="67" t="s">
        <v>5636</v>
      </c>
      <c r="EW702" s="67">
        <v>481.51499999999999</v>
      </c>
      <c r="EX702" s="67" t="s">
        <v>5637</v>
      </c>
      <c r="EY702" s="67">
        <v>5622.83</v>
      </c>
      <c r="EZ702" s="67" t="s">
        <v>5638</v>
      </c>
      <c r="FA702" s="67">
        <v>19788.367999999999</v>
      </c>
      <c r="FB702" s="67" t="s">
        <v>5639</v>
      </c>
      <c r="FC702" s="67" t="s">
        <v>5640</v>
      </c>
      <c r="FD702" s="67" t="s">
        <v>5641</v>
      </c>
      <c r="FE702" s="68" t="s">
        <v>5642</v>
      </c>
      <c r="FF702" s="68" t="s">
        <v>5643</v>
      </c>
    </row>
    <row r="703" spans="151:162" x14ac:dyDescent="0.2">
      <c r="EU703" s="67">
        <v>560.54</v>
      </c>
      <c r="EV703" s="67" t="s">
        <v>5644</v>
      </c>
      <c r="EW703" s="67">
        <v>481.45</v>
      </c>
      <c r="EX703" s="67" t="s">
        <v>5645</v>
      </c>
      <c r="EY703" s="67">
        <v>5622.38</v>
      </c>
      <c r="EZ703" s="67" t="s">
        <v>5646</v>
      </c>
      <c r="FA703" s="67">
        <v>19786.550999999999</v>
      </c>
      <c r="FB703" s="67" t="s">
        <v>5647</v>
      </c>
      <c r="FC703" s="67" t="s">
        <v>5648</v>
      </c>
      <c r="FD703" s="67" t="s">
        <v>5649</v>
      </c>
      <c r="FE703" s="68" t="s">
        <v>5650</v>
      </c>
      <c r="FF703" s="68" t="s">
        <v>5651</v>
      </c>
    </row>
    <row r="704" spans="151:162" x14ac:dyDescent="0.2">
      <c r="EU704" s="67">
        <v>560.79</v>
      </c>
      <c r="EV704" s="67" t="s">
        <v>5652</v>
      </c>
      <c r="EW704" s="67">
        <v>481.67899999999997</v>
      </c>
      <c r="EX704" s="67" t="s">
        <v>5653</v>
      </c>
      <c r="EY704" s="67">
        <v>5625.08</v>
      </c>
      <c r="EZ704" s="67" t="s">
        <v>5654</v>
      </c>
      <c r="FA704" s="67">
        <v>19795.36</v>
      </c>
      <c r="FB704" s="67" t="s">
        <v>5655</v>
      </c>
      <c r="FC704" s="67" t="s">
        <v>5656</v>
      </c>
      <c r="FD704" s="67" t="s">
        <v>5657</v>
      </c>
      <c r="FE704" s="68" t="s">
        <v>5658</v>
      </c>
      <c r="FF704" s="68" t="s">
        <v>5659</v>
      </c>
    </row>
    <row r="705" spans="151:162" x14ac:dyDescent="0.2">
      <c r="EU705" s="67">
        <v>560.89</v>
      </c>
      <c r="EV705" s="67" t="s">
        <v>5660</v>
      </c>
      <c r="EW705" s="67">
        <v>481.79899999999998</v>
      </c>
      <c r="EX705" s="67" t="s">
        <v>5661</v>
      </c>
      <c r="EY705" s="67">
        <v>5626.17</v>
      </c>
      <c r="EZ705" s="67" t="s">
        <v>5662</v>
      </c>
      <c r="FA705" s="67">
        <v>19800.477999999999</v>
      </c>
      <c r="FB705" s="67" t="s">
        <v>5663</v>
      </c>
      <c r="FC705" s="67" t="s">
        <v>5664</v>
      </c>
      <c r="FD705" s="67" t="s">
        <v>5665</v>
      </c>
      <c r="FE705" s="68" t="s">
        <v>5666</v>
      </c>
      <c r="FF705" s="68" t="s">
        <v>5667</v>
      </c>
    </row>
    <row r="706" spans="151:162" x14ac:dyDescent="0.2">
      <c r="EU706" s="67">
        <v>561.07000000000005</v>
      </c>
      <c r="EV706" s="67" t="s">
        <v>5668</v>
      </c>
      <c r="EW706" s="67">
        <v>481.91</v>
      </c>
      <c r="EX706" s="67" t="s">
        <v>5669</v>
      </c>
      <c r="EY706" s="67">
        <v>5627.42</v>
      </c>
      <c r="EZ706" s="67" t="s">
        <v>5670</v>
      </c>
      <c r="FA706" s="67">
        <v>19802.338</v>
      </c>
      <c r="FB706" s="67" t="s">
        <v>5671</v>
      </c>
      <c r="FC706" s="67" t="s">
        <v>5672</v>
      </c>
      <c r="FD706" s="67" t="s">
        <v>5673</v>
      </c>
      <c r="FE706" s="68" t="s">
        <v>5674</v>
      </c>
      <c r="FF706" s="68" t="s">
        <v>5675</v>
      </c>
    </row>
    <row r="707" spans="151:162" x14ac:dyDescent="0.2">
      <c r="EU707" s="67">
        <v>561.05999999999995</v>
      </c>
      <c r="EV707" s="67" t="s">
        <v>5676</v>
      </c>
      <c r="EW707" s="67">
        <v>481.89</v>
      </c>
      <c r="EX707" s="67" t="s">
        <v>5677</v>
      </c>
      <c r="EY707" s="67">
        <v>5627.32</v>
      </c>
      <c r="EZ707" s="67" t="s">
        <v>5678</v>
      </c>
      <c r="FA707" s="67">
        <v>19802.580000000002</v>
      </c>
      <c r="FB707" s="67" t="s">
        <v>5679</v>
      </c>
      <c r="FC707" s="67" t="s">
        <v>5680</v>
      </c>
      <c r="FD707" s="67" t="s">
        <v>5681</v>
      </c>
      <c r="FE707" s="68" t="s">
        <v>5682</v>
      </c>
      <c r="FF707" s="68" t="s">
        <v>5683</v>
      </c>
    </row>
    <row r="708" spans="151:162" x14ac:dyDescent="0.2">
      <c r="EU708" s="67">
        <v>561.31700000000001</v>
      </c>
      <c r="EV708" s="67" t="s">
        <v>5684</v>
      </c>
      <c r="EW708" s="67">
        <v>482.15499999999997</v>
      </c>
      <c r="EX708" s="67" t="s">
        <v>5685</v>
      </c>
      <c r="EY708" s="67">
        <v>5630.37</v>
      </c>
      <c r="EZ708" s="67" t="s">
        <v>5686</v>
      </c>
      <c r="FA708" s="67">
        <v>19813.806</v>
      </c>
      <c r="FB708" s="67" t="s">
        <v>5687</v>
      </c>
      <c r="FC708" s="67" t="s">
        <v>5688</v>
      </c>
      <c r="FD708" s="67" t="s">
        <v>5689</v>
      </c>
      <c r="FE708" s="68" t="s">
        <v>5690</v>
      </c>
      <c r="FF708" s="68" t="s">
        <v>5691</v>
      </c>
    </row>
    <row r="709" spans="151:162" x14ac:dyDescent="0.2">
      <c r="EU709" s="67">
        <v>561.27</v>
      </c>
      <c r="EV709" s="67" t="s">
        <v>5692</v>
      </c>
      <c r="EW709" s="67">
        <v>482.07499999999999</v>
      </c>
      <c r="EX709" s="67" t="s">
        <v>5693</v>
      </c>
      <c r="EY709" s="67">
        <v>5630.01</v>
      </c>
      <c r="EZ709" s="67" t="s">
        <v>5694</v>
      </c>
      <c r="FA709" s="67">
        <v>19813.009999999998</v>
      </c>
      <c r="FB709" s="67" t="s">
        <v>5695</v>
      </c>
      <c r="FC709" s="67" t="s">
        <v>5696</v>
      </c>
      <c r="FD709" s="67" t="s">
        <v>5697</v>
      </c>
      <c r="FE709" s="68" t="s">
        <v>5698</v>
      </c>
      <c r="FF709" s="68" t="s">
        <v>5699</v>
      </c>
    </row>
    <row r="710" spans="151:162" x14ac:dyDescent="0.2">
      <c r="EU710" s="67">
        <v>561.29999999999995</v>
      </c>
      <c r="EV710" s="67" t="s">
        <v>5700</v>
      </c>
      <c r="EW710" s="67">
        <v>482.11</v>
      </c>
      <c r="EX710" s="67" t="s">
        <v>5701</v>
      </c>
      <c r="EY710" s="67">
        <v>5630.34</v>
      </c>
      <c r="EZ710" s="67" t="s">
        <v>5702</v>
      </c>
      <c r="FA710" s="67">
        <v>19813.769</v>
      </c>
      <c r="FB710" s="67" t="s">
        <v>5703</v>
      </c>
      <c r="FC710" s="67" t="s">
        <v>5704</v>
      </c>
      <c r="FD710" s="67" t="s">
        <v>5705</v>
      </c>
      <c r="FE710" s="68" t="s">
        <v>5706</v>
      </c>
      <c r="FF710" s="68" t="s">
        <v>5707</v>
      </c>
    </row>
    <row r="711" spans="151:162" x14ac:dyDescent="0.2">
      <c r="EU711" s="67">
        <v>561.29</v>
      </c>
      <c r="EV711" s="67" t="s">
        <v>5708</v>
      </c>
      <c r="EW711" s="67">
        <v>482.08800000000002</v>
      </c>
      <c r="EX711" s="67" t="s">
        <v>5709</v>
      </c>
      <c r="EY711" s="67">
        <v>5630.25</v>
      </c>
      <c r="EZ711" s="67" t="s">
        <v>5710</v>
      </c>
      <c r="FA711" s="67">
        <v>19813.665000000001</v>
      </c>
      <c r="FB711" s="67" t="s">
        <v>5711</v>
      </c>
      <c r="FC711" s="67" t="s">
        <v>5712</v>
      </c>
      <c r="FD711" s="67" t="s">
        <v>5713</v>
      </c>
      <c r="FE711" s="68" t="s">
        <v>5714</v>
      </c>
      <c r="FF711" s="68" t="s">
        <v>5715</v>
      </c>
    </row>
    <row r="712" spans="151:162" x14ac:dyDescent="0.2">
      <c r="EU712" s="67">
        <v>561.32000000000005</v>
      </c>
      <c r="EV712" s="67" t="s">
        <v>5716</v>
      </c>
      <c r="EW712" s="67">
        <v>482.12</v>
      </c>
      <c r="EX712" s="67" t="s">
        <v>5717</v>
      </c>
      <c r="EY712" s="67">
        <v>5630.54</v>
      </c>
      <c r="EZ712" s="67" t="s">
        <v>5718</v>
      </c>
      <c r="FA712" s="67">
        <v>19814.032999999999</v>
      </c>
      <c r="FB712" s="67" t="s">
        <v>5719</v>
      </c>
      <c r="FC712" s="67" t="s">
        <v>5720</v>
      </c>
      <c r="FD712" s="67" t="s">
        <v>5721</v>
      </c>
      <c r="FE712" s="68" t="s">
        <v>5722</v>
      </c>
      <c r="FF712" s="68" t="s">
        <v>5723</v>
      </c>
    </row>
    <row r="713" spans="151:162" x14ac:dyDescent="0.2">
      <c r="EU713" s="67">
        <v>561.26</v>
      </c>
      <c r="EV713" s="67" t="s">
        <v>5724</v>
      </c>
      <c r="EW713" s="67">
        <v>482.08</v>
      </c>
      <c r="EX713" s="67" t="s">
        <v>5725</v>
      </c>
      <c r="EY713" s="67">
        <v>5629.95</v>
      </c>
      <c r="EZ713" s="67" t="s">
        <v>5726</v>
      </c>
      <c r="FA713" s="67">
        <v>19811.780999999999</v>
      </c>
      <c r="FB713" s="67" t="s">
        <v>5727</v>
      </c>
      <c r="FC713" s="67" t="s">
        <v>5728</v>
      </c>
      <c r="FD713" s="67" t="s">
        <v>5729</v>
      </c>
      <c r="FE713" s="68" t="s">
        <v>5730</v>
      </c>
      <c r="FF713" s="68" t="s">
        <v>5731</v>
      </c>
    </row>
    <row r="714" spans="151:162" x14ac:dyDescent="0.2">
      <c r="EU714" s="67">
        <v>561.39</v>
      </c>
      <c r="EV714" s="67" t="s">
        <v>5732</v>
      </c>
      <c r="EW714" s="67">
        <v>482.19</v>
      </c>
      <c r="EX714" s="67" t="s">
        <v>5733</v>
      </c>
      <c r="EY714" s="67">
        <v>5631.05</v>
      </c>
      <c r="EZ714" s="67" t="s">
        <v>5734</v>
      </c>
      <c r="FA714" s="67">
        <v>19815.379000000001</v>
      </c>
      <c r="FB714" s="67" t="s">
        <v>5735</v>
      </c>
      <c r="FC714" s="67" t="s">
        <v>5736</v>
      </c>
      <c r="FD714" s="67" t="s">
        <v>5737</v>
      </c>
      <c r="FE714" s="68" t="s">
        <v>5738</v>
      </c>
      <c r="FF714" s="68" t="s">
        <v>5739</v>
      </c>
    </row>
    <row r="715" spans="151:162" x14ac:dyDescent="0.2">
      <c r="EU715" s="67">
        <v>561.41999999999996</v>
      </c>
      <c r="EV715" s="67" t="s">
        <v>5740</v>
      </c>
      <c r="EW715" s="67">
        <v>482.21</v>
      </c>
      <c r="EX715" s="67" t="s">
        <v>5741</v>
      </c>
      <c r="EY715" s="67">
        <v>5631.56</v>
      </c>
      <c r="EZ715" s="67" t="s">
        <v>5742</v>
      </c>
      <c r="FA715" s="67">
        <v>19817.626</v>
      </c>
      <c r="FB715" s="67" t="s">
        <v>5743</v>
      </c>
      <c r="FC715" s="67" t="s">
        <v>5744</v>
      </c>
      <c r="FD715" s="67" t="s">
        <v>5745</v>
      </c>
      <c r="FE715" s="68" t="s">
        <v>5746</v>
      </c>
      <c r="FF715" s="68" t="s">
        <v>5747</v>
      </c>
    </row>
    <row r="716" spans="151:162" x14ac:dyDescent="0.2">
      <c r="EU716" s="67">
        <v>561.39</v>
      </c>
      <c r="EV716" s="67" t="s">
        <v>5748</v>
      </c>
      <c r="EW716" s="67">
        <v>482.16</v>
      </c>
      <c r="EX716" s="67" t="s">
        <v>5749</v>
      </c>
      <c r="EY716" s="67">
        <v>5631.02</v>
      </c>
      <c r="EZ716" s="67" t="s">
        <v>5750</v>
      </c>
      <c r="FA716" s="67">
        <v>19816.018</v>
      </c>
      <c r="FB716" s="67" t="s">
        <v>5751</v>
      </c>
      <c r="FC716" s="67" t="s">
        <v>5752</v>
      </c>
      <c r="FD716" s="67" t="s">
        <v>5753</v>
      </c>
      <c r="FE716" s="68" t="s">
        <v>5754</v>
      </c>
      <c r="FF716" s="68" t="s">
        <v>5755</v>
      </c>
    </row>
    <row r="717" spans="151:162" x14ac:dyDescent="0.2">
      <c r="EU717" s="67">
        <v>561.40499999999997</v>
      </c>
      <c r="EV717" s="67" t="s">
        <v>5756</v>
      </c>
      <c r="EW717" s="67">
        <v>482.22</v>
      </c>
      <c r="EX717" s="67" t="s">
        <v>5757</v>
      </c>
      <c r="EY717" s="67">
        <v>5631.39</v>
      </c>
      <c r="EZ717" s="67" t="s">
        <v>5758</v>
      </c>
      <c r="FA717" s="67">
        <v>19819.650000000001</v>
      </c>
      <c r="FB717" s="67" t="s">
        <v>5759</v>
      </c>
      <c r="FC717" s="67" t="s">
        <v>5760</v>
      </c>
      <c r="FD717" s="67" t="s">
        <v>5761</v>
      </c>
      <c r="FE717" s="68" t="s">
        <v>5762</v>
      </c>
      <c r="FF717" s="68" t="s">
        <v>5763</v>
      </c>
    </row>
    <row r="718" spans="151:162" x14ac:dyDescent="0.2">
      <c r="EU718" s="67">
        <v>561.38</v>
      </c>
      <c r="EV718" s="67" t="s">
        <v>5764</v>
      </c>
      <c r="EW718" s="67">
        <v>482.17</v>
      </c>
      <c r="EX718" s="67" t="s">
        <v>5765</v>
      </c>
      <c r="EY718" s="67">
        <v>5631.21</v>
      </c>
      <c r="EZ718" s="67" t="s">
        <v>5766</v>
      </c>
      <c r="FA718" s="67">
        <v>19817.559000000001</v>
      </c>
      <c r="FB718" s="67" t="s">
        <v>5767</v>
      </c>
      <c r="FC718" s="67" t="s">
        <v>5768</v>
      </c>
      <c r="FD718" s="67" t="s">
        <v>5769</v>
      </c>
      <c r="FE718" s="68" t="s">
        <v>5770</v>
      </c>
      <c r="FF718" s="68" t="s">
        <v>5771</v>
      </c>
    </row>
    <row r="719" spans="151:162" x14ac:dyDescent="0.2">
      <c r="EU719" s="67">
        <v>561.41</v>
      </c>
      <c r="EV719" s="67" t="s">
        <v>5772</v>
      </c>
      <c r="EW719" s="67">
        <v>482.22</v>
      </c>
      <c r="EX719" s="67" t="s">
        <v>5773</v>
      </c>
      <c r="EY719" s="67">
        <v>5631.39</v>
      </c>
      <c r="EZ719" s="67" t="s">
        <v>5774</v>
      </c>
      <c r="FA719" s="67">
        <v>19820.178</v>
      </c>
      <c r="FB719" s="67" t="s">
        <v>5775</v>
      </c>
      <c r="FC719" s="67" t="s">
        <v>5776</v>
      </c>
      <c r="FD719" s="67" t="s">
        <v>5777</v>
      </c>
      <c r="FE719" s="68" t="s">
        <v>5778</v>
      </c>
      <c r="FF719" s="68" t="s">
        <v>5779</v>
      </c>
    </row>
    <row r="720" spans="151:162" x14ac:dyDescent="0.2">
      <c r="EU720" s="67">
        <v>561.38</v>
      </c>
      <c r="EV720" s="67" t="s">
        <v>5780</v>
      </c>
      <c r="EW720" s="67">
        <v>482.18</v>
      </c>
      <c r="EX720" s="67" t="s">
        <v>5781</v>
      </c>
      <c r="EY720" s="67">
        <v>5630.74</v>
      </c>
      <c r="EZ720" s="67" t="s">
        <v>5782</v>
      </c>
      <c r="FA720" s="67">
        <v>19817.687999999998</v>
      </c>
      <c r="FB720" s="67" t="s">
        <v>5783</v>
      </c>
      <c r="FC720" s="67" t="s">
        <v>5784</v>
      </c>
      <c r="FD720" s="67" t="s">
        <v>5785</v>
      </c>
      <c r="FE720" s="68" t="s">
        <v>5786</v>
      </c>
      <c r="FF720" s="68" t="s">
        <v>5787</v>
      </c>
    </row>
    <row r="721" spans="151:162" x14ac:dyDescent="0.2">
      <c r="EU721" s="67">
        <v>561.35</v>
      </c>
      <c r="EV721" s="67" t="s">
        <v>5788</v>
      </c>
      <c r="EW721" s="67">
        <v>482.21</v>
      </c>
      <c r="EX721" s="67" t="s">
        <v>5789</v>
      </c>
      <c r="EY721" s="67">
        <v>5631.29</v>
      </c>
      <c r="EZ721" s="67" t="s">
        <v>5790</v>
      </c>
      <c r="FA721" s="67">
        <v>19820.54</v>
      </c>
      <c r="FB721" s="67" t="s">
        <v>5791</v>
      </c>
      <c r="FC721" s="67" t="s">
        <v>5792</v>
      </c>
      <c r="FD721" s="67" t="s">
        <v>5793</v>
      </c>
      <c r="FE721" s="68" t="s">
        <v>5794</v>
      </c>
      <c r="FF721" s="68" t="s">
        <v>5795</v>
      </c>
    </row>
    <row r="722" spans="151:162" x14ac:dyDescent="0.2">
      <c r="EU722" s="67">
        <v>561.44000000000005</v>
      </c>
      <c r="EV722" s="67" t="s">
        <v>5796</v>
      </c>
      <c r="EW722" s="67">
        <v>482.29</v>
      </c>
      <c r="EX722" s="67" t="s">
        <v>5797</v>
      </c>
      <c r="EY722" s="67">
        <v>5631.49</v>
      </c>
      <c r="EZ722" s="67" t="s">
        <v>5798</v>
      </c>
      <c r="FA722" s="67">
        <v>19821.646000000001</v>
      </c>
      <c r="FB722" s="67" t="s">
        <v>5799</v>
      </c>
      <c r="FC722" s="67" t="s">
        <v>5800</v>
      </c>
      <c r="FD722" s="67" t="s">
        <v>5801</v>
      </c>
      <c r="FE722" s="68" t="s">
        <v>5802</v>
      </c>
      <c r="FF722" s="68" t="s">
        <v>5803</v>
      </c>
    </row>
    <row r="723" spans="151:162" x14ac:dyDescent="0.2">
      <c r="EU723" s="67">
        <v>561.46</v>
      </c>
      <c r="EV723" s="67" t="s">
        <v>5804</v>
      </c>
      <c r="EW723" s="67">
        <v>482.28</v>
      </c>
      <c r="EX723" s="67" t="s">
        <v>5805</v>
      </c>
      <c r="EY723" s="67">
        <v>5631.33</v>
      </c>
      <c r="EZ723" s="67" t="s">
        <v>5806</v>
      </c>
      <c r="FA723" s="67">
        <v>19821.187000000002</v>
      </c>
      <c r="FB723" s="67" t="s">
        <v>5807</v>
      </c>
      <c r="FC723" s="67" t="s">
        <v>5808</v>
      </c>
      <c r="FD723" s="67" t="s">
        <v>5809</v>
      </c>
      <c r="FE723" s="68" t="s">
        <v>5810</v>
      </c>
      <c r="FF723" s="68" t="s">
        <v>5811</v>
      </c>
    </row>
    <row r="724" spans="151:162" x14ac:dyDescent="0.2">
      <c r="EU724" s="67">
        <v>561.77099999999996</v>
      </c>
      <c r="EV724" s="67" t="s">
        <v>5812</v>
      </c>
      <c r="EW724" s="67">
        <v>482.61</v>
      </c>
      <c r="EX724" s="67" t="s">
        <v>5813</v>
      </c>
      <c r="EY724" s="67">
        <v>5634.59</v>
      </c>
      <c r="EZ724" s="67" t="s">
        <v>5814</v>
      </c>
      <c r="FA724" s="67">
        <v>19833.440999999999</v>
      </c>
      <c r="FB724" s="67" t="s">
        <v>5815</v>
      </c>
      <c r="FC724" s="67" t="s">
        <v>5816</v>
      </c>
      <c r="FD724" s="67" t="s">
        <v>5817</v>
      </c>
      <c r="FE724" s="68" t="s">
        <v>5818</v>
      </c>
      <c r="FF724" s="68" t="s">
        <v>5819</v>
      </c>
    </row>
    <row r="725" spans="151:162" x14ac:dyDescent="0.2">
      <c r="EU725" s="67">
        <v>561.72</v>
      </c>
      <c r="EV725" s="67" t="s">
        <v>5820</v>
      </c>
      <c r="EW725" s="67">
        <v>482.57499999999999</v>
      </c>
      <c r="EX725" s="67" t="s">
        <v>5821</v>
      </c>
      <c r="EY725" s="67">
        <v>5634.53</v>
      </c>
      <c r="EZ725" s="67" t="s">
        <v>5822</v>
      </c>
      <c r="FA725" s="67">
        <v>19833.760999999999</v>
      </c>
      <c r="FB725" s="67" t="s">
        <v>5823</v>
      </c>
      <c r="FC725" s="67" t="s">
        <v>5824</v>
      </c>
      <c r="FD725" s="67" t="s">
        <v>5825</v>
      </c>
      <c r="FE725" s="68" t="s">
        <v>5826</v>
      </c>
      <c r="FF725" s="68" t="s">
        <v>5827</v>
      </c>
    </row>
    <row r="726" spans="151:162" x14ac:dyDescent="0.2">
      <c r="EU726" s="67">
        <v>561.58199999999999</v>
      </c>
      <c r="EV726" s="67" t="s">
        <v>5828</v>
      </c>
      <c r="EW726" s="67">
        <v>482.42</v>
      </c>
      <c r="EX726" s="67" t="s">
        <v>5829</v>
      </c>
      <c r="EY726" s="67">
        <v>5633.25</v>
      </c>
      <c r="EZ726" s="67" t="s">
        <v>5830</v>
      </c>
      <c r="FA726" s="67">
        <v>19828.268</v>
      </c>
      <c r="FB726" s="67" t="s">
        <v>5831</v>
      </c>
      <c r="FC726" s="67" t="s">
        <v>5832</v>
      </c>
      <c r="FD726" s="67" t="s">
        <v>5833</v>
      </c>
      <c r="FE726" s="68" t="s">
        <v>5834</v>
      </c>
      <c r="FF726" s="68" t="s">
        <v>5835</v>
      </c>
    </row>
    <row r="727" spans="151:162" x14ac:dyDescent="0.2">
      <c r="EU727" s="67">
        <v>561.66499999999996</v>
      </c>
      <c r="EV727" s="67" t="s">
        <v>5836</v>
      </c>
      <c r="EW727" s="67">
        <v>482.505</v>
      </c>
      <c r="EX727" s="67" t="s">
        <v>5837</v>
      </c>
      <c r="EY727" s="67">
        <v>5634.27</v>
      </c>
      <c r="EZ727" s="67" t="s">
        <v>5838</v>
      </c>
      <c r="FA727" s="67">
        <v>19833.812999999998</v>
      </c>
      <c r="FB727" s="67" t="s">
        <v>5839</v>
      </c>
      <c r="FC727" s="67" t="s">
        <v>5840</v>
      </c>
      <c r="FD727" s="67" t="s">
        <v>5841</v>
      </c>
      <c r="FE727" s="68" t="s">
        <v>5842</v>
      </c>
      <c r="FF727" s="68" t="s">
        <v>5843</v>
      </c>
    </row>
    <row r="728" spans="151:162" x14ac:dyDescent="0.2">
      <c r="EU728" s="67">
        <v>561.41</v>
      </c>
      <c r="EV728" s="67" t="s">
        <v>5844</v>
      </c>
      <c r="EW728" s="67">
        <v>482.22</v>
      </c>
      <c r="EX728" s="67" t="s">
        <v>5845</v>
      </c>
      <c r="EY728" s="67">
        <v>5631.9</v>
      </c>
      <c r="EZ728" s="67" t="s">
        <v>5846</v>
      </c>
      <c r="FA728" s="67">
        <v>19822.399000000001</v>
      </c>
      <c r="FB728" s="67" t="s">
        <v>5847</v>
      </c>
      <c r="FC728" s="67" t="s">
        <v>5848</v>
      </c>
      <c r="FD728" s="67" t="s">
        <v>5849</v>
      </c>
      <c r="FE728" s="68" t="s">
        <v>5850</v>
      </c>
      <c r="FF728" s="68" t="s">
        <v>5851</v>
      </c>
    </row>
    <row r="729" spans="151:162" x14ac:dyDescent="0.2">
      <c r="EU729" s="67">
        <v>561.452</v>
      </c>
      <c r="EV729" s="67" t="s">
        <v>5852</v>
      </c>
      <c r="EW729" s="67">
        <v>482.26</v>
      </c>
      <c r="EX729" s="67" t="s">
        <v>5853</v>
      </c>
      <c r="EY729" s="67">
        <v>5632.11</v>
      </c>
      <c r="EZ729" s="67" t="s">
        <v>5854</v>
      </c>
      <c r="FA729" s="67">
        <v>19823.969000000001</v>
      </c>
      <c r="FB729" s="67" t="s">
        <v>5855</v>
      </c>
      <c r="FC729" s="67" t="s">
        <v>5856</v>
      </c>
      <c r="FD729" s="67" t="s">
        <v>5857</v>
      </c>
      <c r="FE729" s="68" t="s">
        <v>5858</v>
      </c>
      <c r="FF729" s="68" t="s">
        <v>5859</v>
      </c>
    </row>
    <row r="730" spans="151:162" x14ac:dyDescent="0.2">
      <c r="EU730" s="67">
        <v>561.36</v>
      </c>
      <c r="EV730" s="67" t="s">
        <v>5860</v>
      </c>
      <c r="EW730" s="67">
        <v>482.13600000000002</v>
      </c>
      <c r="EX730" s="67" t="s">
        <v>5861</v>
      </c>
      <c r="EY730" s="67">
        <v>5631.09</v>
      </c>
      <c r="EZ730" s="67" t="s">
        <v>5862</v>
      </c>
      <c r="FA730" s="67">
        <v>19818.851999999999</v>
      </c>
      <c r="FB730" s="67" t="s">
        <v>5863</v>
      </c>
      <c r="FC730" s="67" t="s">
        <v>5864</v>
      </c>
      <c r="FD730" s="67" t="s">
        <v>5865</v>
      </c>
      <c r="FE730" s="68" t="s">
        <v>5866</v>
      </c>
      <c r="FF730" s="68" t="s">
        <v>5867</v>
      </c>
    </row>
    <row r="731" spans="151:162" x14ac:dyDescent="0.2">
      <c r="EU731" s="67">
        <v>561.03</v>
      </c>
      <c r="EV731" s="67" t="s">
        <v>5868</v>
      </c>
      <c r="EW731" s="67">
        <v>481.79</v>
      </c>
      <c r="EX731" s="67" t="s">
        <v>5869</v>
      </c>
      <c r="EY731" s="67">
        <v>5628.11</v>
      </c>
      <c r="EZ731" s="67" t="s">
        <v>5870</v>
      </c>
      <c r="FA731" s="67">
        <v>19806.236000000001</v>
      </c>
      <c r="FB731" s="67" t="s">
        <v>5871</v>
      </c>
      <c r="FC731" s="67" t="s">
        <v>5872</v>
      </c>
      <c r="FD731" s="67" t="s">
        <v>5873</v>
      </c>
      <c r="FE731" s="68" t="s">
        <v>5874</v>
      </c>
      <c r="FF731" s="68" t="s">
        <v>5875</v>
      </c>
    </row>
    <row r="732" spans="151:162" x14ac:dyDescent="0.2">
      <c r="EU732" s="67">
        <v>561</v>
      </c>
      <c r="EV732" s="67" t="s">
        <v>5876</v>
      </c>
      <c r="EW732" s="67">
        <v>481.74</v>
      </c>
      <c r="EX732" s="67" t="s">
        <v>5877</v>
      </c>
      <c r="EY732" s="67">
        <v>5627.18</v>
      </c>
      <c r="EZ732" s="67" t="s">
        <v>5878</v>
      </c>
      <c r="FA732" s="67">
        <v>19802.957999999999</v>
      </c>
      <c r="FB732" s="67" t="s">
        <v>5879</v>
      </c>
      <c r="FC732" s="67" t="s">
        <v>5880</v>
      </c>
      <c r="FD732" s="67" t="s">
        <v>5881</v>
      </c>
      <c r="FE732" s="68" t="s">
        <v>5882</v>
      </c>
      <c r="FF732" s="68" t="s">
        <v>5883</v>
      </c>
    </row>
    <row r="733" spans="151:162" x14ac:dyDescent="0.2">
      <c r="EU733" s="67">
        <v>561.16</v>
      </c>
      <c r="EV733" s="67" t="s">
        <v>5884</v>
      </c>
      <c r="EW733" s="67">
        <v>481.94</v>
      </c>
      <c r="EX733" s="67" t="s">
        <v>5885</v>
      </c>
      <c r="EY733" s="67">
        <v>5628.36</v>
      </c>
      <c r="EZ733" s="67" t="s">
        <v>5886</v>
      </c>
      <c r="FA733" s="67">
        <v>19806.444</v>
      </c>
      <c r="FB733" s="67" t="s">
        <v>5887</v>
      </c>
      <c r="FC733" s="67" t="s">
        <v>5888</v>
      </c>
      <c r="FD733" s="67" t="s">
        <v>5889</v>
      </c>
      <c r="FE733" s="68" t="s">
        <v>5890</v>
      </c>
      <c r="FF733" s="68" t="s">
        <v>5891</v>
      </c>
    </row>
    <row r="734" spans="151:162" x14ac:dyDescent="0.2">
      <c r="EU734" s="67">
        <v>561.42600000000004</v>
      </c>
      <c r="EV734" s="67" t="s">
        <v>5892</v>
      </c>
      <c r="EW734" s="67">
        <v>482.16</v>
      </c>
      <c r="EX734" s="67" t="s">
        <v>5893</v>
      </c>
      <c r="EY734" s="67">
        <v>5630.94</v>
      </c>
      <c r="EZ734" s="67" t="s">
        <v>5894</v>
      </c>
      <c r="FA734" s="67">
        <v>19814.392</v>
      </c>
      <c r="FB734" s="67" t="s">
        <v>5895</v>
      </c>
      <c r="FC734" s="67" t="s">
        <v>5896</v>
      </c>
      <c r="FD734" s="67" t="s">
        <v>5897</v>
      </c>
      <c r="FE734" s="68" t="s">
        <v>5898</v>
      </c>
      <c r="FF734" s="68" t="s">
        <v>5899</v>
      </c>
    </row>
    <row r="735" spans="151:162" x14ac:dyDescent="0.2">
      <c r="EU735" s="67">
        <v>561.59</v>
      </c>
      <c r="EV735" s="67" t="s">
        <v>5900</v>
      </c>
      <c r="EW735" s="67">
        <v>482.34</v>
      </c>
      <c r="EX735" s="67" t="s">
        <v>5901</v>
      </c>
      <c r="EY735" s="67">
        <v>5632.94</v>
      </c>
      <c r="EZ735" s="67" t="s">
        <v>5902</v>
      </c>
      <c r="FA735" s="67">
        <v>19822.406999999999</v>
      </c>
      <c r="FB735" s="67" t="s">
        <v>5903</v>
      </c>
      <c r="FC735" s="67" t="s">
        <v>5904</v>
      </c>
      <c r="FD735" s="67" t="s">
        <v>5905</v>
      </c>
      <c r="FE735" s="68" t="s">
        <v>5906</v>
      </c>
      <c r="FF735" s="68" t="s">
        <v>5907</v>
      </c>
    </row>
    <row r="736" spans="151:162" x14ac:dyDescent="0.2">
      <c r="EU736" s="67">
        <v>561.51</v>
      </c>
      <c r="EV736" s="67" t="s">
        <v>5908</v>
      </c>
      <c r="EW736" s="67">
        <v>482.29</v>
      </c>
      <c r="EX736" s="67" t="s">
        <v>5909</v>
      </c>
      <c r="EY736" s="67">
        <v>5632.73</v>
      </c>
      <c r="EZ736" s="67" t="s">
        <v>5910</v>
      </c>
      <c r="FA736" s="67">
        <v>19822.5</v>
      </c>
      <c r="FB736" s="67" t="s">
        <v>5911</v>
      </c>
      <c r="FC736" s="67" t="s">
        <v>5912</v>
      </c>
      <c r="FD736" s="67" t="s">
        <v>5913</v>
      </c>
      <c r="FE736" s="68" t="s">
        <v>5914</v>
      </c>
      <c r="FF736" s="68" t="s">
        <v>5915</v>
      </c>
    </row>
    <row r="737" spans="151:162" x14ac:dyDescent="0.2">
      <c r="EU737" s="67">
        <v>561.37</v>
      </c>
      <c r="EV737" s="67" t="s">
        <v>5916</v>
      </c>
      <c r="EW737" s="67">
        <v>482.15</v>
      </c>
      <c r="EX737" s="67" t="s">
        <v>5917</v>
      </c>
      <c r="EY737" s="67">
        <v>5631.01</v>
      </c>
      <c r="EZ737" s="67" t="s">
        <v>5918</v>
      </c>
      <c r="FA737" s="67">
        <v>19818.455000000002</v>
      </c>
      <c r="FB737" s="67" t="s">
        <v>5919</v>
      </c>
      <c r="FC737" s="67" t="s">
        <v>5920</v>
      </c>
      <c r="FD737" s="67" t="s">
        <v>5921</v>
      </c>
      <c r="FE737" s="68" t="s">
        <v>5922</v>
      </c>
      <c r="FF737" s="68" t="s">
        <v>5923</v>
      </c>
    </row>
    <row r="738" spans="151:162" x14ac:dyDescent="0.2">
      <c r="EU738" s="67">
        <v>561.39099999999996</v>
      </c>
      <c r="EV738" s="67" t="s">
        <v>5924</v>
      </c>
      <c r="EW738" s="67">
        <v>482.255</v>
      </c>
      <c r="EX738" s="67" t="s">
        <v>5925</v>
      </c>
      <c r="EY738" s="67">
        <v>5631.42</v>
      </c>
      <c r="EZ738" s="67" t="s">
        <v>5926</v>
      </c>
      <c r="FA738" s="67">
        <v>19821.776999999998</v>
      </c>
      <c r="FB738" s="67" t="s">
        <v>5927</v>
      </c>
      <c r="FC738" s="67" t="s">
        <v>5928</v>
      </c>
      <c r="FD738" s="67" t="s">
        <v>5929</v>
      </c>
      <c r="FE738" s="68" t="s">
        <v>5930</v>
      </c>
      <c r="FF738" s="68" t="s">
        <v>5931</v>
      </c>
    </row>
    <row r="739" spans="151:162" x14ac:dyDescent="0.2">
      <c r="EU739" s="67">
        <v>561.27</v>
      </c>
      <c r="EV739" s="67" t="s">
        <v>5932</v>
      </c>
      <c r="EW739" s="67">
        <v>482.07</v>
      </c>
      <c r="EX739" s="67" t="s">
        <v>5933</v>
      </c>
      <c r="EY739" s="67">
        <v>5630.43</v>
      </c>
      <c r="EZ739" s="67" t="s">
        <v>5934</v>
      </c>
      <c r="FA739" s="67">
        <v>19816.788</v>
      </c>
      <c r="FB739" s="67" t="s">
        <v>5935</v>
      </c>
      <c r="FC739" s="67" t="s">
        <v>5936</v>
      </c>
      <c r="FD739" s="67" t="s">
        <v>5937</v>
      </c>
      <c r="FE739" s="68" t="s">
        <v>5938</v>
      </c>
      <c r="FF739" s="68" t="s">
        <v>5939</v>
      </c>
    </row>
    <row r="740" spans="151:162" x14ac:dyDescent="0.2">
      <c r="EU740" s="67">
        <v>561.37</v>
      </c>
      <c r="EV740" s="67" t="s">
        <v>5940</v>
      </c>
      <c r="EW740" s="67">
        <v>482.23</v>
      </c>
      <c r="EX740" s="67" t="s">
        <v>5941</v>
      </c>
      <c r="EY740" s="67">
        <v>5631.25</v>
      </c>
      <c r="EZ740" s="67" t="s">
        <v>5942</v>
      </c>
      <c r="FA740" s="67">
        <v>19819.482</v>
      </c>
      <c r="FB740" s="67" t="s">
        <v>5943</v>
      </c>
      <c r="FC740" s="67" t="s">
        <v>5944</v>
      </c>
      <c r="FD740" s="67" t="s">
        <v>5945</v>
      </c>
      <c r="FE740" s="68" t="s">
        <v>5946</v>
      </c>
      <c r="FF740" s="68" t="s">
        <v>5947</v>
      </c>
    </row>
    <row r="741" spans="151:162" x14ac:dyDescent="0.2">
      <c r="EU741" s="67">
        <v>561.32000000000005</v>
      </c>
      <c r="EV741" s="67" t="s">
        <v>5948</v>
      </c>
      <c r="EW741" s="67">
        <v>482.18</v>
      </c>
      <c r="EX741" s="67" t="s">
        <v>5949</v>
      </c>
      <c r="EY741" s="67">
        <v>5630.68</v>
      </c>
      <c r="EZ741" s="67" t="s">
        <v>5950</v>
      </c>
      <c r="FA741" s="67">
        <v>19819.184000000001</v>
      </c>
      <c r="FB741" s="67" t="s">
        <v>5951</v>
      </c>
      <c r="FC741" s="67" t="s">
        <v>5952</v>
      </c>
      <c r="FD741" s="67" t="s">
        <v>5953</v>
      </c>
      <c r="FE741" s="68" t="s">
        <v>5954</v>
      </c>
      <c r="FF741" s="68" t="s">
        <v>5955</v>
      </c>
    </row>
    <row r="742" spans="151:162" x14ac:dyDescent="0.2">
      <c r="EU742" s="67">
        <v>561.24</v>
      </c>
      <c r="EV742" s="67" t="s">
        <v>5956</v>
      </c>
      <c r="EW742" s="67">
        <v>482.09</v>
      </c>
      <c r="EX742" s="67" t="s">
        <v>5957</v>
      </c>
      <c r="EY742" s="67">
        <v>5629.66</v>
      </c>
      <c r="EZ742" s="67" t="s">
        <v>5958</v>
      </c>
      <c r="FA742" s="67">
        <v>19816.080000000002</v>
      </c>
      <c r="FB742" s="67" t="s">
        <v>5959</v>
      </c>
      <c r="FC742" s="67" t="s">
        <v>5960</v>
      </c>
      <c r="FD742" s="67" t="s">
        <v>5961</v>
      </c>
      <c r="FE742" s="68" t="s">
        <v>5962</v>
      </c>
      <c r="FF742" s="68" t="s">
        <v>5963</v>
      </c>
    </row>
    <row r="743" spans="151:162" x14ac:dyDescent="0.2">
      <c r="EU743" s="67">
        <v>560.99099999999999</v>
      </c>
      <c r="EV743" s="67" t="s">
        <v>5964</v>
      </c>
      <c r="EW743" s="67">
        <v>481.9</v>
      </c>
      <c r="EX743" s="67" t="s">
        <v>5965</v>
      </c>
      <c r="EY743" s="67">
        <v>5627.23</v>
      </c>
      <c r="EZ743" s="67" t="s">
        <v>5966</v>
      </c>
      <c r="FA743" s="67">
        <v>19808.728999999999</v>
      </c>
      <c r="FB743" s="67" t="s">
        <v>5967</v>
      </c>
      <c r="FC743" s="67" t="s">
        <v>5968</v>
      </c>
      <c r="FD743" s="67" t="s">
        <v>5969</v>
      </c>
      <c r="FE743" s="68" t="s">
        <v>5970</v>
      </c>
      <c r="FF743" s="68" t="s">
        <v>5971</v>
      </c>
    </row>
    <row r="744" spans="151:162" x14ac:dyDescent="0.2">
      <c r="EU744" s="67">
        <v>560.98</v>
      </c>
      <c r="EV744" s="67" t="s">
        <v>5972</v>
      </c>
      <c r="EW744" s="67">
        <v>481.87</v>
      </c>
      <c r="EX744" s="67" t="s">
        <v>5973</v>
      </c>
      <c r="EY744" s="67">
        <v>5627.04</v>
      </c>
      <c r="EZ744" s="67" t="s">
        <v>5974</v>
      </c>
      <c r="FA744" s="67">
        <v>19808.501</v>
      </c>
      <c r="FB744" s="67" t="s">
        <v>5975</v>
      </c>
      <c r="FC744" s="67" t="s">
        <v>5976</v>
      </c>
      <c r="FD744" s="67" t="s">
        <v>5977</v>
      </c>
      <c r="FE744" s="68" t="s">
        <v>5978</v>
      </c>
      <c r="FF744" s="68" t="s">
        <v>5979</v>
      </c>
    </row>
    <row r="745" spans="151:162" x14ac:dyDescent="0.2">
      <c r="EU745" s="67">
        <v>560.70100000000002</v>
      </c>
      <c r="EV745" s="67" t="s">
        <v>5980</v>
      </c>
      <c r="EW745" s="67">
        <v>481.685</v>
      </c>
      <c r="EX745" s="67" t="s">
        <v>5981</v>
      </c>
      <c r="EY745" s="67">
        <v>5624.64</v>
      </c>
      <c r="EZ745" s="67" t="s">
        <v>5982</v>
      </c>
      <c r="FA745" s="67">
        <v>19801.098000000002</v>
      </c>
      <c r="FB745" s="67" t="s">
        <v>5983</v>
      </c>
      <c r="FC745" s="67" t="s">
        <v>5984</v>
      </c>
      <c r="FD745" s="67" t="s">
        <v>5985</v>
      </c>
      <c r="FE745" s="68" t="s">
        <v>5986</v>
      </c>
      <c r="FF745" s="68" t="s">
        <v>5987</v>
      </c>
    </row>
    <row r="746" spans="151:162" x14ac:dyDescent="0.2">
      <c r="EU746" s="67">
        <v>560.35</v>
      </c>
      <c r="EV746" s="67" t="s">
        <v>5988</v>
      </c>
      <c r="EW746" s="67">
        <v>481.3</v>
      </c>
      <c r="EX746" s="67" t="s">
        <v>5989</v>
      </c>
      <c r="EY746" s="67">
        <v>5621.08</v>
      </c>
      <c r="EZ746" s="67" t="s">
        <v>5990</v>
      </c>
      <c r="FA746" s="67">
        <v>19786.373</v>
      </c>
      <c r="FB746" s="67" t="s">
        <v>5991</v>
      </c>
      <c r="FC746" s="67" t="s">
        <v>5992</v>
      </c>
      <c r="FD746" s="67" t="s">
        <v>5993</v>
      </c>
      <c r="FE746" s="68" t="s">
        <v>5994</v>
      </c>
      <c r="FF746" s="68" t="s">
        <v>5995</v>
      </c>
    </row>
    <row r="747" spans="151:162" x14ac:dyDescent="0.2">
      <c r="EU747" s="67">
        <v>560.28</v>
      </c>
      <c r="EV747" s="67" t="s">
        <v>5996</v>
      </c>
      <c r="EW747" s="67">
        <v>481.185</v>
      </c>
      <c r="EX747" s="67" t="s">
        <v>5997</v>
      </c>
      <c r="EY747" s="67">
        <v>5620.32</v>
      </c>
      <c r="EZ747" s="67" t="s">
        <v>5998</v>
      </c>
      <c r="FA747" s="67">
        <v>19781.673999999999</v>
      </c>
      <c r="FB747" s="67" t="s">
        <v>5999</v>
      </c>
      <c r="FC747" s="67" t="s">
        <v>6000</v>
      </c>
      <c r="FD747" s="67" t="s">
        <v>6001</v>
      </c>
      <c r="FE747" s="68" t="s">
        <v>6002</v>
      </c>
      <c r="FF747" s="68" t="s">
        <v>6003</v>
      </c>
    </row>
    <row r="748" spans="151:162" x14ac:dyDescent="0.2">
      <c r="EU748" s="67">
        <v>560.27499999999998</v>
      </c>
      <c r="EV748" s="67" t="s">
        <v>6004</v>
      </c>
      <c r="EW748" s="67">
        <v>481.19</v>
      </c>
      <c r="EX748" s="67" t="s">
        <v>6005</v>
      </c>
      <c r="EY748" s="67">
        <v>5619.72</v>
      </c>
      <c r="EZ748" s="67" t="s">
        <v>6006</v>
      </c>
      <c r="FA748" s="67">
        <v>19779.242999999999</v>
      </c>
      <c r="FB748" s="67" t="s">
        <v>6007</v>
      </c>
      <c r="FC748" s="67" t="s">
        <v>6008</v>
      </c>
      <c r="FD748" s="67" t="s">
        <v>6009</v>
      </c>
      <c r="FE748" s="68" t="s">
        <v>6010</v>
      </c>
      <c r="FF748" s="68" t="s">
        <v>6011</v>
      </c>
    </row>
    <row r="749" spans="151:162" x14ac:dyDescent="0.2">
      <c r="EU749" s="67">
        <v>560.38</v>
      </c>
      <c r="EV749" s="67" t="s">
        <v>6012</v>
      </c>
      <c r="EW749" s="67">
        <v>481.31</v>
      </c>
      <c r="EX749" s="67" t="s">
        <v>6013</v>
      </c>
      <c r="EY749" s="67">
        <v>5620.71</v>
      </c>
      <c r="EZ749" s="67" t="s">
        <v>6014</v>
      </c>
      <c r="FA749" s="67">
        <v>19783.832999999999</v>
      </c>
      <c r="FB749" s="67" t="s">
        <v>6015</v>
      </c>
      <c r="FC749" s="67" t="s">
        <v>6016</v>
      </c>
      <c r="FD749" s="67" t="s">
        <v>6017</v>
      </c>
      <c r="FE749" s="68" t="s">
        <v>6018</v>
      </c>
      <c r="FF749" s="68" t="s">
        <v>6019</v>
      </c>
    </row>
    <row r="750" spans="151:162" x14ac:dyDescent="0.2">
      <c r="EU750" s="67">
        <v>560.20000000000005</v>
      </c>
      <c r="EV750" s="67" t="s">
        <v>6020</v>
      </c>
      <c r="EW750" s="67">
        <v>481.14</v>
      </c>
      <c r="EX750" s="67" t="s">
        <v>6021</v>
      </c>
      <c r="EY750" s="67">
        <v>5619.72</v>
      </c>
      <c r="EZ750" s="67" t="s">
        <v>6022</v>
      </c>
      <c r="FA750" s="67">
        <v>19778.5</v>
      </c>
      <c r="FB750" s="67" t="s">
        <v>6023</v>
      </c>
      <c r="FC750" s="67" t="s">
        <v>6024</v>
      </c>
      <c r="FD750" s="67" t="s">
        <v>6025</v>
      </c>
      <c r="FE750" s="68" t="s">
        <v>6026</v>
      </c>
      <c r="FF750" s="68" t="s">
        <v>6027</v>
      </c>
    </row>
    <row r="751" spans="151:162" x14ac:dyDescent="0.2">
      <c r="EU751" s="67">
        <v>560.33000000000004</v>
      </c>
      <c r="EV751" s="67" t="s">
        <v>6028</v>
      </c>
      <c r="EW751" s="67">
        <v>481.25</v>
      </c>
      <c r="EX751" s="67" t="s">
        <v>6029</v>
      </c>
      <c r="EY751" s="67">
        <v>5620.85</v>
      </c>
      <c r="EZ751" s="67" t="s">
        <v>6030</v>
      </c>
      <c r="FA751" s="67">
        <v>19783.55</v>
      </c>
      <c r="FB751" s="67" t="s">
        <v>6031</v>
      </c>
      <c r="FC751" s="67" t="s">
        <v>6032</v>
      </c>
      <c r="FD751" s="67" t="s">
        <v>6033</v>
      </c>
      <c r="FE751" s="68" t="s">
        <v>6034</v>
      </c>
      <c r="FF751" s="68" t="s">
        <v>6035</v>
      </c>
    </row>
    <row r="752" spans="151:162" x14ac:dyDescent="0.2">
      <c r="EU752" s="67">
        <v>560.52</v>
      </c>
      <c r="EV752" s="67" t="s">
        <v>6036</v>
      </c>
      <c r="EW752" s="67">
        <v>481.46</v>
      </c>
      <c r="EX752" s="67" t="s">
        <v>6037</v>
      </c>
      <c r="EY752" s="67">
        <v>5621.93</v>
      </c>
      <c r="EZ752" s="67" t="s">
        <v>6038</v>
      </c>
      <c r="FA752" s="67">
        <v>19786.805</v>
      </c>
      <c r="FB752" s="67" t="s">
        <v>6039</v>
      </c>
      <c r="FC752" s="67" t="s">
        <v>6040</v>
      </c>
      <c r="FD752" s="67" t="s">
        <v>6041</v>
      </c>
      <c r="FE752" s="68" t="s">
        <v>6042</v>
      </c>
      <c r="FF752" s="68" t="s">
        <v>6043</v>
      </c>
    </row>
    <row r="753" spans="151:162" x14ac:dyDescent="0.2">
      <c r="EU753" s="67">
        <v>560.49</v>
      </c>
      <c r="EV753" s="67" t="s">
        <v>6044</v>
      </c>
      <c r="EW753" s="67">
        <v>481.34</v>
      </c>
      <c r="EX753" s="67" t="s">
        <v>6045</v>
      </c>
      <c r="EY753" s="67">
        <v>5622.25</v>
      </c>
      <c r="EZ753" s="67" t="s">
        <v>6046</v>
      </c>
      <c r="FA753" s="67">
        <v>19786.68</v>
      </c>
      <c r="FB753" s="67" t="s">
        <v>6047</v>
      </c>
      <c r="FC753" s="67" t="s">
        <v>6048</v>
      </c>
      <c r="FD753" s="67" t="s">
        <v>6049</v>
      </c>
      <c r="FE753" s="68" t="s">
        <v>6050</v>
      </c>
      <c r="FF753" s="68" t="s">
        <v>6051</v>
      </c>
    </row>
    <row r="754" spans="151:162" x14ac:dyDescent="0.2">
      <c r="EU754" s="67">
        <v>560.25</v>
      </c>
      <c r="EV754" s="67" t="s">
        <v>6052</v>
      </c>
      <c r="EW754" s="67">
        <v>481.1</v>
      </c>
      <c r="EX754" s="67" t="s">
        <v>6053</v>
      </c>
      <c r="EY754" s="67">
        <v>5619.69</v>
      </c>
      <c r="EZ754" s="67" t="s">
        <v>6054</v>
      </c>
      <c r="FA754" s="67">
        <v>19778.047999999999</v>
      </c>
      <c r="FB754" s="67" t="s">
        <v>6055</v>
      </c>
      <c r="FC754" s="67" t="s">
        <v>6056</v>
      </c>
      <c r="FD754" s="67" t="s">
        <v>6057</v>
      </c>
      <c r="FE754" s="68" t="s">
        <v>6058</v>
      </c>
      <c r="FF754" s="68" t="s">
        <v>6059</v>
      </c>
    </row>
    <row r="755" spans="151:162" x14ac:dyDescent="0.2">
      <c r="EU755" s="67">
        <v>560.32000000000005</v>
      </c>
      <c r="EV755" s="67" t="s">
        <v>6060</v>
      </c>
      <c r="EW755" s="67">
        <v>481.2</v>
      </c>
      <c r="EX755" s="67" t="s">
        <v>6061</v>
      </c>
      <c r="EY755" s="67">
        <v>5620.34</v>
      </c>
      <c r="EZ755" s="67" t="s">
        <v>6062</v>
      </c>
      <c r="FA755" s="67">
        <v>19779.848000000002</v>
      </c>
      <c r="FB755" s="67" t="s">
        <v>6063</v>
      </c>
      <c r="FC755" s="67" t="s">
        <v>6064</v>
      </c>
      <c r="FD755" s="67" t="s">
        <v>6065</v>
      </c>
      <c r="FE755" s="68" t="s">
        <v>6066</v>
      </c>
      <c r="FF755" s="68" t="s">
        <v>6067</v>
      </c>
    </row>
    <row r="756" spans="151:162" x14ac:dyDescent="0.2">
      <c r="EU756" s="67">
        <v>560.62</v>
      </c>
      <c r="EV756" s="67" t="s">
        <v>6068</v>
      </c>
      <c r="EW756" s="67">
        <v>481.53</v>
      </c>
      <c r="EX756" s="67" t="s">
        <v>6069</v>
      </c>
      <c r="EY756" s="67">
        <v>5622.91</v>
      </c>
      <c r="EZ756" s="67" t="s">
        <v>6070</v>
      </c>
      <c r="FA756" s="67">
        <v>19790.924999999999</v>
      </c>
      <c r="FB756" s="67" t="s">
        <v>6071</v>
      </c>
      <c r="FC756" s="67" t="s">
        <v>6072</v>
      </c>
      <c r="FD756" s="67" t="s">
        <v>6073</v>
      </c>
      <c r="FE756" s="68" t="s">
        <v>6074</v>
      </c>
      <c r="FF756" s="68" t="s">
        <v>6075</v>
      </c>
    </row>
    <row r="757" spans="151:162" x14ac:dyDescent="0.2">
      <c r="EU757" s="67">
        <v>560.61</v>
      </c>
      <c r="EV757" s="67" t="s">
        <v>6076</v>
      </c>
      <c r="EW757" s="67">
        <v>481.51</v>
      </c>
      <c r="EX757" s="67" t="s">
        <v>6077</v>
      </c>
      <c r="EY757" s="67">
        <v>5623.08</v>
      </c>
      <c r="EZ757" s="67" t="s">
        <v>6078</v>
      </c>
      <c r="FA757" s="67">
        <v>19791.848000000002</v>
      </c>
      <c r="FB757" s="67" t="s">
        <v>6079</v>
      </c>
      <c r="FC757" s="67" t="s">
        <v>6080</v>
      </c>
      <c r="FD757" s="67" t="s">
        <v>6081</v>
      </c>
      <c r="FE757" s="68" t="s">
        <v>6082</v>
      </c>
      <c r="FF757" s="68" t="s">
        <v>6083</v>
      </c>
    </row>
    <row r="758" spans="151:162" x14ac:dyDescent="0.2">
      <c r="EU758" s="67">
        <v>560.6</v>
      </c>
      <c r="EV758" s="67" t="s">
        <v>6084</v>
      </c>
      <c r="EW758" s="67">
        <v>481.52</v>
      </c>
      <c r="EX758" s="67" t="s">
        <v>6085</v>
      </c>
      <c r="EY758" s="67">
        <v>5623.22</v>
      </c>
      <c r="EZ758" s="67" t="s">
        <v>6086</v>
      </c>
      <c r="FA758" s="67">
        <v>19793.13</v>
      </c>
      <c r="FB758" s="67" t="s">
        <v>6087</v>
      </c>
      <c r="FC758" s="67" t="s">
        <v>6088</v>
      </c>
      <c r="FD758" s="67" t="s">
        <v>6089</v>
      </c>
      <c r="FE758" s="68" t="s">
        <v>6090</v>
      </c>
      <c r="FF758" s="68" t="s">
        <v>6091</v>
      </c>
    </row>
    <row r="759" spans="151:162" x14ac:dyDescent="0.2">
      <c r="EU759" s="67">
        <v>560.64</v>
      </c>
      <c r="EV759" s="67" t="s">
        <v>6092</v>
      </c>
      <c r="EW759" s="67">
        <v>481.54</v>
      </c>
      <c r="EX759" s="67" t="s">
        <v>6093</v>
      </c>
      <c r="EY759" s="67">
        <v>5623.74</v>
      </c>
      <c r="EZ759" s="67" t="s">
        <v>6094</v>
      </c>
      <c r="FA759" s="67">
        <v>19794.163</v>
      </c>
      <c r="FB759" s="67" t="s">
        <v>6095</v>
      </c>
      <c r="FC759" s="67" t="s">
        <v>6096</v>
      </c>
      <c r="FD759" s="67" t="s">
        <v>6097</v>
      </c>
      <c r="FE759" s="68" t="s">
        <v>6098</v>
      </c>
      <c r="FF759" s="68" t="s">
        <v>6099</v>
      </c>
    </row>
    <row r="760" spans="151:162" x14ac:dyDescent="0.2">
      <c r="EU760" s="67">
        <v>560.51</v>
      </c>
      <c r="EV760" s="67" t="s">
        <v>6100</v>
      </c>
      <c r="EW760" s="67">
        <v>481.45800000000003</v>
      </c>
      <c r="EX760" s="67" t="s">
        <v>6101</v>
      </c>
      <c r="EY760" s="67">
        <v>5622.16</v>
      </c>
      <c r="EZ760" s="67" t="s">
        <v>6102</v>
      </c>
      <c r="FA760" s="67">
        <v>19790.082999999999</v>
      </c>
      <c r="FB760" s="67" t="s">
        <v>6103</v>
      </c>
      <c r="FC760" s="67" t="s">
        <v>6104</v>
      </c>
      <c r="FD760" s="67" t="s">
        <v>6105</v>
      </c>
      <c r="FE760" s="68" t="s">
        <v>6106</v>
      </c>
      <c r="FF760" s="68" t="s">
        <v>6107</v>
      </c>
    </row>
    <row r="761" spans="151:162" x14ac:dyDescent="0.2">
      <c r="EU761" s="67">
        <v>559.58000000000004</v>
      </c>
      <c r="EV761" s="67" t="s">
        <v>6108</v>
      </c>
      <c r="EW761" s="67">
        <v>480.58</v>
      </c>
      <c r="EX761" s="67" t="s">
        <v>6109</v>
      </c>
      <c r="EY761" s="67">
        <v>5614.16</v>
      </c>
      <c r="EZ761" s="67" t="s">
        <v>6110</v>
      </c>
      <c r="FA761" s="67">
        <v>19761.150000000001</v>
      </c>
      <c r="FB761" s="67" t="s">
        <v>6111</v>
      </c>
      <c r="FC761" s="67" t="s">
        <v>6112</v>
      </c>
      <c r="FD761" s="67" t="s">
        <v>6113</v>
      </c>
      <c r="FE761" s="68" t="s">
        <v>6114</v>
      </c>
      <c r="FF761" s="68" t="s">
        <v>6115</v>
      </c>
    </row>
    <row r="762" spans="151:162" x14ac:dyDescent="0.2">
      <c r="EU762" s="67">
        <v>559.17999999999995</v>
      </c>
      <c r="EV762" s="67" t="s">
        <v>6116</v>
      </c>
      <c r="EW762" s="67">
        <v>480.18200000000002</v>
      </c>
      <c r="EX762" s="67" t="s">
        <v>6117</v>
      </c>
      <c r="EY762" s="67">
        <v>5608.89</v>
      </c>
      <c r="EZ762" s="67" t="s">
        <v>6118</v>
      </c>
      <c r="FA762" s="67">
        <v>19740.289000000001</v>
      </c>
      <c r="FB762" s="67" t="s">
        <v>6119</v>
      </c>
      <c r="FC762" s="67" t="s">
        <v>6120</v>
      </c>
      <c r="FD762" s="67" t="s">
        <v>6121</v>
      </c>
      <c r="FE762" s="68" t="s">
        <v>6122</v>
      </c>
      <c r="FF762" s="68" t="s">
        <v>6123</v>
      </c>
    </row>
    <row r="763" spans="151:162" x14ac:dyDescent="0.2">
      <c r="EU763" s="67">
        <v>559.20000000000005</v>
      </c>
      <c r="EV763" s="67" t="s">
        <v>6124</v>
      </c>
      <c r="EW763" s="67">
        <v>480.17</v>
      </c>
      <c r="EX763" s="67" t="s">
        <v>6125</v>
      </c>
      <c r="EY763" s="67">
        <v>5609.03</v>
      </c>
      <c r="EZ763" s="67" t="s">
        <v>6126</v>
      </c>
      <c r="FA763" s="67">
        <v>19740.826000000001</v>
      </c>
      <c r="FB763" s="67" t="s">
        <v>6127</v>
      </c>
      <c r="FC763" s="67" t="s">
        <v>6128</v>
      </c>
      <c r="FD763" s="67" t="s">
        <v>6129</v>
      </c>
      <c r="FE763" s="68" t="s">
        <v>6130</v>
      </c>
      <c r="FF763" s="68" t="s">
        <v>6131</v>
      </c>
    </row>
    <row r="764" spans="151:162" x14ac:dyDescent="0.2">
      <c r="EU764" s="67">
        <v>558.91999999999996</v>
      </c>
      <c r="EV764" s="67" t="s">
        <v>6132</v>
      </c>
      <c r="EW764" s="67">
        <v>479.90300000000002</v>
      </c>
      <c r="EX764" s="67" t="s">
        <v>6133</v>
      </c>
      <c r="EY764" s="67">
        <v>5607.14</v>
      </c>
      <c r="EZ764" s="67" t="s">
        <v>6134</v>
      </c>
      <c r="FA764" s="67">
        <v>19730.831999999999</v>
      </c>
      <c r="FB764" s="67" t="s">
        <v>6135</v>
      </c>
      <c r="FC764" s="67" t="s">
        <v>6136</v>
      </c>
      <c r="FD764" s="67" t="s">
        <v>6137</v>
      </c>
      <c r="FE764" s="68" t="s">
        <v>6138</v>
      </c>
      <c r="FF764" s="68" t="s">
        <v>6139</v>
      </c>
    </row>
    <row r="765" spans="151:162" x14ac:dyDescent="0.2">
      <c r="EU765" s="67">
        <v>559.30999999999995</v>
      </c>
      <c r="EV765" s="67" t="s">
        <v>6140</v>
      </c>
      <c r="EW765" s="67">
        <v>480.18700000000001</v>
      </c>
      <c r="EX765" s="67" t="s">
        <v>6141</v>
      </c>
      <c r="EY765" s="67">
        <v>5608.93</v>
      </c>
      <c r="EZ765" s="67" t="s">
        <v>6142</v>
      </c>
      <c r="FA765" s="67">
        <v>19737.567999999999</v>
      </c>
      <c r="FB765" s="67" t="s">
        <v>6143</v>
      </c>
      <c r="FC765" s="67" t="s">
        <v>6144</v>
      </c>
      <c r="FD765" s="67" t="s">
        <v>6145</v>
      </c>
      <c r="FE765" s="68" t="s">
        <v>6146</v>
      </c>
      <c r="FF765" s="68" t="s">
        <v>6147</v>
      </c>
    </row>
    <row r="766" spans="151:162" x14ac:dyDescent="0.2">
      <c r="EU766" s="67">
        <v>559.23</v>
      </c>
      <c r="EV766" s="67" t="s">
        <v>6148</v>
      </c>
      <c r="EW766" s="67">
        <v>480.13</v>
      </c>
      <c r="EX766" s="67" t="s">
        <v>6149</v>
      </c>
      <c r="EY766" s="67">
        <v>5608.76</v>
      </c>
      <c r="EZ766" s="67" t="s">
        <v>6150</v>
      </c>
      <c r="FA766" s="67">
        <v>19736.433000000001</v>
      </c>
      <c r="FB766" s="67" t="s">
        <v>6151</v>
      </c>
      <c r="FC766" s="67" t="s">
        <v>6152</v>
      </c>
      <c r="FD766" s="67" t="s">
        <v>6153</v>
      </c>
      <c r="FE766" s="68" t="s">
        <v>6154</v>
      </c>
      <c r="FF766" s="68" t="s">
        <v>6155</v>
      </c>
    </row>
    <row r="767" spans="151:162" x14ac:dyDescent="0.2">
      <c r="EU767" s="67">
        <v>559.529</v>
      </c>
      <c r="EV767" s="67" t="s">
        <v>6156</v>
      </c>
      <c r="EW767" s="67">
        <v>480.37</v>
      </c>
      <c r="EX767" s="67" t="s">
        <v>6157</v>
      </c>
      <c r="EY767" s="67">
        <v>5611.48</v>
      </c>
      <c r="EZ767" s="67" t="s">
        <v>6158</v>
      </c>
      <c r="FA767" s="67">
        <v>19745.213</v>
      </c>
      <c r="FB767" s="67" t="s">
        <v>6159</v>
      </c>
      <c r="FC767" s="67" t="s">
        <v>6160</v>
      </c>
      <c r="FD767" s="67" t="s">
        <v>6161</v>
      </c>
      <c r="FE767" s="68" t="s">
        <v>6162</v>
      </c>
      <c r="FF767" s="68" t="s">
        <v>6163</v>
      </c>
    </row>
    <row r="768" spans="151:162" x14ac:dyDescent="0.2">
      <c r="EU768" s="67">
        <v>559.55999999999995</v>
      </c>
      <c r="EV768" s="67" t="s">
        <v>6164</v>
      </c>
      <c r="EW768" s="67">
        <v>480.38</v>
      </c>
      <c r="EX768" s="67" t="s">
        <v>6165</v>
      </c>
      <c r="EY768" s="67">
        <v>5611.61</v>
      </c>
      <c r="EZ768" s="67" t="s">
        <v>6166</v>
      </c>
      <c r="FA768" s="67">
        <v>19744.823</v>
      </c>
      <c r="FB768" s="67" t="s">
        <v>6167</v>
      </c>
      <c r="FC768" s="67" t="s">
        <v>6168</v>
      </c>
      <c r="FD768" s="67" t="s">
        <v>6169</v>
      </c>
      <c r="FE768" s="68" t="s">
        <v>6170</v>
      </c>
      <c r="FF768" s="68" t="s">
        <v>6171</v>
      </c>
    </row>
    <row r="769" spans="151:162" x14ac:dyDescent="0.2">
      <c r="EU769" s="67">
        <v>559.83000000000004</v>
      </c>
      <c r="EV769" s="67" t="s">
        <v>6172</v>
      </c>
      <c r="EW769" s="67">
        <v>480.78</v>
      </c>
      <c r="EX769" s="67" t="s">
        <v>6173</v>
      </c>
      <c r="EY769" s="67">
        <v>5614.51</v>
      </c>
      <c r="EZ769" s="67" t="s">
        <v>6174</v>
      </c>
      <c r="FA769" s="67">
        <v>19757.223000000002</v>
      </c>
      <c r="FB769" s="67" t="s">
        <v>6175</v>
      </c>
      <c r="FC769" s="67" t="s">
        <v>6176</v>
      </c>
      <c r="FD769" s="67" t="s">
        <v>6177</v>
      </c>
      <c r="FE769" s="68" t="s">
        <v>6178</v>
      </c>
      <c r="FF769" s="68" t="s">
        <v>6179</v>
      </c>
    </row>
    <row r="770" spans="151:162" x14ac:dyDescent="0.2">
      <c r="EU770" s="67">
        <v>559.55999999999995</v>
      </c>
      <c r="EV770" s="67" t="s">
        <v>6180</v>
      </c>
      <c r="EW770" s="67">
        <v>480.42</v>
      </c>
      <c r="EX770" s="67" t="s">
        <v>6181</v>
      </c>
      <c r="EY770" s="67">
        <v>5612.36</v>
      </c>
      <c r="EZ770" s="67" t="s">
        <v>6182</v>
      </c>
      <c r="FA770" s="67">
        <v>19748.525000000001</v>
      </c>
      <c r="FB770" s="67" t="s">
        <v>6183</v>
      </c>
      <c r="FC770" s="67" t="s">
        <v>6184</v>
      </c>
      <c r="FD770" s="67" t="s">
        <v>6185</v>
      </c>
      <c r="FE770" s="68" t="s">
        <v>6186</v>
      </c>
      <c r="FF770" s="68" t="s">
        <v>6187</v>
      </c>
    </row>
    <row r="771" spans="151:162" x14ac:dyDescent="0.2">
      <c r="EU771" s="67">
        <v>560.05999999999995</v>
      </c>
      <c r="EV771" s="67" t="s">
        <v>6188</v>
      </c>
      <c r="EW771" s="67">
        <v>480.95499999999998</v>
      </c>
      <c r="EX771" s="67" t="s">
        <v>6189</v>
      </c>
      <c r="EY771" s="67">
        <v>5618.26</v>
      </c>
      <c r="EZ771" s="67" t="s">
        <v>6190</v>
      </c>
      <c r="FA771" s="67">
        <v>19769.794000000002</v>
      </c>
      <c r="FB771" s="67" t="s">
        <v>6191</v>
      </c>
      <c r="FC771" s="67" t="s">
        <v>6192</v>
      </c>
      <c r="FD771" s="67" t="s">
        <v>6193</v>
      </c>
      <c r="FE771" s="68" t="s">
        <v>6194</v>
      </c>
      <c r="FF771" s="68" t="s">
        <v>6195</v>
      </c>
    </row>
    <row r="772" spans="151:162" x14ac:dyDescent="0.2">
      <c r="EU772" s="67">
        <v>559.72</v>
      </c>
      <c r="EV772" s="67" t="s">
        <v>6196</v>
      </c>
      <c r="EW772" s="67">
        <v>480.57</v>
      </c>
      <c r="EX772" s="67" t="s">
        <v>6197</v>
      </c>
      <c r="EY772" s="67">
        <v>5615.07</v>
      </c>
      <c r="EZ772" s="67" t="s">
        <v>6198</v>
      </c>
      <c r="FA772" s="67">
        <v>19757.573</v>
      </c>
      <c r="FB772" s="67" t="s">
        <v>6199</v>
      </c>
      <c r="FC772" s="67" t="s">
        <v>6200</v>
      </c>
      <c r="FD772" s="67" t="s">
        <v>6201</v>
      </c>
      <c r="FE772" s="68" t="s">
        <v>6202</v>
      </c>
      <c r="FF772" s="68" t="s">
        <v>6203</v>
      </c>
    </row>
    <row r="773" spans="151:162" x14ac:dyDescent="0.2">
      <c r="EU773" s="67">
        <v>559.59</v>
      </c>
      <c r="EV773" s="67" t="s">
        <v>6204</v>
      </c>
      <c r="EW773" s="67">
        <v>480.36</v>
      </c>
      <c r="EX773" s="67" t="s">
        <v>6205</v>
      </c>
      <c r="EY773" s="67">
        <v>5613.39</v>
      </c>
      <c r="EZ773" s="67" t="s">
        <v>6206</v>
      </c>
      <c r="FA773" s="67">
        <v>19748.442999999999</v>
      </c>
      <c r="FB773" s="67" t="s">
        <v>6207</v>
      </c>
      <c r="FC773" s="67" t="s">
        <v>6208</v>
      </c>
      <c r="FD773" s="67" t="s">
        <v>6209</v>
      </c>
      <c r="FE773" s="68" t="s">
        <v>6210</v>
      </c>
      <c r="FF773" s="68" t="s">
        <v>6211</v>
      </c>
    </row>
    <row r="774" spans="151:162" x14ac:dyDescent="0.2">
      <c r="EU774" s="67">
        <v>559.04</v>
      </c>
      <c r="EV774" s="67" t="s">
        <v>6212</v>
      </c>
      <c r="EW774" s="67">
        <v>479.85</v>
      </c>
      <c r="EX774" s="67" t="s">
        <v>6213</v>
      </c>
      <c r="EY774" s="67">
        <v>5607.86</v>
      </c>
      <c r="EZ774" s="67" t="s">
        <v>6214</v>
      </c>
      <c r="FA774" s="67">
        <v>19725.812999999998</v>
      </c>
      <c r="FB774" s="67" t="s">
        <v>6215</v>
      </c>
      <c r="FC774" s="67" t="s">
        <v>6216</v>
      </c>
      <c r="FD774" s="67" t="s">
        <v>6217</v>
      </c>
      <c r="FE774" s="68" t="s">
        <v>6218</v>
      </c>
      <c r="FF774" s="68" t="s">
        <v>6219</v>
      </c>
    </row>
    <row r="775" spans="151:162" x14ac:dyDescent="0.2">
      <c r="EU775" s="67">
        <v>557.55999999999995</v>
      </c>
      <c r="EV775" s="67" t="s">
        <v>6220</v>
      </c>
      <c r="EW775" s="67">
        <v>478.37</v>
      </c>
      <c r="EX775" s="67" t="s">
        <v>6221</v>
      </c>
      <c r="EY775" s="67">
        <v>5593.75</v>
      </c>
      <c r="EZ775" s="67" t="s">
        <v>6222</v>
      </c>
      <c r="FA775" s="67">
        <v>19671.491000000002</v>
      </c>
      <c r="FB775" s="67" t="s">
        <v>6223</v>
      </c>
      <c r="FC775" s="67" t="s">
        <v>6224</v>
      </c>
      <c r="FD775" s="67" t="s">
        <v>6225</v>
      </c>
      <c r="FE775" s="68" t="s">
        <v>6226</v>
      </c>
      <c r="FF775" s="68" t="s">
        <v>6227</v>
      </c>
    </row>
    <row r="776" spans="151:162" x14ac:dyDescent="0.2">
      <c r="EU776" s="67">
        <v>557.73</v>
      </c>
      <c r="EV776" s="67" t="s">
        <v>6228</v>
      </c>
      <c r="EW776" s="67">
        <v>478.42</v>
      </c>
      <c r="EX776" s="67" t="s">
        <v>6229</v>
      </c>
      <c r="EY776" s="67">
        <v>5593.6</v>
      </c>
      <c r="EZ776" s="67" t="s">
        <v>6230</v>
      </c>
      <c r="FA776" s="67">
        <v>19663.473000000002</v>
      </c>
      <c r="FB776" s="67" t="s">
        <v>6231</v>
      </c>
      <c r="FC776" s="67" t="s">
        <v>6232</v>
      </c>
      <c r="FD776" s="67" t="s">
        <v>6233</v>
      </c>
      <c r="FE776" s="68" t="s">
        <v>6234</v>
      </c>
      <c r="FF776" s="68" t="s">
        <v>6235</v>
      </c>
    </row>
    <row r="777" spans="151:162" x14ac:dyDescent="0.2">
      <c r="EU777" s="67">
        <v>556.61</v>
      </c>
      <c r="EV777" s="67" t="s">
        <v>6236</v>
      </c>
      <c r="EW777" s="67">
        <v>477.45</v>
      </c>
      <c r="EX777" s="67" t="s">
        <v>6237</v>
      </c>
      <c r="EY777" s="67">
        <v>5583.71</v>
      </c>
      <c r="EZ777" s="67" t="s">
        <v>6238</v>
      </c>
      <c r="FA777" s="67">
        <v>19628.698</v>
      </c>
      <c r="FB777" s="67" t="s">
        <v>6239</v>
      </c>
      <c r="FC777" s="67" t="s">
        <v>6240</v>
      </c>
      <c r="FD777" s="67" t="s">
        <v>6241</v>
      </c>
      <c r="FE777" s="68" t="s">
        <v>6242</v>
      </c>
      <c r="FF777" s="68" t="s">
        <v>6243</v>
      </c>
    </row>
    <row r="778" spans="151:162" x14ac:dyDescent="0.2">
      <c r="EU778" s="67">
        <v>556.54999999999995</v>
      </c>
      <c r="EV778" s="67" t="s">
        <v>6244</v>
      </c>
      <c r="EW778" s="67">
        <v>477.31</v>
      </c>
      <c r="EX778" s="67" t="s">
        <v>6245</v>
      </c>
      <c r="EY778" s="67">
        <v>5582.91</v>
      </c>
      <c r="EZ778" s="67" t="s">
        <v>6246</v>
      </c>
      <c r="FA778" s="67">
        <v>19622.828000000001</v>
      </c>
      <c r="FB778" s="67" t="s">
        <v>6247</v>
      </c>
      <c r="FC778" s="67" t="s">
        <v>6248</v>
      </c>
      <c r="FD778" s="67" t="s">
        <v>6249</v>
      </c>
      <c r="FE778" s="68" t="s">
        <v>6250</v>
      </c>
      <c r="FF778" s="68" t="s">
        <v>6251</v>
      </c>
    </row>
    <row r="779" spans="151:162" x14ac:dyDescent="0.2">
      <c r="EU779" s="67">
        <v>556.74</v>
      </c>
      <c r="EV779" s="67" t="s">
        <v>6252</v>
      </c>
      <c r="EW779" s="67">
        <v>477.58</v>
      </c>
      <c r="EX779" s="67" t="s">
        <v>6253</v>
      </c>
      <c r="EY779" s="67">
        <v>5584.98</v>
      </c>
      <c r="EZ779" s="67" t="s">
        <v>6254</v>
      </c>
      <c r="FA779" s="67">
        <v>19634.572</v>
      </c>
      <c r="FB779" s="67" t="s">
        <v>6255</v>
      </c>
      <c r="FC779" s="67" t="s">
        <v>6256</v>
      </c>
      <c r="FD779" s="67" t="s">
        <v>6257</v>
      </c>
      <c r="FE779" s="68" t="s">
        <v>6258</v>
      </c>
      <c r="FF779" s="68" t="s">
        <v>6259</v>
      </c>
    </row>
    <row r="780" spans="151:162" x14ac:dyDescent="0.2">
      <c r="EU780" s="67">
        <v>556.88</v>
      </c>
      <c r="EV780" s="67" t="s">
        <v>6260</v>
      </c>
      <c r="EW780" s="67">
        <v>477.67</v>
      </c>
      <c r="EX780" s="67" t="s">
        <v>6261</v>
      </c>
      <c r="EY780" s="67">
        <v>5586.51</v>
      </c>
      <c r="EZ780" s="67" t="s">
        <v>6262</v>
      </c>
      <c r="FA780" s="67">
        <v>19639.666000000001</v>
      </c>
      <c r="FB780" s="67" t="s">
        <v>6263</v>
      </c>
      <c r="FC780" s="67" t="s">
        <v>6264</v>
      </c>
      <c r="FD780" s="67" t="s">
        <v>6265</v>
      </c>
      <c r="FE780" s="68" t="s">
        <v>6266</v>
      </c>
      <c r="FF780" s="68" t="s">
        <v>6267</v>
      </c>
    </row>
    <row r="781" spans="151:162" x14ac:dyDescent="0.2">
      <c r="EU781" s="67">
        <v>556.91</v>
      </c>
      <c r="EV781" s="67" t="s">
        <v>6268</v>
      </c>
      <c r="EW781" s="67">
        <v>477.68</v>
      </c>
      <c r="EX781" s="67" t="s">
        <v>6269</v>
      </c>
      <c r="EY781" s="67">
        <v>5585.77</v>
      </c>
      <c r="EZ781" s="67" t="s">
        <v>6270</v>
      </c>
      <c r="FA781" s="67">
        <v>19635.010999999999</v>
      </c>
      <c r="FB781" s="67" t="s">
        <v>6271</v>
      </c>
      <c r="FC781" s="67" t="s">
        <v>6272</v>
      </c>
      <c r="FD781" s="67" t="s">
        <v>6273</v>
      </c>
      <c r="FE781" s="68" t="s">
        <v>6274</v>
      </c>
      <c r="FF781" s="68" t="s">
        <v>6275</v>
      </c>
    </row>
    <row r="782" spans="151:162" x14ac:dyDescent="0.2">
      <c r="EU782" s="67">
        <v>556.91999999999996</v>
      </c>
      <c r="EV782" s="67" t="s">
        <v>6276</v>
      </c>
      <c r="EW782" s="67">
        <v>477.71</v>
      </c>
      <c r="EX782" s="67" t="s">
        <v>6277</v>
      </c>
      <c r="EY782" s="67">
        <v>5586.04</v>
      </c>
      <c r="EZ782" s="67" t="s">
        <v>6278</v>
      </c>
      <c r="FA782" s="67">
        <v>19636.647000000001</v>
      </c>
      <c r="FB782" s="67" t="s">
        <v>6279</v>
      </c>
      <c r="FC782" s="67" t="s">
        <v>6280</v>
      </c>
      <c r="FD782" s="67" t="s">
        <v>6281</v>
      </c>
      <c r="FE782" s="68" t="s">
        <v>6282</v>
      </c>
      <c r="FF782" s="68" t="s">
        <v>6283</v>
      </c>
    </row>
    <row r="783" spans="151:162" x14ac:dyDescent="0.2">
      <c r="EU783" s="67">
        <v>556.70000000000005</v>
      </c>
      <c r="EV783" s="67" t="s">
        <v>6284</v>
      </c>
      <c r="EW783" s="67">
        <v>477.57</v>
      </c>
      <c r="EX783" s="67" t="s">
        <v>6285</v>
      </c>
      <c r="EY783" s="67">
        <v>5584.29</v>
      </c>
      <c r="EZ783" s="67" t="s">
        <v>6286</v>
      </c>
      <c r="FA783" s="67">
        <v>19633.137999999999</v>
      </c>
      <c r="FB783" s="67" t="s">
        <v>6287</v>
      </c>
      <c r="FC783" s="67" t="s">
        <v>6288</v>
      </c>
      <c r="FD783" s="67" t="s">
        <v>6289</v>
      </c>
      <c r="FE783" s="68" t="s">
        <v>6290</v>
      </c>
      <c r="FF783" s="68" t="s">
        <v>6291</v>
      </c>
    </row>
    <row r="784" spans="151:162" x14ac:dyDescent="0.2">
      <c r="EU784" s="67">
        <v>556.59</v>
      </c>
      <c r="EV784" s="67" t="s">
        <v>6292</v>
      </c>
      <c r="EW784" s="67">
        <v>477.33</v>
      </c>
      <c r="EX784" s="67" t="s">
        <v>6293</v>
      </c>
      <c r="EY784" s="67">
        <v>5582.82</v>
      </c>
      <c r="EZ784" s="67" t="s">
        <v>6294</v>
      </c>
      <c r="FA784" s="67">
        <v>19623.378000000001</v>
      </c>
      <c r="FB784" s="67" t="s">
        <v>6295</v>
      </c>
      <c r="FC784" s="67" t="s">
        <v>6296</v>
      </c>
      <c r="FD784" s="67" t="s">
        <v>6297</v>
      </c>
      <c r="FE784" s="68" t="s">
        <v>6298</v>
      </c>
      <c r="FF784" s="68" t="s">
        <v>6299</v>
      </c>
    </row>
    <row r="785" spans="151:162" x14ac:dyDescent="0.2">
      <c r="EU785" s="67">
        <v>556.44000000000005</v>
      </c>
      <c r="EV785" s="67" t="s">
        <v>6300</v>
      </c>
      <c r="EW785" s="67">
        <v>477.1</v>
      </c>
      <c r="EX785" s="67" t="s">
        <v>6301</v>
      </c>
      <c r="EY785" s="67">
        <v>5580.77</v>
      </c>
      <c r="EZ785" s="67" t="s">
        <v>6302</v>
      </c>
      <c r="FA785" s="67">
        <v>19612.696</v>
      </c>
      <c r="FB785" s="67" t="s">
        <v>6303</v>
      </c>
      <c r="FC785" s="67" t="s">
        <v>6304</v>
      </c>
      <c r="FD785" s="67" t="s">
        <v>6305</v>
      </c>
      <c r="FE785" s="68" t="s">
        <v>6306</v>
      </c>
      <c r="FF785" s="68" t="s">
        <v>6307</v>
      </c>
    </row>
    <row r="786" spans="151:162" x14ac:dyDescent="0.2">
      <c r="EU786" s="67">
        <v>557.21</v>
      </c>
      <c r="EV786" s="67" t="s">
        <v>6308</v>
      </c>
      <c r="EW786" s="67">
        <v>477.89</v>
      </c>
      <c r="EX786" s="67" t="s">
        <v>6309</v>
      </c>
      <c r="EY786" s="67">
        <v>5587.87</v>
      </c>
      <c r="EZ786" s="67" t="s">
        <v>6310</v>
      </c>
      <c r="FA786" s="67">
        <v>19640.168000000001</v>
      </c>
      <c r="FB786" s="67" t="s">
        <v>6311</v>
      </c>
      <c r="FC786" s="67" t="s">
        <v>6312</v>
      </c>
      <c r="FD786" s="67" t="s">
        <v>6313</v>
      </c>
      <c r="FE786" s="68" t="s">
        <v>6314</v>
      </c>
      <c r="FF786" s="68" t="s">
        <v>6315</v>
      </c>
    </row>
    <row r="787" spans="151:162" x14ac:dyDescent="0.2">
      <c r="EU787" s="67">
        <v>556.95000000000005</v>
      </c>
      <c r="EV787" s="67" t="s">
        <v>6316</v>
      </c>
      <c r="EW787" s="67">
        <v>477.65</v>
      </c>
      <c r="EX787" s="67" t="s">
        <v>6317</v>
      </c>
      <c r="EY787" s="67">
        <v>5586.87</v>
      </c>
      <c r="EZ787" s="67" t="s">
        <v>6318</v>
      </c>
      <c r="FA787" s="67">
        <v>19636.618999999999</v>
      </c>
      <c r="FB787" s="67" t="s">
        <v>6319</v>
      </c>
      <c r="FC787" s="67" t="s">
        <v>6320</v>
      </c>
      <c r="FD787" s="67" t="s">
        <v>6321</v>
      </c>
      <c r="FE787" s="68" t="s">
        <v>6322</v>
      </c>
      <c r="FF787" s="68" t="s">
        <v>6323</v>
      </c>
    </row>
    <row r="788" spans="151:162" x14ac:dyDescent="0.2">
      <c r="EU788" s="67">
        <v>557.41999999999996</v>
      </c>
      <c r="EV788" s="67" t="s">
        <v>6324</v>
      </c>
      <c r="EW788" s="67">
        <v>478.17</v>
      </c>
      <c r="EX788" s="67" t="s">
        <v>6325</v>
      </c>
      <c r="EY788" s="67">
        <v>5590.18</v>
      </c>
      <c r="EZ788" s="67" t="s">
        <v>6326</v>
      </c>
      <c r="FA788" s="67">
        <v>19649.333999999999</v>
      </c>
      <c r="FB788" s="67" t="s">
        <v>6327</v>
      </c>
      <c r="FC788" s="67" t="s">
        <v>6328</v>
      </c>
      <c r="FD788" s="67" t="s">
        <v>6329</v>
      </c>
      <c r="FE788" s="68" t="s">
        <v>6330</v>
      </c>
      <c r="FF788" s="68" t="s">
        <v>6331</v>
      </c>
    </row>
    <row r="789" spans="151:162" x14ac:dyDescent="0.2">
      <c r="EU789" s="67">
        <v>558.1</v>
      </c>
      <c r="EV789" s="67" t="s">
        <v>6332</v>
      </c>
      <c r="EW789" s="67">
        <v>478.85</v>
      </c>
      <c r="EX789" s="67" t="s">
        <v>6333</v>
      </c>
      <c r="EY789" s="67">
        <v>5597.62</v>
      </c>
      <c r="EZ789" s="67" t="s">
        <v>6334</v>
      </c>
      <c r="FA789" s="67">
        <v>19677.668000000001</v>
      </c>
      <c r="FB789" s="67" t="s">
        <v>6335</v>
      </c>
      <c r="FC789" s="67" t="s">
        <v>6336</v>
      </c>
      <c r="FD789" s="67" t="s">
        <v>6337</v>
      </c>
      <c r="FE789" s="68" t="s">
        <v>6338</v>
      </c>
      <c r="FF789" s="68" t="s">
        <v>6339</v>
      </c>
    </row>
    <row r="790" spans="151:162" x14ac:dyDescent="0.2">
      <c r="EU790" s="67">
        <v>557.41</v>
      </c>
      <c r="EV790" s="67" t="s">
        <v>6340</v>
      </c>
      <c r="EW790" s="67">
        <v>478.19</v>
      </c>
      <c r="EX790" s="67" t="s">
        <v>6341</v>
      </c>
      <c r="EY790" s="67">
        <v>5590.83</v>
      </c>
      <c r="EZ790" s="67" t="s">
        <v>6342</v>
      </c>
      <c r="FA790" s="67">
        <v>19656.281999999999</v>
      </c>
      <c r="FB790" s="67" t="s">
        <v>6343</v>
      </c>
      <c r="FC790" s="67" t="s">
        <v>6344</v>
      </c>
      <c r="FD790" s="67" t="s">
        <v>6345</v>
      </c>
      <c r="FE790" s="68" t="s">
        <v>6346</v>
      </c>
      <c r="FF790" s="68" t="s">
        <v>6347</v>
      </c>
    </row>
    <row r="791" spans="151:162" x14ac:dyDescent="0.2">
      <c r="EU791" s="67">
        <v>557.87</v>
      </c>
      <c r="EV791" s="67" t="s">
        <v>6348</v>
      </c>
      <c r="EW791" s="67">
        <v>478.72</v>
      </c>
      <c r="EX791" s="67" t="s">
        <v>6349</v>
      </c>
      <c r="EY791" s="67">
        <v>5595.96</v>
      </c>
      <c r="EZ791" s="67" t="s">
        <v>6350</v>
      </c>
      <c r="FA791" s="67">
        <v>19674.907999999999</v>
      </c>
      <c r="FB791" s="67" t="s">
        <v>6351</v>
      </c>
      <c r="FC791" s="67" t="s">
        <v>6352</v>
      </c>
      <c r="FD791" s="67" t="s">
        <v>6353</v>
      </c>
      <c r="FE791" s="68" t="s">
        <v>6354</v>
      </c>
      <c r="FF791" s="68" t="s">
        <v>6355</v>
      </c>
    </row>
    <row r="792" spans="151:162" x14ac:dyDescent="0.2">
      <c r="EU792" s="67">
        <v>557.98199999999997</v>
      </c>
      <c r="EV792" s="67" t="s">
        <v>6356</v>
      </c>
      <c r="EW792" s="67">
        <v>478.82</v>
      </c>
      <c r="EX792" s="67" t="s">
        <v>6357</v>
      </c>
      <c r="EY792" s="67">
        <v>5596.4</v>
      </c>
      <c r="EZ792" s="67" t="s">
        <v>6358</v>
      </c>
      <c r="FA792" s="67">
        <v>19677.826000000001</v>
      </c>
      <c r="FB792" s="67" t="s">
        <v>6359</v>
      </c>
      <c r="FC792" s="67" t="s">
        <v>6360</v>
      </c>
      <c r="FD792" s="67" t="s">
        <v>6361</v>
      </c>
      <c r="FE792" s="68" t="s">
        <v>6362</v>
      </c>
      <c r="FF792" s="68" t="s">
        <v>6363</v>
      </c>
    </row>
    <row r="793" spans="151:162" x14ac:dyDescent="0.2">
      <c r="EU793" s="67">
        <v>557.50599999999997</v>
      </c>
      <c r="EV793" s="67" t="s">
        <v>6364</v>
      </c>
      <c r="EW793" s="67">
        <v>478.4</v>
      </c>
      <c r="EX793" s="67" t="s">
        <v>6365</v>
      </c>
      <c r="EY793" s="67">
        <v>5592.25</v>
      </c>
      <c r="EZ793" s="67" t="s">
        <v>6366</v>
      </c>
      <c r="FA793" s="67">
        <v>19664.347000000002</v>
      </c>
      <c r="FB793" s="67" t="s">
        <v>6367</v>
      </c>
      <c r="FC793" s="67" t="s">
        <v>6368</v>
      </c>
      <c r="FD793" s="67" t="s">
        <v>6369</v>
      </c>
      <c r="FE793" s="68" t="s">
        <v>6370</v>
      </c>
      <c r="FF793" s="68" t="s">
        <v>6371</v>
      </c>
    </row>
    <row r="794" spans="151:162" x14ac:dyDescent="0.2">
      <c r="EU794" s="67">
        <v>557.88</v>
      </c>
      <c r="EV794" s="67" t="s">
        <v>6372</v>
      </c>
      <c r="EW794" s="67">
        <v>478.77</v>
      </c>
      <c r="EX794" s="67" t="s">
        <v>6373</v>
      </c>
      <c r="EY794" s="67">
        <v>5594.99</v>
      </c>
      <c r="EZ794" s="67" t="s">
        <v>6374</v>
      </c>
      <c r="FA794" s="67">
        <v>19674.264999999999</v>
      </c>
      <c r="FB794" s="67" t="s">
        <v>6375</v>
      </c>
      <c r="FC794" s="67" t="s">
        <v>6376</v>
      </c>
      <c r="FD794" s="67" t="s">
        <v>6377</v>
      </c>
      <c r="FE794" s="68" t="s">
        <v>6378</v>
      </c>
      <c r="FF794" s="68" t="s">
        <v>6379</v>
      </c>
    </row>
    <row r="795" spans="151:162" x14ac:dyDescent="0.2">
      <c r="EU795" s="67">
        <v>558.16999999999996</v>
      </c>
      <c r="EV795" s="67" t="s">
        <v>6380</v>
      </c>
      <c r="EW795" s="67">
        <v>479.09</v>
      </c>
      <c r="EX795" s="67" t="s">
        <v>6381</v>
      </c>
      <c r="EY795" s="67">
        <v>5598.35</v>
      </c>
      <c r="EZ795" s="67" t="s">
        <v>6382</v>
      </c>
      <c r="FA795" s="67">
        <v>19687.367999999999</v>
      </c>
      <c r="FB795" s="67" t="s">
        <v>6383</v>
      </c>
      <c r="FC795" s="67" t="s">
        <v>6384</v>
      </c>
      <c r="FD795" s="67" t="s">
        <v>6385</v>
      </c>
      <c r="FE795" s="68" t="s">
        <v>6386</v>
      </c>
      <c r="FF795" s="68" t="s">
        <v>6387</v>
      </c>
    </row>
    <row r="796" spans="151:162" x14ac:dyDescent="0.2">
      <c r="EU796" s="67">
        <v>558.32500000000005</v>
      </c>
      <c r="EV796" s="67" t="s">
        <v>6388</v>
      </c>
      <c r="EW796" s="67">
        <v>479.3</v>
      </c>
      <c r="EX796" s="67" t="s">
        <v>6389</v>
      </c>
      <c r="EY796" s="67">
        <v>5600.4</v>
      </c>
      <c r="EZ796" s="67" t="s">
        <v>6390</v>
      </c>
      <c r="FA796" s="67">
        <v>19697.474999999999</v>
      </c>
      <c r="FB796" s="67" t="s">
        <v>6391</v>
      </c>
      <c r="FC796" s="67" t="s">
        <v>6392</v>
      </c>
      <c r="FD796" s="67" t="s">
        <v>6393</v>
      </c>
      <c r="FE796" s="68" t="s">
        <v>6394</v>
      </c>
      <c r="FF796" s="68" t="s">
        <v>6395</v>
      </c>
    </row>
    <row r="797" spans="151:162" x14ac:dyDescent="0.2">
      <c r="EU797" s="67">
        <v>558.12</v>
      </c>
      <c r="EV797" s="67" t="s">
        <v>6396</v>
      </c>
      <c r="EW797" s="67">
        <v>479.11</v>
      </c>
      <c r="EX797" s="67" t="s">
        <v>6397</v>
      </c>
      <c r="EY797" s="67">
        <v>5598.7</v>
      </c>
      <c r="EZ797" s="67" t="s">
        <v>6398</v>
      </c>
      <c r="FA797" s="67">
        <v>19694.423999999999</v>
      </c>
      <c r="FB797" s="67" t="s">
        <v>6399</v>
      </c>
      <c r="FC797" s="67" t="s">
        <v>6400</v>
      </c>
      <c r="FD797" s="67" t="s">
        <v>6401</v>
      </c>
      <c r="FE797" s="68" t="s">
        <v>6402</v>
      </c>
      <c r="FF797" s="68" t="s">
        <v>6403</v>
      </c>
    </row>
    <row r="798" spans="151:162" x14ac:dyDescent="0.2">
      <c r="EU798" s="67">
        <v>557.54999999999995</v>
      </c>
      <c r="EV798" s="67" t="s">
        <v>6404</v>
      </c>
      <c r="EW798" s="67">
        <v>478.5</v>
      </c>
      <c r="EX798" s="67" t="s">
        <v>6405</v>
      </c>
      <c r="EY798" s="67">
        <v>5593.34</v>
      </c>
      <c r="EZ798" s="67" t="s">
        <v>6406</v>
      </c>
      <c r="FA798" s="67">
        <v>19673.419000000002</v>
      </c>
      <c r="FB798" s="67" t="s">
        <v>6407</v>
      </c>
      <c r="FC798" s="67" t="s">
        <v>6408</v>
      </c>
      <c r="FD798" s="67" t="s">
        <v>6409</v>
      </c>
      <c r="FE798" s="68" t="s">
        <v>6410</v>
      </c>
      <c r="FF798" s="68" t="s">
        <v>6411</v>
      </c>
    </row>
    <row r="799" spans="151:162" x14ac:dyDescent="0.2">
      <c r="EU799" s="67">
        <v>558.38400000000001</v>
      </c>
      <c r="EV799" s="67" t="s">
        <v>6412</v>
      </c>
      <c r="EW799" s="67">
        <v>479.32</v>
      </c>
      <c r="EX799" s="67" t="s">
        <v>6413</v>
      </c>
      <c r="EY799" s="67">
        <v>5599.92</v>
      </c>
      <c r="EZ799" s="67" t="s">
        <v>6414</v>
      </c>
      <c r="FA799" s="67">
        <v>19695.048999999999</v>
      </c>
      <c r="FB799" s="67" t="s">
        <v>6415</v>
      </c>
      <c r="FC799" s="67" t="s">
        <v>6416</v>
      </c>
      <c r="FD799" s="67" t="s">
        <v>6417</v>
      </c>
      <c r="FE799" s="68" t="s">
        <v>6418</v>
      </c>
      <c r="FF799" s="68" t="s">
        <v>6419</v>
      </c>
    </row>
    <row r="800" spans="151:162" x14ac:dyDescent="0.2">
      <c r="EU800" s="67">
        <v>558.85</v>
      </c>
      <c r="EV800" s="67" t="s">
        <v>6420</v>
      </c>
      <c r="EW800" s="67">
        <v>479.82900000000001</v>
      </c>
      <c r="EX800" s="67" t="s">
        <v>6421</v>
      </c>
      <c r="EY800" s="67">
        <v>5605.4</v>
      </c>
      <c r="EZ800" s="67" t="s">
        <v>6422</v>
      </c>
      <c r="FA800" s="67">
        <v>19719.148000000001</v>
      </c>
      <c r="FB800" s="67" t="s">
        <v>6423</v>
      </c>
      <c r="FC800" s="67" t="s">
        <v>6424</v>
      </c>
      <c r="FD800" s="67" t="s">
        <v>6425</v>
      </c>
      <c r="FE800" s="68" t="s">
        <v>6426</v>
      </c>
      <c r="FF800" s="68" t="s">
        <v>6427</v>
      </c>
    </row>
    <row r="801" spans="151:162" x14ac:dyDescent="0.2">
      <c r="EU801" s="67">
        <v>559.21</v>
      </c>
      <c r="EV801" s="67" t="s">
        <v>6428</v>
      </c>
      <c r="EW801" s="67">
        <v>480.041</v>
      </c>
      <c r="EX801" s="67" t="s">
        <v>6429</v>
      </c>
      <c r="EY801" s="67">
        <v>5608.55</v>
      </c>
      <c r="EZ801" s="67" t="s">
        <v>6430</v>
      </c>
      <c r="FA801" s="67">
        <v>19728.823</v>
      </c>
      <c r="FB801" s="67" t="s">
        <v>6431</v>
      </c>
      <c r="FC801" s="67" t="s">
        <v>6432</v>
      </c>
      <c r="FD801" s="67" t="s">
        <v>6433</v>
      </c>
      <c r="FE801" s="68" t="s">
        <v>6434</v>
      </c>
      <c r="FF801" s="68" t="s">
        <v>6435</v>
      </c>
    </row>
    <row r="802" spans="151:162" x14ac:dyDescent="0.2">
      <c r="EU802" s="67">
        <v>559.43700000000001</v>
      </c>
      <c r="EV802" s="67" t="s">
        <v>6436</v>
      </c>
      <c r="EW802" s="67">
        <v>480.2</v>
      </c>
      <c r="EX802" s="67" t="s">
        <v>6437</v>
      </c>
      <c r="EY802" s="67">
        <v>5610.95</v>
      </c>
      <c r="EZ802" s="67" t="s">
        <v>6438</v>
      </c>
      <c r="FA802" s="67">
        <v>19735.144</v>
      </c>
      <c r="FB802" s="67" t="s">
        <v>6439</v>
      </c>
      <c r="FC802" s="67" t="s">
        <v>6440</v>
      </c>
      <c r="FD802" s="67" t="s">
        <v>6441</v>
      </c>
      <c r="FE802" s="68" t="s">
        <v>6442</v>
      </c>
      <c r="FF802" s="68" t="s">
        <v>6443</v>
      </c>
    </row>
    <row r="803" spans="151:162" x14ac:dyDescent="0.2">
      <c r="EU803" s="67">
        <v>558.82000000000005</v>
      </c>
      <c r="EV803" s="67" t="s">
        <v>6444</v>
      </c>
      <c r="EW803" s="67">
        <v>479.64</v>
      </c>
      <c r="EX803" s="67" t="s">
        <v>6445</v>
      </c>
      <c r="EY803" s="67">
        <v>5605.73</v>
      </c>
      <c r="EZ803" s="67" t="s">
        <v>6446</v>
      </c>
      <c r="FA803" s="67">
        <v>19718.477999999999</v>
      </c>
      <c r="FB803" s="67" t="s">
        <v>6447</v>
      </c>
      <c r="FC803" s="67" t="s">
        <v>6448</v>
      </c>
      <c r="FD803" s="67" t="s">
        <v>6449</v>
      </c>
      <c r="FE803" s="68" t="s">
        <v>6450</v>
      </c>
      <c r="FF803" s="68" t="s">
        <v>6451</v>
      </c>
    </row>
    <row r="804" spans="151:162" x14ac:dyDescent="0.2">
      <c r="EU804" s="67">
        <v>559.57500000000005</v>
      </c>
      <c r="EV804" s="67" t="s">
        <v>6452</v>
      </c>
      <c r="EW804" s="67">
        <v>480.34</v>
      </c>
      <c r="EX804" s="67" t="s">
        <v>6453</v>
      </c>
      <c r="EY804" s="67">
        <v>5611.4</v>
      </c>
      <c r="EZ804" s="67" t="s">
        <v>6454</v>
      </c>
      <c r="FA804" s="67">
        <v>19735.973999999998</v>
      </c>
      <c r="FB804" s="67" t="s">
        <v>6455</v>
      </c>
      <c r="FC804" s="67" t="s">
        <v>6456</v>
      </c>
      <c r="FD804" s="67" t="s">
        <v>6457</v>
      </c>
      <c r="FE804" s="68" t="s">
        <v>6458</v>
      </c>
      <c r="FF804" s="68" t="s">
        <v>6459</v>
      </c>
    </row>
    <row r="805" spans="151:162" x14ac:dyDescent="0.2">
      <c r="EU805" s="67">
        <v>560.05999999999995</v>
      </c>
      <c r="EV805" s="67" t="s">
        <v>6460</v>
      </c>
      <c r="EW805" s="67">
        <v>480.8</v>
      </c>
      <c r="EX805" s="67" t="s">
        <v>6461</v>
      </c>
      <c r="EY805" s="67">
        <v>5618.12</v>
      </c>
      <c r="EZ805" s="67" t="s">
        <v>6462</v>
      </c>
      <c r="FA805" s="67">
        <v>19760.276000000002</v>
      </c>
      <c r="FB805" s="67" t="s">
        <v>6463</v>
      </c>
      <c r="FC805" s="67" t="s">
        <v>6464</v>
      </c>
      <c r="FD805" s="67" t="s">
        <v>6465</v>
      </c>
      <c r="FE805" s="68" t="s">
        <v>6466</v>
      </c>
      <c r="FF805" s="68" t="s">
        <v>6467</v>
      </c>
    </row>
    <row r="806" spans="151:162" x14ac:dyDescent="0.2">
      <c r="EU806" s="67">
        <v>559.02</v>
      </c>
      <c r="EV806" s="67" t="s">
        <v>6468</v>
      </c>
      <c r="EW806" s="67">
        <v>479.83</v>
      </c>
      <c r="EX806" s="67" t="s">
        <v>6469</v>
      </c>
      <c r="EY806" s="67">
        <v>5607.57</v>
      </c>
      <c r="EZ806" s="67" t="s">
        <v>6470</v>
      </c>
      <c r="FA806" s="67">
        <v>19725.985000000001</v>
      </c>
      <c r="FB806" s="67" t="s">
        <v>6471</v>
      </c>
      <c r="FC806" s="67" t="s">
        <v>6472</v>
      </c>
      <c r="FD806" s="67" t="s">
        <v>6473</v>
      </c>
      <c r="FE806" s="68" t="s">
        <v>6474</v>
      </c>
      <c r="FF806" s="68" t="s">
        <v>6475</v>
      </c>
    </row>
    <row r="807" spans="151:162" x14ac:dyDescent="0.2">
      <c r="EU807" s="67">
        <v>559.80999999999995</v>
      </c>
      <c r="EV807" s="67" t="s">
        <v>6476</v>
      </c>
      <c r="EW807" s="67">
        <v>480.49</v>
      </c>
      <c r="EX807" s="67" t="s">
        <v>6477</v>
      </c>
      <c r="EY807" s="67">
        <v>5614.66</v>
      </c>
      <c r="EZ807" s="67" t="s">
        <v>6478</v>
      </c>
      <c r="FA807" s="67">
        <v>19747.514999999999</v>
      </c>
      <c r="FB807" s="67" t="s">
        <v>6479</v>
      </c>
      <c r="FC807" s="67" t="s">
        <v>6480</v>
      </c>
      <c r="FD807" s="67" t="s">
        <v>6481</v>
      </c>
      <c r="FE807" s="68" t="s">
        <v>6482</v>
      </c>
      <c r="FF807" s="68" t="s">
        <v>6483</v>
      </c>
    </row>
    <row r="808" spans="151:162" x14ac:dyDescent="0.2">
      <c r="EU808" s="67">
        <v>560.03</v>
      </c>
      <c r="EV808" s="67" t="s">
        <v>6484</v>
      </c>
      <c r="EW808" s="67">
        <v>480.73</v>
      </c>
      <c r="EX808" s="67" t="s">
        <v>6485</v>
      </c>
      <c r="EY808" s="67">
        <v>5617.23</v>
      </c>
      <c r="EZ808" s="67" t="s">
        <v>6486</v>
      </c>
      <c r="FA808" s="67">
        <v>19755.078000000001</v>
      </c>
      <c r="FB808" s="67" t="s">
        <v>6487</v>
      </c>
      <c r="FC808" s="67" t="s">
        <v>6488</v>
      </c>
      <c r="FD808" s="67" t="s">
        <v>6489</v>
      </c>
      <c r="FE808" s="68" t="s">
        <v>6490</v>
      </c>
      <c r="FF808" s="68" t="s">
        <v>6491</v>
      </c>
    </row>
    <row r="809" spans="151:162" x14ac:dyDescent="0.2">
      <c r="EU809" s="67">
        <v>560.02</v>
      </c>
      <c r="EV809" s="67" t="s">
        <v>6492</v>
      </c>
      <c r="EW809" s="67">
        <v>480.83</v>
      </c>
      <c r="EX809" s="67" t="s">
        <v>6493</v>
      </c>
      <c r="EY809" s="67">
        <v>5617.68</v>
      </c>
      <c r="EZ809" s="67" t="s">
        <v>6494</v>
      </c>
      <c r="FA809" s="67">
        <v>19760.996999999999</v>
      </c>
      <c r="FB809" s="67" t="s">
        <v>6495</v>
      </c>
      <c r="FC809" s="67" t="s">
        <v>6496</v>
      </c>
      <c r="FD809" s="67" t="s">
        <v>6497</v>
      </c>
      <c r="FE809" s="68" t="s">
        <v>6498</v>
      </c>
      <c r="FF809" s="68" t="s">
        <v>6499</v>
      </c>
    </row>
    <row r="810" spans="151:162" x14ac:dyDescent="0.2">
      <c r="EU810" s="67">
        <v>559.95000000000005</v>
      </c>
      <c r="EV810" s="67" t="s">
        <v>6500</v>
      </c>
      <c r="EW810" s="67">
        <v>480.75</v>
      </c>
      <c r="EX810" s="67" t="s">
        <v>6501</v>
      </c>
      <c r="EY810" s="67">
        <v>5617.2</v>
      </c>
      <c r="EZ810" s="67" t="s">
        <v>6502</v>
      </c>
      <c r="FA810" s="67">
        <v>19759.830000000002</v>
      </c>
      <c r="FB810" s="67" t="s">
        <v>6503</v>
      </c>
      <c r="FC810" s="67" t="s">
        <v>6504</v>
      </c>
      <c r="FD810" s="67" t="s">
        <v>6505</v>
      </c>
      <c r="FE810" s="68" t="s">
        <v>6506</v>
      </c>
      <c r="FF810" s="68" t="s">
        <v>6507</v>
      </c>
    </row>
    <row r="811" spans="151:162" x14ac:dyDescent="0.2">
      <c r="EU811" s="67">
        <v>559.54</v>
      </c>
      <c r="EV811" s="67" t="s">
        <v>6508</v>
      </c>
      <c r="EW811" s="67">
        <v>480.34</v>
      </c>
      <c r="EX811" s="67" t="s">
        <v>6509</v>
      </c>
      <c r="EY811" s="67">
        <v>5613.59</v>
      </c>
      <c r="EZ811" s="67" t="s">
        <v>6510</v>
      </c>
      <c r="FA811" s="67">
        <v>19748.463</v>
      </c>
      <c r="FB811" s="67" t="s">
        <v>6511</v>
      </c>
      <c r="FC811" s="67" t="s">
        <v>6512</v>
      </c>
      <c r="FD811" s="67" t="s">
        <v>6513</v>
      </c>
      <c r="FE811" s="68" t="s">
        <v>6514</v>
      </c>
      <c r="FF811" s="68" t="s">
        <v>6515</v>
      </c>
    </row>
    <row r="812" spans="151:162" x14ac:dyDescent="0.2">
      <c r="EU812" s="67">
        <v>559.88</v>
      </c>
      <c r="EV812" s="67" t="s">
        <v>6516</v>
      </c>
      <c r="EW812" s="67">
        <v>480.74</v>
      </c>
      <c r="EX812" s="67" t="s">
        <v>6517</v>
      </c>
      <c r="EY812" s="67">
        <v>5615.54</v>
      </c>
      <c r="EZ812" s="67" t="s">
        <v>6518</v>
      </c>
      <c r="FA812" s="67">
        <v>19754.46</v>
      </c>
      <c r="FB812" s="67" t="s">
        <v>6519</v>
      </c>
      <c r="FC812" s="67" t="s">
        <v>6520</v>
      </c>
      <c r="FD812" s="67" t="s">
        <v>6521</v>
      </c>
      <c r="FE812" s="68" t="s">
        <v>6522</v>
      </c>
      <c r="FF812" s="68" t="s">
        <v>6523</v>
      </c>
    </row>
    <row r="813" spans="151:162" x14ac:dyDescent="0.2">
      <c r="EU813" s="67">
        <v>559.13</v>
      </c>
      <c r="EV813" s="67" t="s">
        <v>6524</v>
      </c>
      <c r="EW813" s="67">
        <v>480.06</v>
      </c>
      <c r="EX813" s="67" t="s">
        <v>6525</v>
      </c>
      <c r="EY813" s="67">
        <v>5608.17</v>
      </c>
      <c r="EZ813" s="67" t="s">
        <v>6526</v>
      </c>
      <c r="FA813" s="67">
        <v>19730.507000000001</v>
      </c>
      <c r="FB813" s="67" t="s">
        <v>6527</v>
      </c>
      <c r="FC813" s="67" t="s">
        <v>6528</v>
      </c>
      <c r="FD813" s="67" t="s">
        <v>6529</v>
      </c>
      <c r="FE813" s="68" t="s">
        <v>6530</v>
      </c>
      <c r="FF813" s="68" t="s">
        <v>6531</v>
      </c>
    </row>
    <row r="814" spans="151:162" x14ac:dyDescent="0.2">
      <c r="EU814" s="67">
        <v>559.23</v>
      </c>
      <c r="EV814" s="67" t="s">
        <v>6532</v>
      </c>
      <c r="EW814" s="67">
        <v>480.18</v>
      </c>
      <c r="EX814" s="67" t="s">
        <v>6533</v>
      </c>
      <c r="EY814" s="67">
        <v>5609.25</v>
      </c>
      <c r="EZ814" s="67" t="s">
        <v>6534</v>
      </c>
      <c r="FA814" s="67">
        <v>19733.695</v>
      </c>
      <c r="FB814" s="67" t="s">
        <v>6535</v>
      </c>
      <c r="FC814" s="67" t="s">
        <v>6536</v>
      </c>
      <c r="FD814" s="67" t="s">
        <v>6537</v>
      </c>
      <c r="FE814" s="68" t="s">
        <v>6538</v>
      </c>
      <c r="FF814" s="68" t="s">
        <v>6539</v>
      </c>
    </row>
    <row r="815" spans="151:162" x14ac:dyDescent="0.2">
      <c r="EU815" s="67">
        <v>558.08000000000004</v>
      </c>
      <c r="EV815" s="67" t="s">
        <v>6540</v>
      </c>
      <c r="EW815" s="67">
        <v>479.02</v>
      </c>
      <c r="EX815" s="67" t="s">
        <v>6541</v>
      </c>
      <c r="EY815" s="67">
        <v>5599.21</v>
      </c>
      <c r="EZ815" s="67" t="s">
        <v>6542</v>
      </c>
      <c r="FA815" s="67">
        <v>19696.221000000001</v>
      </c>
      <c r="FB815" s="67" t="s">
        <v>6543</v>
      </c>
      <c r="FC815" s="67" t="s">
        <v>6544</v>
      </c>
      <c r="FD815" s="67" t="s">
        <v>6545</v>
      </c>
      <c r="FE815" s="68" t="s">
        <v>6546</v>
      </c>
      <c r="FF815" s="68" t="s">
        <v>6547</v>
      </c>
    </row>
    <row r="816" spans="151:162" x14ac:dyDescent="0.2">
      <c r="EU816" s="67">
        <v>557.40499999999997</v>
      </c>
      <c r="EV816" s="67" t="s">
        <v>6548</v>
      </c>
      <c r="EW816" s="67">
        <v>478.43</v>
      </c>
      <c r="EX816" s="67" t="s">
        <v>6549</v>
      </c>
      <c r="EY816" s="67">
        <v>5591.65</v>
      </c>
      <c r="EZ816" s="67" t="s">
        <v>6550</v>
      </c>
      <c r="FA816" s="67">
        <v>19669.018</v>
      </c>
      <c r="FB816" s="67" t="s">
        <v>6551</v>
      </c>
      <c r="FC816" s="67" t="s">
        <v>6552</v>
      </c>
      <c r="FD816" s="67" t="s">
        <v>6553</v>
      </c>
      <c r="FE816" s="68" t="s">
        <v>6554</v>
      </c>
      <c r="FF816" s="68" t="s">
        <v>6555</v>
      </c>
    </row>
    <row r="817" spans="151:162" x14ac:dyDescent="0.2">
      <c r="EU817" s="67">
        <v>558.11</v>
      </c>
      <c r="EV817" s="67" t="s">
        <v>6556</v>
      </c>
      <c r="EW817" s="67">
        <v>479.03</v>
      </c>
      <c r="EX817" s="67" t="s">
        <v>6557</v>
      </c>
      <c r="EY817" s="67">
        <v>5598.24</v>
      </c>
      <c r="EZ817" s="67" t="s">
        <v>6558</v>
      </c>
      <c r="FA817" s="67">
        <v>19691.956999999999</v>
      </c>
      <c r="FB817" s="67" t="s">
        <v>6559</v>
      </c>
      <c r="FC817" s="67" t="s">
        <v>6560</v>
      </c>
      <c r="FD817" s="67" t="s">
        <v>6561</v>
      </c>
      <c r="FE817" s="68" t="s">
        <v>6562</v>
      </c>
      <c r="FF817" s="68" t="s">
        <v>6563</v>
      </c>
    </row>
    <row r="818" spans="151:162" x14ac:dyDescent="0.2">
      <c r="EU818" s="67">
        <v>557.98500000000001</v>
      </c>
      <c r="EV818" s="67" t="s">
        <v>6564</v>
      </c>
      <c r="EW818" s="67">
        <v>478.959</v>
      </c>
      <c r="EX818" s="67" t="s">
        <v>6565</v>
      </c>
      <c r="EY818" s="67">
        <v>5597.4</v>
      </c>
      <c r="EZ818" s="67" t="s">
        <v>6566</v>
      </c>
      <c r="FA818" s="67">
        <v>19689.391</v>
      </c>
      <c r="FB818" s="67" t="s">
        <v>6567</v>
      </c>
      <c r="FC818" s="67" t="s">
        <v>6568</v>
      </c>
      <c r="FD818" s="67" t="s">
        <v>6569</v>
      </c>
      <c r="FE818" s="68" t="s">
        <v>6570</v>
      </c>
      <c r="FF818" s="68" t="s">
        <v>6571</v>
      </c>
    </row>
    <row r="819" spans="151:162" x14ac:dyDescent="0.2">
      <c r="EU819" s="67">
        <v>557.78</v>
      </c>
      <c r="EV819" s="67" t="s">
        <v>6572</v>
      </c>
      <c r="EW819" s="67">
        <v>478.76499999999999</v>
      </c>
      <c r="EX819" s="67" t="s">
        <v>6573</v>
      </c>
      <c r="EY819" s="67">
        <v>5595.33</v>
      </c>
      <c r="EZ819" s="67" t="s">
        <v>6574</v>
      </c>
      <c r="FA819" s="67">
        <v>19679.490000000002</v>
      </c>
      <c r="FB819" s="67" t="s">
        <v>6575</v>
      </c>
      <c r="FC819" s="67" t="s">
        <v>6576</v>
      </c>
      <c r="FD819" s="67" t="s">
        <v>6577</v>
      </c>
      <c r="FE819" s="68" t="s">
        <v>6578</v>
      </c>
      <c r="FF819" s="68" t="s">
        <v>6579</v>
      </c>
    </row>
    <row r="820" spans="151:162" x14ac:dyDescent="0.2">
      <c r="EU820" s="67">
        <v>558.08000000000004</v>
      </c>
      <c r="EV820" s="67" t="s">
        <v>6580</v>
      </c>
      <c r="EW820" s="67">
        <v>479.06</v>
      </c>
      <c r="EX820" s="67" t="s">
        <v>6581</v>
      </c>
      <c r="EY820" s="67">
        <v>5598.53</v>
      </c>
      <c r="EZ820" s="67" t="s">
        <v>6582</v>
      </c>
      <c r="FA820" s="67">
        <v>19692.062999999998</v>
      </c>
      <c r="FB820" s="67" t="s">
        <v>6583</v>
      </c>
      <c r="FC820" s="67" t="s">
        <v>6584</v>
      </c>
      <c r="FD820" s="67" t="s">
        <v>6585</v>
      </c>
      <c r="FE820" s="68" t="s">
        <v>6586</v>
      </c>
      <c r="FF820" s="68" t="s">
        <v>6587</v>
      </c>
    </row>
    <row r="821" spans="151:162" x14ac:dyDescent="0.2">
      <c r="EU821" s="67">
        <v>558.39</v>
      </c>
      <c r="EV821" s="67" t="s">
        <v>6588</v>
      </c>
      <c r="EW821" s="67">
        <v>479.31</v>
      </c>
      <c r="EX821" s="67" t="s">
        <v>6589</v>
      </c>
      <c r="EY821" s="67">
        <v>5600.83</v>
      </c>
      <c r="EZ821" s="67" t="s">
        <v>6590</v>
      </c>
      <c r="FA821" s="67">
        <v>19699.435000000001</v>
      </c>
      <c r="FB821" s="67" t="s">
        <v>6591</v>
      </c>
      <c r="FC821" s="67" t="s">
        <v>6592</v>
      </c>
      <c r="FD821" s="67" t="s">
        <v>6593</v>
      </c>
      <c r="FE821" s="68" t="s">
        <v>6594</v>
      </c>
      <c r="FF821" s="68" t="s">
        <v>6595</v>
      </c>
    </row>
    <row r="822" spans="151:162" x14ac:dyDescent="0.2">
      <c r="EU822" s="67">
        <v>559.41</v>
      </c>
      <c r="EV822" s="67" t="s">
        <v>6596</v>
      </c>
      <c r="EW822" s="67">
        <v>480.35</v>
      </c>
      <c r="EX822" s="67" t="s">
        <v>6597</v>
      </c>
      <c r="EY822" s="67">
        <v>5609.91</v>
      </c>
      <c r="EZ822" s="67" t="s">
        <v>6598</v>
      </c>
      <c r="FA822" s="67">
        <v>19732.030999999999</v>
      </c>
      <c r="FB822" s="67" t="s">
        <v>6599</v>
      </c>
      <c r="FC822" s="67" t="s">
        <v>6600</v>
      </c>
      <c r="FD822" s="67" t="s">
        <v>6601</v>
      </c>
      <c r="FE822" s="68" t="s">
        <v>6602</v>
      </c>
      <c r="FF822" s="68" t="s">
        <v>6603</v>
      </c>
    </row>
    <row r="823" spans="151:162" x14ac:dyDescent="0.2">
      <c r="EU823" s="67">
        <v>560.34</v>
      </c>
      <c r="EV823" s="67" t="s">
        <v>6604</v>
      </c>
      <c r="EW823" s="67">
        <v>481.22</v>
      </c>
      <c r="EX823" s="67" t="s">
        <v>6605</v>
      </c>
      <c r="EY823" s="67">
        <v>5618.12</v>
      </c>
      <c r="EZ823" s="67" t="s">
        <v>6606</v>
      </c>
      <c r="FA823" s="67">
        <v>19768.73</v>
      </c>
      <c r="FB823" s="67" t="s">
        <v>6607</v>
      </c>
      <c r="FC823" s="67" t="s">
        <v>6608</v>
      </c>
      <c r="FD823" s="67" t="s">
        <v>6609</v>
      </c>
      <c r="FE823" s="68" t="s">
        <v>6610</v>
      </c>
      <c r="FF823" s="68" t="s">
        <v>6611</v>
      </c>
    </row>
    <row r="824" spans="151:162" x14ac:dyDescent="0.2">
      <c r="EU824" s="67">
        <v>561</v>
      </c>
      <c r="EV824" s="67" t="s">
        <v>6612</v>
      </c>
      <c r="EW824" s="67">
        <v>481.89</v>
      </c>
      <c r="EX824" s="67" t="s">
        <v>6613</v>
      </c>
      <c r="EY824" s="67">
        <v>5626.85</v>
      </c>
      <c r="EZ824" s="67" t="s">
        <v>6614</v>
      </c>
      <c r="FA824" s="67">
        <v>19803.629000000001</v>
      </c>
      <c r="FB824" s="67" t="s">
        <v>6615</v>
      </c>
      <c r="FC824" s="67" t="s">
        <v>6616</v>
      </c>
      <c r="FD824" s="67" t="s">
        <v>6617</v>
      </c>
      <c r="FE824" s="68" t="s">
        <v>6618</v>
      </c>
      <c r="FF824" s="68" t="s">
        <v>6619</v>
      </c>
    </row>
    <row r="825" spans="151:162" x14ac:dyDescent="0.2">
      <c r="EU825" s="67">
        <v>560.66</v>
      </c>
      <c r="EV825" s="67" t="s">
        <v>6620</v>
      </c>
      <c r="EW825" s="67">
        <v>481.52</v>
      </c>
      <c r="EX825" s="67" t="s">
        <v>6621</v>
      </c>
      <c r="EY825" s="67">
        <v>5623.91</v>
      </c>
      <c r="EZ825" s="67" t="s">
        <v>6622</v>
      </c>
      <c r="FA825" s="67">
        <v>19792.491000000002</v>
      </c>
      <c r="FB825" s="67" t="s">
        <v>6623</v>
      </c>
      <c r="FC825" s="67" t="s">
        <v>6624</v>
      </c>
      <c r="FD825" s="67" t="s">
        <v>6625</v>
      </c>
      <c r="FE825" s="68" t="s">
        <v>6626</v>
      </c>
      <c r="FF825" s="68" t="s">
        <v>6627</v>
      </c>
    </row>
    <row r="826" spans="151:162" x14ac:dyDescent="0.2">
      <c r="EU826" s="67">
        <v>560.77</v>
      </c>
      <c r="EV826" s="67" t="s">
        <v>6628</v>
      </c>
      <c r="EW826" s="67">
        <v>481.72</v>
      </c>
      <c r="EX826" s="67" t="s">
        <v>6629</v>
      </c>
      <c r="EY826" s="67">
        <v>5625.18</v>
      </c>
      <c r="EZ826" s="67" t="s">
        <v>6630</v>
      </c>
      <c r="FA826" s="67">
        <v>19800.256000000001</v>
      </c>
      <c r="FB826" s="67" t="s">
        <v>6631</v>
      </c>
      <c r="FC826" s="67" t="s">
        <v>6632</v>
      </c>
      <c r="FD826" s="67" t="s">
        <v>6633</v>
      </c>
      <c r="FE826" s="68" t="s">
        <v>6634</v>
      </c>
      <c r="FF826" s="68" t="s">
        <v>6635</v>
      </c>
    </row>
    <row r="827" spans="151:162" x14ac:dyDescent="0.2">
      <c r="EU827" s="67">
        <v>560.67999999999995</v>
      </c>
      <c r="EV827" s="67" t="s">
        <v>6636</v>
      </c>
      <c r="EW827" s="67">
        <v>481.59</v>
      </c>
      <c r="EX827" s="67" t="s">
        <v>6637</v>
      </c>
      <c r="EY827" s="67">
        <v>5623.2</v>
      </c>
      <c r="EZ827" s="67" t="s">
        <v>6638</v>
      </c>
      <c r="FA827" s="67">
        <v>19789.884999999998</v>
      </c>
      <c r="FB827" s="67" t="s">
        <v>6639</v>
      </c>
      <c r="FC827" s="67" t="s">
        <v>6640</v>
      </c>
      <c r="FD827" s="67" t="s">
        <v>6641</v>
      </c>
      <c r="FE827" s="68" t="s">
        <v>6642</v>
      </c>
      <c r="FF827" s="68" t="s">
        <v>6643</v>
      </c>
    </row>
    <row r="828" spans="151:162" x14ac:dyDescent="0.2">
      <c r="EU828" s="67">
        <v>560.17999999999995</v>
      </c>
      <c r="EV828" s="67" t="s">
        <v>6644</v>
      </c>
      <c r="EW828" s="67">
        <v>481.15</v>
      </c>
      <c r="EX828" s="67" t="s">
        <v>6645</v>
      </c>
      <c r="EY828" s="67">
        <v>5619.73</v>
      </c>
      <c r="EZ828" s="67" t="s">
        <v>6646</v>
      </c>
      <c r="FA828" s="67">
        <v>19781.462</v>
      </c>
      <c r="FB828" s="67" t="s">
        <v>6647</v>
      </c>
      <c r="FC828" s="67" t="s">
        <v>6648</v>
      </c>
      <c r="FD828" s="67" t="s">
        <v>6649</v>
      </c>
      <c r="FE828" s="68" t="s">
        <v>6650</v>
      </c>
      <c r="FF828" s="68" t="s">
        <v>6651</v>
      </c>
    </row>
    <row r="829" spans="151:162" x14ac:dyDescent="0.2">
      <c r="EU829" s="67">
        <v>560.15499999999997</v>
      </c>
      <c r="EV829" s="67" t="s">
        <v>6652</v>
      </c>
      <c r="EW829" s="67">
        <v>481.13</v>
      </c>
      <c r="EX829" s="67" t="s">
        <v>6653</v>
      </c>
      <c r="EY829" s="67">
        <v>5618.18</v>
      </c>
      <c r="EZ829" s="67" t="s">
        <v>6654</v>
      </c>
      <c r="FA829" s="67">
        <v>19769.214</v>
      </c>
      <c r="FB829" s="67" t="s">
        <v>6655</v>
      </c>
      <c r="FC829" s="67" t="s">
        <v>6656</v>
      </c>
      <c r="FD829" s="67" t="s">
        <v>6657</v>
      </c>
      <c r="FE829" s="68" t="s">
        <v>6658</v>
      </c>
      <c r="FF829" s="68" t="s">
        <v>6659</v>
      </c>
    </row>
    <row r="830" spans="151:162" x14ac:dyDescent="0.2">
      <c r="EU830" s="67">
        <v>560.41499999999996</v>
      </c>
      <c r="EV830" s="67" t="s">
        <v>6660</v>
      </c>
      <c r="EW830" s="67">
        <v>481.4</v>
      </c>
      <c r="EX830" s="67" t="s">
        <v>6661</v>
      </c>
      <c r="EY830" s="67">
        <v>5620.69</v>
      </c>
      <c r="EZ830" s="67" t="s">
        <v>6662</v>
      </c>
      <c r="FA830" s="67">
        <v>19784.400000000001</v>
      </c>
      <c r="FB830" s="67" t="s">
        <v>6663</v>
      </c>
      <c r="FC830" s="67" t="s">
        <v>6664</v>
      </c>
      <c r="FD830" s="67" t="s">
        <v>6665</v>
      </c>
      <c r="FE830" s="68" t="s">
        <v>6666</v>
      </c>
      <c r="FF830" s="68" t="s">
        <v>6667</v>
      </c>
    </row>
    <row r="831" spans="151:162" x14ac:dyDescent="0.2">
      <c r="EU831" s="67">
        <v>560</v>
      </c>
      <c r="EV831" s="67" t="s">
        <v>6668</v>
      </c>
      <c r="EW831" s="67">
        <v>480.98500000000001</v>
      </c>
      <c r="EX831" s="67" t="s">
        <v>6669</v>
      </c>
      <c r="EY831" s="67">
        <v>5616.95</v>
      </c>
      <c r="EZ831" s="67" t="s">
        <v>6670</v>
      </c>
      <c r="FA831" s="67">
        <v>19769.306</v>
      </c>
      <c r="FB831" s="67" t="s">
        <v>6671</v>
      </c>
      <c r="FC831" s="67" t="s">
        <v>6672</v>
      </c>
      <c r="FD831" s="67" t="s">
        <v>6673</v>
      </c>
      <c r="FE831" s="68" t="s">
        <v>6674</v>
      </c>
      <c r="FF831" s="68" t="s">
        <v>6675</v>
      </c>
    </row>
    <row r="832" spans="151:162" x14ac:dyDescent="0.2">
      <c r="EU832" s="67">
        <v>560.01</v>
      </c>
      <c r="EV832" s="67" t="s">
        <v>6676</v>
      </c>
      <c r="EW832" s="67">
        <v>481.053</v>
      </c>
      <c r="EX832" s="67" t="s">
        <v>6677</v>
      </c>
      <c r="EY832" s="67">
        <v>5617.46</v>
      </c>
      <c r="EZ832" s="67" t="s">
        <v>6678</v>
      </c>
      <c r="FA832" s="67">
        <v>19771.404999999999</v>
      </c>
      <c r="FB832" s="67" t="s">
        <v>6679</v>
      </c>
      <c r="FC832" s="67" t="s">
        <v>6680</v>
      </c>
      <c r="FD832" s="67" t="s">
        <v>6681</v>
      </c>
      <c r="FE832" s="68" t="s">
        <v>6682</v>
      </c>
      <c r="FF832" s="68" t="s">
        <v>6683</v>
      </c>
    </row>
    <row r="833" spans="151:162" x14ac:dyDescent="0.2">
      <c r="EU833" s="67">
        <v>560.22</v>
      </c>
      <c r="EV833" s="67" t="s">
        <v>6684</v>
      </c>
      <c r="EW833" s="67">
        <v>481.17200000000003</v>
      </c>
      <c r="EX833" s="67" t="s">
        <v>6685</v>
      </c>
      <c r="EY833" s="67">
        <v>5619.18</v>
      </c>
      <c r="EZ833" s="67" t="s">
        <v>6686</v>
      </c>
      <c r="FA833" s="67">
        <v>19779.505000000001</v>
      </c>
      <c r="FB833" s="67" t="s">
        <v>6687</v>
      </c>
      <c r="FC833" s="67" t="s">
        <v>6688</v>
      </c>
      <c r="FD833" s="67" t="s">
        <v>6689</v>
      </c>
      <c r="FE833" s="68" t="s">
        <v>6690</v>
      </c>
      <c r="FF833" s="68" t="s">
        <v>6691</v>
      </c>
    </row>
    <row r="834" spans="151:162" x14ac:dyDescent="0.2">
      <c r="EU834" s="67">
        <v>560.52</v>
      </c>
      <c r="EV834" s="67" t="s">
        <v>6692</v>
      </c>
      <c r="EW834" s="67">
        <v>481.44</v>
      </c>
      <c r="EX834" s="67" t="s">
        <v>6693</v>
      </c>
      <c r="EY834" s="67">
        <v>5621.85</v>
      </c>
      <c r="EZ834" s="67" t="s">
        <v>6694</v>
      </c>
      <c r="FA834" s="67">
        <v>19784.651000000002</v>
      </c>
      <c r="FB834" s="67" t="s">
        <v>6695</v>
      </c>
      <c r="FC834" s="67" t="s">
        <v>6696</v>
      </c>
      <c r="FD834" s="67" t="s">
        <v>6697</v>
      </c>
      <c r="FE834" s="68" t="s">
        <v>6698</v>
      </c>
      <c r="FF834" s="68" t="s">
        <v>6699</v>
      </c>
    </row>
    <row r="835" spans="151:162" x14ac:dyDescent="0.2">
      <c r="EU835" s="67">
        <v>560.55999999999995</v>
      </c>
      <c r="EV835" s="67" t="s">
        <v>6700</v>
      </c>
      <c r="EW835" s="67">
        <v>481.48</v>
      </c>
      <c r="EX835" s="67" t="s">
        <v>6701</v>
      </c>
      <c r="EY835" s="67">
        <v>5622.78</v>
      </c>
      <c r="EZ835" s="67" t="s">
        <v>6702</v>
      </c>
      <c r="FA835" s="67">
        <v>19789.915000000001</v>
      </c>
      <c r="FB835" s="67" t="s">
        <v>6703</v>
      </c>
      <c r="FC835" s="67" t="s">
        <v>6704</v>
      </c>
      <c r="FD835" s="67" t="s">
        <v>6705</v>
      </c>
      <c r="FE835" s="68" t="s">
        <v>6706</v>
      </c>
      <c r="FF835" s="68" t="s">
        <v>6707</v>
      </c>
    </row>
    <row r="836" spans="151:162" x14ac:dyDescent="0.2">
      <c r="EU836" s="67">
        <v>560.37</v>
      </c>
      <c r="EV836" s="67" t="s">
        <v>6708</v>
      </c>
      <c r="EW836" s="67">
        <v>481.31</v>
      </c>
      <c r="EX836" s="67" t="s">
        <v>6709</v>
      </c>
      <c r="EY836" s="67">
        <v>5621.26</v>
      </c>
      <c r="EZ836" s="67" t="s">
        <v>6710</v>
      </c>
      <c r="FA836" s="67">
        <v>19785.272000000001</v>
      </c>
      <c r="FB836" s="67" t="s">
        <v>6711</v>
      </c>
      <c r="FC836" s="67" t="s">
        <v>6712</v>
      </c>
      <c r="FD836" s="67" t="s">
        <v>6713</v>
      </c>
      <c r="FE836" s="68" t="s">
        <v>6714</v>
      </c>
      <c r="FF836" s="68" t="s">
        <v>6715</v>
      </c>
    </row>
    <row r="837" spans="151:162" x14ac:dyDescent="0.2">
      <c r="EU837" s="67">
        <v>559.66999999999996</v>
      </c>
      <c r="EV837" s="67" t="s">
        <v>6716</v>
      </c>
      <c r="EW837" s="67">
        <v>480.66300000000001</v>
      </c>
      <c r="EX837" s="67" t="s">
        <v>6717</v>
      </c>
      <c r="EY837" s="67">
        <v>5614.26</v>
      </c>
      <c r="EZ837" s="67" t="s">
        <v>6718</v>
      </c>
      <c r="FA837" s="67">
        <v>19757.663</v>
      </c>
      <c r="FB837" s="67" t="s">
        <v>6719</v>
      </c>
      <c r="FC837" s="67" t="s">
        <v>6720</v>
      </c>
      <c r="FD837" s="67" t="s">
        <v>6721</v>
      </c>
      <c r="FE837" s="68" t="s">
        <v>6722</v>
      </c>
      <c r="FF837" s="68" t="s">
        <v>6723</v>
      </c>
    </row>
    <row r="838" spans="151:162" x14ac:dyDescent="0.2">
      <c r="EU838" s="67">
        <v>559.76</v>
      </c>
      <c r="EV838" s="67" t="s">
        <v>6724</v>
      </c>
      <c r="EW838" s="67">
        <v>480.73</v>
      </c>
      <c r="EX838" s="67" t="s">
        <v>6725</v>
      </c>
      <c r="EY838" s="67">
        <v>5614.67</v>
      </c>
      <c r="EZ838" s="67" t="s">
        <v>6726</v>
      </c>
      <c r="FA838" s="67">
        <v>19757.656999999999</v>
      </c>
      <c r="FB838" s="67" t="s">
        <v>6727</v>
      </c>
      <c r="FC838" s="67" t="s">
        <v>6728</v>
      </c>
      <c r="FD838" s="67" t="s">
        <v>6729</v>
      </c>
      <c r="FE838" s="68" t="s">
        <v>6730</v>
      </c>
      <c r="FF838" s="68" t="s">
        <v>6731</v>
      </c>
    </row>
    <row r="839" spans="151:162" x14ac:dyDescent="0.2">
      <c r="EU839" s="67">
        <v>560.24</v>
      </c>
      <c r="EV839" s="67" t="s">
        <v>6732</v>
      </c>
      <c r="EW839" s="67">
        <v>481.3</v>
      </c>
      <c r="EX839" s="67" t="s">
        <v>6733</v>
      </c>
      <c r="EY839" s="67">
        <v>5619.8</v>
      </c>
      <c r="EZ839" s="67" t="s">
        <v>6734</v>
      </c>
      <c r="FA839" s="67">
        <v>19780.771000000001</v>
      </c>
      <c r="FB839" s="67" t="s">
        <v>6735</v>
      </c>
      <c r="FC839" s="67" t="s">
        <v>6736</v>
      </c>
      <c r="FD839" s="67" t="s">
        <v>6737</v>
      </c>
      <c r="FE839" s="68" t="s">
        <v>6738</v>
      </c>
      <c r="FF839" s="68" t="s">
        <v>6739</v>
      </c>
    </row>
    <row r="840" spans="151:162" x14ac:dyDescent="0.2">
      <c r="EU840" s="67">
        <v>560.06500000000005</v>
      </c>
      <c r="EV840" s="67" t="s">
        <v>6740</v>
      </c>
      <c r="EW840" s="67">
        <v>481.07</v>
      </c>
      <c r="EX840" s="67" t="s">
        <v>6741</v>
      </c>
      <c r="EY840" s="67">
        <v>5618.86</v>
      </c>
      <c r="EZ840" s="67" t="s">
        <v>6742</v>
      </c>
      <c r="FA840" s="67">
        <v>19779.074000000001</v>
      </c>
      <c r="FB840" s="67" t="s">
        <v>6743</v>
      </c>
      <c r="FC840" s="67" t="s">
        <v>6744</v>
      </c>
      <c r="FD840" s="67" t="s">
        <v>6745</v>
      </c>
      <c r="FE840" s="68" t="s">
        <v>6746</v>
      </c>
      <c r="FF840" s="68" t="s">
        <v>6747</v>
      </c>
    </row>
    <row r="841" spans="151:162" x14ac:dyDescent="0.2">
      <c r="EU841" s="67">
        <v>560.30999999999995</v>
      </c>
      <c r="EV841" s="67" t="s">
        <v>6748</v>
      </c>
      <c r="EW841" s="67">
        <v>481.23</v>
      </c>
      <c r="EX841" s="67" t="s">
        <v>6749</v>
      </c>
      <c r="EY841" s="67">
        <v>5619.61</v>
      </c>
      <c r="EZ841" s="67" t="s">
        <v>6750</v>
      </c>
      <c r="FA841" s="67">
        <v>19778.192999999999</v>
      </c>
      <c r="FB841" s="67" t="s">
        <v>6751</v>
      </c>
      <c r="FC841" s="67" t="s">
        <v>6752</v>
      </c>
      <c r="FD841" s="67" t="s">
        <v>6753</v>
      </c>
      <c r="FE841" s="68" t="s">
        <v>6754</v>
      </c>
      <c r="FF841" s="68" t="s">
        <v>6755</v>
      </c>
    </row>
    <row r="842" spans="151:162" x14ac:dyDescent="0.2">
      <c r="EU842" s="67">
        <v>559.74</v>
      </c>
      <c r="EV842" s="67" t="s">
        <v>6756</v>
      </c>
      <c r="EW842" s="67">
        <v>480.71</v>
      </c>
      <c r="EX842" s="67" t="s">
        <v>6757</v>
      </c>
      <c r="EY842" s="67">
        <v>5615.29</v>
      </c>
      <c r="EZ842" s="67" t="s">
        <v>6758</v>
      </c>
      <c r="FA842" s="67">
        <v>19764.654999999999</v>
      </c>
      <c r="FB842" s="67" t="s">
        <v>6759</v>
      </c>
      <c r="FC842" s="67" t="s">
        <v>6760</v>
      </c>
      <c r="FD842" s="67" t="s">
        <v>6761</v>
      </c>
      <c r="FE842" s="68" t="s">
        <v>6762</v>
      </c>
      <c r="FF842" s="68" t="s">
        <v>6763</v>
      </c>
    </row>
    <row r="843" spans="151:162" x14ac:dyDescent="0.2">
      <c r="EU843" s="67">
        <v>560.02</v>
      </c>
      <c r="EV843" s="67" t="s">
        <v>6764</v>
      </c>
      <c r="EW843" s="67">
        <v>481</v>
      </c>
      <c r="EX843" s="67" t="s">
        <v>6765</v>
      </c>
      <c r="EY843" s="67">
        <v>5617.2</v>
      </c>
      <c r="EZ843" s="67" t="s">
        <v>6766</v>
      </c>
      <c r="FA843" s="67">
        <v>19768.928</v>
      </c>
      <c r="FB843" s="67" t="s">
        <v>6767</v>
      </c>
      <c r="FC843" s="67" t="s">
        <v>6768</v>
      </c>
      <c r="FD843" s="67" t="s">
        <v>6769</v>
      </c>
      <c r="FE843" s="68" t="s">
        <v>6770</v>
      </c>
      <c r="FF843" s="68" t="s">
        <v>6771</v>
      </c>
    </row>
    <row r="844" spans="151:162" x14ac:dyDescent="0.2">
      <c r="EU844" s="67">
        <v>559.63</v>
      </c>
      <c r="EV844" s="67" t="s">
        <v>6772</v>
      </c>
      <c r="EW844" s="67">
        <v>480.6</v>
      </c>
      <c r="EX844" s="67" t="s">
        <v>6773</v>
      </c>
      <c r="EY844" s="67">
        <v>5612.71</v>
      </c>
      <c r="EZ844" s="67" t="s">
        <v>6774</v>
      </c>
      <c r="FA844" s="67">
        <v>19750.514999999999</v>
      </c>
      <c r="FB844" s="67" t="s">
        <v>6775</v>
      </c>
      <c r="FC844" s="67" t="s">
        <v>6776</v>
      </c>
      <c r="FD844" s="67" t="s">
        <v>6777</v>
      </c>
      <c r="FE844" s="68" t="s">
        <v>6778</v>
      </c>
      <c r="FF844" s="68" t="s">
        <v>6779</v>
      </c>
    </row>
    <row r="845" spans="151:162" x14ac:dyDescent="0.2">
      <c r="EU845" s="67">
        <v>560.46</v>
      </c>
      <c r="EV845" s="67" t="s">
        <v>6780</v>
      </c>
      <c r="EW845" s="67">
        <v>481.36</v>
      </c>
      <c r="EX845" s="67" t="s">
        <v>6781</v>
      </c>
      <c r="EY845" s="67">
        <v>5621.14</v>
      </c>
      <c r="EZ845" s="67" t="s">
        <v>6782</v>
      </c>
      <c r="FA845" s="67">
        <v>19780.758000000002</v>
      </c>
      <c r="FB845" s="67" t="s">
        <v>6783</v>
      </c>
      <c r="FC845" s="67" t="s">
        <v>6784</v>
      </c>
      <c r="FD845" s="67" t="s">
        <v>6785</v>
      </c>
      <c r="FE845" s="68" t="s">
        <v>6786</v>
      </c>
      <c r="FF845" s="68" t="s">
        <v>6787</v>
      </c>
    </row>
    <row r="846" spans="151:162" x14ac:dyDescent="0.2">
      <c r="EU846" s="67">
        <v>560.32000000000005</v>
      </c>
      <c r="EV846" s="67" t="s">
        <v>6788</v>
      </c>
      <c r="EW846" s="67">
        <v>481.21</v>
      </c>
      <c r="EX846" s="67" t="s">
        <v>6789</v>
      </c>
      <c r="EY846" s="67">
        <v>5620.22</v>
      </c>
      <c r="EZ846" s="67" t="s">
        <v>6790</v>
      </c>
      <c r="FA846" s="67">
        <v>19778.502</v>
      </c>
      <c r="FB846" s="67" t="s">
        <v>6791</v>
      </c>
      <c r="FC846" s="67" t="s">
        <v>6792</v>
      </c>
      <c r="FD846" s="67" t="s">
        <v>6793</v>
      </c>
      <c r="FE846" s="68" t="s">
        <v>6794</v>
      </c>
      <c r="FF846" s="68" t="s">
        <v>6795</v>
      </c>
    </row>
    <row r="847" spans="151:162" x14ac:dyDescent="0.2">
      <c r="EU847" s="67">
        <v>559.96</v>
      </c>
      <c r="EV847" s="67" t="s">
        <v>6796</v>
      </c>
      <c r="EW847" s="67">
        <v>480.87</v>
      </c>
      <c r="EX847" s="67" t="s">
        <v>6797</v>
      </c>
      <c r="EY847" s="67">
        <v>5617.3</v>
      </c>
      <c r="EZ847" s="67" t="s">
        <v>6798</v>
      </c>
      <c r="FA847" s="67">
        <v>19767.685000000001</v>
      </c>
      <c r="FB847" s="67" t="s">
        <v>6799</v>
      </c>
      <c r="FC847" s="67" t="s">
        <v>6800</v>
      </c>
      <c r="FD847" s="67" t="s">
        <v>6801</v>
      </c>
      <c r="FE847" s="68" t="s">
        <v>6802</v>
      </c>
      <c r="FF847" s="68" t="s">
        <v>6803</v>
      </c>
    </row>
    <row r="848" spans="151:162" x14ac:dyDescent="0.2">
      <c r="EU848" s="67">
        <v>559.96</v>
      </c>
      <c r="EV848" s="67" t="s">
        <v>6804</v>
      </c>
      <c r="EW848" s="67">
        <v>480.85</v>
      </c>
      <c r="EX848" s="67" t="s">
        <v>6805</v>
      </c>
      <c r="EY848" s="67">
        <v>5616.55</v>
      </c>
      <c r="EZ848" s="67" t="s">
        <v>6806</v>
      </c>
      <c r="FA848" s="67">
        <v>19765.182000000001</v>
      </c>
      <c r="FB848" s="67" t="s">
        <v>6807</v>
      </c>
      <c r="FC848" s="67" t="s">
        <v>6808</v>
      </c>
      <c r="FD848" s="67" t="s">
        <v>6809</v>
      </c>
      <c r="FE848" s="68" t="s">
        <v>6810</v>
      </c>
      <c r="FF848" s="68" t="s">
        <v>6811</v>
      </c>
    </row>
    <row r="849" spans="151:162" x14ac:dyDescent="0.2">
      <c r="EU849" s="67">
        <v>559.79</v>
      </c>
      <c r="EV849" s="67" t="s">
        <v>6812</v>
      </c>
      <c r="EW849" s="67">
        <v>480.74</v>
      </c>
      <c r="EX849" s="67" t="s">
        <v>6813</v>
      </c>
      <c r="EY849" s="67">
        <v>5615.54</v>
      </c>
      <c r="EZ849" s="67" t="s">
        <v>6814</v>
      </c>
      <c r="FA849" s="67">
        <v>19762.901000000002</v>
      </c>
      <c r="FB849" s="67" t="s">
        <v>6815</v>
      </c>
      <c r="FC849" s="67" t="s">
        <v>6816</v>
      </c>
      <c r="FD849" s="67" t="s">
        <v>6817</v>
      </c>
      <c r="FE849" s="68" t="s">
        <v>6818</v>
      </c>
      <c r="FF849" s="68" t="s">
        <v>6819</v>
      </c>
    </row>
    <row r="850" spans="151:162" x14ac:dyDescent="0.2">
      <c r="EU850" s="67">
        <v>559.38</v>
      </c>
      <c r="EV850" s="67" t="s">
        <v>6820</v>
      </c>
      <c r="EW850" s="67">
        <v>480.33</v>
      </c>
      <c r="EX850" s="67" t="s">
        <v>6821</v>
      </c>
      <c r="EY850" s="67">
        <v>5611.2</v>
      </c>
      <c r="EZ850" s="67" t="s">
        <v>6822</v>
      </c>
      <c r="FA850" s="67">
        <v>19745.330999999998</v>
      </c>
      <c r="FB850" s="67" t="s">
        <v>6823</v>
      </c>
      <c r="FC850" s="67" t="s">
        <v>6824</v>
      </c>
      <c r="FD850" s="67" t="s">
        <v>6825</v>
      </c>
      <c r="FE850" s="68" t="s">
        <v>6826</v>
      </c>
      <c r="FF850" s="68" t="s">
        <v>6827</v>
      </c>
    </row>
    <row r="851" spans="151:162" x14ac:dyDescent="0.2">
      <c r="EU851" s="67">
        <v>558.82000000000005</v>
      </c>
      <c r="EV851" s="67" t="s">
        <v>6828</v>
      </c>
      <c r="EW851" s="67">
        <v>479.87</v>
      </c>
      <c r="EX851" s="67" t="s">
        <v>6829</v>
      </c>
      <c r="EY851" s="67">
        <v>5605.48</v>
      </c>
      <c r="EZ851" s="67" t="s">
        <v>6830</v>
      </c>
      <c r="FA851" s="67">
        <v>19727.457999999999</v>
      </c>
      <c r="FB851" s="67" t="s">
        <v>6831</v>
      </c>
      <c r="FC851" s="67" t="s">
        <v>6832</v>
      </c>
      <c r="FD851" s="67" t="s">
        <v>6833</v>
      </c>
      <c r="FE851" s="68" t="s">
        <v>6834</v>
      </c>
      <c r="FF851" s="68" t="s">
        <v>6835</v>
      </c>
    </row>
    <row r="852" spans="151:162" x14ac:dyDescent="0.2">
      <c r="EU852" s="67">
        <v>557.96</v>
      </c>
      <c r="EV852" s="67" t="s">
        <v>6836</v>
      </c>
      <c r="EW852" s="67">
        <v>479.113</v>
      </c>
      <c r="EX852" s="67" t="s">
        <v>6837</v>
      </c>
      <c r="EY852" s="67">
        <v>5598.09</v>
      </c>
      <c r="EZ852" s="67" t="s">
        <v>6838</v>
      </c>
      <c r="FA852" s="67">
        <v>19702.067999999999</v>
      </c>
      <c r="FB852" s="67" t="s">
        <v>6839</v>
      </c>
      <c r="FC852" s="67" t="s">
        <v>6840</v>
      </c>
      <c r="FD852" s="67" t="s">
        <v>6841</v>
      </c>
      <c r="FE852" s="68" t="s">
        <v>6842</v>
      </c>
      <c r="FF852" s="68" t="s">
        <v>6843</v>
      </c>
    </row>
    <row r="853" spans="151:162" x14ac:dyDescent="0.2">
      <c r="EU853" s="67">
        <v>558.03499999999997</v>
      </c>
      <c r="EV853" s="67" t="s">
        <v>6844</v>
      </c>
      <c r="EW853" s="67">
        <v>479.13</v>
      </c>
      <c r="EX853" s="67" t="s">
        <v>6845</v>
      </c>
      <c r="EY853" s="67">
        <v>5597.58</v>
      </c>
      <c r="EZ853" s="67" t="s">
        <v>6846</v>
      </c>
      <c r="FA853" s="67">
        <v>19697.194</v>
      </c>
      <c r="FB853" s="67" t="s">
        <v>6847</v>
      </c>
      <c r="FC853" s="67" t="s">
        <v>6848</v>
      </c>
      <c r="FD853" s="67" t="s">
        <v>6849</v>
      </c>
      <c r="FE853" s="68" t="s">
        <v>6850</v>
      </c>
      <c r="FF853" s="68" t="s">
        <v>6851</v>
      </c>
    </row>
    <row r="854" spans="151:162" x14ac:dyDescent="0.2">
      <c r="EU854" s="67">
        <v>558.12</v>
      </c>
      <c r="EV854" s="67" t="s">
        <v>6852</v>
      </c>
      <c r="EW854" s="67">
        <v>479.19</v>
      </c>
      <c r="EX854" s="67" t="s">
        <v>6853</v>
      </c>
      <c r="EY854" s="67">
        <v>5598.33</v>
      </c>
      <c r="EZ854" s="67" t="s">
        <v>6854</v>
      </c>
      <c r="FA854" s="67">
        <v>19697.807000000001</v>
      </c>
      <c r="FB854" s="67" t="s">
        <v>6855</v>
      </c>
      <c r="FC854" s="67" t="s">
        <v>6856</v>
      </c>
      <c r="FD854" s="67" t="s">
        <v>6857</v>
      </c>
      <c r="FE854" s="68" t="s">
        <v>6858</v>
      </c>
      <c r="FF854" s="68" t="s">
        <v>6859</v>
      </c>
    </row>
    <row r="855" spans="151:162" x14ac:dyDescent="0.2">
      <c r="EU855" s="67">
        <v>557.99</v>
      </c>
      <c r="EV855" s="67" t="s">
        <v>6860</v>
      </c>
      <c r="EW855" s="67">
        <v>479.15</v>
      </c>
      <c r="EX855" s="67" t="s">
        <v>6861</v>
      </c>
      <c r="EY855" s="67">
        <v>5596.64</v>
      </c>
      <c r="EZ855" s="67" t="s">
        <v>6862</v>
      </c>
      <c r="FA855" s="67">
        <v>19694.862000000001</v>
      </c>
      <c r="FB855" s="67" t="s">
        <v>6863</v>
      </c>
      <c r="FC855" s="67" t="s">
        <v>6864</v>
      </c>
      <c r="FD855" s="67" t="s">
        <v>6865</v>
      </c>
      <c r="FE855" s="68" t="s">
        <v>6866</v>
      </c>
      <c r="FF855" s="68" t="s">
        <v>6867</v>
      </c>
    </row>
    <row r="856" spans="151:162" x14ac:dyDescent="0.2">
      <c r="EU856" s="67">
        <v>558.09</v>
      </c>
      <c r="EV856" s="67" t="s">
        <v>6868</v>
      </c>
      <c r="EW856" s="67">
        <v>479.34</v>
      </c>
      <c r="EX856" s="67" t="s">
        <v>6869</v>
      </c>
      <c r="EY856" s="67">
        <v>5598.54</v>
      </c>
      <c r="EZ856" s="67" t="s">
        <v>6870</v>
      </c>
      <c r="FA856" s="67">
        <v>19702.830999999998</v>
      </c>
      <c r="FB856" s="67" t="s">
        <v>6871</v>
      </c>
      <c r="FC856" s="67" t="s">
        <v>6872</v>
      </c>
      <c r="FD856" s="67" t="s">
        <v>6873</v>
      </c>
      <c r="FE856" s="68" t="s">
        <v>6874</v>
      </c>
      <c r="FF856" s="68" t="s">
        <v>6875</v>
      </c>
    </row>
    <row r="857" spans="151:162" x14ac:dyDescent="0.2">
      <c r="EU857" s="67">
        <v>558.15</v>
      </c>
      <c r="EV857" s="67" t="s">
        <v>6876</v>
      </c>
      <c r="EW857" s="67">
        <v>479.45</v>
      </c>
      <c r="EX857" s="67" t="s">
        <v>6877</v>
      </c>
      <c r="EY857" s="67">
        <v>5598.73</v>
      </c>
      <c r="EZ857" s="67" t="s">
        <v>6878</v>
      </c>
      <c r="FA857" s="67">
        <v>19705.645</v>
      </c>
      <c r="FB857" s="67" t="s">
        <v>6879</v>
      </c>
      <c r="FC857" s="67" t="s">
        <v>6880</v>
      </c>
      <c r="FD857" s="67" t="s">
        <v>6881</v>
      </c>
      <c r="FE857" s="68" t="s">
        <v>6882</v>
      </c>
      <c r="FF857" s="68" t="s">
        <v>6883</v>
      </c>
    </row>
    <row r="858" spans="151:162" x14ac:dyDescent="0.2">
      <c r="EU858" s="67">
        <v>558.22</v>
      </c>
      <c r="EV858" s="67" t="s">
        <v>6884</v>
      </c>
      <c r="EW858" s="67">
        <v>479.57</v>
      </c>
      <c r="EX858" s="67" t="s">
        <v>6885</v>
      </c>
      <c r="EY858" s="67">
        <v>5599.27</v>
      </c>
      <c r="EZ858" s="67" t="s">
        <v>6886</v>
      </c>
      <c r="FA858" s="67">
        <v>19708.52</v>
      </c>
      <c r="FB858" s="67" t="s">
        <v>6887</v>
      </c>
      <c r="FC858" s="67" t="s">
        <v>6888</v>
      </c>
      <c r="FD858" s="67" t="s">
        <v>6889</v>
      </c>
      <c r="FE858" s="68" t="s">
        <v>6890</v>
      </c>
      <c r="FF858" s="68" t="s">
        <v>6891</v>
      </c>
    </row>
    <row r="859" spans="151:162" x14ac:dyDescent="0.2">
      <c r="EU859" s="67">
        <v>557.73</v>
      </c>
      <c r="EV859" s="67" t="s">
        <v>6892</v>
      </c>
      <c r="EW859" s="67">
        <v>479.02</v>
      </c>
      <c r="EX859" s="67" t="s">
        <v>6893</v>
      </c>
      <c r="EY859" s="67">
        <v>5595.2</v>
      </c>
      <c r="EZ859" s="67" t="s">
        <v>6894</v>
      </c>
      <c r="FA859" s="67">
        <v>19695.683000000001</v>
      </c>
      <c r="FB859" s="67" t="s">
        <v>6895</v>
      </c>
      <c r="FC859" s="67" t="s">
        <v>6896</v>
      </c>
      <c r="FD859" s="67" t="s">
        <v>6897</v>
      </c>
      <c r="FE859" s="68" t="s">
        <v>6898</v>
      </c>
      <c r="FF859" s="68" t="s">
        <v>6899</v>
      </c>
    </row>
    <row r="860" spans="151:162" x14ac:dyDescent="0.2">
      <c r="EU860" s="67">
        <v>557.91999999999996</v>
      </c>
      <c r="EV860" s="67" t="s">
        <v>6900</v>
      </c>
      <c r="EW860" s="67">
        <v>479.24</v>
      </c>
      <c r="EX860" s="67" t="s">
        <v>6901</v>
      </c>
      <c r="EY860" s="67">
        <v>5596.18</v>
      </c>
      <c r="EZ860" s="67" t="s">
        <v>6902</v>
      </c>
      <c r="FA860" s="67">
        <v>19699.319</v>
      </c>
      <c r="FB860" s="67" t="s">
        <v>6903</v>
      </c>
      <c r="FC860" s="67" t="s">
        <v>6904</v>
      </c>
      <c r="FD860" s="67" t="s">
        <v>6905</v>
      </c>
      <c r="FE860" s="68" t="s">
        <v>6906</v>
      </c>
      <c r="FF860" s="68" t="s">
        <v>6907</v>
      </c>
    </row>
    <row r="861" spans="151:162" x14ac:dyDescent="0.2">
      <c r="EU861" s="67">
        <v>558.57000000000005</v>
      </c>
      <c r="EV861" s="67" t="s">
        <v>6908</v>
      </c>
      <c r="EW861" s="67">
        <v>479.86</v>
      </c>
      <c r="EX861" s="67" t="s">
        <v>6909</v>
      </c>
      <c r="EY861" s="67">
        <v>5601.95</v>
      </c>
      <c r="EZ861" s="67" t="s">
        <v>6910</v>
      </c>
      <c r="FA861" s="67">
        <v>19718.195</v>
      </c>
      <c r="FB861" s="67" t="s">
        <v>6911</v>
      </c>
      <c r="FC861" s="67" t="s">
        <v>6912</v>
      </c>
      <c r="FD861" s="67" t="s">
        <v>6913</v>
      </c>
      <c r="FE861" s="68" t="s">
        <v>6914</v>
      </c>
      <c r="FF861" s="68" t="s">
        <v>6915</v>
      </c>
    </row>
    <row r="862" spans="151:162" x14ac:dyDescent="0.2">
      <c r="EU862" s="67">
        <v>558.94000000000005</v>
      </c>
      <c r="EV862" s="67" t="s">
        <v>6916</v>
      </c>
      <c r="EW862" s="67">
        <v>480.26</v>
      </c>
      <c r="EX862" s="67" t="s">
        <v>6917</v>
      </c>
      <c r="EY862" s="67">
        <v>5606.49</v>
      </c>
      <c r="EZ862" s="67" t="s">
        <v>6918</v>
      </c>
      <c r="FA862" s="67">
        <v>19737.095000000001</v>
      </c>
      <c r="FB862" s="67" t="s">
        <v>6919</v>
      </c>
      <c r="FC862" s="67" t="s">
        <v>6920</v>
      </c>
      <c r="FD862" s="67" t="s">
        <v>6921</v>
      </c>
      <c r="FE862" s="68" t="s">
        <v>6922</v>
      </c>
      <c r="FF862" s="68" t="s">
        <v>6923</v>
      </c>
    </row>
    <row r="863" spans="151:162" x14ac:dyDescent="0.2">
      <c r="EU863" s="67">
        <v>558.50599999999997</v>
      </c>
      <c r="EV863" s="67" t="s">
        <v>6924</v>
      </c>
      <c r="EW863" s="67">
        <v>479.9</v>
      </c>
      <c r="EX863" s="67" t="s">
        <v>6925</v>
      </c>
      <c r="EY863" s="67">
        <v>5602.97</v>
      </c>
      <c r="EZ863" s="67" t="s">
        <v>6926</v>
      </c>
      <c r="FA863" s="67">
        <v>19729.589</v>
      </c>
      <c r="FB863" s="67" t="s">
        <v>6927</v>
      </c>
      <c r="FC863" s="67" t="s">
        <v>6928</v>
      </c>
      <c r="FD863" s="67" t="s">
        <v>6929</v>
      </c>
      <c r="FE863" s="68" t="s">
        <v>6930</v>
      </c>
      <c r="FF863" s="68" t="s">
        <v>6931</v>
      </c>
    </row>
    <row r="864" spans="151:162" x14ac:dyDescent="0.2">
      <c r="EU864" s="67">
        <v>558.9</v>
      </c>
      <c r="EV864" s="67" t="s">
        <v>6932</v>
      </c>
      <c r="EW864" s="67">
        <v>480.27</v>
      </c>
      <c r="EX864" s="67" t="s">
        <v>6933</v>
      </c>
      <c r="EY864" s="67">
        <v>5605.3</v>
      </c>
      <c r="EZ864" s="67" t="s">
        <v>6934</v>
      </c>
      <c r="FA864" s="67">
        <v>19736.486000000001</v>
      </c>
      <c r="FB864" s="67" t="s">
        <v>6935</v>
      </c>
      <c r="FC864" s="67" t="s">
        <v>6936</v>
      </c>
      <c r="FD864" s="67" t="s">
        <v>6937</v>
      </c>
      <c r="FE864" s="68" t="s">
        <v>6938</v>
      </c>
      <c r="FF864" s="68" t="s">
        <v>6939</v>
      </c>
    </row>
    <row r="865" spans="151:162" x14ac:dyDescent="0.2">
      <c r="EU865" s="67">
        <v>558.94000000000005</v>
      </c>
      <c r="EV865" s="67" t="s">
        <v>6940</v>
      </c>
      <c r="EW865" s="67">
        <v>480.27</v>
      </c>
      <c r="EX865" s="67" t="s">
        <v>6941</v>
      </c>
      <c r="EY865" s="67">
        <v>5606.76</v>
      </c>
      <c r="EZ865" s="67" t="s">
        <v>6942</v>
      </c>
      <c r="FA865" s="67">
        <v>19740.163</v>
      </c>
      <c r="FB865" s="67" t="s">
        <v>6943</v>
      </c>
      <c r="FC865" s="67" t="s">
        <v>6944</v>
      </c>
      <c r="FD865" s="67" t="s">
        <v>6945</v>
      </c>
      <c r="FE865" s="68" t="s">
        <v>6946</v>
      </c>
      <c r="FF865" s="68" t="s">
        <v>6947</v>
      </c>
    </row>
    <row r="866" spans="151:162" x14ac:dyDescent="0.2">
      <c r="EU866" s="67">
        <v>561.73</v>
      </c>
      <c r="EV866" s="67" t="s">
        <v>6948</v>
      </c>
      <c r="EW866" s="67">
        <v>483.51</v>
      </c>
      <c r="EX866" s="67" t="s">
        <v>6949</v>
      </c>
      <c r="EY866" s="67">
        <v>5633.97</v>
      </c>
      <c r="EZ866" s="67" t="s">
        <v>6950</v>
      </c>
      <c r="FA866" s="67">
        <v>19861.752</v>
      </c>
      <c r="FB866" s="67" t="s">
        <v>6951</v>
      </c>
      <c r="FC866" s="67" t="s">
        <v>6952</v>
      </c>
      <c r="FD866" s="67" t="s">
        <v>6953</v>
      </c>
      <c r="FE866" s="68" t="s">
        <v>6954</v>
      </c>
      <c r="FF866" s="68" t="s">
        <v>6955</v>
      </c>
    </row>
    <row r="867" spans="151:162" x14ac:dyDescent="0.2">
      <c r="EU867" s="67">
        <v>563.44000000000005</v>
      </c>
      <c r="EV867" s="67" t="s">
        <v>6956</v>
      </c>
      <c r="EW867" s="67">
        <v>485.36</v>
      </c>
      <c r="EX867" s="67" t="s">
        <v>6957</v>
      </c>
      <c r="EY867" s="67">
        <v>5651.29</v>
      </c>
      <c r="EZ867" s="67" t="s">
        <v>6958</v>
      </c>
      <c r="FA867" s="67">
        <v>19943.152999999998</v>
      </c>
      <c r="FB867" s="67" t="s">
        <v>6959</v>
      </c>
      <c r="FC867" s="67" t="s">
        <v>6960</v>
      </c>
      <c r="FD867" s="67" t="s">
        <v>6961</v>
      </c>
      <c r="FE867" s="68" t="s">
        <v>6962</v>
      </c>
      <c r="FF867" s="68" t="s">
        <v>6963</v>
      </c>
    </row>
    <row r="868" spans="151:162" x14ac:dyDescent="0.2">
      <c r="EU868" s="67">
        <v>562.41</v>
      </c>
      <c r="EV868" s="67" t="s">
        <v>6964</v>
      </c>
      <c r="EW868" s="67">
        <v>484.47</v>
      </c>
      <c r="EX868" s="67" t="s">
        <v>6965</v>
      </c>
      <c r="EY868" s="67">
        <v>5641.84</v>
      </c>
      <c r="EZ868" s="67" t="s">
        <v>6966</v>
      </c>
      <c r="FA868" s="67">
        <v>19920.921999999999</v>
      </c>
      <c r="FB868" s="67" t="s">
        <v>6967</v>
      </c>
      <c r="FC868" s="67" t="s">
        <v>6968</v>
      </c>
      <c r="FD868" s="67" t="s">
        <v>6969</v>
      </c>
      <c r="FE868" s="68" t="s">
        <v>6970</v>
      </c>
      <c r="FF868" s="68" t="s">
        <v>6971</v>
      </c>
    </row>
    <row r="869" spans="151:162" x14ac:dyDescent="0.2">
      <c r="EU869" s="67">
        <v>562.71</v>
      </c>
      <c r="EV869" s="67" t="s">
        <v>6972</v>
      </c>
      <c r="EW869" s="67">
        <v>485.07</v>
      </c>
      <c r="EX869" s="67" t="s">
        <v>6973</v>
      </c>
      <c r="EY869" s="67">
        <v>5644.55</v>
      </c>
      <c r="EZ869" s="67" t="s">
        <v>6974</v>
      </c>
      <c r="FA869" s="67">
        <v>19933.257000000001</v>
      </c>
      <c r="FB869" s="67" t="s">
        <v>6975</v>
      </c>
      <c r="FC869" s="67" t="s">
        <v>6976</v>
      </c>
      <c r="FD869" s="67" t="s">
        <v>6977</v>
      </c>
      <c r="FE869" s="68" t="s">
        <v>6978</v>
      </c>
      <c r="FF869" s="68" t="s">
        <v>6979</v>
      </c>
    </row>
    <row r="870" spans="151:162" x14ac:dyDescent="0.2">
      <c r="EU870" s="67">
        <v>561.6</v>
      </c>
      <c r="EV870" s="67" t="s">
        <v>6980</v>
      </c>
      <c r="EW870" s="67">
        <v>483.78</v>
      </c>
      <c r="EX870" s="67" t="s">
        <v>6981</v>
      </c>
      <c r="EY870" s="67">
        <v>5633.11</v>
      </c>
      <c r="EZ870" s="67" t="s">
        <v>6982</v>
      </c>
      <c r="FA870" s="67">
        <v>19884.955000000002</v>
      </c>
      <c r="FB870" s="67" t="s">
        <v>6983</v>
      </c>
      <c r="FC870" s="67" t="s">
        <v>6984</v>
      </c>
      <c r="FD870" s="67" t="s">
        <v>6985</v>
      </c>
      <c r="FE870" s="68" t="s">
        <v>6986</v>
      </c>
      <c r="FF870" s="68" t="s">
        <v>6987</v>
      </c>
    </row>
    <row r="871" spans="151:162" x14ac:dyDescent="0.2">
      <c r="EU871" s="67">
        <v>560.74</v>
      </c>
      <c r="EV871" s="67" t="s">
        <v>6988</v>
      </c>
      <c r="EW871" s="67">
        <v>482.8</v>
      </c>
      <c r="EX871" s="67" t="s">
        <v>6989</v>
      </c>
      <c r="EY871" s="67">
        <v>5625.48</v>
      </c>
      <c r="EZ871" s="67" t="s">
        <v>6990</v>
      </c>
      <c r="FA871" s="67">
        <v>19853.850999999999</v>
      </c>
      <c r="FB871" s="67" t="s">
        <v>6991</v>
      </c>
      <c r="FC871" s="67" t="s">
        <v>6992</v>
      </c>
      <c r="FD871" s="67" t="s">
        <v>6993</v>
      </c>
      <c r="FE871" s="68" t="s">
        <v>6994</v>
      </c>
      <c r="FF871" s="68" t="s">
        <v>6995</v>
      </c>
    </row>
    <row r="872" spans="151:162" x14ac:dyDescent="0.2">
      <c r="EU872" s="67">
        <v>561.30200000000002</v>
      </c>
      <c r="EV872" s="67" t="s">
        <v>6996</v>
      </c>
      <c r="EW872" s="67">
        <v>483.28</v>
      </c>
      <c r="EX872" s="67" t="s">
        <v>6997</v>
      </c>
      <c r="EY872" s="67">
        <v>5629.68</v>
      </c>
      <c r="EZ872" s="67" t="s">
        <v>6998</v>
      </c>
      <c r="FA872" s="67">
        <v>19859.887999999999</v>
      </c>
      <c r="FB872" s="67" t="s">
        <v>6999</v>
      </c>
      <c r="FC872" s="67" t="s">
        <v>7000</v>
      </c>
      <c r="FD872" s="67" t="s">
        <v>7001</v>
      </c>
      <c r="FE872" s="68" t="s">
        <v>7002</v>
      </c>
      <c r="FF872" s="68" t="s">
        <v>7003</v>
      </c>
    </row>
    <row r="873" spans="151:162" x14ac:dyDescent="0.2">
      <c r="EU873" s="67">
        <v>560.70000000000005</v>
      </c>
      <c r="EV873" s="67" t="s">
        <v>7004</v>
      </c>
      <c r="EW873" s="67">
        <v>482.64</v>
      </c>
      <c r="EX873" s="67" t="s">
        <v>7005</v>
      </c>
      <c r="EY873" s="67">
        <v>5624.18</v>
      </c>
      <c r="EZ873" s="67" t="s">
        <v>7006</v>
      </c>
      <c r="FA873" s="67">
        <v>19837.528999999999</v>
      </c>
      <c r="FB873" s="67" t="s">
        <v>7007</v>
      </c>
      <c r="FC873" s="67" t="s">
        <v>7008</v>
      </c>
      <c r="FD873" s="67" t="s">
        <v>7009</v>
      </c>
      <c r="FE873" s="68" t="s">
        <v>7010</v>
      </c>
      <c r="FF873" s="68" t="s">
        <v>7011</v>
      </c>
    </row>
    <row r="874" spans="151:162" x14ac:dyDescent="0.2">
      <c r="EU874" s="67">
        <v>559.38400000000001</v>
      </c>
      <c r="EV874" s="67" t="s">
        <v>7012</v>
      </c>
      <c r="EW874" s="67">
        <v>481.02</v>
      </c>
      <c r="EX874" s="67" t="s">
        <v>7013</v>
      </c>
      <c r="EY874" s="67">
        <v>5610.08</v>
      </c>
      <c r="EZ874" s="67" t="s">
        <v>7014</v>
      </c>
      <c r="FA874" s="67">
        <v>19771.855</v>
      </c>
      <c r="FB874" s="67" t="s">
        <v>7015</v>
      </c>
      <c r="FC874" s="67" t="s">
        <v>7016</v>
      </c>
      <c r="FD874" s="67" t="s">
        <v>7017</v>
      </c>
      <c r="FE874" s="68" t="s">
        <v>7018</v>
      </c>
      <c r="FF874" s="68" t="s">
        <v>7019</v>
      </c>
    </row>
    <row r="875" spans="151:162" x14ac:dyDescent="0.2">
      <c r="EU875" s="67">
        <v>560.13</v>
      </c>
      <c r="EV875" s="67" t="s">
        <v>7020</v>
      </c>
      <c r="EW875" s="67">
        <v>481.78</v>
      </c>
      <c r="EX875" s="67" t="s">
        <v>7021</v>
      </c>
      <c r="EY875" s="67">
        <v>5617.7</v>
      </c>
      <c r="EZ875" s="67" t="s">
        <v>7022</v>
      </c>
      <c r="FA875" s="67">
        <v>19801.599999999999</v>
      </c>
      <c r="FB875" s="67" t="s">
        <v>7023</v>
      </c>
      <c r="FC875" s="67" t="s">
        <v>7024</v>
      </c>
      <c r="FD875" s="67" t="s">
        <v>7025</v>
      </c>
      <c r="FE875" s="68" t="s">
        <v>7026</v>
      </c>
      <c r="FF875" s="68" t="s">
        <v>7027</v>
      </c>
    </row>
    <row r="876" spans="151:162" x14ac:dyDescent="0.2">
      <c r="EU876" s="67">
        <v>561.04999999999995</v>
      </c>
      <c r="EV876" s="67" t="s">
        <v>7028</v>
      </c>
      <c r="EW876" s="67">
        <v>482.79</v>
      </c>
      <c r="EX876" s="67" t="s">
        <v>7029</v>
      </c>
      <c r="EY876" s="67">
        <v>5627.3</v>
      </c>
      <c r="EZ876" s="67" t="s">
        <v>7030</v>
      </c>
      <c r="FA876" s="67">
        <v>19839.642</v>
      </c>
      <c r="FB876" s="67" t="s">
        <v>7031</v>
      </c>
      <c r="FC876" s="67" t="s">
        <v>7032</v>
      </c>
      <c r="FD876" s="67" t="s">
        <v>7033</v>
      </c>
      <c r="FE876" s="68" t="s">
        <v>7034</v>
      </c>
      <c r="FF876" s="68" t="s">
        <v>7035</v>
      </c>
    </row>
    <row r="877" spans="151:162" x14ac:dyDescent="0.2">
      <c r="EU877" s="67">
        <v>560.80999999999995</v>
      </c>
      <c r="EV877" s="67" t="s">
        <v>7036</v>
      </c>
      <c r="EW877" s="67">
        <v>482.52100000000002</v>
      </c>
      <c r="EX877" s="67" t="s">
        <v>7037</v>
      </c>
      <c r="EY877" s="67">
        <v>5625.83</v>
      </c>
      <c r="EZ877" s="67" t="s">
        <v>7038</v>
      </c>
      <c r="FA877" s="67">
        <v>19832.249</v>
      </c>
      <c r="FB877" s="67" t="s">
        <v>7039</v>
      </c>
      <c r="FC877" s="67" t="s">
        <v>7040</v>
      </c>
      <c r="FD877" s="67" t="s">
        <v>7041</v>
      </c>
      <c r="FE877" s="68" t="s">
        <v>7042</v>
      </c>
      <c r="FF877" s="68" t="s">
        <v>7043</v>
      </c>
    </row>
    <row r="878" spans="151:162" x14ac:dyDescent="0.2">
      <c r="EU878" s="67">
        <v>560.83000000000004</v>
      </c>
      <c r="EV878" s="67" t="s">
        <v>7044</v>
      </c>
      <c r="EW878" s="67">
        <v>482.64</v>
      </c>
      <c r="EX878" s="67" t="s">
        <v>7045</v>
      </c>
      <c r="EY878" s="67">
        <v>5626.09</v>
      </c>
      <c r="EZ878" s="67" t="s">
        <v>7046</v>
      </c>
      <c r="FA878" s="67">
        <v>19835.204000000002</v>
      </c>
      <c r="FB878" s="67" t="s">
        <v>7047</v>
      </c>
      <c r="FC878" s="67" t="s">
        <v>7048</v>
      </c>
      <c r="FD878" s="67" t="s">
        <v>7049</v>
      </c>
      <c r="FE878" s="68" t="s">
        <v>7050</v>
      </c>
      <c r="FF878" s="68" t="s">
        <v>7051</v>
      </c>
    </row>
    <row r="879" spans="151:162" x14ac:dyDescent="0.2">
      <c r="EU879" s="67">
        <v>561.48</v>
      </c>
      <c r="EV879" s="67" t="s">
        <v>7052</v>
      </c>
      <c r="EW879" s="67">
        <v>483.22</v>
      </c>
      <c r="EX879" s="67" t="s">
        <v>7053</v>
      </c>
      <c r="EY879" s="67">
        <v>5631.19</v>
      </c>
      <c r="EZ879" s="67" t="s">
        <v>7054</v>
      </c>
      <c r="FA879" s="67">
        <v>19858.062000000002</v>
      </c>
      <c r="FB879" s="67" t="s">
        <v>7055</v>
      </c>
      <c r="FC879" s="67" t="s">
        <v>7056</v>
      </c>
      <c r="FD879" s="67" t="s">
        <v>7057</v>
      </c>
      <c r="FE879" s="68" t="s">
        <v>7058</v>
      </c>
      <c r="FF879" s="68" t="s">
        <v>7059</v>
      </c>
    </row>
    <row r="880" spans="151:162" x14ac:dyDescent="0.2">
      <c r="EU880" s="67">
        <v>561.34</v>
      </c>
      <c r="EV880" s="67" t="s">
        <v>7060</v>
      </c>
      <c r="EW880" s="67">
        <v>483.18</v>
      </c>
      <c r="EX880" s="67" t="s">
        <v>7061</v>
      </c>
      <c r="EY880" s="67">
        <v>5630.52</v>
      </c>
      <c r="EZ880" s="67" t="s">
        <v>7062</v>
      </c>
      <c r="FA880" s="67">
        <v>19861.266</v>
      </c>
      <c r="FB880" s="67" t="s">
        <v>7063</v>
      </c>
      <c r="FC880" s="67" t="s">
        <v>7064</v>
      </c>
      <c r="FD880" s="67" t="s">
        <v>7065</v>
      </c>
      <c r="FE880" s="68" t="s">
        <v>7066</v>
      </c>
      <c r="FF880" s="68" t="s">
        <v>7067</v>
      </c>
    </row>
    <row r="881" spans="151:162" x14ac:dyDescent="0.2">
      <c r="EU881" s="67">
        <v>561.33000000000004</v>
      </c>
      <c r="EV881" s="67" t="s">
        <v>7068</v>
      </c>
      <c r="EW881" s="67">
        <v>483.3</v>
      </c>
      <c r="EX881" s="67" t="s">
        <v>7069</v>
      </c>
      <c r="EY881" s="67">
        <v>5631.34</v>
      </c>
      <c r="EZ881" s="67" t="s">
        <v>7070</v>
      </c>
      <c r="FA881" s="67">
        <v>19869.715</v>
      </c>
      <c r="FB881" s="67" t="s">
        <v>7071</v>
      </c>
      <c r="FC881" s="67" t="s">
        <v>7072</v>
      </c>
      <c r="FD881" s="67" t="s">
        <v>7073</v>
      </c>
      <c r="FE881" s="68" t="s">
        <v>7074</v>
      </c>
      <c r="FF881" s="68" t="s">
        <v>7075</v>
      </c>
    </row>
    <row r="882" spans="151:162" x14ac:dyDescent="0.2">
      <c r="EU882" s="67">
        <v>561.36</v>
      </c>
      <c r="EV882" s="67" t="s">
        <v>7076</v>
      </c>
      <c r="EW882" s="67">
        <v>483.41</v>
      </c>
      <c r="EX882" s="67" t="s">
        <v>7077</v>
      </c>
      <c r="EY882" s="67">
        <v>5631.45</v>
      </c>
      <c r="EZ882" s="67" t="s">
        <v>7078</v>
      </c>
      <c r="FA882" s="67">
        <v>19871.633999999998</v>
      </c>
      <c r="FB882" s="67" t="s">
        <v>7079</v>
      </c>
      <c r="FC882" s="67" t="s">
        <v>7080</v>
      </c>
      <c r="FD882" s="67" t="s">
        <v>7081</v>
      </c>
      <c r="FE882" s="68" t="s">
        <v>7082</v>
      </c>
      <c r="FF882" s="68" t="s">
        <v>7083</v>
      </c>
    </row>
    <row r="883" spans="151:162" x14ac:dyDescent="0.2">
      <c r="EU883" s="67">
        <v>561.61</v>
      </c>
      <c r="EV883" s="67" t="s">
        <v>7084</v>
      </c>
      <c r="EW883" s="67">
        <v>483.67</v>
      </c>
      <c r="EX883" s="67" t="s">
        <v>7085</v>
      </c>
      <c r="EY883" s="67">
        <v>5631.12</v>
      </c>
      <c r="EZ883" s="67" t="s">
        <v>7086</v>
      </c>
      <c r="FA883" s="67">
        <v>19867.973000000002</v>
      </c>
      <c r="FB883" s="67" t="s">
        <v>7087</v>
      </c>
      <c r="FC883" s="67" t="s">
        <v>7088</v>
      </c>
      <c r="FD883" s="67" t="s">
        <v>7089</v>
      </c>
      <c r="FE883" s="68" t="s">
        <v>7090</v>
      </c>
      <c r="FF883" s="68" t="s">
        <v>7091</v>
      </c>
    </row>
    <row r="884" spans="151:162" x14ac:dyDescent="0.2">
      <c r="EU884" s="67">
        <v>561.87</v>
      </c>
      <c r="EV884" s="67" t="s">
        <v>7092</v>
      </c>
      <c r="EW884" s="67">
        <v>483.96</v>
      </c>
      <c r="EX884" s="67" t="s">
        <v>7093</v>
      </c>
      <c r="EY884" s="67">
        <v>5631.27</v>
      </c>
      <c r="EZ884" s="67" t="s">
        <v>7094</v>
      </c>
      <c r="FA884" s="67">
        <v>19867.973000000002</v>
      </c>
      <c r="FB884" s="67" t="s">
        <v>7095</v>
      </c>
      <c r="FC884" s="67" t="s">
        <v>7096</v>
      </c>
      <c r="FD884" s="67" t="s">
        <v>7097</v>
      </c>
      <c r="FE884" s="68" t="s">
        <v>7098</v>
      </c>
      <c r="FF884" s="68" t="s">
        <v>7099</v>
      </c>
    </row>
    <row r="885" spans="151:162" x14ac:dyDescent="0.2">
      <c r="EU885" s="67">
        <v>561.48</v>
      </c>
      <c r="EV885" s="67" t="s">
        <v>7100</v>
      </c>
      <c r="EW885" s="67">
        <v>483.5</v>
      </c>
      <c r="EX885" s="67" t="s">
        <v>7101</v>
      </c>
      <c r="EY885" s="67">
        <v>5631.26</v>
      </c>
      <c r="EZ885" s="67" t="s">
        <v>7102</v>
      </c>
      <c r="FA885" s="67">
        <v>19867.973000000002</v>
      </c>
      <c r="FB885" s="67" t="s">
        <v>7103</v>
      </c>
      <c r="FC885" s="67" t="s">
        <v>7104</v>
      </c>
      <c r="FD885" s="67" t="s">
        <v>7105</v>
      </c>
      <c r="FE885" s="68" t="s">
        <v>7106</v>
      </c>
      <c r="FF885" s="68" t="s">
        <v>7107</v>
      </c>
    </row>
    <row r="886" spans="151:162" x14ac:dyDescent="0.2">
      <c r="EU886" s="67">
        <v>561.37</v>
      </c>
      <c r="EV886" s="67" t="s">
        <v>7108</v>
      </c>
      <c r="EW886" s="67">
        <v>483.32</v>
      </c>
      <c r="EX886" s="67" t="s">
        <v>7109</v>
      </c>
      <c r="EY886" s="67">
        <v>5631.27</v>
      </c>
      <c r="EZ886" s="67" t="s">
        <v>7110</v>
      </c>
      <c r="FA886" s="67">
        <v>19867.973000000002</v>
      </c>
      <c r="FB886" s="67" t="s">
        <v>7111</v>
      </c>
      <c r="FC886" s="67" t="s">
        <v>7112</v>
      </c>
      <c r="FD886" s="67" t="s">
        <v>7113</v>
      </c>
      <c r="FE886" s="68" t="s">
        <v>7114</v>
      </c>
      <c r="FF886" s="68" t="s">
        <v>7115</v>
      </c>
    </row>
    <row r="887" spans="151:162" x14ac:dyDescent="0.2">
      <c r="EU887" s="67">
        <v>561.70000000000005</v>
      </c>
      <c r="EV887" s="67" t="s">
        <v>7116</v>
      </c>
      <c r="EW887" s="67">
        <v>483.8</v>
      </c>
      <c r="EX887" s="67" t="s">
        <v>7117</v>
      </c>
      <c r="EY887" s="67">
        <v>5631.27</v>
      </c>
      <c r="EZ887" s="67" t="s">
        <v>7118</v>
      </c>
      <c r="FA887" s="67">
        <v>19867.973000000002</v>
      </c>
      <c r="FB887" s="67" t="s">
        <v>7119</v>
      </c>
      <c r="FC887" s="67" t="s">
        <v>7120</v>
      </c>
      <c r="FD887" s="67" t="s">
        <v>7121</v>
      </c>
      <c r="FE887" s="68" t="s">
        <v>7122</v>
      </c>
      <c r="FF887" s="68" t="s">
        <v>7123</v>
      </c>
    </row>
    <row r="888" spans="151:162" x14ac:dyDescent="0.2">
      <c r="EU888" s="67">
        <v>561.55999999999995</v>
      </c>
      <c r="EV888" s="67" t="s">
        <v>7124</v>
      </c>
      <c r="EW888" s="67">
        <v>483.67</v>
      </c>
      <c r="EX888" s="67" t="s">
        <v>7125</v>
      </c>
      <c r="EY888" s="67">
        <v>5631.28</v>
      </c>
      <c r="EZ888" s="67" t="s">
        <v>7126</v>
      </c>
      <c r="FA888" s="67">
        <v>19867.973000000002</v>
      </c>
      <c r="FB888" s="67" t="s">
        <v>7127</v>
      </c>
      <c r="FC888" s="67" t="s">
        <v>7128</v>
      </c>
      <c r="FD888" s="67" t="s">
        <v>7129</v>
      </c>
      <c r="FE888" s="68" t="s">
        <v>7130</v>
      </c>
      <c r="FF888" s="68" t="s">
        <v>7131</v>
      </c>
    </row>
    <row r="889" spans="151:162" x14ac:dyDescent="0.2">
      <c r="EU889" s="67">
        <v>561.26</v>
      </c>
      <c r="EV889" s="67" t="s">
        <v>7132</v>
      </c>
      <c r="EW889" s="67">
        <v>483.32</v>
      </c>
      <c r="EX889" s="67" t="s">
        <v>7133</v>
      </c>
      <c r="EY889" s="67">
        <v>5631.28</v>
      </c>
      <c r="EZ889" s="67" t="s">
        <v>7134</v>
      </c>
      <c r="FA889" s="67">
        <v>19867.973000000002</v>
      </c>
      <c r="FB889" s="67" t="s">
        <v>7135</v>
      </c>
      <c r="FC889" s="67" t="s">
        <v>7136</v>
      </c>
      <c r="FD889" s="67" t="s">
        <v>7137</v>
      </c>
      <c r="FE889" s="68" t="s">
        <v>7138</v>
      </c>
      <c r="FF889" s="68" t="s">
        <v>7139</v>
      </c>
    </row>
    <row r="890" spans="151:162" x14ac:dyDescent="0.2">
      <c r="EU890" s="67">
        <v>561.23</v>
      </c>
      <c r="EV890" s="67" t="s">
        <v>7140</v>
      </c>
      <c r="EW890" s="67">
        <v>482.95</v>
      </c>
      <c r="EX890" s="67" t="s">
        <v>7141</v>
      </c>
      <c r="EY890" s="67">
        <v>5631.28</v>
      </c>
      <c r="EZ890" s="67" t="s">
        <v>7142</v>
      </c>
      <c r="FA890" s="67">
        <v>19867.973000000002</v>
      </c>
      <c r="FB890" s="67" t="s">
        <v>7143</v>
      </c>
      <c r="FC890" s="67" t="s">
        <v>7144</v>
      </c>
      <c r="FD890" s="67" t="s">
        <v>7145</v>
      </c>
      <c r="FE890" s="68" t="s">
        <v>7146</v>
      </c>
      <c r="FF890" s="68" t="s">
        <v>7147</v>
      </c>
    </row>
    <row r="891" spans="151:162" x14ac:dyDescent="0.2">
      <c r="EU891" s="67">
        <v>561.04999999999995</v>
      </c>
      <c r="EV891" s="67" t="s">
        <v>7148</v>
      </c>
      <c r="EW891" s="67">
        <v>482.8</v>
      </c>
      <c r="EX891" s="67" t="s">
        <v>7149</v>
      </c>
      <c r="EY891" s="67">
        <v>5631.28</v>
      </c>
      <c r="EZ891" s="67" t="s">
        <v>7150</v>
      </c>
      <c r="FA891" s="67">
        <v>19867.973000000002</v>
      </c>
      <c r="FB891" s="67" t="s">
        <v>7151</v>
      </c>
      <c r="FC891" s="67" t="s">
        <v>7152</v>
      </c>
      <c r="FD891" s="67" t="s">
        <v>7153</v>
      </c>
      <c r="FE891" s="68" t="s">
        <v>7154</v>
      </c>
      <c r="FF891" s="68" t="s">
        <v>7155</v>
      </c>
    </row>
    <row r="892" spans="151:162" x14ac:dyDescent="0.2">
      <c r="EU892" s="67">
        <v>560.96</v>
      </c>
      <c r="EV892" s="67" t="s">
        <v>7156</v>
      </c>
      <c r="EW892" s="67">
        <v>482.71</v>
      </c>
      <c r="EX892" s="67" t="s">
        <v>7157</v>
      </c>
      <c r="EY892" s="67">
        <v>5631.28</v>
      </c>
      <c r="EZ892" s="67" t="s">
        <v>7158</v>
      </c>
      <c r="FA892" s="67">
        <v>19867.973000000002</v>
      </c>
      <c r="FB892" s="67" t="s">
        <v>7159</v>
      </c>
      <c r="FC892" s="67" t="s">
        <v>7160</v>
      </c>
      <c r="FD892" s="67" t="s">
        <v>7161</v>
      </c>
      <c r="FE892" s="68" t="s">
        <v>7162</v>
      </c>
      <c r="FF892" s="68" t="s">
        <v>7163</v>
      </c>
    </row>
    <row r="893" spans="151:162" x14ac:dyDescent="0.2">
      <c r="EU893" s="67">
        <v>561.16999999999996</v>
      </c>
      <c r="EV893" s="67" t="s">
        <v>7164</v>
      </c>
      <c r="EW893" s="67">
        <v>483.32</v>
      </c>
      <c r="EX893" s="67" t="s">
        <v>7165</v>
      </c>
      <c r="EY893" s="67">
        <v>5631.28</v>
      </c>
      <c r="EZ893" s="67" t="s">
        <v>7166</v>
      </c>
      <c r="FA893" s="67">
        <v>19867.973000000002</v>
      </c>
      <c r="FB893" s="67" t="s">
        <v>7167</v>
      </c>
      <c r="FC893" s="67" t="s">
        <v>7168</v>
      </c>
      <c r="FD893" s="67" t="s">
        <v>7169</v>
      </c>
      <c r="FE893" s="68" t="s">
        <v>7170</v>
      </c>
      <c r="FF893" s="68" t="s">
        <v>7171</v>
      </c>
    </row>
    <row r="894" spans="151:162" x14ac:dyDescent="0.2">
      <c r="EU894" s="67">
        <v>561.20000000000005</v>
      </c>
      <c r="EV894" s="67" t="s">
        <v>7172</v>
      </c>
      <c r="EW894" s="67">
        <v>483.46</v>
      </c>
      <c r="EX894" s="67" t="s">
        <v>7173</v>
      </c>
      <c r="EY894" s="67">
        <v>5631.28</v>
      </c>
      <c r="EZ894" s="67" t="s">
        <v>7174</v>
      </c>
      <c r="FA894" s="67">
        <v>19867.973000000002</v>
      </c>
      <c r="FB894" s="67" t="s">
        <v>7175</v>
      </c>
      <c r="FC894" s="67" t="s">
        <v>7176</v>
      </c>
      <c r="FD894" s="67" t="s">
        <v>7177</v>
      </c>
      <c r="FE894" s="68" t="s">
        <v>7178</v>
      </c>
      <c r="FF894" s="68" t="s">
        <v>7179</v>
      </c>
    </row>
    <row r="895" spans="151:162" x14ac:dyDescent="0.2">
      <c r="EU895" s="67">
        <v>561.27</v>
      </c>
      <c r="EV895" s="67" t="s">
        <v>7180</v>
      </c>
      <c r="EW895" s="67">
        <v>483.7</v>
      </c>
      <c r="EX895" s="67" t="s">
        <v>7181</v>
      </c>
      <c r="EY895" s="67">
        <v>5631.28</v>
      </c>
      <c r="EZ895" s="67" t="s">
        <v>7182</v>
      </c>
      <c r="FA895" s="67">
        <v>19867.973000000002</v>
      </c>
      <c r="FB895" s="67" t="s">
        <v>7183</v>
      </c>
      <c r="FC895" s="67" t="s">
        <v>7184</v>
      </c>
      <c r="FD895" s="67" t="s">
        <v>7185</v>
      </c>
      <c r="FE895" s="68" t="s">
        <v>7186</v>
      </c>
      <c r="FF895" s="68" t="s">
        <v>7187</v>
      </c>
    </row>
  </sheetData>
  <mergeCells count="1">
    <mergeCell ref="I1:P1"/>
  </mergeCells>
  <conditionalFormatting sqref="C39">
    <cfRule type="colorScale" priority="2826">
      <colorScale>
        <cfvo type="min"/>
        <cfvo type="max"/>
        <color rgb="FFFCFCFF"/>
        <color rgb="FFF8696B"/>
      </colorScale>
    </cfRule>
  </conditionalFormatting>
  <conditionalFormatting sqref="C40">
    <cfRule type="colorScale" priority="2568">
      <colorScale>
        <cfvo type="min"/>
        <cfvo type="max"/>
        <color rgb="FFFCFCFF"/>
        <color rgb="FFF8696B"/>
      </colorScale>
    </cfRule>
  </conditionalFormatting>
  <conditionalFormatting sqref="C41 B42">
    <cfRule type="colorScale" priority="2567">
      <colorScale>
        <cfvo type="min"/>
        <cfvo type="max"/>
        <color rgb="FFFCFCFF"/>
        <color rgb="FFF8696B"/>
      </colorScale>
    </cfRule>
  </conditionalFormatting>
  <conditionalFormatting sqref="A4:A38">
    <cfRule type="expression" dxfId="16" priority="2455">
      <formula>A4&lt;$F$1</formula>
    </cfRule>
  </conditionalFormatting>
  <conditionalFormatting sqref="A85:A130">
    <cfRule type="expression" dxfId="15" priority="2453">
      <formula>A85&lt;$F$82</formula>
    </cfRule>
  </conditionalFormatting>
  <conditionalFormatting sqref="A45:A79">
    <cfRule type="expression" dxfId="14" priority="3055">
      <formula>A45&lt;$F$42</formula>
    </cfRule>
  </conditionalFormatting>
  <conditionalFormatting sqref="B3:E3">
    <cfRule type="colorScale" priority="24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E44">
    <cfRule type="colorScale" priority="24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84:E84">
    <cfRule type="colorScale" priority="24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36:E136">
    <cfRule type="colorScale" priority="24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86:A130">
    <cfRule type="expression" dxfId="13" priority="2378">
      <formula>A86&lt;$F$82</formula>
    </cfRule>
  </conditionalFormatting>
  <conditionalFormatting sqref="A111:A130">
    <cfRule type="expression" dxfId="12" priority="2326">
      <formula>A111&lt;$F$82</formula>
    </cfRule>
  </conditionalFormatting>
  <conditionalFormatting sqref="A59">
    <cfRule type="expression" dxfId="11" priority="2069">
      <formula>A59&lt;$F$42</formula>
    </cfRule>
  </conditionalFormatting>
  <conditionalFormatting sqref="A74">
    <cfRule type="expression" dxfId="10" priority="2008">
      <formula>A74&lt;$F$42</formula>
    </cfRule>
  </conditionalFormatting>
  <conditionalFormatting sqref="Z2:AH2">
    <cfRule type="dataBar" priority="8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{94756B91-4852-4BB9-84D5-53514BB9C3AB}</x14:id>
        </ext>
      </extLst>
    </cfRule>
  </conditionalFormatting>
  <conditionalFormatting sqref="Z1:AH1">
    <cfRule type="dataBar" priority="8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{70FBBBBD-AEF2-4C23-8DB7-77FAA1E33542}</x14:id>
        </ext>
      </extLst>
    </cfRule>
  </conditionalFormatting>
  <conditionalFormatting sqref="Z43:AH43">
    <cfRule type="dataBar" priority="8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{9BD38B5B-FD04-4F23-86FF-65CA58B88AA8}</x14:id>
        </ext>
      </extLst>
    </cfRule>
  </conditionalFormatting>
  <conditionalFormatting sqref="Z83:AH83">
    <cfRule type="dataBar" priority="8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{F55B3C41-4249-493A-9904-35131BF4469E}</x14:id>
        </ext>
      </extLst>
    </cfRule>
  </conditionalFormatting>
  <conditionalFormatting sqref="Z135:AH135">
    <cfRule type="dataBar" priority="8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{E8745E3C-E615-470A-BF75-D59A7489C6B8}</x14:id>
        </ext>
      </extLst>
    </cfRule>
  </conditionalFormatting>
  <conditionalFormatting sqref="A93:A98">
    <cfRule type="expression" dxfId="9" priority="778">
      <formula>A93&lt;$F$82</formula>
    </cfRule>
  </conditionalFormatting>
  <conditionalFormatting sqref="A117:A121">
    <cfRule type="expression" dxfId="8" priority="642">
      <formula>A117&lt;$F$82</formula>
    </cfRule>
  </conditionalFormatting>
  <conditionalFormatting sqref="Q2:Y2 AI2:AR2">
    <cfRule type="dataBar" priority="37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{347D005F-749D-475B-BA2B-8FFD6FAC2F55}</x14:id>
        </ext>
      </extLst>
    </cfRule>
  </conditionalFormatting>
  <conditionalFormatting sqref="Q1:Y1 AI1:AR1">
    <cfRule type="dataBar" priority="37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{30BDB15D-9E4E-4582-BD62-69FDF3DCDA63}</x14:id>
        </ext>
      </extLst>
    </cfRule>
  </conditionalFormatting>
  <conditionalFormatting sqref="Q43:Y43 AI43:AR43">
    <cfRule type="dataBar" priority="37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{AC35B083-9921-45A7-9C15-640992C07F11}</x14:id>
        </ext>
      </extLst>
    </cfRule>
  </conditionalFormatting>
  <conditionalFormatting sqref="Q83:Y83 AI83:AR83">
    <cfRule type="dataBar" priority="37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{0284C3E3-1F73-449D-B3B2-6C12BBC8B769}</x14:id>
        </ext>
      </extLst>
    </cfRule>
  </conditionalFormatting>
  <conditionalFormatting sqref="Q135:Y135 AI135:AR135">
    <cfRule type="dataBar" priority="37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{D6C08B44-F03F-46FF-92BB-6D0409D76146}</x14:id>
        </ext>
      </extLst>
    </cfRule>
  </conditionalFormatting>
  <conditionalFormatting sqref="A9:A14">
    <cfRule type="expression" dxfId="7" priority="287">
      <formula>A9&lt;$F$1</formula>
    </cfRule>
  </conditionalFormatting>
  <conditionalFormatting sqref="A23:A38">
    <cfRule type="expression" dxfId="6" priority="237">
      <formula>A23&lt;$F$1</formula>
    </cfRule>
  </conditionalFormatting>
  <conditionalFormatting sqref="B4:B38">
    <cfRule type="colorScale" priority="236">
      <colorScale>
        <cfvo type="min"/>
        <cfvo type="max"/>
        <color rgb="FFFCFCFF"/>
        <color rgb="FFF8696B"/>
      </colorScale>
    </cfRule>
  </conditionalFormatting>
  <conditionalFormatting sqref="C4:C38">
    <cfRule type="colorScale" priority="235">
      <colorScale>
        <cfvo type="min"/>
        <cfvo type="max"/>
        <color rgb="FFFCFCFF"/>
        <color rgb="FFF8696B"/>
      </colorScale>
    </cfRule>
  </conditionalFormatting>
  <conditionalFormatting sqref="D4:D38">
    <cfRule type="colorScale" priority="234">
      <colorScale>
        <cfvo type="min"/>
        <cfvo type="max"/>
        <color rgb="FFFCFCFF"/>
        <color rgb="FFF8696B"/>
      </colorScale>
    </cfRule>
  </conditionalFormatting>
  <conditionalFormatting sqref="E4:E38">
    <cfRule type="colorScale" priority="233">
      <colorScale>
        <cfvo type="min"/>
        <cfvo type="max"/>
        <color rgb="FFFCFCFF"/>
        <color rgb="FFF8696B"/>
      </colorScale>
    </cfRule>
  </conditionalFormatting>
  <conditionalFormatting sqref="A49:A53 A56">
    <cfRule type="expression" dxfId="5" priority="232">
      <formula>A49&lt;$F$42</formula>
    </cfRule>
  </conditionalFormatting>
  <conditionalFormatting sqref="A55">
    <cfRule type="expression" dxfId="4" priority="207">
      <formula>A55&lt;$F$42</formula>
    </cfRule>
  </conditionalFormatting>
  <conditionalFormatting sqref="A55">
    <cfRule type="expression" dxfId="3" priority="206">
      <formula>A55&lt;$F$42</formula>
    </cfRule>
  </conditionalFormatting>
  <conditionalFormatting sqref="A54">
    <cfRule type="expression" dxfId="2" priority="181">
      <formula>A54&lt;$F$42</formula>
    </cfRule>
  </conditionalFormatting>
  <conditionalFormatting sqref="A54">
    <cfRule type="expression" dxfId="1" priority="180">
      <formula>A54&lt;$F$42</formula>
    </cfRule>
  </conditionalFormatting>
  <conditionalFormatting sqref="A65:A69">
    <cfRule type="expression" dxfId="0" priority="155">
      <formula>A65&lt;$F$42</formula>
    </cfRule>
  </conditionalFormatting>
  <conditionalFormatting sqref="AS4:AS38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T4:AT38">
    <cfRule type="colorScale" priority="125">
      <colorScale>
        <cfvo type="min"/>
        <cfvo type="max"/>
        <color rgb="FFF8696B"/>
        <color rgb="FFFCFCFF"/>
      </colorScale>
    </cfRule>
  </conditionalFormatting>
  <conditionalFormatting sqref="AU4:AU38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V4:AV38">
    <cfRule type="colorScale" priority="123">
      <colorScale>
        <cfvo type="min"/>
        <cfvo type="max"/>
        <color rgb="FFF8696B"/>
        <color rgb="FFFCFCFF"/>
      </colorScale>
    </cfRule>
  </conditionalFormatting>
  <conditionalFormatting sqref="AW4:AW38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X4:AX38">
    <cfRule type="colorScale" priority="121">
      <colorScale>
        <cfvo type="min"/>
        <cfvo type="max"/>
        <color rgb="FFF8696B"/>
        <color rgb="FFFCFCFF"/>
      </colorScale>
    </cfRule>
  </conditionalFormatting>
  <conditionalFormatting sqref="AY4:AY38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S45:AS79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T45:AT79">
    <cfRule type="colorScale" priority="118">
      <colorScale>
        <cfvo type="min"/>
        <cfvo type="max"/>
        <color rgb="FFF8696B"/>
        <color rgb="FFFCFCFF"/>
      </colorScale>
    </cfRule>
  </conditionalFormatting>
  <conditionalFormatting sqref="AU45:AU79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V45:AV79">
    <cfRule type="colorScale" priority="116">
      <colorScale>
        <cfvo type="min"/>
        <cfvo type="max"/>
        <color rgb="FFF8696B"/>
        <color rgb="FFFCFCFF"/>
      </colorScale>
    </cfRule>
  </conditionalFormatting>
  <conditionalFormatting sqref="AW45:AW79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X45:AX79">
    <cfRule type="colorScale" priority="114">
      <colorScale>
        <cfvo type="min"/>
        <cfvo type="max"/>
        <color rgb="FFF8696B"/>
        <color rgb="FFFCFCFF"/>
      </colorScale>
    </cfRule>
  </conditionalFormatting>
  <conditionalFormatting sqref="AY45:AY79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S85:AS130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T85:AT130">
    <cfRule type="colorScale" priority="111">
      <colorScale>
        <cfvo type="min"/>
        <cfvo type="max"/>
        <color rgb="FFF8696B"/>
        <color rgb="FFFCFCFF"/>
      </colorScale>
    </cfRule>
  </conditionalFormatting>
  <conditionalFormatting sqref="AU85:AU130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V85:AV130">
    <cfRule type="colorScale" priority="109">
      <colorScale>
        <cfvo type="min"/>
        <cfvo type="max"/>
        <color rgb="FFF8696B"/>
        <color rgb="FFFCFCFF"/>
      </colorScale>
    </cfRule>
  </conditionalFormatting>
  <conditionalFormatting sqref="AW85:AW130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X85:AX130">
    <cfRule type="colorScale" priority="107">
      <colorScale>
        <cfvo type="min"/>
        <cfvo type="max"/>
        <color rgb="FFF8696B"/>
        <color rgb="FFFCFCFF"/>
      </colorScale>
    </cfRule>
  </conditionalFormatting>
  <conditionalFormatting sqref="AY85:AY130">
    <cfRule type="colorScale" priority="1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4:BA38">
    <cfRule type="colorScale" priority="98">
      <colorScale>
        <cfvo type="min"/>
        <cfvo type="max"/>
        <color rgb="FFFCFCFF"/>
        <color rgb="FF63BE7B"/>
      </colorScale>
    </cfRule>
  </conditionalFormatting>
  <conditionalFormatting sqref="BB4:BB38">
    <cfRule type="colorScale" priority="97">
      <colorScale>
        <cfvo type="min"/>
        <cfvo type="max"/>
        <color rgb="FFF8696B"/>
        <color rgb="FFFCFCFF"/>
      </colorScale>
    </cfRule>
  </conditionalFormatting>
  <conditionalFormatting sqref="BC4:BC38">
    <cfRule type="colorScale" priority="96">
      <colorScale>
        <cfvo type="min"/>
        <cfvo type="max"/>
        <color rgb="FFFCFCFF"/>
        <color rgb="FF63BE7B"/>
      </colorScale>
    </cfRule>
  </conditionalFormatting>
  <conditionalFormatting sqref="BD4:BD38">
    <cfRule type="colorScale" priority="95">
      <colorScale>
        <cfvo type="min"/>
        <cfvo type="max"/>
        <color rgb="FFF8696B"/>
        <color rgb="FFFCFCFF"/>
      </colorScale>
    </cfRule>
  </conditionalFormatting>
  <conditionalFormatting sqref="BE4:BE38">
    <cfRule type="colorScale" priority="94">
      <colorScale>
        <cfvo type="min"/>
        <cfvo type="max"/>
        <color rgb="FFFCFCFF"/>
        <color rgb="FF63BE7B"/>
      </colorScale>
    </cfRule>
  </conditionalFormatting>
  <conditionalFormatting sqref="BF4:BF38">
    <cfRule type="colorScale" priority="93">
      <colorScale>
        <cfvo type="min"/>
        <cfvo type="max"/>
        <color rgb="FFF8696B"/>
        <color rgb="FFFCFCFF"/>
      </colorScale>
    </cfRule>
  </conditionalFormatting>
  <conditionalFormatting sqref="BH4:BH38">
    <cfRule type="colorScale" priority="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45:BA79">
    <cfRule type="colorScale" priority="91">
      <colorScale>
        <cfvo type="min"/>
        <cfvo type="max"/>
        <color rgb="FFFCFCFF"/>
        <color rgb="FF63BE7B"/>
      </colorScale>
    </cfRule>
  </conditionalFormatting>
  <conditionalFormatting sqref="BB45:BB79">
    <cfRule type="colorScale" priority="90">
      <colorScale>
        <cfvo type="min"/>
        <cfvo type="max"/>
        <color rgb="FFF8696B"/>
        <color rgb="FFFCFCFF"/>
      </colorScale>
    </cfRule>
  </conditionalFormatting>
  <conditionalFormatting sqref="BC45:BC79">
    <cfRule type="colorScale" priority="89">
      <colorScale>
        <cfvo type="min"/>
        <cfvo type="max"/>
        <color rgb="FFFCFCFF"/>
        <color rgb="FF63BE7B"/>
      </colorScale>
    </cfRule>
  </conditionalFormatting>
  <conditionalFormatting sqref="BD45:BD79">
    <cfRule type="colorScale" priority="88">
      <colorScale>
        <cfvo type="min"/>
        <cfvo type="max"/>
        <color rgb="FFF8696B"/>
        <color rgb="FFFCFCFF"/>
      </colorScale>
    </cfRule>
  </conditionalFormatting>
  <conditionalFormatting sqref="BE45:BE79">
    <cfRule type="colorScale" priority="87">
      <colorScale>
        <cfvo type="min"/>
        <cfvo type="max"/>
        <color rgb="FFFCFCFF"/>
        <color rgb="FF63BE7B"/>
      </colorScale>
    </cfRule>
  </conditionalFormatting>
  <conditionalFormatting sqref="BF45:BF79">
    <cfRule type="colorScale" priority="86">
      <colorScale>
        <cfvo type="min"/>
        <cfvo type="max"/>
        <color rgb="FFF8696B"/>
        <color rgb="FFFCFCFF"/>
      </colorScale>
    </cfRule>
  </conditionalFormatting>
  <conditionalFormatting sqref="BH45:BH79">
    <cfRule type="colorScale" priority="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B132">
    <cfRule type="colorScale" priority="83">
      <colorScale>
        <cfvo type="min"/>
        <cfvo type="max"/>
        <color rgb="FFF8696B"/>
        <color rgb="FFFCFCFF"/>
      </colorScale>
    </cfRule>
  </conditionalFormatting>
  <conditionalFormatting sqref="BD132">
    <cfRule type="colorScale" priority="69">
      <colorScale>
        <cfvo type="min"/>
        <cfvo type="max"/>
        <color rgb="FFF8696B"/>
        <color rgb="FFFCFCFF"/>
      </colorScale>
    </cfRule>
  </conditionalFormatting>
  <conditionalFormatting sqref="BF132:BG132">
    <cfRule type="colorScale" priority="68">
      <colorScale>
        <cfvo type="min"/>
        <cfvo type="max"/>
        <color rgb="FFF8696B"/>
        <color rgb="FFFCFCFF"/>
      </colorScale>
    </cfRule>
  </conditionalFormatting>
  <conditionalFormatting sqref="B137:B189">
    <cfRule type="colorScale" priority="65">
      <colorScale>
        <cfvo type="min"/>
        <cfvo type="max"/>
        <color rgb="FFFCFCFF"/>
        <color rgb="FFF8696B"/>
      </colorScale>
    </cfRule>
  </conditionalFormatting>
  <conditionalFormatting sqref="C137:C189">
    <cfRule type="colorScale" priority="64">
      <colorScale>
        <cfvo type="min"/>
        <cfvo type="max"/>
        <color rgb="FFFCFCFF"/>
        <color rgb="FFF8696B"/>
      </colorScale>
    </cfRule>
  </conditionalFormatting>
  <conditionalFormatting sqref="D137:D189">
    <cfRule type="colorScale" priority="63">
      <colorScale>
        <cfvo type="min"/>
        <cfvo type="max"/>
        <color rgb="FFFCFCFF"/>
        <color rgb="FFF8696B"/>
      </colorScale>
    </cfRule>
  </conditionalFormatting>
  <conditionalFormatting sqref="E137:E189">
    <cfRule type="colorScale" priority="62">
      <colorScale>
        <cfvo type="min"/>
        <cfvo type="max"/>
        <color rgb="FFFCFCFF"/>
        <color rgb="FFF8696B"/>
      </colorScale>
    </cfRule>
  </conditionalFormatting>
  <conditionalFormatting sqref="AS137:AS189">
    <cfRule type="colorScale" priority="61">
      <colorScale>
        <cfvo type="min"/>
        <cfvo type="max"/>
        <color rgb="FFFCFCFF"/>
        <color rgb="FF63BE7B"/>
      </colorScale>
    </cfRule>
  </conditionalFormatting>
  <conditionalFormatting sqref="AT137:AT189">
    <cfRule type="colorScale" priority="60">
      <colorScale>
        <cfvo type="min"/>
        <cfvo type="max"/>
        <color rgb="FFF8696B"/>
        <color rgb="FFFCFCFF"/>
      </colorScale>
    </cfRule>
  </conditionalFormatting>
  <conditionalFormatting sqref="AU137:AU188">
    <cfRule type="colorScale" priority="59">
      <colorScale>
        <cfvo type="min"/>
        <cfvo type="max"/>
        <color rgb="FFFCFCFF"/>
        <color rgb="FF63BE7B"/>
      </colorScale>
    </cfRule>
  </conditionalFormatting>
  <conditionalFormatting sqref="AV137:AV188">
    <cfRule type="colorScale" priority="58">
      <colorScale>
        <cfvo type="min"/>
        <cfvo type="max"/>
        <color rgb="FFF8696B"/>
        <color rgb="FFFCFCFF"/>
      </colorScale>
    </cfRule>
  </conditionalFormatting>
  <conditionalFormatting sqref="AW137:AW189">
    <cfRule type="colorScale" priority="57">
      <colorScale>
        <cfvo type="min"/>
        <cfvo type="max"/>
        <color rgb="FFFCFCFF"/>
        <color rgb="FF63BE7B"/>
      </colorScale>
    </cfRule>
  </conditionalFormatting>
  <conditionalFormatting sqref="AX137:AX189">
    <cfRule type="colorScale" priority="56">
      <colorScale>
        <cfvo type="min"/>
        <cfvo type="max"/>
        <color rgb="FFF8696B"/>
        <color rgb="FFFCFCFF"/>
      </colorScale>
    </cfRule>
  </conditionalFormatting>
  <conditionalFormatting sqref="AY137:AY189">
    <cfRule type="colorScale" priority="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137:BA189">
    <cfRule type="colorScale" priority="54">
      <colorScale>
        <cfvo type="min"/>
        <cfvo type="max"/>
        <color rgb="FFFCFCFF"/>
        <color rgb="FF63BE7B"/>
      </colorScale>
    </cfRule>
  </conditionalFormatting>
  <conditionalFormatting sqref="BB137:BB189">
    <cfRule type="colorScale" priority="53">
      <colorScale>
        <cfvo type="min"/>
        <cfvo type="max"/>
        <color rgb="FFF8696B"/>
        <color rgb="FFFCFCFF"/>
      </colorScale>
    </cfRule>
  </conditionalFormatting>
  <conditionalFormatting sqref="BC137:BC188">
    <cfRule type="colorScale" priority="52">
      <colorScale>
        <cfvo type="min"/>
        <cfvo type="max"/>
        <color rgb="FFFCFCFF"/>
        <color rgb="FF63BE7B"/>
      </colorScale>
    </cfRule>
  </conditionalFormatting>
  <conditionalFormatting sqref="BD137:BD188">
    <cfRule type="colorScale" priority="51">
      <colorScale>
        <cfvo type="min"/>
        <cfvo type="max"/>
        <color rgb="FFF8696B"/>
        <color rgb="FFFCFCFF"/>
      </colorScale>
    </cfRule>
  </conditionalFormatting>
  <conditionalFormatting sqref="BE137:BE189">
    <cfRule type="colorScale" priority="50">
      <colorScale>
        <cfvo type="min"/>
        <cfvo type="max"/>
        <color rgb="FFFCFCFF"/>
        <color rgb="FF63BE7B"/>
      </colorScale>
    </cfRule>
  </conditionalFormatting>
  <conditionalFormatting sqref="BF137:BF189">
    <cfRule type="colorScale" priority="49">
      <colorScale>
        <cfvo type="min"/>
        <cfvo type="max"/>
        <color rgb="FFF8696B"/>
        <color rgb="FFFCFCFF"/>
      </colorScale>
    </cfRule>
  </conditionalFormatting>
  <conditionalFormatting sqref="BH137:BH189"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85:BA130">
    <cfRule type="colorScale" priority="47">
      <colorScale>
        <cfvo type="min"/>
        <cfvo type="max"/>
        <color rgb="FFFCFCFF"/>
        <color rgb="FF63BE7B"/>
      </colorScale>
    </cfRule>
  </conditionalFormatting>
  <conditionalFormatting sqref="BB85:BB130">
    <cfRule type="colorScale" priority="46">
      <colorScale>
        <cfvo type="min"/>
        <cfvo type="max"/>
        <color rgb="FFF8696B"/>
        <color rgb="FFFCFCFF"/>
      </colorScale>
    </cfRule>
  </conditionalFormatting>
  <conditionalFormatting sqref="BC85:BC130">
    <cfRule type="colorScale" priority="45">
      <colorScale>
        <cfvo type="min"/>
        <cfvo type="max"/>
        <color rgb="FFFCFCFF"/>
        <color rgb="FF63BE7B"/>
      </colorScale>
    </cfRule>
  </conditionalFormatting>
  <conditionalFormatting sqref="BD85:BD130">
    <cfRule type="colorScale" priority="44">
      <colorScale>
        <cfvo type="min"/>
        <cfvo type="max"/>
        <color rgb="FFF8696B"/>
        <color rgb="FFFCFCFF"/>
      </colorScale>
    </cfRule>
  </conditionalFormatting>
  <conditionalFormatting sqref="BE85:BE130">
    <cfRule type="colorScale" priority="43">
      <colorScale>
        <cfvo type="min"/>
        <cfvo type="max"/>
        <color rgb="FFFCFCFF"/>
        <color rgb="FF63BE7B"/>
      </colorScale>
    </cfRule>
  </conditionalFormatting>
  <conditionalFormatting sqref="BF85:BF130">
    <cfRule type="colorScale" priority="42">
      <colorScale>
        <cfvo type="min"/>
        <cfvo type="max"/>
        <color rgb="FFF8696B"/>
        <color rgb="FFFCFCFF"/>
      </colorScale>
    </cfRule>
  </conditionalFormatting>
  <conditionalFormatting sqref="BH85:BH130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85:B130">
    <cfRule type="colorScale" priority="40">
      <colorScale>
        <cfvo type="min"/>
        <cfvo type="max"/>
        <color rgb="FFFCFCFF"/>
        <color rgb="FFF8696B"/>
      </colorScale>
    </cfRule>
  </conditionalFormatting>
  <conditionalFormatting sqref="C85:C130">
    <cfRule type="colorScale" priority="39">
      <colorScale>
        <cfvo type="min"/>
        <cfvo type="max"/>
        <color rgb="FFFCFCFF"/>
        <color rgb="FFF8696B"/>
      </colorScale>
    </cfRule>
  </conditionalFormatting>
  <conditionalFormatting sqref="D85:D130">
    <cfRule type="colorScale" priority="38">
      <colorScale>
        <cfvo type="min"/>
        <cfvo type="max"/>
        <color rgb="FFFCFCFF"/>
        <color rgb="FFF8696B"/>
      </colorScale>
    </cfRule>
  </conditionalFormatting>
  <conditionalFormatting sqref="E85:E130">
    <cfRule type="colorScale" priority="37">
      <colorScale>
        <cfvo type="min"/>
        <cfvo type="max"/>
        <color rgb="FFFCFCFF"/>
        <color rgb="FFF8696B"/>
      </colorScale>
    </cfRule>
  </conditionalFormatting>
  <conditionalFormatting sqref="B45:B79">
    <cfRule type="colorScale" priority="36">
      <colorScale>
        <cfvo type="min"/>
        <cfvo type="max"/>
        <color rgb="FFFCFCFF"/>
        <color rgb="FFF8696B"/>
      </colorScale>
    </cfRule>
  </conditionalFormatting>
  <conditionalFormatting sqref="C45:C79">
    <cfRule type="colorScale" priority="35">
      <colorScale>
        <cfvo type="min"/>
        <cfvo type="max"/>
        <color rgb="FFFCFCFF"/>
        <color rgb="FFF8696B"/>
      </colorScale>
    </cfRule>
  </conditionalFormatting>
  <conditionalFormatting sqref="D45:D79">
    <cfRule type="colorScale" priority="34">
      <colorScale>
        <cfvo type="min"/>
        <cfvo type="max"/>
        <color rgb="FFFCFCFF"/>
        <color rgb="FFF8696B"/>
      </colorScale>
    </cfRule>
  </conditionalFormatting>
  <conditionalFormatting sqref="E45:E79">
    <cfRule type="colorScale" priority="33">
      <colorScale>
        <cfvo type="min"/>
        <cfvo type="max"/>
        <color rgb="FFFCFCFF"/>
        <color rgb="FFF8696B"/>
      </colorScale>
    </cfRule>
  </conditionalFormatting>
  <conditionalFormatting sqref="BG4:BG38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G45:BG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G85:BG130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G137:BG18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dataValidations disablePrompts="1" count="2">
    <dataValidation type="list" allowBlank="1" showInputMessage="1" showErrorMessage="1" sqref="A1">
      <formula1>"ABS,NET"</formula1>
    </dataValidation>
    <dataValidation type="list" allowBlank="1" showInputMessage="1" showErrorMessage="1" sqref="E1">
      <formula1>"GEX-OI,GEX-VOL,DEX,VOLPRESS,INVENTORY"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756B91-4852-4BB9-84D5-53514BB9C3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Z2:AH2</xm:sqref>
        </x14:conditionalFormatting>
        <x14:conditionalFormatting xmlns:xm="http://schemas.microsoft.com/office/excel/2006/main">
          <x14:cfRule type="dataBar" id="{70FBBBBD-AEF2-4C23-8DB7-77FAA1E335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Z1:AH1</xm:sqref>
        </x14:conditionalFormatting>
        <x14:conditionalFormatting xmlns:xm="http://schemas.microsoft.com/office/excel/2006/main">
          <x14:cfRule type="dataBar" id="{9BD38B5B-FD04-4F23-86FF-65CA58B88A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Z43:AH43</xm:sqref>
        </x14:conditionalFormatting>
        <x14:conditionalFormatting xmlns:xm="http://schemas.microsoft.com/office/excel/2006/main">
          <x14:cfRule type="dataBar" id="{F55B3C41-4249-493A-9904-35131BF446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Z83:AH83</xm:sqref>
        </x14:conditionalFormatting>
        <x14:conditionalFormatting xmlns:xm="http://schemas.microsoft.com/office/excel/2006/main">
          <x14:cfRule type="dataBar" id="{E8745E3C-E615-470A-BF75-D59A7489C6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Z135:AH135</xm:sqref>
        </x14:conditionalFormatting>
        <x14:conditionalFormatting xmlns:xm="http://schemas.microsoft.com/office/excel/2006/main">
          <x14:cfRule type="dataBar" id="{347D005F-749D-475B-BA2B-8FFD6FAC2F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Q2:Y2 AI2:AR2</xm:sqref>
        </x14:conditionalFormatting>
        <x14:conditionalFormatting xmlns:xm="http://schemas.microsoft.com/office/excel/2006/main">
          <x14:cfRule type="dataBar" id="{30BDB15D-9E4E-4582-BD62-69FDF3DCDA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Q1:Y1 AI1:AR1</xm:sqref>
        </x14:conditionalFormatting>
        <x14:conditionalFormatting xmlns:xm="http://schemas.microsoft.com/office/excel/2006/main">
          <x14:cfRule type="dataBar" id="{AC35B083-9921-45A7-9C15-640992C07F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Q43:Y43 AI43:AR43</xm:sqref>
        </x14:conditionalFormatting>
        <x14:conditionalFormatting xmlns:xm="http://schemas.microsoft.com/office/excel/2006/main">
          <x14:cfRule type="dataBar" id="{0284C3E3-1F73-449D-B3B2-6C12BBC8B7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Q83:Y83 AI83:AR83</xm:sqref>
        </x14:conditionalFormatting>
        <x14:conditionalFormatting xmlns:xm="http://schemas.microsoft.com/office/excel/2006/main">
          <x14:cfRule type="dataBar" id="{D6C08B44-F03F-46FF-92BB-6D0409D761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Q135:Y135 AI135:AR135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A190"/>
  <sheetViews>
    <sheetView topLeftCell="A85" zoomScale="80" zoomScaleNormal="80" workbookViewId="0">
      <selection activeCell="AP112" sqref="AP112"/>
    </sheetView>
  </sheetViews>
  <sheetFormatPr baseColWidth="10" defaultColWidth="7.28515625" defaultRowHeight="15" outlineLevelCol="1" x14ac:dyDescent="0.25"/>
  <cols>
    <col min="1" max="1" width="9.140625" style="93" bestFit="1" customWidth="1"/>
    <col min="2" max="2" width="9.85546875" style="93" hidden="1" customWidth="1" outlineLevel="1"/>
    <col min="3" max="3" width="8.42578125" style="93" hidden="1" customWidth="1" outlineLevel="1"/>
    <col min="4" max="10" width="7.7109375" style="93" hidden="1" customWidth="1" outlineLevel="1"/>
    <col min="11" max="11" width="8.42578125" style="93" hidden="1" customWidth="1" outlineLevel="1"/>
    <col min="12" max="24" width="7.7109375" style="93" hidden="1" customWidth="1" outlineLevel="1"/>
    <col min="25" max="25" width="20.42578125" style="93" customWidth="1" collapsed="1"/>
    <col min="26" max="16384" width="7.28515625" style="93"/>
  </cols>
  <sheetData>
    <row r="1" spans="1:25" x14ac:dyDescent="0.25">
      <c r="A1" s="92" t="str">
        <f ca="1">TEXT(IF(HOUR(NOW())&gt;=17,NOW()+1,NOW()),"YYMMDD")</f>
        <v>250508</v>
      </c>
      <c r="B1" s="92" t="str">
        <f ca="1">IF(AND(TEXT(B3,"YYMMDD")&gt;$A$1,TEXT(B3,"YYMMDD")&lt;&gt;Hoja1!$C$2,TEXT(B3,"YYMMDD")&lt;&gt;Hoja1!$D$2),TEXT(B3,"YYMMDD"),"")</f>
        <v/>
      </c>
      <c r="C1" s="92" t="str">
        <f ca="1">IF(AND(TEXT(C3,"YYMMDD")&gt;$A$1,TEXT(C3,"YYMMDD")&lt;&gt;Hoja1!$C$2,TEXT(C3,"YYMMDD")&lt;&gt;Hoja1!$D$2),TEXT(C3,"YYMMDD"),"")</f>
        <v/>
      </c>
      <c r="D1" s="92" t="str">
        <f ca="1">IF(AND(TEXT(D3,"YYMMDD")&gt;$A$1,TEXT(D3,"YYMMDD")&lt;&gt;Hoja1!$C$2,TEXT(D3,"YYMMDD")&lt;&gt;Hoja1!$D$2),TEXT(D3,"YYMMDD"),"")</f>
        <v/>
      </c>
      <c r="E1" s="92" t="str">
        <f ca="1">IF(AND(TEXT(E3,"YYMMDD")&gt;$A$1,TEXT(E3,"YYMMDD")&lt;&gt;Hoja1!$C$2,TEXT(E3,"YYMMDD")&lt;&gt;Hoja1!$D$2),TEXT(E3,"YYMMDD"),"")</f>
        <v/>
      </c>
      <c r="F1" s="92" t="str">
        <f ca="1">IF(AND(TEXT(F3,"YYMMDD")&gt;$A$1,TEXT(F3,"YYMMDD")&lt;&gt;Hoja1!$C$2,TEXT(F3,"YYMMDD")&lt;&gt;Hoja1!$D$2),TEXT(F3,"YYMMDD"),"")</f>
        <v/>
      </c>
      <c r="G1" s="92" t="str">
        <f ca="1">IF(AND(TEXT(G3,"YYMMDD")&gt;$A$1,TEXT(G3,"YYMMDD")&lt;&gt;Hoja1!$C$2,TEXT(G3,"YYMMDD")&lt;&gt;Hoja1!$D$2),TEXT(G3,"YYMMDD"),"")</f>
        <v/>
      </c>
      <c r="H1" s="92" t="str">
        <f ca="1">IF(AND(TEXT(H3,"YYMMDD")&gt;$A$1,TEXT(H3,"YYMMDD")&lt;&gt;Hoja1!$C$2,TEXT(H3,"YYMMDD")&lt;&gt;Hoja1!$D$2),TEXT(H3,"YYMMDD"),"")</f>
        <v>250523</v>
      </c>
      <c r="I1" s="92" t="str">
        <f ca="1">IF(AND(TEXT(I3,"YYMMDD")&gt;$A$1,TEXT(I3,"YYMMDD")&lt;&gt;Hoja1!$C$2,TEXT(I3,"YYMMDD")&lt;&gt;Hoja1!$D$2),TEXT(I3,"YYMMDD"),"")</f>
        <v>250530</v>
      </c>
      <c r="J1" s="92" t="str">
        <f ca="1">IF(AND(TEXT(J3,"YYMMDD")&gt;$A$1,TEXT(J3,"YYMMDD")&lt;&gt;Hoja1!$C$2,TEXT(J3,"YYMMDD")&lt;&gt;Hoja1!$D$2),TEXT(J3,"YYMMDD"),"")</f>
        <v>250606</v>
      </c>
      <c r="K1" s="92" t="str">
        <f ca="1">IF(AND(TEXT(K3,"YYMMDD")&gt;$A$1,TEXT(K3,"YYMMDD")&lt;&gt;Hoja1!$C$2,TEXT(K3,"YYMMDD")&lt;&gt;Hoja1!$D$2),TEXT(K3,"YYMMDD"),"")</f>
        <v>250620</v>
      </c>
      <c r="L1" s="92" t="str">
        <f ca="1">IF(AND(TEXT(L3,"YYMMDD")&gt;$A$1,TEXT(L3,"YYMMDD")&lt;&gt;Hoja1!$C$2,TEXT(L3,"YYMMDD")&lt;&gt;Hoja1!$D$2),TEXT(L3,"YYMMDD"),"")</f>
        <v>250630</v>
      </c>
      <c r="M1" s="92" t="str">
        <f ca="1">IF(AND(TEXT(M3,"YYMMDD")&gt;$A$1,TEXT(M3,"YYMMDD")&lt;&gt;Hoja1!$C$2,TEXT(M3,"YYMMDD")&lt;&gt;Hoja1!$D$2),TEXT(M3,"YYMMDD"),"")</f>
        <v>250718</v>
      </c>
      <c r="N1" s="92" t="str">
        <f ca="1">IF(AND(TEXT(N3,"YYMMDD")&gt;$A$1,TEXT(N3,"YYMMDD")&lt;&gt;Hoja1!$C$2,TEXT(N3,"YYMMDD")&lt;&gt;Hoja1!$D$2),TEXT(N3,"YYMMDD"),"")</f>
        <v>250731</v>
      </c>
      <c r="O1" s="92" t="str">
        <f ca="1">IF(AND(TEXT(O3,"YYMMDD")&gt;$A$1,TEXT(O3,"YYMMDD")&lt;&gt;Hoja1!$C$2,TEXT(O3,"YYMMDD")&lt;&gt;Hoja1!$D$2),TEXT(O3,"YYMMDD"),"")</f>
        <v>250815</v>
      </c>
      <c r="P1" s="92" t="str">
        <f ca="1">IF(AND(TEXT(P3,"YYMMDD")&gt;$A$1,TEXT(P3,"YYMMDD")&lt;&gt;Hoja1!$C$2,TEXT(P3,"YYMMDD")&lt;&gt;Hoja1!$D$2),TEXT(P3,"YYMMDD"),"")</f>
        <v>250829</v>
      </c>
      <c r="Q1" s="92" t="str">
        <f ca="1">IF(AND(TEXT(Q3,"YYMMDD")&gt;$A$1,TEXT(Q3,"YYMMDD")&lt;&gt;Hoja1!$C$2,TEXT(Q3,"YYMMDD")&lt;&gt;Hoja1!$D$2),TEXT(Q3,"YYMMDD"),"")</f>
        <v>250919</v>
      </c>
      <c r="R1" s="92" t="str">
        <f ca="1">IF(AND(TEXT(R3,"YYMMDD")&gt;$A$1,TEXT(R3,"YYMMDD")&lt;&gt;Hoja1!$C$2,TEXT(R3,"YYMMDD")&lt;&gt;Hoja1!$D$2),TEXT(R3,"YYMMDD"),"")</f>
        <v>250930</v>
      </c>
      <c r="S1" s="92" t="str">
        <f ca="1">IF(AND(TEXT(S3,"YYMMDD")&gt;$A$1,TEXT(S3,"YYMMDD")&lt;&gt;Hoja1!$C$2,TEXT(S3,"YYMMDD")&lt;&gt;Hoja1!$D$2),TEXT(S3,"YYMMDD"),"")</f>
        <v>251017</v>
      </c>
      <c r="T1" s="92" t="str">
        <f ca="1">IF(AND(TEXT(T3,"YYMMDD")&gt;$A$1,TEXT(T3,"YYMMDD")&lt;&gt;Hoja1!$C$2,TEXT(T3,"YYMMDD")&lt;&gt;Hoja1!$D$2),TEXT(T3,"YYMMDD"),"")</f>
        <v>251031</v>
      </c>
      <c r="U1" s="92" t="str">
        <f ca="1">IF(AND(TEXT(U3,"YYMMDD")&gt;$A$1,TEXT(U3,"YYMMDD")&lt;&gt;Hoja1!$C$2,TEXT(U3,"YYMMDD")&lt;&gt;Hoja1!$D$2),TEXT(U3,"YYMMDD"),"")</f>
        <v>251121</v>
      </c>
      <c r="V1" s="92" t="str">
        <f ca="1">IF(AND(TEXT(V3,"YYMMDD")&gt;$A$1,TEXT(V3,"YYMMDD")&lt;&gt;Hoja1!$C$2,TEXT(V3,"YYMMDD")&lt;&gt;Hoja1!$D$2),TEXT(V3,"YYMMDD"),"")</f>
        <v>251128</v>
      </c>
      <c r="W1" s="92" t="str">
        <f ca="1">IF(AND(TEXT(W3,"YYMMDD")&gt;$A$1,TEXT(W3,"YYMMDD")&lt;&gt;Hoja1!$C$2,TEXT(W3,"YYMMDD")&lt;&gt;Hoja1!$D$2),TEXT(W3,"YYMMDD"),"")</f>
        <v>251219</v>
      </c>
      <c r="X1" s="92" t="str">
        <f ca="1">IF(AND(TEXT(X3,"YYMMDD")&gt;$A$1,TEXT(X3,"YYMMDD")&lt;&gt;Hoja1!$C$2,TEXT(X3,"YYMMDD")&lt;&gt;Hoja1!$D$2),TEXT(X3,"YYMMDD"),"")</f>
        <v>251231</v>
      </c>
    </row>
    <row r="2" spans="1:25" x14ac:dyDescent="0.25">
      <c r="A2" s="92" t="s">
        <v>7</v>
      </c>
      <c r="B2" s="92" t="str">
        <f>+A3</f>
        <v>SPY</v>
      </c>
      <c r="C2" s="92" t="str">
        <f>+B2</f>
        <v>SPY</v>
      </c>
      <c r="D2" s="92" t="str">
        <f t="shared" ref="D2:K2" si="0">+C2</f>
        <v>SPY</v>
      </c>
      <c r="E2" s="92" t="str">
        <f t="shared" si="0"/>
        <v>SPY</v>
      </c>
      <c r="F2" s="92" t="str">
        <f t="shared" si="0"/>
        <v>SPY</v>
      </c>
      <c r="G2" s="92" t="str">
        <f t="shared" si="0"/>
        <v>SPY</v>
      </c>
      <c r="H2" s="92" t="str">
        <f t="shared" si="0"/>
        <v>SPY</v>
      </c>
      <c r="I2" s="92" t="str">
        <f t="shared" si="0"/>
        <v>SPY</v>
      </c>
      <c r="J2" s="92" t="str">
        <f t="shared" si="0"/>
        <v>SPY</v>
      </c>
      <c r="K2" s="92" t="str">
        <f t="shared" si="0"/>
        <v>SPY</v>
      </c>
      <c r="L2" s="92" t="str">
        <f t="shared" ref="L2" si="1">+K2</f>
        <v>SPY</v>
      </c>
      <c r="M2" s="92" t="str">
        <f t="shared" ref="M2:X2" si="2">+K2</f>
        <v>SPY</v>
      </c>
      <c r="N2" s="92" t="str">
        <f t="shared" si="2"/>
        <v>SPY</v>
      </c>
      <c r="O2" s="92" t="str">
        <f t="shared" si="2"/>
        <v>SPY</v>
      </c>
      <c r="P2" s="92" t="str">
        <f t="shared" si="2"/>
        <v>SPY</v>
      </c>
      <c r="Q2" s="92" t="str">
        <f t="shared" si="2"/>
        <v>SPY</v>
      </c>
      <c r="R2" s="92" t="str">
        <f t="shared" si="2"/>
        <v>SPY</v>
      </c>
      <c r="S2" s="92" t="str">
        <f t="shared" si="2"/>
        <v>SPY</v>
      </c>
      <c r="T2" s="92" t="str">
        <f t="shared" si="2"/>
        <v>SPY</v>
      </c>
      <c r="U2" s="92" t="str">
        <f t="shared" si="2"/>
        <v>SPY</v>
      </c>
      <c r="V2" s="92" t="str">
        <f t="shared" si="2"/>
        <v>SPY</v>
      </c>
      <c r="W2" s="92" t="str">
        <f t="shared" si="2"/>
        <v>SPY</v>
      </c>
      <c r="X2" s="92" t="str">
        <f t="shared" si="2"/>
        <v>SPY</v>
      </c>
    </row>
    <row r="3" spans="1:25" x14ac:dyDescent="0.25">
      <c r="A3" s="92" t="str">
        <f>+Hoja1!A2</f>
        <v>SPY</v>
      </c>
      <c r="B3" s="94">
        <v>45782</v>
      </c>
      <c r="C3" s="94">
        <f>+B3+1</f>
        <v>45783</v>
      </c>
      <c r="D3" s="94">
        <f>+C3+1</f>
        <v>45784</v>
      </c>
      <c r="E3" s="94">
        <f>+D3+1</f>
        <v>45785</v>
      </c>
      <c r="F3" s="94">
        <f>+E3+1</f>
        <v>45786</v>
      </c>
      <c r="G3" s="94">
        <f>+F3+7</f>
        <v>45793</v>
      </c>
      <c r="H3" s="94">
        <f>+G3+7</f>
        <v>45800</v>
      </c>
      <c r="I3" s="94">
        <f>+H3+7</f>
        <v>45807</v>
      </c>
      <c r="J3" s="94">
        <f>+I3+7</f>
        <v>45814</v>
      </c>
      <c r="K3" s="94">
        <v>45828</v>
      </c>
      <c r="L3" s="94">
        <v>45838</v>
      </c>
      <c r="M3" s="94">
        <f>+K3+7+7+7+7</f>
        <v>45856</v>
      </c>
      <c r="N3" s="94">
        <v>45869</v>
      </c>
      <c r="O3" s="94">
        <f>+M3+7+7+7+7</f>
        <v>45884</v>
      </c>
      <c r="P3" s="94">
        <v>45898</v>
      </c>
      <c r="Q3" s="94">
        <f>+O3+7+7+7+7+7</f>
        <v>45919</v>
      </c>
      <c r="R3" s="94">
        <v>45930</v>
      </c>
      <c r="S3" s="94">
        <f>+Q3+7+7+7+7</f>
        <v>45947</v>
      </c>
      <c r="T3" s="94">
        <v>45961</v>
      </c>
      <c r="U3" s="94">
        <f>+S3+7+7+7+7+7</f>
        <v>45982</v>
      </c>
      <c r="V3" s="94">
        <v>45989</v>
      </c>
      <c r="W3" s="94">
        <f>+U3+7+7+7+7</f>
        <v>46010</v>
      </c>
      <c r="X3" s="94">
        <v>46022</v>
      </c>
    </row>
    <row r="4" spans="1:25" x14ac:dyDescent="0.25">
      <c r="A4" s="92">
        <f>+Hoja1!A3</f>
        <v>564.33000000000004</v>
      </c>
      <c r="B4" s="92"/>
      <c r="C4" s="92"/>
      <c r="D4" s="92"/>
    </row>
    <row r="5" spans="1:25" x14ac:dyDescent="0.25">
      <c r="A5" s="92">
        <f>+Hoja1!A4</f>
        <v>582</v>
      </c>
      <c r="B5" s="91">
        <f ca="1">IF(RTD("tos.rtd",,$A$2,"."&amp;B$2&amp;B$1&amp;"C"&amp;$A5)="N/A",0,RTD("tos.rtd",,$A$2,"."&amp;B$2&amp;B$1&amp;"C"&amp;$A5))-IF(RTD("tos.rtd",,$A$2,"."&amp;B$2&amp;B$1&amp;"P"&amp;$A5)="N/A",0,RTD("tos.rtd",,$A$2,"."&amp;B$2&amp;B$1&amp;"P"&amp;$A5))</f>
        <v>0</v>
      </c>
      <c r="C5" s="91">
        <f ca="1">IF(RTD("tos.rtd",,$A$2,"."&amp;C$2&amp;C$1&amp;"C"&amp;$A5)="N/A",0,RTD("tos.rtd",,$A$2,"."&amp;C$2&amp;C$1&amp;"C"&amp;$A5))-IF(RTD("tos.rtd",,$A$2,"."&amp;C$2&amp;C$1&amp;"P"&amp;$A5)="N/A",0,RTD("tos.rtd",,$A$2,"."&amp;C$2&amp;C$1&amp;"P"&amp;$A5))</f>
        <v>0</v>
      </c>
      <c r="D5" s="91">
        <f ca="1">IF(RTD("tos.rtd",,$A$2,"."&amp;D$2&amp;D$1&amp;"C"&amp;$A5)="N/A",0,RTD("tos.rtd",,$A$2,"."&amp;D$2&amp;D$1&amp;"C"&amp;$A5))-IF(RTD("tos.rtd",,$A$2,"."&amp;D$2&amp;D$1&amp;"P"&amp;$A5)="N/A",0,RTD("tos.rtd",,$A$2,"."&amp;D$2&amp;D$1&amp;"P"&amp;$A5))</f>
        <v>0</v>
      </c>
      <c r="E5" s="91">
        <f ca="1">IF(RTD("tos.rtd",,$A$2,"."&amp;E$2&amp;E$1&amp;"C"&amp;$A5)="N/A",0,RTD("tos.rtd",,$A$2,"."&amp;E$2&amp;E$1&amp;"C"&amp;$A5))-IF(RTD("tos.rtd",,$A$2,"."&amp;E$2&amp;E$1&amp;"P"&amp;$A5)="N/A",0,RTD("tos.rtd",,$A$2,"."&amp;E$2&amp;E$1&amp;"P"&amp;$A5))</f>
        <v>0</v>
      </c>
      <c r="F5" s="91">
        <f ca="1">IF(RTD("tos.rtd",,$A$2,"."&amp;F$2&amp;F$1&amp;"C"&amp;$A5)="N/A",0,RTD("tos.rtd",,$A$2,"."&amp;F$2&amp;F$1&amp;"C"&amp;$A5))-IF(RTD("tos.rtd",,$A$2,"."&amp;F$2&amp;F$1&amp;"P"&amp;$A5)="N/A",0,RTD("tos.rtd",,$A$2,"."&amp;F$2&amp;F$1&amp;"P"&amp;$A5))</f>
        <v>0</v>
      </c>
      <c r="G5" s="91">
        <f ca="1">IF(RTD("tos.rtd",,$A$2,"."&amp;G$2&amp;G$1&amp;"C"&amp;$A5)="N/A",0,RTD("tos.rtd",,$A$2,"."&amp;G$2&amp;G$1&amp;"C"&amp;$A5))-IF(RTD("tos.rtd",,$A$2,"."&amp;G$2&amp;G$1&amp;"P"&amp;$A5)="N/A",0,RTD("tos.rtd",,$A$2,"."&amp;G$2&amp;G$1&amp;"P"&amp;$A5))</f>
        <v>0</v>
      </c>
      <c r="H5" s="91">
        <f ca="1">IF(RTD("tos.rtd",,$A$2,"."&amp;H$2&amp;H$1&amp;"C"&amp;$A5)="N/A",0,RTD("tos.rtd",,$A$2,"."&amp;H$2&amp;H$1&amp;"C"&amp;$A5))-IF(RTD("tos.rtd",,$A$2,"."&amp;H$2&amp;H$1&amp;"P"&amp;$A5)="N/A",0,RTD("tos.rtd",,$A$2,"."&amp;H$2&amp;H$1&amp;"P"&amp;$A5))</f>
        <v>230</v>
      </c>
      <c r="I5" s="91">
        <f ca="1">IF(RTD("tos.rtd",,$A$2,"."&amp;I$2&amp;I$1&amp;"C"&amp;$A5)="N/A",0,RTD("tos.rtd",,$A$2,"."&amp;I$2&amp;I$1&amp;"C"&amp;$A5))-IF(RTD("tos.rtd",,$A$2,"."&amp;I$2&amp;I$1&amp;"P"&amp;$A5)="N/A",0,RTD("tos.rtd",,$A$2,"."&amp;I$2&amp;I$1&amp;"P"&amp;$A5))</f>
        <v>169</v>
      </c>
      <c r="J5" s="91">
        <f ca="1">IF(RTD("tos.rtd",,$A$2,"."&amp;J$2&amp;J$1&amp;"C"&amp;$A5)="N/A",0,RTD("tos.rtd",,$A$2,"."&amp;J$2&amp;J$1&amp;"C"&amp;$A5))-IF(RTD("tos.rtd",,$A$2,"."&amp;J$2&amp;J$1&amp;"P"&amp;$A5)="N/A",0,RTD("tos.rtd",,$A$2,"."&amp;J$2&amp;J$1&amp;"P"&amp;$A5))</f>
        <v>-3</v>
      </c>
      <c r="K5" s="91">
        <f ca="1">IF(RTD("tos.rtd",,$A$2,"."&amp;K$2&amp;K$1&amp;"C"&amp;$A5)="N/A",0,RTD("tos.rtd",,$A$2,"."&amp;K$2&amp;K$1&amp;"C"&amp;$A5))-IF(RTD("tos.rtd",,$A$2,"."&amp;K$2&amp;K$1&amp;"P"&amp;$A5)="N/A",0,RTD("tos.rtd",,$A$2,"."&amp;K$2&amp;K$1&amp;"P"&amp;$A5))</f>
        <v>593</v>
      </c>
      <c r="L5" s="91">
        <f ca="1">IF(RTD("tos.rtd",,$A$2,"."&amp;L$2&amp;L$1&amp;"C"&amp;$A5)="N/A",0,RTD("tos.rtd",,$A$2,"."&amp;L$2&amp;L$1&amp;"C"&amp;$A5))-IF(RTD("tos.rtd",,$A$2,"."&amp;L$2&amp;L$1&amp;"P"&amp;$A5)="N/A",0,RTD("tos.rtd",,$A$2,"."&amp;L$2&amp;L$1&amp;"P"&amp;$A5))</f>
        <v>102</v>
      </c>
      <c r="M5" s="91">
        <f ca="1">IF(RTD("tos.rtd",,$A$2,"."&amp;M$2&amp;M$1&amp;"C"&amp;$A5)="N/A",0,RTD("tos.rtd",,$A$2,"."&amp;M$2&amp;M$1&amp;"C"&amp;$A5))-IF(RTD("tos.rtd",,$A$2,"."&amp;M$2&amp;M$1&amp;"P"&amp;$A5)="N/A",0,RTD("tos.rtd",,$A$2,"."&amp;M$2&amp;M$1&amp;"P"&amp;$A5))</f>
        <v>0</v>
      </c>
      <c r="N5" s="91">
        <f ca="1">IF(RTD("tos.rtd",,$A$2,"."&amp;N$2&amp;N$1&amp;"C"&amp;$A5)="N/A",0,RTD("tos.rtd",,$A$2,"."&amp;N$2&amp;N$1&amp;"C"&amp;$A5))-IF(RTD("tos.rtd",,$A$2,"."&amp;N$2&amp;N$1&amp;"P"&amp;$A5)="N/A",0,RTD("tos.rtd",,$A$2,"."&amp;N$2&amp;N$1&amp;"P"&amp;$A5))</f>
        <v>6</v>
      </c>
      <c r="O5" s="91">
        <f ca="1">IF(RTD("tos.rtd",,$A$2,"."&amp;O$2&amp;O$1&amp;"C"&amp;$A5)="N/A",0,RTD("tos.rtd",,$A$2,"."&amp;O$2&amp;O$1&amp;"C"&amp;$A5))-IF(RTD("tos.rtd",,$A$2,"."&amp;O$2&amp;O$1&amp;"P"&amp;$A5)="N/A",0,RTD("tos.rtd",,$A$2,"."&amp;O$2&amp;O$1&amp;"P"&amp;$A5))</f>
        <v>0</v>
      </c>
      <c r="P5" s="91">
        <f ca="1">IF(RTD("tos.rtd",,$A$2,"."&amp;P$2&amp;P$1&amp;"C"&amp;$A5)="N/A",0,RTD("tos.rtd",,$A$2,"."&amp;P$2&amp;P$1&amp;"C"&amp;$A5))-IF(RTD("tos.rtd",,$A$2,"."&amp;P$2&amp;P$1&amp;"P"&amp;$A5)="N/A",0,RTD("tos.rtd",,$A$2,"."&amp;P$2&amp;P$1&amp;"P"&amp;$A5))</f>
        <v>1</v>
      </c>
      <c r="Q5" s="91">
        <f ca="1">IF(RTD("tos.rtd",,$A$2,"."&amp;Q$2&amp;Q$1&amp;"C"&amp;$A5)="N/A",0,RTD("tos.rtd",,$A$2,"."&amp;Q$2&amp;Q$1&amp;"C"&amp;$A5))-IF(RTD("tos.rtd",,$A$2,"."&amp;Q$2&amp;Q$1&amp;"P"&amp;$A5)="N/A",0,RTD("tos.rtd",,$A$2,"."&amp;Q$2&amp;Q$1&amp;"P"&amp;$A5))</f>
        <v>0</v>
      </c>
      <c r="R5" s="91">
        <f ca="1">IF(RTD("tos.rtd",,$A$2,"."&amp;R$2&amp;R$1&amp;"C"&amp;$A5)="N/A",0,RTD("tos.rtd",,$A$2,"."&amp;R$2&amp;R$1&amp;"C"&amp;$A5))-IF(RTD("tos.rtd",,$A$2,"."&amp;R$2&amp;R$1&amp;"P"&amp;$A5)="N/A",0,RTD("tos.rtd",,$A$2,"."&amp;R$2&amp;R$1&amp;"P"&amp;$A5))</f>
        <v>-1</v>
      </c>
      <c r="S5" s="91">
        <f ca="1">IF(RTD("tos.rtd",,$A$2,"."&amp;S$2&amp;S$1&amp;"C"&amp;$A5)="N/A",0,RTD("tos.rtd",,$A$2,"."&amp;S$2&amp;S$1&amp;"C"&amp;$A5))-IF(RTD("tos.rtd",,$A$2,"."&amp;S$2&amp;S$1&amp;"P"&amp;$A5)="N/A",0,RTD("tos.rtd",,$A$2,"."&amp;S$2&amp;S$1&amp;"P"&amp;$A5))</f>
        <v>0</v>
      </c>
      <c r="T5" s="91">
        <f ca="1">IF(RTD("tos.rtd",,$A$2,"."&amp;T$2&amp;T$1&amp;"C"&amp;$A5)="N/A",0,RTD("tos.rtd",,$A$2,"."&amp;T$2&amp;T$1&amp;"C"&amp;$A5))-IF(RTD("tos.rtd",,$A$2,"."&amp;T$2&amp;T$1&amp;"P"&amp;$A5)="N/A",0,RTD("tos.rtd",,$A$2,"."&amp;T$2&amp;T$1&amp;"P"&amp;$A5))</f>
        <v>0</v>
      </c>
      <c r="U5" s="91">
        <f ca="1">IF(RTD("tos.rtd",,$A$2,"."&amp;U$2&amp;U$1&amp;"C"&amp;$A5)="N/A",0,RTD("tos.rtd",,$A$2,"."&amp;U$2&amp;U$1&amp;"C"&amp;$A5))-IF(RTD("tos.rtd",,$A$2,"."&amp;U$2&amp;U$1&amp;"P"&amp;$A5)="N/A",0,RTD("tos.rtd",,$A$2,"."&amp;U$2&amp;U$1&amp;"P"&amp;$A5))</f>
        <v>0</v>
      </c>
      <c r="V5" s="91">
        <f ca="1">IF(RTD("tos.rtd",,$A$2,"."&amp;V$2&amp;V$1&amp;"C"&amp;$A5)="N/A",0,RTD("tos.rtd",,$A$2,"."&amp;V$2&amp;V$1&amp;"C"&amp;$A5))-IF(RTD("tos.rtd",,$A$2,"."&amp;V$2&amp;V$1&amp;"P"&amp;$A5)="N/A",0,RTD("tos.rtd",,$A$2,"."&amp;V$2&amp;V$1&amp;"P"&amp;$A5))</f>
        <v>0</v>
      </c>
      <c r="W5" s="91">
        <f ca="1">IF(RTD("tos.rtd",,$A$2,"."&amp;W$2&amp;W$1&amp;"C"&amp;$A5)="N/A",0,RTD("tos.rtd",,$A$2,"."&amp;W$2&amp;W$1&amp;"C"&amp;$A5))-IF(RTD("tos.rtd",,$A$2,"."&amp;W$2&amp;W$1&amp;"P"&amp;$A5)="N/A",0,RTD("tos.rtd",,$A$2,"."&amp;W$2&amp;W$1&amp;"P"&amp;$A5))</f>
        <v>0</v>
      </c>
      <c r="X5" s="91">
        <f ca="1">IF(RTD("tos.rtd",,$A$2,"."&amp;X$2&amp;X$1&amp;"C"&amp;$A5)="N/A",0,RTD("tos.rtd",,$A$2,"."&amp;X$2&amp;X$1&amp;"C"&amp;$A5))-IF(RTD("tos.rtd",,$A$2,"."&amp;X$2&amp;X$1&amp;"P"&amp;$A5)="N/A",0,RTD("tos.rtd",,$A$2,"."&amp;X$2&amp;X$1&amp;"P"&amp;$A5))</f>
        <v>0</v>
      </c>
      <c r="Y5" s="98">
        <f ca="1">SUM(B5:X5)</f>
        <v>1097</v>
      </c>
    </row>
    <row r="6" spans="1:25" x14ac:dyDescent="0.25">
      <c r="A6" s="92">
        <f>+Hoja1!A5</f>
        <v>581</v>
      </c>
      <c r="B6" s="91">
        <f ca="1">IF(RTD("tos.rtd",,$A$2,"."&amp;B$2&amp;B$1&amp;"C"&amp;$A6)="N/A",0,RTD("tos.rtd",,$A$2,"."&amp;B$2&amp;B$1&amp;"C"&amp;$A6))-IF(RTD("tos.rtd",,$A$2,"."&amp;B$2&amp;B$1&amp;"P"&amp;$A6)="N/A",0,RTD("tos.rtd",,$A$2,"."&amp;B$2&amp;B$1&amp;"P"&amp;$A6))</f>
        <v>0</v>
      </c>
      <c r="C6" s="91">
        <f ca="1">IF(RTD("tos.rtd",,$A$2,"."&amp;C$2&amp;C$1&amp;"C"&amp;$A6)="N/A",0,RTD("tos.rtd",,$A$2,"."&amp;C$2&amp;C$1&amp;"C"&amp;$A6))-IF(RTD("tos.rtd",,$A$2,"."&amp;C$2&amp;C$1&amp;"P"&amp;$A6)="N/A",0,RTD("tos.rtd",,$A$2,"."&amp;C$2&amp;C$1&amp;"P"&amp;$A6))</f>
        <v>0</v>
      </c>
      <c r="D6" s="91">
        <f ca="1">IF(RTD("tos.rtd",,$A$2,"."&amp;D$2&amp;D$1&amp;"C"&amp;$A6)="N/A",0,RTD("tos.rtd",,$A$2,"."&amp;D$2&amp;D$1&amp;"C"&amp;$A6))-IF(RTD("tos.rtd",,$A$2,"."&amp;D$2&amp;D$1&amp;"P"&amp;$A6)="N/A",0,RTD("tos.rtd",,$A$2,"."&amp;D$2&amp;D$1&amp;"P"&amp;$A6))</f>
        <v>0</v>
      </c>
      <c r="E6" s="91">
        <f ca="1">IF(RTD("tos.rtd",,$A$2,"."&amp;E$2&amp;E$1&amp;"C"&amp;$A6)="N/A",0,RTD("tos.rtd",,$A$2,"."&amp;E$2&amp;E$1&amp;"C"&amp;$A6))-IF(RTD("tos.rtd",,$A$2,"."&amp;E$2&amp;E$1&amp;"P"&amp;$A6)="N/A",0,RTD("tos.rtd",,$A$2,"."&amp;E$2&amp;E$1&amp;"P"&amp;$A6))</f>
        <v>0</v>
      </c>
      <c r="F6" s="91">
        <f ca="1">IF(RTD("tos.rtd",,$A$2,"."&amp;F$2&amp;F$1&amp;"C"&amp;$A6)="N/A",0,RTD("tos.rtd",,$A$2,"."&amp;F$2&amp;F$1&amp;"C"&amp;$A6))-IF(RTD("tos.rtd",,$A$2,"."&amp;F$2&amp;F$1&amp;"P"&amp;$A6)="N/A",0,RTD("tos.rtd",,$A$2,"."&amp;F$2&amp;F$1&amp;"P"&amp;$A6))</f>
        <v>0</v>
      </c>
      <c r="G6" s="91">
        <f ca="1">IF(RTD("tos.rtd",,$A$2,"."&amp;G$2&amp;G$1&amp;"C"&amp;$A6)="N/A",0,RTD("tos.rtd",,$A$2,"."&amp;G$2&amp;G$1&amp;"C"&amp;$A6))-IF(RTD("tos.rtd",,$A$2,"."&amp;G$2&amp;G$1&amp;"P"&amp;$A6)="N/A",0,RTD("tos.rtd",,$A$2,"."&amp;G$2&amp;G$1&amp;"P"&amp;$A6))</f>
        <v>0</v>
      </c>
      <c r="H6" s="91">
        <f ca="1">IF(RTD("tos.rtd",,$A$2,"."&amp;H$2&amp;H$1&amp;"C"&amp;$A6)="N/A",0,RTD("tos.rtd",,$A$2,"."&amp;H$2&amp;H$1&amp;"C"&amp;$A6))-IF(RTD("tos.rtd",,$A$2,"."&amp;H$2&amp;H$1&amp;"P"&amp;$A6)="N/A",0,RTD("tos.rtd",,$A$2,"."&amp;H$2&amp;H$1&amp;"P"&amp;$A6))</f>
        <v>432</v>
      </c>
      <c r="I6" s="91">
        <f ca="1">IF(RTD("tos.rtd",,$A$2,"."&amp;I$2&amp;I$1&amp;"C"&amp;$A6)="N/A",0,RTD("tos.rtd",,$A$2,"."&amp;I$2&amp;I$1&amp;"C"&amp;$A6))-IF(RTD("tos.rtd",,$A$2,"."&amp;I$2&amp;I$1&amp;"P"&amp;$A6)="N/A",0,RTD("tos.rtd",,$A$2,"."&amp;I$2&amp;I$1&amp;"P"&amp;$A6))</f>
        <v>176</v>
      </c>
      <c r="J6" s="91">
        <f ca="1">IF(RTD("tos.rtd",,$A$2,"."&amp;J$2&amp;J$1&amp;"C"&amp;$A6)="N/A",0,RTD("tos.rtd",,$A$2,"."&amp;J$2&amp;J$1&amp;"C"&amp;$A6))-IF(RTD("tos.rtd",,$A$2,"."&amp;J$2&amp;J$1&amp;"P"&amp;$A6)="N/A",0,RTD("tos.rtd",,$A$2,"."&amp;J$2&amp;J$1&amp;"P"&amp;$A6))</f>
        <v>84</v>
      </c>
      <c r="K6" s="91">
        <f ca="1">IF(RTD("tos.rtd",,$A$2,"."&amp;K$2&amp;K$1&amp;"C"&amp;$A6)="N/A",0,RTD("tos.rtd",,$A$2,"."&amp;K$2&amp;K$1&amp;"C"&amp;$A6))-IF(RTD("tos.rtd",,$A$2,"."&amp;K$2&amp;K$1&amp;"P"&amp;$A6)="N/A",0,RTD("tos.rtd",,$A$2,"."&amp;K$2&amp;K$1&amp;"P"&amp;$A6))</f>
        <v>416</v>
      </c>
      <c r="L6" s="91">
        <f ca="1">IF(RTD("tos.rtd",,$A$2,"."&amp;L$2&amp;L$1&amp;"C"&amp;$A6)="N/A",0,RTD("tos.rtd",,$A$2,"."&amp;L$2&amp;L$1&amp;"C"&amp;$A6))-IF(RTD("tos.rtd",,$A$2,"."&amp;L$2&amp;L$1&amp;"P"&amp;$A6)="N/A",0,RTD("tos.rtd",,$A$2,"."&amp;L$2&amp;L$1&amp;"P"&amp;$A6))</f>
        <v>120</v>
      </c>
      <c r="M6" s="91">
        <f ca="1">IF(RTD("tos.rtd",,$A$2,"."&amp;M$2&amp;M$1&amp;"C"&amp;$A6)="N/A",0,RTD("tos.rtd",,$A$2,"."&amp;M$2&amp;M$1&amp;"C"&amp;$A6))-IF(RTD("tos.rtd",,$A$2,"."&amp;M$2&amp;M$1&amp;"P"&amp;$A6)="N/A",0,RTD("tos.rtd",,$A$2,"."&amp;M$2&amp;M$1&amp;"P"&amp;$A6))</f>
        <v>0</v>
      </c>
      <c r="N6" s="91">
        <f ca="1">IF(RTD("tos.rtd",,$A$2,"."&amp;N$2&amp;N$1&amp;"C"&amp;$A6)="N/A",0,RTD("tos.rtd",,$A$2,"."&amp;N$2&amp;N$1&amp;"C"&amp;$A6))-IF(RTD("tos.rtd",,$A$2,"."&amp;N$2&amp;N$1&amp;"P"&amp;$A6)="N/A",0,RTD("tos.rtd",,$A$2,"."&amp;N$2&amp;N$1&amp;"P"&amp;$A6))</f>
        <v>0</v>
      </c>
      <c r="O6" s="91">
        <f ca="1">IF(RTD("tos.rtd",,$A$2,"."&amp;O$2&amp;O$1&amp;"C"&amp;$A6)="N/A",0,RTD("tos.rtd",,$A$2,"."&amp;O$2&amp;O$1&amp;"C"&amp;$A6))-IF(RTD("tos.rtd",,$A$2,"."&amp;O$2&amp;O$1&amp;"P"&amp;$A6)="N/A",0,RTD("tos.rtd",,$A$2,"."&amp;O$2&amp;O$1&amp;"P"&amp;$A6))</f>
        <v>0</v>
      </c>
      <c r="P6" s="91">
        <f ca="1">IF(RTD("tos.rtd",,$A$2,"."&amp;P$2&amp;P$1&amp;"C"&amp;$A6)="N/A",0,RTD("tos.rtd",,$A$2,"."&amp;P$2&amp;P$1&amp;"C"&amp;$A6))-IF(RTD("tos.rtd",,$A$2,"."&amp;P$2&amp;P$1&amp;"P"&amp;$A6)="N/A",0,RTD("tos.rtd",,$A$2,"."&amp;P$2&amp;P$1&amp;"P"&amp;$A6))</f>
        <v>2</v>
      </c>
      <c r="Q6" s="91">
        <f ca="1">IF(RTD("tos.rtd",,$A$2,"."&amp;Q$2&amp;Q$1&amp;"C"&amp;$A6)="N/A",0,RTD("tos.rtd",,$A$2,"."&amp;Q$2&amp;Q$1&amp;"C"&amp;$A6))-IF(RTD("tos.rtd",,$A$2,"."&amp;Q$2&amp;Q$1&amp;"P"&amp;$A6)="N/A",0,RTD("tos.rtd",,$A$2,"."&amp;Q$2&amp;Q$1&amp;"P"&amp;$A6))</f>
        <v>0</v>
      </c>
      <c r="R6" s="91">
        <f ca="1">IF(RTD("tos.rtd",,$A$2,"."&amp;R$2&amp;R$1&amp;"C"&amp;$A6)="N/A",0,RTD("tos.rtd",,$A$2,"."&amp;R$2&amp;R$1&amp;"C"&amp;$A6))-IF(RTD("tos.rtd",,$A$2,"."&amp;R$2&amp;R$1&amp;"P"&amp;$A6)="N/A",0,RTD("tos.rtd",,$A$2,"."&amp;R$2&amp;R$1&amp;"P"&amp;$A6))</f>
        <v>-3</v>
      </c>
      <c r="S6" s="91">
        <f ca="1">IF(RTD("tos.rtd",,$A$2,"."&amp;S$2&amp;S$1&amp;"C"&amp;$A6)="N/A",0,RTD("tos.rtd",,$A$2,"."&amp;S$2&amp;S$1&amp;"C"&amp;$A6))-IF(RTD("tos.rtd",,$A$2,"."&amp;S$2&amp;S$1&amp;"P"&amp;$A6)="N/A",0,RTD("tos.rtd",,$A$2,"."&amp;S$2&amp;S$1&amp;"P"&amp;$A6))</f>
        <v>0</v>
      </c>
      <c r="T6" s="91">
        <f ca="1">IF(RTD("tos.rtd",,$A$2,"."&amp;T$2&amp;T$1&amp;"C"&amp;$A6)="N/A",0,RTD("tos.rtd",,$A$2,"."&amp;T$2&amp;T$1&amp;"C"&amp;$A6))-IF(RTD("tos.rtd",,$A$2,"."&amp;T$2&amp;T$1&amp;"P"&amp;$A6)="N/A",0,RTD("tos.rtd",,$A$2,"."&amp;T$2&amp;T$1&amp;"P"&amp;$A6))</f>
        <v>0</v>
      </c>
      <c r="U6" s="91">
        <f ca="1">IF(RTD("tos.rtd",,$A$2,"."&amp;U$2&amp;U$1&amp;"C"&amp;$A6)="N/A",0,RTD("tos.rtd",,$A$2,"."&amp;U$2&amp;U$1&amp;"C"&amp;$A6))-IF(RTD("tos.rtd",,$A$2,"."&amp;U$2&amp;U$1&amp;"P"&amp;$A6)="N/A",0,RTD("tos.rtd",,$A$2,"."&amp;U$2&amp;U$1&amp;"P"&amp;$A6))</f>
        <v>0</v>
      </c>
      <c r="V6" s="91">
        <f ca="1">IF(RTD("tos.rtd",,$A$2,"."&amp;V$2&amp;V$1&amp;"C"&amp;$A6)="N/A",0,RTD("tos.rtd",,$A$2,"."&amp;V$2&amp;V$1&amp;"C"&amp;$A6))-IF(RTD("tos.rtd",,$A$2,"."&amp;V$2&amp;V$1&amp;"P"&amp;$A6)="N/A",0,RTD("tos.rtd",,$A$2,"."&amp;V$2&amp;V$1&amp;"P"&amp;$A6))</f>
        <v>0</v>
      </c>
      <c r="W6" s="91">
        <f ca="1">IF(RTD("tos.rtd",,$A$2,"."&amp;W$2&amp;W$1&amp;"C"&amp;$A6)="N/A",0,RTD("tos.rtd",,$A$2,"."&amp;W$2&amp;W$1&amp;"C"&amp;$A6))-IF(RTD("tos.rtd",,$A$2,"."&amp;W$2&amp;W$1&amp;"P"&amp;$A6)="N/A",0,RTD("tos.rtd",,$A$2,"."&amp;W$2&amp;W$1&amp;"P"&amp;$A6))</f>
        <v>0</v>
      </c>
      <c r="X6" s="91">
        <f ca="1">IF(RTD("tos.rtd",,$A$2,"."&amp;X$2&amp;X$1&amp;"C"&amp;$A6)="N/A",0,RTD("tos.rtd",,$A$2,"."&amp;X$2&amp;X$1&amp;"C"&amp;$A6))-IF(RTD("tos.rtd",,$A$2,"."&amp;X$2&amp;X$1&amp;"P"&amp;$A6)="N/A",0,RTD("tos.rtd",,$A$2,"."&amp;X$2&amp;X$1&amp;"P"&amp;$A6))</f>
        <v>0</v>
      </c>
      <c r="Y6" s="98">
        <f t="shared" ref="Y6:Y39" ca="1" si="3">SUM(B6:X6)</f>
        <v>1227</v>
      </c>
    </row>
    <row r="7" spans="1:25" x14ac:dyDescent="0.25">
      <c r="A7" s="92">
        <f>+Hoja1!A6</f>
        <v>580</v>
      </c>
      <c r="B7" s="91">
        <f ca="1">IF(RTD("tos.rtd",,$A$2,"."&amp;B$2&amp;B$1&amp;"C"&amp;$A7)="N/A",0,RTD("tos.rtd",,$A$2,"."&amp;B$2&amp;B$1&amp;"C"&amp;$A7))-IF(RTD("tos.rtd",,$A$2,"."&amp;B$2&amp;B$1&amp;"P"&amp;$A7)="N/A",0,RTD("tos.rtd",,$A$2,"."&amp;B$2&amp;B$1&amp;"P"&amp;$A7))</f>
        <v>0</v>
      </c>
      <c r="C7" s="91">
        <f ca="1">IF(RTD("tos.rtd",,$A$2,"."&amp;C$2&amp;C$1&amp;"C"&amp;$A7)="N/A",0,RTD("tos.rtd",,$A$2,"."&amp;C$2&amp;C$1&amp;"C"&amp;$A7))-IF(RTD("tos.rtd",,$A$2,"."&amp;C$2&amp;C$1&amp;"P"&amp;$A7)="N/A",0,RTD("tos.rtd",,$A$2,"."&amp;C$2&amp;C$1&amp;"P"&amp;$A7))</f>
        <v>0</v>
      </c>
      <c r="D7" s="91">
        <f ca="1">IF(RTD("tos.rtd",,$A$2,"."&amp;D$2&amp;D$1&amp;"C"&amp;$A7)="N/A",0,RTD("tos.rtd",,$A$2,"."&amp;D$2&amp;D$1&amp;"C"&amp;$A7))-IF(RTD("tos.rtd",,$A$2,"."&amp;D$2&amp;D$1&amp;"P"&amp;$A7)="N/A",0,RTD("tos.rtd",,$A$2,"."&amp;D$2&amp;D$1&amp;"P"&amp;$A7))</f>
        <v>0</v>
      </c>
      <c r="E7" s="91">
        <f ca="1">IF(RTD("tos.rtd",,$A$2,"."&amp;E$2&amp;E$1&amp;"C"&amp;$A7)="N/A",0,RTD("tos.rtd",,$A$2,"."&amp;E$2&amp;E$1&amp;"C"&amp;$A7))-IF(RTD("tos.rtd",,$A$2,"."&amp;E$2&amp;E$1&amp;"P"&amp;$A7)="N/A",0,RTD("tos.rtd",,$A$2,"."&amp;E$2&amp;E$1&amp;"P"&amp;$A7))</f>
        <v>0</v>
      </c>
      <c r="F7" s="91">
        <f ca="1">IF(RTD("tos.rtd",,$A$2,"."&amp;F$2&amp;F$1&amp;"C"&amp;$A7)="N/A",0,RTD("tos.rtd",,$A$2,"."&amp;F$2&amp;F$1&amp;"C"&amp;$A7))-IF(RTD("tos.rtd",,$A$2,"."&amp;F$2&amp;F$1&amp;"P"&amp;$A7)="N/A",0,RTD("tos.rtd",,$A$2,"."&amp;F$2&amp;F$1&amp;"P"&amp;$A7))</f>
        <v>0</v>
      </c>
      <c r="G7" s="91">
        <f ca="1">IF(RTD("tos.rtd",,$A$2,"."&amp;G$2&amp;G$1&amp;"C"&amp;$A7)="N/A",0,RTD("tos.rtd",,$A$2,"."&amp;G$2&amp;G$1&amp;"C"&amp;$A7))-IF(RTD("tos.rtd",,$A$2,"."&amp;G$2&amp;G$1&amp;"P"&amp;$A7)="N/A",0,RTD("tos.rtd",,$A$2,"."&amp;G$2&amp;G$1&amp;"P"&amp;$A7))</f>
        <v>0</v>
      </c>
      <c r="H7" s="91">
        <f ca="1">IF(RTD("tos.rtd",,$A$2,"."&amp;H$2&amp;H$1&amp;"C"&amp;$A7)="N/A",0,RTD("tos.rtd",,$A$2,"."&amp;H$2&amp;H$1&amp;"C"&amp;$A7))-IF(RTD("tos.rtd",,$A$2,"."&amp;H$2&amp;H$1&amp;"P"&amp;$A7)="N/A",0,RTD("tos.rtd",,$A$2,"."&amp;H$2&amp;H$1&amp;"P"&amp;$A7))</f>
        <v>1249</v>
      </c>
      <c r="I7" s="91">
        <f ca="1">IF(RTD("tos.rtd",,$A$2,"."&amp;I$2&amp;I$1&amp;"C"&amp;$A7)="N/A",0,RTD("tos.rtd",,$A$2,"."&amp;I$2&amp;I$1&amp;"C"&amp;$A7))-IF(RTD("tos.rtd",,$A$2,"."&amp;I$2&amp;I$1&amp;"P"&amp;$A7)="N/A",0,RTD("tos.rtd",,$A$2,"."&amp;I$2&amp;I$1&amp;"P"&amp;$A7))</f>
        <v>1920</v>
      </c>
      <c r="J7" s="91">
        <f ca="1">IF(RTD("tos.rtd",,$A$2,"."&amp;J$2&amp;J$1&amp;"C"&amp;$A7)="N/A",0,RTD("tos.rtd",,$A$2,"."&amp;J$2&amp;J$1&amp;"C"&amp;$A7))-IF(RTD("tos.rtd",,$A$2,"."&amp;J$2&amp;J$1&amp;"P"&amp;$A7)="N/A",0,RTD("tos.rtd",,$A$2,"."&amp;J$2&amp;J$1&amp;"P"&amp;$A7))</f>
        <v>547</v>
      </c>
      <c r="K7" s="91">
        <f ca="1">IF(RTD("tos.rtd",,$A$2,"."&amp;K$2&amp;K$1&amp;"C"&amp;$A7)="N/A",0,RTD("tos.rtd",,$A$2,"."&amp;K$2&amp;K$1&amp;"C"&amp;$A7))-IF(RTD("tos.rtd",,$A$2,"."&amp;K$2&amp;K$1&amp;"P"&amp;$A7)="N/A",0,RTD("tos.rtd",,$A$2,"."&amp;K$2&amp;K$1&amp;"P"&amp;$A7))</f>
        <v>4155</v>
      </c>
      <c r="L7" s="91">
        <f ca="1">IF(RTD("tos.rtd",,$A$2,"."&amp;L$2&amp;L$1&amp;"C"&amp;$A7)="N/A",0,RTD("tos.rtd",,$A$2,"."&amp;L$2&amp;L$1&amp;"C"&amp;$A7))-IF(RTD("tos.rtd",,$A$2,"."&amp;L$2&amp;L$1&amp;"P"&amp;$A7)="N/A",0,RTD("tos.rtd",,$A$2,"."&amp;L$2&amp;L$1&amp;"P"&amp;$A7))</f>
        <v>1204</v>
      </c>
      <c r="M7" s="91">
        <f ca="1">IF(RTD("tos.rtd",,$A$2,"."&amp;M$2&amp;M$1&amp;"C"&amp;$A7)="N/A",0,RTD("tos.rtd",,$A$2,"."&amp;M$2&amp;M$1&amp;"C"&amp;$A7))-IF(RTD("tos.rtd",,$A$2,"."&amp;M$2&amp;M$1&amp;"P"&amp;$A7)="N/A",0,RTD("tos.rtd",,$A$2,"."&amp;M$2&amp;M$1&amp;"P"&amp;$A7))</f>
        <v>773</v>
      </c>
      <c r="N7" s="91">
        <f ca="1">IF(RTD("tos.rtd",,$A$2,"."&amp;N$2&amp;N$1&amp;"C"&amp;$A7)="N/A",0,RTD("tos.rtd",,$A$2,"."&amp;N$2&amp;N$1&amp;"C"&amp;$A7))-IF(RTD("tos.rtd",,$A$2,"."&amp;N$2&amp;N$1&amp;"P"&amp;$A7)="N/A",0,RTD("tos.rtd",,$A$2,"."&amp;N$2&amp;N$1&amp;"P"&amp;$A7))</f>
        <v>83</v>
      </c>
      <c r="O7" s="91">
        <f ca="1">IF(RTD("tos.rtd",,$A$2,"."&amp;O$2&amp;O$1&amp;"C"&amp;$A7)="N/A",0,RTD("tos.rtd",,$A$2,"."&amp;O$2&amp;O$1&amp;"C"&amp;$A7))-IF(RTD("tos.rtd",,$A$2,"."&amp;O$2&amp;O$1&amp;"P"&amp;$A7)="N/A",0,RTD("tos.rtd",,$A$2,"."&amp;O$2&amp;O$1&amp;"P"&amp;$A7))</f>
        <v>302</v>
      </c>
      <c r="P7" s="91">
        <f ca="1">IF(RTD("tos.rtd",,$A$2,"."&amp;P$2&amp;P$1&amp;"C"&amp;$A7)="N/A",0,RTD("tos.rtd",,$A$2,"."&amp;P$2&amp;P$1&amp;"C"&amp;$A7))-IF(RTD("tos.rtd",,$A$2,"."&amp;P$2&amp;P$1&amp;"P"&amp;$A7)="N/A",0,RTD("tos.rtd",,$A$2,"."&amp;P$2&amp;P$1&amp;"P"&amp;$A7))</f>
        <v>0</v>
      </c>
      <c r="Q7" s="91">
        <f ca="1">IF(RTD("tos.rtd",,$A$2,"."&amp;Q$2&amp;Q$1&amp;"C"&amp;$A7)="N/A",0,RTD("tos.rtd",,$A$2,"."&amp;Q$2&amp;Q$1&amp;"C"&amp;$A7))-IF(RTD("tos.rtd",,$A$2,"."&amp;Q$2&amp;Q$1&amp;"P"&amp;$A7)="N/A",0,RTD("tos.rtd",,$A$2,"."&amp;Q$2&amp;Q$1&amp;"P"&amp;$A7))</f>
        <v>-48</v>
      </c>
      <c r="R7" s="91">
        <f ca="1">IF(RTD("tos.rtd",,$A$2,"."&amp;R$2&amp;R$1&amp;"C"&amp;$A7)="N/A",0,RTD("tos.rtd",,$A$2,"."&amp;R$2&amp;R$1&amp;"C"&amp;$A7))-IF(RTD("tos.rtd",,$A$2,"."&amp;R$2&amp;R$1&amp;"P"&amp;$A7)="N/A",0,RTD("tos.rtd",,$A$2,"."&amp;R$2&amp;R$1&amp;"P"&amp;$A7))</f>
        <v>7</v>
      </c>
      <c r="S7" s="91">
        <f ca="1">IF(RTD("tos.rtd",,$A$2,"."&amp;S$2&amp;S$1&amp;"C"&amp;$A7)="N/A",0,RTD("tos.rtd",,$A$2,"."&amp;S$2&amp;S$1&amp;"C"&amp;$A7))-IF(RTD("tos.rtd",,$A$2,"."&amp;S$2&amp;S$1&amp;"P"&amp;$A7)="N/A",0,RTD("tos.rtd",,$A$2,"."&amp;S$2&amp;S$1&amp;"P"&amp;$A7))</f>
        <v>0</v>
      </c>
      <c r="T7" s="91">
        <f ca="1">IF(RTD("tos.rtd",,$A$2,"."&amp;T$2&amp;T$1&amp;"C"&amp;$A7)="N/A",0,RTD("tos.rtd",,$A$2,"."&amp;T$2&amp;T$1&amp;"C"&amp;$A7))-IF(RTD("tos.rtd",,$A$2,"."&amp;T$2&amp;T$1&amp;"P"&amp;$A7)="N/A",0,RTD("tos.rtd",,$A$2,"."&amp;T$2&amp;T$1&amp;"P"&amp;$A7))</f>
        <v>22</v>
      </c>
      <c r="U7" s="91">
        <f ca="1">IF(RTD("tos.rtd",,$A$2,"."&amp;U$2&amp;U$1&amp;"C"&amp;$A7)="N/A",0,RTD("tos.rtd",,$A$2,"."&amp;U$2&amp;U$1&amp;"C"&amp;$A7))-IF(RTD("tos.rtd",,$A$2,"."&amp;U$2&amp;U$1&amp;"P"&amp;$A7)="N/A",0,RTD("tos.rtd",,$A$2,"."&amp;U$2&amp;U$1&amp;"P"&amp;$A7))</f>
        <v>0</v>
      </c>
      <c r="V7" s="91">
        <f ca="1">IF(RTD("tos.rtd",,$A$2,"."&amp;V$2&amp;V$1&amp;"C"&amp;$A7)="N/A",0,RTD("tos.rtd",,$A$2,"."&amp;V$2&amp;V$1&amp;"C"&amp;$A7))-IF(RTD("tos.rtd",,$A$2,"."&amp;V$2&amp;V$1&amp;"P"&amp;$A7)="N/A",0,RTD("tos.rtd",,$A$2,"."&amp;V$2&amp;V$1&amp;"P"&amp;$A7))</f>
        <v>0</v>
      </c>
      <c r="W7" s="91">
        <f ca="1">IF(RTD("tos.rtd",,$A$2,"."&amp;W$2&amp;W$1&amp;"C"&amp;$A7)="N/A",0,RTD("tos.rtd",,$A$2,"."&amp;W$2&amp;W$1&amp;"C"&amp;$A7))-IF(RTD("tos.rtd",,$A$2,"."&amp;W$2&amp;W$1&amp;"P"&amp;$A7)="N/A",0,RTD("tos.rtd",,$A$2,"."&amp;W$2&amp;W$1&amp;"P"&amp;$A7))</f>
        <v>26</v>
      </c>
      <c r="X7" s="91">
        <f ca="1">IF(RTD("tos.rtd",,$A$2,"."&amp;X$2&amp;X$1&amp;"C"&amp;$A7)="N/A",0,RTD("tos.rtd",,$A$2,"."&amp;X$2&amp;X$1&amp;"C"&amp;$A7))-IF(RTD("tos.rtd",,$A$2,"."&amp;X$2&amp;X$1&amp;"P"&amp;$A7)="N/A",0,RTD("tos.rtd",,$A$2,"."&amp;X$2&amp;X$1&amp;"P"&amp;$A7))</f>
        <v>-4</v>
      </c>
      <c r="Y7" s="98">
        <f t="shared" ca="1" si="3"/>
        <v>10236</v>
      </c>
    </row>
    <row r="8" spans="1:25" x14ac:dyDescent="0.25">
      <c r="A8" s="92">
        <f>+Hoja1!A7</f>
        <v>579</v>
      </c>
      <c r="B8" s="91">
        <f ca="1">IF(RTD("tos.rtd",,$A$2,"."&amp;B$2&amp;B$1&amp;"C"&amp;$A8)="N/A",0,RTD("tos.rtd",,$A$2,"."&amp;B$2&amp;B$1&amp;"C"&amp;$A8))-IF(RTD("tos.rtd",,$A$2,"."&amp;B$2&amp;B$1&amp;"P"&amp;$A8)="N/A",0,RTD("tos.rtd",,$A$2,"."&amp;B$2&amp;B$1&amp;"P"&amp;$A8))</f>
        <v>0</v>
      </c>
      <c r="C8" s="91">
        <f ca="1">IF(RTD("tos.rtd",,$A$2,"."&amp;C$2&amp;C$1&amp;"C"&amp;$A8)="N/A",0,RTD("tos.rtd",,$A$2,"."&amp;C$2&amp;C$1&amp;"C"&amp;$A8))-IF(RTD("tos.rtd",,$A$2,"."&amp;C$2&amp;C$1&amp;"P"&amp;$A8)="N/A",0,RTD("tos.rtd",,$A$2,"."&amp;C$2&amp;C$1&amp;"P"&amp;$A8))</f>
        <v>0</v>
      </c>
      <c r="D8" s="91">
        <f ca="1">IF(RTD("tos.rtd",,$A$2,"."&amp;D$2&amp;D$1&amp;"C"&amp;$A8)="N/A",0,RTD("tos.rtd",,$A$2,"."&amp;D$2&amp;D$1&amp;"C"&amp;$A8))-IF(RTD("tos.rtd",,$A$2,"."&amp;D$2&amp;D$1&amp;"P"&amp;$A8)="N/A",0,RTD("tos.rtd",,$A$2,"."&amp;D$2&amp;D$1&amp;"P"&amp;$A8))</f>
        <v>0</v>
      </c>
      <c r="E8" s="91">
        <f ca="1">IF(RTD("tos.rtd",,$A$2,"."&amp;E$2&amp;E$1&amp;"C"&amp;$A8)="N/A",0,RTD("tos.rtd",,$A$2,"."&amp;E$2&amp;E$1&amp;"C"&amp;$A8))-IF(RTD("tos.rtd",,$A$2,"."&amp;E$2&amp;E$1&amp;"P"&amp;$A8)="N/A",0,RTD("tos.rtd",,$A$2,"."&amp;E$2&amp;E$1&amp;"P"&amp;$A8))</f>
        <v>0</v>
      </c>
      <c r="F8" s="91">
        <f ca="1">IF(RTD("tos.rtd",,$A$2,"."&amp;F$2&amp;F$1&amp;"C"&amp;$A8)="N/A",0,RTD("tos.rtd",,$A$2,"."&amp;F$2&amp;F$1&amp;"C"&amp;$A8))-IF(RTD("tos.rtd",,$A$2,"."&amp;F$2&amp;F$1&amp;"P"&amp;$A8)="N/A",0,RTD("tos.rtd",,$A$2,"."&amp;F$2&amp;F$1&amp;"P"&amp;$A8))</f>
        <v>0</v>
      </c>
      <c r="G8" s="91">
        <f ca="1">IF(RTD("tos.rtd",,$A$2,"."&amp;G$2&amp;G$1&amp;"C"&amp;$A8)="N/A",0,RTD("tos.rtd",,$A$2,"."&amp;G$2&amp;G$1&amp;"C"&amp;$A8))-IF(RTD("tos.rtd",,$A$2,"."&amp;G$2&amp;G$1&amp;"P"&amp;$A8)="N/A",0,RTD("tos.rtd",,$A$2,"."&amp;G$2&amp;G$1&amp;"P"&amp;$A8))</f>
        <v>0</v>
      </c>
      <c r="H8" s="91">
        <f ca="1">IF(RTD("tos.rtd",,$A$2,"."&amp;H$2&amp;H$1&amp;"C"&amp;$A8)="N/A",0,RTD("tos.rtd",,$A$2,"."&amp;H$2&amp;H$1&amp;"C"&amp;$A8))-IF(RTD("tos.rtd",,$A$2,"."&amp;H$2&amp;H$1&amp;"P"&amp;$A8)="N/A",0,RTD("tos.rtd",,$A$2,"."&amp;H$2&amp;H$1&amp;"P"&amp;$A8))</f>
        <v>106</v>
      </c>
      <c r="I8" s="91">
        <f ca="1">IF(RTD("tos.rtd",,$A$2,"."&amp;I$2&amp;I$1&amp;"C"&amp;$A8)="N/A",0,RTD("tos.rtd",,$A$2,"."&amp;I$2&amp;I$1&amp;"C"&amp;$A8))-IF(RTD("tos.rtd",,$A$2,"."&amp;I$2&amp;I$1&amp;"P"&amp;$A8)="N/A",0,RTD("tos.rtd",,$A$2,"."&amp;I$2&amp;I$1&amp;"P"&amp;$A8))</f>
        <v>86</v>
      </c>
      <c r="J8" s="91">
        <f ca="1">IF(RTD("tos.rtd",,$A$2,"."&amp;J$2&amp;J$1&amp;"C"&amp;$A8)="N/A",0,RTD("tos.rtd",,$A$2,"."&amp;J$2&amp;J$1&amp;"C"&amp;$A8))-IF(RTD("tos.rtd",,$A$2,"."&amp;J$2&amp;J$1&amp;"P"&amp;$A8)="N/A",0,RTD("tos.rtd",,$A$2,"."&amp;J$2&amp;J$1&amp;"P"&amp;$A8))</f>
        <v>38</v>
      </c>
      <c r="K8" s="91">
        <f ca="1">IF(RTD("tos.rtd",,$A$2,"."&amp;K$2&amp;K$1&amp;"C"&amp;$A8)="N/A",0,RTD("tos.rtd",,$A$2,"."&amp;K$2&amp;K$1&amp;"C"&amp;$A8))-IF(RTD("tos.rtd",,$A$2,"."&amp;K$2&amp;K$1&amp;"P"&amp;$A8)="N/A",0,RTD("tos.rtd",,$A$2,"."&amp;K$2&amp;K$1&amp;"P"&amp;$A8))</f>
        <v>134</v>
      </c>
      <c r="L8" s="91">
        <f ca="1">IF(RTD("tos.rtd",,$A$2,"."&amp;L$2&amp;L$1&amp;"C"&amp;$A8)="N/A",0,RTD("tos.rtd",,$A$2,"."&amp;L$2&amp;L$1&amp;"C"&amp;$A8))-IF(RTD("tos.rtd",,$A$2,"."&amp;L$2&amp;L$1&amp;"P"&amp;$A8)="N/A",0,RTD("tos.rtd",,$A$2,"."&amp;L$2&amp;L$1&amp;"P"&amp;$A8))</f>
        <v>0</v>
      </c>
      <c r="M8" s="91">
        <f ca="1">IF(RTD("tos.rtd",,$A$2,"."&amp;M$2&amp;M$1&amp;"C"&amp;$A8)="N/A",0,RTD("tos.rtd",,$A$2,"."&amp;M$2&amp;M$1&amp;"C"&amp;$A8))-IF(RTD("tos.rtd",,$A$2,"."&amp;M$2&amp;M$1&amp;"P"&amp;$A8)="N/A",0,RTD("tos.rtd",,$A$2,"."&amp;M$2&amp;M$1&amp;"P"&amp;$A8))</f>
        <v>0</v>
      </c>
      <c r="N8" s="91">
        <f ca="1">IF(RTD("tos.rtd",,$A$2,"."&amp;N$2&amp;N$1&amp;"C"&amp;$A8)="N/A",0,RTD("tos.rtd",,$A$2,"."&amp;N$2&amp;N$1&amp;"C"&amp;$A8))-IF(RTD("tos.rtd",,$A$2,"."&amp;N$2&amp;N$1&amp;"P"&amp;$A8)="N/A",0,RTD("tos.rtd",,$A$2,"."&amp;N$2&amp;N$1&amp;"P"&amp;$A8))</f>
        <v>2</v>
      </c>
      <c r="O8" s="91">
        <f ca="1">IF(RTD("tos.rtd",,$A$2,"."&amp;O$2&amp;O$1&amp;"C"&amp;$A8)="N/A",0,RTD("tos.rtd",,$A$2,"."&amp;O$2&amp;O$1&amp;"C"&amp;$A8))-IF(RTD("tos.rtd",,$A$2,"."&amp;O$2&amp;O$1&amp;"P"&amp;$A8)="N/A",0,RTD("tos.rtd",,$A$2,"."&amp;O$2&amp;O$1&amp;"P"&amp;$A8))</f>
        <v>448</v>
      </c>
      <c r="P8" s="91">
        <f ca="1">IF(RTD("tos.rtd",,$A$2,"."&amp;P$2&amp;P$1&amp;"C"&amp;$A8)="N/A",0,RTD("tos.rtd",,$A$2,"."&amp;P$2&amp;P$1&amp;"C"&amp;$A8))-IF(RTD("tos.rtd",,$A$2,"."&amp;P$2&amp;P$1&amp;"P"&amp;$A8)="N/A",0,RTD("tos.rtd",,$A$2,"."&amp;P$2&amp;P$1&amp;"P"&amp;$A8))</f>
        <v>1</v>
      </c>
      <c r="Q8" s="91">
        <f ca="1">IF(RTD("tos.rtd",,$A$2,"."&amp;Q$2&amp;Q$1&amp;"C"&amp;$A8)="N/A",0,RTD("tos.rtd",,$A$2,"."&amp;Q$2&amp;Q$1&amp;"C"&amp;$A8))-IF(RTD("tos.rtd",,$A$2,"."&amp;Q$2&amp;Q$1&amp;"P"&amp;$A8)="N/A",0,RTD("tos.rtd",,$A$2,"."&amp;Q$2&amp;Q$1&amp;"P"&amp;$A8))</f>
        <v>0</v>
      </c>
      <c r="R8" s="91">
        <f ca="1">IF(RTD("tos.rtd",,$A$2,"."&amp;R$2&amp;R$1&amp;"C"&amp;$A8)="N/A",0,RTD("tos.rtd",,$A$2,"."&amp;R$2&amp;R$1&amp;"C"&amp;$A8))-IF(RTD("tos.rtd",,$A$2,"."&amp;R$2&amp;R$1&amp;"P"&amp;$A8)="N/A",0,RTD("tos.rtd",,$A$2,"."&amp;R$2&amp;R$1&amp;"P"&amp;$A8))</f>
        <v>10</v>
      </c>
      <c r="S8" s="91">
        <f ca="1">IF(RTD("tos.rtd",,$A$2,"."&amp;S$2&amp;S$1&amp;"C"&amp;$A8)="N/A",0,RTD("tos.rtd",,$A$2,"."&amp;S$2&amp;S$1&amp;"C"&amp;$A8))-IF(RTD("tos.rtd",,$A$2,"."&amp;S$2&amp;S$1&amp;"P"&amp;$A8)="N/A",0,RTD("tos.rtd",,$A$2,"."&amp;S$2&amp;S$1&amp;"P"&amp;$A8))</f>
        <v>0</v>
      </c>
      <c r="T8" s="91">
        <f ca="1">IF(RTD("tos.rtd",,$A$2,"."&amp;T$2&amp;T$1&amp;"C"&amp;$A8)="N/A",0,RTD("tos.rtd",,$A$2,"."&amp;T$2&amp;T$1&amp;"C"&amp;$A8))-IF(RTD("tos.rtd",,$A$2,"."&amp;T$2&amp;T$1&amp;"P"&amp;$A8)="N/A",0,RTD("tos.rtd",,$A$2,"."&amp;T$2&amp;T$1&amp;"P"&amp;$A8))</f>
        <v>0</v>
      </c>
      <c r="U8" s="91">
        <f ca="1">IF(RTD("tos.rtd",,$A$2,"."&amp;U$2&amp;U$1&amp;"C"&amp;$A8)="N/A",0,RTD("tos.rtd",,$A$2,"."&amp;U$2&amp;U$1&amp;"C"&amp;$A8))-IF(RTD("tos.rtd",,$A$2,"."&amp;U$2&amp;U$1&amp;"P"&amp;$A8)="N/A",0,RTD("tos.rtd",,$A$2,"."&amp;U$2&amp;U$1&amp;"P"&amp;$A8))</f>
        <v>0</v>
      </c>
      <c r="V8" s="91">
        <f ca="1">IF(RTD("tos.rtd",,$A$2,"."&amp;V$2&amp;V$1&amp;"C"&amp;$A8)="N/A",0,RTD("tos.rtd",,$A$2,"."&amp;V$2&amp;V$1&amp;"C"&amp;$A8))-IF(RTD("tos.rtd",,$A$2,"."&amp;V$2&amp;V$1&amp;"P"&amp;$A8)="N/A",0,RTD("tos.rtd",,$A$2,"."&amp;V$2&amp;V$1&amp;"P"&amp;$A8))</f>
        <v>0</v>
      </c>
      <c r="W8" s="91">
        <f ca="1">IF(RTD("tos.rtd",,$A$2,"."&amp;W$2&amp;W$1&amp;"C"&amp;$A8)="N/A",0,RTD("tos.rtd",,$A$2,"."&amp;W$2&amp;W$1&amp;"C"&amp;$A8))-IF(RTD("tos.rtd",,$A$2,"."&amp;W$2&amp;W$1&amp;"P"&amp;$A8)="N/A",0,RTD("tos.rtd",,$A$2,"."&amp;W$2&amp;W$1&amp;"P"&amp;$A8))</f>
        <v>0</v>
      </c>
      <c r="X8" s="91">
        <f ca="1">IF(RTD("tos.rtd",,$A$2,"."&amp;X$2&amp;X$1&amp;"C"&amp;$A8)="N/A",0,RTD("tos.rtd",,$A$2,"."&amp;X$2&amp;X$1&amp;"C"&amp;$A8))-IF(RTD("tos.rtd",,$A$2,"."&amp;X$2&amp;X$1&amp;"P"&amp;$A8)="N/A",0,RTD("tos.rtd",,$A$2,"."&amp;X$2&amp;X$1&amp;"P"&amp;$A8))</f>
        <v>1</v>
      </c>
      <c r="Y8" s="98">
        <f t="shared" ca="1" si="3"/>
        <v>826</v>
      </c>
    </row>
    <row r="9" spans="1:25" x14ac:dyDescent="0.25">
      <c r="A9" s="93">
        <f>+Hoja1!A8</f>
        <v>578</v>
      </c>
      <c r="B9" s="91">
        <f ca="1">IF(RTD("tos.rtd",,$A$2,"."&amp;B$2&amp;B$1&amp;"C"&amp;$A9)="N/A",0,RTD("tos.rtd",,$A$2,"."&amp;B$2&amp;B$1&amp;"C"&amp;$A9))-IF(RTD("tos.rtd",,$A$2,"."&amp;B$2&amp;B$1&amp;"P"&amp;$A9)="N/A",0,RTD("tos.rtd",,$A$2,"."&amp;B$2&amp;B$1&amp;"P"&amp;$A9))</f>
        <v>0</v>
      </c>
      <c r="C9" s="91">
        <f ca="1">IF(RTD("tos.rtd",,$A$2,"."&amp;C$2&amp;C$1&amp;"C"&amp;$A9)="N/A",0,RTD("tos.rtd",,$A$2,"."&amp;C$2&amp;C$1&amp;"C"&amp;$A9))-IF(RTD("tos.rtd",,$A$2,"."&amp;C$2&amp;C$1&amp;"P"&amp;$A9)="N/A",0,RTD("tos.rtd",,$A$2,"."&amp;C$2&amp;C$1&amp;"P"&amp;$A9))</f>
        <v>0</v>
      </c>
      <c r="D9" s="91">
        <f ca="1">IF(RTD("tos.rtd",,$A$2,"."&amp;D$2&amp;D$1&amp;"C"&amp;$A9)="N/A",0,RTD("tos.rtd",,$A$2,"."&amp;D$2&amp;D$1&amp;"C"&amp;$A9))-IF(RTD("tos.rtd",,$A$2,"."&amp;D$2&amp;D$1&amp;"P"&amp;$A9)="N/A",0,RTD("tos.rtd",,$A$2,"."&amp;D$2&amp;D$1&amp;"P"&amp;$A9))</f>
        <v>0</v>
      </c>
      <c r="E9" s="91">
        <f ca="1">IF(RTD("tos.rtd",,$A$2,"."&amp;E$2&amp;E$1&amp;"C"&amp;$A9)="N/A",0,RTD("tos.rtd",,$A$2,"."&amp;E$2&amp;E$1&amp;"C"&amp;$A9))-IF(RTD("tos.rtd",,$A$2,"."&amp;E$2&amp;E$1&amp;"P"&amp;$A9)="N/A",0,RTD("tos.rtd",,$A$2,"."&amp;E$2&amp;E$1&amp;"P"&amp;$A9))</f>
        <v>0</v>
      </c>
      <c r="F9" s="91">
        <f ca="1">IF(RTD("tos.rtd",,$A$2,"."&amp;F$2&amp;F$1&amp;"C"&amp;$A9)="N/A",0,RTD("tos.rtd",,$A$2,"."&amp;F$2&amp;F$1&amp;"C"&amp;$A9))-IF(RTD("tos.rtd",,$A$2,"."&amp;F$2&amp;F$1&amp;"P"&amp;$A9)="N/A",0,RTD("tos.rtd",,$A$2,"."&amp;F$2&amp;F$1&amp;"P"&amp;$A9))</f>
        <v>0</v>
      </c>
      <c r="G9" s="91">
        <f ca="1">IF(RTD("tos.rtd",,$A$2,"."&amp;G$2&amp;G$1&amp;"C"&amp;$A9)="N/A",0,RTD("tos.rtd",,$A$2,"."&amp;G$2&amp;G$1&amp;"C"&amp;$A9))-IF(RTD("tos.rtd",,$A$2,"."&amp;G$2&amp;G$1&amp;"P"&amp;$A9)="N/A",0,RTD("tos.rtd",,$A$2,"."&amp;G$2&amp;G$1&amp;"P"&amp;$A9))</f>
        <v>0</v>
      </c>
      <c r="H9" s="91">
        <f ca="1">IF(RTD("tos.rtd",,$A$2,"."&amp;H$2&amp;H$1&amp;"C"&amp;$A9)="N/A",0,RTD("tos.rtd",,$A$2,"."&amp;H$2&amp;H$1&amp;"C"&amp;$A9))-IF(RTD("tos.rtd",,$A$2,"."&amp;H$2&amp;H$1&amp;"P"&amp;$A9)="N/A",0,RTD("tos.rtd",,$A$2,"."&amp;H$2&amp;H$1&amp;"P"&amp;$A9))</f>
        <v>63</v>
      </c>
      <c r="I9" s="91">
        <f ca="1">IF(RTD("tos.rtd",,$A$2,"."&amp;I$2&amp;I$1&amp;"C"&amp;$A9)="N/A",0,RTD("tos.rtd",,$A$2,"."&amp;I$2&amp;I$1&amp;"C"&amp;$A9))-IF(RTD("tos.rtd",,$A$2,"."&amp;I$2&amp;I$1&amp;"P"&amp;$A9)="N/A",0,RTD("tos.rtd",,$A$2,"."&amp;I$2&amp;I$1&amp;"P"&amp;$A9))</f>
        <v>158</v>
      </c>
      <c r="J9" s="91">
        <f ca="1">IF(RTD("tos.rtd",,$A$2,"."&amp;J$2&amp;J$1&amp;"C"&amp;$A9)="N/A",0,RTD("tos.rtd",,$A$2,"."&amp;J$2&amp;J$1&amp;"C"&amp;$A9))-IF(RTD("tos.rtd",,$A$2,"."&amp;J$2&amp;J$1&amp;"P"&amp;$A9)="N/A",0,RTD("tos.rtd",,$A$2,"."&amp;J$2&amp;J$1&amp;"P"&amp;$A9))</f>
        <v>30</v>
      </c>
      <c r="K9" s="91">
        <f ca="1">IF(RTD("tos.rtd",,$A$2,"."&amp;K$2&amp;K$1&amp;"C"&amp;$A9)="N/A",0,RTD("tos.rtd",,$A$2,"."&amp;K$2&amp;K$1&amp;"C"&amp;$A9))-IF(RTD("tos.rtd",,$A$2,"."&amp;K$2&amp;K$1&amp;"P"&amp;$A9)="N/A",0,RTD("tos.rtd",,$A$2,"."&amp;K$2&amp;K$1&amp;"P"&amp;$A9))</f>
        <v>122</v>
      </c>
      <c r="L9" s="91">
        <f ca="1">IF(RTD("tos.rtd",,$A$2,"."&amp;L$2&amp;L$1&amp;"C"&amp;$A9)="N/A",0,RTD("tos.rtd",,$A$2,"."&amp;L$2&amp;L$1&amp;"C"&amp;$A9))-IF(RTD("tos.rtd",,$A$2,"."&amp;L$2&amp;L$1&amp;"P"&amp;$A9)="N/A",0,RTD("tos.rtd",,$A$2,"."&amp;L$2&amp;L$1&amp;"P"&amp;$A9))</f>
        <v>-1</v>
      </c>
      <c r="M9" s="91">
        <f ca="1">IF(RTD("tos.rtd",,$A$2,"."&amp;M$2&amp;M$1&amp;"C"&amp;$A9)="N/A",0,RTD("tos.rtd",,$A$2,"."&amp;M$2&amp;M$1&amp;"C"&amp;$A9))-IF(RTD("tos.rtd",,$A$2,"."&amp;M$2&amp;M$1&amp;"P"&amp;$A9)="N/A",0,RTD("tos.rtd",,$A$2,"."&amp;M$2&amp;M$1&amp;"P"&amp;$A9))</f>
        <v>0</v>
      </c>
      <c r="N9" s="91">
        <f ca="1">IF(RTD("tos.rtd",,$A$2,"."&amp;N$2&amp;N$1&amp;"C"&amp;$A9)="N/A",0,RTD("tos.rtd",,$A$2,"."&amp;N$2&amp;N$1&amp;"C"&amp;$A9))-IF(RTD("tos.rtd",,$A$2,"."&amp;N$2&amp;N$1&amp;"P"&amp;$A9)="N/A",0,RTD("tos.rtd",,$A$2,"."&amp;N$2&amp;N$1&amp;"P"&amp;$A9))</f>
        <v>54</v>
      </c>
      <c r="O9" s="91">
        <f ca="1">IF(RTD("tos.rtd",,$A$2,"."&amp;O$2&amp;O$1&amp;"C"&amp;$A9)="N/A",0,RTD("tos.rtd",,$A$2,"."&amp;O$2&amp;O$1&amp;"C"&amp;$A9))-IF(RTD("tos.rtd",,$A$2,"."&amp;O$2&amp;O$1&amp;"P"&amp;$A9)="N/A",0,RTD("tos.rtd",,$A$2,"."&amp;O$2&amp;O$1&amp;"P"&amp;$A9))</f>
        <v>237</v>
      </c>
      <c r="P9" s="91">
        <f ca="1">IF(RTD("tos.rtd",,$A$2,"."&amp;P$2&amp;P$1&amp;"C"&amp;$A9)="N/A",0,RTD("tos.rtd",,$A$2,"."&amp;P$2&amp;P$1&amp;"C"&amp;$A9))-IF(RTD("tos.rtd",,$A$2,"."&amp;P$2&amp;P$1&amp;"P"&amp;$A9)="N/A",0,RTD("tos.rtd",,$A$2,"."&amp;P$2&amp;P$1&amp;"P"&amp;$A9))</f>
        <v>1</v>
      </c>
      <c r="Q9" s="91">
        <f ca="1">IF(RTD("tos.rtd",,$A$2,"."&amp;Q$2&amp;Q$1&amp;"C"&amp;$A9)="N/A",0,RTD("tos.rtd",,$A$2,"."&amp;Q$2&amp;Q$1&amp;"C"&amp;$A9))-IF(RTD("tos.rtd",,$A$2,"."&amp;Q$2&amp;Q$1&amp;"P"&amp;$A9)="N/A",0,RTD("tos.rtd",,$A$2,"."&amp;Q$2&amp;Q$1&amp;"P"&amp;$A9))</f>
        <v>0</v>
      </c>
      <c r="R9" s="91">
        <f ca="1">IF(RTD("tos.rtd",,$A$2,"."&amp;R$2&amp;R$1&amp;"C"&amp;$A9)="N/A",0,RTD("tos.rtd",,$A$2,"."&amp;R$2&amp;R$1&amp;"C"&amp;$A9))-IF(RTD("tos.rtd",,$A$2,"."&amp;R$2&amp;R$1&amp;"P"&amp;$A9)="N/A",0,RTD("tos.rtd",,$A$2,"."&amp;R$2&amp;R$1&amp;"P"&amp;$A9))</f>
        <v>0</v>
      </c>
      <c r="S9" s="91">
        <f ca="1">IF(RTD("tos.rtd",,$A$2,"."&amp;S$2&amp;S$1&amp;"C"&amp;$A9)="N/A",0,RTD("tos.rtd",,$A$2,"."&amp;S$2&amp;S$1&amp;"C"&amp;$A9))-IF(RTD("tos.rtd",,$A$2,"."&amp;S$2&amp;S$1&amp;"P"&amp;$A9)="N/A",0,RTD("tos.rtd",,$A$2,"."&amp;S$2&amp;S$1&amp;"P"&amp;$A9))</f>
        <v>0</v>
      </c>
      <c r="T9" s="91">
        <f ca="1">IF(RTD("tos.rtd",,$A$2,"."&amp;T$2&amp;T$1&amp;"C"&amp;$A9)="N/A",0,RTD("tos.rtd",,$A$2,"."&amp;T$2&amp;T$1&amp;"C"&amp;$A9))-IF(RTD("tos.rtd",,$A$2,"."&amp;T$2&amp;T$1&amp;"P"&amp;$A9)="N/A",0,RTD("tos.rtd",,$A$2,"."&amp;T$2&amp;T$1&amp;"P"&amp;$A9))</f>
        <v>0</v>
      </c>
      <c r="U9" s="91">
        <f ca="1">IF(RTD("tos.rtd",,$A$2,"."&amp;U$2&amp;U$1&amp;"C"&amp;$A9)="N/A",0,RTD("tos.rtd",,$A$2,"."&amp;U$2&amp;U$1&amp;"C"&amp;$A9))-IF(RTD("tos.rtd",,$A$2,"."&amp;U$2&amp;U$1&amp;"P"&amp;$A9)="N/A",0,RTD("tos.rtd",,$A$2,"."&amp;U$2&amp;U$1&amp;"P"&amp;$A9))</f>
        <v>0</v>
      </c>
      <c r="V9" s="91">
        <f ca="1">IF(RTD("tos.rtd",,$A$2,"."&amp;V$2&amp;V$1&amp;"C"&amp;$A9)="N/A",0,RTD("tos.rtd",,$A$2,"."&amp;V$2&amp;V$1&amp;"C"&amp;$A9))-IF(RTD("tos.rtd",,$A$2,"."&amp;V$2&amp;V$1&amp;"P"&amp;$A9)="N/A",0,RTD("tos.rtd",,$A$2,"."&amp;V$2&amp;V$1&amp;"P"&amp;$A9))</f>
        <v>0</v>
      </c>
      <c r="W9" s="91">
        <f ca="1">IF(RTD("tos.rtd",,$A$2,"."&amp;W$2&amp;W$1&amp;"C"&amp;$A9)="N/A",0,RTD("tos.rtd",,$A$2,"."&amp;W$2&amp;W$1&amp;"C"&amp;$A9))-IF(RTD("tos.rtd",,$A$2,"."&amp;W$2&amp;W$1&amp;"P"&amp;$A9)="N/A",0,RTD("tos.rtd",,$A$2,"."&amp;W$2&amp;W$1&amp;"P"&amp;$A9))</f>
        <v>0</v>
      </c>
      <c r="X9" s="91">
        <f ca="1">IF(RTD("tos.rtd",,$A$2,"."&amp;X$2&amp;X$1&amp;"C"&amp;$A9)="N/A",0,RTD("tos.rtd",,$A$2,"."&amp;X$2&amp;X$1&amp;"C"&amp;$A9))-IF(RTD("tos.rtd",,$A$2,"."&amp;X$2&amp;X$1&amp;"P"&amp;$A9)="N/A",0,RTD("tos.rtd",,$A$2,"."&amp;X$2&amp;X$1&amp;"P"&amp;$A9))</f>
        <v>0</v>
      </c>
      <c r="Y9" s="98">
        <f t="shared" ca="1" si="3"/>
        <v>664</v>
      </c>
    </row>
    <row r="10" spans="1:25" x14ac:dyDescent="0.25">
      <c r="A10" s="93">
        <f>+Hoja1!A9</f>
        <v>577</v>
      </c>
      <c r="B10" s="91">
        <f ca="1">IF(RTD("tos.rtd",,$A$2,"."&amp;B$2&amp;B$1&amp;"C"&amp;$A10)="N/A",0,RTD("tos.rtd",,$A$2,"."&amp;B$2&amp;B$1&amp;"C"&amp;$A10))-IF(RTD("tos.rtd",,$A$2,"."&amp;B$2&amp;B$1&amp;"P"&amp;$A10)="N/A",0,RTD("tos.rtd",,$A$2,"."&amp;B$2&amp;B$1&amp;"P"&amp;$A10))</f>
        <v>0</v>
      </c>
      <c r="C10" s="91">
        <f ca="1">IF(RTD("tos.rtd",,$A$2,"."&amp;C$2&amp;C$1&amp;"C"&amp;$A10)="N/A",0,RTD("tos.rtd",,$A$2,"."&amp;C$2&amp;C$1&amp;"C"&amp;$A10))-IF(RTD("tos.rtd",,$A$2,"."&amp;C$2&amp;C$1&amp;"P"&amp;$A10)="N/A",0,RTD("tos.rtd",,$A$2,"."&amp;C$2&amp;C$1&amp;"P"&amp;$A10))</f>
        <v>0</v>
      </c>
      <c r="D10" s="91">
        <f ca="1">IF(RTD("tos.rtd",,$A$2,"."&amp;D$2&amp;D$1&amp;"C"&amp;$A10)="N/A",0,RTD("tos.rtd",,$A$2,"."&amp;D$2&amp;D$1&amp;"C"&amp;$A10))-IF(RTD("tos.rtd",,$A$2,"."&amp;D$2&amp;D$1&amp;"P"&amp;$A10)="N/A",0,RTD("tos.rtd",,$A$2,"."&amp;D$2&amp;D$1&amp;"P"&amp;$A10))</f>
        <v>0</v>
      </c>
      <c r="E10" s="91">
        <f ca="1">IF(RTD("tos.rtd",,$A$2,"."&amp;E$2&amp;E$1&amp;"C"&amp;$A10)="N/A",0,RTD("tos.rtd",,$A$2,"."&amp;E$2&amp;E$1&amp;"C"&amp;$A10))-IF(RTD("tos.rtd",,$A$2,"."&amp;E$2&amp;E$1&amp;"P"&amp;$A10)="N/A",0,RTD("tos.rtd",,$A$2,"."&amp;E$2&amp;E$1&amp;"P"&amp;$A10))</f>
        <v>0</v>
      </c>
      <c r="F10" s="91">
        <f ca="1">IF(RTD("tos.rtd",,$A$2,"."&amp;F$2&amp;F$1&amp;"C"&amp;$A10)="N/A",0,RTD("tos.rtd",,$A$2,"."&amp;F$2&amp;F$1&amp;"C"&amp;$A10))-IF(RTD("tos.rtd",,$A$2,"."&amp;F$2&amp;F$1&amp;"P"&amp;$A10)="N/A",0,RTD("tos.rtd",,$A$2,"."&amp;F$2&amp;F$1&amp;"P"&amp;$A10))</f>
        <v>0</v>
      </c>
      <c r="G10" s="91">
        <f ca="1">IF(RTD("tos.rtd",,$A$2,"."&amp;G$2&amp;G$1&amp;"C"&amp;$A10)="N/A",0,RTD("tos.rtd",,$A$2,"."&amp;G$2&amp;G$1&amp;"C"&amp;$A10))-IF(RTD("tos.rtd",,$A$2,"."&amp;G$2&amp;G$1&amp;"P"&amp;$A10)="N/A",0,RTD("tos.rtd",,$A$2,"."&amp;G$2&amp;G$1&amp;"P"&amp;$A10))</f>
        <v>0</v>
      </c>
      <c r="H10" s="91">
        <f ca="1">IF(RTD("tos.rtd",,$A$2,"."&amp;H$2&amp;H$1&amp;"C"&amp;$A10)="N/A",0,RTD("tos.rtd",,$A$2,"."&amp;H$2&amp;H$1&amp;"C"&amp;$A10))-IF(RTD("tos.rtd",,$A$2,"."&amp;H$2&amp;H$1&amp;"P"&amp;$A10)="N/A",0,RTD("tos.rtd",,$A$2,"."&amp;H$2&amp;H$1&amp;"P"&amp;$A10))</f>
        <v>83</v>
      </c>
      <c r="I10" s="91">
        <f ca="1">IF(RTD("tos.rtd",,$A$2,"."&amp;I$2&amp;I$1&amp;"C"&amp;$A10)="N/A",0,RTD("tos.rtd",,$A$2,"."&amp;I$2&amp;I$1&amp;"C"&amp;$A10))-IF(RTD("tos.rtd",,$A$2,"."&amp;I$2&amp;I$1&amp;"P"&amp;$A10)="N/A",0,RTD("tos.rtd",,$A$2,"."&amp;I$2&amp;I$1&amp;"P"&amp;$A10))</f>
        <v>290</v>
      </c>
      <c r="J10" s="91">
        <f ca="1">IF(RTD("tos.rtd",,$A$2,"."&amp;J$2&amp;J$1&amp;"C"&amp;$A10)="N/A",0,RTD("tos.rtd",,$A$2,"."&amp;J$2&amp;J$1&amp;"C"&amp;$A10))-IF(RTD("tos.rtd",,$A$2,"."&amp;J$2&amp;J$1&amp;"P"&amp;$A10)="N/A",0,RTD("tos.rtd",,$A$2,"."&amp;J$2&amp;J$1&amp;"P"&amp;$A10))</f>
        <v>53</v>
      </c>
      <c r="K10" s="91">
        <f ca="1">IF(RTD("tos.rtd",,$A$2,"."&amp;K$2&amp;K$1&amp;"C"&amp;$A10)="N/A",0,RTD("tos.rtd",,$A$2,"."&amp;K$2&amp;K$1&amp;"C"&amp;$A10))-IF(RTD("tos.rtd",,$A$2,"."&amp;K$2&amp;K$1&amp;"P"&amp;$A10)="N/A",0,RTD("tos.rtd",,$A$2,"."&amp;K$2&amp;K$1&amp;"P"&amp;$A10))</f>
        <v>549</v>
      </c>
      <c r="L10" s="91">
        <f ca="1">IF(RTD("tos.rtd",,$A$2,"."&amp;L$2&amp;L$1&amp;"C"&amp;$A10)="N/A",0,RTD("tos.rtd",,$A$2,"."&amp;L$2&amp;L$1&amp;"C"&amp;$A10))-IF(RTD("tos.rtd",,$A$2,"."&amp;L$2&amp;L$1&amp;"P"&amp;$A10)="N/A",0,RTD("tos.rtd",,$A$2,"."&amp;L$2&amp;L$1&amp;"P"&amp;$A10))</f>
        <v>2</v>
      </c>
      <c r="M10" s="91">
        <f ca="1">IF(RTD("tos.rtd",,$A$2,"."&amp;M$2&amp;M$1&amp;"C"&amp;$A10)="N/A",0,RTD("tos.rtd",,$A$2,"."&amp;M$2&amp;M$1&amp;"C"&amp;$A10))-IF(RTD("tos.rtd",,$A$2,"."&amp;M$2&amp;M$1&amp;"P"&amp;$A10)="N/A",0,RTD("tos.rtd",,$A$2,"."&amp;M$2&amp;M$1&amp;"P"&amp;$A10))</f>
        <v>0</v>
      </c>
      <c r="N10" s="91">
        <f ca="1">IF(RTD("tos.rtd",,$A$2,"."&amp;N$2&amp;N$1&amp;"C"&amp;$A10)="N/A",0,RTD("tos.rtd",,$A$2,"."&amp;N$2&amp;N$1&amp;"C"&amp;$A10))-IF(RTD("tos.rtd",,$A$2,"."&amp;N$2&amp;N$1&amp;"P"&amp;$A10)="N/A",0,RTD("tos.rtd",,$A$2,"."&amp;N$2&amp;N$1&amp;"P"&amp;$A10))</f>
        <v>9</v>
      </c>
      <c r="O10" s="91">
        <f ca="1">IF(RTD("tos.rtd",,$A$2,"."&amp;O$2&amp;O$1&amp;"C"&amp;$A10)="N/A",0,RTD("tos.rtd",,$A$2,"."&amp;O$2&amp;O$1&amp;"C"&amp;$A10))-IF(RTD("tos.rtd",,$A$2,"."&amp;O$2&amp;O$1&amp;"P"&amp;$A10)="N/A",0,RTD("tos.rtd",,$A$2,"."&amp;O$2&amp;O$1&amp;"P"&amp;$A10))</f>
        <v>165</v>
      </c>
      <c r="P10" s="91">
        <f ca="1">IF(RTD("tos.rtd",,$A$2,"."&amp;P$2&amp;P$1&amp;"C"&amp;$A10)="N/A",0,RTD("tos.rtd",,$A$2,"."&amp;P$2&amp;P$1&amp;"C"&amp;$A10))-IF(RTD("tos.rtd",,$A$2,"."&amp;P$2&amp;P$1&amp;"P"&amp;$A10)="N/A",0,RTD("tos.rtd",,$A$2,"."&amp;P$2&amp;P$1&amp;"P"&amp;$A10))</f>
        <v>0</v>
      </c>
      <c r="Q10" s="91">
        <f ca="1">IF(RTD("tos.rtd",,$A$2,"."&amp;Q$2&amp;Q$1&amp;"C"&amp;$A10)="N/A",0,RTD("tos.rtd",,$A$2,"."&amp;Q$2&amp;Q$1&amp;"C"&amp;$A10))-IF(RTD("tos.rtd",,$A$2,"."&amp;Q$2&amp;Q$1&amp;"P"&amp;$A10)="N/A",0,RTD("tos.rtd",,$A$2,"."&amp;Q$2&amp;Q$1&amp;"P"&amp;$A10))</f>
        <v>0</v>
      </c>
      <c r="R10" s="91">
        <f ca="1">IF(RTD("tos.rtd",,$A$2,"."&amp;R$2&amp;R$1&amp;"C"&amp;$A10)="N/A",0,RTD("tos.rtd",,$A$2,"."&amp;R$2&amp;R$1&amp;"C"&amp;$A10))-IF(RTD("tos.rtd",,$A$2,"."&amp;R$2&amp;R$1&amp;"P"&amp;$A10)="N/A",0,RTD("tos.rtd",,$A$2,"."&amp;R$2&amp;R$1&amp;"P"&amp;$A10))</f>
        <v>0</v>
      </c>
      <c r="S10" s="91">
        <f ca="1">IF(RTD("tos.rtd",,$A$2,"."&amp;S$2&amp;S$1&amp;"C"&amp;$A10)="N/A",0,RTD("tos.rtd",,$A$2,"."&amp;S$2&amp;S$1&amp;"C"&amp;$A10))-IF(RTD("tos.rtd",,$A$2,"."&amp;S$2&amp;S$1&amp;"P"&amp;$A10)="N/A",0,RTD("tos.rtd",,$A$2,"."&amp;S$2&amp;S$1&amp;"P"&amp;$A10))</f>
        <v>0</v>
      </c>
      <c r="T10" s="91">
        <f ca="1">IF(RTD("tos.rtd",,$A$2,"."&amp;T$2&amp;T$1&amp;"C"&amp;$A10)="N/A",0,RTD("tos.rtd",,$A$2,"."&amp;T$2&amp;T$1&amp;"C"&amp;$A10))-IF(RTD("tos.rtd",,$A$2,"."&amp;T$2&amp;T$1&amp;"P"&amp;$A10)="N/A",0,RTD("tos.rtd",,$A$2,"."&amp;T$2&amp;T$1&amp;"P"&amp;$A10))</f>
        <v>0</v>
      </c>
      <c r="U10" s="91">
        <f ca="1">IF(RTD("tos.rtd",,$A$2,"."&amp;U$2&amp;U$1&amp;"C"&amp;$A10)="N/A",0,RTD("tos.rtd",,$A$2,"."&amp;U$2&amp;U$1&amp;"C"&amp;$A10))-IF(RTD("tos.rtd",,$A$2,"."&amp;U$2&amp;U$1&amp;"P"&amp;$A10)="N/A",0,RTD("tos.rtd",,$A$2,"."&amp;U$2&amp;U$1&amp;"P"&amp;$A10))</f>
        <v>0</v>
      </c>
      <c r="V10" s="91">
        <f ca="1">IF(RTD("tos.rtd",,$A$2,"."&amp;V$2&amp;V$1&amp;"C"&amp;$A10)="N/A",0,RTD("tos.rtd",,$A$2,"."&amp;V$2&amp;V$1&amp;"C"&amp;$A10))-IF(RTD("tos.rtd",,$A$2,"."&amp;V$2&amp;V$1&amp;"P"&amp;$A10)="N/A",0,RTD("tos.rtd",,$A$2,"."&amp;V$2&amp;V$1&amp;"P"&amp;$A10))</f>
        <v>0</v>
      </c>
      <c r="W10" s="91">
        <f ca="1">IF(RTD("tos.rtd",,$A$2,"."&amp;W$2&amp;W$1&amp;"C"&amp;$A10)="N/A",0,RTD("tos.rtd",,$A$2,"."&amp;W$2&amp;W$1&amp;"C"&amp;$A10))-IF(RTD("tos.rtd",,$A$2,"."&amp;W$2&amp;W$1&amp;"P"&amp;$A10)="N/A",0,RTD("tos.rtd",,$A$2,"."&amp;W$2&amp;W$1&amp;"P"&amp;$A10))</f>
        <v>0</v>
      </c>
      <c r="X10" s="91">
        <f ca="1">IF(RTD("tos.rtd",,$A$2,"."&amp;X$2&amp;X$1&amp;"C"&amp;$A10)="N/A",0,RTD("tos.rtd",,$A$2,"."&amp;X$2&amp;X$1&amp;"C"&amp;$A10))-IF(RTD("tos.rtd",,$A$2,"."&amp;X$2&amp;X$1&amp;"P"&amp;$A10)="N/A",0,RTD("tos.rtd",,$A$2,"."&amp;X$2&amp;X$1&amp;"P"&amp;$A10))</f>
        <v>5</v>
      </c>
      <c r="Y10" s="98">
        <f t="shared" ca="1" si="3"/>
        <v>1156</v>
      </c>
    </row>
    <row r="11" spans="1:25" x14ac:dyDescent="0.25">
      <c r="A11" s="93">
        <f>+Hoja1!A10</f>
        <v>576</v>
      </c>
      <c r="B11" s="91">
        <f ca="1">IF(RTD("tos.rtd",,$A$2,"."&amp;B$2&amp;B$1&amp;"C"&amp;$A11)="N/A",0,RTD("tos.rtd",,$A$2,"."&amp;B$2&amp;B$1&amp;"C"&amp;$A11))-IF(RTD("tos.rtd",,$A$2,"."&amp;B$2&amp;B$1&amp;"P"&amp;$A11)="N/A",0,RTD("tos.rtd",,$A$2,"."&amp;B$2&amp;B$1&amp;"P"&amp;$A11))</f>
        <v>0</v>
      </c>
      <c r="C11" s="91">
        <f ca="1">IF(RTD("tos.rtd",,$A$2,"."&amp;C$2&amp;C$1&amp;"C"&amp;$A11)="N/A",0,RTD("tos.rtd",,$A$2,"."&amp;C$2&amp;C$1&amp;"C"&amp;$A11))-IF(RTD("tos.rtd",,$A$2,"."&amp;C$2&amp;C$1&amp;"P"&amp;$A11)="N/A",0,RTD("tos.rtd",,$A$2,"."&amp;C$2&amp;C$1&amp;"P"&amp;$A11))</f>
        <v>0</v>
      </c>
      <c r="D11" s="91">
        <f ca="1">IF(RTD("tos.rtd",,$A$2,"."&amp;D$2&amp;D$1&amp;"C"&amp;$A11)="N/A",0,RTD("tos.rtd",,$A$2,"."&amp;D$2&amp;D$1&amp;"C"&amp;$A11))-IF(RTD("tos.rtd",,$A$2,"."&amp;D$2&amp;D$1&amp;"P"&amp;$A11)="N/A",0,RTD("tos.rtd",,$A$2,"."&amp;D$2&amp;D$1&amp;"P"&amp;$A11))</f>
        <v>0</v>
      </c>
      <c r="E11" s="91">
        <f ca="1">IF(RTD("tos.rtd",,$A$2,"."&amp;E$2&amp;E$1&amp;"C"&amp;$A11)="N/A",0,RTD("tos.rtd",,$A$2,"."&amp;E$2&amp;E$1&amp;"C"&amp;$A11))-IF(RTD("tos.rtd",,$A$2,"."&amp;E$2&amp;E$1&amp;"P"&amp;$A11)="N/A",0,RTD("tos.rtd",,$A$2,"."&amp;E$2&amp;E$1&amp;"P"&amp;$A11))</f>
        <v>0</v>
      </c>
      <c r="F11" s="91">
        <f ca="1">IF(RTD("tos.rtd",,$A$2,"."&amp;F$2&amp;F$1&amp;"C"&amp;$A11)="N/A",0,RTD("tos.rtd",,$A$2,"."&amp;F$2&amp;F$1&amp;"C"&amp;$A11))-IF(RTD("tos.rtd",,$A$2,"."&amp;F$2&amp;F$1&amp;"P"&amp;$A11)="N/A",0,RTD("tos.rtd",,$A$2,"."&amp;F$2&amp;F$1&amp;"P"&amp;$A11))</f>
        <v>0</v>
      </c>
      <c r="G11" s="91">
        <f ca="1">IF(RTD("tos.rtd",,$A$2,"."&amp;G$2&amp;G$1&amp;"C"&amp;$A11)="N/A",0,RTD("tos.rtd",,$A$2,"."&amp;G$2&amp;G$1&amp;"C"&amp;$A11))-IF(RTD("tos.rtd",,$A$2,"."&amp;G$2&amp;G$1&amp;"P"&amp;$A11)="N/A",0,RTD("tos.rtd",,$A$2,"."&amp;G$2&amp;G$1&amp;"P"&amp;$A11))</f>
        <v>0</v>
      </c>
      <c r="H11" s="91">
        <f ca="1">IF(RTD("tos.rtd",,$A$2,"."&amp;H$2&amp;H$1&amp;"C"&amp;$A11)="N/A",0,RTD("tos.rtd",,$A$2,"."&amp;H$2&amp;H$1&amp;"C"&amp;$A11))-IF(RTD("tos.rtd",,$A$2,"."&amp;H$2&amp;H$1&amp;"P"&amp;$A11)="N/A",0,RTD("tos.rtd",,$A$2,"."&amp;H$2&amp;H$1&amp;"P"&amp;$A11))</f>
        <v>56</v>
      </c>
      <c r="I11" s="91">
        <f ca="1">IF(RTD("tos.rtd",,$A$2,"."&amp;I$2&amp;I$1&amp;"C"&amp;$A11)="N/A",0,RTD("tos.rtd",,$A$2,"."&amp;I$2&amp;I$1&amp;"C"&amp;$A11))-IF(RTD("tos.rtd",,$A$2,"."&amp;I$2&amp;I$1&amp;"P"&amp;$A11)="N/A",0,RTD("tos.rtd",,$A$2,"."&amp;I$2&amp;I$1&amp;"P"&amp;$A11))</f>
        <v>187</v>
      </c>
      <c r="J11" s="91">
        <f ca="1">IF(RTD("tos.rtd",,$A$2,"."&amp;J$2&amp;J$1&amp;"C"&amp;$A11)="N/A",0,RTD("tos.rtd",,$A$2,"."&amp;J$2&amp;J$1&amp;"C"&amp;$A11))-IF(RTD("tos.rtd",,$A$2,"."&amp;J$2&amp;J$1&amp;"P"&amp;$A11)="N/A",0,RTD("tos.rtd",,$A$2,"."&amp;J$2&amp;J$1&amp;"P"&amp;$A11))</f>
        <v>64</v>
      </c>
      <c r="K11" s="91">
        <f ca="1">IF(RTD("tos.rtd",,$A$2,"."&amp;K$2&amp;K$1&amp;"C"&amp;$A11)="N/A",0,RTD("tos.rtd",,$A$2,"."&amp;K$2&amp;K$1&amp;"C"&amp;$A11))-IF(RTD("tos.rtd",,$A$2,"."&amp;K$2&amp;K$1&amp;"P"&amp;$A11)="N/A",0,RTD("tos.rtd",,$A$2,"."&amp;K$2&amp;K$1&amp;"P"&amp;$A11))</f>
        <v>239</v>
      </c>
      <c r="L11" s="91">
        <f ca="1">IF(RTD("tos.rtd",,$A$2,"."&amp;L$2&amp;L$1&amp;"C"&amp;$A11)="N/A",0,RTD("tos.rtd",,$A$2,"."&amp;L$2&amp;L$1&amp;"C"&amp;$A11))-IF(RTD("tos.rtd",,$A$2,"."&amp;L$2&amp;L$1&amp;"P"&amp;$A11)="N/A",0,RTD("tos.rtd",,$A$2,"."&amp;L$2&amp;L$1&amp;"P"&amp;$A11))</f>
        <v>72</v>
      </c>
      <c r="M11" s="91">
        <f ca="1">IF(RTD("tos.rtd",,$A$2,"."&amp;M$2&amp;M$1&amp;"C"&amp;$A11)="N/A",0,RTD("tos.rtd",,$A$2,"."&amp;M$2&amp;M$1&amp;"C"&amp;$A11))-IF(RTD("tos.rtd",,$A$2,"."&amp;M$2&amp;M$1&amp;"P"&amp;$A11)="N/A",0,RTD("tos.rtd",,$A$2,"."&amp;M$2&amp;M$1&amp;"P"&amp;$A11))</f>
        <v>0</v>
      </c>
      <c r="N11" s="91">
        <f ca="1">IF(RTD("tos.rtd",,$A$2,"."&amp;N$2&amp;N$1&amp;"C"&amp;$A11)="N/A",0,RTD("tos.rtd",,$A$2,"."&amp;N$2&amp;N$1&amp;"C"&amp;$A11))-IF(RTD("tos.rtd",,$A$2,"."&amp;N$2&amp;N$1&amp;"P"&amp;$A11)="N/A",0,RTD("tos.rtd",,$A$2,"."&amp;N$2&amp;N$1&amp;"P"&amp;$A11))</f>
        <v>0</v>
      </c>
      <c r="O11" s="91">
        <f ca="1">IF(RTD("tos.rtd",,$A$2,"."&amp;O$2&amp;O$1&amp;"C"&amp;$A11)="N/A",0,RTD("tos.rtd",,$A$2,"."&amp;O$2&amp;O$1&amp;"C"&amp;$A11))-IF(RTD("tos.rtd",,$A$2,"."&amp;O$2&amp;O$1&amp;"P"&amp;$A11)="N/A",0,RTD("tos.rtd",,$A$2,"."&amp;O$2&amp;O$1&amp;"P"&amp;$A11))</f>
        <v>35</v>
      </c>
      <c r="P11" s="91">
        <f ca="1">IF(RTD("tos.rtd",,$A$2,"."&amp;P$2&amp;P$1&amp;"C"&amp;$A11)="N/A",0,RTD("tos.rtd",,$A$2,"."&amp;P$2&amp;P$1&amp;"C"&amp;$A11))-IF(RTD("tos.rtd",,$A$2,"."&amp;P$2&amp;P$1&amp;"P"&amp;$A11)="N/A",0,RTD("tos.rtd",,$A$2,"."&amp;P$2&amp;P$1&amp;"P"&amp;$A11))</f>
        <v>0</v>
      </c>
      <c r="Q11" s="91">
        <f ca="1">IF(RTD("tos.rtd",,$A$2,"."&amp;Q$2&amp;Q$1&amp;"C"&amp;$A11)="N/A",0,RTD("tos.rtd",,$A$2,"."&amp;Q$2&amp;Q$1&amp;"C"&amp;$A11))-IF(RTD("tos.rtd",,$A$2,"."&amp;Q$2&amp;Q$1&amp;"P"&amp;$A11)="N/A",0,RTD("tos.rtd",,$A$2,"."&amp;Q$2&amp;Q$1&amp;"P"&amp;$A11))</f>
        <v>0</v>
      </c>
      <c r="R11" s="91">
        <f ca="1">IF(RTD("tos.rtd",,$A$2,"."&amp;R$2&amp;R$1&amp;"C"&amp;$A11)="N/A",0,RTD("tos.rtd",,$A$2,"."&amp;R$2&amp;R$1&amp;"C"&amp;$A11))-IF(RTD("tos.rtd",,$A$2,"."&amp;R$2&amp;R$1&amp;"P"&amp;$A11)="N/A",0,RTD("tos.rtd",,$A$2,"."&amp;R$2&amp;R$1&amp;"P"&amp;$A11))</f>
        <v>0</v>
      </c>
      <c r="S11" s="91">
        <f ca="1">IF(RTD("tos.rtd",,$A$2,"."&amp;S$2&amp;S$1&amp;"C"&amp;$A11)="N/A",0,RTD("tos.rtd",,$A$2,"."&amp;S$2&amp;S$1&amp;"C"&amp;$A11))-IF(RTD("tos.rtd",,$A$2,"."&amp;S$2&amp;S$1&amp;"P"&amp;$A11)="N/A",0,RTD("tos.rtd",,$A$2,"."&amp;S$2&amp;S$1&amp;"P"&amp;$A11))</f>
        <v>0</v>
      </c>
      <c r="T11" s="91">
        <f ca="1">IF(RTD("tos.rtd",,$A$2,"."&amp;T$2&amp;T$1&amp;"C"&amp;$A11)="N/A",0,RTD("tos.rtd",,$A$2,"."&amp;T$2&amp;T$1&amp;"C"&amp;$A11))-IF(RTD("tos.rtd",,$A$2,"."&amp;T$2&amp;T$1&amp;"P"&amp;$A11)="N/A",0,RTD("tos.rtd",,$A$2,"."&amp;T$2&amp;T$1&amp;"P"&amp;$A11))</f>
        <v>0</v>
      </c>
      <c r="U11" s="91">
        <f ca="1">IF(RTD("tos.rtd",,$A$2,"."&amp;U$2&amp;U$1&amp;"C"&amp;$A11)="N/A",0,RTD("tos.rtd",,$A$2,"."&amp;U$2&amp;U$1&amp;"C"&amp;$A11))-IF(RTD("tos.rtd",,$A$2,"."&amp;U$2&amp;U$1&amp;"P"&amp;$A11)="N/A",0,RTD("tos.rtd",,$A$2,"."&amp;U$2&amp;U$1&amp;"P"&amp;$A11))</f>
        <v>0</v>
      </c>
      <c r="V11" s="91">
        <f ca="1">IF(RTD("tos.rtd",,$A$2,"."&amp;V$2&amp;V$1&amp;"C"&amp;$A11)="N/A",0,RTD("tos.rtd",,$A$2,"."&amp;V$2&amp;V$1&amp;"C"&amp;$A11))-IF(RTD("tos.rtd",,$A$2,"."&amp;V$2&amp;V$1&amp;"P"&amp;$A11)="N/A",0,RTD("tos.rtd",,$A$2,"."&amp;V$2&amp;V$1&amp;"P"&amp;$A11))</f>
        <v>0</v>
      </c>
      <c r="W11" s="91">
        <f ca="1">IF(RTD("tos.rtd",,$A$2,"."&amp;W$2&amp;W$1&amp;"C"&amp;$A11)="N/A",0,RTD("tos.rtd",,$A$2,"."&amp;W$2&amp;W$1&amp;"C"&amp;$A11))-IF(RTD("tos.rtd",,$A$2,"."&amp;W$2&amp;W$1&amp;"P"&amp;$A11)="N/A",0,RTD("tos.rtd",,$A$2,"."&amp;W$2&amp;W$1&amp;"P"&amp;$A11))</f>
        <v>0</v>
      </c>
      <c r="X11" s="91">
        <f ca="1">IF(RTD("tos.rtd",,$A$2,"."&amp;X$2&amp;X$1&amp;"C"&amp;$A11)="N/A",0,RTD("tos.rtd",,$A$2,"."&amp;X$2&amp;X$1&amp;"C"&amp;$A11))-IF(RTD("tos.rtd",,$A$2,"."&amp;X$2&amp;X$1&amp;"P"&amp;$A11)="N/A",0,RTD("tos.rtd",,$A$2,"."&amp;X$2&amp;X$1&amp;"P"&amp;$A11))</f>
        <v>0</v>
      </c>
      <c r="Y11" s="98">
        <f t="shared" ca="1" si="3"/>
        <v>653</v>
      </c>
    </row>
    <row r="12" spans="1:25" x14ac:dyDescent="0.25">
      <c r="A12" s="93">
        <f>+Hoja1!A11</f>
        <v>575</v>
      </c>
      <c r="B12" s="91">
        <f ca="1">IF(RTD("tos.rtd",,$A$2,"."&amp;B$2&amp;B$1&amp;"C"&amp;$A12)="N/A",0,RTD("tos.rtd",,$A$2,"."&amp;B$2&amp;B$1&amp;"C"&amp;$A12))-IF(RTD("tos.rtd",,$A$2,"."&amp;B$2&amp;B$1&amp;"P"&amp;$A12)="N/A",0,RTD("tos.rtd",,$A$2,"."&amp;B$2&amp;B$1&amp;"P"&amp;$A12))</f>
        <v>0</v>
      </c>
      <c r="C12" s="91">
        <f ca="1">IF(RTD("tos.rtd",,$A$2,"."&amp;C$2&amp;C$1&amp;"C"&amp;$A12)="N/A",0,RTD("tos.rtd",,$A$2,"."&amp;C$2&amp;C$1&amp;"C"&amp;$A12))-IF(RTD("tos.rtd",,$A$2,"."&amp;C$2&amp;C$1&amp;"P"&amp;$A12)="N/A",0,RTD("tos.rtd",,$A$2,"."&amp;C$2&amp;C$1&amp;"P"&amp;$A12))</f>
        <v>0</v>
      </c>
      <c r="D12" s="91">
        <f ca="1">IF(RTD("tos.rtd",,$A$2,"."&amp;D$2&amp;D$1&amp;"C"&amp;$A12)="N/A",0,RTD("tos.rtd",,$A$2,"."&amp;D$2&amp;D$1&amp;"C"&amp;$A12))-IF(RTD("tos.rtd",,$A$2,"."&amp;D$2&amp;D$1&amp;"P"&amp;$A12)="N/A",0,RTD("tos.rtd",,$A$2,"."&amp;D$2&amp;D$1&amp;"P"&amp;$A12))</f>
        <v>0</v>
      </c>
      <c r="E12" s="91">
        <f ca="1">IF(RTD("tos.rtd",,$A$2,"."&amp;E$2&amp;E$1&amp;"C"&amp;$A12)="N/A",0,RTD("tos.rtd",,$A$2,"."&amp;E$2&amp;E$1&amp;"C"&amp;$A12))-IF(RTD("tos.rtd",,$A$2,"."&amp;E$2&amp;E$1&amp;"P"&amp;$A12)="N/A",0,RTD("tos.rtd",,$A$2,"."&amp;E$2&amp;E$1&amp;"P"&amp;$A12))</f>
        <v>0</v>
      </c>
      <c r="F12" s="91">
        <f ca="1">IF(RTD("tos.rtd",,$A$2,"."&amp;F$2&amp;F$1&amp;"C"&amp;$A12)="N/A",0,RTD("tos.rtd",,$A$2,"."&amp;F$2&amp;F$1&amp;"C"&amp;$A12))-IF(RTD("tos.rtd",,$A$2,"."&amp;F$2&amp;F$1&amp;"P"&amp;$A12)="N/A",0,RTD("tos.rtd",,$A$2,"."&amp;F$2&amp;F$1&amp;"P"&amp;$A12))</f>
        <v>0</v>
      </c>
      <c r="G12" s="91">
        <f ca="1">IF(RTD("tos.rtd",,$A$2,"."&amp;G$2&amp;G$1&amp;"C"&amp;$A12)="N/A",0,RTD("tos.rtd",,$A$2,"."&amp;G$2&amp;G$1&amp;"C"&amp;$A12))-IF(RTD("tos.rtd",,$A$2,"."&amp;G$2&amp;G$1&amp;"P"&amp;$A12)="N/A",0,RTD("tos.rtd",,$A$2,"."&amp;G$2&amp;G$1&amp;"P"&amp;$A12))</f>
        <v>0</v>
      </c>
      <c r="H12" s="91">
        <f ca="1">IF(RTD("tos.rtd",,$A$2,"."&amp;H$2&amp;H$1&amp;"C"&amp;$A12)="N/A",0,RTD("tos.rtd",,$A$2,"."&amp;H$2&amp;H$1&amp;"C"&amp;$A12))-IF(RTD("tos.rtd",,$A$2,"."&amp;H$2&amp;H$1&amp;"P"&amp;$A12)="N/A",0,RTD("tos.rtd",,$A$2,"."&amp;H$2&amp;H$1&amp;"P"&amp;$A12))</f>
        <v>356</v>
      </c>
      <c r="I12" s="91">
        <f ca="1">IF(RTD("tos.rtd",,$A$2,"."&amp;I$2&amp;I$1&amp;"C"&amp;$A12)="N/A",0,RTD("tos.rtd",,$A$2,"."&amp;I$2&amp;I$1&amp;"C"&amp;$A12))-IF(RTD("tos.rtd",,$A$2,"."&amp;I$2&amp;I$1&amp;"P"&amp;$A12)="N/A",0,RTD("tos.rtd",,$A$2,"."&amp;I$2&amp;I$1&amp;"P"&amp;$A12))</f>
        <v>1245</v>
      </c>
      <c r="J12" s="91">
        <f ca="1">IF(RTD("tos.rtd",,$A$2,"."&amp;J$2&amp;J$1&amp;"C"&amp;$A12)="N/A",0,RTD("tos.rtd",,$A$2,"."&amp;J$2&amp;J$1&amp;"C"&amp;$A12))-IF(RTD("tos.rtd",,$A$2,"."&amp;J$2&amp;J$1&amp;"P"&amp;$A12)="N/A",0,RTD("tos.rtd",,$A$2,"."&amp;J$2&amp;J$1&amp;"P"&amp;$A12))</f>
        <v>284</v>
      </c>
      <c r="K12" s="91">
        <f ca="1">IF(RTD("tos.rtd",,$A$2,"."&amp;K$2&amp;K$1&amp;"C"&amp;$A12)="N/A",0,RTD("tos.rtd",,$A$2,"."&amp;K$2&amp;K$1&amp;"C"&amp;$A12))-IF(RTD("tos.rtd",,$A$2,"."&amp;K$2&amp;K$1&amp;"P"&amp;$A12)="N/A",0,RTD("tos.rtd",,$A$2,"."&amp;K$2&amp;K$1&amp;"P"&amp;$A12))</f>
        <v>2429</v>
      </c>
      <c r="L12" s="91">
        <f ca="1">IF(RTD("tos.rtd",,$A$2,"."&amp;L$2&amp;L$1&amp;"C"&amp;$A12)="N/A",0,RTD("tos.rtd",,$A$2,"."&amp;L$2&amp;L$1&amp;"C"&amp;$A12))-IF(RTD("tos.rtd",,$A$2,"."&amp;L$2&amp;L$1&amp;"P"&amp;$A12)="N/A",0,RTD("tos.rtd",,$A$2,"."&amp;L$2&amp;L$1&amp;"P"&amp;$A12))</f>
        <v>44</v>
      </c>
      <c r="M12" s="91">
        <f ca="1">IF(RTD("tos.rtd",,$A$2,"."&amp;M$2&amp;M$1&amp;"C"&amp;$A12)="N/A",0,RTD("tos.rtd",,$A$2,"."&amp;M$2&amp;M$1&amp;"C"&amp;$A12))-IF(RTD("tos.rtd",,$A$2,"."&amp;M$2&amp;M$1&amp;"P"&amp;$A12)="N/A",0,RTD("tos.rtd",,$A$2,"."&amp;M$2&amp;M$1&amp;"P"&amp;$A12))</f>
        <v>513</v>
      </c>
      <c r="N12" s="91">
        <f ca="1">IF(RTD("tos.rtd",,$A$2,"."&amp;N$2&amp;N$1&amp;"C"&amp;$A12)="N/A",0,RTD("tos.rtd",,$A$2,"."&amp;N$2&amp;N$1&amp;"C"&amp;$A12))-IF(RTD("tos.rtd",,$A$2,"."&amp;N$2&amp;N$1&amp;"P"&amp;$A12)="N/A",0,RTD("tos.rtd",,$A$2,"."&amp;N$2&amp;N$1&amp;"P"&amp;$A12))</f>
        <v>29</v>
      </c>
      <c r="O12" s="91">
        <f ca="1">IF(RTD("tos.rtd",,$A$2,"."&amp;O$2&amp;O$1&amp;"C"&amp;$A12)="N/A",0,RTD("tos.rtd",,$A$2,"."&amp;O$2&amp;O$1&amp;"C"&amp;$A12))-IF(RTD("tos.rtd",,$A$2,"."&amp;O$2&amp;O$1&amp;"P"&amp;$A12)="N/A",0,RTD("tos.rtd",,$A$2,"."&amp;O$2&amp;O$1&amp;"P"&amp;$A12))</f>
        <v>179</v>
      </c>
      <c r="P12" s="91">
        <f ca="1">IF(RTD("tos.rtd",,$A$2,"."&amp;P$2&amp;P$1&amp;"C"&amp;$A12)="N/A",0,RTD("tos.rtd",,$A$2,"."&amp;P$2&amp;P$1&amp;"C"&amp;$A12))-IF(RTD("tos.rtd",,$A$2,"."&amp;P$2&amp;P$1&amp;"P"&amp;$A12)="N/A",0,RTD("tos.rtd",,$A$2,"."&amp;P$2&amp;P$1&amp;"P"&amp;$A12))</f>
        <v>4</v>
      </c>
      <c r="Q12" s="91">
        <f ca="1">IF(RTD("tos.rtd",,$A$2,"."&amp;Q$2&amp;Q$1&amp;"C"&amp;$A12)="N/A",0,RTD("tos.rtd",,$A$2,"."&amp;Q$2&amp;Q$1&amp;"C"&amp;$A12))-IF(RTD("tos.rtd",,$A$2,"."&amp;Q$2&amp;Q$1&amp;"P"&amp;$A12)="N/A",0,RTD("tos.rtd",,$A$2,"."&amp;Q$2&amp;Q$1&amp;"P"&amp;$A12))</f>
        <v>-4</v>
      </c>
      <c r="R12" s="91">
        <f ca="1">IF(RTD("tos.rtd",,$A$2,"."&amp;R$2&amp;R$1&amp;"C"&amp;$A12)="N/A",0,RTD("tos.rtd",,$A$2,"."&amp;R$2&amp;R$1&amp;"C"&amp;$A12))-IF(RTD("tos.rtd",,$A$2,"."&amp;R$2&amp;R$1&amp;"P"&amp;$A12)="N/A",0,RTD("tos.rtd",,$A$2,"."&amp;R$2&amp;R$1&amp;"P"&amp;$A12))</f>
        <v>-5</v>
      </c>
      <c r="S12" s="91">
        <f ca="1">IF(RTD("tos.rtd",,$A$2,"."&amp;S$2&amp;S$1&amp;"C"&amp;$A12)="N/A",0,RTD("tos.rtd",,$A$2,"."&amp;S$2&amp;S$1&amp;"C"&amp;$A12))-IF(RTD("tos.rtd",,$A$2,"."&amp;S$2&amp;S$1&amp;"P"&amp;$A12)="N/A",0,RTD("tos.rtd",,$A$2,"."&amp;S$2&amp;S$1&amp;"P"&amp;$A12))</f>
        <v>0</v>
      </c>
      <c r="T12" s="91">
        <f ca="1">IF(RTD("tos.rtd",,$A$2,"."&amp;T$2&amp;T$1&amp;"C"&amp;$A12)="N/A",0,RTD("tos.rtd",,$A$2,"."&amp;T$2&amp;T$1&amp;"C"&amp;$A12))-IF(RTD("tos.rtd",,$A$2,"."&amp;T$2&amp;T$1&amp;"P"&amp;$A12)="N/A",0,RTD("tos.rtd",,$A$2,"."&amp;T$2&amp;T$1&amp;"P"&amp;$A12))</f>
        <v>12</v>
      </c>
      <c r="U12" s="91">
        <f ca="1">IF(RTD("tos.rtd",,$A$2,"."&amp;U$2&amp;U$1&amp;"C"&amp;$A12)="N/A",0,RTD("tos.rtd",,$A$2,"."&amp;U$2&amp;U$1&amp;"C"&amp;$A12))-IF(RTD("tos.rtd",,$A$2,"."&amp;U$2&amp;U$1&amp;"P"&amp;$A12)="N/A",0,RTD("tos.rtd",,$A$2,"."&amp;U$2&amp;U$1&amp;"P"&amp;$A12))</f>
        <v>0</v>
      </c>
      <c r="V12" s="91">
        <f ca="1">IF(RTD("tos.rtd",,$A$2,"."&amp;V$2&amp;V$1&amp;"C"&amp;$A12)="N/A",0,RTD("tos.rtd",,$A$2,"."&amp;V$2&amp;V$1&amp;"C"&amp;$A12))-IF(RTD("tos.rtd",,$A$2,"."&amp;V$2&amp;V$1&amp;"P"&amp;$A12)="N/A",0,RTD("tos.rtd",,$A$2,"."&amp;V$2&amp;V$1&amp;"P"&amp;$A12))</f>
        <v>0</v>
      </c>
      <c r="W12" s="91">
        <f ca="1">IF(RTD("tos.rtd",,$A$2,"."&amp;W$2&amp;W$1&amp;"C"&amp;$A12)="N/A",0,RTD("tos.rtd",,$A$2,"."&amp;W$2&amp;W$1&amp;"C"&amp;$A12))-IF(RTD("tos.rtd",,$A$2,"."&amp;W$2&amp;W$1&amp;"P"&amp;$A12)="N/A",0,RTD("tos.rtd",,$A$2,"."&amp;W$2&amp;W$1&amp;"P"&amp;$A12))</f>
        <v>9</v>
      </c>
      <c r="X12" s="91">
        <f ca="1">IF(RTD("tos.rtd",,$A$2,"."&amp;X$2&amp;X$1&amp;"C"&amp;$A12)="N/A",0,RTD("tos.rtd",,$A$2,"."&amp;X$2&amp;X$1&amp;"C"&amp;$A12))-IF(RTD("tos.rtd",,$A$2,"."&amp;X$2&amp;X$1&amp;"P"&amp;$A12)="N/A",0,RTD("tos.rtd",,$A$2,"."&amp;X$2&amp;X$1&amp;"P"&amp;$A12))</f>
        <v>-3</v>
      </c>
      <c r="Y12" s="98">
        <f t="shared" ca="1" si="3"/>
        <v>5092</v>
      </c>
    </row>
    <row r="13" spans="1:25" x14ac:dyDescent="0.25">
      <c r="A13" s="93">
        <f>+Hoja1!A12</f>
        <v>574</v>
      </c>
      <c r="B13" s="91">
        <f ca="1">IF(RTD("tos.rtd",,$A$2,"."&amp;B$2&amp;B$1&amp;"C"&amp;$A13)="N/A",0,RTD("tos.rtd",,$A$2,"."&amp;B$2&amp;B$1&amp;"C"&amp;$A13))-IF(RTD("tos.rtd",,$A$2,"."&amp;B$2&amp;B$1&amp;"P"&amp;$A13)="N/A",0,RTD("tos.rtd",,$A$2,"."&amp;B$2&amp;B$1&amp;"P"&amp;$A13))</f>
        <v>0</v>
      </c>
      <c r="C13" s="91">
        <f ca="1">IF(RTD("tos.rtd",,$A$2,"."&amp;C$2&amp;C$1&amp;"C"&amp;$A13)="N/A",0,RTD("tos.rtd",,$A$2,"."&amp;C$2&amp;C$1&amp;"C"&amp;$A13))-IF(RTD("tos.rtd",,$A$2,"."&amp;C$2&amp;C$1&amp;"P"&amp;$A13)="N/A",0,RTD("tos.rtd",,$A$2,"."&amp;C$2&amp;C$1&amp;"P"&amp;$A13))</f>
        <v>0</v>
      </c>
      <c r="D13" s="91">
        <f ca="1">IF(RTD("tos.rtd",,$A$2,"."&amp;D$2&amp;D$1&amp;"C"&amp;$A13)="N/A",0,RTD("tos.rtd",,$A$2,"."&amp;D$2&amp;D$1&amp;"C"&amp;$A13))-IF(RTD("tos.rtd",,$A$2,"."&amp;D$2&amp;D$1&amp;"P"&amp;$A13)="N/A",0,RTD("tos.rtd",,$A$2,"."&amp;D$2&amp;D$1&amp;"P"&amp;$A13))</f>
        <v>0</v>
      </c>
      <c r="E13" s="91">
        <f ca="1">IF(RTD("tos.rtd",,$A$2,"."&amp;E$2&amp;E$1&amp;"C"&amp;$A13)="N/A",0,RTD("tos.rtd",,$A$2,"."&amp;E$2&amp;E$1&amp;"C"&amp;$A13))-IF(RTD("tos.rtd",,$A$2,"."&amp;E$2&amp;E$1&amp;"P"&amp;$A13)="N/A",0,RTD("tos.rtd",,$A$2,"."&amp;E$2&amp;E$1&amp;"P"&amp;$A13))</f>
        <v>0</v>
      </c>
      <c r="F13" s="91">
        <f ca="1">IF(RTD("tos.rtd",,$A$2,"."&amp;F$2&amp;F$1&amp;"C"&amp;$A13)="N/A",0,RTD("tos.rtd",,$A$2,"."&amp;F$2&amp;F$1&amp;"C"&amp;$A13))-IF(RTD("tos.rtd",,$A$2,"."&amp;F$2&amp;F$1&amp;"P"&amp;$A13)="N/A",0,RTD("tos.rtd",,$A$2,"."&amp;F$2&amp;F$1&amp;"P"&amp;$A13))</f>
        <v>0</v>
      </c>
      <c r="G13" s="91">
        <f ca="1">IF(RTD("tos.rtd",,$A$2,"."&amp;G$2&amp;G$1&amp;"C"&amp;$A13)="N/A",0,RTD("tos.rtd",,$A$2,"."&amp;G$2&amp;G$1&amp;"C"&amp;$A13))-IF(RTD("tos.rtd",,$A$2,"."&amp;G$2&amp;G$1&amp;"P"&amp;$A13)="N/A",0,RTD("tos.rtd",,$A$2,"."&amp;G$2&amp;G$1&amp;"P"&amp;$A13))</f>
        <v>0</v>
      </c>
      <c r="H13" s="91">
        <f ca="1">IF(RTD("tos.rtd",,$A$2,"."&amp;H$2&amp;H$1&amp;"C"&amp;$A13)="N/A",0,RTD("tos.rtd",,$A$2,"."&amp;H$2&amp;H$1&amp;"C"&amp;$A13))-IF(RTD("tos.rtd",,$A$2,"."&amp;H$2&amp;H$1&amp;"P"&amp;$A13)="N/A",0,RTD("tos.rtd",,$A$2,"."&amp;H$2&amp;H$1&amp;"P"&amp;$A13))</f>
        <v>122</v>
      </c>
      <c r="I13" s="91">
        <f ca="1">IF(RTD("tos.rtd",,$A$2,"."&amp;I$2&amp;I$1&amp;"C"&amp;$A13)="N/A",0,RTD("tos.rtd",,$A$2,"."&amp;I$2&amp;I$1&amp;"C"&amp;$A13))-IF(RTD("tos.rtd",,$A$2,"."&amp;I$2&amp;I$1&amp;"P"&amp;$A13)="N/A",0,RTD("tos.rtd",,$A$2,"."&amp;I$2&amp;I$1&amp;"P"&amp;$A13))</f>
        <v>105</v>
      </c>
      <c r="J13" s="91">
        <f ca="1">IF(RTD("tos.rtd",,$A$2,"."&amp;J$2&amp;J$1&amp;"C"&amp;$A13)="N/A",0,RTD("tos.rtd",,$A$2,"."&amp;J$2&amp;J$1&amp;"C"&amp;$A13))-IF(RTD("tos.rtd",,$A$2,"."&amp;J$2&amp;J$1&amp;"P"&amp;$A13)="N/A",0,RTD("tos.rtd",,$A$2,"."&amp;J$2&amp;J$1&amp;"P"&amp;$A13))</f>
        <v>48</v>
      </c>
      <c r="K13" s="91">
        <f ca="1">IF(RTD("tos.rtd",,$A$2,"."&amp;K$2&amp;K$1&amp;"C"&amp;$A13)="N/A",0,RTD("tos.rtd",,$A$2,"."&amp;K$2&amp;K$1&amp;"C"&amp;$A13))-IF(RTD("tos.rtd",,$A$2,"."&amp;K$2&amp;K$1&amp;"P"&amp;$A13)="N/A",0,RTD("tos.rtd",,$A$2,"."&amp;K$2&amp;K$1&amp;"P"&amp;$A13))</f>
        <v>77</v>
      </c>
      <c r="L13" s="91">
        <f ca="1">IF(RTD("tos.rtd",,$A$2,"."&amp;L$2&amp;L$1&amp;"C"&amp;$A13)="N/A",0,RTD("tos.rtd",,$A$2,"."&amp;L$2&amp;L$1&amp;"C"&amp;$A13))-IF(RTD("tos.rtd",,$A$2,"."&amp;L$2&amp;L$1&amp;"P"&amp;$A13)="N/A",0,RTD("tos.rtd",,$A$2,"."&amp;L$2&amp;L$1&amp;"P"&amp;$A13))</f>
        <v>84</v>
      </c>
      <c r="M13" s="91">
        <f ca="1">IF(RTD("tos.rtd",,$A$2,"."&amp;M$2&amp;M$1&amp;"C"&amp;$A13)="N/A",0,RTD("tos.rtd",,$A$2,"."&amp;M$2&amp;M$1&amp;"C"&amp;$A13))-IF(RTD("tos.rtd",,$A$2,"."&amp;M$2&amp;M$1&amp;"P"&amp;$A13)="N/A",0,RTD("tos.rtd",,$A$2,"."&amp;M$2&amp;M$1&amp;"P"&amp;$A13))</f>
        <v>0</v>
      </c>
      <c r="N13" s="91">
        <f ca="1">IF(RTD("tos.rtd",,$A$2,"."&amp;N$2&amp;N$1&amp;"C"&amp;$A13)="N/A",0,RTD("tos.rtd",,$A$2,"."&amp;N$2&amp;N$1&amp;"C"&amp;$A13))-IF(RTD("tos.rtd",,$A$2,"."&amp;N$2&amp;N$1&amp;"P"&amp;$A13)="N/A",0,RTD("tos.rtd",,$A$2,"."&amp;N$2&amp;N$1&amp;"P"&amp;$A13))</f>
        <v>1</v>
      </c>
      <c r="O13" s="91">
        <f ca="1">IF(RTD("tos.rtd",,$A$2,"."&amp;O$2&amp;O$1&amp;"C"&amp;$A13)="N/A",0,RTD("tos.rtd",,$A$2,"."&amp;O$2&amp;O$1&amp;"C"&amp;$A13))-IF(RTD("tos.rtd",,$A$2,"."&amp;O$2&amp;O$1&amp;"P"&amp;$A13)="N/A",0,RTD("tos.rtd",,$A$2,"."&amp;O$2&amp;O$1&amp;"P"&amp;$A13))</f>
        <v>2</v>
      </c>
      <c r="P13" s="91">
        <f ca="1">IF(RTD("tos.rtd",,$A$2,"."&amp;P$2&amp;P$1&amp;"C"&amp;$A13)="N/A",0,RTD("tos.rtd",,$A$2,"."&amp;P$2&amp;P$1&amp;"C"&amp;$A13))-IF(RTD("tos.rtd",,$A$2,"."&amp;P$2&amp;P$1&amp;"P"&amp;$A13)="N/A",0,RTD("tos.rtd",,$A$2,"."&amp;P$2&amp;P$1&amp;"P"&amp;$A13))</f>
        <v>2</v>
      </c>
      <c r="Q13" s="91">
        <f ca="1">IF(RTD("tos.rtd",,$A$2,"."&amp;Q$2&amp;Q$1&amp;"C"&amp;$A13)="N/A",0,RTD("tos.rtd",,$A$2,"."&amp;Q$2&amp;Q$1&amp;"C"&amp;$A13))-IF(RTD("tos.rtd",,$A$2,"."&amp;Q$2&amp;Q$1&amp;"P"&amp;$A13)="N/A",0,RTD("tos.rtd",,$A$2,"."&amp;Q$2&amp;Q$1&amp;"P"&amp;$A13))</f>
        <v>0</v>
      </c>
      <c r="R13" s="91">
        <f ca="1">IF(RTD("tos.rtd",,$A$2,"."&amp;R$2&amp;R$1&amp;"C"&amp;$A13)="N/A",0,RTD("tos.rtd",,$A$2,"."&amp;R$2&amp;R$1&amp;"C"&amp;$A13))-IF(RTD("tos.rtd",,$A$2,"."&amp;R$2&amp;R$1&amp;"P"&amp;$A13)="N/A",0,RTD("tos.rtd",,$A$2,"."&amp;R$2&amp;R$1&amp;"P"&amp;$A13))</f>
        <v>0</v>
      </c>
      <c r="S13" s="91">
        <f ca="1">IF(RTD("tos.rtd",,$A$2,"."&amp;S$2&amp;S$1&amp;"C"&amp;$A13)="N/A",0,RTD("tos.rtd",,$A$2,"."&amp;S$2&amp;S$1&amp;"C"&amp;$A13))-IF(RTD("tos.rtd",,$A$2,"."&amp;S$2&amp;S$1&amp;"P"&amp;$A13)="N/A",0,RTD("tos.rtd",,$A$2,"."&amp;S$2&amp;S$1&amp;"P"&amp;$A13))</f>
        <v>0</v>
      </c>
      <c r="T13" s="91">
        <f ca="1">IF(RTD("tos.rtd",,$A$2,"."&amp;T$2&amp;T$1&amp;"C"&amp;$A13)="N/A",0,RTD("tos.rtd",,$A$2,"."&amp;T$2&amp;T$1&amp;"C"&amp;$A13))-IF(RTD("tos.rtd",,$A$2,"."&amp;T$2&amp;T$1&amp;"P"&amp;$A13)="N/A",0,RTD("tos.rtd",,$A$2,"."&amp;T$2&amp;T$1&amp;"P"&amp;$A13))</f>
        <v>0</v>
      </c>
      <c r="U13" s="91">
        <f ca="1">IF(RTD("tos.rtd",,$A$2,"."&amp;U$2&amp;U$1&amp;"C"&amp;$A13)="N/A",0,RTD("tos.rtd",,$A$2,"."&amp;U$2&amp;U$1&amp;"C"&amp;$A13))-IF(RTD("tos.rtd",,$A$2,"."&amp;U$2&amp;U$1&amp;"P"&amp;$A13)="N/A",0,RTD("tos.rtd",,$A$2,"."&amp;U$2&amp;U$1&amp;"P"&amp;$A13))</f>
        <v>0</v>
      </c>
      <c r="V13" s="91">
        <f ca="1">IF(RTD("tos.rtd",,$A$2,"."&amp;V$2&amp;V$1&amp;"C"&amp;$A13)="N/A",0,RTD("tos.rtd",,$A$2,"."&amp;V$2&amp;V$1&amp;"C"&amp;$A13))-IF(RTD("tos.rtd",,$A$2,"."&amp;V$2&amp;V$1&amp;"P"&amp;$A13)="N/A",0,RTD("tos.rtd",,$A$2,"."&amp;V$2&amp;V$1&amp;"P"&amp;$A13))</f>
        <v>0</v>
      </c>
      <c r="W13" s="91">
        <f ca="1">IF(RTD("tos.rtd",,$A$2,"."&amp;W$2&amp;W$1&amp;"C"&amp;$A13)="N/A",0,RTD("tos.rtd",,$A$2,"."&amp;W$2&amp;W$1&amp;"C"&amp;$A13))-IF(RTD("tos.rtd",,$A$2,"."&amp;W$2&amp;W$1&amp;"P"&amp;$A13)="N/A",0,RTD("tos.rtd",,$A$2,"."&amp;W$2&amp;W$1&amp;"P"&amp;$A13))</f>
        <v>0</v>
      </c>
      <c r="X13" s="91">
        <f ca="1">IF(RTD("tos.rtd",,$A$2,"."&amp;X$2&amp;X$1&amp;"C"&amp;$A13)="N/A",0,RTD("tos.rtd",,$A$2,"."&amp;X$2&amp;X$1&amp;"C"&amp;$A13))-IF(RTD("tos.rtd",,$A$2,"."&amp;X$2&amp;X$1&amp;"P"&amp;$A13)="N/A",0,RTD("tos.rtd",,$A$2,"."&amp;X$2&amp;X$1&amp;"P"&amp;$A13))</f>
        <v>0</v>
      </c>
      <c r="Y13" s="98">
        <f t="shared" ca="1" si="3"/>
        <v>441</v>
      </c>
    </row>
    <row r="14" spans="1:25" x14ac:dyDescent="0.25">
      <c r="A14" s="93">
        <f>+Hoja1!A13</f>
        <v>573</v>
      </c>
      <c r="B14" s="91">
        <f ca="1">IF(RTD("tos.rtd",,$A$2,"."&amp;B$2&amp;B$1&amp;"C"&amp;$A14)="N/A",0,RTD("tos.rtd",,$A$2,"."&amp;B$2&amp;B$1&amp;"C"&amp;$A14))-IF(RTD("tos.rtd",,$A$2,"."&amp;B$2&amp;B$1&amp;"P"&amp;$A14)="N/A",0,RTD("tos.rtd",,$A$2,"."&amp;B$2&amp;B$1&amp;"P"&amp;$A14))</f>
        <v>0</v>
      </c>
      <c r="C14" s="91">
        <f ca="1">IF(RTD("tos.rtd",,$A$2,"."&amp;C$2&amp;C$1&amp;"C"&amp;$A14)="N/A",0,RTD("tos.rtd",,$A$2,"."&amp;C$2&amp;C$1&amp;"C"&amp;$A14))-IF(RTD("tos.rtd",,$A$2,"."&amp;C$2&amp;C$1&amp;"P"&amp;$A14)="N/A",0,RTD("tos.rtd",,$A$2,"."&amp;C$2&amp;C$1&amp;"P"&amp;$A14))</f>
        <v>0</v>
      </c>
      <c r="D14" s="91">
        <f ca="1">IF(RTD("tos.rtd",,$A$2,"."&amp;D$2&amp;D$1&amp;"C"&amp;$A14)="N/A",0,RTD("tos.rtd",,$A$2,"."&amp;D$2&amp;D$1&amp;"C"&amp;$A14))-IF(RTD("tos.rtd",,$A$2,"."&amp;D$2&amp;D$1&amp;"P"&amp;$A14)="N/A",0,RTD("tos.rtd",,$A$2,"."&amp;D$2&amp;D$1&amp;"P"&amp;$A14))</f>
        <v>0</v>
      </c>
      <c r="E14" s="91">
        <f ca="1">IF(RTD("tos.rtd",,$A$2,"."&amp;E$2&amp;E$1&amp;"C"&amp;$A14)="N/A",0,RTD("tos.rtd",,$A$2,"."&amp;E$2&amp;E$1&amp;"C"&amp;$A14))-IF(RTD("tos.rtd",,$A$2,"."&amp;E$2&amp;E$1&amp;"P"&amp;$A14)="N/A",0,RTD("tos.rtd",,$A$2,"."&amp;E$2&amp;E$1&amp;"P"&amp;$A14))</f>
        <v>0</v>
      </c>
      <c r="F14" s="91">
        <f ca="1">IF(RTD("tos.rtd",,$A$2,"."&amp;F$2&amp;F$1&amp;"C"&amp;$A14)="N/A",0,RTD("tos.rtd",,$A$2,"."&amp;F$2&amp;F$1&amp;"C"&amp;$A14))-IF(RTD("tos.rtd",,$A$2,"."&amp;F$2&amp;F$1&amp;"P"&amp;$A14)="N/A",0,RTD("tos.rtd",,$A$2,"."&amp;F$2&amp;F$1&amp;"P"&amp;$A14))</f>
        <v>0</v>
      </c>
      <c r="G14" s="91">
        <f ca="1">IF(RTD("tos.rtd",,$A$2,"."&amp;G$2&amp;G$1&amp;"C"&amp;$A14)="N/A",0,RTD("tos.rtd",,$A$2,"."&amp;G$2&amp;G$1&amp;"C"&amp;$A14))-IF(RTD("tos.rtd",,$A$2,"."&amp;G$2&amp;G$1&amp;"P"&amp;$A14)="N/A",0,RTD("tos.rtd",,$A$2,"."&amp;G$2&amp;G$1&amp;"P"&amp;$A14))</f>
        <v>0</v>
      </c>
      <c r="H14" s="91">
        <f ca="1">IF(RTD("tos.rtd",,$A$2,"."&amp;H$2&amp;H$1&amp;"C"&amp;$A14)="N/A",0,RTD("tos.rtd",,$A$2,"."&amp;H$2&amp;H$1&amp;"C"&amp;$A14))-IF(RTD("tos.rtd",,$A$2,"."&amp;H$2&amp;H$1&amp;"P"&amp;$A14)="N/A",0,RTD("tos.rtd",,$A$2,"."&amp;H$2&amp;H$1&amp;"P"&amp;$A14))</f>
        <v>188</v>
      </c>
      <c r="I14" s="91">
        <f ca="1">IF(RTD("tos.rtd",,$A$2,"."&amp;I$2&amp;I$1&amp;"C"&amp;$A14)="N/A",0,RTD("tos.rtd",,$A$2,"."&amp;I$2&amp;I$1&amp;"C"&amp;$A14))-IF(RTD("tos.rtd",,$A$2,"."&amp;I$2&amp;I$1&amp;"P"&amp;$A14)="N/A",0,RTD("tos.rtd",,$A$2,"."&amp;I$2&amp;I$1&amp;"P"&amp;$A14))</f>
        <v>45</v>
      </c>
      <c r="J14" s="91">
        <f ca="1">IF(RTD("tos.rtd",,$A$2,"."&amp;J$2&amp;J$1&amp;"C"&amp;$A14)="N/A",0,RTD("tos.rtd",,$A$2,"."&amp;J$2&amp;J$1&amp;"C"&amp;$A14))-IF(RTD("tos.rtd",,$A$2,"."&amp;J$2&amp;J$1&amp;"P"&amp;$A14)="N/A",0,RTD("tos.rtd",,$A$2,"."&amp;J$2&amp;J$1&amp;"P"&amp;$A14))</f>
        <v>248</v>
      </c>
      <c r="K14" s="91">
        <f ca="1">IF(RTD("tos.rtd",,$A$2,"."&amp;K$2&amp;K$1&amp;"C"&amp;$A14)="N/A",0,RTD("tos.rtd",,$A$2,"."&amp;K$2&amp;K$1&amp;"C"&amp;$A14))-IF(RTD("tos.rtd",,$A$2,"."&amp;K$2&amp;K$1&amp;"P"&amp;$A14)="N/A",0,RTD("tos.rtd",,$A$2,"."&amp;K$2&amp;K$1&amp;"P"&amp;$A14))</f>
        <v>41</v>
      </c>
      <c r="L14" s="91">
        <f ca="1">IF(RTD("tos.rtd",,$A$2,"."&amp;L$2&amp;L$1&amp;"C"&amp;$A14)="N/A",0,RTD("tos.rtd",,$A$2,"."&amp;L$2&amp;L$1&amp;"C"&amp;$A14))-IF(RTD("tos.rtd",,$A$2,"."&amp;L$2&amp;L$1&amp;"P"&amp;$A14)="N/A",0,RTD("tos.rtd",,$A$2,"."&amp;L$2&amp;L$1&amp;"P"&amp;$A14))</f>
        <v>7</v>
      </c>
      <c r="M14" s="91">
        <f ca="1">IF(RTD("tos.rtd",,$A$2,"."&amp;M$2&amp;M$1&amp;"C"&amp;$A14)="N/A",0,RTD("tos.rtd",,$A$2,"."&amp;M$2&amp;M$1&amp;"C"&amp;$A14))-IF(RTD("tos.rtd",,$A$2,"."&amp;M$2&amp;M$1&amp;"P"&amp;$A14)="N/A",0,RTD("tos.rtd",,$A$2,"."&amp;M$2&amp;M$1&amp;"P"&amp;$A14))</f>
        <v>0</v>
      </c>
      <c r="N14" s="91">
        <f ca="1">IF(RTD("tos.rtd",,$A$2,"."&amp;N$2&amp;N$1&amp;"C"&amp;$A14)="N/A",0,RTD("tos.rtd",,$A$2,"."&amp;N$2&amp;N$1&amp;"C"&amp;$A14))-IF(RTD("tos.rtd",,$A$2,"."&amp;N$2&amp;N$1&amp;"P"&amp;$A14)="N/A",0,RTD("tos.rtd",,$A$2,"."&amp;N$2&amp;N$1&amp;"P"&amp;$A14))</f>
        <v>1</v>
      </c>
      <c r="O14" s="91">
        <f ca="1">IF(RTD("tos.rtd",,$A$2,"."&amp;O$2&amp;O$1&amp;"C"&amp;$A14)="N/A",0,RTD("tos.rtd",,$A$2,"."&amp;O$2&amp;O$1&amp;"C"&amp;$A14))-IF(RTD("tos.rtd",,$A$2,"."&amp;O$2&amp;O$1&amp;"P"&amp;$A14)="N/A",0,RTD("tos.rtd",,$A$2,"."&amp;O$2&amp;O$1&amp;"P"&amp;$A14))</f>
        <v>10</v>
      </c>
      <c r="P14" s="91">
        <f ca="1">IF(RTD("tos.rtd",,$A$2,"."&amp;P$2&amp;P$1&amp;"C"&amp;$A14)="N/A",0,RTD("tos.rtd",,$A$2,"."&amp;P$2&amp;P$1&amp;"C"&amp;$A14))-IF(RTD("tos.rtd",,$A$2,"."&amp;P$2&amp;P$1&amp;"P"&amp;$A14)="N/A",0,RTD("tos.rtd",,$A$2,"."&amp;P$2&amp;P$1&amp;"P"&amp;$A14))</f>
        <v>10</v>
      </c>
      <c r="Q14" s="91">
        <f ca="1">IF(RTD("tos.rtd",,$A$2,"."&amp;Q$2&amp;Q$1&amp;"C"&amp;$A14)="N/A",0,RTD("tos.rtd",,$A$2,"."&amp;Q$2&amp;Q$1&amp;"C"&amp;$A14))-IF(RTD("tos.rtd",,$A$2,"."&amp;Q$2&amp;Q$1&amp;"P"&amp;$A14)="N/A",0,RTD("tos.rtd",,$A$2,"."&amp;Q$2&amp;Q$1&amp;"P"&amp;$A14))</f>
        <v>0</v>
      </c>
      <c r="R14" s="91">
        <f ca="1">IF(RTD("tos.rtd",,$A$2,"."&amp;R$2&amp;R$1&amp;"C"&amp;$A14)="N/A",0,RTD("tos.rtd",,$A$2,"."&amp;R$2&amp;R$1&amp;"C"&amp;$A14))-IF(RTD("tos.rtd",,$A$2,"."&amp;R$2&amp;R$1&amp;"P"&amp;$A14)="N/A",0,RTD("tos.rtd",,$A$2,"."&amp;R$2&amp;R$1&amp;"P"&amp;$A14))</f>
        <v>0</v>
      </c>
      <c r="S14" s="91">
        <f ca="1">IF(RTD("tos.rtd",,$A$2,"."&amp;S$2&amp;S$1&amp;"C"&amp;$A14)="N/A",0,RTD("tos.rtd",,$A$2,"."&amp;S$2&amp;S$1&amp;"C"&amp;$A14))-IF(RTD("tos.rtd",,$A$2,"."&amp;S$2&amp;S$1&amp;"P"&amp;$A14)="N/A",0,RTD("tos.rtd",,$A$2,"."&amp;S$2&amp;S$1&amp;"P"&amp;$A14))</f>
        <v>0</v>
      </c>
      <c r="T14" s="91">
        <f ca="1">IF(RTD("tos.rtd",,$A$2,"."&amp;T$2&amp;T$1&amp;"C"&amp;$A14)="N/A",0,RTD("tos.rtd",,$A$2,"."&amp;T$2&amp;T$1&amp;"C"&amp;$A14))-IF(RTD("tos.rtd",,$A$2,"."&amp;T$2&amp;T$1&amp;"P"&amp;$A14)="N/A",0,RTD("tos.rtd",,$A$2,"."&amp;T$2&amp;T$1&amp;"P"&amp;$A14))</f>
        <v>0</v>
      </c>
      <c r="U14" s="91">
        <f ca="1">IF(RTD("tos.rtd",,$A$2,"."&amp;U$2&amp;U$1&amp;"C"&amp;$A14)="N/A",0,RTD("tos.rtd",,$A$2,"."&amp;U$2&amp;U$1&amp;"C"&amp;$A14))-IF(RTD("tos.rtd",,$A$2,"."&amp;U$2&amp;U$1&amp;"P"&amp;$A14)="N/A",0,RTD("tos.rtd",,$A$2,"."&amp;U$2&amp;U$1&amp;"P"&amp;$A14))</f>
        <v>0</v>
      </c>
      <c r="V14" s="91">
        <f ca="1">IF(RTD("tos.rtd",,$A$2,"."&amp;V$2&amp;V$1&amp;"C"&amp;$A14)="N/A",0,RTD("tos.rtd",,$A$2,"."&amp;V$2&amp;V$1&amp;"C"&amp;$A14))-IF(RTD("tos.rtd",,$A$2,"."&amp;V$2&amp;V$1&amp;"P"&amp;$A14)="N/A",0,RTD("tos.rtd",,$A$2,"."&amp;V$2&amp;V$1&amp;"P"&amp;$A14))</f>
        <v>0</v>
      </c>
      <c r="W14" s="91">
        <f ca="1">IF(RTD("tos.rtd",,$A$2,"."&amp;W$2&amp;W$1&amp;"C"&amp;$A14)="N/A",0,RTD("tos.rtd",,$A$2,"."&amp;W$2&amp;W$1&amp;"C"&amp;$A14))-IF(RTD("tos.rtd",,$A$2,"."&amp;W$2&amp;W$1&amp;"P"&amp;$A14)="N/A",0,RTD("tos.rtd",,$A$2,"."&amp;W$2&amp;W$1&amp;"P"&amp;$A14))</f>
        <v>0</v>
      </c>
      <c r="X14" s="91">
        <f ca="1">IF(RTD("tos.rtd",,$A$2,"."&amp;X$2&amp;X$1&amp;"C"&amp;$A14)="N/A",0,RTD("tos.rtd",,$A$2,"."&amp;X$2&amp;X$1&amp;"C"&amp;$A14))-IF(RTD("tos.rtd",,$A$2,"."&amp;X$2&amp;X$1&amp;"P"&amp;$A14)="N/A",0,RTD("tos.rtd",,$A$2,"."&amp;X$2&amp;X$1&amp;"P"&amp;$A14))</f>
        <v>0</v>
      </c>
      <c r="Y14" s="98">
        <f t="shared" ca="1" si="3"/>
        <v>550</v>
      </c>
    </row>
    <row r="15" spans="1:25" x14ac:dyDescent="0.25">
      <c r="A15" s="93">
        <f>+Hoja1!A14</f>
        <v>572</v>
      </c>
      <c r="B15" s="91">
        <f ca="1">IF(RTD("tos.rtd",,$A$2,"."&amp;B$2&amp;B$1&amp;"C"&amp;$A15)="N/A",0,RTD("tos.rtd",,$A$2,"."&amp;B$2&amp;B$1&amp;"C"&amp;$A15))-IF(RTD("tos.rtd",,$A$2,"."&amp;B$2&amp;B$1&amp;"P"&amp;$A15)="N/A",0,RTD("tos.rtd",,$A$2,"."&amp;B$2&amp;B$1&amp;"P"&amp;$A15))</f>
        <v>0</v>
      </c>
      <c r="C15" s="91">
        <f ca="1">IF(RTD("tos.rtd",,$A$2,"."&amp;C$2&amp;C$1&amp;"C"&amp;$A15)="N/A",0,RTD("tos.rtd",,$A$2,"."&amp;C$2&amp;C$1&amp;"C"&amp;$A15))-IF(RTD("tos.rtd",,$A$2,"."&amp;C$2&amp;C$1&amp;"P"&amp;$A15)="N/A",0,RTD("tos.rtd",,$A$2,"."&amp;C$2&amp;C$1&amp;"P"&amp;$A15))</f>
        <v>0</v>
      </c>
      <c r="D15" s="91">
        <f ca="1">IF(RTD("tos.rtd",,$A$2,"."&amp;D$2&amp;D$1&amp;"C"&amp;$A15)="N/A",0,RTD("tos.rtd",,$A$2,"."&amp;D$2&amp;D$1&amp;"C"&amp;$A15))-IF(RTD("tos.rtd",,$A$2,"."&amp;D$2&amp;D$1&amp;"P"&amp;$A15)="N/A",0,RTD("tos.rtd",,$A$2,"."&amp;D$2&amp;D$1&amp;"P"&amp;$A15))</f>
        <v>0</v>
      </c>
      <c r="E15" s="91">
        <f ca="1">IF(RTD("tos.rtd",,$A$2,"."&amp;E$2&amp;E$1&amp;"C"&amp;$A15)="N/A",0,RTD("tos.rtd",,$A$2,"."&amp;E$2&amp;E$1&amp;"C"&amp;$A15))-IF(RTD("tos.rtd",,$A$2,"."&amp;E$2&amp;E$1&amp;"P"&amp;$A15)="N/A",0,RTD("tos.rtd",,$A$2,"."&amp;E$2&amp;E$1&amp;"P"&amp;$A15))</f>
        <v>0</v>
      </c>
      <c r="F15" s="91">
        <f ca="1">IF(RTD("tos.rtd",,$A$2,"."&amp;F$2&amp;F$1&amp;"C"&amp;$A15)="N/A",0,RTD("tos.rtd",,$A$2,"."&amp;F$2&amp;F$1&amp;"C"&amp;$A15))-IF(RTD("tos.rtd",,$A$2,"."&amp;F$2&amp;F$1&amp;"P"&amp;$A15)="N/A",0,RTD("tos.rtd",,$A$2,"."&amp;F$2&amp;F$1&amp;"P"&amp;$A15))</f>
        <v>0</v>
      </c>
      <c r="G15" s="91">
        <f ca="1">IF(RTD("tos.rtd",,$A$2,"."&amp;G$2&amp;G$1&amp;"C"&amp;$A15)="N/A",0,RTD("tos.rtd",,$A$2,"."&amp;G$2&amp;G$1&amp;"C"&amp;$A15))-IF(RTD("tos.rtd",,$A$2,"."&amp;G$2&amp;G$1&amp;"P"&amp;$A15)="N/A",0,RTD("tos.rtd",,$A$2,"."&amp;G$2&amp;G$1&amp;"P"&amp;$A15))</f>
        <v>0</v>
      </c>
      <c r="H15" s="91">
        <f ca="1">IF(RTD("tos.rtd",,$A$2,"."&amp;H$2&amp;H$1&amp;"C"&amp;$A15)="N/A",0,RTD("tos.rtd",,$A$2,"."&amp;H$2&amp;H$1&amp;"C"&amp;$A15))-IF(RTD("tos.rtd",,$A$2,"."&amp;H$2&amp;H$1&amp;"P"&amp;$A15)="N/A",0,RTD("tos.rtd",,$A$2,"."&amp;H$2&amp;H$1&amp;"P"&amp;$A15))</f>
        <v>56</v>
      </c>
      <c r="I15" s="91">
        <f ca="1">IF(RTD("tos.rtd",,$A$2,"."&amp;I$2&amp;I$1&amp;"C"&amp;$A15)="N/A",0,RTD("tos.rtd",,$A$2,"."&amp;I$2&amp;I$1&amp;"C"&amp;$A15))-IF(RTD("tos.rtd",,$A$2,"."&amp;I$2&amp;I$1&amp;"P"&amp;$A15)="N/A",0,RTD("tos.rtd",,$A$2,"."&amp;I$2&amp;I$1&amp;"P"&amp;$A15))</f>
        <v>260</v>
      </c>
      <c r="J15" s="91">
        <f ca="1">IF(RTD("tos.rtd",,$A$2,"."&amp;J$2&amp;J$1&amp;"C"&amp;$A15)="N/A",0,RTD("tos.rtd",,$A$2,"."&amp;J$2&amp;J$1&amp;"C"&amp;$A15))-IF(RTD("tos.rtd",,$A$2,"."&amp;J$2&amp;J$1&amp;"P"&amp;$A15)="N/A",0,RTD("tos.rtd",,$A$2,"."&amp;J$2&amp;J$1&amp;"P"&amp;$A15))</f>
        <v>148</v>
      </c>
      <c r="K15" s="91">
        <f ca="1">IF(RTD("tos.rtd",,$A$2,"."&amp;K$2&amp;K$1&amp;"C"&amp;$A15)="N/A",0,RTD("tos.rtd",,$A$2,"."&amp;K$2&amp;K$1&amp;"C"&amp;$A15))-IF(RTD("tos.rtd",,$A$2,"."&amp;K$2&amp;K$1&amp;"P"&amp;$A15)="N/A",0,RTD("tos.rtd",,$A$2,"."&amp;K$2&amp;K$1&amp;"P"&amp;$A15))</f>
        <v>143</v>
      </c>
      <c r="L15" s="91">
        <f ca="1">IF(RTD("tos.rtd",,$A$2,"."&amp;L$2&amp;L$1&amp;"C"&amp;$A15)="N/A",0,RTD("tos.rtd",,$A$2,"."&amp;L$2&amp;L$1&amp;"C"&amp;$A15))-IF(RTD("tos.rtd",,$A$2,"."&amp;L$2&amp;L$1&amp;"P"&amp;$A15)="N/A",0,RTD("tos.rtd",,$A$2,"."&amp;L$2&amp;L$1&amp;"P"&amp;$A15))</f>
        <v>77</v>
      </c>
      <c r="M15" s="91">
        <f ca="1">IF(RTD("tos.rtd",,$A$2,"."&amp;M$2&amp;M$1&amp;"C"&amp;$A15)="N/A",0,RTD("tos.rtd",,$A$2,"."&amp;M$2&amp;M$1&amp;"C"&amp;$A15))-IF(RTD("tos.rtd",,$A$2,"."&amp;M$2&amp;M$1&amp;"P"&amp;$A15)="N/A",0,RTD("tos.rtd",,$A$2,"."&amp;M$2&amp;M$1&amp;"P"&amp;$A15))</f>
        <v>0</v>
      </c>
      <c r="N15" s="91">
        <f ca="1">IF(RTD("tos.rtd",,$A$2,"."&amp;N$2&amp;N$1&amp;"C"&amp;$A15)="N/A",0,RTD("tos.rtd",,$A$2,"."&amp;N$2&amp;N$1&amp;"C"&amp;$A15))-IF(RTD("tos.rtd",,$A$2,"."&amp;N$2&amp;N$1&amp;"P"&amp;$A15)="N/A",0,RTD("tos.rtd",,$A$2,"."&amp;N$2&amp;N$1&amp;"P"&amp;$A15))</f>
        <v>1</v>
      </c>
      <c r="O15" s="91">
        <f ca="1">IF(RTD("tos.rtd",,$A$2,"."&amp;O$2&amp;O$1&amp;"C"&amp;$A15)="N/A",0,RTD("tos.rtd",,$A$2,"."&amp;O$2&amp;O$1&amp;"C"&amp;$A15))-IF(RTD("tos.rtd",,$A$2,"."&amp;O$2&amp;O$1&amp;"P"&amp;$A15)="N/A",0,RTD("tos.rtd",,$A$2,"."&amp;O$2&amp;O$1&amp;"P"&amp;$A15))</f>
        <v>22</v>
      </c>
      <c r="P15" s="91">
        <f ca="1">IF(RTD("tos.rtd",,$A$2,"."&amp;P$2&amp;P$1&amp;"C"&amp;$A15)="N/A",0,RTD("tos.rtd",,$A$2,"."&amp;P$2&amp;P$1&amp;"C"&amp;$A15))-IF(RTD("tos.rtd",,$A$2,"."&amp;P$2&amp;P$1&amp;"P"&amp;$A15)="N/A",0,RTD("tos.rtd",,$A$2,"."&amp;P$2&amp;P$1&amp;"P"&amp;$A15))</f>
        <v>1</v>
      </c>
      <c r="Q15" s="91">
        <f ca="1">IF(RTD("tos.rtd",,$A$2,"."&amp;Q$2&amp;Q$1&amp;"C"&amp;$A15)="N/A",0,RTD("tos.rtd",,$A$2,"."&amp;Q$2&amp;Q$1&amp;"C"&amp;$A15))-IF(RTD("tos.rtd",,$A$2,"."&amp;Q$2&amp;Q$1&amp;"P"&amp;$A15)="N/A",0,RTD("tos.rtd",,$A$2,"."&amp;Q$2&amp;Q$1&amp;"P"&amp;$A15))</f>
        <v>0</v>
      </c>
      <c r="R15" s="91">
        <f ca="1">IF(RTD("tos.rtd",,$A$2,"."&amp;R$2&amp;R$1&amp;"C"&amp;$A15)="N/A",0,RTD("tos.rtd",,$A$2,"."&amp;R$2&amp;R$1&amp;"C"&amp;$A15))-IF(RTD("tos.rtd",,$A$2,"."&amp;R$2&amp;R$1&amp;"P"&amp;$A15)="N/A",0,RTD("tos.rtd",,$A$2,"."&amp;R$2&amp;R$1&amp;"P"&amp;$A15))</f>
        <v>-1</v>
      </c>
      <c r="S15" s="91">
        <f ca="1">IF(RTD("tos.rtd",,$A$2,"."&amp;S$2&amp;S$1&amp;"C"&amp;$A15)="N/A",0,RTD("tos.rtd",,$A$2,"."&amp;S$2&amp;S$1&amp;"C"&amp;$A15))-IF(RTD("tos.rtd",,$A$2,"."&amp;S$2&amp;S$1&amp;"P"&amp;$A15)="N/A",0,RTD("tos.rtd",,$A$2,"."&amp;S$2&amp;S$1&amp;"P"&amp;$A15))</f>
        <v>0</v>
      </c>
      <c r="T15" s="91">
        <f ca="1">IF(RTD("tos.rtd",,$A$2,"."&amp;T$2&amp;T$1&amp;"C"&amp;$A15)="N/A",0,RTD("tos.rtd",,$A$2,"."&amp;T$2&amp;T$1&amp;"C"&amp;$A15))-IF(RTD("tos.rtd",,$A$2,"."&amp;T$2&amp;T$1&amp;"P"&amp;$A15)="N/A",0,RTD("tos.rtd",,$A$2,"."&amp;T$2&amp;T$1&amp;"P"&amp;$A15))</f>
        <v>21</v>
      </c>
      <c r="U15" s="91">
        <f ca="1">IF(RTD("tos.rtd",,$A$2,"."&amp;U$2&amp;U$1&amp;"C"&amp;$A15)="N/A",0,RTD("tos.rtd",,$A$2,"."&amp;U$2&amp;U$1&amp;"C"&amp;$A15))-IF(RTD("tos.rtd",,$A$2,"."&amp;U$2&amp;U$1&amp;"P"&amp;$A15)="N/A",0,RTD("tos.rtd",,$A$2,"."&amp;U$2&amp;U$1&amp;"P"&amp;$A15))</f>
        <v>0</v>
      </c>
      <c r="V15" s="91">
        <f ca="1">IF(RTD("tos.rtd",,$A$2,"."&amp;V$2&amp;V$1&amp;"C"&amp;$A15)="N/A",0,RTD("tos.rtd",,$A$2,"."&amp;V$2&amp;V$1&amp;"C"&amp;$A15))-IF(RTD("tos.rtd",,$A$2,"."&amp;V$2&amp;V$1&amp;"P"&amp;$A15)="N/A",0,RTD("tos.rtd",,$A$2,"."&amp;V$2&amp;V$1&amp;"P"&amp;$A15))</f>
        <v>0</v>
      </c>
      <c r="W15" s="91">
        <f ca="1">IF(RTD("tos.rtd",,$A$2,"."&amp;W$2&amp;W$1&amp;"C"&amp;$A15)="N/A",0,RTD("tos.rtd",,$A$2,"."&amp;W$2&amp;W$1&amp;"C"&amp;$A15))-IF(RTD("tos.rtd",,$A$2,"."&amp;W$2&amp;W$1&amp;"P"&amp;$A15)="N/A",0,RTD("tos.rtd",,$A$2,"."&amp;W$2&amp;W$1&amp;"P"&amp;$A15))</f>
        <v>0</v>
      </c>
      <c r="X15" s="91">
        <f ca="1">IF(RTD("tos.rtd",,$A$2,"."&amp;X$2&amp;X$1&amp;"C"&amp;$A15)="N/A",0,RTD("tos.rtd",,$A$2,"."&amp;X$2&amp;X$1&amp;"C"&amp;$A15))-IF(RTD("tos.rtd",,$A$2,"."&amp;X$2&amp;X$1&amp;"P"&amp;$A15)="N/A",0,RTD("tos.rtd",,$A$2,"."&amp;X$2&amp;X$1&amp;"P"&amp;$A15))</f>
        <v>-2</v>
      </c>
      <c r="Y15" s="98">
        <f t="shared" ca="1" si="3"/>
        <v>726</v>
      </c>
    </row>
    <row r="16" spans="1:25" x14ac:dyDescent="0.25">
      <c r="A16" s="93">
        <f>+Hoja1!A15</f>
        <v>571</v>
      </c>
      <c r="B16" s="91">
        <f ca="1">IF(RTD("tos.rtd",,$A$2,"."&amp;B$2&amp;B$1&amp;"C"&amp;$A16)="N/A",0,RTD("tos.rtd",,$A$2,"."&amp;B$2&amp;B$1&amp;"C"&amp;$A16))-IF(RTD("tos.rtd",,$A$2,"."&amp;B$2&amp;B$1&amp;"P"&amp;$A16)="N/A",0,RTD("tos.rtd",,$A$2,"."&amp;B$2&amp;B$1&amp;"P"&amp;$A16))</f>
        <v>0</v>
      </c>
      <c r="C16" s="91">
        <f ca="1">IF(RTD("tos.rtd",,$A$2,"."&amp;C$2&amp;C$1&amp;"C"&amp;$A16)="N/A",0,RTD("tos.rtd",,$A$2,"."&amp;C$2&amp;C$1&amp;"C"&amp;$A16))-IF(RTD("tos.rtd",,$A$2,"."&amp;C$2&amp;C$1&amp;"P"&amp;$A16)="N/A",0,RTD("tos.rtd",,$A$2,"."&amp;C$2&amp;C$1&amp;"P"&amp;$A16))</f>
        <v>0</v>
      </c>
      <c r="D16" s="91">
        <f ca="1">IF(RTD("tos.rtd",,$A$2,"."&amp;D$2&amp;D$1&amp;"C"&amp;$A16)="N/A",0,RTD("tos.rtd",,$A$2,"."&amp;D$2&amp;D$1&amp;"C"&amp;$A16))-IF(RTD("tos.rtd",,$A$2,"."&amp;D$2&amp;D$1&amp;"P"&amp;$A16)="N/A",0,RTD("tos.rtd",,$A$2,"."&amp;D$2&amp;D$1&amp;"P"&amp;$A16))</f>
        <v>0</v>
      </c>
      <c r="E16" s="91">
        <f ca="1">IF(RTD("tos.rtd",,$A$2,"."&amp;E$2&amp;E$1&amp;"C"&amp;$A16)="N/A",0,RTD("tos.rtd",,$A$2,"."&amp;E$2&amp;E$1&amp;"C"&amp;$A16))-IF(RTD("tos.rtd",,$A$2,"."&amp;E$2&amp;E$1&amp;"P"&amp;$A16)="N/A",0,RTD("tos.rtd",,$A$2,"."&amp;E$2&amp;E$1&amp;"P"&amp;$A16))</f>
        <v>0</v>
      </c>
      <c r="F16" s="91">
        <f ca="1">IF(RTD("tos.rtd",,$A$2,"."&amp;F$2&amp;F$1&amp;"C"&amp;$A16)="N/A",0,RTD("tos.rtd",,$A$2,"."&amp;F$2&amp;F$1&amp;"C"&amp;$A16))-IF(RTD("tos.rtd",,$A$2,"."&amp;F$2&amp;F$1&amp;"P"&amp;$A16)="N/A",0,RTD("tos.rtd",,$A$2,"."&amp;F$2&amp;F$1&amp;"P"&amp;$A16))</f>
        <v>0</v>
      </c>
      <c r="G16" s="91">
        <f ca="1">IF(RTD("tos.rtd",,$A$2,"."&amp;G$2&amp;G$1&amp;"C"&amp;$A16)="N/A",0,RTD("tos.rtd",,$A$2,"."&amp;G$2&amp;G$1&amp;"C"&amp;$A16))-IF(RTD("tos.rtd",,$A$2,"."&amp;G$2&amp;G$1&amp;"P"&amp;$A16)="N/A",0,RTD("tos.rtd",,$A$2,"."&amp;G$2&amp;G$1&amp;"P"&amp;$A16))</f>
        <v>0</v>
      </c>
      <c r="H16" s="91">
        <f ca="1">IF(RTD("tos.rtd",,$A$2,"."&amp;H$2&amp;H$1&amp;"C"&amp;$A16)="N/A",0,RTD("tos.rtd",,$A$2,"."&amp;H$2&amp;H$1&amp;"C"&amp;$A16))-IF(RTD("tos.rtd",,$A$2,"."&amp;H$2&amp;H$1&amp;"P"&amp;$A16)="N/A",0,RTD("tos.rtd",,$A$2,"."&amp;H$2&amp;H$1&amp;"P"&amp;$A16))</f>
        <v>77</v>
      </c>
      <c r="I16" s="91">
        <f ca="1">IF(RTD("tos.rtd",,$A$2,"."&amp;I$2&amp;I$1&amp;"C"&amp;$A16)="N/A",0,RTD("tos.rtd",,$A$2,"."&amp;I$2&amp;I$1&amp;"C"&amp;$A16))-IF(RTD("tos.rtd",,$A$2,"."&amp;I$2&amp;I$1&amp;"P"&amp;$A16)="N/A",0,RTD("tos.rtd",,$A$2,"."&amp;I$2&amp;I$1&amp;"P"&amp;$A16))</f>
        <v>123</v>
      </c>
      <c r="J16" s="91">
        <f ca="1">IF(RTD("tos.rtd",,$A$2,"."&amp;J$2&amp;J$1&amp;"C"&amp;$A16)="N/A",0,RTD("tos.rtd",,$A$2,"."&amp;J$2&amp;J$1&amp;"C"&amp;$A16))-IF(RTD("tos.rtd",,$A$2,"."&amp;J$2&amp;J$1&amp;"P"&amp;$A16)="N/A",0,RTD("tos.rtd",,$A$2,"."&amp;J$2&amp;J$1&amp;"P"&amp;$A16))</f>
        <v>90</v>
      </c>
      <c r="K16" s="91">
        <f ca="1">IF(RTD("tos.rtd",,$A$2,"."&amp;K$2&amp;K$1&amp;"C"&amp;$A16)="N/A",0,RTD("tos.rtd",,$A$2,"."&amp;K$2&amp;K$1&amp;"C"&amp;$A16))-IF(RTD("tos.rtd",,$A$2,"."&amp;K$2&amp;K$1&amp;"P"&amp;$A16)="N/A",0,RTD("tos.rtd",,$A$2,"."&amp;K$2&amp;K$1&amp;"P"&amp;$A16))</f>
        <v>181</v>
      </c>
      <c r="L16" s="91">
        <f ca="1">IF(RTD("tos.rtd",,$A$2,"."&amp;L$2&amp;L$1&amp;"C"&amp;$A16)="N/A",0,RTD("tos.rtd",,$A$2,"."&amp;L$2&amp;L$1&amp;"C"&amp;$A16))-IF(RTD("tos.rtd",,$A$2,"."&amp;L$2&amp;L$1&amp;"P"&amp;$A16)="N/A",0,RTD("tos.rtd",,$A$2,"."&amp;L$2&amp;L$1&amp;"P"&amp;$A16))</f>
        <v>-8</v>
      </c>
      <c r="M16" s="91">
        <f ca="1">IF(RTD("tos.rtd",,$A$2,"."&amp;M$2&amp;M$1&amp;"C"&amp;$A16)="N/A",0,RTD("tos.rtd",,$A$2,"."&amp;M$2&amp;M$1&amp;"C"&amp;$A16))-IF(RTD("tos.rtd",,$A$2,"."&amp;M$2&amp;M$1&amp;"P"&amp;$A16)="N/A",0,RTD("tos.rtd",,$A$2,"."&amp;M$2&amp;M$1&amp;"P"&amp;$A16))</f>
        <v>0</v>
      </c>
      <c r="N16" s="91">
        <f ca="1">IF(RTD("tos.rtd",,$A$2,"."&amp;N$2&amp;N$1&amp;"C"&amp;$A16)="N/A",0,RTD("tos.rtd",,$A$2,"."&amp;N$2&amp;N$1&amp;"C"&amp;$A16))-IF(RTD("tos.rtd",,$A$2,"."&amp;N$2&amp;N$1&amp;"P"&amp;$A16)="N/A",0,RTD("tos.rtd",,$A$2,"."&amp;N$2&amp;N$1&amp;"P"&amp;$A16))</f>
        <v>6</v>
      </c>
      <c r="O16" s="91">
        <f ca="1">IF(RTD("tos.rtd",,$A$2,"."&amp;O$2&amp;O$1&amp;"C"&amp;$A16)="N/A",0,RTD("tos.rtd",,$A$2,"."&amp;O$2&amp;O$1&amp;"C"&amp;$A16))-IF(RTD("tos.rtd",,$A$2,"."&amp;O$2&amp;O$1&amp;"P"&amp;$A16)="N/A",0,RTD("tos.rtd",,$A$2,"."&amp;O$2&amp;O$1&amp;"P"&amp;$A16))</f>
        <v>52</v>
      </c>
      <c r="P16" s="91">
        <f ca="1">IF(RTD("tos.rtd",,$A$2,"."&amp;P$2&amp;P$1&amp;"C"&amp;$A16)="N/A",0,RTD("tos.rtd",,$A$2,"."&amp;P$2&amp;P$1&amp;"C"&amp;$A16))-IF(RTD("tos.rtd",,$A$2,"."&amp;P$2&amp;P$1&amp;"P"&amp;$A16)="N/A",0,RTD("tos.rtd",,$A$2,"."&amp;P$2&amp;P$1&amp;"P"&amp;$A16))</f>
        <v>0</v>
      </c>
      <c r="Q16" s="91">
        <f ca="1">IF(RTD("tos.rtd",,$A$2,"."&amp;Q$2&amp;Q$1&amp;"C"&amp;$A16)="N/A",0,RTD("tos.rtd",,$A$2,"."&amp;Q$2&amp;Q$1&amp;"C"&amp;$A16))-IF(RTD("tos.rtd",,$A$2,"."&amp;Q$2&amp;Q$1&amp;"P"&amp;$A16)="N/A",0,RTD("tos.rtd",,$A$2,"."&amp;Q$2&amp;Q$1&amp;"P"&amp;$A16))</f>
        <v>0</v>
      </c>
      <c r="R16" s="91">
        <f ca="1">IF(RTD("tos.rtd",,$A$2,"."&amp;R$2&amp;R$1&amp;"C"&amp;$A16)="N/A",0,RTD("tos.rtd",,$A$2,"."&amp;R$2&amp;R$1&amp;"C"&amp;$A16))-IF(RTD("tos.rtd",,$A$2,"."&amp;R$2&amp;R$1&amp;"P"&amp;$A16)="N/A",0,RTD("tos.rtd",,$A$2,"."&amp;R$2&amp;R$1&amp;"P"&amp;$A16))</f>
        <v>0</v>
      </c>
      <c r="S16" s="91">
        <f ca="1">IF(RTD("tos.rtd",,$A$2,"."&amp;S$2&amp;S$1&amp;"C"&amp;$A16)="N/A",0,RTD("tos.rtd",,$A$2,"."&amp;S$2&amp;S$1&amp;"C"&amp;$A16))-IF(RTD("tos.rtd",,$A$2,"."&amp;S$2&amp;S$1&amp;"P"&amp;$A16)="N/A",0,RTD("tos.rtd",,$A$2,"."&amp;S$2&amp;S$1&amp;"P"&amp;$A16))</f>
        <v>0</v>
      </c>
      <c r="T16" s="91">
        <f ca="1">IF(RTD("tos.rtd",,$A$2,"."&amp;T$2&amp;T$1&amp;"C"&amp;$A16)="N/A",0,RTD("tos.rtd",,$A$2,"."&amp;T$2&amp;T$1&amp;"C"&amp;$A16))-IF(RTD("tos.rtd",,$A$2,"."&amp;T$2&amp;T$1&amp;"P"&amp;$A16)="N/A",0,RTD("tos.rtd",,$A$2,"."&amp;T$2&amp;T$1&amp;"P"&amp;$A16))</f>
        <v>36</v>
      </c>
      <c r="U16" s="91">
        <f ca="1">IF(RTD("tos.rtd",,$A$2,"."&amp;U$2&amp;U$1&amp;"C"&amp;$A16)="N/A",0,RTD("tos.rtd",,$A$2,"."&amp;U$2&amp;U$1&amp;"C"&amp;$A16))-IF(RTD("tos.rtd",,$A$2,"."&amp;U$2&amp;U$1&amp;"P"&amp;$A16)="N/A",0,RTD("tos.rtd",,$A$2,"."&amp;U$2&amp;U$1&amp;"P"&amp;$A16))</f>
        <v>0</v>
      </c>
      <c r="V16" s="91">
        <f ca="1">IF(RTD("tos.rtd",,$A$2,"."&amp;V$2&amp;V$1&amp;"C"&amp;$A16)="N/A",0,RTD("tos.rtd",,$A$2,"."&amp;V$2&amp;V$1&amp;"C"&amp;$A16))-IF(RTD("tos.rtd",,$A$2,"."&amp;V$2&amp;V$1&amp;"P"&amp;$A16)="N/A",0,RTD("tos.rtd",,$A$2,"."&amp;V$2&amp;V$1&amp;"P"&amp;$A16))</f>
        <v>0</v>
      </c>
      <c r="W16" s="91">
        <f ca="1">IF(RTD("tos.rtd",,$A$2,"."&amp;W$2&amp;W$1&amp;"C"&amp;$A16)="N/A",0,RTD("tos.rtd",,$A$2,"."&amp;W$2&amp;W$1&amp;"C"&amp;$A16))-IF(RTD("tos.rtd",,$A$2,"."&amp;W$2&amp;W$1&amp;"P"&amp;$A16)="N/A",0,RTD("tos.rtd",,$A$2,"."&amp;W$2&amp;W$1&amp;"P"&amp;$A16))</f>
        <v>0</v>
      </c>
      <c r="X16" s="91">
        <f ca="1">IF(RTD("tos.rtd",,$A$2,"."&amp;X$2&amp;X$1&amp;"C"&amp;$A16)="N/A",0,RTD("tos.rtd",,$A$2,"."&amp;X$2&amp;X$1&amp;"C"&amp;$A16))-IF(RTD("tos.rtd",,$A$2,"."&amp;X$2&amp;X$1&amp;"P"&amp;$A16)="N/A",0,RTD("tos.rtd",,$A$2,"."&amp;X$2&amp;X$1&amp;"P"&amp;$A16))</f>
        <v>0</v>
      </c>
      <c r="Y16" s="98">
        <f t="shared" ca="1" si="3"/>
        <v>557</v>
      </c>
    </row>
    <row r="17" spans="1:25" x14ac:dyDescent="0.25">
      <c r="A17" s="93">
        <f>+Hoja1!A16</f>
        <v>570</v>
      </c>
      <c r="B17" s="91">
        <f ca="1">IF(RTD("tos.rtd",,$A$2,"."&amp;B$2&amp;B$1&amp;"C"&amp;$A17)="N/A",0,RTD("tos.rtd",,$A$2,"."&amp;B$2&amp;B$1&amp;"C"&amp;$A17))-IF(RTD("tos.rtd",,$A$2,"."&amp;B$2&amp;B$1&amp;"P"&amp;$A17)="N/A",0,RTD("tos.rtd",,$A$2,"."&amp;B$2&amp;B$1&amp;"P"&amp;$A17))</f>
        <v>0</v>
      </c>
      <c r="C17" s="91">
        <f ca="1">IF(RTD("tos.rtd",,$A$2,"."&amp;C$2&amp;C$1&amp;"C"&amp;$A17)="N/A",0,RTD("tos.rtd",,$A$2,"."&amp;C$2&amp;C$1&amp;"C"&amp;$A17))-IF(RTD("tos.rtd",,$A$2,"."&amp;C$2&amp;C$1&amp;"P"&amp;$A17)="N/A",0,RTD("tos.rtd",,$A$2,"."&amp;C$2&amp;C$1&amp;"P"&amp;$A17))</f>
        <v>0</v>
      </c>
      <c r="D17" s="91">
        <f ca="1">IF(RTD("tos.rtd",,$A$2,"."&amp;D$2&amp;D$1&amp;"C"&amp;$A17)="N/A",0,RTD("tos.rtd",,$A$2,"."&amp;D$2&amp;D$1&amp;"C"&amp;$A17))-IF(RTD("tos.rtd",,$A$2,"."&amp;D$2&amp;D$1&amp;"P"&amp;$A17)="N/A",0,RTD("tos.rtd",,$A$2,"."&amp;D$2&amp;D$1&amp;"P"&amp;$A17))</f>
        <v>0</v>
      </c>
      <c r="E17" s="91">
        <f ca="1">IF(RTD("tos.rtd",,$A$2,"."&amp;E$2&amp;E$1&amp;"C"&amp;$A17)="N/A",0,RTD("tos.rtd",,$A$2,"."&amp;E$2&amp;E$1&amp;"C"&amp;$A17))-IF(RTD("tos.rtd",,$A$2,"."&amp;E$2&amp;E$1&amp;"P"&amp;$A17)="N/A",0,RTD("tos.rtd",,$A$2,"."&amp;E$2&amp;E$1&amp;"P"&amp;$A17))</f>
        <v>0</v>
      </c>
      <c r="F17" s="91">
        <f ca="1">IF(RTD("tos.rtd",,$A$2,"."&amp;F$2&amp;F$1&amp;"C"&amp;$A17)="N/A",0,RTD("tos.rtd",,$A$2,"."&amp;F$2&amp;F$1&amp;"C"&amp;$A17))-IF(RTD("tos.rtd",,$A$2,"."&amp;F$2&amp;F$1&amp;"P"&amp;$A17)="N/A",0,RTD("tos.rtd",,$A$2,"."&amp;F$2&amp;F$1&amp;"P"&amp;$A17))</f>
        <v>0</v>
      </c>
      <c r="G17" s="91">
        <f ca="1">IF(RTD("tos.rtd",,$A$2,"."&amp;G$2&amp;G$1&amp;"C"&amp;$A17)="N/A",0,RTD("tos.rtd",,$A$2,"."&amp;G$2&amp;G$1&amp;"C"&amp;$A17))-IF(RTD("tos.rtd",,$A$2,"."&amp;G$2&amp;G$1&amp;"P"&amp;$A17)="N/A",0,RTD("tos.rtd",,$A$2,"."&amp;G$2&amp;G$1&amp;"P"&amp;$A17))</f>
        <v>0</v>
      </c>
      <c r="H17" s="91">
        <f ca="1">IF(RTD("tos.rtd",,$A$2,"."&amp;H$2&amp;H$1&amp;"C"&amp;$A17)="N/A",0,RTD("tos.rtd",,$A$2,"."&amp;H$2&amp;H$1&amp;"C"&amp;$A17))-IF(RTD("tos.rtd",,$A$2,"."&amp;H$2&amp;H$1&amp;"P"&amp;$A17)="N/A",0,RTD("tos.rtd",,$A$2,"."&amp;H$2&amp;H$1&amp;"P"&amp;$A17))</f>
        <v>1263</v>
      </c>
      <c r="I17" s="91">
        <f ca="1">IF(RTD("tos.rtd",,$A$2,"."&amp;I$2&amp;I$1&amp;"C"&amp;$A17)="N/A",0,RTD("tos.rtd",,$A$2,"."&amp;I$2&amp;I$1&amp;"C"&amp;$A17))-IF(RTD("tos.rtd",,$A$2,"."&amp;I$2&amp;I$1&amp;"P"&amp;$A17)="N/A",0,RTD("tos.rtd",,$A$2,"."&amp;I$2&amp;I$1&amp;"P"&amp;$A17))</f>
        <v>2086</v>
      </c>
      <c r="J17" s="91">
        <f ca="1">IF(RTD("tos.rtd",,$A$2,"."&amp;J$2&amp;J$1&amp;"C"&amp;$A17)="N/A",0,RTD("tos.rtd",,$A$2,"."&amp;J$2&amp;J$1&amp;"C"&amp;$A17))-IF(RTD("tos.rtd",,$A$2,"."&amp;J$2&amp;J$1&amp;"P"&amp;$A17)="N/A",0,RTD("tos.rtd",,$A$2,"."&amp;J$2&amp;J$1&amp;"P"&amp;$A17))</f>
        <v>307</v>
      </c>
      <c r="K17" s="91">
        <f ca="1">IF(RTD("tos.rtd",,$A$2,"."&amp;K$2&amp;K$1&amp;"C"&amp;$A17)="N/A",0,RTD("tos.rtd",,$A$2,"."&amp;K$2&amp;K$1&amp;"C"&amp;$A17))-IF(RTD("tos.rtd",,$A$2,"."&amp;K$2&amp;K$1&amp;"P"&amp;$A17)="N/A",0,RTD("tos.rtd",,$A$2,"."&amp;K$2&amp;K$1&amp;"P"&amp;$A17))</f>
        <v>823</v>
      </c>
      <c r="L17" s="91">
        <f ca="1">IF(RTD("tos.rtd",,$A$2,"."&amp;L$2&amp;L$1&amp;"C"&amp;$A17)="N/A",0,RTD("tos.rtd",,$A$2,"."&amp;L$2&amp;L$1&amp;"C"&amp;$A17))-IF(RTD("tos.rtd",,$A$2,"."&amp;L$2&amp;L$1&amp;"P"&amp;$A17)="N/A",0,RTD("tos.rtd",,$A$2,"."&amp;L$2&amp;L$1&amp;"P"&amp;$A17))</f>
        <v>269</v>
      </c>
      <c r="M17" s="91">
        <f ca="1">IF(RTD("tos.rtd",,$A$2,"."&amp;M$2&amp;M$1&amp;"C"&amp;$A17)="N/A",0,RTD("tos.rtd",,$A$2,"."&amp;M$2&amp;M$1&amp;"C"&amp;$A17))-IF(RTD("tos.rtd",,$A$2,"."&amp;M$2&amp;M$1&amp;"P"&amp;$A17)="N/A",0,RTD("tos.rtd",,$A$2,"."&amp;M$2&amp;M$1&amp;"P"&amp;$A17))</f>
        <v>326</v>
      </c>
      <c r="N17" s="91">
        <f ca="1">IF(RTD("tos.rtd",,$A$2,"."&amp;N$2&amp;N$1&amp;"C"&amp;$A17)="N/A",0,RTD("tos.rtd",,$A$2,"."&amp;N$2&amp;N$1&amp;"C"&amp;$A17))-IF(RTD("tos.rtd",,$A$2,"."&amp;N$2&amp;N$1&amp;"P"&amp;$A17)="N/A",0,RTD("tos.rtd",,$A$2,"."&amp;N$2&amp;N$1&amp;"P"&amp;$A17))</f>
        <v>-42</v>
      </c>
      <c r="O17" s="91">
        <f ca="1">IF(RTD("tos.rtd",,$A$2,"."&amp;O$2&amp;O$1&amp;"C"&amp;$A17)="N/A",0,RTD("tos.rtd",,$A$2,"."&amp;O$2&amp;O$1&amp;"C"&amp;$A17))-IF(RTD("tos.rtd",,$A$2,"."&amp;O$2&amp;O$1&amp;"P"&amp;$A17)="N/A",0,RTD("tos.rtd",,$A$2,"."&amp;O$2&amp;O$1&amp;"P"&amp;$A17))</f>
        <v>208</v>
      </c>
      <c r="P17" s="91">
        <f ca="1">IF(RTD("tos.rtd",,$A$2,"."&amp;P$2&amp;P$1&amp;"C"&amp;$A17)="N/A",0,RTD("tos.rtd",,$A$2,"."&amp;P$2&amp;P$1&amp;"C"&amp;$A17))-IF(RTD("tos.rtd",,$A$2,"."&amp;P$2&amp;P$1&amp;"P"&amp;$A17)="N/A",0,RTD("tos.rtd",,$A$2,"."&amp;P$2&amp;P$1&amp;"P"&amp;$A17))</f>
        <v>-1</v>
      </c>
      <c r="Q17" s="91">
        <f ca="1">IF(RTD("tos.rtd",,$A$2,"."&amp;Q$2&amp;Q$1&amp;"C"&amp;$A17)="N/A",0,RTD("tos.rtd",,$A$2,"."&amp;Q$2&amp;Q$1&amp;"C"&amp;$A17))-IF(RTD("tos.rtd",,$A$2,"."&amp;Q$2&amp;Q$1&amp;"P"&amp;$A17)="N/A",0,RTD("tos.rtd",,$A$2,"."&amp;Q$2&amp;Q$1&amp;"P"&amp;$A17))</f>
        <v>259</v>
      </c>
      <c r="R17" s="91">
        <f ca="1">IF(RTD("tos.rtd",,$A$2,"."&amp;R$2&amp;R$1&amp;"C"&amp;$A17)="N/A",0,RTD("tos.rtd",,$A$2,"."&amp;R$2&amp;R$1&amp;"C"&amp;$A17))-IF(RTD("tos.rtd",,$A$2,"."&amp;R$2&amp;R$1&amp;"P"&amp;$A17)="N/A",0,RTD("tos.rtd",,$A$2,"."&amp;R$2&amp;R$1&amp;"P"&amp;$A17))</f>
        <v>2</v>
      </c>
      <c r="S17" s="91">
        <f ca="1">IF(RTD("tos.rtd",,$A$2,"."&amp;S$2&amp;S$1&amp;"C"&amp;$A17)="N/A",0,RTD("tos.rtd",,$A$2,"."&amp;S$2&amp;S$1&amp;"C"&amp;$A17))-IF(RTD("tos.rtd",,$A$2,"."&amp;S$2&amp;S$1&amp;"P"&amp;$A17)="N/A",0,RTD("tos.rtd",,$A$2,"."&amp;S$2&amp;S$1&amp;"P"&amp;$A17))</f>
        <v>0</v>
      </c>
      <c r="T17" s="91">
        <f ca="1">IF(RTD("tos.rtd",,$A$2,"."&amp;T$2&amp;T$1&amp;"C"&amp;$A17)="N/A",0,RTD("tos.rtd",,$A$2,"."&amp;T$2&amp;T$1&amp;"C"&amp;$A17))-IF(RTD("tos.rtd",,$A$2,"."&amp;T$2&amp;T$1&amp;"P"&amp;$A17)="N/A",0,RTD("tos.rtd",,$A$2,"."&amp;T$2&amp;T$1&amp;"P"&amp;$A17))</f>
        <v>26</v>
      </c>
      <c r="U17" s="91">
        <f ca="1">IF(RTD("tos.rtd",,$A$2,"."&amp;U$2&amp;U$1&amp;"C"&amp;$A17)="N/A",0,RTD("tos.rtd",,$A$2,"."&amp;U$2&amp;U$1&amp;"C"&amp;$A17))-IF(RTD("tos.rtd",,$A$2,"."&amp;U$2&amp;U$1&amp;"P"&amp;$A17)="N/A",0,RTD("tos.rtd",,$A$2,"."&amp;U$2&amp;U$1&amp;"P"&amp;$A17))</f>
        <v>0</v>
      </c>
      <c r="V17" s="91">
        <f ca="1">IF(RTD("tos.rtd",,$A$2,"."&amp;V$2&amp;V$1&amp;"C"&amp;$A17)="N/A",0,RTD("tos.rtd",,$A$2,"."&amp;V$2&amp;V$1&amp;"C"&amp;$A17))-IF(RTD("tos.rtd",,$A$2,"."&amp;V$2&amp;V$1&amp;"P"&amp;$A17)="N/A",0,RTD("tos.rtd",,$A$2,"."&amp;V$2&amp;V$1&amp;"P"&amp;$A17))</f>
        <v>0</v>
      </c>
      <c r="W17" s="91">
        <f ca="1">IF(RTD("tos.rtd",,$A$2,"."&amp;W$2&amp;W$1&amp;"C"&amp;$A17)="N/A",0,RTD("tos.rtd",,$A$2,"."&amp;W$2&amp;W$1&amp;"C"&amp;$A17))-IF(RTD("tos.rtd",,$A$2,"."&amp;W$2&amp;W$1&amp;"P"&amp;$A17)="N/A",0,RTD("tos.rtd",,$A$2,"."&amp;W$2&amp;W$1&amp;"P"&amp;$A17))</f>
        <v>-55</v>
      </c>
      <c r="X17" s="91">
        <f ca="1">IF(RTD("tos.rtd",,$A$2,"."&amp;X$2&amp;X$1&amp;"C"&amp;$A17)="N/A",0,RTD("tos.rtd",,$A$2,"."&amp;X$2&amp;X$1&amp;"C"&amp;$A17))-IF(RTD("tos.rtd",,$A$2,"."&amp;X$2&amp;X$1&amp;"P"&amp;$A17)="N/A",0,RTD("tos.rtd",,$A$2,"."&amp;X$2&amp;X$1&amp;"P"&amp;$A17))</f>
        <v>4</v>
      </c>
      <c r="Y17" s="98">
        <f t="shared" ca="1" si="3"/>
        <v>5475</v>
      </c>
    </row>
    <row r="18" spans="1:25" x14ac:dyDescent="0.25">
      <c r="A18" s="93">
        <f>+Hoja1!A17</f>
        <v>569</v>
      </c>
      <c r="B18" s="91">
        <f ca="1">IF(RTD("tos.rtd",,$A$2,"."&amp;B$2&amp;B$1&amp;"C"&amp;$A18)="N/A",0,RTD("tos.rtd",,$A$2,"."&amp;B$2&amp;B$1&amp;"C"&amp;$A18))-IF(RTD("tos.rtd",,$A$2,"."&amp;B$2&amp;B$1&amp;"P"&amp;$A18)="N/A",0,RTD("tos.rtd",,$A$2,"."&amp;B$2&amp;B$1&amp;"P"&amp;$A18))</f>
        <v>0</v>
      </c>
      <c r="C18" s="91">
        <f ca="1">IF(RTD("tos.rtd",,$A$2,"."&amp;C$2&amp;C$1&amp;"C"&amp;$A18)="N/A",0,RTD("tos.rtd",,$A$2,"."&amp;C$2&amp;C$1&amp;"C"&amp;$A18))-IF(RTD("tos.rtd",,$A$2,"."&amp;C$2&amp;C$1&amp;"P"&amp;$A18)="N/A",0,RTD("tos.rtd",,$A$2,"."&amp;C$2&amp;C$1&amp;"P"&amp;$A18))</f>
        <v>0</v>
      </c>
      <c r="D18" s="91">
        <f ca="1">IF(RTD("tos.rtd",,$A$2,"."&amp;D$2&amp;D$1&amp;"C"&amp;$A18)="N/A",0,RTD("tos.rtd",,$A$2,"."&amp;D$2&amp;D$1&amp;"C"&amp;$A18))-IF(RTD("tos.rtd",,$A$2,"."&amp;D$2&amp;D$1&amp;"P"&amp;$A18)="N/A",0,RTD("tos.rtd",,$A$2,"."&amp;D$2&amp;D$1&amp;"P"&amp;$A18))</f>
        <v>0</v>
      </c>
      <c r="E18" s="91">
        <f ca="1">IF(RTD("tos.rtd",,$A$2,"."&amp;E$2&amp;E$1&amp;"C"&amp;$A18)="N/A",0,RTD("tos.rtd",,$A$2,"."&amp;E$2&amp;E$1&amp;"C"&amp;$A18))-IF(RTD("tos.rtd",,$A$2,"."&amp;E$2&amp;E$1&amp;"P"&amp;$A18)="N/A",0,RTD("tos.rtd",,$A$2,"."&amp;E$2&amp;E$1&amp;"P"&amp;$A18))</f>
        <v>0</v>
      </c>
      <c r="F18" s="91">
        <f ca="1">IF(RTD("tos.rtd",,$A$2,"."&amp;F$2&amp;F$1&amp;"C"&amp;$A18)="N/A",0,RTD("tos.rtd",,$A$2,"."&amp;F$2&amp;F$1&amp;"C"&amp;$A18))-IF(RTD("tos.rtd",,$A$2,"."&amp;F$2&amp;F$1&amp;"P"&amp;$A18)="N/A",0,RTD("tos.rtd",,$A$2,"."&amp;F$2&amp;F$1&amp;"P"&amp;$A18))</f>
        <v>0</v>
      </c>
      <c r="G18" s="91">
        <f ca="1">IF(RTD("tos.rtd",,$A$2,"."&amp;G$2&amp;G$1&amp;"C"&amp;$A18)="N/A",0,RTD("tos.rtd",,$A$2,"."&amp;G$2&amp;G$1&amp;"C"&amp;$A18))-IF(RTD("tos.rtd",,$A$2,"."&amp;G$2&amp;G$1&amp;"P"&amp;$A18)="N/A",0,RTD("tos.rtd",,$A$2,"."&amp;G$2&amp;G$1&amp;"P"&amp;$A18))</f>
        <v>0</v>
      </c>
      <c r="H18" s="91">
        <f ca="1">IF(RTD("tos.rtd",,$A$2,"."&amp;H$2&amp;H$1&amp;"C"&amp;$A18)="N/A",0,RTD("tos.rtd",,$A$2,"."&amp;H$2&amp;H$1&amp;"C"&amp;$A18))-IF(RTD("tos.rtd",,$A$2,"."&amp;H$2&amp;H$1&amp;"P"&amp;$A18)="N/A",0,RTD("tos.rtd",,$A$2,"."&amp;H$2&amp;H$1&amp;"P"&amp;$A18))</f>
        <v>42</v>
      </c>
      <c r="I18" s="91">
        <f ca="1">IF(RTD("tos.rtd",,$A$2,"."&amp;I$2&amp;I$1&amp;"C"&amp;$A18)="N/A",0,RTD("tos.rtd",,$A$2,"."&amp;I$2&amp;I$1&amp;"C"&amp;$A18))-IF(RTD("tos.rtd",,$A$2,"."&amp;I$2&amp;I$1&amp;"P"&amp;$A18)="N/A",0,RTD("tos.rtd",,$A$2,"."&amp;I$2&amp;I$1&amp;"P"&amp;$A18))</f>
        <v>39</v>
      </c>
      <c r="J18" s="91">
        <f ca="1">IF(RTD("tos.rtd",,$A$2,"."&amp;J$2&amp;J$1&amp;"C"&amp;$A18)="N/A",0,RTD("tos.rtd",,$A$2,"."&amp;J$2&amp;J$1&amp;"C"&amp;$A18))-IF(RTD("tos.rtd",,$A$2,"."&amp;J$2&amp;J$1&amp;"P"&amp;$A18)="N/A",0,RTD("tos.rtd",,$A$2,"."&amp;J$2&amp;J$1&amp;"P"&amp;$A18))</f>
        <v>35</v>
      </c>
      <c r="K18" s="91">
        <f ca="1">IF(RTD("tos.rtd",,$A$2,"."&amp;K$2&amp;K$1&amp;"C"&amp;$A18)="N/A",0,RTD("tos.rtd",,$A$2,"."&amp;K$2&amp;K$1&amp;"C"&amp;$A18))-IF(RTD("tos.rtd",,$A$2,"."&amp;K$2&amp;K$1&amp;"P"&amp;$A18)="N/A",0,RTD("tos.rtd",,$A$2,"."&amp;K$2&amp;K$1&amp;"P"&amp;$A18))</f>
        <v>169</v>
      </c>
      <c r="L18" s="91">
        <f ca="1">IF(RTD("tos.rtd",,$A$2,"."&amp;L$2&amp;L$1&amp;"C"&amp;$A18)="N/A",0,RTD("tos.rtd",,$A$2,"."&amp;L$2&amp;L$1&amp;"C"&amp;$A18))-IF(RTD("tos.rtd",,$A$2,"."&amp;L$2&amp;L$1&amp;"P"&amp;$A18)="N/A",0,RTD("tos.rtd",,$A$2,"."&amp;L$2&amp;L$1&amp;"P"&amp;$A18))</f>
        <v>-4</v>
      </c>
      <c r="M18" s="91">
        <f ca="1">IF(RTD("tos.rtd",,$A$2,"."&amp;M$2&amp;M$1&amp;"C"&amp;$A18)="N/A",0,RTD("tos.rtd",,$A$2,"."&amp;M$2&amp;M$1&amp;"C"&amp;$A18))-IF(RTD("tos.rtd",,$A$2,"."&amp;M$2&amp;M$1&amp;"P"&amp;$A18)="N/A",0,RTD("tos.rtd",,$A$2,"."&amp;M$2&amp;M$1&amp;"P"&amp;$A18))</f>
        <v>0</v>
      </c>
      <c r="N18" s="91">
        <f ca="1">IF(RTD("tos.rtd",,$A$2,"."&amp;N$2&amp;N$1&amp;"C"&amp;$A18)="N/A",0,RTD("tos.rtd",,$A$2,"."&amp;N$2&amp;N$1&amp;"C"&amp;$A18))-IF(RTD("tos.rtd",,$A$2,"."&amp;N$2&amp;N$1&amp;"P"&amp;$A18)="N/A",0,RTD("tos.rtd",,$A$2,"."&amp;N$2&amp;N$1&amp;"P"&amp;$A18))</f>
        <v>7</v>
      </c>
      <c r="O18" s="91">
        <f ca="1">IF(RTD("tos.rtd",,$A$2,"."&amp;O$2&amp;O$1&amp;"C"&amp;$A18)="N/A",0,RTD("tos.rtd",,$A$2,"."&amp;O$2&amp;O$1&amp;"C"&amp;$A18))-IF(RTD("tos.rtd",,$A$2,"."&amp;O$2&amp;O$1&amp;"P"&amp;$A18)="N/A",0,RTD("tos.rtd",,$A$2,"."&amp;O$2&amp;O$1&amp;"P"&amp;$A18))</f>
        <v>45</v>
      </c>
      <c r="P18" s="91">
        <f ca="1">IF(RTD("tos.rtd",,$A$2,"."&amp;P$2&amp;P$1&amp;"C"&amp;$A18)="N/A",0,RTD("tos.rtd",,$A$2,"."&amp;P$2&amp;P$1&amp;"C"&amp;$A18))-IF(RTD("tos.rtd",,$A$2,"."&amp;P$2&amp;P$1&amp;"P"&amp;$A18)="N/A",0,RTD("tos.rtd",,$A$2,"."&amp;P$2&amp;P$1&amp;"P"&amp;$A18))</f>
        <v>0</v>
      </c>
      <c r="Q18" s="91">
        <f ca="1">IF(RTD("tos.rtd",,$A$2,"."&amp;Q$2&amp;Q$1&amp;"C"&amp;$A18)="N/A",0,RTD("tos.rtd",,$A$2,"."&amp;Q$2&amp;Q$1&amp;"C"&amp;$A18))-IF(RTD("tos.rtd",,$A$2,"."&amp;Q$2&amp;Q$1&amp;"P"&amp;$A18)="N/A",0,RTD("tos.rtd",,$A$2,"."&amp;Q$2&amp;Q$1&amp;"P"&amp;$A18))</f>
        <v>0</v>
      </c>
      <c r="R18" s="91">
        <f ca="1">IF(RTD("tos.rtd",,$A$2,"."&amp;R$2&amp;R$1&amp;"C"&amp;$A18)="N/A",0,RTD("tos.rtd",,$A$2,"."&amp;R$2&amp;R$1&amp;"C"&amp;$A18))-IF(RTD("tos.rtd",,$A$2,"."&amp;R$2&amp;R$1&amp;"P"&amp;$A18)="N/A",0,RTD("tos.rtd",,$A$2,"."&amp;R$2&amp;R$1&amp;"P"&amp;$A18))</f>
        <v>51</v>
      </c>
      <c r="S18" s="91">
        <f ca="1">IF(RTD("tos.rtd",,$A$2,"."&amp;S$2&amp;S$1&amp;"C"&amp;$A18)="N/A",0,RTD("tos.rtd",,$A$2,"."&amp;S$2&amp;S$1&amp;"C"&amp;$A18))-IF(RTD("tos.rtd",,$A$2,"."&amp;S$2&amp;S$1&amp;"P"&amp;$A18)="N/A",0,RTD("tos.rtd",,$A$2,"."&amp;S$2&amp;S$1&amp;"P"&amp;$A18))</f>
        <v>0</v>
      </c>
      <c r="T18" s="91">
        <f ca="1">IF(RTD("tos.rtd",,$A$2,"."&amp;T$2&amp;T$1&amp;"C"&amp;$A18)="N/A",0,RTD("tos.rtd",,$A$2,"."&amp;T$2&amp;T$1&amp;"C"&amp;$A18))-IF(RTD("tos.rtd",,$A$2,"."&amp;T$2&amp;T$1&amp;"P"&amp;$A18)="N/A",0,RTD("tos.rtd",,$A$2,"."&amp;T$2&amp;T$1&amp;"P"&amp;$A18))</f>
        <v>-6</v>
      </c>
      <c r="U18" s="91">
        <f ca="1">IF(RTD("tos.rtd",,$A$2,"."&amp;U$2&amp;U$1&amp;"C"&amp;$A18)="N/A",0,RTD("tos.rtd",,$A$2,"."&amp;U$2&amp;U$1&amp;"C"&amp;$A18))-IF(RTD("tos.rtd",,$A$2,"."&amp;U$2&amp;U$1&amp;"P"&amp;$A18)="N/A",0,RTD("tos.rtd",,$A$2,"."&amp;U$2&amp;U$1&amp;"P"&amp;$A18))</f>
        <v>0</v>
      </c>
      <c r="V18" s="91">
        <f ca="1">IF(RTD("tos.rtd",,$A$2,"."&amp;V$2&amp;V$1&amp;"C"&amp;$A18)="N/A",0,RTD("tos.rtd",,$A$2,"."&amp;V$2&amp;V$1&amp;"C"&amp;$A18))-IF(RTD("tos.rtd",,$A$2,"."&amp;V$2&amp;V$1&amp;"P"&amp;$A18)="N/A",0,RTD("tos.rtd",,$A$2,"."&amp;V$2&amp;V$1&amp;"P"&amp;$A18))</f>
        <v>0</v>
      </c>
      <c r="W18" s="91">
        <f ca="1">IF(RTD("tos.rtd",,$A$2,"."&amp;W$2&amp;W$1&amp;"C"&amp;$A18)="N/A",0,RTD("tos.rtd",,$A$2,"."&amp;W$2&amp;W$1&amp;"C"&amp;$A18))-IF(RTD("tos.rtd",,$A$2,"."&amp;W$2&amp;W$1&amp;"P"&amp;$A18)="N/A",0,RTD("tos.rtd",,$A$2,"."&amp;W$2&amp;W$1&amp;"P"&amp;$A18))</f>
        <v>0</v>
      </c>
      <c r="X18" s="91">
        <f ca="1">IF(RTD("tos.rtd",,$A$2,"."&amp;X$2&amp;X$1&amp;"C"&amp;$A18)="N/A",0,RTD("tos.rtd",,$A$2,"."&amp;X$2&amp;X$1&amp;"C"&amp;$A18))-IF(RTD("tos.rtd",,$A$2,"."&amp;X$2&amp;X$1&amp;"P"&amp;$A18)="N/A",0,RTD("tos.rtd",,$A$2,"."&amp;X$2&amp;X$1&amp;"P"&amp;$A18))</f>
        <v>1</v>
      </c>
      <c r="Y18" s="98">
        <f t="shared" ca="1" si="3"/>
        <v>379</v>
      </c>
    </row>
    <row r="19" spans="1:25" x14ac:dyDescent="0.25">
      <c r="A19" s="93">
        <f>+Hoja1!A18</f>
        <v>568</v>
      </c>
      <c r="B19" s="91">
        <f ca="1">IF(RTD("tos.rtd",,$A$2,"."&amp;B$2&amp;B$1&amp;"C"&amp;$A19)="N/A",0,RTD("tos.rtd",,$A$2,"."&amp;B$2&amp;B$1&amp;"C"&amp;$A19))-IF(RTD("tos.rtd",,$A$2,"."&amp;B$2&amp;B$1&amp;"P"&amp;$A19)="N/A",0,RTD("tos.rtd",,$A$2,"."&amp;B$2&amp;B$1&amp;"P"&amp;$A19))</f>
        <v>0</v>
      </c>
      <c r="C19" s="91">
        <f ca="1">IF(RTD("tos.rtd",,$A$2,"."&amp;C$2&amp;C$1&amp;"C"&amp;$A19)="N/A",0,RTD("tos.rtd",,$A$2,"."&amp;C$2&amp;C$1&amp;"C"&amp;$A19))-IF(RTD("tos.rtd",,$A$2,"."&amp;C$2&amp;C$1&amp;"P"&amp;$A19)="N/A",0,RTD("tos.rtd",,$A$2,"."&amp;C$2&amp;C$1&amp;"P"&amp;$A19))</f>
        <v>0</v>
      </c>
      <c r="D19" s="91">
        <f ca="1">IF(RTD("tos.rtd",,$A$2,"."&amp;D$2&amp;D$1&amp;"C"&amp;$A19)="N/A",0,RTD("tos.rtd",,$A$2,"."&amp;D$2&amp;D$1&amp;"C"&amp;$A19))-IF(RTD("tos.rtd",,$A$2,"."&amp;D$2&amp;D$1&amp;"P"&amp;$A19)="N/A",0,RTD("tos.rtd",,$A$2,"."&amp;D$2&amp;D$1&amp;"P"&amp;$A19))</f>
        <v>0</v>
      </c>
      <c r="E19" s="91">
        <f ca="1">IF(RTD("tos.rtd",,$A$2,"."&amp;E$2&amp;E$1&amp;"C"&amp;$A19)="N/A",0,RTD("tos.rtd",,$A$2,"."&amp;E$2&amp;E$1&amp;"C"&amp;$A19))-IF(RTD("tos.rtd",,$A$2,"."&amp;E$2&amp;E$1&amp;"P"&amp;$A19)="N/A",0,RTD("tos.rtd",,$A$2,"."&amp;E$2&amp;E$1&amp;"P"&amp;$A19))</f>
        <v>0</v>
      </c>
      <c r="F19" s="91">
        <f ca="1">IF(RTD("tos.rtd",,$A$2,"."&amp;F$2&amp;F$1&amp;"C"&amp;$A19)="N/A",0,RTD("tos.rtd",,$A$2,"."&amp;F$2&amp;F$1&amp;"C"&amp;$A19))-IF(RTD("tos.rtd",,$A$2,"."&amp;F$2&amp;F$1&amp;"P"&amp;$A19)="N/A",0,RTD("tos.rtd",,$A$2,"."&amp;F$2&amp;F$1&amp;"P"&amp;$A19))</f>
        <v>0</v>
      </c>
      <c r="G19" s="91">
        <f ca="1">IF(RTD("tos.rtd",,$A$2,"."&amp;G$2&amp;G$1&amp;"C"&amp;$A19)="N/A",0,RTD("tos.rtd",,$A$2,"."&amp;G$2&amp;G$1&amp;"C"&amp;$A19))-IF(RTD("tos.rtd",,$A$2,"."&amp;G$2&amp;G$1&amp;"P"&amp;$A19)="N/A",0,RTD("tos.rtd",,$A$2,"."&amp;G$2&amp;G$1&amp;"P"&amp;$A19))</f>
        <v>0</v>
      </c>
      <c r="H19" s="91">
        <f ca="1">IF(RTD("tos.rtd",,$A$2,"."&amp;H$2&amp;H$1&amp;"C"&amp;$A19)="N/A",0,RTD("tos.rtd",,$A$2,"."&amp;H$2&amp;H$1&amp;"C"&amp;$A19))-IF(RTD("tos.rtd",,$A$2,"."&amp;H$2&amp;H$1&amp;"P"&amp;$A19)="N/A",0,RTD("tos.rtd",,$A$2,"."&amp;H$2&amp;H$1&amp;"P"&amp;$A19))</f>
        <v>186</v>
      </c>
      <c r="I19" s="91">
        <f ca="1">IF(RTD("tos.rtd",,$A$2,"."&amp;I$2&amp;I$1&amp;"C"&amp;$A19)="N/A",0,RTD("tos.rtd",,$A$2,"."&amp;I$2&amp;I$1&amp;"C"&amp;$A19))-IF(RTD("tos.rtd",,$A$2,"."&amp;I$2&amp;I$1&amp;"P"&amp;$A19)="N/A",0,RTD("tos.rtd",,$A$2,"."&amp;I$2&amp;I$1&amp;"P"&amp;$A19))</f>
        <v>129</v>
      </c>
      <c r="J19" s="91">
        <f ca="1">IF(RTD("tos.rtd",,$A$2,"."&amp;J$2&amp;J$1&amp;"C"&amp;$A19)="N/A",0,RTD("tos.rtd",,$A$2,"."&amp;J$2&amp;J$1&amp;"C"&amp;$A19))-IF(RTD("tos.rtd",,$A$2,"."&amp;J$2&amp;J$1&amp;"P"&amp;$A19)="N/A",0,RTD("tos.rtd",,$A$2,"."&amp;J$2&amp;J$1&amp;"P"&amp;$A19))</f>
        <v>60</v>
      </c>
      <c r="K19" s="91">
        <f ca="1">IF(RTD("tos.rtd",,$A$2,"."&amp;K$2&amp;K$1&amp;"C"&amp;$A19)="N/A",0,RTD("tos.rtd",,$A$2,"."&amp;K$2&amp;K$1&amp;"C"&amp;$A19))-IF(RTD("tos.rtd",,$A$2,"."&amp;K$2&amp;K$1&amp;"P"&amp;$A19)="N/A",0,RTD("tos.rtd",,$A$2,"."&amp;K$2&amp;K$1&amp;"P"&amp;$A19))</f>
        <v>470</v>
      </c>
      <c r="L19" s="91">
        <f ca="1">IF(RTD("tos.rtd",,$A$2,"."&amp;L$2&amp;L$1&amp;"C"&amp;$A19)="N/A",0,RTD("tos.rtd",,$A$2,"."&amp;L$2&amp;L$1&amp;"C"&amp;$A19))-IF(RTD("tos.rtd",,$A$2,"."&amp;L$2&amp;L$1&amp;"P"&amp;$A19)="N/A",0,RTD("tos.rtd",,$A$2,"."&amp;L$2&amp;L$1&amp;"P"&amp;$A19))</f>
        <v>69</v>
      </c>
      <c r="M19" s="91">
        <f ca="1">IF(RTD("tos.rtd",,$A$2,"."&amp;M$2&amp;M$1&amp;"C"&amp;$A19)="N/A",0,RTD("tos.rtd",,$A$2,"."&amp;M$2&amp;M$1&amp;"C"&amp;$A19))-IF(RTD("tos.rtd",,$A$2,"."&amp;M$2&amp;M$1&amp;"P"&amp;$A19)="N/A",0,RTD("tos.rtd",,$A$2,"."&amp;M$2&amp;M$1&amp;"P"&amp;$A19))</f>
        <v>0</v>
      </c>
      <c r="N19" s="91">
        <f ca="1">IF(RTD("tos.rtd",,$A$2,"."&amp;N$2&amp;N$1&amp;"C"&amp;$A19)="N/A",0,RTD("tos.rtd",,$A$2,"."&amp;N$2&amp;N$1&amp;"C"&amp;$A19))-IF(RTD("tos.rtd",,$A$2,"."&amp;N$2&amp;N$1&amp;"P"&amp;$A19)="N/A",0,RTD("tos.rtd",,$A$2,"."&amp;N$2&amp;N$1&amp;"P"&amp;$A19))</f>
        <v>41</v>
      </c>
      <c r="O19" s="91">
        <f ca="1">IF(RTD("tos.rtd",,$A$2,"."&amp;O$2&amp;O$1&amp;"C"&amp;$A19)="N/A",0,RTD("tos.rtd",,$A$2,"."&amp;O$2&amp;O$1&amp;"C"&amp;$A19))-IF(RTD("tos.rtd",,$A$2,"."&amp;O$2&amp;O$1&amp;"P"&amp;$A19)="N/A",0,RTD("tos.rtd",,$A$2,"."&amp;O$2&amp;O$1&amp;"P"&amp;$A19))</f>
        <v>54</v>
      </c>
      <c r="P19" s="91">
        <f ca="1">IF(RTD("tos.rtd",,$A$2,"."&amp;P$2&amp;P$1&amp;"C"&amp;$A19)="N/A",0,RTD("tos.rtd",,$A$2,"."&amp;P$2&amp;P$1&amp;"C"&amp;$A19))-IF(RTD("tos.rtd",,$A$2,"."&amp;P$2&amp;P$1&amp;"P"&amp;$A19)="N/A",0,RTD("tos.rtd",,$A$2,"."&amp;P$2&amp;P$1&amp;"P"&amp;$A19))</f>
        <v>6</v>
      </c>
      <c r="Q19" s="91">
        <f ca="1">IF(RTD("tos.rtd",,$A$2,"."&amp;Q$2&amp;Q$1&amp;"C"&amp;$A19)="N/A",0,RTD("tos.rtd",,$A$2,"."&amp;Q$2&amp;Q$1&amp;"C"&amp;$A19))-IF(RTD("tos.rtd",,$A$2,"."&amp;Q$2&amp;Q$1&amp;"P"&amp;$A19)="N/A",0,RTD("tos.rtd",,$A$2,"."&amp;Q$2&amp;Q$1&amp;"P"&amp;$A19))</f>
        <v>0</v>
      </c>
      <c r="R19" s="91">
        <f ca="1">IF(RTD("tos.rtd",,$A$2,"."&amp;R$2&amp;R$1&amp;"C"&amp;$A19)="N/A",0,RTD("tos.rtd",,$A$2,"."&amp;R$2&amp;R$1&amp;"C"&amp;$A19))-IF(RTD("tos.rtd",,$A$2,"."&amp;R$2&amp;R$1&amp;"P"&amp;$A19)="N/A",0,RTD("tos.rtd",,$A$2,"."&amp;R$2&amp;R$1&amp;"P"&amp;$A19))</f>
        <v>-25</v>
      </c>
      <c r="S19" s="91">
        <f ca="1">IF(RTD("tos.rtd",,$A$2,"."&amp;S$2&amp;S$1&amp;"C"&amp;$A19)="N/A",0,RTD("tos.rtd",,$A$2,"."&amp;S$2&amp;S$1&amp;"C"&amp;$A19))-IF(RTD("tos.rtd",,$A$2,"."&amp;S$2&amp;S$1&amp;"P"&amp;$A19)="N/A",0,RTD("tos.rtd",,$A$2,"."&amp;S$2&amp;S$1&amp;"P"&amp;$A19))</f>
        <v>0</v>
      </c>
      <c r="T19" s="91">
        <f ca="1">IF(RTD("tos.rtd",,$A$2,"."&amp;T$2&amp;T$1&amp;"C"&amp;$A19)="N/A",0,RTD("tos.rtd",,$A$2,"."&amp;T$2&amp;T$1&amp;"C"&amp;$A19))-IF(RTD("tos.rtd",,$A$2,"."&amp;T$2&amp;T$1&amp;"P"&amp;$A19)="N/A",0,RTD("tos.rtd",,$A$2,"."&amp;T$2&amp;T$1&amp;"P"&amp;$A19))</f>
        <v>-11</v>
      </c>
      <c r="U19" s="91">
        <f ca="1">IF(RTD("tos.rtd",,$A$2,"."&amp;U$2&amp;U$1&amp;"C"&amp;$A19)="N/A",0,RTD("tos.rtd",,$A$2,"."&amp;U$2&amp;U$1&amp;"C"&amp;$A19))-IF(RTD("tos.rtd",,$A$2,"."&amp;U$2&amp;U$1&amp;"P"&amp;$A19)="N/A",0,RTD("tos.rtd",,$A$2,"."&amp;U$2&amp;U$1&amp;"P"&amp;$A19))</f>
        <v>0</v>
      </c>
      <c r="V19" s="91">
        <f ca="1">IF(RTD("tos.rtd",,$A$2,"."&amp;V$2&amp;V$1&amp;"C"&amp;$A19)="N/A",0,RTD("tos.rtd",,$A$2,"."&amp;V$2&amp;V$1&amp;"C"&amp;$A19))-IF(RTD("tos.rtd",,$A$2,"."&amp;V$2&amp;V$1&amp;"P"&amp;$A19)="N/A",0,RTD("tos.rtd",,$A$2,"."&amp;V$2&amp;V$1&amp;"P"&amp;$A19))</f>
        <v>0</v>
      </c>
      <c r="W19" s="91">
        <f ca="1">IF(RTD("tos.rtd",,$A$2,"."&amp;W$2&amp;W$1&amp;"C"&amp;$A19)="N/A",0,RTD("tos.rtd",,$A$2,"."&amp;W$2&amp;W$1&amp;"C"&amp;$A19))-IF(RTD("tos.rtd",,$A$2,"."&amp;W$2&amp;W$1&amp;"P"&amp;$A19)="N/A",0,RTD("tos.rtd",,$A$2,"."&amp;W$2&amp;W$1&amp;"P"&amp;$A19))</f>
        <v>0</v>
      </c>
      <c r="X19" s="91">
        <f ca="1">IF(RTD("tos.rtd",,$A$2,"."&amp;X$2&amp;X$1&amp;"C"&amp;$A19)="N/A",0,RTD("tos.rtd",,$A$2,"."&amp;X$2&amp;X$1&amp;"C"&amp;$A19))-IF(RTD("tos.rtd",,$A$2,"."&amp;X$2&amp;X$1&amp;"P"&amp;$A19)="N/A",0,RTD("tos.rtd",,$A$2,"."&amp;X$2&amp;X$1&amp;"P"&amp;$A19))</f>
        <v>0</v>
      </c>
      <c r="Y19" s="98">
        <f t="shared" ca="1" si="3"/>
        <v>979</v>
      </c>
    </row>
    <row r="20" spans="1:25" x14ac:dyDescent="0.25">
      <c r="A20" s="93">
        <f>+Hoja1!A19</f>
        <v>567</v>
      </c>
      <c r="B20" s="91">
        <f ca="1">IF(RTD("tos.rtd",,$A$2,"."&amp;B$2&amp;B$1&amp;"C"&amp;$A20)="N/A",0,RTD("tos.rtd",,$A$2,"."&amp;B$2&amp;B$1&amp;"C"&amp;$A20))-IF(RTD("tos.rtd",,$A$2,"."&amp;B$2&amp;B$1&amp;"P"&amp;$A20)="N/A",0,RTD("tos.rtd",,$A$2,"."&amp;B$2&amp;B$1&amp;"P"&amp;$A20))</f>
        <v>0</v>
      </c>
      <c r="C20" s="91">
        <f ca="1">IF(RTD("tos.rtd",,$A$2,"."&amp;C$2&amp;C$1&amp;"C"&amp;$A20)="N/A",0,RTD("tos.rtd",,$A$2,"."&amp;C$2&amp;C$1&amp;"C"&amp;$A20))-IF(RTD("tos.rtd",,$A$2,"."&amp;C$2&amp;C$1&amp;"P"&amp;$A20)="N/A",0,RTD("tos.rtd",,$A$2,"."&amp;C$2&amp;C$1&amp;"P"&amp;$A20))</f>
        <v>0</v>
      </c>
      <c r="D20" s="91">
        <f ca="1">IF(RTD("tos.rtd",,$A$2,"."&amp;D$2&amp;D$1&amp;"C"&amp;$A20)="N/A",0,RTD("tos.rtd",,$A$2,"."&amp;D$2&amp;D$1&amp;"C"&amp;$A20))-IF(RTD("tos.rtd",,$A$2,"."&amp;D$2&amp;D$1&amp;"P"&amp;$A20)="N/A",0,RTD("tos.rtd",,$A$2,"."&amp;D$2&amp;D$1&amp;"P"&amp;$A20))</f>
        <v>0</v>
      </c>
      <c r="E20" s="91">
        <f ca="1">IF(RTD("tos.rtd",,$A$2,"."&amp;E$2&amp;E$1&amp;"C"&amp;$A20)="N/A",0,RTD("tos.rtd",,$A$2,"."&amp;E$2&amp;E$1&amp;"C"&amp;$A20))-IF(RTD("tos.rtd",,$A$2,"."&amp;E$2&amp;E$1&amp;"P"&amp;$A20)="N/A",0,RTD("tos.rtd",,$A$2,"."&amp;E$2&amp;E$1&amp;"P"&amp;$A20))</f>
        <v>0</v>
      </c>
      <c r="F20" s="91">
        <f ca="1">IF(RTD("tos.rtd",,$A$2,"."&amp;F$2&amp;F$1&amp;"C"&amp;$A20)="N/A",0,RTD("tos.rtd",,$A$2,"."&amp;F$2&amp;F$1&amp;"C"&amp;$A20))-IF(RTD("tos.rtd",,$A$2,"."&amp;F$2&amp;F$1&amp;"P"&amp;$A20)="N/A",0,RTD("tos.rtd",,$A$2,"."&amp;F$2&amp;F$1&amp;"P"&amp;$A20))</f>
        <v>0</v>
      </c>
      <c r="G20" s="91">
        <f ca="1">IF(RTD("tos.rtd",,$A$2,"."&amp;G$2&amp;G$1&amp;"C"&amp;$A20)="N/A",0,RTD("tos.rtd",,$A$2,"."&amp;G$2&amp;G$1&amp;"C"&amp;$A20))-IF(RTD("tos.rtd",,$A$2,"."&amp;G$2&amp;G$1&amp;"P"&amp;$A20)="N/A",0,RTD("tos.rtd",,$A$2,"."&amp;G$2&amp;G$1&amp;"P"&amp;$A20))</f>
        <v>0</v>
      </c>
      <c r="H20" s="91">
        <f ca="1">IF(RTD("tos.rtd",,$A$2,"."&amp;H$2&amp;H$1&amp;"C"&amp;$A20)="N/A",0,RTD("tos.rtd",,$A$2,"."&amp;H$2&amp;H$1&amp;"C"&amp;$A20))-IF(RTD("tos.rtd",,$A$2,"."&amp;H$2&amp;H$1&amp;"P"&amp;$A20)="N/A",0,RTD("tos.rtd",,$A$2,"."&amp;H$2&amp;H$1&amp;"P"&amp;$A20))</f>
        <v>42</v>
      </c>
      <c r="I20" s="91">
        <f ca="1">IF(RTD("tos.rtd",,$A$2,"."&amp;I$2&amp;I$1&amp;"C"&amp;$A20)="N/A",0,RTD("tos.rtd",,$A$2,"."&amp;I$2&amp;I$1&amp;"C"&amp;$A20))-IF(RTD("tos.rtd",,$A$2,"."&amp;I$2&amp;I$1&amp;"P"&amp;$A20)="N/A",0,RTD("tos.rtd",,$A$2,"."&amp;I$2&amp;I$1&amp;"P"&amp;$A20))</f>
        <v>197</v>
      </c>
      <c r="J20" s="91">
        <f ca="1">IF(RTD("tos.rtd",,$A$2,"."&amp;J$2&amp;J$1&amp;"C"&amp;$A20)="N/A",0,RTD("tos.rtd",,$A$2,"."&amp;J$2&amp;J$1&amp;"C"&amp;$A20))-IF(RTD("tos.rtd",,$A$2,"."&amp;J$2&amp;J$1&amp;"P"&amp;$A20)="N/A",0,RTD("tos.rtd",,$A$2,"."&amp;J$2&amp;J$1&amp;"P"&amp;$A20))</f>
        <v>-15</v>
      </c>
      <c r="K20" s="91">
        <f ca="1">IF(RTD("tos.rtd",,$A$2,"."&amp;K$2&amp;K$1&amp;"C"&amp;$A20)="N/A",0,RTD("tos.rtd",,$A$2,"."&amp;K$2&amp;K$1&amp;"C"&amp;$A20))-IF(RTD("tos.rtd",,$A$2,"."&amp;K$2&amp;K$1&amp;"P"&amp;$A20)="N/A",0,RTD("tos.rtd",,$A$2,"."&amp;K$2&amp;K$1&amp;"P"&amp;$A20))</f>
        <v>185</v>
      </c>
      <c r="L20" s="91">
        <f ca="1">IF(RTD("tos.rtd",,$A$2,"."&amp;L$2&amp;L$1&amp;"C"&amp;$A20)="N/A",0,RTD("tos.rtd",,$A$2,"."&amp;L$2&amp;L$1&amp;"C"&amp;$A20))-IF(RTD("tos.rtd",,$A$2,"."&amp;L$2&amp;L$1&amp;"P"&amp;$A20)="N/A",0,RTD("tos.rtd",,$A$2,"."&amp;L$2&amp;L$1&amp;"P"&amp;$A20))</f>
        <v>-2</v>
      </c>
      <c r="M20" s="91">
        <f ca="1">IF(RTD("tos.rtd",,$A$2,"."&amp;M$2&amp;M$1&amp;"C"&amp;$A20)="N/A",0,RTD("tos.rtd",,$A$2,"."&amp;M$2&amp;M$1&amp;"C"&amp;$A20))-IF(RTD("tos.rtd",,$A$2,"."&amp;M$2&amp;M$1&amp;"P"&amp;$A20)="N/A",0,RTD("tos.rtd",,$A$2,"."&amp;M$2&amp;M$1&amp;"P"&amp;$A20))</f>
        <v>0</v>
      </c>
      <c r="N20" s="91">
        <f ca="1">IF(RTD("tos.rtd",,$A$2,"."&amp;N$2&amp;N$1&amp;"C"&amp;$A20)="N/A",0,RTD("tos.rtd",,$A$2,"."&amp;N$2&amp;N$1&amp;"C"&amp;$A20))-IF(RTD("tos.rtd",,$A$2,"."&amp;N$2&amp;N$1&amp;"P"&amp;$A20)="N/A",0,RTD("tos.rtd",,$A$2,"."&amp;N$2&amp;N$1&amp;"P"&amp;$A20))</f>
        <v>31</v>
      </c>
      <c r="O20" s="91">
        <f ca="1">IF(RTD("tos.rtd",,$A$2,"."&amp;O$2&amp;O$1&amp;"C"&amp;$A20)="N/A",0,RTD("tos.rtd",,$A$2,"."&amp;O$2&amp;O$1&amp;"C"&amp;$A20))-IF(RTD("tos.rtd",,$A$2,"."&amp;O$2&amp;O$1&amp;"P"&amp;$A20)="N/A",0,RTD("tos.rtd",,$A$2,"."&amp;O$2&amp;O$1&amp;"P"&amp;$A20))</f>
        <v>13</v>
      </c>
      <c r="P20" s="91">
        <f ca="1">IF(RTD("tos.rtd",,$A$2,"."&amp;P$2&amp;P$1&amp;"C"&amp;$A20)="N/A",0,RTD("tos.rtd",,$A$2,"."&amp;P$2&amp;P$1&amp;"C"&amp;$A20))-IF(RTD("tos.rtd",,$A$2,"."&amp;P$2&amp;P$1&amp;"P"&amp;$A20)="N/A",0,RTD("tos.rtd",,$A$2,"."&amp;P$2&amp;P$1&amp;"P"&amp;$A20))</f>
        <v>3</v>
      </c>
      <c r="Q20" s="91">
        <f ca="1">IF(RTD("tos.rtd",,$A$2,"."&amp;Q$2&amp;Q$1&amp;"C"&amp;$A20)="N/A",0,RTD("tos.rtd",,$A$2,"."&amp;Q$2&amp;Q$1&amp;"C"&amp;$A20))-IF(RTD("tos.rtd",,$A$2,"."&amp;Q$2&amp;Q$1&amp;"P"&amp;$A20)="N/A",0,RTD("tos.rtd",,$A$2,"."&amp;Q$2&amp;Q$1&amp;"P"&amp;$A20))</f>
        <v>0</v>
      </c>
      <c r="R20" s="91">
        <f ca="1">IF(RTD("tos.rtd",,$A$2,"."&amp;R$2&amp;R$1&amp;"C"&amp;$A20)="N/A",0,RTD("tos.rtd",,$A$2,"."&amp;R$2&amp;R$1&amp;"C"&amp;$A20))-IF(RTD("tos.rtd",,$A$2,"."&amp;R$2&amp;R$1&amp;"P"&amp;$A20)="N/A",0,RTD("tos.rtd",,$A$2,"."&amp;R$2&amp;R$1&amp;"P"&amp;$A20))</f>
        <v>0</v>
      </c>
      <c r="S20" s="91">
        <f ca="1">IF(RTD("tos.rtd",,$A$2,"."&amp;S$2&amp;S$1&amp;"C"&amp;$A20)="N/A",0,RTD("tos.rtd",,$A$2,"."&amp;S$2&amp;S$1&amp;"C"&amp;$A20))-IF(RTD("tos.rtd",,$A$2,"."&amp;S$2&amp;S$1&amp;"P"&amp;$A20)="N/A",0,RTD("tos.rtd",,$A$2,"."&amp;S$2&amp;S$1&amp;"P"&amp;$A20))</f>
        <v>0</v>
      </c>
      <c r="T20" s="91">
        <f ca="1">IF(RTD("tos.rtd",,$A$2,"."&amp;T$2&amp;T$1&amp;"C"&amp;$A20)="N/A",0,RTD("tos.rtd",,$A$2,"."&amp;T$2&amp;T$1&amp;"C"&amp;$A20))-IF(RTD("tos.rtd",,$A$2,"."&amp;T$2&amp;T$1&amp;"P"&amp;$A20)="N/A",0,RTD("tos.rtd",,$A$2,"."&amp;T$2&amp;T$1&amp;"P"&amp;$A20))</f>
        <v>-7</v>
      </c>
      <c r="U20" s="91">
        <f ca="1">IF(RTD("tos.rtd",,$A$2,"."&amp;U$2&amp;U$1&amp;"C"&amp;$A20)="N/A",0,RTD("tos.rtd",,$A$2,"."&amp;U$2&amp;U$1&amp;"C"&amp;$A20))-IF(RTD("tos.rtd",,$A$2,"."&amp;U$2&amp;U$1&amp;"P"&amp;$A20)="N/A",0,RTD("tos.rtd",,$A$2,"."&amp;U$2&amp;U$1&amp;"P"&amp;$A20))</f>
        <v>0</v>
      </c>
      <c r="V20" s="91">
        <f ca="1">IF(RTD("tos.rtd",,$A$2,"."&amp;V$2&amp;V$1&amp;"C"&amp;$A20)="N/A",0,RTD("tos.rtd",,$A$2,"."&amp;V$2&amp;V$1&amp;"C"&amp;$A20))-IF(RTD("tos.rtd",,$A$2,"."&amp;V$2&amp;V$1&amp;"P"&amp;$A20)="N/A",0,RTD("tos.rtd",,$A$2,"."&amp;V$2&amp;V$1&amp;"P"&amp;$A20))</f>
        <v>0</v>
      </c>
      <c r="W20" s="91">
        <f ca="1">IF(RTD("tos.rtd",,$A$2,"."&amp;W$2&amp;W$1&amp;"C"&amp;$A20)="N/A",0,RTD("tos.rtd",,$A$2,"."&amp;W$2&amp;W$1&amp;"C"&amp;$A20))-IF(RTD("tos.rtd",,$A$2,"."&amp;W$2&amp;W$1&amp;"P"&amp;$A20)="N/A",0,RTD("tos.rtd",,$A$2,"."&amp;W$2&amp;W$1&amp;"P"&amp;$A20))</f>
        <v>0</v>
      </c>
      <c r="X20" s="91">
        <f ca="1">IF(RTD("tos.rtd",,$A$2,"."&amp;X$2&amp;X$1&amp;"C"&amp;$A20)="N/A",0,RTD("tos.rtd",,$A$2,"."&amp;X$2&amp;X$1&amp;"C"&amp;$A20))-IF(RTD("tos.rtd",,$A$2,"."&amp;X$2&amp;X$1&amp;"P"&amp;$A20)="N/A",0,RTD("tos.rtd",,$A$2,"."&amp;X$2&amp;X$1&amp;"P"&amp;$A20))</f>
        <v>-1</v>
      </c>
      <c r="Y20" s="98">
        <f t="shared" ca="1" si="3"/>
        <v>446</v>
      </c>
    </row>
    <row r="21" spans="1:25" x14ac:dyDescent="0.25">
      <c r="A21" s="93">
        <f>+Hoja1!A20</f>
        <v>566</v>
      </c>
      <c r="B21" s="91">
        <f ca="1">IF(RTD("tos.rtd",,$A$2,"."&amp;B$2&amp;B$1&amp;"C"&amp;$A21)="N/A",0,RTD("tos.rtd",,$A$2,"."&amp;B$2&amp;B$1&amp;"C"&amp;$A21))-IF(RTD("tos.rtd",,$A$2,"."&amp;B$2&amp;B$1&amp;"P"&amp;$A21)="N/A",0,RTD("tos.rtd",,$A$2,"."&amp;B$2&amp;B$1&amp;"P"&amp;$A21))</f>
        <v>0</v>
      </c>
      <c r="C21" s="91">
        <f ca="1">IF(RTD("tos.rtd",,$A$2,"."&amp;C$2&amp;C$1&amp;"C"&amp;$A21)="N/A",0,RTD("tos.rtd",,$A$2,"."&amp;C$2&amp;C$1&amp;"C"&amp;$A21))-IF(RTD("tos.rtd",,$A$2,"."&amp;C$2&amp;C$1&amp;"P"&amp;$A21)="N/A",0,RTD("tos.rtd",,$A$2,"."&amp;C$2&amp;C$1&amp;"P"&amp;$A21))</f>
        <v>0</v>
      </c>
      <c r="D21" s="91">
        <f ca="1">IF(RTD("tos.rtd",,$A$2,"."&amp;D$2&amp;D$1&amp;"C"&amp;$A21)="N/A",0,RTD("tos.rtd",,$A$2,"."&amp;D$2&amp;D$1&amp;"C"&amp;$A21))-IF(RTD("tos.rtd",,$A$2,"."&amp;D$2&amp;D$1&amp;"P"&amp;$A21)="N/A",0,RTD("tos.rtd",,$A$2,"."&amp;D$2&amp;D$1&amp;"P"&amp;$A21))</f>
        <v>0</v>
      </c>
      <c r="E21" s="91">
        <f ca="1">IF(RTD("tos.rtd",,$A$2,"."&amp;E$2&amp;E$1&amp;"C"&amp;$A21)="N/A",0,RTD("tos.rtd",,$A$2,"."&amp;E$2&amp;E$1&amp;"C"&amp;$A21))-IF(RTD("tos.rtd",,$A$2,"."&amp;E$2&amp;E$1&amp;"P"&amp;$A21)="N/A",0,RTD("tos.rtd",,$A$2,"."&amp;E$2&amp;E$1&amp;"P"&amp;$A21))</f>
        <v>0</v>
      </c>
      <c r="F21" s="91">
        <f ca="1">IF(RTD("tos.rtd",,$A$2,"."&amp;F$2&amp;F$1&amp;"C"&amp;$A21)="N/A",0,RTD("tos.rtd",,$A$2,"."&amp;F$2&amp;F$1&amp;"C"&amp;$A21))-IF(RTD("tos.rtd",,$A$2,"."&amp;F$2&amp;F$1&amp;"P"&amp;$A21)="N/A",0,RTD("tos.rtd",,$A$2,"."&amp;F$2&amp;F$1&amp;"P"&amp;$A21))</f>
        <v>0</v>
      </c>
      <c r="G21" s="91">
        <f ca="1">IF(RTD("tos.rtd",,$A$2,"."&amp;G$2&amp;G$1&amp;"C"&amp;$A21)="N/A",0,RTD("tos.rtd",,$A$2,"."&amp;G$2&amp;G$1&amp;"C"&amp;$A21))-IF(RTD("tos.rtd",,$A$2,"."&amp;G$2&amp;G$1&amp;"P"&amp;$A21)="N/A",0,RTD("tos.rtd",,$A$2,"."&amp;G$2&amp;G$1&amp;"P"&amp;$A21))</f>
        <v>0</v>
      </c>
      <c r="H21" s="91">
        <f ca="1">IF(RTD("tos.rtd",,$A$2,"."&amp;H$2&amp;H$1&amp;"C"&amp;$A21)="N/A",0,RTD("tos.rtd",,$A$2,"."&amp;H$2&amp;H$1&amp;"C"&amp;$A21))-IF(RTD("tos.rtd",,$A$2,"."&amp;H$2&amp;H$1&amp;"P"&amp;$A21)="N/A",0,RTD("tos.rtd",,$A$2,"."&amp;H$2&amp;H$1&amp;"P"&amp;$A21))</f>
        <v>65</v>
      </c>
      <c r="I21" s="91">
        <f ca="1">IF(RTD("tos.rtd",,$A$2,"."&amp;I$2&amp;I$1&amp;"C"&amp;$A21)="N/A",0,RTD("tos.rtd",,$A$2,"."&amp;I$2&amp;I$1&amp;"C"&amp;$A21))-IF(RTD("tos.rtd",,$A$2,"."&amp;I$2&amp;I$1&amp;"P"&amp;$A21)="N/A",0,RTD("tos.rtd",,$A$2,"."&amp;I$2&amp;I$1&amp;"P"&amp;$A21))</f>
        <v>1022</v>
      </c>
      <c r="J21" s="91">
        <f ca="1">IF(RTD("tos.rtd",,$A$2,"."&amp;J$2&amp;J$1&amp;"C"&amp;$A21)="N/A",0,RTD("tos.rtd",,$A$2,"."&amp;J$2&amp;J$1&amp;"C"&amp;$A21))-IF(RTD("tos.rtd",,$A$2,"."&amp;J$2&amp;J$1&amp;"P"&amp;$A21)="N/A",0,RTD("tos.rtd",,$A$2,"."&amp;J$2&amp;J$1&amp;"P"&amp;$A21))</f>
        <v>136</v>
      </c>
      <c r="K21" s="91">
        <f ca="1">IF(RTD("tos.rtd",,$A$2,"."&amp;K$2&amp;K$1&amp;"C"&amp;$A21)="N/A",0,RTD("tos.rtd",,$A$2,"."&amp;K$2&amp;K$1&amp;"C"&amp;$A21))-IF(RTD("tos.rtd",,$A$2,"."&amp;K$2&amp;K$1&amp;"P"&amp;$A21)="N/A",0,RTD("tos.rtd",,$A$2,"."&amp;K$2&amp;K$1&amp;"P"&amp;$A21))</f>
        <v>98</v>
      </c>
      <c r="L21" s="91">
        <f ca="1">IF(RTD("tos.rtd",,$A$2,"."&amp;L$2&amp;L$1&amp;"C"&amp;$A21)="N/A",0,RTD("tos.rtd",,$A$2,"."&amp;L$2&amp;L$1&amp;"C"&amp;$A21))-IF(RTD("tos.rtd",,$A$2,"."&amp;L$2&amp;L$1&amp;"P"&amp;$A21)="N/A",0,RTD("tos.rtd",,$A$2,"."&amp;L$2&amp;L$1&amp;"P"&amp;$A21))</f>
        <v>-61</v>
      </c>
      <c r="M21" s="91">
        <f ca="1">IF(RTD("tos.rtd",,$A$2,"."&amp;M$2&amp;M$1&amp;"C"&amp;$A21)="N/A",0,RTD("tos.rtd",,$A$2,"."&amp;M$2&amp;M$1&amp;"C"&amp;$A21))-IF(RTD("tos.rtd",,$A$2,"."&amp;M$2&amp;M$1&amp;"P"&amp;$A21)="N/A",0,RTD("tos.rtd",,$A$2,"."&amp;M$2&amp;M$1&amp;"P"&amp;$A21))</f>
        <v>0</v>
      </c>
      <c r="N21" s="91">
        <f ca="1">IF(RTD("tos.rtd",,$A$2,"."&amp;N$2&amp;N$1&amp;"C"&amp;$A21)="N/A",0,RTD("tos.rtd",,$A$2,"."&amp;N$2&amp;N$1&amp;"C"&amp;$A21))-IF(RTD("tos.rtd",,$A$2,"."&amp;N$2&amp;N$1&amp;"P"&amp;$A21)="N/A",0,RTD("tos.rtd",,$A$2,"."&amp;N$2&amp;N$1&amp;"P"&amp;$A21))</f>
        <v>6</v>
      </c>
      <c r="O21" s="91">
        <f ca="1">IF(RTD("tos.rtd",,$A$2,"."&amp;O$2&amp;O$1&amp;"C"&amp;$A21)="N/A",0,RTD("tos.rtd",,$A$2,"."&amp;O$2&amp;O$1&amp;"C"&amp;$A21))-IF(RTD("tos.rtd",,$A$2,"."&amp;O$2&amp;O$1&amp;"P"&amp;$A21)="N/A",0,RTD("tos.rtd",,$A$2,"."&amp;O$2&amp;O$1&amp;"P"&amp;$A21))</f>
        <v>3</v>
      </c>
      <c r="P21" s="91">
        <f ca="1">IF(RTD("tos.rtd",,$A$2,"."&amp;P$2&amp;P$1&amp;"C"&amp;$A21)="N/A",0,RTD("tos.rtd",,$A$2,"."&amp;P$2&amp;P$1&amp;"C"&amp;$A21))-IF(RTD("tos.rtd",,$A$2,"."&amp;P$2&amp;P$1&amp;"P"&amp;$A21)="N/A",0,RTD("tos.rtd",,$A$2,"."&amp;P$2&amp;P$1&amp;"P"&amp;$A21))</f>
        <v>2</v>
      </c>
      <c r="Q21" s="91">
        <f ca="1">IF(RTD("tos.rtd",,$A$2,"."&amp;Q$2&amp;Q$1&amp;"C"&amp;$A21)="N/A",0,RTD("tos.rtd",,$A$2,"."&amp;Q$2&amp;Q$1&amp;"C"&amp;$A21))-IF(RTD("tos.rtd",,$A$2,"."&amp;Q$2&amp;Q$1&amp;"P"&amp;$A21)="N/A",0,RTD("tos.rtd",,$A$2,"."&amp;Q$2&amp;Q$1&amp;"P"&amp;$A21))</f>
        <v>0</v>
      </c>
      <c r="R21" s="91">
        <f ca="1">IF(RTD("tos.rtd",,$A$2,"."&amp;R$2&amp;R$1&amp;"C"&amp;$A21)="N/A",0,RTD("tos.rtd",,$A$2,"."&amp;R$2&amp;R$1&amp;"C"&amp;$A21))-IF(RTD("tos.rtd",,$A$2,"."&amp;R$2&amp;R$1&amp;"P"&amp;$A21)="N/A",0,RTD("tos.rtd",,$A$2,"."&amp;R$2&amp;R$1&amp;"P"&amp;$A21))</f>
        <v>-2</v>
      </c>
      <c r="S21" s="91">
        <f ca="1">IF(RTD("tos.rtd",,$A$2,"."&amp;S$2&amp;S$1&amp;"C"&amp;$A21)="N/A",0,RTD("tos.rtd",,$A$2,"."&amp;S$2&amp;S$1&amp;"C"&amp;$A21))-IF(RTD("tos.rtd",,$A$2,"."&amp;S$2&amp;S$1&amp;"P"&amp;$A21)="N/A",0,RTD("tos.rtd",,$A$2,"."&amp;S$2&amp;S$1&amp;"P"&amp;$A21))</f>
        <v>0</v>
      </c>
      <c r="T21" s="91">
        <f ca="1">IF(RTD("tos.rtd",,$A$2,"."&amp;T$2&amp;T$1&amp;"C"&amp;$A21)="N/A",0,RTD("tos.rtd",,$A$2,"."&amp;T$2&amp;T$1&amp;"C"&amp;$A21))-IF(RTD("tos.rtd",,$A$2,"."&amp;T$2&amp;T$1&amp;"P"&amp;$A21)="N/A",0,RTD("tos.rtd",,$A$2,"."&amp;T$2&amp;T$1&amp;"P"&amp;$A21))</f>
        <v>-3</v>
      </c>
      <c r="U21" s="91">
        <f ca="1">IF(RTD("tos.rtd",,$A$2,"."&amp;U$2&amp;U$1&amp;"C"&amp;$A21)="N/A",0,RTD("tos.rtd",,$A$2,"."&amp;U$2&amp;U$1&amp;"C"&amp;$A21))-IF(RTD("tos.rtd",,$A$2,"."&amp;U$2&amp;U$1&amp;"P"&amp;$A21)="N/A",0,RTD("tos.rtd",,$A$2,"."&amp;U$2&amp;U$1&amp;"P"&amp;$A21))</f>
        <v>0</v>
      </c>
      <c r="V21" s="91">
        <f ca="1">IF(RTD("tos.rtd",,$A$2,"."&amp;V$2&amp;V$1&amp;"C"&amp;$A21)="N/A",0,RTD("tos.rtd",,$A$2,"."&amp;V$2&amp;V$1&amp;"C"&amp;$A21))-IF(RTD("tos.rtd",,$A$2,"."&amp;V$2&amp;V$1&amp;"P"&amp;$A21)="N/A",0,RTD("tos.rtd",,$A$2,"."&amp;V$2&amp;V$1&amp;"P"&amp;$A21))</f>
        <v>0</v>
      </c>
      <c r="W21" s="91">
        <f ca="1">IF(RTD("tos.rtd",,$A$2,"."&amp;W$2&amp;W$1&amp;"C"&amp;$A21)="N/A",0,RTD("tos.rtd",,$A$2,"."&amp;W$2&amp;W$1&amp;"C"&amp;$A21))-IF(RTD("tos.rtd",,$A$2,"."&amp;W$2&amp;W$1&amp;"P"&amp;$A21)="N/A",0,RTD("tos.rtd",,$A$2,"."&amp;W$2&amp;W$1&amp;"P"&amp;$A21))</f>
        <v>0</v>
      </c>
      <c r="X21" s="91">
        <f ca="1">IF(RTD("tos.rtd",,$A$2,"."&amp;X$2&amp;X$1&amp;"C"&amp;$A21)="N/A",0,RTD("tos.rtd",,$A$2,"."&amp;X$2&amp;X$1&amp;"C"&amp;$A21))-IF(RTD("tos.rtd",,$A$2,"."&amp;X$2&amp;X$1&amp;"P"&amp;$A21)="N/A",0,RTD("tos.rtd",,$A$2,"."&amp;X$2&amp;X$1&amp;"P"&amp;$A21))</f>
        <v>0</v>
      </c>
      <c r="Y21" s="98">
        <f t="shared" ca="1" si="3"/>
        <v>1266</v>
      </c>
    </row>
    <row r="22" spans="1:25" x14ac:dyDescent="0.25">
      <c r="A22" s="93">
        <f>+Hoja1!A21</f>
        <v>565</v>
      </c>
      <c r="B22" s="91">
        <f ca="1">IF(RTD("tos.rtd",,$A$2,"."&amp;B$2&amp;B$1&amp;"C"&amp;$A22)="N/A",0,RTD("tos.rtd",,$A$2,"."&amp;B$2&amp;B$1&amp;"C"&amp;$A22))-IF(RTD("tos.rtd",,$A$2,"."&amp;B$2&amp;B$1&amp;"P"&amp;$A22)="N/A",0,RTD("tos.rtd",,$A$2,"."&amp;B$2&amp;B$1&amp;"P"&amp;$A22))</f>
        <v>0</v>
      </c>
      <c r="C22" s="91">
        <f ca="1">IF(RTD("tos.rtd",,$A$2,"."&amp;C$2&amp;C$1&amp;"C"&amp;$A22)="N/A",0,RTD("tos.rtd",,$A$2,"."&amp;C$2&amp;C$1&amp;"C"&amp;$A22))-IF(RTD("tos.rtd",,$A$2,"."&amp;C$2&amp;C$1&amp;"P"&amp;$A22)="N/A",0,RTD("tos.rtd",,$A$2,"."&amp;C$2&amp;C$1&amp;"P"&amp;$A22))</f>
        <v>0</v>
      </c>
      <c r="D22" s="91">
        <f ca="1">IF(RTD("tos.rtd",,$A$2,"."&amp;D$2&amp;D$1&amp;"C"&amp;$A22)="N/A",0,RTD("tos.rtd",,$A$2,"."&amp;D$2&amp;D$1&amp;"C"&amp;$A22))-IF(RTD("tos.rtd",,$A$2,"."&amp;D$2&amp;D$1&amp;"P"&amp;$A22)="N/A",0,RTD("tos.rtd",,$A$2,"."&amp;D$2&amp;D$1&amp;"P"&amp;$A22))</f>
        <v>0</v>
      </c>
      <c r="E22" s="91">
        <f ca="1">IF(RTD("tos.rtd",,$A$2,"."&amp;E$2&amp;E$1&amp;"C"&amp;$A22)="N/A",0,RTD("tos.rtd",,$A$2,"."&amp;E$2&amp;E$1&amp;"C"&amp;$A22))-IF(RTD("tos.rtd",,$A$2,"."&amp;E$2&amp;E$1&amp;"P"&amp;$A22)="N/A",0,RTD("tos.rtd",,$A$2,"."&amp;E$2&amp;E$1&amp;"P"&amp;$A22))</f>
        <v>0</v>
      </c>
      <c r="F22" s="91">
        <f ca="1">IF(RTD("tos.rtd",,$A$2,"."&amp;F$2&amp;F$1&amp;"C"&amp;$A22)="N/A",0,RTD("tos.rtd",,$A$2,"."&amp;F$2&amp;F$1&amp;"C"&amp;$A22))-IF(RTD("tos.rtd",,$A$2,"."&amp;F$2&amp;F$1&amp;"P"&amp;$A22)="N/A",0,RTD("tos.rtd",,$A$2,"."&amp;F$2&amp;F$1&amp;"P"&amp;$A22))</f>
        <v>0</v>
      </c>
      <c r="G22" s="91">
        <f ca="1">IF(RTD("tos.rtd",,$A$2,"."&amp;G$2&amp;G$1&amp;"C"&amp;$A22)="N/A",0,RTD("tos.rtd",,$A$2,"."&amp;G$2&amp;G$1&amp;"C"&amp;$A22))-IF(RTD("tos.rtd",,$A$2,"."&amp;G$2&amp;G$1&amp;"P"&amp;$A22)="N/A",0,RTD("tos.rtd",,$A$2,"."&amp;G$2&amp;G$1&amp;"P"&amp;$A22))</f>
        <v>0</v>
      </c>
      <c r="H22" s="91">
        <f ca="1">IF(RTD("tos.rtd",,$A$2,"."&amp;H$2&amp;H$1&amp;"C"&amp;$A22)="N/A",0,RTD("tos.rtd",,$A$2,"."&amp;H$2&amp;H$1&amp;"C"&amp;$A22))-IF(RTD("tos.rtd",,$A$2,"."&amp;H$2&amp;H$1&amp;"P"&amp;$A22)="N/A",0,RTD("tos.rtd",,$A$2,"."&amp;H$2&amp;H$1&amp;"P"&amp;$A22))</f>
        <v>226</v>
      </c>
      <c r="I22" s="91">
        <f ca="1">IF(RTD("tos.rtd",,$A$2,"."&amp;I$2&amp;I$1&amp;"C"&amp;$A22)="N/A",0,RTD("tos.rtd",,$A$2,"."&amp;I$2&amp;I$1&amp;"C"&amp;$A22))-IF(RTD("tos.rtd",,$A$2,"."&amp;I$2&amp;I$1&amp;"P"&amp;$A22)="N/A",0,RTD("tos.rtd",,$A$2,"."&amp;I$2&amp;I$1&amp;"P"&amp;$A22))</f>
        <v>2923</v>
      </c>
      <c r="J22" s="91">
        <f ca="1">IF(RTD("tos.rtd",,$A$2,"."&amp;J$2&amp;J$1&amp;"C"&amp;$A22)="N/A",0,RTD("tos.rtd",,$A$2,"."&amp;J$2&amp;J$1&amp;"C"&amp;$A22))-IF(RTD("tos.rtd",,$A$2,"."&amp;J$2&amp;J$1&amp;"P"&amp;$A22)="N/A",0,RTD("tos.rtd",,$A$2,"."&amp;J$2&amp;J$1&amp;"P"&amp;$A22))</f>
        <v>246</v>
      </c>
      <c r="K22" s="91">
        <f ca="1">IF(RTD("tos.rtd",,$A$2,"."&amp;K$2&amp;K$1&amp;"C"&amp;$A22)="N/A",0,RTD("tos.rtd",,$A$2,"."&amp;K$2&amp;K$1&amp;"C"&amp;$A22))-IF(RTD("tos.rtd",,$A$2,"."&amp;K$2&amp;K$1&amp;"P"&amp;$A22)="N/A",0,RTD("tos.rtd",,$A$2,"."&amp;K$2&amp;K$1&amp;"P"&amp;$A22))</f>
        <v>1120</v>
      </c>
      <c r="L22" s="91">
        <f ca="1">IF(RTD("tos.rtd",,$A$2,"."&amp;L$2&amp;L$1&amp;"C"&amp;$A22)="N/A",0,RTD("tos.rtd",,$A$2,"."&amp;L$2&amp;L$1&amp;"C"&amp;$A22))-IF(RTD("tos.rtd",,$A$2,"."&amp;L$2&amp;L$1&amp;"P"&amp;$A22)="N/A",0,RTD("tos.rtd",,$A$2,"."&amp;L$2&amp;L$1&amp;"P"&amp;$A22))</f>
        <v>127</v>
      </c>
      <c r="M22" s="91">
        <f ca="1">IF(RTD("tos.rtd",,$A$2,"."&amp;M$2&amp;M$1&amp;"C"&amp;$A22)="N/A",0,RTD("tos.rtd",,$A$2,"."&amp;M$2&amp;M$1&amp;"C"&amp;$A22))-IF(RTD("tos.rtd",,$A$2,"."&amp;M$2&amp;M$1&amp;"P"&amp;$A22)="N/A",0,RTD("tos.rtd",,$A$2,"."&amp;M$2&amp;M$1&amp;"P"&amp;$A22))</f>
        <v>185</v>
      </c>
      <c r="N22" s="91">
        <f ca="1">IF(RTD("tos.rtd",,$A$2,"."&amp;N$2&amp;N$1&amp;"C"&amp;$A22)="N/A",0,RTD("tos.rtd",,$A$2,"."&amp;N$2&amp;N$1&amp;"C"&amp;$A22))-IF(RTD("tos.rtd",,$A$2,"."&amp;N$2&amp;N$1&amp;"P"&amp;$A22)="N/A",0,RTD("tos.rtd",,$A$2,"."&amp;N$2&amp;N$1&amp;"P"&amp;$A22))</f>
        <v>-55</v>
      </c>
      <c r="O22" s="91">
        <f ca="1">IF(RTD("tos.rtd",,$A$2,"."&amp;O$2&amp;O$1&amp;"C"&amp;$A22)="N/A",0,RTD("tos.rtd",,$A$2,"."&amp;O$2&amp;O$1&amp;"C"&amp;$A22))-IF(RTD("tos.rtd",,$A$2,"."&amp;O$2&amp;O$1&amp;"P"&amp;$A22)="N/A",0,RTD("tos.rtd",,$A$2,"."&amp;O$2&amp;O$1&amp;"P"&amp;$A22))</f>
        <v>-68</v>
      </c>
      <c r="P22" s="91">
        <f ca="1">IF(RTD("tos.rtd",,$A$2,"."&amp;P$2&amp;P$1&amp;"C"&amp;$A22)="N/A",0,RTD("tos.rtd",,$A$2,"."&amp;P$2&amp;P$1&amp;"C"&amp;$A22))-IF(RTD("tos.rtd",,$A$2,"."&amp;P$2&amp;P$1&amp;"P"&amp;$A22)="N/A",0,RTD("tos.rtd",,$A$2,"."&amp;P$2&amp;P$1&amp;"P"&amp;$A22))</f>
        <v>-12</v>
      </c>
      <c r="Q22" s="91">
        <f ca="1">IF(RTD("tos.rtd",,$A$2,"."&amp;Q$2&amp;Q$1&amp;"C"&amp;$A22)="N/A",0,RTD("tos.rtd",,$A$2,"."&amp;Q$2&amp;Q$1&amp;"C"&amp;$A22))-IF(RTD("tos.rtd",,$A$2,"."&amp;Q$2&amp;Q$1&amp;"P"&amp;$A22)="N/A",0,RTD("tos.rtd",,$A$2,"."&amp;Q$2&amp;Q$1&amp;"P"&amp;$A22))</f>
        <v>-237</v>
      </c>
      <c r="R22" s="91">
        <f ca="1">IF(RTD("tos.rtd",,$A$2,"."&amp;R$2&amp;R$1&amp;"C"&amp;$A22)="N/A",0,RTD("tos.rtd",,$A$2,"."&amp;R$2&amp;R$1&amp;"C"&amp;$A22))-IF(RTD("tos.rtd",,$A$2,"."&amp;R$2&amp;R$1&amp;"P"&amp;$A22)="N/A",0,RTD("tos.rtd",,$A$2,"."&amp;R$2&amp;R$1&amp;"P"&amp;$A22))</f>
        <v>-109</v>
      </c>
      <c r="S22" s="91">
        <f ca="1">IF(RTD("tos.rtd",,$A$2,"."&amp;S$2&amp;S$1&amp;"C"&amp;$A22)="N/A",0,RTD("tos.rtd",,$A$2,"."&amp;S$2&amp;S$1&amp;"C"&amp;$A22))-IF(RTD("tos.rtd",,$A$2,"."&amp;S$2&amp;S$1&amp;"P"&amp;$A22)="N/A",0,RTD("tos.rtd",,$A$2,"."&amp;S$2&amp;S$1&amp;"P"&amp;$A22))</f>
        <v>0</v>
      </c>
      <c r="T22" s="91">
        <f ca="1">IF(RTD("tos.rtd",,$A$2,"."&amp;T$2&amp;T$1&amp;"C"&amp;$A22)="N/A",0,RTD("tos.rtd",,$A$2,"."&amp;T$2&amp;T$1&amp;"C"&amp;$A22))-IF(RTD("tos.rtd",,$A$2,"."&amp;T$2&amp;T$1&amp;"P"&amp;$A22)="N/A",0,RTD("tos.rtd",,$A$2,"."&amp;T$2&amp;T$1&amp;"P"&amp;$A22))</f>
        <v>10</v>
      </c>
      <c r="U22" s="91">
        <f ca="1">IF(RTD("tos.rtd",,$A$2,"."&amp;U$2&amp;U$1&amp;"C"&amp;$A22)="N/A",0,RTD("tos.rtd",,$A$2,"."&amp;U$2&amp;U$1&amp;"C"&amp;$A22))-IF(RTD("tos.rtd",,$A$2,"."&amp;U$2&amp;U$1&amp;"P"&amp;$A22)="N/A",0,RTD("tos.rtd",,$A$2,"."&amp;U$2&amp;U$1&amp;"P"&amp;$A22))</f>
        <v>0</v>
      </c>
      <c r="V22" s="91">
        <f ca="1">IF(RTD("tos.rtd",,$A$2,"."&amp;V$2&amp;V$1&amp;"C"&amp;$A22)="N/A",0,RTD("tos.rtd",,$A$2,"."&amp;V$2&amp;V$1&amp;"C"&amp;$A22))-IF(RTD("tos.rtd",,$A$2,"."&amp;V$2&amp;V$1&amp;"P"&amp;$A22)="N/A",0,RTD("tos.rtd",,$A$2,"."&amp;V$2&amp;V$1&amp;"P"&amp;$A22))</f>
        <v>0</v>
      </c>
      <c r="W22" s="91">
        <f ca="1">IF(RTD("tos.rtd",,$A$2,"."&amp;W$2&amp;W$1&amp;"C"&amp;$A22)="N/A",0,RTD("tos.rtd",,$A$2,"."&amp;W$2&amp;W$1&amp;"C"&amp;$A22))-IF(RTD("tos.rtd",,$A$2,"."&amp;W$2&amp;W$1&amp;"P"&amp;$A22)="N/A",0,RTD("tos.rtd",,$A$2,"."&amp;W$2&amp;W$1&amp;"P"&amp;$A22))</f>
        <v>-38</v>
      </c>
      <c r="X22" s="91">
        <f ca="1">IF(RTD("tos.rtd",,$A$2,"."&amp;X$2&amp;X$1&amp;"C"&amp;$A22)="N/A",0,RTD("tos.rtd",,$A$2,"."&amp;X$2&amp;X$1&amp;"C"&amp;$A22))-IF(RTD("tos.rtd",,$A$2,"."&amp;X$2&amp;X$1&amp;"P"&amp;$A22)="N/A",0,RTD("tos.rtd",,$A$2,"."&amp;X$2&amp;X$1&amp;"P"&amp;$A22))</f>
        <v>-1</v>
      </c>
      <c r="Y22" s="98">
        <f t="shared" ca="1" si="3"/>
        <v>4317</v>
      </c>
    </row>
    <row r="23" spans="1:25" x14ac:dyDescent="0.25">
      <c r="A23" s="93">
        <f>+Hoja1!A22</f>
        <v>564</v>
      </c>
      <c r="B23" s="91">
        <f ca="1">IF(RTD("tos.rtd",,$A$2,"."&amp;B$2&amp;B$1&amp;"C"&amp;$A23)="N/A",0,RTD("tos.rtd",,$A$2,"."&amp;B$2&amp;B$1&amp;"C"&amp;$A23))-IF(RTD("tos.rtd",,$A$2,"."&amp;B$2&amp;B$1&amp;"P"&amp;$A23)="N/A",0,RTD("tos.rtd",,$A$2,"."&amp;B$2&amp;B$1&amp;"P"&amp;$A23))</f>
        <v>0</v>
      </c>
      <c r="C23" s="91">
        <f ca="1">IF(RTD("tos.rtd",,$A$2,"."&amp;C$2&amp;C$1&amp;"C"&amp;$A23)="N/A",0,RTD("tos.rtd",,$A$2,"."&amp;C$2&amp;C$1&amp;"C"&amp;$A23))-IF(RTD("tos.rtd",,$A$2,"."&amp;C$2&amp;C$1&amp;"P"&amp;$A23)="N/A",0,RTD("tos.rtd",,$A$2,"."&amp;C$2&amp;C$1&amp;"P"&amp;$A23))</f>
        <v>0</v>
      </c>
      <c r="D23" s="91">
        <f ca="1">IF(RTD("tos.rtd",,$A$2,"."&amp;D$2&amp;D$1&amp;"C"&amp;$A23)="N/A",0,RTD("tos.rtd",,$A$2,"."&amp;D$2&amp;D$1&amp;"C"&amp;$A23))-IF(RTD("tos.rtd",,$A$2,"."&amp;D$2&amp;D$1&amp;"P"&amp;$A23)="N/A",0,RTD("tos.rtd",,$A$2,"."&amp;D$2&amp;D$1&amp;"P"&amp;$A23))</f>
        <v>0</v>
      </c>
      <c r="E23" s="91">
        <f ca="1">IF(RTD("tos.rtd",,$A$2,"."&amp;E$2&amp;E$1&amp;"C"&amp;$A23)="N/A",0,RTD("tos.rtd",,$A$2,"."&amp;E$2&amp;E$1&amp;"C"&amp;$A23))-IF(RTD("tos.rtd",,$A$2,"."&amp;E$2&amp;E$1&amp;"P"&amp;$A23)="N/A",0,RTD("tos.rtd",,$A$2,"."&amp;E$2&amp;E$1&amp;"P"&amp;$A23))</f>
        <v>0</v>
      </c>
      <c r="F23" s="91">
        <f ca="1">IF(RTD("tos.rtd",,$A$2,"."&amp;F$2&amp;F$1&amp;"C"&amp;$A23)="N/A",0,RTD("tos.rtd",,$A$2,"."&amp;F$2&amp;F$1&amp;"C"&amp;$A23))-IF(RTD("tos.rtd",,$A$2,"."&amp;F$2&amp;F$1&amp;"P"&amp;$A23)="N/A",0,RTD("tos.rtd",,$A$2,"."&amp;F$2&amp;F$1&amp;"P"&amp;$A23))</f>
        <v>0</v>
      </c>
      <c r="G23" s="91">
        <f ca="1">IF(RTD("tos.rtd",,$A$2,"."&amp;G$2&amp;G$1&amp;"C"&amp;$A23)="N/A",0,RTD("tos.rtd",,$A$2,"."&amp;G$2&amp;G$1&amp;"C"&amp;$A23))-IF(RTD("tos.rtd",,$A$2,"."&amp;G$2&amp;G$1&amp;"P"&amp;$A23)="N/A",0,RTD("tos.rtd",,$A$2,"."&amp;G$2&amp;G$1&amp;"P"&amp;$A23))</f>
        <v>0</v>
      </c>
      <c r="H23" s="91">
        <f ca="1">IF(RTD("tos.rtd",,$A$2,"."&amp;H$2&amp;H$1&amp;"C"&amp;$A23)="N/A",0,RTD("tos.rtd",,$A$2,"."&amp;H$2&amp;H$1&amp;"C"&amp;$A23))-IF(RTD("tos.rtd",,$A$2,"."&amp;H$2&amp;H$1&amp;"P"&amp;$A23)="N/A",0,RTD("tos.rtd",,$A$2,"."&amp;H$2&amp;H$1&amp;"P"&amp;$A23))</f>
        <v>30</v>
      </c>
      <c r="I23" s="91">
        <f ca="1">IF(RTD("tos.rtd",,$A$2,"."&amp;I$2&amp;I$1&amp;"C"&amp;$A23)="N/A",0,RTD("tos.rtd",,$A$2,"."&amp;I$2&amp;I$1&amp;"C"&amp;$A23))-IF(RTD("tos.rtd",,$A$2,"."&amp;I$2&amp;I$1&amp;"P"&amp;$A23)="N/A",0,RTD("tos.rtd",,$A$2,"."&amp;I$2&amp;I$1&amp;"P"&amp;$A23))</f>
        <v>235</v>
      </c>
      <c r="J23" s="91">
        <f ca="1">IF(RTD("tos.rtd",,$A$2,"."&amp;J$2&amp;J$1&amp;"C"&amp;$A23)="N/A",0,RTD("tos.rtd",,$A$2,"."&amp;J$2&amp;J$1&amp;"C"&amp;$A23))-IF(RTD("tos.rtd",,$A$2,"."&amp;J$2&amp;J$1&amp;"P"&amp;$A23)="N/A",0,RTD("tos.rtd",,$A$2,"."&amp;J$2&amp;J$1&amp;"P"&amp;$A23))</f>
        <v>-64</v>
      </c>
      <c r="K23" s="91">
        <f ca="1">IF(RTD("tos.rtd",,$A$2,"."&amp;K$2&amp;K$1&amp;"C"&amp;$A23)="N/A",0,RTD("tos.rtd",,$A$2,"."&amp;K$2&amp;K$1&amp;"C"&amp;$A23))-IF(RTD("tos.rtd",,$A$2,"."&amp;K$2&amp;K$1&amp;"P"&amp;$A23)="N/A",0,RTD("tos.rtd",,$A$2,"."&amp;K$2&amp;K$1&amp;"P"&amp;$A23))</f>
        <v>173</v>
      </c>
      <c r="L23" s="91">
        <f ca="1">IF(RTD("tos.rtd",,$A$2,"."&amp;L$2&amp;L$1&amp;"C"&amp;$A23)="N/A",0,RTD("tos.rtd",,$A$2,"."&amp;L$2&amp;L$1&amp;"C"&amp;$A23))-IF(RTD("tos.rtd",,$A$2,"."&amp;L$2&amp;L$1&amp;"P"&amp;$A23)="N/A",0,RTD("tos.rtd",,$A$2,"."&amp;L$2&amp;L$1&amp;"P"&amp;$A23))</f>
        <v>102</v>
      </c>
      <c r="M23" s="91">
        <f ca="1">IF(RTD("tos.rtd",,$A$2,"."&amp;M$2&amp;M$1&amp;"C"&amp;$A23)="N/A",0,RTD("tos.rtd",,$A$2,"."&amp;M$2&amp;M$1&amp;"C"&amp;$A23))-IF(RTD("tos.rtd",,$A$2,"."&amp;M$2&amp;M$1&amp;"P"&amp;$A23)="N/A",0,RTD("tos.rtd",,$A$2,"."&amp;M$2&amp;M$1&amp;"P"&amp;$A23))</f>
        <v>0</v>
      </c>
      <c r="N23" s="91">
        <f ca="1">IF(RTD("tos.rtd",,$A$2,"."&amp;N$2&amp;N$1&amp;"C"&amp;$A23)="N/A",0,RTD("tos.rtd",,$A$2,"."&amp;N$2&amp;N$1&amp;"C"&amp;$A23))-IF(RTD("tos.rtd",,$A$2,"."&amp;N$2&amp;N$1&amp;"P"&amp;$A23)="N/A",0,RTD("tos.rtd",,$A$2,"."&amp;N$2&amp;N$1&amp;"P"&amp;$A23))</f>
        <v>-11</v>
      </c>
      <c r="O23" s="91">
        <f ca="1">IF(RTD("tos.rtd",,$A$2,"."&amp;O$2&amp;O$1&amp;"C"&amp;$A23)="N/A",0,RTD("tos.rtd",,$A$2,"."&amp;O$2&amp;O$1&amp;"C"&amp;$A23))-IF(RTD("tos.rtd",,$A$2,"."&amp;O$2&amp;O$1&amp;"P"&amp;$A23)="N/A",0,RTD("tos.rtd",,$A$2,"."&amp;O$2&amp;O$1&amp;"P"&amp;$A23))</f>
        <v>-57</v>
      </c>
      <c r="P23" s="91">
        <f ca="1">IF(RTD("tos.rtd",,$A$2,"."&amp;P$2&amp;P$1&amp;"C"&amp;$A23)="N/A",0,RTD("tos.rtd",,$A$2,"."&amp;P$2&amp;P$1&amp;"C"&amp;$A23))-IF(RTD("tos.rtd",,$A$2,"."&amp;P$2&amp;P$1&amp;"P"&amp;$A23)="N/A",0,RTD("tos.rtd",,$A$2,"."&amp;P$2&amp;P$1&amp;"P"&amp;$A23))</f>
        <v>-11</v>
      </c>
      <c r="Q23" s="91">
        <f ca="1">IF(RTD("tos.rtd",,$A$2,"."&amp;Q$2&amp;Q$1&amp;"C"&amp;$A23)="N/A",0,RTD("tos.rtd",,$A$2,"."&amp;Q$2&amp;Q$1&amp;"C"&amp;$A23))-IF(RTD("tos.rtd",,$A$2,"."&amp;Q$2&amp;Q$1&amp;"P"&amp;$A23)="N/A",0,RTD("tos.rtd",,$A$2,"."&amp;Q$2&amp;Q$1&amp;"P"&amp;$A23))</f>
        <v>0</v>
      </c>
      <c r="R23" s="91">
        <f ca="1">IF(RTD("tos.rtd",,$A$2,"."&amp;R$2&amp;R$1&amp;"C"&amp;$A23)="N/A",0,RTD("tos.rtd",,$A$2,"."&amp;R$2&amp;R$1&amp;"C"&amp;$A23))-IF(RTD("tos.rtd",,$A$2,"."&amp;R$2&amp;R$1&amp;"P"&amp;$A23)="N/A",0,RTD("tos.rtd",,$A$2,"."&amp;R$2&amp;R$1&amp;"P"&amp;$A23))</f>
        <v>0</v>
      </c>
      <c r="S23" s="91">
        <f ca="1">IF(RTD("tos.rtd",,$A$2,"."&amp;S$2&amp;S$1&amp;"C"&amp;$A23)="N/A",0,RTD("tos.rtd",,$A$2,"."&amp;S$2&amp;S$1&amp;"C"&amp;$A23))-IF(RTD("tos.rtd",,$A$2,"."&amp;S$2&amp;S$1&amp;"P"&amp;$A23)="N/A",0,RTD("tos.rtd",,$A$2,"."&amp;S$2&amp;S$1&amp;"P"&amp;$A23))</f>
        <v>0</v>
      </c>
      <c r="T23" s="91">
        <f ca="1">IF(RTD("tos.rtd",,$A$2,"."&amp;T$2&amp;T$1&amp;"C"&amp;$A23)="N/A",0,RTD("tos.rtd",,$A$2,"."&amp;T$2&amp;T$1&amp;"C"&amp;$A23))-IF(RTD("tos.rtd",,$A$2,"."&amp;T$2&amp;T$1&amp;"P"&amp;$A23)="N/A",0,RTD("tos.rtd",,$A$2,"."&amp;T$2&amp;T$1&amp;"P"&amp;$A23))</f>
        <v>-1</v>
      </c>
      <c r="U23" s="91">
        <f ca="1">IF(RTD("tos.rtd",,$A$2,"."&amp;U$2&amp;U$1&amp;"C"&amp;$A23)="N/A",0,RTD("tos.rtd",,$A$2,"."&amp;U$2&amp;U$1&amp;"C"&amp;$A23))-IF(RTD("tos.rtd",,$A$2,"."&amp;U$2&amp;U$1&amp;"P"&amp;$A23)="N/A",0,RTD("tos.rtd",,$A$2,"."&amp;U$2&amp;U$1&amp;"P"&amp;$A23))</f>
        <v>0</v>
      </c>
      <c r="V23" s="91">
        <f ca="1">IF(RTD("tos.rtd",,$A$2,"."&amp;V$2&amp;V$1&amp;"C"&amp;$A23)="N/A",0,RTD("tos.rtd",,$A$2,"."&amp;V$2&amp;V$1&amp;"C"&amp;$A23))-IF(RTD("tos.rtd",,$A$2,"."&amp;V$2&amp;V$1&amp;"P"&amp;$A23)="N/A",0,RTD("tos.rtd",,$A$2,"."&amp;V$2&amp;V$1&amp;"P"&amp;$A23))</f>
        <v>0</v>
      </c>
      <c r="W23" s="91">
        <f ca="1">IF(RTD("tos.rtd",,$A$2,"."&amp;W$2&amp;W$1&amp;"C"&amp;$A23)="N/A",0,RTD("tos.rtd",,$A$2,"."&amp;W$2&amp;W$1&amp;"C"&amp;$A23))-IF(RTD("tos.rtd",,$A$2,"."&amp;W$2&amp;W$1&amp;"P"&amp;$A23)="N/A",0,RTD("tos.rtd",,$A$2,"."&amp;W$2&amp;W$1&amp;"P"&amp;$A23))</f>
        <v>0</v>
      </c>
      <c r="X23" s="91">
        <f ca="1">IF(RTD("tos.rtd",,$A$2,"."&amp;X$2&amp;X$1&amp;"C"&amp;$A23)="N/A",0,RTD("tos.rtd",,$A$2,"."&amp;X$2&amp;X$1&amp;"C"&amp;$A23))-IF(RTD("tos.rtd",,$A$2,"."&amp;X$2&amp;X$1&amp;"P"&amp;$A23)="N/A",0,RTD("tos.rtd",,$A$2,"."&amp;X$2&amp;X$1&amp;"P"&amp;$A23))</f>
        <v>3</v>
      </c>
      <c r="Y23" s="98">
        <f t="shared" ca="1" si="3"/>
        <v>399</v>
      </c>
    </row>
    <row r="24" spans="1:25" x14ac:dyDescent="0.25">
      <c r="A24" s="93">
        <f>+Hoja1!A23</f>
        <v>563</v>
      </c>
      <c r="B24" s="91">
        <f ca="1">IF(RTD("tos.rtd",,$A$2,"."&amp;B$2&amp;B$1&amp;"C"&amp;$A24)="N/A",0,RTD("tos.rtd",,$A$2,"."&amp;B$2&amp;B$1&amp;"C"&amp;$A24))-IF(RTD("tos.rtd",,$A$2,"."&amp;B$2&amp;B$1&amp;"P"&amp;$A24)="N/A",0,RTD("tos.rtd",,$A$2,"."&amp;B$2&amp;B$1&amp;"P"&amp;$A24))</f>
        <v>0</v>
      </c>
      <c r="C24" s="91">
        <f ca="1">IF(RTD("tos.rtd",,$A$2,"."&amp;C$2&amp;C$1&amp;"C"&amp;$A24)="N/A",0,RTD("tos.rtd",,$A$2,"."&amp;C$2&amp;C$1&amp;"C"&amp;$A24))-IF(RTD("tos.rtd",,$A$2,"."&amp;C$2&amp;C$1&amp;"P"&amp;$A24)="N/A",0,RTD("tos.rtd",,$A$2,"."&amp;C$2&amp;C$1&amp;"P"&amp;$A24))</f>
        <v>0</v>
      </c>
      <c r="D24" s="91">
        <f ca="1">IF(RTD("tos.rtd",,$A$2,"."&amp;D$2&amp;D$1&amp;"C"&amp;$A24)="N/A",0,RTD("tos.rtd",,$A$2,"."&amp;D$2&amp;D$1&amp;"C"&amp;$A24))-IF(RTD("tos.rtd",,$A$2,"."&amp;D$2&amp;D$1&amp;"P"&amp;$A24)="N/A",0,RTD("tos.rtd",,$A$2,"."&amp;D$2&amp;D$1&amp;"P"&amp;$A24))</f>
        <v>0</v>
      </c>
      <c r="E24" s="91">
        <f ca="1">IF(RTD("tos.rtd",,$A$2,"."&amp;E$2&amp;E$1&amp;"C"&amp;$A24)="N/A",0,RTD("tos.rtd",,$A$2,"."&amp;E$2&amp;E$1&amp;"C"&amp;$A24))-IF(RTD("tos.rtd",,$A$2,"."&amp;E$2&amp;E$1&amp;"P"&amp;$A24)="N/A",0,RTD("tos.rtd",,$A$2,"."&amp;E$2&amp;E$1&amp;"P"&amp;$A24))</f>
        <v>0</v>
      </c>
      <c r="F24" s="91">
        <f ca="1">IF(RTD("tos.rtd",,$A$2,"."&amp;F$2&amp;F$1&amp;"C"&amp;$A24)="N/A",0,RTD("tos.rtd",,$A$2,"."&amp;F$2&amp;F$1&amp;"C"&amp;$A24))-IF(RTD("tos.rtd",,$A$2,"."&amp;F$2&amp;F$1&amp;"P"&amp;$A24)="N/A",0,RTD("tos.rtd",,$A$2,"."&amp;F$2&amp;F$1&amp;"P"&amp;$A24))</f>
        <v>0</v>
      </c>
      <c r="G24" s="91">
        <f ca="1">IF(RTD("tos.rtd",,$A$2,"."&amp;G$2&amp;G$1&amp;"C"&amp;$A24)="N/A",0,RTD("tos.rtd",,$A$2,"."&amp;G$2&amp;G$1&amp;"C"&amp;$A24))-IF(RTD("tos.rtd",,$A$2,"."&amp;G$2&amp;G$1&amp;"P"&amp;$A24)="N/A",0,RTD("tos.rtd",,$A$2,"."&amp;G$2&amp;G$1&amp;"P"&amp;$A24))</f>
        <v>0</v>
      </c>
      <c r="H24" s="91">
        <f ca="1">IF(RTD("tos.rtd",,$A$2,"."&amp;H$2&amp;H$1&amp;"C"&amp;$A24)="N/A",0,RTD("tos.rtd",,$A$2,"."&amp;H$2&amp;H$1&amp;"C"&amp;$A24))-IF(RTD("tos.rtd",,$A$2,"."&amp;H$2&amp;H$1&amp;"P"&amp;$A24)="N/A",0,RTD("tos.rtd",,$A$2,"."&amp;H$2&amp;H$1&amp;"P"&amp;$A24))</f>
        <v>-3760</v>
      </c>
      <c r="I24" s="91">
        <f ca="1">IF(RTD("tos.rtd",,$A$2,"."&amp;I$2&amp;I$1&amp;"C"&amp;$A24)="N/A",0,RTD("tos.rtd",,$A$2,"."&amp;I$2&amp;I$1&amp;"C"&amp;$A24))-IF(RTD("tos.rtd",,$A$2,"."&amp;I$2&amp;I$1&amp;"P"&amp;$A24)="N/A",0,RTD("tos.rtd",,$A$2,"."&amp;I$2&amp;I$1&amp;"P"&amp;$A24))</f>
        <v>-11</v>
      </c>
      <c r="J24" s="91">
        <f ca="1">IF(RTD("tos.rtd",,$A$2,"."&amp;J$2&amp;J$1&amp;"C"&amp;$A24)="N/A",0,RTD("tos.rtd",,$A$2,"."&amp;J$2&amp;J$1&amp;"C"&amp;$A24))-IF(RTD("tos.rtd",,$A$2,"."&amp;J$2&amp;J$1&amp;"P"&amp;$A24)="N/A",0,RTD("tos.rtd",,$A$2,"."&amp;J$2&amp;J$1&amp;"P"&amp;$A24))</f>
        <v>255</v>
      </c>
      <c r="K24" s="91">
        <f ca="1">IF(RTD("tos.rtd",,$A$2,"."&amp;K$2&amp;K$1&amp;"C"&amp;$A24)="N/A",0,RTD("tos.rtd",,$A$2,"."&amp;K$2&amp;K$1&amp;"C"&amp;$A24))-IF(RTD("tos.rtd",,$A$2,"."&amp;K$2&amp;K$1&amp;"P"&amp;$A24)="N/A",0,RTD("tos.rtd",,$A$2,"."&amp;K$2&amp;K$1&amp;"P"&amp;$A24))</f>
        <v>-1</v>
      </c>
      <c r="L24" s="91">
        <f ca="1">IF(RTD("tos.rtd",,$A$2,"."&amp;L$2&amp;L$1&amp;"C"&amp;$A24)="N/A",0,RTD("tos.rtd",,$A$2,"."&amp;L$2&amp;L$1&amp;"C"&amp;$A24))-IF(RTD("tos.rtd",,$A$2,"."&amp;L$2&amp;L$1&amp;"P"&amp;$A24)="N/A",0,RTD("tos.rtd",,$A$2,"."&amp;L$2&amp;L$1&amp;"P"&amp;$A24))</f>
        <v>52</v>
      </c>
      <c r="M24" s="91">
        <f ca="1">IF(RTD("tos.rtd",,$A$2,"."&amp;M$2&amp;M$1&amp;"C"&amp;$A24)="N/A",0,RTD("tos.rtd",,$A$2,"."&amp;M$2&amp;M$1&amp;"C"&amp;$A24))-IF(RTD("tos.rtd",,$A$2,"."&amp;M$2&amp;M$1&amp;"P"&amp;$A24)="N/A",0,RTD("tos.rtd",,$A$2,"."&amp;M$2&amp;M$1&amp;"P"&amp;$A24))</f>
        <v>0</v>
      </c>
      <c r="N24" s="91">
        <f ca="1">IF(RTD("tos.rtd",,$A$2,"."&amp;N$2&amp;N$1&amp;"C"&amp;$A24)="N/A",0,RTD("tos.rtd",,$A$2,"."&amp;N$2&amp;N$1&amp;"C"&amp;$A24))-IF(RTD("tos.rtd",,$A$2,"."&amp;N$2&amp;N$1&amp;"P"&amp;$A24)="N/A",0,RTD("tos.rtd",,$A$2,"."&amp;N$2&amp;N$1&amp;"P"&amp;$A24))</f>
        <v>-14</v>
      </c>
      <c r="O24" s="91">
        <f ca="1">IF(RTD("tos.rtd",,$A$2,"."&amp;O$2&amp;O$1&amp;"C"&amp;$A24)="N/A",0,RTD("tos.rtd",,$A$2,"."&amp;O$2&amp;O$1&amp;"C"&amp;$A24))-IF(RTD("tos.rtd",,$A$2,"."&amp;O$2&amp;O$1&amp;"P"&amp;$A24)="N/A",0,RTD("tos.rtd",,$A$2,"."&amp;O$2&amp;O$1&amp;"P"&amp;$A24))</f>
        <v>15</v>
      </c>
      <c r="P24" s="91">
        <f ca="1">IF(RTD("tos.rtd",,$A$2,"."&amp;P$2&amp;P$1&amp;"C"&amp;$A24)="N/A",0,RTD("tos.rtd",,$A$2,"."&amp;P$2&amp;P$1&amp;"C"&amp;$A24))-IF(RTD("tos.rtd",,$A$2,"."&amp;P$2&amp;P$1&amp;"P"&amp;$A24)="N/A",0,RTD("tos.rtd",,$A$2,"."&amp;P$2&amp;P$1&amp;"P"&amp;$A24))</f>
        <v>0</v>
      </c>
      <c r="Q24" s="91">
        <f ca="1">IF(RTD("tos.rtd",,$A$2,"."&amp;Q$2&amp;Q$1&amp;"C"&amp;$A24)="N/A",0,RTD("tos.rtd",,$A$2,"."&amp;Q$2&amp;Q$1&amp;"C"&amp;$A24))-IF(RTD("tos.rtd",,$A$2,"."&amp;Q$2&amp;Q$1&amp;"P"&amp;$A24)="N/A",0,RTD("tos.rtd",,$A$2,"."&amp;Q$2&amp;Q$1&amp;"P"&amp;$A24))</f>
        <v>0</v>
      </c>
      <c r="R24" s="91">
        <f ca="1">IF(RTD("tos.rtd",,$A$2,"."&amp;R$2&amp;R$1&amp;"C"&amp;$A24)="N/A",0,RTD("tos.rtd",,$A$2,"."&amp;R$2&amp;R$1&amp;"C"&amp;$A24))-IF(RTD("tos.rtd",,$A$2,"."&amp;R$2&amp;R$1&amp;"P"&amp;$A24)="N/A",0,RTD("tos.rtd",,$A$2,"."&amp;R$2&amp;R$1&amp;"P"&amp;$A24))</f>
        <v>0</v>
      </c>
      <c r="S24" s="91">
        <f ca="1">IF(RTD("tos.rtd",,$A$2,"."&amp;S$2&amp;S$1&amp;"C"&amp;$A24)="N/A",0,RTD("tos.rtd",,$A$2,"."&amp;S$2&amp;S$1&amp;"C"&amp;$A24))-IF(RTD("tos.rtd",,$A$2,"."&amp;S$2&amp;S$1&amp;"P"&amp;$A24)="N/A",0,RTD("tos.rtd",,$A$2,"."&amp;S$2&amp;S$1&amp;"P"&amp;$A24))</f>
        <v>0</v>
      </c>
      <c r="T24" s="91">
        <f ca="1">IF(RTD("tos.rtd",,$A$2,"."&amp;T$2&amp;T$1&amp;"C"&amp;$A24)="N/A",0,RTD("tos.rtd",,$A$2,"."&amp;T$2&amp;T$1&amp;"C"&amp;$A24))-IF(RTD("tos.rtd",,$A$2,"."&amp;T$2&amp;T$1&amp;"P"&amp;$A24)="N/A",0,RTD("tos.rtd",,$A$2,"."&amp;T$2&amp;T$1&amp;"P"&amp;$A24))</f>
        <v>-7</v>
      </c>
      <c r="U24" s="91">
        <f ca="1">IF(RTD("tos.rtd",,$A$2,"."&amp;U$2&amp;U$1&amp;"C"&amp;$A24)="N/A",0,RTD("tos.rtd",,$A$2,"."&amp;U$2&amp;U$1&amp;"C"&amp;$A24))-IF(RTD("tos.rtd",,$A$2,"."&amp;U$2&amp;U$1&amp;"P"&amp;$A24)="N/A",0,RTD("tos.rtd",,$A$2,"."&amp;U$2&amp;U$1&amp;"P"&amp;$A24))</f>
        <v>0</v>
      </c>
      <c r="V24" s="91">
        <f ca="1">IF(RTD("tos.rtd",,$A$2,"."&amp;V$2&amp;V$1&amp;"C"&amp;$A24)="N/A",0,RTD("tos.rtd",,$A$2,"."&amp;V$2&amp;V$1&amp;"C"&amp;$A24))-IF(RTD("tos.rtd",,$A$2,"."&amp;V$2&amp;V$1&amp;"P"&amp;$A24)="N/A",0,RTD("tos.rtd",,$A$2,"."&amp;V$2&amp;V$1&amp;"P"&amp;$A24))</f>
        <v>0</v>
      </c>
      <c r="W24" s="91">
        <f ca="1">IF(RTD("tos.rtd",,$A$2,"."&amp;W$2&amp;W$1&amp;"C"&amp;$A24)="N/A",0,RTD("tos.rtd",,$A$2,"."&amp;W$2&amp;W$1&amp;"C"&amp;$A24))-IF(RTD("tos.rtd",,$A$2,"."&amp;W$2&amp;W$1&amp;"P"&amp;$A24)="N/A",0,RTD("tos.rtd",,$A$2,"."&amp;W$2&amp;W$1&amp;"P"&amp;$A24))</f>
        <v>0</v>
      </c>
      <c r="X24" s="91">
        <f ca="1">IF(RTD("tos.rtd",,$A$2,"."&amp;X$2&amp;X$1&amp;"C"&amp;$A24)="N/A",0,RTD("tos.rtd",,$A$2,"."&amp;X$2&amp;X$1&amp;"C"&amp;$A24))-IF(RTD("tos.rtd",,$A$2,"."&amp;X$2&amp;X$1&amp;"P"&amp;$A24)="N/A",0,RTD("tos.rtd",,$A$2,"."&amp;X$2&amp;X$1&amp;"P"&amp;$A24))</f>
        <v>-6</v>
      </c>
      <c r="Y24" s="98">
        <f t="shared" ca="1" si="3"/>
        <v>-3477</v>
      </c>
    </row>
    <row r="25" spans="1:25" x14ac:dyDescent="0.25">
      <c r="A25" s="93">
        <f>+Hoja1!A24</f>
        <v>562</v>
      </c>
      <c r="B25" s="91">
        <f ca="1">IF(RTD("tos.rtd",,$A$2,"."&amp;B$2&amp;B$1&amp;"C"&amp;$A25)="N/A",0,RTD("tos.rtd",,$A$2,"."&amp;B$2&amp;B$1&amp;"C"&amp;$A25))-IF(RTD("tos.rtd",,$A$2,"."&amp;B$2&amp;B$1&amp;"P"&amp;$A25)="N/A",0,RTD("tos.rtd",,$A$2,"."&amp;B$2&amp;B$1&amp;"P"&amp;$A25))</f>
        <v>0</v>
      </c>
      <c r="C25" s="91">
        <f ca="1">IF(RTD("tos.rtd",,$A$2,"."&amp;C$2&amp;C$1&amp;"C"&amp;$A25)="N/A",0,RTD("tos.rtd",,$A$2,"."&amp;C$2&amp;C$1&amp;"C"&amp;$A25))-IF(RTD("tos.rtd",,$A$2,"."&amp;C$2&amp;C$1&amp;"P"&amp;$A25)="N/A",0,RTD("tos.rtd",,$A$2,"."&amp;C$2&amp;C$1&amp;"P"&amp;$A25))</f>
        <v>0</v>
      </c>
      <c r="D25" s="91">
        <f ca="1">IF(RTD("tos.rtd",,$A$2,"."&amp;D$2&amp;D$1&amp;"C"&amp;$A25)="N/A",0,RTD("tos.rtd",,$A$2,"."&amp;D$2&amp;D$1&amp;"C"&amp;$A25))-IF(RTD("tos.rtd",,$A$2,"."&amp;D$2&amp;D$1&amp;"P"&amp;$A25)="N/A",0,RTD("tos.rtd",,$A$2,"."&amp;D$2&amp;D$1&amp;"P"&amp;$A25))</f>
        <v>0</v>
      </c>
      <c r="E25" s="91">
        <f ca="1">IF(RTD("tos.rtd",,$A$2,"."&amp;E$2&amp;E$1&amp;"C"&amp;$A25)="N/A",0,RTD("tos.rtd",,$A$2,"."&amp;E$2&amp;E$1&amp;"C"&amp;$A25))-IF(RTD("tos.rtd",,$A$2,"."&amp;E$2&amp;E$1&amp;"P"&amp;$A25)="N/A",0,RTD("tos.rtd",,$A$2,"."&amp;E$2&amp;E$1&amp;"P"&amp;$A25))</f>
        <v>0</v>
      </c>
      <c r="F25" s="91">
        <f ca="1">IF(RTD("tos.rtd",,$A$2,"."&amp;F$2&amp;F$1&amp;"C"&amp;$A25)="N/A",0,RTD("tos.rtd",,$A$2,"."&amp;F$2&amp;F$1&amp;"C"&amp;$A25))-IF(RTD("tos.rtd",,$A$2,"."&amp;F$2&amp;F$1&amp;"P"&amp;$A25)="N/A",0,RTD("tos.rtd",,$A$2,"."&amp;F$2&amp;F$1&amp;"P"&amp;$A25))</f>
        <v>0</v>
      </c>
      <c r="G25" s="91">
        <f ca="1">IF(RTD("tos.rtd",,$A$2,"."&amp;G$2&amp;G$1&amp;"C"&amp;$A25)="N/A",0,RTD("tos.rtd",,$A$2,"."&amp;G$2&amp;G$1&amp;"C"&amp;$A25))-IF(RTD("tos.rtd",,$A$2,"."&amp;G$2&amp;G$1&amp;"P"&amp;$A25)="N/A",0,RTD("tos.rtd",,$A$2,"."&amp;G$2&amp;G$1&amp;"P"&amp;$A25))</f>
        <v>0</v>
      </c>
      <c r="H25" s="91">
        <f ca="1">IF(RTD("tos.rtd",,$A$2,"."&amp;H$2&amp;H$1&amp;"C"&amp;$A25)="N/A",0,RTD("tos.rtd",,$A$2,"."&amp;H$2&amp;H$1&amp;"C"&amp;$A25))-IF(RTD("tos.rtd",,$A$2,"."&amp;H$2&amp;H$1&amp;"P"&amp;$A25)="N/A",0,RTD("tos.rtd",,$A$2,"."&amp;H$2&amp;H$1&amp;"P"&amp;$A25))</f>
        <v>647</v>
      </c>
      <c r="I25" s="91">
        <f ca="1">IF(RTD("tos.rtd",,$A$2,"."&amp;I$2&amp;I$1&amp;"C"&amp;$A25)="N/A",0,RTD("tos.rtd",,$A$2,"."&amp;I$2&amp;I$1&amp;"C"&amp;$A25))-IF(RTD("tos.rtd",,$A$2,"."&amp;I$2&amp;I$1&amp;"P"&amp;$A25)="N/A",0,RTD("tos.rtd",,$A$2,"."&amp;I$2&amp;I$1&amp;"P"&amp;$A25))</f>
        <v>541</v>
      </c>
      <c r="J25" s="91">
        <f ca="1">IF(RTD("tos.rtd",,$A$2,"."&amp;J$2&amp;J$1&amp;"C"&amp;$A25)="N/A",0,RTD("tos.rtd",,$A$2,"."&amp;J$2&amp;J$1&amp;"C"&amp;$A25))-IF(RTD("tos.rtd",,$A$2,"."&amp;J$2&amp;J$1&amp;"P"&amp;$A25)="N/A",0,RTD("tos.rtd",,$A$2,"."&amp;J$2&amp;J$1&amp;"P"&amp;$A25))</f>
        <v>-218</v>
      </c>
      <c r="K25" s="91">
        <f ca="1">IF(RTD("tos.rtd",,$A$2,"."&amp;K$2&amp;K$1&amp;"C"&amp;$A25)="N/A",0,RTD("tos.rtd",,$A$2,"."&amp;K$2&amp;K$1&amp;"C"&amp;$A25))-IF(RTD("tos.rtd",,$A$2,"."&amp;K$2&amp;K$1&amp;"P"&amp;$A25)="N/A",0,RTD("tos.rtd",,$A$2,"."&amp;K$2&amp;K$1&amp;"P"&amp;$A25))</f>
        <v>122</v>
      </c>
      <c r="L25" s="91">
        <f ca="1">IF(RTD("tos.rtd",,$A$2,"."&amp;L$2&amp;L$1&amp;"C"&amp;$A25)="N/A",0,RTD("tos.rtd",,$A$2,"."&amp;L$2&amp;L$1&amp;"C"&amp;$A25))-IF(RTD("tos.rtd",,$A$2,"."&amp;L$2&amp;L$1&amp;"P"&amp;$A25)="N/A",0,RTD("tos.rtd",,$A$2,"."&amp;L$2&amp;L$1&amp;"P"&amp;$A25))</f>
        <v>-81</v>
      </c>
      <c r="M25" s="91">
        <f ca="1">IF(RTD("tos.rtd",,$A$2,"."&amp;M$2&amp;M$1&amp;"C"&amp;$A25)="N/A",0,RTD("tos.rtd",,$A$2,"."&amp;M$2&amp;M$1&amp;"C"&amp;$A25))-IF(RTD("tos.rtd",,$A$2,"."&amp;M$2&amp;M$1&amp;"P"&amp;$A25)="N/A",0,RTD("tos.rtd",,$A$2,"."&amp;M$2&amp;M$1&amp;"P"&amp;$A25))</f>
        <v>0</v>
      </c>
      <c r="N25" s="91">
        <f ca="1">IF(RTD("tos.rtd",,$A$2,"."&amp;N$2&amp;N$1&amp;"C"&amp;$A25)="N/A",0,RTD("tos.rtd",,$A$2,"."&amp;N$2&amp;N$1&amp;"C"&amp;$A25))-IF(RTD("tos.rtd",,$A$2,"."&amp;N$2&amp;N$1&amp;"P"&amp;$A25)="N/A",0,RTD("tos.rtd",,$A$2,"."&amp;N$2&amp;N$1&amp;"P"&amp;$A25))</f>
        <v>-13</v>
      </c>
      <c r="O25" s="91">
        <f ca="1">IF(RTD("tos.rtd",,$A$2,"."&amp;O$2&amp;O$1&amp;"C"&amp;$A25)="N/A",0,RTD("tos.rtd",,$A$2,"."&amp;O$2&amp;O$1&amp;"C"&amp;$A25))-IF(RTD("tos.rtd",,$A$2,"."&amp;O$2&amp;O$1&amp;"P"&amp;$A25)="N/A",0,RTD("tos.rtd",,$A$2,"."&amp;O$2&amp;O$1&amp;"P"&amp;$A25))</f>
        <v>-40</v>
      </c>
      <c r="P25" s="91">
        <f ca="1">IF(RTD("tos.rtd",,$A$2,"."&amp;P$2&amp;P$1&amp;"C"&amp;$A25)="N/A",0,RTD("tos.rtd",,$A$2,"."&amp;P$2&amp;P$1&amp;"C"&amp;$A25))-IF(RTD("tos.rtd",,$A$2,"."&amp;P$2&amp;P$1&amp;"P"&amp;$A25)="N/A",0,RTD("tos.rtd",,$A$2,"."&amp;P$2&amp;P$1&amp;"P"&amp;$A25))</f>
        <v>20</v>
      </c>
      <c r="Q25" s="91">
        <f ca="1">IF(RTD("tos.rtd",,$A$2,"."&amp;Q$2&amp;Q$1&amp;"C"&amp;$A25)="N/A",0,RTD("tos.rtd",,$A$2,"."&amp;Q$2&amp;Q$1&amp;"C"&amp;$A25))-IF(RTD("tos.rtd",,$A$2,"."&amp;Q$2&amp;Q$1&amp;"P"&amp;$A25)="N/A",0,RTD("tos.rtd",,$A$2,"."&amp;Q$2&amp;Q$1&amp;"P"&amp;$A25))</f>
        <v>0</v>
      </c>
      <c r="R25" s="91">
        <f ca="1">IF(RTD("tos.rtd",,$A$2,"."&amp;R$2&amp;R$1&amp;"C"&amp;$A25)="N/A",0,RTD("tos.rtd",,$A$2,"."&amp;R$2&amp;R$1&amp;"C"&amp;$A25))-IF(RTD("tos.rtd",,$A$2,"."&amp;R$2&amp;R$1&amp;"P"&amp;$A25)="N/A",0,RTD("tos.rtd",,$A$2,"."&amp;R$2&amp;R$1&amp;"P"&amp;$A25))</f>
        <v>6</v>
      </c>
      <c r="S25" s="91">
        <f ca="1">IF(RTD("tos.rtd",,$A$2,"."&amp;S$2&amp;S$1&amp;"C"&amp;$A25)="N/A",0,RTD("tos.rtd",,$A$2,"."&amp;S$2&amp;S$1&amp;"C"&amp;$A25))-IF(RTD("tos.rtd",,$A$2,"."&amp;S$2&amp;S$1&amp;"P"&amp;$A25)="N/A",0,RTD("tos.rtd",,$A$2,"."&amp;S$2&amp;S$1&amp;"P"&amp;$A25))</f>
        <v>0</v>
      </c>
      <c r="T25" s="91">
        <f ca="1">IF(RTD("tos.rtd",,$A$2,"."&amp;T$2&amp;T$1&amp;"C"&amp;$A25)="N/A",0,RTD("tos.rtd",,$A$2,"."&amp;T$2&amp;T$1&amp;"C"&amp;$A25))-IF(RTD("tos.rtd",,$A$2,"."&amp;T$2&amp;T$1&amp;"P"&amp;$A25)="N/A",0,RTD("tos.rtd",,$A$2,"."&amp;T$2&amp;T$1&amp;"P"&amp;$A25))</f>
        <v>-1</v>
      </c>
      <c r="U25" s="91">
        <f ca="1">IF(RTD("tos.rtd",,$A$2,"."&amp;U$2&amp;U$1&amp;"C"&amp;$A25)="N/A",0,RTD("tos.rtd",,$A$2,"."&amp;U$2&amp;U$1&amp;"C"&amp;$A25))-IF(RTD("tos.rtd",,$A$2,"."&amp;U$2&amp;U$1&amp;"P"&amp;$A25)="N/A",0,RTD("tos.rtd",,$A$2,"."&amp;U$2&amp;U$1&amp;"P"&amp;$A25))</f>
        <v>0</v>
      </c>
      <c r="V25" s="91">
        <f ca="1">IF(RTD("tos.rtd",,$A$2,"."&amp;V$2&amp;V$1&amp;"C"&amp;$A25)="N/A",0,RTD("tos.rtd",,$A$2,"."&amp;V$2&amp;V$1&amp;"C"&amp;$A25))-IF(RTD("tos.rtd",,$A$2,"."&amp;V$2&amp;V$1&amp;"P"&amp;$A25)="N/A",0,RTD("tos.rtd",,$A$2,"."&amp;V$2&amp;V$1&amp;"P"&amp;$A25))</f>
        <v>0</v>
      </c>
      <c r="W25" s="91">
        <f ca="1">IF(RTD("tos.rtd",,$A$2,"."&amp;W$2&amp;W$1&amp;"C"&amp;$A25)="N/A",0,RTD("tos.rtd",,$A$2,"."&amp;W$2&amp;W$1&amp;"C"&amp;$A25))-IF(RTD("tos.rtd",,$A$2,"."&amp;W$2&amp;W$1&amp;"P"&amp;$A25)="N/A",0,RTD("tos.rtd",,$A$2,"."&amp;W$2&amp;W$1&amp;"P"&amp;$A25))</f>
        <v>0</v>
      </c>
      <c r="X25" s="91">
        <f ca="1">IF(RTD("tos.rtd",,$A$2,"."&amp;X$2&amp;X$1&amp;"C"&amp;$A25)="N/A",0,RTD("tos.rtd",,$A$2,"."&amp;X$2&amp;X$1&amp;"C"&amp;$A25))-IF(RTD("tos.rtd",,$A$2,"."&amp;X$2&amp;X$1&amp;"P"&amp;$A25)="N/A",0,RTD("tos.rtd",,$A$2,"."&amp;X$2&amp;X$1&amp;"P"&amp;$A25))</f>
        <v>-8</v>
      </c>
      <c r="Y25" s="98">
        <f t="shared" ca="1" si="3"/>
        <v>975</v>
      </c>
    </row>
    <row r="26" spans="1:25" x14ac:dyDescent="0.25">
      <c r="A26" s="93">
        <f>+Hoja1!A25</f>
        <v>561</v>
      </c>
      <c r="B26" s="91">
        <f ca="1">IF(RTD("tos.rtd",,$A$2,"."&amp;B$2&amp;B$1&amp;"C"&amp;$A26)="N/A",0,RTD("tos.rtd",,$A$2,"."&amp;B$2&amp;B$1&amp;"C"&amp;$A26))-IF(RTD("tos.rtd",,$A$2,"."&amp;B$2&amp;B$1&amp;"P"&amp;$A26)="N/A",0,RTD("tos.rtd",,$A$2,"."&amp;B$2&amp;B$1&amp;"P"&amp;$A26))</f>
        <v>0</v>
      </c>
      <c r="C26" s="91">
        <f ca="1">IF(RTD("tos.rtd",,$A$2,"."&amp;C$2&amp;C$1&amp;"C"&amp;$A26)="N/A",0,RTD("tos.rtd",,$A$2,"."&amp;C$2&amp;C$1&amp;"C"&amp;$A26))-IF(RTD("tos.rtd",,$A$2,"."&amp;C$2&amp;C$1&amp;"P"&amp;$A26)="N/A",0,RTD("tos.rtd",,$A$2,"."&amp;C$2&amp;C$1&amp;"P"&amp;$A26))</f>
        <v>0</v>
      </c>
      <c r="D26" s="91">
        <f ca="1">IF(RTD("tos.rtd",,$A$2,"."&amp;D$2&amp;D$1&amp;"C"&amp;$A26)="N/A",0,RTD("tos.rtd",,$A$2,"."&amp;D$2&amp;D$1&amp;"C"&amp;$A26))-IF(RTD("tos.rtd",,$A$2,"."&amp;D$2&amp;D$1&amp;"P"&amp;$A26)="N/A",0,RTD("tos.rtd",,$A$2,"."&amp;D$2&amp;D$1&amp;"P"&amp;$A26))</f>
        <v>0</v>
      </c>
      <c r="E26" s="91">
        <f ca="1">IF(RTD("tos.rtd",,$A$2,"."&amp;E$2&amp;E$1&amp;"C"&amp;$A26)="N/A",0,RTD("tos.rtd",,$A$2,"."&amp;E$2&amp;E$1&amp;"C"&amp;$A26))-IF(RTD("tos.rtd",,$A$2,"."&amp;E$2&amp;E$1&amp;"P"&amp;$A26)="N/A",0,RTD("tos.rtd",,$A$2,"."&amp;E$2&amp;E$1&amp;"P"&amp;$A26))</f>
        <v>0</v>
      </c>
      <c r="F26" s="91">
        <f ca="1">IF(RTD("tos.rtd",,$A$2,"."&amp;F$2&amp;F$1&amp;"C"&amp;$A26)="N/A",0,RTD("tos.rtd",,$A$2,"."&amp;F$2&amp;F$1&amp;"C"&amp;$A26))-IF(RTD("tos.rtd",,$A$2,"."&amp;F$2&amp;F$1&amp;"P"&amp;$A26)="N/A",0,RTD("tos.rtd",,$A$2,"."&amp;F$2&amp;F$1&amp;"P"&amp;$A26))</f>
        <v>0</v>
      </c>
      <c r="G26" s="91">
        <f ca="1">IF(RTD("tos.rtd",,$A$2,"."&amp;G$2&amp;G$1&amp;"C"&amp;$A26)="N/A",0,RTD("tos.rtd",,$A$2,"."&amp;G$2&amp;G$1&amp;"C"&amp;$A26))-IF(RTD("tos.rtd",,$A$2,"."&amp;G$2&amp;G$1&amp;"P"&amp;$A26)="N/A",0,RTD("tos.rtd",,$A$2,"."&amp;G$2&amp;G$1&amp;"P"&amp;$A26))</f>
        <v>0</v>
      </c>
      <c r="H26" s="91">
        <f ca="1">IF(RTD("tos.rtd",,$A$2,"."&amp;H$2&amp;H$1&amp;"C"&amp;$A26)="N/A",0,RTD("tos.rtd",,$A$2,"."&amp;H$2&amp;H$1&amp;"C"&amp;$A26))-IF(RTD("tos.rtd",,$A$2,"."&amp;H$2&amp;H$1&amp;"P"&amp;$A26)="N/A",0,RTD("tos.rtd",,$A$2,"."&amp;H$2&amp;H$1&amp;"P"&amp;$A26))</f>
        <v>311</v>
      </c>
      <c r="I26" s="91">
        <f ca="1">IF(RTD("tos.rtd",,$A$2,"."&amp;I$2&amp;I$1&amp;"C"&amp;$A26)="N/A",0,RTD("tos.rtd",,$A$2,"."&amp;I$2&amp;I$1&amp;"C"&amp;$A26))-IF(RTD("tos.rtd",,$A$2,"."&amp;I$2&amp;I$1&amp;"P"&amp;$A26)="N/A",0,RTD("tos.rtd",,$A$2,"."&amp;I$2&amp;I$1&amp;"P"&amp;$A26))</f>
        <v>-716</v>
      </c>
      <c r="J26" s="91">
        <f ca="1">IF(RTD("tos.rtd",,$A$2,"."&amp;J$2&amp;J$1&amp;"C"&amp;$A26)="N/A",0,RTD("tos.rtd",,$A$2,"."&amp;J$2&amp;J$1&amp;"C"&amp;$A26))-IF(RTD("tos.rtd",,$A$2,"."&amp;J$2&amp;J$1&amp;"P"&amp;$A26)="N/A",0,RTD("tos.rtd",,$A$2,"."&amp;J$2&amp;J$1&amp;"P"&amp;$A26))</f>
        <v>-247</v>
      </c>
      <c r="K26" s="91">
        <f ca="1">IF(RTD("tos.rtd",,$A$2,"."&amp;K$2&amp;K$1&amp;"C"&amp;$A26)="N/A",0,RTD("tos.rtd",,$A$2,"."&amp;K$2&amp;K$1&amp;"C"&amp;$A26))-IF(RTD("tos.rtd",,$A$2,"."&amp;K$2&amp;K$1&amp;"P"&amp;$A26)="N/A",0,RTD("tos.rtd",,$A$2,"."&amp;K$2&amp;K$1&amp;"P"&amp;$A26))</f>
        <v>171</v>
      </c>
      <c r="L26" s="91">
        <f ca="1">IF(RTD("tos.rtd",,$A$2,"."&amp;L$2&amp;L$1&amp;"C"&amp;$A26)="N/A",0,RTD("tos.rtd",,$A$2,"."&amp;L$2&amp;L$1&amp;"C"&amp;$A26))-IF(RTD("tos.rtd",,$A$2,"."&amp;L$2&amp;L$1&amp;"P"&amp;$A26)="N/A",0,RTD("tos.rtd",,$A$2,"."&amp;L$2&amp;L$1&amp;"P"&amp;$A26))</f>
        <v>-207</v>
      </c>
      <c r="M26" s="91">
        <f ca="1">IF(RTD("tos.rtd",,$A$2,"."&amp;M$2&amp;M$1&amp;"C"&amp;$A26)="N/A",0,RTD("tos.rtd",,$A$2,"."&amp;M$2&amp;M$1&amp;"C"&amp;$A26))-IF(RTD("tos.rtd",,$A$2,"."&amp;M$2&amp;M$1&amp;"P"&amp;$A26)="N/A",0,RTD("tos.rtd",,$A$2,"."&amp;M$2&amp;M$1&amp;"P"&amp;$A26))</f>
        <v>0</v>
      </c>
      <c r="N26" s="91">
        <f ca="1">IF(RTD("tos.rtd",,$A$2,"."&amp;N$2&amp;N$1&amp;"C"&amp;$A26)="N/A",0,RTD("tos.rtd",,$A$2,"."&amp;N$2&amp;N$1&amp;"C"&amp;$A26))-IF(RTD("tos.rtd",,$A$2,"."&amp;N$2&amp;N$1&amp;"P"&amp;$A26)="N/A",0,RTD("tos.rtd",,$A$2,"."&amp;N$2&amp;N$1&amp;"P"&amp;$A26))</f>
        <v>2</v>
      </c>
      <c r="O26" s="91">
        <f ca="1">IF(RTD("tos.rtd",,$A$2,"."&amp;O$2&amp;O$1&amp;"C"&amp;$A26)="N/A",0,RTD("tos.rtd",,$A$2,"."&amp;O$2&amp;O$1&amp;"C"&amp;$A26))-IF(RTD("tos.rtd",,$A$2,"."&amp;O$2&amp;O$1&amp;"P"&amp;$A26)="N/A",0,RTD("tos.rtd",,$A$2,"."&amp;O$2&amp;O$1&amp;"P"&amp;$A26))</f>
        <v>-105</v>
      </c>
      <c r="P26" s="91">
        <f ca="1">IF(RTD("tos.rtd",,$A$2,"."&amp;P$2&amp;P$1&amp;"C"&amp;$A26)="N/A",0,RTD("tos.rtd",,$A$2,"."&amp;P$2&amp;P$1&amp;"C"&amp;$A26))-IF(RTD("tos.rtd",,$A$2,"."&amp;P$2&amp;P$1&amp;"P"&amp;$A26)="N/A",0,RTD("tos.rtd",,$A$2,"."&amp;P$2&amp;P$1&amp;"P"&amp;$A26))</f>
        <v>5</v>
      </c>
      <c r="Q26" s="91">
        <f ca="1">IF(RTD("tos.rtd",,$A$2,"."&amp;Q$2&amp;Q$1&amp;"C"&amp;$A26)="N/A",0,RTD("tos.rtd",,$A$2,"."&amp;Q$2&amp;Q$1&amp;"C"&amp;$A26))-IF(RTD("tos.rtd",,$A$2,"."&amp;Q$2&amp;Q$1&amp;"P"&amp;$A26)="N/A",0,RTD("tos.rtd",,$A$2,"."&amp;Q$2&amp;Q$1&amp;"P"&amp;$A26))</f>
        <v>0</v>
      </c>
      <c r="R26" s="91">
        <f ca="1">IF(RTD("tos.rtd",,$A$2,"."&amp;R$2&amp;R$1&amp;"C"&amp;$A26)="N/A",0,RTD("tos.rtd",,$A$2,"."&amp;R$2&amp;R$1&amp;"C"&amp;$A26))-IF(RTD("tos.rtd",,$A$2,"."&amp;R$2&amp;R$1&amp;"P"&amp;$A26)="N/A",0,RTD("tos.rtd",,$A$2,"."&amp;R$2&amp;R$1&amp;"P"&amp;$A26))</f>
        <v>-2</v>
      </c>
      <c r="S26" s="91">
        <f ca="1">IF(RTD("tos.rtd",,$A$2,"."&amp;S$2&amp;S$1&amp;"C"&amp;$A26)="N/A",0,RTD("tos.rtd",,$A$2,"."&amp;S$2&amp;S$1&amp;"C"&amp;$A26))-IF(RTD("tos.rtd",,$A$2,"."&amp;S$2&amp;S$1&amp;"P"&amp;$A26)="N/A",0,RTD("tos.rtd",,$A$2,"."&amp;S$2&amp;S$1&amp;"P"&amp;$A26))</f>
        <v>0</v>
      </c>
      <c r="T26" s="91">
        <f ca="1">IF(RTD("tos.rtd",,$A$2,"."&amp;T$2&amp;T$1&amp;"C"&amp;$A26)="N/A",0,RTD("tos.rtd",,$A$2,"."&amp;T$2&amp;T$1&amp;"C"&amp;$A26))-IF(RTD("tos.rtd",,$A$2,"."&amp;T$2&amp;T$1&amp;"P"&amp;$A26)="N/A",0,RTD("tos.rtd",,$A$2,"."&amp;T$2&amp;T$1&amp;"P"&amp;$A26))</f>
        <v>-5</v>
      </c>
      <c r="U26" s="91">
        <f ca="1">IF(RTD("tos.rtd",,$A$2,"."&amp;U$2&amp;U$1&amp;"C"&amp;$A26)="N/A",0,RTD("tos.rtd",,$A$2,"."&amp;U$2&amp;U$1&amp;"C"&amp;$A26))-IF(RTD("tos.rtd",,$A$2,"."&amp;U$2&amp;U$1&amp;"P"&amp;$A26)="N/A",0,RTD("tos.rtd",,$A$2,"."&amp;U$2&amp;U$1&amp;"P"&amp;$A26))</f>
        <v>0</v>
      </c>
      <c r="V26" s="91">
        <f ca="1">IF(RTD("tos.rtd",,$A$2,"."&amp;V$2&amp;V$1&amp;"C"&amp;$A26)="N/A",0,RTD("tos.rtd",,$A$2,"."&amp;V$2&amp;V$1&amp;"C"&amp;$A26))-IF(RTD("tos.rtd",,$A$2,"."&amp;V$2&amp;V$1&amp;"P"&amp;$A26)="N/A",0,RTD("tos.rtd",,$A$2,"."&amp;V$2&amp;V$1&amp;"P"&amp;$A26))</f>
        <v>0</v>
      </c>
      <c r="W26" s="91">
        <f ca="1">IF(RTD("tos.rtd",,$A$2,"."&amp;W$2&amp;W$1&amp;"C"&amp;$A26)="N/A",0,RTD("tos.rtd",,$A$2,"."&amp;W$2&amp;W$1&amp;"C"&amp;$A26))-IF(RTD("tos.rtd",,$A$2,"."&amp;W$2&amp;W$1&amp;"P"&amp;$A26)="N/A",0,RTD("tos.rtd",,$A$2,"."&amp;W$2&amp;W$1&amp;"P"&amp;$A26))</f>
        <v>0</v>
      </c>
      <c r="X26" s="91">
        <f ca="1">IF(RTD("tos.rtd",,$A$2,"."&amp;X$2&amp;X$1&amp;"C"&amp;$A26)="N/A",0,RTD("tos.rtd",,$A$2,"."&amp;X$2&amp;X$1&amp;"C"&amp;$A26))-IF(RTD("tos.rtd",,$A$2,"."&amp;X$2&amp;X$1&amp;"P"&amp;$A26)="N/A",0,RTD("tos.rtd",,$A$2,"."&amp;X$2&amp;X$1&amp;"P"&amp;$A26))</f>
        <v>-4</v>
      </c>
      <c r="Y26" s="98">
        <f t="shared" ca="1" si="3"/>
        <v>-797</v>
      </c>
    </row>
    <row r="27" spans="1:25" x14ac:dyDescent="0.25">
      <c r="A27" s="93">
        <f>+Hoja1!A26</f>
        <v>560</v>
      </c>
      <c r="B27" s="91">
        <f ca="1">IF(RTD("tos.rtd",,$A$2,"."&amp;B$2&amp;B$1&amp;"C"&amp;$A27)="N/A",0,RTD("tos.rtd",,$A$2,"."&amp;B$2&amp;B$1&amp;"C"&amp;$A27))-IF(RTD("tos.rtd",,$A$2,"."&amp;B$2&amp;B$1&amp;"P"&amp;$A27)="N/A",0,RTD("tos.rtd",,$A$2,"."&amp;B$2&amp;B$1&amp;"P"&amp;$A27))</f>
        <v>0</v>
      </c>
      <c r="C27" s="91">
        <f ca="1">IF(RTD("tos.rtd",,$A$2,"."&amp;C$2&amp;C$1&amp;"C"&amp;$A27)="N/A",0,RTD("tos.rtd",,$A$2,"."&amp;C$2&amp;C$1&amp;"C"&amp;$A27))-IF(RTD("tos.rtd",,$A$2,"."&amp;C$2&amp;C$1&amp;"P"&amp;$A27)="N/A",0,RTD("tos.rtd",,$A$2,"."&amp;C$2&amp;C$1&amp;"P"&amp;$A27))</f>
        <v>0</v>
      </c>
      <c r="D27" s="91">
        <f ca="1">IF(RTD("tos.rtd",,$A$2,"."&amp;D$2&amp;D$1&amp;"C"&amp;$A27)="N/A",0,RTD("tos.rtd",,$A$2,"."&amp;D$2&amp;D$1&amp;"C"&amp;$A27))-IF(RTD("tos.rtd",,$A$2,"."&amp;D$2&amp;D$1&amp;"P"&amp;$A27)="N/A",0,RTD("tos.rtd",,$A$2,"."&amp;D$2&amp;D$1&amp;"P"&amp;$A27))</f>
        <v>0</v>
      </c>
      <c r="E27" s="91">
        <f ca="1">IF(RTD("tos.rtd",,$A$2,"."&amp;E$2&amp;E$1&amp;"C"&amp;$A27)="N/A",0,RTD("tos.rtd",,$A$2,"."&amp;E$2&amp;E$1&amp;"C"&amp;$A27))-IF(RTD("tos.rtd",,$A$2,"."&amp;E$2&amp;E$1&amp;"P"&amp;$A27)="N/A",0,RTD("tos.rtd",,$A$2,"."&amp;E$2&amp;E$1&amp;"P"&amp;$A27))</f>
        <v>0</v>
      </c>
      <c r="F27" s="91">
        <f ca="1">IF(RTD("tos.rtd",,$A$2,"."&amp;F$2&amp;F$1&amp;"C"&amp;$A27)="N/A",0,RTD("tos.rtd",,$A$2,"."&amp;F$2&amp;F$1&amp;"C"&amp;$A27))-IF(RTD("tos.rtd",,$A$2,"."&amp;F$2&amp;F$1&amp;"P"&amp;$A27)="N/A",0,RTD("tos.rtd",,$A$2,"."&amp;F$2&amp;F$1&amp;"P"&amp;$A27))</f>
        <v>0</v>
      </c>
      <c r="G27" s="91">
        <f ca="1">IF(RTD("tos.rtd",,$A$2,"."&amp;G$2&amp;G$1&amp;"C"&amp;$A27)="N/A",0,RTD("tos.rtd",,$A$2,"."&amp;G$2&amp;G$1&amp;"C"&amp;$A27))-IF(RTD("tos.rtd",,$A$2,"."&amp;G$2&amp;G$1&amp;"P"&amp;$A27)="N/A",0,RTD("tos.rtd",,$A$2,"."&amp;G$2&amp;G$1&amp;"P"&amp;$A27))</f>
        <v>0</v>
      </c>
      <c r="H27" s="91">
        <f ca="1">IF(RTD("tos.rtd",,$A$2,"."&amp;H$2&amp;H$1&amp;"C"&amp;$A27)="N/A",0,RTD("tos.rtd",,$A$2,"."&amp;H$2&amp;H$1&amp;"C"&amp;$A27))-IF(RTD("tos.rtd",,$A$2,"."&amp;H$2&amp;H$1&amp;"P"&amp;$A27)="N/A",0,RTD("tos.rtd",,$A$2,"."&amp;H$2&amp;H$1&amp;"P"&amp;$A27))</f>
        <v>-196</v>
      </c>
      <c r="I27" s="91">
        <f ca="1">IF(RTD("tos.rtd",,$A$2,"."&amp;I$2&amp;I$1&amp;"C"&amp;$A27)="N/A",0,RTD("tos.rtd",,$A$2,"."&amp;I$2&amp;I$1&amp;"C"&amp;$A27))-IF(RTD("tos.rtd",,$A$2,"."&amp;I$2&amp;I$1&amp;"P"&amp;$A27)="N/A",0,RTD("tos.rtd",,$A$2,"."&amp;I$2&amp;I$1&amp;"P"&amp;$A27))</f>
        <v>-1273</v>
      </c>
      <c r="J27" s="91">
        <f ca="1">IF(RTD("tos.rtd",,$A$2,"."&amp;J$2&amp;J$1&amp;"C"&amp;$A27)="N/A",0,RTD("tos.rtd",,$A$2,"."&amp;J$2&amp;J$1&amp;"C"&amp;$A27))-IF(RTD("tos.rtd",,$A$2,"."&amp;J$2&amp;J$1&amp;"P"&amp;$A27)="N/A",0,RTD("tos.rtd",,$A$2,"."&amp;J$2&amp;J$1&amp;"P"&amp;$A27))</f>
        <v>87</v>
      </c>
      <c r="K27" s="91">
        <f ca="1">IF(RTD("tos.rtd",,$A$2,"."&amp;K$2&amp;K$1&amp;"C"&amp;$A27)="N/A",0,RTD("tos.rtd",,$A$2,"."&amp;K$2&amp;K$1&amp;"C"&amp;$A27))-IF(RTD("tos.rtd",,$A$2,"."&amp;K$2&amp;K$1&amp;"P"&amp;$A27)="N/A",0,RTD("tos.rtd",,$A$2,"."&amp;K$2&amp;K$1&amp;"P"&amp;$A27))</f>
        <v>-1385</v>
      </c>
      <c r="L27" s="91">
        <f ca="1">IF(RTD("tos.rtd",,$A$2,"."&amp;L$2&amp;L$1&amp;"C"&amp;$A27)="N/A",0,RTD("tos.rtd",,$A$2,"."&amp;L$2&amp;L$1&amp;"C"&amp;$A27))-IF(RTD("tos.rtd",,$A$2,"."&amp;L$2&amp;L$1&amp;"P"&amp;$A27)="N/A",0,RTD("tos.rtd",,$A$2,"."&amp;L$2&amp;L$1&amp;"P"&amp;$A27))</f>
        <v>163</v>
      </c>
      <c r="M27" s="91">
        <f ca="1">IF(RTD("tos.rtd",,$A$2,"."&amp;M$2&amp;M$1&amp;"C"&amp;$A27)="N/A",0,RTD("tos.rtd",,$A$2,"."&amp;M$2&amp;M$1&amp;"C"&amp;$A27))-IF(RTD("tos.rtd",,$A$2,"."&amp;M$2&amp;M$1&amp;"P"&amp;$A27)="N/A",0,RTD("tos.rtd",,$A$2,"."&amp;M$2&amp;M$1&amp;"P"&amp;$A27))</f>
        <v>-4760</v>
      </c>
      <c r="N27" s="91">
        <f ca="1">IF(RTD("tos.rtd",,$A$2,"."&amp;N$2&amp;N$1&amp;"C"&amp;$A27)="N/A",0,RTD("tos.rtd",,$A$2,"."&amp;N$2&amp;N$1&amp;"C"&amp;$A27))-IF(RTD("tos.rtd",,$A$2,"."&amp;N$2&amp;N$1&amp;"P"&amp;$A27)="N/A",0,RTD("tos.rtd",,$A$2,"."&amp;N$2&amp;N$1&amp;"P"&amp;$A27))</f>
        <v>-240</v>
      </c>
      <c r="O27" s="91">
        <f ca="1">IF(RTD("tos.rtd",,$A$2,"."&amp;O$2&amp;O$1&amp;"C"&amp;$A27)="N/A",0,RTD("tos.rtd",,$A$2,"."&amp;O$2&amp;O$1&amp;"C"&amp;$A27))-IF(RTD("tos.rtd",,$A$2,"."&amp;O$2&amp;O$1&amp;"P"&amp;$A27)="N/A",0,RTD("tos.rtd",,$A$2,"."&amp;O$2&amp;O$1&amp;"P"&amp;$A27))</f>
        <v>-5697</v>
      </c>
      <c r="P27" s="91">
        <f ca="1">IF(RTD("tos.rtd",,$A$2,"."&amp;P$2&amp;P$1&amp;"C"&amp;$A27)="N/A",0,RTD("tos.rtd",,$A$2,"."&amp;P$2&amp;P$1&amp;"C"&amp;$A27))-IF(RTD("tos.rtd",,$A$2,"."&amp;P$2&amp;P$1&amp;"P"&amp;$A27)="N/A",0,RTD("tos.rtd",,$A$2,"."&amp;P$2&amp;P$1&amp;"P"&amp;$A27))</f>
        <v>-19</v>
      </c>
      <c r="Q27" s="91">
        <f ca="1">IF(RTD("tos.rtd",,$A$2,"."&amp;Q$2&amp;Q$1&amp;"C"&amp;$A27)="N/A",0,RTD("tos.rtd",,$A$2,"."&amp;Q$2&amp;Q$1&amp;"C"&amp;$A27))-IF(RTD("tos.rtd",,$A$2,"."&amp;Q$2&amp;Q$1&amp;"P"&amp;$A27)="N/A",0,RTD("tos.rtd",,$A$2,"."&amp;Q$2&amp;Q$1&amp;"P"&amp;$A27))</f>
        <v>-547</v>
      </c>
      <c r="R27" s="91">
        <f ca="1">IF(RTD("tos.rtd",,$A$2,"."&amp;R$2&amp;R$1&amp;"C"&amp;$A27)="N/A",0,RTD("tos.rtd",,$A$2,"."&amp;R$2&amp;R$1&amp;"C"&amp;$A27))-IF(RTD("tos.rtd",,$A$2,"."&amp;R$2&amp;R$1&amp;"P"&amp;$A27)="N/A",0,RTD("tos.rtd",,$A$2,"."&amp;R$2&amp;R$1&amp;"P"&amp;$A27))</f>
        <v>-191</v>
      </c>
      <c r="S27" s="91">
        <f ca="1">IF(RTD("tos.rtd",,$A$2,"."&amp;S$2&amp;S$1&amp;"C"&amp;$A27)="N/A",0,RTD("tos.rtd",,$A$2,"."&amp;S$2&amp;S$1&amp;"C"&amp;$A27))-IF(RTD("tos.rtd",,$A$2,"."&amp;S$2&amp;S$1&amp;"P"&amp;$A27)="N/A",0,RTD("tos.rtd",,$A$2,"."&amp;S$2&amp;S$1&amp;"P"&amp;$A27))</f>
        <v>0</v>
      </c>
      <c r="T27" s="91">
        <f ca="1">IF(RTD("tos.rtd",,$A$2,"."&amp;T$2&amp;T$1&amp;"C"&amp;$A27)="N/A",0,RTD("tos.rtd",,$A$2,"."&amp;T$2&amp;T$1&amp;"C"&amp;$A27))-IF(RTD("tos.rtd",,$A$2,"."&amp;T$2&amp;T$1&amp;"P"&amp;$A27)="N/A",0,RTD("tos.rtd",,$A$2,"."&amp;T$2&amp;T$1&amp;"P"&amp;$A27))</f>
        <v>-77</v>
      </c>
      <c r="U27" s="91">
        <f ca="1">IF(RTD("tos.rtd",,$A$2,"."&amp;U$2&amp;U$1&amp;"C"&amp;$A27)="N/A",0,RTD("tos.rtd",,$A$2,"."&amp;U$2&amp;U$1&amp;"C"&amp;$A27))-IF(RTD("tos.rtd",,$A$2,"."&amp;U$2&amp;U$1&amp;"P"&amp;$A27)="N/A",0,RTD("tos.rtd",,$A$2,"."&amp;U$2&amp;U$1&amp;"P"&amp;$A27))</f>
        <v>0</v>
      </c>
      <c r="V27" s="91">
        <f ca="1">IF(RTD("tos.rtd",,$A$2,"."&amp;V$2&amp;V$1&amp;"C"&amp;$A27)="N/A",0,RTD("tos.rtd",,$A$2,"."&amp;V$2&amp;V$1&amp;"C"&amp;$A27))-IF(RTD("tos.rtd",,$A$2,"."&amp;V$2&amp;V$1&amp;"P"&amp;$A27)="N/A",0,RTD("tos.rtd",,$A$2,"."&amp;V$2&amp;V$1&amp;"P"&amp;$A27))</f>
        <v>0</v>
      </c>
      <c r="W27" s="91">
        <f ca="1">IF(RTD("tos.rtd",,$A$2,"."&amp;W$2&amp;W$1&amp;"C"&amp;$A27)="N/A",0,RTD("tos.rtd",,$A$2,"."&amp;W$2&amp;W$1&amp;"C"&amp;$A27))-IF(RTD("tos.rtd",,$A$2,"."&amp;W$2&amp;W$1&amp;"P"&amp;$A27)="N/A",0,RTD("tos.rtd",,$A$2,"."&amp;W$2&amp;W$1&amp;"P"&amp;$A27))</f>
        <v>-1581</v>
      </c>
      <c r="X27" s="91">
        <f ca="1">IF(RTD("tos.rtd",,$A$2,"."&amp;X$2&amp;X$1&amp;"C"&amp;$A27)="N/A",0,RTD("tos.rtd",,$A$2,"."&amp;X$2&amp;X$1&amp;"C"&amp;$A27))-IF(RTD("tos.rtd",,$A$2,"."&amp;X$2&amp;X$1&amp;"P"&amp;$A27)="N/A",0,RTD("tos.rtd",,$A$2,"."&amp;X$2&amp;X$1&amp;"P"&amp;$A27))</f>
        <v>-160</v>
      </c>
      <c r="Y27" s="98">
        <f t="shared" ca="1" si="3"/>
        <v>-15876</v>
      </c>
    </row>
    <row r="28" spans="1:25" x14ac:dyDescent="0.25">
      <c r="A28" s="93">
        <f>+Hoja1!A27</f>
        <v>559</v>
      </c>
      <c r="B28" s="91">
        <f ca="1">IF(RTD("tos.rtd",,$A$2,"."&amp;B$2&amp;B$1&amp;"C"&amp;$A28)="N/A",0,RTD("tos.rtd",,$A$2,"."&amp;B$2&amp;B$1&amp;"C"&amp;$A28))-IF(RTD("tos.rtd",,$A$2,"."&amp;B$2&amp;B$1&amp;"P"&amp;$A28)="N/A",0,RTD("tos.rtd",,$A$2,"."&amp;B$2&amp;B$1&amp;"P"&amp;$A28))</f>
        <v>0</v>
      </c>
      <c r="C28" s="91">
        <f ca="1">IF(RTD("tos.rtd",,$A$2,"."&amp;C$2&amp;C$1&amp;"C"&amp;$A28)="N/A",0,RTD("tos.rtd",,$A$2,"."&amp;C$2&amp;C$1&amp;"C"&amp;$A28))-IF(RTD("tos.rtd",,$A$2,"."&amp;C$2&amp;C$1&amp;"P"&amp;$A28)="N/A",0,RTD("tos.rtd",,$A$2,"."&amp;C$2&amp;C$1&amp;"P"&amp;$A28))</f>
        <v>0</v>
      </c>
      <c r="D28" s="91">
        <f ca="1">IF(RTD("tos.rtd",,$A$2,"."&amp;D$2&amp;D$1&amp;"C"&amp;$A28)="N/A",0,RTD("tos.rtd",,$A$2,"."&amp;D$2&amp;D$1&amp;"C"&amp;$A28))-IF(RTD("tos.rtd",,$A$2,"."&amp;D$2&amp;D$1&amp;"P"&amp;$A28)="N/A",0,RTD("tos.rtd",,$A$2,"."&amp;D$2&amp;D$1&amp;"P"&amp;$A28))</f>
        <v>0</v>
      </c>
      <c r="E28" s="91">
        <f ca="1">IF(RTD("tos.rtd",,$A$2,"."&amp;E$2&amp;E$1&amp;"C"&amp;$A28)="N/A",0,RTD("tos.rtd",,$A$2,"."&amp;E$2&amp;E$1&amp;"C"&amp;$A28))-IF(RTD("tos.rtd",,$A$2,"."&amp;E$2&amp;E$1&amp;"P"&amp;$A28)="N/A",0,RTD("tos.rtd",,$A$2,"."&amp;E$2&amp;E$1&amp;"P"&amp;$A28))</f>
        <v>0</v>
      </c>
      <c r="F28" s="91">
        <f ca="1">IF(RTD("tos.rtd",,$A$2,"."&amp;F$2&amp;F$1&amp;"C"&amp;$A28)="N/A",0,RTD("tos.rtd",,$A$2,"."&amp;F$2&amp;F$1&amp;"C"&amp;$A28))-IF(RTD("tos.rtd",,$A$2,"."&amp;F$2&amp;F$1&amp;"P"&amp;$A28)="N/A",0,RTD("tos.rtd",,$A$2,"."&amp;F$2&amp;F$1&amp;"P"&amp;$A28))</f>
        <v>0</v>
      </c>
      <c r="G28" s="91">
        <f ca="1">IF(RTD("tos.rtd",,$A$2,"."&amp;G$2&amp;G$1&amp;"C"&amp;$A28)="N/A",0,RTD("tos.rtd",,$A$2,"."&amp;G$2&amp;G$1&amp;"C"&amp;$A28))-IF(RTD("tos.rtd",,$A$2,"."&amp;G$2&amp;G$1&amp;"P"&amp;$A28)="N/A",0,RTD("tos.rtd",,$A$2,"."&amp;G$2&amp;G$1&amp;"P"&amp;$A28))</f>
        <v>0</v>
      </c>
      <c r="H28" s="91">
        <f ca="1">IF(RTD("tos.rtd",,$A$2,"."&amp;H$2&amp;H$1&amp;"C"&amp;$A28)="N/A",0,RTD("tos.rtd",,$A$2,"."&amp;H$2&amp;H$1&amp;"C"&amp;$A28))-IF(RTD("tos.rtd",,$A$2,"."&amp;H$2&amp;H$1&amp;"P"&amp;$A28)="N/A",0,RTD("tos.rtd",,$A$2,"."&amp;H$2&amp;H$1&amp;"P"&amp;$A28))</f>
        <v>-1220</v>
      </c>
      <c r="I28" s="91">
        <f ca="1">IF(RTD("tos.rtd",,$A$2,"."&amp;I$2&amp;I$1&amp;"C"&amp;$A28)="N/A",0,RTD("tos.rtd",,$A$2,"."&amp;I$2&amp;I$1&amp;"C"&amp;$A28))-IF(RTD("tos.rtd",,$A$2,"."&amp;I$2&amp;I$1&amp;"P"&amp;$A28)="N/A",0,RTD("tos.rtd",,$A$2,"."&amp;I$2&amp;I$1&amp;"P"&amp;$A28))</f>
        <v>-1092</v>
      </c>
      <c r="J28" s="91">
        <f ca="1">IF(RTD("tos.rtd",,$A$2,"."&amp;J$2&amp;J$1&amp;"C"&amp;$A28)="N/A",0,RTD("tos.rtd",,$A$2,"."&amp;J$2&amp;J$1&amp;"C"&amp;$A28))-IF(RTD("tos.rtd",,$A$2,"."&amp;J$2&amp;J$1&amp;"P"&amp;$A28)="N/A",0,RTD("tos.rtd",,$A$2,"."&amp;J$2&amp;J$1&amp;"P"&amp;$A28))</f>
        <v>658</v>
      </c>
      <c r="K28" s="91">
        <f ca="1">IF(RTD("tos.rtd",,$A$2,"."&amp;K$2&amp;K$1&amp;"C"&amp;$A28)="N/A",0,RTD("tos.rtd",,$A$2,"."&amp;K$2&amp;K$1&amp;"C"&amp;$A28))-IF(RTD("tos.rtd",,$A$2,"."&amp;K$2&amp;K$1&amp;"P"&amp;$A28)="N/A",0,RTD("tos.rtd",,$A$2,"."&amp;K$2&amp;K$1&amp;"P"&amp;$A28))</f>
        <v>-560</v>
      </c>
      <c r="L28" s="91">
        <f ca="1">IF(RTD("tos.rtd",,$A$2,"."&amp;L$2&amp;L$1&amp;"C"&amp;$A28)="N/A",0,RTD("tos.rtd",,$A$2,"."&amp;L$2&amp;L$1&amp;"C"&amp;$A28))-IF(RTD("tos.rtd",,$A$2,"."&amp;L$2&amp;L$1&amp;"P"&amp;$A28)="N/A",0,RTD("tos.rtd",,$A$2,"."&amp;L$2&amp;L$1&amp;"P"&amp;$A28))</f>
        <v>-130</v>
      </c>
      <c r="M28" s="91">
        <f ca="1">IF(RTD("tos.rtd",,$A$2,"."&amp;M$2&amp;M$1&amp;"C"&amp;$A28)="N/A",0,RTD("tos.rtd",,$A$2,"."&amp;M$2&amp;M$1&amp;"C"&amp;$A28))-IF(RTD("tos.rtd",,$A$2,"."&amp;M$2&amp;M$1&amp;"P"&amp;$A28)="N/A",0,RTD("tos.rtd",,$A$2,"."&amp;M$2&amp;M$1&amp;"P"&amp;$A28))</f>
        <v>0</v>
      </c>
      <c r="N28" s="91">
        <f ca="1">IF(RTD("tos.rtd",,$A$2,"."&amp;N$2&amp;N$1&amp;"C"&amp;$A28)="N/A",0,RTD("tos.rtd",,$A$2,"."&amp;N$2&amp;N$1&amp;"C"&amp;$A28))-IF(RTD("tos.rtd",,$A$2,"."&amp;N$2&amp;N$1&amp;"P"&amp;$A28)="N/A",0,RTD("tos.rtd",,$A$2,"."&amp;N$2&amp;N$1&amp;"P"&amp;$A28))</f>
        <v>-39</v>
      </c>
      <c r="O28" s="91">
        <f ca="1">IF(RTD("tos.rtd",,$A$2,"."&amp;O$2&amp;O$1&amp;"C"&amp;$A28)="N/A",0,RTD("tos.rtd",,$A$2,"."&amp;O$2&amp;O$1&amp;"C"&amp;$A28))-IF(RTD("tos.rtd",,$A$2,"."&amp;O$2&amp;O$1&amp;"P"&amp;$A28)="N/A",0,RTD("tos.rtd",,$A$2,"."&amp;O$2&amp;O$1&amp;"P"&amp;$A28))</f>
        <v>-45</v>
      </c>
      <c r="P28" s="91">
        <f ca="1">IF(RTD("tos.rtd",,$A$2,"."&amp;P$2&amp;P$1&amp;"C"&amp;$A28)="N/A",0,RTD("tos.rtd",,$A$2,"."&amp;P$2&amp;P$1&amp;"C"&amp;$A28))-IF(RTD("tos.rtd",,$A$2,"."&amp;P$2&amp;P$1&amp;"P"&amp;$A28)="N/A",0,RTD("tos.rtd",,$A$2,"."&amp;P$2&amp;P$1&amp;"P"&amp;$A28))</f>
        <v>4</v>
      </c>
      <c r="Q28" s="91">
        <f ca="1">IF(RTD("tos.rtd",,$A$2,"."&amp;Q$2&amp;Q$1&amp;"C"&amp;$A28)="N/A",0,RTD("tos.rtd",,$A$2,"."&amp;Q$2&amp;Q$1&amp;"C"&amp;$A28))-IF(RTD("tos.rtd",,$A$2,"."&amp;Q$2&amp;Q$1&amp;"P"&amp;$A28)="N/A",0,RTD("tos.rtd",,$A$2,"."&amp;Q$2&amp;Q$1&amp;"P"&amp;$A28))</f>
        <v>0</v>
      </c>
      <c r="R28" s="91">
        <f ca="1">IF(RTD("tos.rtd",,$A$2,"."&amp;R$2&amp;R$1&amp;"C"&amp;$A28)="N/A",0,RTD("tos.rtd",,$A$2,"."&amp;R$2&amp;R$1&amp;"C"&amp;$A28))-IF(RTD("tos.rtd",,$A$2,"."&amp;R$2&amp;R$1&amp;"P"&amp;$A28)="N/A",0,RTD("tos.rtd",,$A$2,"."&amp;R$2&amp;R$1&amp;"P"&amp;$A28))</f>
        <v>3</v>
      </c>
      <c r="S28" s="91">
        <f ca="1">IF(RTD("tos.rtd",,$A$2,"."&amp;S$2&amp;S$1&amp;"C"&amp;$A28)="N/A",0,RTD("tos.rtd",,$A$2,"."&amp;S$2&amp;S$1&amp;"C"&amp;$A28))-IF(RTD("tos.rtd",,$A$2,"."&amp;S$2&amp;S$1&amp;"P"&amp;$A28)="N/A",0,RTD("tos.rtd",,$A$2,"."&amp;S$2&amp;S$1&amp;"P"&amp;$A28))</f>
        <v>0</v>
      </c>
      <c r="T28" s="91">
        <f ca="1">IF(RTD("tos.rtd",,$A$2,"."&amp;T$2&amp;T$1&amp;"C"&amp;$A28)="N/A",0,RTD("tos.rtd",,$A$2,"."&amp;T$2&amp;T$1&amp;"C"&amp;$A28))-IF(RTD("tos.rtd",,$A$2,"."&amp;T$2&amp;T$1&amp;"P"&amp;$A28)="N/A",0,RTD("tos.rtd",,$A$2,"."&amp;T$2&amp;T$1&amp;"P"&amp;$A28))</f>
        <v>2</v>
      </c>
      <c r="U28" s="91">
        <f ca="1">IF(RTD("tos.rtd",,$A$2,"."&amp;U$2&amp;U$1&amp;"C"&amp;$A28)="N/A",0,RTD("tos.rtd",,$A$2,"."&amp;U$2&amp;U$1&amp;"C"&amp;$A28))-IF(RTD("tos.rtd",,$A$2,"."&amp;U$2&amp;U$1&amp;"P"&amp;$A28)="N/A",0,RTD("tos.rtd",,$A$2,"."&amp;U$2&amp;U$1&amp;"P"&amp;$A28))</f>
        <v>0</v>
      </c>
      <c r="V28" s="91">
        <f ca="1">IF(RTD("tos.rtd",,$A$2,"."&amp;V$2&amp;V$1&amp;"C"&amp;$A28)="N/A",0,RTD("tos.rtd",,$A$2,"."&amp;V$2&amp;V$1&amp;"C"&amp;$A28))-IF(RTD("tos.rtd",,$A$2,"."&amp;V$2&amp;V$1&amp;"P"&amp;$A28)="N/A",0,RTD("tos.rtd",,$A$2,"."&amp;V$2&amp;V$1&amp;"P"&amp;$A28))</f>
        <v>0</v>
      </c>
      <c r="W28" s="91">
        <f ca="1">IF(RTD("tos.rtd",,$A$2,"."&amp;W$2&amp;W$1&amp;"C"&amp;$A28)="N/A",0,RTD("tos.rtd",,$A$2,"."&amp;W$2&amp;W$1&amp;"C"&amp;$A28))-IF(RTD("tos.rtd",,$A$2,"."&amp;W$2&amp;W$1&amp;"P"&amp;$A28)="N/A",0,RTD("tos.rtd",,$A$2,"."&amp;W$2&amp;W$1&amp;"P"&amp;$A28))</f>
        <v>0</v>
      </c>
      <c r="X28" s="91">
        <f ca="1">IF(RTD("tos.rtd",,$A$2,"."&amp;X$2&amp;X$1&amp;"C"&amp;$A28)="N/A",0,RTD("tos.rtd",,$A$2,"."&amp;X$2&amp;X$1&amp;"C"&amp;$A28))-IF(RTD("tos.rtd",,$A$2,"."&amp;X$2&amp;X$1&amp;"P"&amp;$A28)="N/A",0,RTD("tos.rtd",,$A$2,"."&amp;X$2&amp;X$1&amp;"P"&amp;$A28))</f>
        <v>-11</v>
      </c>
      <c r="Y28" s="98">
        <f t="shared" ca="1" si="3"/>
        <v>-2430</v>
      </c>
    </row>
    <row r="29" spans="1:25" x14ac:dyDescent="0.25">
      <c r="A29" s="93">
        <f>+Hoja1!A28</f>
        <v>558</v>
      </c>
      <c r="B29" s="91">
        <f ca="1">IF(RTD("tos.rtd",,$A$2,"."&amp;B$2&amp;B$1&amp;"C"&amp;$A29)="N/A",0,RTD("tos.rtd",,$A$2,"."&amp;B$2&amp;B$1&amp;"C"&amp;$A29))-IF(RTD("tos.rtd",,$A$2,"."&amp;B$2&amp;B$1&amp;"P"&amp;$A29)="N/A",0,RTD("tos.rtd",,$A$2,"."&amp;B$2&amp;B$1&amp;"P"&amp;$A29))</f>
        <v>0</v>
      </c>
      <c r="C29" s="91">
        <f ca="1">IF(RTD("tos.rtd",,$A$2,"."&amp;C$2&amp;C$1&amp;"C"&amp;$A29)="N/A",0,RTD("tos.rtd",,$A$2,"."&amp;C$2&amp;C$1&amp;"C"&amp;$A29))-IF(RTD("tos.rtd",,$A$2,"."&amp;C$2&amp;C$1&amp;"P"&amp;$A29)="N/A",0,RTD("tos.rtd",,$A$2,"."&amp;C$2&amp;C$1&amp;"P"&amp;$A29))</f>
        <v>0</v>
      </c>
      <c r="D29" s="91">
        <f ca="1">IF(RTD("tos.rtd",,$A$2,"."&amp;D$2&amp;D$1&amp;"C"&amp;$A29)="N/A",0,RTD("tos.rtd",,$A$2,"."&amp;D$2&amp;D$1&amp;"C"&amp;$A29))-IF(RTD("tos.rtd",,$A$2,"."&amp;D$2&amp;D$1&amp;"P"&amp;$A29)="N/A",0,RTD("tos.rtd",,$A$2,"."&amp;D$2&amp;D$1&amp;"P"&amp;$A29))</f>
        <v>0</v>
      </c>
      <c r="E29" s="91">
        <f ca="1">IF(RTD("tos.rtd",,$A$2,"."&amp;E$2&amp;E$1&amp;"C"&amp;$A29)="N/A",0,RTD("tos.rtd",,$A$2,"."&amp;E$2&amp;E$1&amp;"C"&amp;$A29))-IF(RTD("tos.rtd",,$A$2,"."&amp;E$2&amp;E$1&amp;"P"&amp;$A29)="N/A",0,RTD("tos.rtd",,$A$2,"."&amp;E$2&amp;E$1&amp;"P"&amp;$A29))</f>
        <v>0</v>
      </c>
      <c r="F29" s="91">
        <f ca="1">IF(RTD("tos.rtd",,$A$2,"."&amp;F$2&amp;F$1&amp;"C"&amp;$A29)="N/A",0,RTD("tos.rtd",,$A$2,"."&amp;F$2&amp;F$1&amp;"C"&amp;$A29))-IF(RTD("tos.rtd",,$A$2,"."&amp;F$2&amp;F$1&amp;"P"&amp;$A29)="N/A",0,RTD("tos.rtd",,$A$2,"."&amp;F$2&amp;F$1&amp;"P"&amp;$A29))</f>
        <v>0</v>
      </c>
      <c r="G29" s="91">
        <f ca="1">IF(RTD("tos.rtd",,$A$2,"."&amp;G$2&amp;G$1&amp;"C"&amp;$A29)="N/A",0,RTD("tos.rtd",,$A$2,"."&amp;G$2&amp;G$1&amp;"C"&amp;$A29))-IF(RTD("tos.rtd",,$A$2,"."&amp;G$2&amp;G$1&amp;"P"&amp;$A29)="N/A",0,RTD("tos.rtd",,$A$2,"."&amp;G$2&amp;G$1&amp;"P"&amp;$A29))</f>
        <v>0</v>
      </c>
      <c r="H29" s="91">
        <f ca="1">IF(RTD("tos.rtd",,$A$2,"."&amp;H$2&amp;H$1&amp;"C"&amp;$A29)="N/A",0,RTD("tos.rtd",,$A$2,"."&amp;H$2&amp;H$1&amp;"C"&amp;$A29))-IF(RTD("tos.rtd",,$A$2,"."&amp;H$2&amp;H$1&amp;"P"&amp;$A29)="N/A",0,RTD("tos.rtd",,$A$2,"."&amp;H$2&amp;H$1&amp;"P"&amp;$A29))</f>
        <v>82</v>
      </c>
      <c r="I29" s="91">
        <f ca="1">IF(RTD("tos.rtd",,$A$2,"."&amp;I$2&amp;I$1&amp;"C"&amp;$A29)="N/A",0,RTD("tos.rtd",,$A$2,"."&amp;I$2&amp;I$1&amp;"C"&amp;$A29))-IF(RTD("tos.rtd",,$A$2,"."&amp;I$2&amp;I$1&amp;"P"&amp;$A29)="N/A",0,RTD("tos.rtd",,$A$2,"."&amp;I$2&amp;I$1&amp;"P"&amp;$A29))</f>
        <v>-268</v>
      </c>
      <c r="J29" s="91">
        <f ca="1">IF(RTD("tos.rtd",,$A$2,"."&amp;J$2&amp;J$1&amp;"C"&amp;$A29)="N/A",0,RTD("tos.rtd",,$A$2,"."&amp;J$2&amp;J$1&amp;"C"&amp;$A29))-IF(RTD("tos.rtd",,$A$2,"."&amp;J$2&amp;J$1&amp;"P"&amp;$A29)="N/A",0,RTD("tos.rtd",,$A$2,"."&amp;J$2&amp;J$1&amp;"P"&amp;$A29))</f>
        <v>-224</v>
      </c>
      <c r="K29" s="91">
        <f ca="1">IF(RTD("tos.rtd",,$A$2,"."&amp;K$2&amp;K$1&amp;"C"&amp;$A29)="N/A",0,RTD("tos.rtd",,$A$2,"."&amp;K$2&amp;K$1&amp;"C"&amp;$A29))-IF(RTD("tos.rtd",,$A$2,"."&amp;K$2&amp;K$1&amp;"P"&amp;$A29)="N/A",0,RTD("tos.rtd",,$A$2,"."&amp;K$2&amp;K$1&amp;"P"&amp;$A29))</f>
        <v>-295</v>
      </c>
      <c r="L29" s="91">
        <f ca="1">IF(RTD("tos.rtd",,$A$2,"."&amp;L$2&amp;L$1&amp;"C"&amp;$A29)="N/A",0,RTD("tos.rtd",,$A$2,"."&amp;L$2&amp;L$1&amp;"C"&amp;$A29))-IF(RTD("tos.rtd",,$A$2,"."&amp;L$2&amp;L$1&amp;"P"&amp;$A29)="N/A",0,RTD("tos.rtd",,$A$2,"."&amp;L$2&amp;L$1&amp;"P"&amp;$A29))</f>
        <v>-144</v>
      </c>
      <c r="M29" s="91">
        <f ca="1">IF(RTD("tos.rtd",,$A$2,"."&amp;M$2&amp;M$1&amp;"C"&amp;$A29)="N/A",0,RTD("tos.rtd",,$A$2,"."&amp;M$2&amp;M$1&amp;"C"&amp;$A29))-IF(RTD("tos.rtd",,$A$2,"."&amp;M$2&amp;M$1&amp;"P"&amp;$A29)="N/A",0,RTD("tos.rtd",,$A$2,"."&amp;M$2&amp;M$1&amp;"P"&amp;$A29))</f>
        <v>0</v>
      </c>
      <c r="N29" s="91">
        <f ca="1">IF(RTD("tos.rtd",,$A$2,"."&amp;N$2&amp;N$1&amp;"C"&amp;$A29)="N/A",0,RTD("tos.rtd",,$A$2,"."&amp;N$2&amp;N$1&amp;"C"&amp;$A29))-IF(RTD("tos.rtd",,$A$2,"."&amp;N$2&amp;N$1&amp;"P"&amp;$A29)="N/A",0,RTD("tos.rtd",,$A$2,"."&amp;N$2&amp;N$1&amp;"P"&amp;$A29))</f>
        <v>-98</v>
      </c>
      <c r="O29" s="91">
        <f ca="1">IF(RTD("tos.rtd",,$A$2,"."&amp;O$2&amp;O$1&amp;"C"&amp;$A29)="N/A",0,RTD("tos.rtd",,$A$2,"."&amp;O$2&amp;O$1&amp;"C"&amp;$A29))-IF(RTD("tos.rtd",,$A$2,"."&amp;O$2&amp;O$1&amp;"P"&amp;$A29)="N/A",0,RTD("tos.rtd",,$A$2,"."&amp;O$2&amp;O$1&amp;"P"&amp;$A29))</f>
        <v>-146</v>
      </c>
      <c r="P29" s="91">
        <f ca="1">IF(RTD("tos.rtd",,$A$2,"."&amp;P$2&amp;P$1&amp;"C"&amp;$A29)="N/A",0,RTD("tos.rtd",,$A$2,"."&amp;P$2&amp;P$1&amp;"C"&amp;$A29))-IF(RTD("tos.rtd",,$A$2,"."&amp;P$2&amp;P$1&amp;"P"&amp;$A29)="N/A",0,RTD("tos.rtd",,$A$2,"."&amp;P$2&amp;P$1&amp;"P"&amp;$A29))</f>
        <v>-13</v>
      </c>
      <c r="Q29" s="91">
        <f ca="1">IF(RTD("tos.rtd",,$A$2,"."&amp;Q$2&amp;Q$1&amp;"C"&amp;$A29)="N/A",0,RTD("tos.rtd",,$A$2,"."&amp;Q$2&amp;Q$1&amp;"C"&amp;$A29))-IF(RTD("tos.rtd",,$A$2,"."&amp;Q$2&amp;Q$1&amp;"P"&amp;$A29)="N/A",0,RTD("tos.rtd",,$A$2,"."&amp;Q$2&amp;Q$1&amp;"P"&amp;$A29))</f>
        <v>0</v>
      </c>
      <c r="R29" s="91">
        <f ca="1">IF(RTD("tos.rtd",,$A$2,"."&amp;R$2&amp;R$1&amp;"C"&amp;$A29)="N/A",0,RTD("tos.rtd",,$A$2,"."&amp;R$2&amp;R$1&amp;"C"&amp;$A29))-IF(RTD("tos.rtd",,$A$2,"."&amp;R$2&amp;R$1&amp;"P"&amp;$A29)="N/A",0,RTD("tos.rtd",,$A$2,"."&amp;R$2&amp;R$1&amp;"P"&amp;$A29))</f>
        <v>60</v>
      </c>
      <c r="S29" s="91">
        <f ca="1">IF(RTD("tos.rtd",,$A$2,"."&amp;S$2&amp;S$1&amp;"C"&amp;$A29)="N/A",0,RTD("tos.rtd",,$A$2,"."&amp;S$2&amp;S$1&amp;"C"&amp;$A29))-IF(RTD("tos.rtd",,$A$2,"."&amp;S$2&amp;S$1&amp;"P"&amp;$A29)="N/A",0,RTD("tos.rtd",,$A$2,"."&amp;S$2&amp;S$1&amp;"P"&amp;$A29))</f>
        <v>0</v>
      </c>
      <c r="T29" s="91">
        <f ca="1">IF(RTD("tos.rtd",,$A$2,"."&amp;T$2&amp;T$1&amp;"C"&amp;$A29)="N/A",0,RTD("tos.rtd",,$A$2,"."&amp;T$2&amp;T$1&amp;"C"&amp;$A29))-IF(RTD("tos.rtd",,$A$2,"."&amp;T$2&amp;T$1&amp;"P"&amp;$A29)="N/A",0,RTD("tos.rtd",,$A$2,"."&amp;T$2&amp;T$1&amp;"P"&amp;$A29))</f>
        <v>0</v>
      </c>
      <c r="U29" s="91">
        <f ca="1">IF(RTD("tos.rtd",,$A$2,"."&amp;U$2&amp;U$1&amp;"C"&amp;$A29)="N/A",0,RTD("tos.rtd",,$A$2,"."&amp;U$2&amp;U$1&amp;"C"&amp;$A29))-IF(RTD("tos.rtd",,$A$2,"."&amp;U$2&amp;U$1&amp;"P"&amp;$A29)="N/A",0,RTD("tos.rtd",,$A$2,"."&amp;U$2&amp;U$1&amp;"P"&amp;$A29))</f>
        <v>0</v>
      </c>
      <c r="V29" s="91">
        <f ca="1">IF(RTD("tos.rtd",,$A$2,"."&amp;V$2&amp;V$1&amp;"C"&amp;$A29)="N/A",0,RTD("tos.rtd",,$A$2,"."&amp;V$2&amp;V$1&amp;"C"&amp;$A29))-IF(RTD("tos.rtd",,$A$2,"."&amp;V$2&amp;V$1&amp;"P"&amp;$A29)="N/A",0,RTD("tos.rtd",,$A$2,"."&amp;V$2&amp;V$1&amp;"P"&amp;$A29))</f>
        <v>0</v>
      </c>
      <c r="W29" s="91">
        <f ca="1">IF(RTD("tos.rtd",,$A$2,"."&amp;W$2&amp;W$1&amp;"C"&amp;$A29)="N/A",0,RTD("tos.rtd",,$A$2,"."&amp;W$2&amp;W$1&amp;"C"&amp;$A29))-IF(RTD("tos.rtd",,$A$2,"."&amp;W$2&amp;W$1&amp;"P"&amp;$A29)="N/A",0,RTD("tos.rtd",,$A$2,"."&amp;W$2&amp;W$1&amp;"P"&amp;$A29))</f>
        <v>0</v>
      </c>
      <c r="X29" s="91">
        <f ca="1">IF(RTD("tos.rtd",,$A$2,"."&amp;X$2&amp;X$1&amp;"C"&amp;$A29)="N/A",0,RTD("tos.rtd",,$A$2,"."&amp;X$2&amp;X$1&amp;"C"&amp;$A29))-IF(RTD("tos.rtd",,$A$2,"."&amp;X$2&amp;X$1&amp;"P"&amp;$A29)="N/A",0,RTD("tos.rtd",,$A$2,"."&amp;X$2&amp;X$1&amp;"P"&amp;$A29))</f>
        <v>11</v>
      </c>
      <c r="Y29" s="98">
        <f t="shared" ca="1" si="3"/>
        <v>-1035</v>
      </c>
    </row>
    <row r="30" spans="1:25" x14ac:dyDescent="0.25">
      <c r="A30" s="93">
        <f>+Hoja1!A29</f>
        <v>557</v>
      </c>
      <c r="B30" s="91">
        <f ca="1">IF(RTD("tos.rtd",,$A$2,"."&amp;B$2&amp;B$1&amp;"C"&amp;$A30)="N/A",0,RTD("tos.rtd",,$A$2,"."&amp;B$2&amp;B$1&amp;"C"&amp;$A30))-IF(RTD("tos.rtd",,$A$2,"."&amp;B$2&amp;B$1&amp;"P"&amp;$A30)="N/A",0,RTD("tos.rtd",,$A$2,"."&amp;B$2&amp;B$1&amp;"P"&amp;$A30))</f>
        <v>0</v>
      </c>
      <c r="C30" s="91">
        <f ca="1">IF(RTD("tos.rtd",,$A$2,"."&amp;C$2&amp;C$1&amp;"C"&amp;$A30)="N/A",0,RTD("tos.rtd",,$A$2,"."&amp;C$2&amp;C$1&amp;"C"&amp;$A30))-IF(RTD("tos.rtd",,$A$2,"."&amp;C$2&amp;C$1&amp;"P"&amp;$A30)="N/A",0,RTD("tos.rtd",,$A$2,"."&amp;C$2&amp;C$1&amp;"P"&amp;$A30))</f>
        <v>0</v>
      </c>
      <c r="D30" s="91">
        <f ca="1">IF(RTD("tos.rtd",,$A$2,"."&amp;D$2&amp;D$1&amp;"C"&amp;$A30)="N/A",0,RTD("tos.rtd",,$A$2,"."&amp;D$2&amp;D$1&amp;"C"&amp;$A30))-IF(RTD("tos.rtd",,$A$2,"."&amp;D$2&amp;D$1&amp;"P"&amp;$A30)="N/A",0,RTD("tos.rtd",,$A$2,"."&amp;D$2&amp;D$1&amp;"P"&amp;$A30))</f>
        <v>0</v>
      </c>
      <c r="E30" s="91">
        <f ca="1">IF(RTD("tos.rtd",,$A$2,"."&amp;E$2&amp;E$1&amp;"C"&amp;$A30)="N/A",0,RTD("tos.rtd",,$A$2,"."&amp;E$2&amp;E$1&amp;"C"&amp;$A30))-IF(RTD("tos.rtd",,$A$2,"."&amp;E$2&amp;E$1&amp;"P"&amp;$A30)="N/A",0,RTD("tos.rtd",,$A$2,"."&amp;E$2&amp;E$1&amp;"P"&amp;$A30))</f>
        <v>0</v>
      </c>
      <c r="F30" s="91">
        <f ca="1">IF(RTD("tos.rtd",,$A$2,"."&amp;F$2&amp;F$1&amp;"C"&amp;$A30)="N/A",0,RTD("tos.rtd",,$A$2,"."&amp;F$2&amp;F$1&amp;"C"&amp;$A30))-IF(RTD("tos.rtd",,$A$2,"."&amp;F$2&amp;F$1&amp;"P"&amp;$A30)="N/A",0,RTD("tos.rtd",,$A$2,"."&amp;F$2&amp;F$1&amp;"P"&amp;$A30))</f>
        <v>0</v>
      </c>
      <c r="G30" s="91">
        <f ca="1">IF(RTD("tos.rtd",,$A$2,"."&amp;G$2&amp;G$1&amp;"C"&amp;$A30)="N/A",0,RTD("tos.rtd",,$A$2,"."&amp;G$2&amp;G$1&amp;"C"&amp;$A30))-IF(RTD("tos.rtd",,$A$2,"."&amp;G$2&amp;G$1&amp;"P"&amp;$A30)="N/A",0,RTD("tos.rtd",,$A$2,"."&amp;G$2&amp;G$1&amp;"P"&amp;$A30))</f>
        <v>0</v>
      </c>
      <c r="H30" s="91">
        <f ca="1">IF(RTD("tos.rtd",,$A$2,"."&amp;H$2&amp;H$1&amp;"C"&amp;$A30)="N/A",0,RTD("tos.rtd",,$A$2,"."&amp;H$2&amp;H$1&amp;"C"&amp;$A30))-IF(RTD("tos.rtd",,$A$2,"."&amp;H$2&amp;H$1&amp;"P"&amp;$A30)="N/A",0,RTD("tos.rtd",,$A$2,"."&amp;H$2&amp;H$1&amp;"P"&amp;$A30))</f>
        <v>-109</v>
      </c>
      <c r="I30" s="91">
        <f ca="1">IF(RTD("tos.rtd",,$A$2,"."&amp;I$2&amp;I$1&amp;"C"&amp;$A30)="N/A",0,RTD("tos.rtd",,$A$2,"."&amp;I$2&amp;I$1&amp;"C"&amp;$A30))-IF(RTD("tos.rtd",,$A$2,"."&amp;I$2&amp;I$1&amp;"P"&amp;$A30)="N/A",0,RTD("tos.rtd",,$A$2,"."&amp;I$2&amp;I$1&amp;"P"&amp;$A30))</f>
        <v>35</v>
      </c>
      <c r="J30" s="91">
        <f ca="1">IF(RTD("tos.rtd",,$A$2,"."&amp;J$2&amp;J$1&amp;"C"&amp;$A30)="N/A",0,RTD("tos.rtd",,$A$2,"."&amp;J$2&amp;J$1&amp;"C"&amp;$A30))-IF(RTD("tos.rtd",,$A$2,"."&amp;J$2&amp;J$1&amp;"P"&amp;$A30)="N/A",0,RTD("tos.rtd",,$A$2,"."&amp;J$2&amp;J$1&amp;"P"&amp;$A30))</f>
        <v>-70</v>
      </c>
      <c r="K30" s="91">
        <f ca="1">IF(RTD("tos.rtd",,$A$2,"."&amp;K$2&amp;K$1&amp;"C"&amp;$A30)="N/A",0,RTD("tos.rtd",,$A$2,"."&amp;K$2&amp;K$1&amp;"C"&amp;$A30))-IF(RTD("tos.rtd",,$A$2,"."&amp;K$2&amp;K$1&amp;"P"&amp;$A30)="N/A",0,RTD("tos.rtd",,$A$2,"."&amp;K$2&amp;K$1&amp;"P"&amp;$A30))</f>
        <v>-350</v>
      </c>
      <c r="L30" s="91">
        <f ca="1">IF(RTD("tos.rtd",,$A$2,"."&amp;L$2&amp;L$1&amp;"C"&amp;$A30)="N/A",0,RTD("tos.rtd",,$A$2,"."&amp;L$2&amp;L$1&amp;"C"&amp;$A30))-IF(RTD("tos.rtd",,$A$2,"."&amp;L$2&amp;L$1&amp;"P"&amp;$A30)="N/A",0,RTD("tos.rtd",,$A$2,"."&amp;L$2&amp;L$1&amp;"P"&amp;$A30))</f>
        <v>-170</v>
      </c>
      <c r="M30" s="91">
        <f ca="1">IF(RTD("tos.rtd",,$A$2,"."&amp;M$2&amp;M$1&amp;"C"&amp;$A30)="N/A",0,RTD("tos.rtd",,$A$2,"."&amp;M$2&amp;M$1&amp;"C"&amp;$A30))-IF(RTD("tos.rtd",,$A$2,"."&amp;M$2&amp;M$1&amp;"P"&amp;$A30)="N/A",0,RTD("tos.rtd",,$A$2,"."&amp;M$2&amp;M$1&amp;"P"&amp;$A30))</f>
        <v>0</v>
      </c>
      <c r="N30" s="91">
        <f ca="1">IF(RTD("tos.rtd",,$A$2,"."&amp;N$2&amp;N$1&amp;"C"&amp;$A30)="N/A",0,RTD("tos.rtd",,$A$2,"."&amp;N$2&amp;N$1&amp;"C"&amp;$A30))-IF(RTD("tos.rtd",,$A$2,"."&amp;N$2&amp;N$1&amp;"P"&amp;$A30)="N/A",0,RTD("tos.rtd",,$A$2,"."&amp;N$2&amp;N$1&amp;"P"&amp;$A30))</f>
        <v>-37</v>
      </c>
      <c r="O30" s="91">
        <f ca="1">IF(RTD("tos.rtd",,$A$2,"."&amp;O$2&amp;O$1&amp;"C"&amp;$A30)="N/A",0,RTD("tos.rtd",,$A$2,"."&amp;O$2&amp;O$1&amp;"C"&amp;$A30))-IF(RTD("tos.rtd",,$A$2,"."&amp;O$2&amp;O$1&amp;"P"&amp;$A30)="N/A",0,RTD("tos.rtd",,$A$2,"."&amp;O$2&amp;O$1&amp;"P"&amp;$A30))</f>
        <v>-158</v>
      </c>
      <c r="P30" s="91">
        <f ca="1">IF(RTD("tos.rtd",,$A$2,"."&amp;P$2&amp;P$1&amp;"C"&amp;$A30)="N/A",0,RTD("tos.rtd",,$A$2,"."&amp;P$2&amp;P$1&amp;"C"&amp;$A30))-IF(RTD("tos.rtd",,$A$2,"."&amp;P$2&amp;P$1&amp;"P"&amp;$A30)="N/A",0,RTD("tos.rtd",,$A$2,"."&amp;P$2&amp;P$1&amp;"P"&amp;$A30))</f>
        <v>-2</v>
      </c>
      <c r="Q30" s="91">
        <f ca="1">IF(RTD("tos.rtd",,$A$2,"."&amp;Q$2&amp;Q$1&amp;"C"&amp;$A30)="N/A",0,RTD("tos.rtd",,$A$2,"."&amp;Q$2&amp;Q$1&amp;"C"&amp;$A30))-IF(RTD("tos.rtd",,$A$2,"."&amp;Q$2&amp;Q$1&amp;"P"&amp;$A30)="N/A",0,RTD("tos.rtd",,$A$2,"."&amp;Q$2&amp;Q$1&amp;"P"&amp;$A30))</f>
        <v>0</v>
      </c>
      <c r="R30" s="91">
        <f ca="1">IF(RTD("tos.rtd",,$A$2,"."&amp;R$2&amp;R$1&amp;"C"&amp;$A30)="N/A",0,RTD("tos.rtd",,$A$2,"."&amp;R$2&amp;R$1&amp;"C"&amp;$A30))-IF(RTD("tos.rtd",,$A$2,"."&amp;R$2&amp;R$1&amp;"P"&amp;$A30)="N/A",0,RTD("tos.rtd",,$A$2,"."&amp;R$2&amp;R$1&amp;"P"&amp;$A30))</f>
        <v>3</v>
      </c>
      <c r="S30" s="91">
        <f ca="1">IF(RTD("tos.rtd",,$A$2,"."&amp;S$2&amp;S$1&amp;"C"&amp;$A30)="N/A",0,RTD("tos.rtd",,$A$2,"."&amp;S$2&amp;S$1&amp;"C"&amp;$A30))-IF(RTD("tos.rtd",,$A$2,"."&amp;S$2&amp;S$1&amp;"P"&amp;$A30)="N/A",0,RTD("tos.rtd",,$A$2,"."&amp;S$2&amp;S$1&amp;"P"&amp;$A30))</f>
        <v>0</v>
      </c>
      <c r="T30" s="91">
        <f ca="1">IF(RTD("tos.rtd",,$A$2,"."&amp;T$2&amp;T$1&amp;"C"&amp;$A30)="N/A",0,RTD("tos.rtd",,$A$2,"."&amp;T$2&amp;T$1&amp;"C"&amp;$A30))-IF(RTD("tos.rtd",,$A$2,"."&amp;T$2&amp;T$1&amp;"P"&amp;$A30)="N/A",0,RTD("tos.rtd",,$A$2,"."&amp;T$2&amp;T$1&amp;"P"&amp;$A30))</f>
        <v>-6</v>
      </c>
      <c r="U30" s="91">
        <f ca="1">IF(RTD("tos.rtd",,$A$2,"."&amp;U$2&amp;U$1&amp;"C"&amp;$A30)="N/A",0,RTD("tos.rtd",,$A$2,"."&amp;U$2&amp;U$1&amp;"C"&amp;$A30))-IF(RTD("tos.rtd",,$A$2,"."&amp;U$2&amp;U$1&amp;"P"&amp;$A30)="N/A",0,RTD("tos.rtd",,$A$2,"."&amp;U$2&amp;U$1&amp;"P"&amp;$A30))</f>
        <v>0</v>
      </c>
      <c r="V30" s="91">
        <f ca="1">IF(RTD("tos.rtd",,$A$2,"."&amp;V$2&amp;V$1&amp;"C"&amp;$A30)="N/A",0,RTD("tos.rtd",,$A$2,"."&amp;V$2&amp;V$1&amp;"C"&amp;$A30))-IF(RTD("tos.rtd",,$A$2,"."&amp;V$2&amp;V$1&amp;"P"&amp;$A30)="N/A",0,RTD("tos.rtd",,$A$2,"."&amp;V$2&amp;V$1&amp;"P"&amp;$A30))</f>
        <v>0</v>
      </c>
      <c r="W30" s="91">
        <f ca="1">IF(RTD("tos.rtd",,$A$2,"."&amp;W$2&amp;W$1&amp;"C"&amp;$A30)="N/A",0,RTD("tos.rtd",,$A$2,"."&amp;W$2&amp;W$1&amp;"C"&amp;$A30))-IF(RTD("tos.rtd",,$A$2,"."&amp;W$2&amp;W$1&amp;"P"&amp;$A30)="N/A",0,RTD("tos.rtd",,$A$2,"."&amp;W$2&amp;W$1&amp;"P"&amp;$A30))</f>
        <v>0</v>
      </c>
      <c r="X30" s="91">
        <f ca="1">IF(RTD("tos.rtd",,$A$2,"."&amp;X$2&amp;X$1&amp;"C"&amp;$A30)="N/A",0,RTD("tos.rtd",,$A$2,"."&amp;X$2&amp;X$1&amp;"C"&amp;$A30))-IF(RTD("tos.rtd",,$A$2,"."&amp;X$2&amp;X$1&amp;"P"&amp;$A30)="N/A",0,RTD("tos.rtd",,$A$2,"."&amp;X$2&amp;X$1&amp;"P"&amp;$A30))</f>
        <v>-10</v>
      </c>
      <c r="Y30" s="98">
        <f t="shared" ca="1" si="3"/>
        <v>-874</v>
      </c>
    </row>
    <row r="31" spans="1:25" x14ac:dyDescent="0.25">
      <c r="A31" s="93">
        <f>+Hoja1!A30</f>
        <v>556</v>
      </c>
      <c r="B31" s="91">
        <f ca="1">IF(RTD("tos.rtd",,$A$2,"."&amp;B$2&amp;B$1&amp;"C"&amp;$A31)="N/A",0,RTD("tos.rtd",,$A$2,"."&amp;B$2&amp;B$1&amp;"C"&amp;$A31))-IF(RTD("tos.rtd",,$A$2,"."&amp;B$2&amp;B$1&amp;"P"&amp;$A31)="N/A",0,RTD("tos.rtd",,$A$2,"."&amp;B$2&amp;B$1&amp;"P"&amp;$A31))</f>
        <v>0</v>
      </c>
      <c r="C31" s="91">
        <f ca="1">IF(RTD("tos.rtd",,$A$2,"."&amp;C$2&amp;C$1&amp;"C"&amp;$A31)="N/A",0,RTD("tos.rtd",,$A$2,"."&amp;C$2&amp;C$1&amp;"C"&amp;$A31))-IF(RTD("tos.rtd",,$A$2,"."&amp;C$2&amp;C$1&amp;"P"&amp;$A31)="N/A",0,RTD("tos.rtd",,$A$2,"."&amp;C$2&amp;C$1&amp;"P"&amp;$A31))</f>
        <v>0</v>
      </c>
      <c r="D31" s="91">
        <f ca="1">IF(RTD("tos.rtd",,$A$2,"."&amp;D$2&amp;D$1&amp;"C"&amp;$A31)="N/A",0,RTD("tos.rtd",,$A$2,"."&amp;D$2&amp;D$1&amp;"C"&amp;$A31))-IF(RTD("tos.rtd",,$A$2,"."&amp;D$2&amp;D$1&amp;"P"&amp;$A31)="N/A",0,RTD("tos.rtd",,$A$2,"."&amp;D$2&amp;D$1&amp;"P"&amp;$A31))</f>
        <v>0</v>
      </c>
      <c r="E31" s="91">
        <f ca="1">IF(RTD("tos.rtd",,$A$2,"."&amp;E$2&amp;E$1&amp;"C"&amp;$A31)="N/A",0,RTD("tos.rtd",,$A$2,"."&amp;E$2&amp;E$1&amp;"C"&amp;$A31))-IF(RTD("tos.rtd",,$A$2,"."&amp;E$2&amp;E$1&amp;"P"&amp;$A31)="N/A",0,RTD("tos.rtd",,$A$2,"."&amp;E$2&amp;E$1&amp;"P"&amp;$A31))</f>
        <v>0</v>
      </c>
      <c r="F31" s="91">
        <f ca="1">IF(RTD("tos.rtd",,$A$2,"."&amp;F$2&amp;F$1&amp;"C"&amp;$A31)="N/A",0,RTD("tos.rtd",,$A$2,"."&amp;F$2&amp;F$1&amp;"C"&amp;$A31))-IF(RTD("tos.rtd",,$A$2,"."&amp;F$2&amp;F$1&amp;"P"&amp;$A31)="N/A",0,RTD("tos.rtd",,$A$2,"."&amp;F$2&amp;F$1&amp;"P"&amp;$A31))</f>
        <v>0</v>
      </c>
      <c r="G31" s="91">
        <f ca="1">IF(RTD("tos.rtd",,$A$2,"."&amp;G$2&amp;G$1&amp;"C"&amp;$A31)="N/A",0,RTD("tos.rtd",,$A$2,"."&amp;G$2&amp;G$1&amp;"C"&amp;$A31))-IF(RTD("tos.rtd",,$A$2,"."&amp;G$2&amp;G$1&amp;"P"&amp;$A31)="N/A",0,RTD("tos.rtd",,$A$2,"."&amp;G$2&amp;G$1&amp;"P"&amp;$A31))</f>
        <v>0</v>
      </c>
      <c r="H31" s="91">
        <f ca="1">IF(RTD("tos.rtd",,$A$2,"."&amp;H$2&amp;H$1&amp;"C"&amp;$A31)="N/A",0,RTD("tos.rtd",,$A$2,"."&amp;H$2&amp;H$1&amp;"C"&amp;$A31))-IF(RTD("tos.rtd",,$A$2,"."&amp;H$2&amp;H$1&amp;"P"&amp;$A31)="N/A",0,RTD("tos.rtd",,$A$2,"."&amp;H$2&amp;H$1&amp;"P"&amp;$A31))</f>
        <v>-147</v>
      </c>
      <c r="I31" s="91">
        <f ca="1">IF(RTD("tos.rtd",,$A$2,"."&amp;I$2&amp;I$1&amp;"C"&amp;$A31)="N/A",0,RTD("tos.rtd",,$A$2,"."&amp;I$2&amp;I$1&amp;"C"&amp;$A31))-IF(RTD("tos.rtd",,$A$2,"."&amp;I$2&amp;I$1&amp;"P"&amp;$A31)="N/A",0,RTD("tos.rtd",,$A$2,"."&amp;I$2&amp;I$1&amp;"P"&amp;$A31))</f>
        <v>-1326</v>
      </c>
      <c r="J31" s="91">
        <f ca="1">IF(RTD("tos.rtd",,$A$2,"."&amp;J$2&amp;J$1&amp;"C"&amp;$A31)="N/A",0,RTD("tos.rtd",,$A$2,"."&amp;J$2&amp;J$1&amp;"C"&amp;$A31))-IF(RTD("tos.rtd",,$A$2,"."&amp;J$2&amp;J$1&amp;"P"&amp;$A31)="N/A",0,RTD("tos.rtd",,$A$2,"."&amp;J$2&amp;J$1&amp;"P"&amp;$A31))</f>
        <v>-62</v>
      </c>
      <c r="K31" s="91">
        <f ca="1">IF(RTD("tos.rtd",,$A$2,"."&amp;K$2&amp;K$1&amp;"C"&amp;$A31)="N/A",0,RTD("tos.rtd",,$A$2,"."&amp;K$2&amp;K$1&amp;"C"&amp;$A31))-IF(RTD("tos.rtd",,$A$2,"."&amp;K$2&amp;K$1&amp;"P"&amp;$A31)="N/A",0,RTD("tos.rtd",,$A$2,"."&amp;K$2&amp;K$1&amp;"P"&amp;$A31))</f>
        <v>-150</v>
      </c>
      <c r="L31" s="91">
        <f ca="1">IF(RTD("tos.rtd",,$A$2,"."&amp;L$2&amp;L$1&amp;"C"&amp;$A31)="N/A",0,RTD("tos.rtd",,$A$2,"."&amp;L$2&amp;L$1&amp;"C"&amp;$A31))-IF(RTD("tos.rtd",,$A$2,"."&amp;L$2&amp;L$1&amp;"P"&amp;$A31)="N/A",0,RTD("tos.rtd",,$A$2,"."&amp;L$2&amp;L$1&amp;"P"&amp;$A31))</f>
        <v>-20</v>
      </c>
      <c r="M31" s="91">
        <f ca="1">IF(RTD("tos.rtd",,$A$2,"."&amp;M$2&amp;M$1&amp;"C"&amp;$A31)="N/A",0,RTD("tos.rtd",,$A$2,"."&amp;M$2&amp;M$1&amp;"C"&amp;$A31))-IF(RTD("tos.rtd",,$A$2,"."&amp;M$2&amp;M$1&amp;"P"&amp;$A31)="N/A",0,RTD("tos.rtd",,$A$2,"."&amp;M$2&amp;M$1&amp;"P"&amp;$A31))</f>
        <v>0</v>
      </c>
      <c r="N31" s="91">
        <f ca="1">IF(RTD("tos.rtd",,$A$2,"."&amp;N$2&amp;N$1&amp;"C"&amp;$A31)="N/A",0,RTD("tos.rtd",,$A$2,"."&amp;N$2&amp;N$1&amp;"C"&amp;$A31))-IF(RTD("tos.rtd",,$A$2,"."&amp;N$2&amp;N$1&amp;"P"&amp;$A31)="N/A",0,RTD("tos.rtd",,$A$2,"."&amp;N$2&amp;N$1&amp;"P"&amp;$A31))</f>
        <v>-33</v>
      </c>
      <c r="O31" s="91">
        <f ca="1">IF(RTD("tos.rtd",,$A$2,"."&amp;O$2&amp;O$1&amp;"C"&amp;$A31)="N/A",0,RTD("tos.rtd",,$A$2,"."&amp;O$2&amp;O$1&amp;"C"&amp;$A31))-IF(RTD("tos.rtd",,$A$2,"."&amp;O$2&amp;O$1&amp;"P"&amp;$A31)="N/A",0,RTD("tos.rtd",,$A$2,"."&amp;O$2&amp;O$1&amp;"P"&amp;$A31))</f>
        <v>-94</v>
      </c>
      <c r="P31" s="91">
        <f ca="1">IF(RTD("tos.rtd",,$A$2,"."&amp;P$2&amp;P$1&amp;"C"&amp;$A31)="N/A",0,RTD("tos.rtd",,$A$2,"."&amp;P$2&amp;P$1&amp;"C"&amp;$A31))-IF(RTD("tos.rtd",,$A$2,"."&amp;P$2&amp;P$1&amp;"P"&amp;$A31)="N/A",0,RTD("tos.rtd",,$A$2,"."&amp;P$2&amp;P$1&amp;"P"&amp;$A31))</f>
        <v>3</v>
      </c>
      <c r="Q31" s="91">
        <f ca="1">IF(RTD("tos.rtd",,$A$2,"."&amp;Q$2&amp;Q$1&amp;"C"&amp;$A31)="N/A",0,RTD("tos.rtd",,$A$2,"."&amp;Q$2&amp;Q$1&amp;"C"&amp;$A31))-IF(RTD("tos.rtd",,$A$2,"."&amp;Q$2&amp;Q$1&amp;"P"&amp;$A31)="N/A",0,RTD("tos.rtd",,$A$2,"."&amp;Q$2&amp;Q$1&amp;"P"&amp;$A31))</f>
        <v>0</v>
      </c>
      <c r="R31" s="91">
        <f ca="1">IF(RTD("tos.rtd",,$A$2,"."&amp;R$2&amp;R$1&amp;"C"&amp;$A31)="N/A",0,RTD("tos.rtd",,$A$2,"."&amp;R$2&amp;R$1&amp;"C"&amp;$A31))-IF(RTD("tos.rtd",,$A$2,"."&amp;R$2&amp;R$1&amp;"P"&amp;$A31)="N/A",0,RTD("tos.rtd",,$A$2,"."&amp;R$2&amp;R$1&amp;"P"&amp;$A31))</f>
        <v>0</v>
      </c>
      <c r="S31" s="91">
        <f ca="1">IF(RTD("tos.rtd",,$A$2,"."&amp;S$2&amp;S$1&amp;"C"&amp;$A31)="N/A",0,RTD("tos.rtd",,$A$2,"."&amp;S$2&amp;S$1&amp;"C"&amp;$A31))-IF(RTD("tos.rtd",,$A$2,"."&amp;S$2&amp;S$1&amp;"P"&amp;$A31)="N/A",0,RTD("tos.rtd",,$A$2,"."&amp;S$2&amp;S$1&amp;"P"&amp;$A31))</f>
        <v>0</v>
      </c>
      <c r="T31" s="91">
        <f ca="1">IF(RTD("tos.rtd",,$A$2,"."&amp;T$2&amp;T$1&amp;"C"&amp;$A31)="N/A",0,RTD("tos.rtd",,$A$2,"."&amp;T$2&amp;T$1&amp;"C"&amp;$A31))-IF(RTD("tos.rtd",,$A$2,"."&amp;T$2&amp;T$1&amp;"P"&amp;$A31)="N/A",0,RTD("tos.rtd",,$A$2,"."&amp;T$2&amp;T$1&amp;"P"&amp;$A31))</f>
        <v>-18</v>
      </c>
      <c r="U31" s="91">
        <f ca="1">IF(RTD("tos.rtd",,$A$2,"."&amp;U$2&amp;U$1&amp;"C"&amp;$A31)="N/A",0,RTD("tos.rtd",,$A$2,"."&amp;U$2&amp;U$1&amp;"C"&amp;$A31))-IF(RTD("tos.rtd",,$A$2,"."&amp;U$2&amp;U$1&amp;"P"&amp;$A31)="N/A",0,RTD("tos.rtd",,$A$2,"."&amp;U$2&amp;U$1&amp;"P"&amp;$A31))</f>
        <v>0</v>
      </c>
      <c r="V31" s="91">
        <f ca="1">IF(RTD("tos.rtd",,$A$2,"."&amp;V$2&amp;V$1&amp;"C"&amp;$A31)="N/A",0,RTD("tos.rtd",,$A$2,"."&amp;V$2&amp;V$1&amp;"C"&amp;$A31))-IF(RTD("tos.rtd",,$A$2,"."&amp;V$2&amp;V$1&amp;"P"&amp;$A31)="N/A",0,RTD("tos.rtd",,$A$2,"."&amp;V$2&amp;V$1&amp;"P"&amp;$A31))</f>
        <v>0</v>
      </c>
      <c r="W31" s="91">
        <f ca="1">IF(RTD("tos.rtd",,$A$2,"."&amp;W$2&amp;W$1&amp;"C"&amp;$A31)="N/A",0,RTD("tos.rtd",,$A$2,"."&amp;W$2&amp;W$1&amp;"C"&amp;$A31))-IF(RTD("tos.rtd",,$A$2,"."&amp;W$2&amp;W$1&amp;"P"&amp;$A31)="N/A",0,RTD("tos.rtd",,$A$2,"."&amp;W$2&amp;W$1&amp;"P"&amp;$A31))</f>
        <v>0</v>
      </c>
      <c r="X31" s="91">
        <f ca="1">IF(RTD("tos.rtd",,$A$2,"."&amp;X$2&amp;X$1&amp;"C"&amp;$A31)="N/A",0,RTD("tos.rtd",,$A$2,"."&amp;X$2&amp;X$1&amp;"C"&amp;$A31))-IF(RTD("tos.rtd",,$A$2,"."&amp;X$2&amp;X$1&amp;"P"&amp;$A31)="N/A",0,RTD("tos.rtd",,$A$2,"."&amp;X$2&amp;X$1&amp;"P"&amp;$A31))</f>
        <v>0</v>
      </c>
      <c r="Y31" s="98">
        <f t="shared" ca="1" si="3"/>
        <v>-1847</v>
      </c>
    </row>
    <row r="32" spans="1:25" x14ac:dyDescent="0.25">
      <c r="A32" s="93">
        <f>+Hoja1!A31</f>
        <v>555</v>
      </c>
      <c r="B32" s="91">
        <f ca="1">IF(RTD("tos.rtd",,$A$2,"."&amp;B$2&amp;B$1&amp;"C"&amp;$A32)="N/A",0,RTD("tos.rtd",,$A$2,"."&amp;B$2&amp;B$1&amp;"C"&amp;$A32))-IF(RTD("tos.rtd",,$A$2,"."&amp;B$2&amp;B$1&amp;"P"&amp;$A32)="N/A",0,RTD("tos.rtd",,$A$2,"."&amp;B$2&amp;B$1&amp;"P"&amp;$A32))</f>
        <v>0</v>
      </c>
      <c r="C32" s="91">
        <f ca="1">IF(RTD("tos.rtd",,$A$2,"."&amp;C$2&amp;C$1&amp;"C"&amp;$A32)="N/A",0,RTD("tos.rtd",,$A$2,"."&amp;C$2&amp;C$1&amp;"C"&amp;$A32))-IF(RTD("tos.rtd",,$A$2,"."&amp;C$2&amp;C$1&amp;"P"&amp;$A32)="N/A",0,RTD("tos.rtd",,$A$2,"."&amp;C$2&amp;C$1&amp;"P"&amp;$A32))</f>
        <v>0</v>
      </c>
      <c r="D32" s="91">
        <f ca="1">IF(RTD("tos.rtd",,$A$2,"."&amp;D$2&amp;D$1&amp;"C"&amp;$A32)="N/A",0,RTD("tos.rtd",,$A$2,"."&amp;D$2&amp;D$1&amp;"C"&amp;$A32))-IF(RTD("tos.rtd",,$A$2,"."&amp;D$2&amp;D$1&amp;"P"&amp;$A32)="N/A",0,RTD("tos.rtd",,$A$2,"."&amp;D$2&amp;D$1&amp;"P"&amp;$A32))</f>
        <v>0</v>
      </c>
      <c r="E32" s="91">
        <f ca="1">IF(RTD("tos.rtd",,$A$2,"."&amp;E$2&amp;E$1&amp;"C"&amp;$A32)="N/A",0,RTD("tos.rtd",,$A$2,"."&amp;E$2&amp;E$1&amp;"C"&amp;$A32))-IF(RTD("tos.rtd",,$A$2,"."&amp;E$2&amp;E$1&amp;"P"&amp;$A32)="N/A",0,RTD("tos.rtd",,$A$2,"."&amp;E$2&amp;E$1&amp;"P"&amp;$A32))</f>
        <v>0</v>
      </c>
      <c r="F32" s="91">
        <f ca="1">IF(RTD("tos.rtd",,$A$2,"."&amp;F$2&amp;F$1&amp;"C"&amp;$A32)="N/A",0,RTD("tos.rtd",,$A$2,"."&amp;F$2&amp;F$1&amp;"C"&amp;$A32))-IF(RTD("tos.rtd",,$A$2,"."&amp;F$2&amp;F$1&amp;"P"&amp;$A32)="N/A",0,RTD("tos.rtd",,$A$2,"."&amp;F$2&amp;F$1&amp;"P"&amp;$A32))</f>
        <v>0</v>
      </c>
      <c r="G32" s="91">
        <f ca="1">IF(RTD("tos.rtd",,$A$2,"."&amp;G$2&amp;G$1&amp;"C"&amp;$A32)="N/A",0,RTD("tos.rtd",,$A$2,"."&amp;G$2&amp;G$1&amp;"C"&amp;$A32))-IF(RTD("tos.rtd",,$A$2,"."&amp;G$2&amp;G$1&amp;"P"&amp;$A32)="N/A",0,RTD("tos.rtd",,$A$2,"."&amp;G$2&amp;G$1&amp;"P"&amp;$A32))</f>
        <v>0</v>
      </c>
      <c r="H32" s="91">
        <f ca="1">IF(RTD("tos.rtd",,$A$2,"."&amp;H$2&amp;H$1&amp;"C"&amp;$A32)="N/A",0,RTD("tos.rtd",,$A$2,"."&amp;H$2&amp;H$1&amp;"C"&amp;$A32))-IF(RTD("tos.rtd",,$A$2,"."&amp;H$2&amp;H$1&amp;"P"&amp;$A32)="N/A",0,RTD("tos.rtd",,$A$2,"."&amp;H$2&amp;H$1&amp;"P"&amp;$A32))</f>
        <v>-2040</v>
      </c>
      <c r="I32" s="91">
        <f ca="1">IF(RTD("tos.rtd",,$A$2,"."&amp;I$2&amp;I$1&amp;"C"&amp;$A32)="N/A",0,RTD("tos.rtd",,$A$2,"."&amp;I$2&amp;I$1&amp;"C"&amp;$A32))-IF(RTD("tos.rtd",,$A$2,"."&amp;I$2&amp;I$1&amp;"P"&amp;$A32)="N/A",0,RTD("tos.rtd",,$A$2,"."&amp;I$2&amp;I$1&amp;"P"&amp;$A32))</f>
        <v>-2924</v>
      </c>
      <c r="J32" s="91">
        <f ca="1">IF(RTD("tos.rtd",,$A$2,"."&amp;J$2&amp;J$1&amp;"C"&amp;$A32)="N/A",0,RTD("tos.rtd",,$A$2,"."&amp;J$2&amp;J$1&amp;"C"&amp;$A32))-IF(RTD("tos.rtd",,$A$2,"."&amp;J$2&amp;J$1&amp;"P"&amp;$A32)="N/A",0,RTD("tos.rtd",,$A$2,"."&amp;J$2&amp;J$1&amp;"P"&amp;$A32))</f>
        <v>-414</v>
      </c>
      <c r="K32" s="91">
        <f ca="1">IF(RTD("tos.rtd",,$A$2,"."&amp;K$2&amp;K$1&amp;"C"&amp;$A32)="N/A",0,RTD("tos.rtd",,$A$2,"."&amp;K$2&amp;K$1&amp;"C"&amp;$A32))-IF(RTD("tos.rtd",,$A$2,"."&amp;K$2&amp;K$1&amp;"P"&amp;$A32)="N/A",0,RTD("tos.rtd",,$A$2,"."&amp;K$2&amp;K$1&amp;"P"&amp;$A32))</f>
        <v>-1275</v>
      </c>
      <c r="L32" s="91">
        <f ca="1">IF(RTD("tos.rtd",,$A$2,"."&amp;L$2&amp;L$1&amp;"C"&amp;$A32)="N/A",0,RTD("tos.rtd",,$A$2,"."&amp;L$2&amp;L$1&amp;"C"&amp;$A32))-IF(RTD("tos.rtd",,$A$2,"."&amp;L$2&amp;L$1&amp;"P"&amp;$A32)="N/A",0,RTD("tos.rtd",,$A$2,"."&amp;L$2&amp;L$1&amp;"P"&amp;$A32))</f>
        <v>-4801</v>
      </c>
      <c r="M32" s="91">
        <f ca="1">IF(RTD("tos.rtd",,$A$2,"."&amp;M$2&amp;M$1&amp;"C"&amp;$A32)="N/A",0,RTD("tos.rtd",,$A$2,"."&amp;M$2&amp;M$1&amp;"C"&amp;$A32))-IF(RTD("tos.rtd",,$A$2,"."&amp;M$2&amp;M$1&amp;"P"&amp;$A32)="N/A",0,RTD("tos.rtd",,$A$2,"."&amp;M$2&amp;M$1&amp;"P"&amp;$A32))</f>
        <v>-1174</v>
      </c>
      <c r="N32" s="91">
        <f ca="1">IF(RTD("tos.rtd",,$A$2,"."&amp;N$2&amp;N$1&amp;"C"&amp;$A32)="N/A",0,RTD("tos.rtd",,$A$2,"."&amp;N$2&amp;N$1&amp;"C"&amp;$A32))-IF(RTD("tos.rtd",,$A$2,"."&amp;N$2&amp;N$1&amp;"P"&amp;$A32)="N/A",0,RTD("tos.rtd",,$A$2,"."&amp;N$2&amp;N$1&amp;"P"&amp;$A32))</f>
        <v>-344</v>
      </c>
      <c r="O32" s="91">
        <f ca="1">IF(RTD("tos.rtd",,$A$2,"."&amp;O$2&amp;O$1&amp;"C"&amp;$A32)="N/A",0,RTD("tos.rtd",,$A$2,"."&amp;O$2&amp;O$1&amp;"C"&amp;$A32))-IF(RTD("tos.rtd",,$A$2,"."&amp;O$2&amp;O$1&amp;"P"&amp;$A32)="N/A",0,RTD("tos.rtd",,$A$2,"."&amp;O$2&amp;O$1&amp;"P"&amp;$A32))</f>
        <v>-87</v>
      </c>
      <c r="P32" s="91">
        <f ca="1">IF(RTD("tos.rtd",,$A$2,"."&amp;P$2&amp;P$1&amp;"C"&amp;$A32)="N/A",0,RTD("tos.rtd",,$A$2,"."&amp;P$2&amp;P$1&amp;"C"&amp;$A32))-IF(RTD("tos.rtd",,$A$2,"."&amp;P$2&amp;P$1&amp;"P"&amp;$A32)="N/A",0,RTD("tos.rtd",,$A$2,"."&amp;P$2&amp;P$1&amp;"P"&amp;$A32))</f>
        <v>-15</v>
      </c>
      <c r="Q32" s="91">
        <f ca="1">IF(RTD("tos.rtd",,$A$2,"."&amp;Q$2&amp;Q$1&amp;"C"&amp;$A32)="N/A",0,RTD("tos.rtd",,$A$2,"."&amp;Q$2&amp;Q$1&amp;"C"&amp;$A32))-IF(RTD("tos.rtd",,$A$2,"."&amp;Q$2&amp;Q$1&amp;"P"&amp;$A32)="N/A",0,RTD("tos.rtd",,$A$2,"."&amp;Q$2&amp;Q$1&amp;"P"&amp;$A32))</f>
        <v>-3707</v>
      </c>
      <c r="R32" s="91">
        <f ca="1">IF(RTD("tos.rtd",,$A$2,"."&amp;R$2&amp;R$1&amp;"C"&amp;$A32)="N/A",0,RTD("tos.rtd",,$A$2,"."&amp;R$2&amp;R$1&amp;"C"&amp;$A32))-IF(RTD("tos.rtd",,$A$2,"."&amp;R$2&amp;R$1&amp;"P"&amp;$A32)="N/A",0,RTD("tos.rtd",,$A$2,"."&amp;R$2&amp;R$1&amp;"P"&amp;$A32))</f>
        <v>-15</v>
      </c>
      <c r="S32" s="91">
        <f ca="1">IF(RTD("tos.rtd",,$A$2,"."&amp;S$2&amp;S$1&amp;"C"&amp;$A32)="N/A",0,RTD("tos.rtd",,$A$2,"."&amp;S$2&amp;S$1&amp;"C"&amp;$A32))-IF(RTD("tos.rtd",,$A$2,"."&amp;S$2&amp;S$1&amp;"P"&amp;$A32)="N/A",0,RTD("tos.rtd",,$A$2,"."&amp;S$2&amp;S$1&amp;"P"&amp;$A32))</f>
        <v>0</v>
      </c>
      <c r="T32" s="91">
        <f ca="1">IF(RTD("tos.rtd",,$A$2,"."&amp;T$2&amp;T$1&amp;"C"&amp;$A32)="N/A",0,RTD("tos.rtd",,$A$2,"."&amp;T$2&amp;T$1&amp;"C"&amp;$A32))-IF(RTD("tos.rtd",,$A$2,"."&amp;T$2&amp;T$1&amp;"P"&amp;$A32)="N/A",0,RTD("tos.rtd",,$A$2,"."&amp;T$2&amp;T$1&amp;"P"&amp;$A32))</f>
        <v>-26</v>
      </c>
      <c r="U32" s="91">
        <f ca="1">IF(RTD("tos.rtd",,$A$2,"."&amp;U$2&amp;U$1&amp;"C"&amp;$A32)="N/A",0,RTD("tos.rtd",,$A$2,"."&amp;U$2&amp;U$1&amp;"C"&amp;$A32))-IF(RTD("tos.rtd",,$A$2,"."&amp;U$2&amp;U$1&amp;"P"&amp;$A32)="N/A",0,RTD("tos.rtd",,$A$2,"."&amp;U$2&amp;U$1&amp;"P"&amp;$A32))</f>
        <v>0</v>
      </c>
      <c r="V32" s="91">
        <f ca="1">IF(RTD("tos.rtd",,$A$2,"."&amp;V$2&amp;V$1&amp;"C"&amp;$A32)="N/A",0,RTD("tos.rtd",,$A$2,"."&amp;V$2&amp;V$1&amp;"C"&amp;$A32))-IF(RTD("tos.rtd",,$A$2,"."&amp;V$2&amp;V$1&amp;"P"&amp;$A32)="N/A",0,RTD("tos.rtd",,$A$2,"."&amp;V$2&amp;V$1&amp;"P"&amp;$A32))</f>
        <v>0</v>
      </c>
      <c r="W32" s="91">
        <f ca="1">IF(RTD("tos.rtd",,$A$2,"."&amp;W$2&amp;W$1&amp;"C"&amp;$A32)="N/A",0,RTD("tos.rtd",,$A$2,"."&amp;W$2&amp;W$1&amp;"C"&amp;$A32))-IF(RTD("tos.rtd",,$A$2,"."&amp;W$2&amp;W$1&amp;"P"&amp;$A32)="N/A",0,RTD("tos.rtd",,$A$2,"."&amp;W$2&amp;W$1&amp;"P"&amp;$A32))</f>
        <v>-9</v>
      </c>
      <c r="X32" s="91">
        <f ca="1">IF(RTD("tos.rtd",,$A$2,"."&amp;X$2&amp;X$1&amp;"C"&amp;$A32)="N/A",0,RTD("tos.rtd",,$A$2,"."&amp;X$2&amp;X$1&amp;"C"&amp;$A32))-IF(RTD("tos.rtd",,$A$2,"."&amp;X$2&amp;X$1&amp;"P"&amp;$A32)="N/A",0,RTD("tos.rtd",,$A$2,"."&amp;X$2&amp;X$1&amp;"P"&amp;$A32))</f>
        <v>-3</v>
      </c>
      <c r="Y32" s="98">
        <f t="shared" ca="1" si="3"/>
        <v>-16834</v>
      </c>
    </row>
    <row r="33" spans="1:25" x14ac:dyDescent="0.25">
      <c r="A33" s="93">
        <f>+Hoja1!A32</f>
        <v>554</v>
      </c>
      <c r="B33" s="91">
        <f ca="1">IF(RTD("tos.rtd",,$A$2,"."&amp;B$2&amp;B$1&amp;"C"&amp;$A33)="N/A",0,RTD("tos.rtd",,$A$2,"."&amp;B$2&amp;B$1&amp;"C"&amp;$A33))-IF(RTD("tos.rtd",,$A$2,"."&amp;B$2&amp;B$1&amp;"P"&amp;$A33)="N/A",0,RTD("tos.rtd",,$A$2,"."&amp;B$2&amp;B$1&amp;"P"&amp;$A33))</f>
        <v>0</v>
      </c>
      <c r="C33" s="91">
        <f ca="1">IF(RTD("tos.rtd",,$A$2,"."&amp;C$2&amp;C$1&amp;"C"&amp;$A33)="N/A",0,RTD("tos.rtd",,$A$2,"."&amp;C$2&amp;C$1&amp;"C"&amp;$A33))-IF(RTD("tos.rtd",,$A$2,"."&amp;C$2&amp;C$1&amp;"P"&amp;$A33)="N/A",0,RTD("tos.rtd",,$A$2,"."&amp;C$2&amp;C$1&amp;"P"&amp;$A33))</f>
        <v>0</v>
      </c>
      <c r="D33" s="91">
        <f ca="1">IF(RTD("tos.rtd",,$A$2,"."&amp;D$2&amp;D$1&amp;"C"&amp;$A33)="N/A",0,RTD("tos.rtd",,$A$2,"."&amp;D$2&amp;D$1&amp;"C"&amp;$A33))-IF(RTD("tos.rtd",,$A$2,"."&amp;D$2&amp;D$1&amp;"P"&amp;$A33)="N/A",0,RTD("tos.rtd",,$A$2,"."&amp;D$2&amp;D$1&amp;"P"&amp;$A33))</f>
        <v>0</v>
      </c>
      <c r="E33" s="91">
        <f ca="1">IF(RTD("tos.rtd",,$A$2,"."&amp;E$2&amp;E$1&amp;"C"&amp;$A33)="N/A",0,RTD("tos.rtd",,$A$2,"."&amp;E$2&amp;E$1&amp;"C"&amp;$A33))-IF(RTD("tos.rtd",,$A$2,"."&amp;E$2&amp;E$1&amp;"P"&amp;$A33)="N/A",0,RTD("tos.rtd",,$A$2,"."&amp;E$2&amp;E$1&amp;"P"&amp;$A33))</f>
        <v>0</v>
      </c>
      <c r="F33" s="91">
        <f ca="1">IF(RTD("tos.rtd",,$A$2,"."&amp;F$2&amp;F$1&amp;"C"&amp;$A33)="N/A",0,RTD("tos.rtd",,$A$2,"."&amp;F$2&amp;F$1&amp;"C"&amp;$A33))-IF(RTD("tos.rtd",,$A$2,"."&amp;F$2&amp;F$1&amp;"P"&amp;$A33)="N/A",0,RTD("tos.rtd",,$A$2,"."&amp;F$2&amp;F$1&amp;"P"&amp;$A33))</f>
        <v>0</v>
      </c>
      <c r="G33" s="91">
        <f ca="1">IF(RTD("tos.rtd",,$A$2,"."&amp;G$2&amp;G$1&amp;"C"&amp;$A33)="N/A",0,RTD("tos.rtd",,$A$2,"."&amp;G$2&amp;G$1&amp;"C"&amp;$A33))-IF(RTD("tos.rtd",,$A$2,"."&amp;G$2&amp;G$1&amp;"P"&amp;$A33)="N/A",0,RTD("tos.rtd",,$A$2,"."&amp;G$2&amp;G$1&amp;"P"&amp;$A33))</f>
        <v>0</v>
      </c>
      <c r="H33" s="91">
        <f ca="1">IF(RTD("tos.rtd",,$A$2,"."&amp;H$2&amp;H$1&amp;"C"&amp;$A33)="N/A",0,RTD("tos.rtd",,$A$2,"."&amp;H$2&amp;H$1&amp;"C"&amp;$A33))-IF(RTD("tos.rtd",,$A$2,"."&amp;H$2&amp;H$1&amp;"P"&amp;$A33)="N/A",0,RTD("tos.rtd",,$A$2,"."&amp;H$2&amp;H$1&amp;"P"&amp;$A33))</f>
        <v>-113</v>
      </c>
      <c r="I33" s="91">
        <f ca="1">IF(RTD("tos.rtd",,$A$2,"."&amp;I$2&amp;I$1&amp;"C"&amp;$A33)="N/A",0,RTD("tos.rtd",,$A$2,"."&amp;I$2&amp;I$1&amp;"C"&amp;$A33))-IF(RTD("tos.rtd",,$A$2,"."&amp;I$2&amp;I$1&amp;"P"&amp;$A33)="N/A",0,RTD("tos.rtd",,$A$2,"."&amp;I$2&amp;I$1&amp;"P"&amp;$A33))</f>
        <v>-143</v>
      </c>
      <c r="J33" s="91">
        <f ca="1">IF(RTD("tos.rtd",,$A$2,"."&amp;J$2&amp;J$1&amp;"C"&amp;$A33)="N/A",0,RTD("tos.rtd",,$A$2,"."&amp;J$2&amp;J$1&amp;"C"&amp;$A33))-IF(RTD("tos.rtd",,$A$2,"."&amp;J$2&amp;J$1&amp;"P"&amp;$A33)="N/A",0,RTD("tos.rtd",,$A$2,"."&amp;J$2&amp;J$1&amp;"P"&amp;$A33))</f>
        <v>-27</v>
      </c>
      <c r="K33" s="91">
        <f ca="1">IF(RTD("tos.rtd",,$A$2,"."&amp;K$2&amp;K$1&amp;"C"&amp;$A33)="N/A",0,RTD("tos.rtd",,$A$2,"."&amp;K$2&amp;K$1&amp;"C"&amp;$A33))-IF(RTD("tos.rtd",,$A$2,"."&amp;K$2&amp;K$1&amp;"P"&amp;$A33)="N/A",0,RTD("tos.rtd",,$A$2,"."&amp;K$2&amp;K$1&amp;"P"&amp;$A33))</f>
        <v>-339</v>
      </c>
      <c r="L33" s="91">
        <f ca="1">IF(RTD("tos.rtd",,$A$2,"."&amp;L$2&amp;L$1&amp;"C"&amp;$A33)="N/A",0,RTD("tos.rtd",,$A$2,"."&amp;L$2&amp;L$1&amp;"C"&amp;$A33))-IF(RTD("tos.rtd",,$A$2,"."&amp;L$2&amp;L$1&amp;"P"&amp;$A33)="N/A",0,RTD("tos.rtd",,$A$2,"."&amp;L$2&amp;L$1&amp;"P"&amp;$A33))</f>
        <v>-100</v>
      </c>
      <c r="M33" s="91">
        <f ca="1">IF(RTD("tos.rtd",,$A$2,"."&amp;M$2&amp;M$1&amp;"C"&amp;$A33)="N/A",0,RTD("tos.rtd",,$A$2,"."&amp;M$2&amp;M$1&amp;"C"&amp;$A33))-IF(RTD("tos.rtd",,$A$2,"."&amp;M$2&amp;M$1&amp;"P"&amp;$A33)="N/A",0,RTD("tos.rtd",,$A$2,"."&amp;M$2&amp;M$1&amp;"P"&amp;$A33))</f>
        <v>0</v>
      </c>
      <c r="N33" s="91">
        <f ca="1">IF(RTD("tos.rtd",,$A$2,"."&amp;N$2&amp;N$1&amp;"C"&amp;$A33)="N/A",0,RTD("tos.rtd",,$A$2,"."&amp;N$2&amp;N$1&amp;"C"&amp;$A33))-IF(RTD("tos.rtd",,$A$2,"."&amp;N$2&amp;N$1&amp;"P"&amp;$A33)="N/A",0,RTD("tos.rtd",,$A$2,"."&amp;N$2&amp;N$1&amp;"P"&amp;$A33))</f>
        <v>3</v>
      </c>
      <c r="O33" s="91">
        <f ca="1">IF(RTD("tos.rtd",,$A$2,"."&amp;O$2&amp;O$1&amp;"C"&amp;$A33)="N/A",0,RTD("tos.rtd",,$A$2,"."&amp;O$2&amp;O$1&amp;"C"&amp;$A33))-IF(RTD("tos.rtd",,$A$2,"."&amp;O$2&amp;O$1&amp;"P"&amp;$A33)="N/A",0,RTD("tos.rtd",,$A$2,"."&amp;O$2&amp;O$1&amp;"P"&amp;$A33))</f>
        <v>-2</v>
      </c>
      <c r="P33" s="91">
        <f ca="1">IF(RTD("tos.rtd",,$A$2,"."&amp;P$2&amp;P$1&amp;"C"&amp;$A33)="N/A",0,RTD("tos.rtd",,$A$2,"."&amp;P$2&amp;P$1&amp;"C"&amp;$A33))-IF(RTD("tos.rtd",,$A$2,"."&amp;P$2&amp;P$1&amp;"P"&amp;$A33)="N/A",0,RTD("tos.rtd",,$A$2,"."&amp;P$2&amp;P$1&amp;"P"&amp;$A33))</f>
        <v>36</v>
      </c>
      <c r="Q33" s="91">
        <f ca="1">IF(RTD("tos.rtd",,$A$2,"."&amp;Q$2&amp;Q$1&amp;"C"&amp;$A33)="N/A",0,RTD("tos.rtd",,$A$2,"."&amp;Q$2&amp;Q$1&amp;"C"&amp;$A33))-IF(RTD("tos.rtd",,$A$2,"."&amp;Q$2&amp;Q$1&amp;"P"&amp;$A33)="N/A",0,RTD("tos.rtd",,$A$2,"."&amp;Q$2&amp;Q$1&amp;"P"&amp;$A33))</f>
        <v>0</v>
      </c>
      <c r="R33" s="91">
        <f ca="1">IF(RTD("tos.rtd",,$A$2,"."&amp;R$2&amp;R$1&amp;"C"&amp;$A33)="N/A",0,RTD("tos.rtd",,$A$2,"."&amp;R$2&amp;R$1&amp;"C"&amp;$A33))-IF(RTD("tos.rtd",,$A$2,"."&amp;R$2&amp;R$1&amp;"P"&amp;$A33)="N/A",0,RTD("tos.rtd",,$A$2,"."&amp;R$2&amp;R$1&amp;"P"&amp;$A33))</f>
        <v>-2</v>
      </c>
      <c r="S33" s="91">
        <f ca="1">IF(RTD("tos.rtd",,$A$2,"."&amp;S$2&amp;S$1&amp;"C"&amp;$A33)="N/A",0,RTD("tos.rtd",,$A$2,"."&amp;S$2&amp;S$1&amp;"C"&amp;$A33))-IF(RTD("tos.rtd",,$A$2,"."&amp;S$2&amp;S$1&amp;"P"&amp;$A33)="N/A",0,RTD("tos.rtd",,$A$2,"."&amp;S$2&amp;S$1&amp;"P"&amp;$A33))</f>
        <v>0</v>
      </c>
      <c r="T33" s="91">
        <f ca="1">IF(RTD("tos.rtd",,$A$2,"."&amp;T$2&amp;T$1&amp;"C"&amp;$A33)="N/A",0,RTD("tos.rtd",,$A$2,"."&amp;T$2&amp;T$1&amp;"C"&amp;$A33))-IF(RTD("tos.rtd",,$A$2,"."&amp;T$2&amp;T$1&amp;"P"&amp;$A33)="N/A",0,RTD("tos.rtd",,$A$2,"."&amp;T$2&amp;T$1&amp;"P"&amp;$A33))</f>
        <v>-7</v>
      </c>
      <c r="U33" s="91">
        <f ca="1">IF(RTD("tos.rtd",,$A$2,"."&amp;U$2&amp;U$1&amp;"C"&amp;$A33)="N/A",0,RTD("tos.rtd",,$A$2,"."&amp;U$2&amp;U$1&amp;"C"&amp;$A33))-IF(RTD("tos.rtd",,$A$2,"."&amp;U$2&amp;U$1&amp;"P"&amp;$A33)="N/A",0,RTD("tos.rtd",,$A$2,"."&amp;U$2&amp;U$1&amp;"P"&amp;$A33))</f>
        <v>0</v>
      </c>
      <c r="V33" s="91">
        <f ca="1">IF(RTD("tos.rtd",,$A$2,"."&amp;V$2&amp;V$1&amp;"C"&amp;$A33)="N/A",0,RTD("tos.rtd",,$A$2,"."&amp;V$2&amp;V$1&amp;"C"&amp;$A33))-IF(RTD("tos.rtd",,$A$2,"."&amp;V$2&amp;V$1&amp;"P"&amp;$A33)="N/A",0,RTD("tos.rtd",,$A$2,"."&amp;V$2&amp;V$1&amp;"P"&amp;$A33))</f>
        <v>0</v>
      </c>
      <c r="W33" s="91">
        <f ca="1">IF(RTD("tos.rtd",,$A$2,"."&amp;W$2&amp;W$1&amp;"C"&amp;$A33)="N/A",0,RTD("tos.rtd",,$A$2,"."&amp;W$2&amp;W$1&amp;"C"&amp;$A33))-IF(RTD("tos.rtd",,$A$2,"."&amp;W$2&amp;W$1&amp;"P"&amp;$A33)="N/A",0,RTD("tos.rtd",,$A$2,"."&amp;W$2&amp;W$1&amp;"P"&amp;$A33))</f>
        <v>0</v>
      </c>
      <c r="X33" s="91">
        <f ca="1">IF(RTD("tos.rtd",,$A$2,"."&amp;X$2&amp;X$1&amp;"C"&amp;$A33)="N/A",0,RTD("tos.rtd",,$A$2,"."&amp;X$2&amp;X$1&amp;"C"&amp;$A33))-IF(RTD("tos.rtd",,$A$2,"."&amp;X$2&amp;X$1&amp;"P"&amp;$A33)="N/A",0,RTD("tos.rtd",,$A$2,"."&amp;X$2&amp;X$1&amp;"P"&amp;$A33))</f>
        <v>-1</v>
      </c>
      <c r="Y33" s="98">
        <f t="shared" ca="1" si="3"/>
        <v>-695</v>
      </c>
    </row>
    <row r="34" spans="1:25" x14ac:dyDescent="0.25">
      <c r="A34" s="93">
        <f>+Hoja1!A33</f>
        <v>553</v>
      </c>
      <c r="B34" s="91">
        <f ca="1">IF(RTD("tos.rtd",,$A$2,"."&amp;B$2&amp;B$1&amp;"C"&amp;$A34)="N/A",0,RTD("tos.rtd",,$A$2,"."&amp;B$2&amp;B$1&amp;"C"&amp;$A34))-IF(RTD("tos.rtd",,$A$2,"."&amp;B$2&amp;B$1&amp;"P"&amp;$A34)="N/A",0,RTD("tos.rtd",,$A$2,"."&amp;B$2&amp;B$1&amp;"P"&amp;$A34))</f>
        <v>0</v>
      </c>
      <c r="C34" s="91">
        <f ca="1">IF(RTD("tos.rtd",,$A$2,"."&amp;C$2&amp;C$1&amp;"C"&amp;$A34)="N/A",0,RTD("tos.rtd",,$A$2,"."&amp;C$2&amp;C$1&amp;"C"&amp;$A34))-IF(RTD("tos.rtd",,$A$2,"."&amp;C$2&amp;C$1&amp;"P"&amp;$A34)="N/A",0,RTD("tos.rtd",,$A$2,"."&amp;C$2&amp;C$1&amp;"P"&amp;$A34))</f>
        <v>0</v>
      </c>
      <c r="D34" s="91">
        <f ca="1">IF(RTD("tos.rtd",,$A$2,"."&amp;D$2&amp;D$1&amp;"C"&amp;$A34)="N/A",0,RTD("tos.rtd",,$A$2,"."&amp;D$2&amp;D$1&amp;"C"&amp;$A34))-IF(RTD("tos.rtd",,$A$2,"."&amp;D$2&amp;D$1&amp;"P"&amp;$A34)="N/A",0,RTD("tos.rtd",,$A$2,"."&amp;D$2&amp;D$1&amp;"P"&amp;$A34))</f>
        <v>0</v>
      </c>
      <c r="E34" s="91">
        <f ca="1">IF(RTD("tos.rtd",,$A$2,"."&amp;E$2&amp;E$1&amp;"C"&amp;$A34)="N/A",0,RTD("tos.rtd",,$A$2,"."&amp;E$2&amp;E$1&amp;"C"&amp;$A34))-IF(RTD("tos.rtd",,$A$2,"."&amp;E$2&amp;E$1&amp;"P"&amp;$A34)="N/A",0,RTD("tos.rtd",,$A$2,"."&amp;E$2&amp;E$1&amp;"P"&amp;$A34))</f>
        <v>0</v>
      </c>
      <c r="F34" s="91">
        <f ca="1">IF(RTD("tos.rtd",,$A$2,"."&amp;F$2&amp;F$1&amp;"C"&amp;$A34)="N/A",0,RTD("tos.rtd",,$A$2,"."&amp;F$2&amp;F$1&amp;"C"&amp;$A34))-IF(RTD("tos.rtd",,$A$2,"."&amp;F$2&amp;F$1&amp;"P"&amp;$A34)="N/A",0,RTD("tos.rtd",,$A$2,"."&amp;F$2&amp;F$1&amp;"P"&amp;$A34))</f>
        <v>0</v>
      </c>
      <c r="G34" s="91">
        <f ca="1">IF(RTD("tos.rtd",,$A$2,"."&amp;G$2&amp;G$1&amp;"C"&amp;$A34)="N/A",0,RTD("tos.rtd",,$A$2,"."&amp;G$2&amp;G$1&amp;"C"&amp;$A34))-IF(RTD("tos.rtd",,$A$2,"."&amp;G$2&amp;G$1&amp;"P"&amp;$A34)="N/A",0,RTD("tos.rtd",,$A$2,"."&amp;G$2&amp;G$1&amp;"P"&amp;$A34))</f>
        <v>0</v>
      </c>
      <c r="H34" s="91">
        <f ca="1">IF(RTD("tos.rtd",,$A$2,"."&amp;H$2&amp;H$1&amp;"C"&amp;$A34)="N/A",0,RTD("tos.rtd",,$A$2,"."&amp;H$2&amp;H$1&amp;"C"&amp;$A34))-IF(RTD("tos.rtd",,$A$2,"."&amp;H$2&amp;H$1&amp;"P"&amp;$A34)="N/A",0,RTD("tos.rtd",,$A$2,"."&amp;H$2&amp;H$1&amp;"P"&amp;$A34))</f>
        <v>-360</v>
      </c>
      <c r="I34" s="91">
        <f ca="1">IF(RTD("tos.rtd",,$A$2,"."&amp;I$2&amp;I$1&amp;"C"&amp;$A34)="N/A",0,RTD("tos.rtd",,$A$2,"."&amp;I$2&amp;I$1&amp;"C"&amp;$A34))-IF(RTD("tos.rtd",,$A$2,"."&amp;I$2&amp;I$1&amp;"P"&amp;$A34)="N/A",0,RTD("tos.rtd",,$A$2,"."&amp;I$2&amp;I$1&amp;"P"&amp;$A34))</f>
        <v>-243</v>
      </c>
      <c r="J34" s="91">
        <f ca="1">IF(RTD("tos.rtd",,$A$2,"."&amp;J$2&amp;J$1&amp;"C"&amp;$A34)="N/A",0,RTD("tos.rtd",,$A$2,"."&amp;J$2&amp;J$1&amp;"C"&amp;$A34))-IF(RTD("tos.rtd",,$A$2,"."&amp;J$2&amp;J$1&amp;"P"&amp;$A34)="N/A",0,RTD("tos.rtd",,$A$2,"."&amp;J$2&amp;J$1&amp;"P"&amp;$A34))</f>
        <v>17</v>
      </c>
      <c r="K34" s="91">
        <f ca="1">IF(RTD("tos.rtd",,$A$2,"."&amp;K$2&amp;K$1&amp;"C"&amp;$A34)="N/A",0,RTD("tos.rtd",,$A$2,"."&amp;K$2&amp;K$1&amp;"C"&amp;$A34))-IF(RTD("tos.rtd",,$A$2,"."&amp;K$2&amp;K$1&amp;"P"&amp;$A34)="N/A",0,RTD("tos.rtd",,$A$2,"."&amp;K$2&amp;K$1&amp;"P"&amp;$A34))</f>
        <v>-240</v>
      </c>
      <c r="L34" s="91">
        <f ca="1">IF(RTD("tos.rtd",,$A$2,"."&amp;L$2&amp;L$1&amp;"C"&amp;$A34)="N/A",0,RTD("tos.rtd",,$A$2,"."&amp;L$2&amp;L$1&amp;"C"&amp;$A34))-IF(RTD("tos.rtd",,$A$2,"."&amp;L$2&amp;L$1&amp;"P"&amp;$A34)="N/A",0,RTD("tos.rtd",,$A$2,"."&amp;L$2&amp;L$1&amp;"P"&amp;$A34))</f>
        <v>-96</v>
      </c>
      <c r="M34" s="91">
        <f ca="1">IF(RTD("tos.rtd",,$A$2,"."&amp;M$2&amp;M$1&amp;"C"&amp;$A34)="N/A",0,RTD("tos.rtd",,$A$2,"."&amp;M$2&amp;M$1&amp;"C"&amp;$A34))-IF(RTD("tos.rtd",,$A$2,"."&amp;M$2&amp;M$1&amp;"P"&amp;$A34)="N/A",0,RTD("tos.rtd",,$A$2,"."&amp;M$2&amp;M$1&amp;"P"&amp;$A34))</f>
        <v>0</v>
      </c>
      <c r="N34" s="91">
        <f ca="1">IF(RTD("tos.rtd",,$A$2,"."&amp;N$2&amp;N$1&amp;"C"&amp;$A34)="N/A",0,RTD("tos.rtd",,$A$2,"."&amp;N$2&amp;N$1&amp;"C"&amp;$A34))-IF(RTD("tos.rtd",,$A$2,"."&amp;N$2&amp;N$1&amp;"P"&amp;$A34)="N/A",0,RTD("tos.rtd",,$A$2,"."&amp;N$2&amp;N$1&amp;"P"&amp;$A34))</f>
        <v>0</v>
      </c>
      <c r="O34" s="91">
        <f ca="1">IF(RTD("tos.rtd",,$A$2,"."&amp;O$2&amp;O$1&amp;"C"&amp;$A34)="N/A",0,RTD("tos.rtd",,$A$2,"."&amp;O$2&amp;O$1&amp;"C"&amp;$A34))-IF(RTD("tos.rtd",,$A$2,"."&amp;O$2&amp;O$1&amp;"P"&amp;$A34)="N/A",0,RTD("tos.rtd",,$A$2,"."&amp;O$2&amp;O$1&amp;"P"&amp;$A34))</f>
        <v>-79</v>
      </c>
      <c r="P34" s="91">
        <f ca="1">IF(RTD("tos.rtd",,$A$2,"."&amp;P$2&amp;P$1&amp;"C"&amp;$A34)="N/A",0,RTD("tos.rtd",,$A$2,"."&amp;P$2&amp;P$1&amp;"C"&amp;$A34))-IF(RTD("tos.rtd",,$A$2,"."&amp;P$2&amp;P$1&amp;"P"&amp;$A34)="N/A",0,RTD("tos.rtd",,$A$2,"."&amp;P$2&amp;P$1&amp;"P"&amp;$A34))</f>
        <v>-8</v>
      </c>
      <c r="Q34" s="91">
        <f ca="1">IF(RTD("tos.rtd",,$A$2,"."&amp;Q$2&amp;Q$1&amp;"C"&amp;$A34)="N/A",0,RTD("tos.rtd",,$A$2,"."&amp;Q$2&amp;Q$1&amp;"C"&amp;$A34))-IF(RTD("tos.rtd",,$A$2,"."&amp;Q$2&amp;Q$1&amp;"P"&amp;$A34)="N/A",0,RTD("tos.rtd",,$A$2,"."&amp;Q$2&amp;Q$1&amp;"P"&amp;$A34))</f>
        <v>0</v>
      </c>
      <c r="R34" s="91">
        <f ca="1">IF(RTD("tos.rtd",,$A$2,"."&amp;R$2&amp;R$1&amp;"C"&amp;$A34)="N/A",0,RTD("tos.rtd",,$A$2,"."&amp;R$2&amp;R$1&amp;"C"&amp;$A34))-IF(RTD("tos.rtd",,$A$2,"."&amp;R$2&amp;R$1&amp;"P"&amp;$A34)="N/A",0,RTD("tos.rtd",,$A$2,"."&amp;R$2&amp;R$1&amp;"P"&amp;$A34))</f>
        <v>-3</v>
      </c>
      <c r="S34" s="91">
        <f ca="1">IF(RTD("tos.rtd",,$A$2,"."&amp;S$2&amp;S$1&amp;"C"&amp;$A34)="N/A",0,RTD("tos.rtd",,$A$2,"."&amp;S$2&amp;S$1&amp;"C"&amp;$A34))-IF(RTD("tos.rtd",,$A$2,"."&amp;S$2&amp;S$1&amp;"P"&amp;$A34)="N/A",0,RTD("tos.rtd",,$A$2,"."&amp;S$2&amp;S$1&amp;"P"&amp;$A34))</f>
        <v>0</v>
      </c>
      <c r="T34" s="91">
        <f ca="1">IF(RTD("tos.rtd",,$A$2,"."&amp;T$2&amp;T$1&amp;"C"&amp;$A34)="N/A",0,RTD("tos.rtd",,$A$2,"."&amp;T$2&amp;T$1&amp;"C"&amp;$A34))-IF(RTD("tos.rtd",,$A$2,"."&amp;T$2&amp;T$1&amp;"P"&amp;$A34)="N/A",0,RTD("tos.rtd",,$A$2,"."&amp;T$2&amp;T$1&amp;"P"&amp;$A34))</f>
        <v>-4</v>
      </c>
      <c r="U34" s="91">
        <f ca="1">IF(RTD("tos.rtd",,$A$2,"."&amp;U$2&amp;U$1&amp;"C"&amp;$A34)="N/A",0,RTD("tos.rtd",,$A$2,"."&amp;U$2&amp;U$1&amp;"C"&amp;$A34))-IF(RTD("tos.rtd",,$A$2,"."&amp;U$2&amp;U$1&amp;"P"&amp;$A34)="N/A",0,RTD("tos.rtd",,$A$2,"."&amp;U$2&amp;U$1&amp;"P"&amp;$A34))</f>
        <v>0</v>
      </c>
      <c r="V34" s="91">
        <f ca="1">IF(RTD("tos.rtd",,$A$2,"."&amp;V$2&amp;V$1&amp;"C"&amp;$A34)="N/A",0,RTD("tos.rtd",,$A$2,"."&amp;V$2&amp;V$1&amp;"C"&amp;$A34))-IF(RTD("tos.rtd",,$A$2,"."&amp;V$2&amp;V$1&amp;"P"&amp;$A34)="N/A",0,RTD("tos.rtd",,$A$2,"."&amp;V$2&amp;V$1&amp;"P"&amp;$A34))</f>
        <v>0</v>
      </c>
      <c r="W34" s="91">
        <f ca="1">IF(RTD("tos.rtd",,$A$2,"."&amp;W$2&amp;W$1&amp;"C"&amp;$A34)="N/A",0,RTD("tos.rtd",,$A$2,"."&amp;W$2&amp;W$1&amp;"C"&amp;$A34))-IF(RTD("tos.rtd",,$A$2,"."&amp;W$2&amp;W$1&amp;"P"&amp;$A34)="N/A",0,RTD("tos.rtd",,$A$2,"."&amp;W$2&amp;W$1&amp;"P"&amp;$A34))</f>
        <v>0</v>
      </c>
      <c r="X34" s="91">
        <f ca="1">IF(RTD("tos.rtd",,$A$2,"."&amp;X$2&amp;X$1&amp;"C"&amp;$A34)="N/A",0,RTD("tos.rtd",,$A$2,"."&amp;X$2&amp;X$1&amp;"C"&amp;$A34))-IF(RTD("tos.rtd",,$A$2,"."&amp;X$2&amp;X$1&amp;"P"&amp;$A34)="N/A",0,RTD("tos.rtd",,$A$2,"."&amp;X$2&amp;X$1&amp;"P"&amp;$A34))</f>
        <v>0</v>
      </c>
      <c r="Y34" s="98">
        <f t="shared" ca="1" si="3"/>
        <v>-1016</v>
      </c>
    </row>
    <row r="35" spans="1:25" x14ac:dyDescent="0.25">
      <c r="A35" s="93">
        <f>+Hoja1!A34</f>
        <v>552</v>
      </c>
      <c r="B35" s="91">
        <f ca="1">IF(RTD("tos.rtd",,$A$2,"."&amp;B$2&amp;B$1&amp;"C"&amp;$A35)="N/A",0,RTD("tos.rtd",,$A$2,"."&amp;B$2&amp;B$1&amp;"C"&amp;$A35))-IF(RTD("tos.rtd",,$A$2,"."&amp;B$2&amp;B$1&amp;"P"&amp;$A35)="N/A",0,RTD("tos.rtd",,$A$2,"."&amp;B$2&amp;B$1&amp;"P"&amp;$A35))</f>
        <v>0</v>
      </c>
      <c r="C35" s="91">
        <f ca="1">IF(RTD("tos.rtd",,$A$2,"."&amp;C$2&amp;C$1&amp;"C"&amp;$A35)="N/A",0,RTD("tos.rtd",,$A$2,"."&amp;C$2&amp;C$1&amp;"C"&amp;$A35))-IF(RTD("tos.rtd",,$A$2,"."&amp;C$2&amp;C$1&amp;"P"&amp;$A35)="N/A",0,RTD("tos.rtd",,$A$2,"."&amp;C$2&amp;C$1&amp;"P"&amp;$A35))</f>
        <v>0</v>
      </c>
      <c r="D35" s="91">
        <f ca="1">IF(RTD("tos.rtd",,$A$2,"."&amp;D$2&amp;D$1&amp;"C"&amp;$A35)="N/A",0,RTD("tos.rtd",,$A$2,"."&amp;D$2&amp;D$1&amp;"C"&amp;$A35))-IF(RTD("tos.rtd",,$A$2,"."&amp;D$2&amp;D$1&amp;"P"&amp;$A35)="N/A",0,RTD("tos.rtd",,$A$2,"."&amp;D$2&amp;D$1&amp;"P"&amp;$A35))</f>
        <v>0</v>
      </c>
      <c r="E35" s="91">
        <f ca="1">IF(RTD("tos.rtd",,$A$2,"."&amp;E$2&amp;E$1&amp;"C"&amp;$A35)="N/A",0,RTD("tos.rtd",,$A$2,"."&amp;E$2&amp;E$1&amp;"C"&amp;$A35))-IF(RTD("tos.rtd",,$A$2,"."&amp;E$2&amp;E$1&amp;"P"&amp;$A35)="N/A",0,RTD("tos.rtd",,$A$2,"."&amp;E$2&amp;E$1&amp;"P"&amp;$A35))</f>
        <v>0</v>
      </c>
      <c r="F35" s="91">
        <f ca="1">IF(RTD("tos.rtd",,$A$2,"."&amp;F$2&amp;F$1&amp;"C"&amp;$A35)="N/A",0,RTD("tos.rtd",,$A$2,"."&amp;F$2&amp;F$1&amp;"C"&amp;$A35))-IF(RTD("tos.rtd",,$A$2,"."&amp;F$2&amp;F$1&amp;"P"&amp;$A35)="N/A",0,RTD("tos.rtd",,$A$2,"."&amp;F$2&amp;F$1&amp;"P"&amp;$A35))</f>
        <v>0</v>
      </c>
      <c r="G35" s="91">
        <f ca="1">IF(RTD("tos.rtd",,$A$2,"."&amp;G$2&amp;G$1&amp;"C"&amp;$A35)="N/A",0,RTD("tos.rtd",,$A$2,"."&amp;G$2&amp;G$1&amp;"C"&amp;$A35))-IF(RTD("tos.rtd",,$A$2,"."&amp;G$2&amp;G$1&amp;"P"&amp;$A35)="N/A",0,RTD("tos.rtd",,$A$2,"."&amp;G$2&amp;G$1&amp;"P"&amp;$A35))</f>
        <v>0</v>
      </c>
      <c r="H35" s="91">
        <f ca="1">IF(RTD("tos.rtd",,$A$2,"."&amp;H$2&amp;H$1&amp;"C"&amp;$A35)="N/A",0,RTD("tos.rtd",,$A$2,"."&amp;H$2&amp;H$1&amp;"C"&amp;$A35))-IF(RTD("tos.rtd",,$A$2,"."&amp;H$2&amp;H$1&amp;"P"&amp;$A35)="N/A",0,RTD("tos.rtd",,$A$2,"."&amp;H$2&amp;H$1&amp;"P"&amp;$A35))</f>
        <v>-352</v>
      </c>
      <c r="I35" s="91">
        <f ca="1">IF(RTD("tos.rtd",,$A$2,"."&amp;I$2&amp;I$1&amp;"C"&amp;$A35)="N/A",0,RTD("tos.rtd",,$A$2,"."&amp;I$2&amp;I$1&amp;"C"&amp;$A35))-IF(RTD("tos.rtd",,$A$2,"."&amp;I$2&amp;I$1&amp;"P"&amp;$A35)="N/A",0,RTD("tos.rtd",,$A$2,"."&amp;I$2&amp;I$1&amp;"P"&amp;$A35))</f>
        <v>-172</v>
      </c>
      <c r="J35" s="91">
        <f ca="1">IF(RTD("tos.rtd",,$A$2,"."&amp;J$2&amp;J$1&amp;"C"&amp;$A35)="N/A",0,RTD("tos.rtd",,$A$2,"."&amp;J$2&amp;J$1&amp;"C"&amp;$A35))-IF(RTD("tos.rtd",,$A$2,"."&amp;J$2&amp;J$1&amp;"P"&amp;$A35)="N/A",0,RTD("tos.rtd",,$A$2,"."&amp;J$2&amp;J$1&amp;"P"&amp;$A35))</f>
        <v>-44</v>
      </c>
      <c r="K35" s="91">
        <f ca="1">IF(RTD("tos.rtd",,$A$2,"."&amp;K$2&amp;K$1&amp;"C"&amp;$A35)="N/A",0,RTD("tos.rtd",,$A$2,"."&amp;K$2&amp;K$1&amp;"C"&amp;$A35))-IF(RTD("tos.rtd",,$A$2,"."&amp;K$2&amp;K$1&amp;"P"&amp;$A35)="N/A",0,RTD("tos.rtd",,$A$2,"."&amp;K$2&amp;K$1&amp;"P"&amp;$A35))</f>
        <v>-745</v>
      </c>
      <c r="L35" s="91">
        <f ca="1">IF(RTD("tos.rtd",,$A$2,"."&amp;L$2&amp;L$1&amp;"C"&amp;$A35)="N/A",0,RTD("tos.rtd",,$A$2,"."&amp;L$2&amp;L$1&amp;"C"&amp;$A35))-IF(RTD("tos.rtd",,$A$2,"."&amp;L$2&amp;L$1&amp;"P"&amp;$A35)="N/A",0,RTD("tos.rtd",,$A$2,"."&amp;L$2&amp;L$1&amp;"P"&amp;$A35))</f>
        <v>-57</v>
      </c>
      <c r="M35" s="91">
        <f ca="1">IF(RTD("tos.rtd",,$A$2,"."&amp;M$2&amp;M$1&amp;"C"&amp;$A35)="N/A",0,RTD("tos.rtd",,$A$2,"."&amp;M$2&amp;M$1&amp;"C"&amp;$A35))-IF(RTD("tos.rtd",,$A$2,"."&amp;M$2&amp;M$1&amp;"P"&amp;$A35)="N/A",0,RTD("tos.rtd",,$A$2,"."&amp;M$2&amp;M$1&amp;"P"&amp;$A35))</f>
        <v>0</v>
      </c>
      <c r="N35" s="91">
        <f ca="1">IF(RTD("tos.rtd",,$A$2,"."&amp;N$2&amp;N$1&amp;"C"&amp;$A35)="N/A",0,RTD("tos.rtd",,$A$2,"."&amp;N$2&amp;N$1&amp;"C"&amp;$A35))-IF(RTD("tos.rtd",,$A$2,"."&amp;N$2&amp;N$1&amp;"P"&amp;$A35)="N/A",0,RTD("tos.rtd",,$A$2,"."&amp;N$2&amp;N$1&amp;"P"&amp;$A35))</f>
        <v>-97</v>
      </c>
      <c r="O35" s="91">
        <f ca="1">IF(RTD("tos.rtd",,$A$2,"."&amp;O$2&amp;O$1&amp;"C"&amp;$A35)="N/A",0,RTD("tos.rtd",,$A$2,"."&amp;O$2&amp;O$1&amp;"C"&amp;$A35))-IF(RTD("tos.rtd",,$A$2,"."&amp;O$2&amp;O$1&amp;"P"&amp;$A35)="N/A",0,RTD("tos.rtd",,$A$2,"."&amp;O$2&amp;O$1&amp;"P"&amp;$A35))</f>
        <v>-170</v>
      </c>
      <c r="P35" s="91">
        <f ca="1">IF(RTD("tos.rtd",,$A$2,"."&amp;P$2&amp;P$1&amp;"C"&amp;$A35)="N/A",0,RTD("tos.rtd",,$A$2,"."&amp;P$2&amp;P$1&amp;"C"&amp;$A35))-IF(RTD("tos.rtd",,$A$2,"."&amp;P$2&amp;P$1&amp;"P"&amp;$A35)="N/A",0,RTD("tos.rtd",,$A$2,"."&amp;P$2&amp;P$1&amp;"P"&amp;$A35))</f>
        <v>0</v>
      </c>
      <c r="Q35" s="91">
        <f ca="1">IF(RTD("tos.rtd",,$A$2,"."&amp;Q$2&amp;Q$1&amp;"C"&amp;$A35)="N/A",0,RTD("tos.rtd",,$A$2,"."&amp;Q$2&amp;Q$1&amp;"C"&amp;$A35))-IF(RTD("tos.rtd",,$A$2,"."&amp;Q$2&amp;Q$1&amp;"P"&amp;$A35)="N/A",0,RTD("tos.rtd",,$A$2,"."&amp;Q$2&amp;Q$1&amp;"P"&amp;$A35))</f>
        <v>0</v>
      </c>
      <c r="R35" s="91">
        <f ca="1">IF(RTD("tos.rtd",,$A$2,"."&amp;R$2&amp;R$1&amp;"C"&amp;$A35)="N/A",0,RTD("tos.rtd",,$A$2,"."&amp;R$2&amp;R$1&amp;"C"&amp;$A35))-IF(RTD("tos.rtd",,$A$2,"."&amp;R$2&amp;R$1&amp;"P"&amp;$A35)="N/A",0,RTD("tos.rtd",,$A$2,"."&amp;R$2&amp;R$1&amp;"P"&amp;$A35))</f>
        <v>0</v>
      </c>
      <c r="S35" s="91">
        <f ca="1">IF(RTD("tos.rtd",,$A$2,"."&amp;S$2&amp;S$1&amp;"C"&amp;$A35)="N/A",0,RTD("tos.rtd",,$A$2,"."&amp;S$2&amp;S$1&amp;"C"&amp;$A35))-IF(RTD("tos.rtd",,$A$2,"."&amp;S$2&amp;S$1&amp;"P"&amp;$A35)="N/A",0,RTD("tos.rtd",,$A$2,"."&amp;S$2&amp;S$1&amp;"P"&amp;$A35))</f>
        <v>0</v>
      </c>
      <c r="T35" s="91">
        <f ca="1">IF(RTD("tos.rtd",,$A$2,"."&amp;T$2&amp;T$1&amp;"C"&amp;$A35)="N/A",0,RTD("tos.rtd",,$A$2,"."&amp;T$2&amp;T$1&amp;"C"&amp;$A35))-IF(RTD("tos.rtd",,$A$2,"."&amp;T$2&amp;T$1&amp;"P"&amp;$A35)="N/A",0,RTD("tos.rtd",,$A$2,"."&amp;T$2&amp;T$1&amp;"P"&amp;$A35))</f>
        <v>-1</v>
      </c>
      <c r="U35" s="91">
        <f ca="1">IF(RTD("tos.rtd",,$A$2,"."&amp;U$2&amp;U$1&amp;"C"&amp;$A35)="N/A",0,RTD("tos.rtd",,$A$2,"."&amp;U$2&amp;U$1&amp;"C"&amp;$A35))-IF(RTD("tos.rtd",,$A$2,"."&amp;U$2&amp;U$1&amp;"P"&amp;$A35)="N/A",0,RTD("tos.rtd",,$A$2,"."&amp;U$2&amp;U$1&amp;"P"&amp;$A35))</f>
        <v>0</v>
      </c>
      <c r="V35" s="91">
        <f ca="1">IF(RTD("tos.rtd",,$A$2,"."&amp;V$2&amp;V$1&amp;"C"&amp;$A35)="N/A",0,RTD("tos.rtd",,$A$2,"."&amp;V$2&amp;V$1&amp;"C"&amp;$A35))-IF(RTD("tos.rtd",,$A$2,"."&amp;V$2&amp;V$1&amp;"P"&amp;$A35)="N/A",0,RTD("tos.rtd",,$A$2,"."&amp;V$2&amp;V$1&amp;"P"&amp;$A35))</f>
        <v>0</v>
      </c>
      <c r="W35" s="91">
        <f ca="1">IF(RTD("tos.rtd",,$A$2,"."&amp;W$2&amp;W$1&amp;"C"&amp;$A35)="N/A",0,RTD("tos.rtd",,$A$2,"."&amp;W$2&amp;W$1&amp;"C"&amp;$A35))-IF(RTD("tos.rtd",,$A$2,"."&amp;W$2&amp;W$1&amp;"P"&amp;$A35)="N/A",0,RTD("tos.rtd",,$A$2,"."&amp;W$2&amp;W$1&amp;"P"&amp;$A35))</f>
        <v>0</v>
      </c>
      <c r="X35" s="91">
        <f ca="1">IF(RTD("tos.rtd",,$A$2,"."&amp;X$2&amp;X$1&amp;"C"&amp;$A35)="N/A",0,RTD("tos.rtd",,$A$2,"."&amp;X$2&amp;X$1&amp;"C"&amp;$A35))-IF(RTD("tos.rtd",,$A$2,"."&amp;X$2&amp;X$1&amp;"P"&amp;$A35)="N/A",0,RTD("tos.rtd",,$A$2,"."&amp;X$2&amp;X$1&amp;"P"&amp;$A35))</f>
        <v>3</v>
      </c>
      <c r="Y35" s="98">
        <f t="shared" ca="1" si="3"/>
        <v>-1635</v>
      </c>
    </row>
    <row r="36" spans="1:25" x14ac:dyDescent="0.25">
      <c r="A36" s="93">
        <f>+Hoja1!A35</f>
        <v>551</v>
      </c>
      <c r="B36" s="91">
        <f ca="1">IF(RTD("tos.rtd",,$A$2,"."&amp;B$2&amp;B$1&amp;"C"&amp;$A36)="N/A",0,RTD("tos.rtd",,$A$2,"."&amp;B$2&amp;B$1&amp;"C"&amp;$A36))-IF(RTD("tos.rtd",,$A$2,"."&amp;B$2&amp;B$1&amp;"P"&amp;$A36)="N/A",0,RTD("tos.rtd",,$A$2,"."&amp;B$2&amp;B$1&amp;"P"&amp;$A36))</f>
        <v>0</v>
      </c>
      <c r="C36" s="91">
        <f ca="1">IF(RTD("tos.rtd",,$A$2,"."&amp;C$2&amp;C$1&amp;"C"&amp;$A36)="N/A",0,RTD("tos.rtd",,$A$2,"."&amp;C$2&amp;C$1&amp;"C"&amp;$A36))-IF(RTD("tos.rtd",,$A$2,"."&amp;C$2&amp;C$1&amp;"P"&amp;$A36)="N/A",0,RTD("tos.rtd",,$A$2,"."&amp;C$2&amp;C$1&amp;"P"&amp;$A36))</f>
        <v>0</v>
      </c>
      <c r="D36" s="91">
        <f ca="1">IF(RTD("tos.rtd",,$A$2,"."&amp;D$2&amp;D$1&amp;"C"&amp;$A36)="N/A",0,RTD("tos.rtd",,$A$2,"."&amp;D$2&amp;D$1&amp;"C"&amp;$A36))-IF(RTD("tos.rtd",,$A$2,"."&amp;D$2&amp;D$1&amp;"P"&amp;$A36)="N/A",0,RTD("tos.rtd",,$A$2,"."&amp;D$2&amp;D$1&amp;"P"&amp;$A36))</f>
        <v>0</v>
      </c>
      <c r="E36" s="91">
        <f ca="1">IF(RTD("tos.rtd",,$A$2,"."&amp;E$2&amp;E$1&amp;"C"&amp;$A36)="N/A",0,RTD("tos.rtd",,$A$2,"."&amp;E$2&amp;E$1&amp;"C"&amp;$A36))-IF(RTD("tos.rtd",,$A$2,"."&amp;E$2&amp;E$1&amp;"P"&amp;$A36)="N/A",0,RTD("tos.rtd",,$A$2,"."&amp;E$2&amp;E$1&amp;"P"&amp;$A36))</f>
        <v>0</v>
      </c>
      <c r="F36" s="91">
        <f ca="1">IF(RTD("tos.rtd",,$A$2,"."&amp;F$2&amp;F$1&amp;"C"&amp;$A36)="N/A",0,RTD("tos.rtd",,$A$2,"."&amp;F$2&amp;F$1&amp;"C"&amp;$A36))-IF(RTD("tos.rtd",,$A$2,"."&amp;F$2&amp;F$1&amp;"P"&amp;$A36)="N/A",0,RTD("tos.rtd",,$A$2,"."&amp;F$2&amp;F$1&amp;"P"&amp;$A36))</f>
        <v>0</v>
      </c>
      <c r="G36" s="91">
        <f ca="1">IF(RTD("tos.rtd",,$A$2,"."&amp;G$2&amp;G$1&amp;"C"&amp;$A36)="N/A",0,RTD("tos.rtd",,$A$2,"."&amp;G$2&amp;G$1&amp;"C"&amp;$A36))-IF(RTD("tos.rtd",,$A$2,"."&amp;G$2&amp;G$1&amp;"P"&amp;$A36)="N/A",0,RTD("tos.rtd",,$A$2,"."&amp;G$2&amp;G$1&amp;"P"&amp;$A36))</f>
        <v>0</v>
      </c>
      <c r="H36" s="91">
        <f ca="1">IF(RTD("tos.rtd",,$A$2,"."&amp;H$2&amp;H$1&amp;"C"&amp;$A36)="N/A",0,RTD("tos.rtd",,$A$2,"."&amp;H$2&amp;H$1&amp;"C"&amp;$A36))-IF(RTD("tos.rtd",,$A$2,"."&amp;H$2&amp;H$1&amp;"P"&amp;$A36)="N/A",0,RTD("tos.rtd",,$A$2,"."&amp;H$2&amp;H$1&amp;"P"&amp;$A36))</f>
        <v>-307</v>
      </c>
      <c r="I36" s="91">
        <f ca="1">IF(RTD("tos.rtd",,$A$2,"."&amp;I$2&amp;I$1&amp;"C"&amp;$A36)="N/A",0,RTD("tos.rtd",,$A$2,"."&amp;I$2&amp;I$1&amp;"C"&amp;$A36))-IF(RTD("tos.rtd",,$A$2,"."&amp;I$2&amp;I$1&amp;"P"&amp;$A36)="N/A",0,RTD("tos.rtd",,$A$2,"."&amp;I$2&amp;I$1&amp;"P"&amp;$A36))</f>
        <v>-540</v>
      </c>
      <c r="J36" s="91">
        <f ca="1">IF(RTD("tos.rtd",,$A$2,"."&amp;J$2&amp;J$1&amp;"C"&amp;$A36)="N/A",0,RTD("tos.rtd",,$A$2,"."&amp;J$2&amp;J$1&amp;"C"&amp;$A36))-IF(RTD("tos.rtd",,$A$2,"."&amp;J$2&amp;J$1&amp;"P"&amp;$A36)="N/A",0,RTD("tos.rtd",,$A$2,"."&amp;J$2&amp;J$1&amp;"P"&amp;$A36))</f>
        <v>-39</v>
      </c>
      <c r="K36" s="91">
        <f ca="1">IF(RTD("tos.rtd",,$A$2,"."&amp;K$2&amp;K$1&amp;"C"&amp;$A36)="N/A",0,RTD("tos.rtd",,$A$2,"."&amp;K$2&amp;K$1&amp;"C"&amp;$A36))-IF(RTD("tos.rtd",,$A$2,"."&amp;K$2&amp;K$1&amp;"P"&amp;$A36)="N/A",0,RTD("tos.rtd",,$A$2,"."&amp;K$2&amp;K$1&amp;"P"&amp;$A36))</f>
        <v>-416</v>
      </c>
      <c r="L36" s="91">
        <f ca="1">IF(RTD("tos.rtd",,$A$2,"."&amp;L$2&amp;L$1&amp;"C"&amp;$A36)="N/A",0,RTD("tos.rtd",,$A$2,"."&amp;L$2&amp;L$1&amp;"C"&amp;$A36))-IF(RTD("tos.rtd",,$A$2,"."&amp;L$2&amp;L$1&amp;"P"&amp;$A36)="N/A",0,RTD("tos.rtd",,$A$2,"."&amp;L$2&amp;L$1&amp;"P"&amp;$A36))</f>
        <v>-27</v>
      </c>
      <c r="M36" s="91">
        <f ca="1">IF(RTD("tos.rtd",,$A$2,"."&amp;M$2&amp;M$1&amp;"C"&amp;$A36)="N/A",0,RTD("tos.rtd",,$A$2,"."&amp;M$2&amp;M$1&amp;"C"&amp;$A36))-IF(RTD("tos.rtd",,$A$2,"."&amp;M$2&amp;M$1&amp;"P"&amp;$A36)="N/A",0,RTD("tos.rtd",,$A$2,"."&amp;M$2&amp;M$1&amp;"P"&amp;$A36))</f>
        <v>0</v>
      </c>
      <c r="N36" s="91">
        <f ca="1">IF(RTD("tos.rtd",,$A$2,"."&amp;N$2&amp;N$1&amp;"C"&amp;$A36)="N/A",0,RTD("tos.rtd",,$A$2,"."&amp;N$2&amp;N$1&amp;"C"&amp;$A36))-IF(RTD("tos.rtd",,$A$2,"."&amp;N$2&amp;N$1&amp;"P"&amp;$A36)="N/A",0,RTD("tos.rtd",,$A$2,"."&amp;N$2&amp;N$1&amp;"P"&amp;$A36))</f>
        <v>-1</v>
      </c>
      <c r="O36" s="91">
        <f ca="1">IF(RTD("tos.rtd",,$A$2,"."&amp;O$2&amp;O$1&amp;"C"&amp;$A36)="N/A",0,RTD("tos.rtd",,$A$2,"."&amp;O$2&amp;O$1&amp;"C"&amp;$A36))-IF(RTD("tos.rtd",,$A$2,"."&amp;O$2&amp;O$1&amp;"P"&amp;$A36)="N/A",0,RTD("tos.rtd",,$A$2,"."&amp;O$2&amp;O$1&amp;"P"&amp;$A36))</f>
        <v>-62</v>
      </c>
      <c r="P36" s="91">
        <f ca="1">IF(RTD("tos.rtd",,$A$2,"."&amp;P$2&amp;P$1&amp;"C"&amp;$A36)="N/A",0,RTD("tos.rtd",,$A$2,"."&amp;P$2&amp;P$1&amp;"C"&amp;$A36))-IF(RTD("tos.rtd",,$A$2,"."&amp;P$2&amp;P$1&amp;"P"&amp;$A36)="N/A",0,RTD("tos.rtd",,$A$2,"."&amp;P$2&amp;P$1&amp;"P"&amp;$A36))</f>
        <v>-1</v>
      </c>
      <c r="Q36" s="91">
        <f ca="1">IF(RTD("tos.rtd",,$A$2,"."&amp;Q$2&amp;Q$1&amp;"C"&amp;$A36)="N/A",0,RTD("tos.rtd",,$A$2,"."&amp;Q$2&amp;Q$1&amp;"C"&amp;$A36))-IF(RTD("tos.rtd",,$A$2,"."&amp;Q$2&amp;Q$1&amp;"P"&amp;$A36)="N/A",0,RTD("tos.rtd",,$A$2,"."&amp;Q$2&amp;Q$1&amp;"P"&amp;$A36))</f>
        <v>0</v>
      </c>
      <c r="R36" s="91">
        <f ca="1">IF(RTD("tos.rtd",,$A$2,"."&amp;R$2&amp;R$1&amp;"C"&amp;$A36)="N/A",0,RTD("tos.rtd",,$A$2,"."&amp;R$2&amp;R$1&amp;"C"&amp;$A36))-IF(RTD("tos.rtd",,$A$2,"."&amp;R$2&amp;R$1&amp;"P"&amp;$A36)="N/A",0,RTD("tos.rtd",,$A$2,"."&amp;R$2&amp;R$1&amp;"P"&amp;$A36))</f>
        <v>0</v>
      </c>
      <c r="S36" s="91">
        <f ca="1">IF(RTD("tos.rtd",,$A$2,"."&amp;S$2&amp;S$1&amp;"C"&amp;$A36)="N/A",0,RTD("tos.rtd",,$A$2,"."&amp;S$2&amp;S$1&amp;"C"&amp;$A36))-IF(RTD("tos.rtd",,$A$2,"."&amp;S$2&amp;S$1&amp;"P"&amp;$A36)="N/A",0,RTD("tos.rtd",,$A$2,"."&amp;S$2&amp;S$1&amp;"P"&amp;$A36))</f>
        <v>0</v>
      </c>
      <c r="T36" s="91">
        <f ca="1">IF(RTD("tos.rtd",,$A$2,"."&amp;T$2&amp;T$1&amp;"C"&amp;$A36)="N/A",0,RTD("tos.rtd",,$A$2,"."&amp;T$2&amp;T$1&amp;"C"&amp;$A36))-IF(RTD("tos.rtd",,$A$2,"."&amp;T$2&amp;T$1&amp;"P"&amp;$A36)="N/A",0,RTD("tos.rtd",,$A$2,"."&amp;T$2&amp;T$1&amp;"P"&amp;$A36))</f>
        <v>-5</v>
      </c>
      <c r="U36" s="91">
        <f ca="1">IF(RTD("tos.rtd",,$A$2,"."&amp;U$2&amp;U$1&amp;"C"&amp;$A36)="N/A",0,RTD("tos.rtd",,$A$2,"."&amp;U$2&amp;U$1&amp;"C"&amp;$A36))-IF(RTD("tos.rtd",,$A$2,"."&amp;U$2&amp;U$1&amp;"P"&amp;$A36)="N/A",0,RTD("tos.rtd",,$A$2,"."&amp;U$2&amp;U$1&amp;"P"&amp;$A36))</f>
        <v>0</v>
      </c>
      <c r="V36" s="91">
        <f ca="1">IF(RTD("tos.rtd",,$A$2,"."&amp;V$2&amp;V$1&amp;"C"&amp;$A36)="N/A",0,RTD("tos.rtd",,$A$2,"."&amp;V$2&amp;V$1&amp;"C"&amp;$A36))-IF(RTD("tos.rtd",,$A$2,"."&amp;V$2&amp;V$1&amp;"P"&amp;$A36)="N/A",0,RTD("tos.rtd",,$A$2,"."&amp;V$2&amp;V$1&amp;"P"&amp;$A36))</f>
        <v>0</v>
      </c>
      <c r="W36" s="91">
        <f ca="1">IF(RTD("tos.rtd",,$A$2,"."&amp;W$2&amp;W$1&amp;"C"&amp;$A36)="N/A",0,RTD("tos.rtd",,$A$2,"."&amp;W$2&amp;W$1&amp;"C"&amp;$A36))-IF(RTD("tos.rtd",,$A$2,"."&amp;W$2&amp;W$1&amp;"P"&amp;$A36)="N/A",0,RTD("tos.rtd",,$A$2,"."&amp;W$2&amp;W$1&amp;"P"&amp;$A36))</f>
        <v>0</v>
      </c>
      <c r="X36" s="91">
        <f ca="1">IF(RTD("tos.rtd",,$A$2,"."&amp;X$2&amp;X$1&amp;"C"&amp;$A36)="N/A",0,RTD("tos.rtd",,$A$2,"."&amp;X$2&amp;X$1&amp;"C"&amp;$A36))-IF(RTD("tos.rtd",,$A$2,"."&amp;X$2&amp;X$1&amp;"P"&amp;$A36)="N/A",0,RTD("tos.rtd",,$A$2,"."&amp;X$2&amp;X$1&amp;"P"&amp;$A36))</f>
        <v>0</v>
      </c>
      <c r="Y36" s="98">
        <f t="shared" ca="1" si="3"/>
        <v>-1398</v>
      </c>
    </row>
    <row r="37" spans="1:25" x14ac:dyDescent="0.25">
      <c r="A37" s="93">
        <f>+Hoja1!A36</f>
        <v>550</v>
      </c>
      <c r="B37" s="91">
        <f ca="1">IF(RTD("tos.rtd",,$A$2,"."&amp;B$2&amp;B$1&amp;"C"&amp;$A37)="N/A",0,RTD("tos.rtd",,$A$2,"."&amp;B$2&amp;B$1&amp;"C"&amp;$A37))-IF(RTD("tos.rtd",,$A$2,"."&amp;B$2&amp;B$1&amp;"P"&amp;$A37)="N/A",0,RTD("tos.rtd",,$A$2,"."&amp;B$2&amp;B$1&amp;"P"&amp;$A37))</f>
        <v>0</v>
      </c>
      <c r="C37" s="91">
        <f ca="1">IF(RTD("tos.rtd",,$A$2,"."&amp;C$2&amp;C$1&amp;"C"&amp;$A37)="N/A",0,RTD("tos.rtd",,$A$2,"."&amp;C$2&amp;C$1&amp;"C"&amp;$A37))-IF(RTD("tos.rtd",,$A$2,"."&amp;C$2&amp;C$1&amp;"P"&amp;$A37)="N/A",0,RTD("tos.rtd",,$A$2,"."&amp;C$2&amp;C$1&amp;"P"&amp;$A37))</f>
        <v>0</v>
      </c>
      <c r="D37" s="91">
        <f ca="1">IF(RTD("tos.rtd",,$A$2,"."&amp;D$2&amp;D$1&amp;"C"&amp;$A37)="N/A",0,RTD("tos.rtd",,$A$2,"."&amp;D$2&amp;D$1&amp;"C"&amp;$A37))-IF(RTD("tos.rtd",,$A$2,"."&amp;D$2&amp;D$1&amp;"P"&amp;$A37)="N/A",0,RTD("tos.rtd",,$A$2,"."&amp;D$2&amp;D$1&amp;"P"&amp;$A37))</f>
        <v>0</v>
      </c>
      <c r="E37" s="91">
        <f ca="1">IF(RTD("tos.rtd",,$A$2,"."&amp;E$2&amp;E$1&amp;"C"&amp;$A37)="N/A",0,RTD("tos.rtd",,$A$2,"."&amp;E$2&amp;E$1&amp;"C"&amp;$A37))-IF(RTD("tos.rtd",,$A$2,"."&amp;E$2&amp;E$1&amp;"P"&amp;$A37)="N/A",0,RTD("tos.rtd",,$A$2,"."&amp;E$2&amp;E$1&amp;"P"&amp;$A37))</f>
        <v>0</v>
      </c>
      <c r="F37" s="91">
        <f ca="1">IF(RTD("tos.rtd",,$A$2,"."&amp;F$2&amp;F$1&amp;"C"&amp;$A37)="N/A",0,RTD("tos.rtd",,$A$2,"."&amp;F$2&amp;F$1&amp;"C"&amp;$A37))-IF(RTD("tos.rtd",,$A$2,"."&amp;F$2&amp;F$1&amp;"P"&amp;$A37)="N/A",0,RTD("tos.rtd",,$A$2,"."&amp;F$2&amp;F$1&amp;"P"&amp;$A37))</f>
        <v>0</v>
      </c>
      <c r="G37" s="91">
        <f ca="1">IF(RTD("tos.rtd",,$A$2,"."&amp;G$2&amp;G$1&amp;"C"&amp;$A37)="N/A",0,RTD("tos.rtd",,$A$2,"."&amp;G$2&amp;G$1&amp;"C"&amp;$A37))-IF(RTD("tos.rtd",,$A$2,"."&amp;G$2&amp;G$1&amp;"P"&amp;$A37)="N/A",0,RTD("tos.rtd",,$A$2,"."&amp;G$2&amp;G$1&amp;"P"&amp;$A37))</f>
        <v>0</v>
      </c>
      <c r="H37" s="91">
        <f ca="1">IF(RTD("tos.rtd",,$A$2,"."&amp;H$2&amp;H$1&amp;"C"&amp;$A37)="N/A",0,RTD("tos.rtd",,$A$2,"."&amp;H$2&amp;H$1&amp;"C"&amp;$A37))-IF(RTD("tos.rtd",,$A$2,"."&amp;H$2&amp;H$1&amp;"P"&amp;$A37)="N/A",0,RTD("tos.rtd",,$A$2,"."&amp;H$2&amp;H$1&amp;"P"&amp;$A37))</f>
        <v>-3998</v>
      </c>
      <c r="I37" s="91">
        <f ca="1">IF(RTD("tos.rtd",,$A$2,"."&amp;I$2&amp;I$1&amp;"C"&amp;$A37)="N/A",0,RTD("tos.rtd",,$A$2,"."&amp;I$2&amp;I$1&amp;"C"&amp;$A37))-IF(RTD("tos.rtd",,$A$2,"."&amp;I$2&amp;I$1&amp;"P"&amp;$A37)="N/A",0,RTD("tos.rtd",,$A$2,"."&amp;I$2&amp;I$1&amp;"P"&amp;$A37))</f>
        <v>-2576</v>
      </c>
      <c r="J37" s="91">
        <f ca="1">IF(RTD("tos.rtd",,$A$2,"."&amp;J$2&amp;J$1&amp;"C"&amp;$A37)="N/A",0,RTD("tos.rtd",,$A$2,"."&amp;J$2&amp;J$1&amp;"C"&amp;$A37))-IF(RTD("tos.rtd",,$A$2,"."&amp;J$2&amp;J$1&amp;"P"&amp;$A37)="N/A",0,RTD("tos.rtd",,$A$2,"."&amp;J$2&amp;J$1&amp;"P"&amp;$A37))</f>
        <v>-1441</v>
      </c>
      <c r="K37" s="91">
        <f ca="1">IF(RTD("tos.rtd",,$A$2,"."&amp;K$2&amp;K$1&amp;"C"&amp;$A37)="N/A",0,RTD("tos.rtd",,$A$2,"."&amp;K$2&amp;K$1&amp;"C"&amp;$A37))-IF(RTD("tos.rtd",,$A$2,"."&amp;K$2&amp;K$1&amp;"P"&amp;$A37)="N/A",0,RTD("tos.rtd",,$A$2,"."&amp;K$2&amp;K$1&amp;"P"&amp;$A37))</f>
        <v>-4835</v>
      </c>
      <c r="L37" s="91">
        <f ca="1">IF(RTD("tos.rtd",,$A$2,"."&amp;L$2&amp;L$1&amp;"C"&amp;$A37)="N/A",0,RTD("tos.rtd",,$A$2,"."&amp;L$2&amp;L$1&amp;"C"&amp;$A37))-IF(RTD("tos.rtd",,$A$2,"."&amp;L$2&amp;L$1&amp;"P"&amp;$A37)="N/A",0,RTD("tos.rtd",,$A$2,"."&amp;L$2&amp;L$1&amp;"P"&amp;$A37))</f>
        <v>-329</v>
      </c>
      <c r="M37" s="91">
        <f ca="1">IF(RTD("tos.rtd",,$A$2,"."&amp;M$2&amp;M$1&amp;"C"&amp;$A37)="N/A",0,RTD("tos.rtd",,$A$2,"."&amp;M$2&amp;M$1&amp;"C"&amp;$A37))-IF(RTD("tos.rtd",,$A$2,"."&amp;M$2&amp;M$1&amp;"P"&amp;$A37)="N/A",0,RTD("tos.rtd",,$A$2,"."&amp;M$2&amp;M$1&amp;"P"&amp;$A37))</f>
        <v>-1973</v>
      </c>
      <c r="N37" s="91">
        <f ca="1">IF(RTD("tos.rtd",,$A$2,"."&amp;N$2&amp;N$1&amp;"C"&amp;$A37)="N/A",0,RTD("tos.rtd",,$A$2,"."&amp;N$2&amp;N$1&amp;"C"&amp;$A37))-IF(RTD("tos.rtd",,$A$2,"."&amp;N$2&amp;N$1&amp;"P"&amp;$A37)="N/A",0,RTD("tos.rtd",,$A$2,"."&amp;N$2&amp;N$1&amp;"P"&amp;$A37))</f>
        <v>-228</v>
      </c>
      <c r="O37" s="91">
        <f ca="1">IF(RTD("tos.rtd",,$A$2,"."&amp;O$2&amp;O$1&amp;"C"&amp;$A37)="N/A",0,RTD("tos.rtd",,$A$2,"."&amp;O$2&amp;O$1&amp;"C"&amp;$A37))-IF(RTD("tos.rtd",,$A$2,"."&amp;O$2&amp;O$1&amp;"P"&amp;$A37)="N/A",0,RTD("tos.rtd",,$A$2,"."&amp;O$2&amp;O$1&amp;"P"&amp;$A37))</f>
        <v>-141</v>
      </c>
      <c r="P37" s="91">
        <f ca="1">IF(RTD("tos.rtd",,$A$2,"."&amp;P$2&amp;P$1&amp;"C"&amp;$A37)="N/A",0,RTD("tos.rtd",,$A$2,"."&amp;P$2&amp;P$1&amp;"C"&amp;$A37))-IF(RTD("tos.rtd",,$A$2,"."&amp;P$2&amp;P$1&amp;"P"&amp;$A37)="N/A",0,RTD("tos.rtd",,$A$2,"."&amp;P$2&amp;P$1&amp;"P"&amp;$A37))</f>
        <v>-124</v>
      </c>
      <c r="Q37" s="91">
        <f ca="1">IF(RTD("tos.rtd",,$A$2,"."&amp;Q$2&amp;Q$1&amp;"C"&amp;$A37)="N/A",0,RTD("tos.rtd",,$A$2,"."&amp;Q$2&amp;Q$1&amp;"C"&amp;$A37))-IF(RTD("tos.rtd",,$A$2,"."&amp;Q$2&amp;Q$1&amp;"P"&amp;$A37)="N/A",0,RTD("tos.rtd",,$A$2,"."&amp;Q$2&amp;Q$1&amp;"P"&amp;$A37))</f>
        <v>-170</v>
      </c>
      <c r="R37" s="91">
        <f ca="1">IF(RTD("tos.rtd",,$A$2,"."&amp;R$2&amp;R$1&amp;"C"&amp;$A37)="N/A",0,RTD("tos.rtd",,$A$2,"."&amp;R$2&amp;R$1&amp;"C"&amp;$A37))-IF(RTD("tos.rtd",,$A$2,"."&amp;R$2&amp;R$1&amp;"P"&amp;$A37)="N/A",0,RTD("tos.rtd",,$A$2,"."&amp;R$2&amp;R$1&amp;"P"&amp;$A37))</f>
        <v>-709</v>
      </c>
      <c r="S37" s="91">
        <f ca="1">IF(RTD("tos.rtd",,$A$2,"."&amp;S$2&amp;S$1&amp;"C"&amp;$A37)="N/A",0,RTD("tos.rtd",,$A$2,"."&amp;S$2&amp;S$1&amp;"C"&amp;$A37))-IF(RTD("tos.rtd",,$A$2,"."&amp;S$2&amp;S$1&amp;"P"&amp;$A37)="N/A",0,RTD("tos.rtd",,$A$2,"."&amp;S$2&amp;S$1&amp;"P"&amp;$A37))</f>
        <v>0</v>
      </c>
      <c r="T37" s="91">
        <f ca="1">IF(RTD("tos.rtd",,$A$2,"."&amp;T$2&amp;T$1&amp;"C"&amp;$A37)="N/A",0,RTD("tos.rtd",,$A$2,"."&amp;T$2&amp;T$1&amp;"C"&amp;$A37))-IF(RTD("tos.rtd",,$A$2,"."&amp;T$2&amp;T$1&amp;"P"&amp;$A37)="N/A",0,RTD("tos.rtd",,$A$2,"."&amp;T$2&amp;T$1&amp;"P"&amp;$A37))</f>
        <v>-75</v>
      </c>
      <c r="U37" s="91">
        <f ca="1">IF(RTD("tos.rtd",,$A$2,"."&amp;U$2&amp;U$1&amp;"C"&amp;$A37)="N/A",0,RTD("tos.rtd",,$A$2,"."&amp;U$2&amp;U$1&amp;"C"&amp;$A37))-IF(RTD("tos.rtd",,$A$2,"."&amp;U$2&amp;U$1&amp;"P"&amp;$A37)="N/A",0,RTD("tos.rtd",,$A$2,"."&amp;U$2&amp;U$1&amp;"P"&amp;$A37))</f>
        <v>0</v>
      </c>
      <c r="V37" s="91">
        <f ca="1">IF(RTD("tos.rtd",,$A$2,"."&amp;V$2&amp;V$1&amp;"C"&amp;$A37)="N/A",0,RTD("tos.rtd",,$A$2,"."&amp;V$2&amp;V$1&amp;"C"&amp;$A37))-IF(RTD("tos.rtd",,$A$2,"."&amp;V$2&amp;V$1&amp;"P"&amp;$A37)="N/A",0,RTD("tos.rtd",,$A$2,"."&amp;V$2&amp;V$1&amp;"P"&amp;$A37))</f>
        <v>0</v>
      </c>
      <c r="W37" s="91">
        <f ca="1">IF(RTD("tos.rtd",,$A$2,"."&amp;W$2&amp;W$1&amp;"C"&amp;$A37)="N/A",0,RTD("tos.rtd",,$A$2,"."&amp;W$2&amp;W$1&amp;"C"&amp;$A37))-IF(RTD("tos.rtd",,$A$2,"."&amp;W$2&amp;W$1&amp;"P"&amp;$A37)="N/A",0,RTD("tos.rtd",,$A$2,"."&amp;W$2&amp;W$1&amp;"P"&amp;$A37))</f>
        <v>-81</v>
      </c>
      <c r="X37" s="91">
        <f ca="1">IF(RTD("tos.rtd",,$A$2,"."&amp;X$2&amp;X$1&amp;"C"&amp;$A37)="N/A",0,RTD("tos.rtd",,$A$2,"."&amp;X$2&amp;X$1&amp;"C"&amp;$A37))-IF(RTD("tos.rtd",,$A$2,"."&amp;X$2&amp;X$1&amp;"P"&amp;$A37)="N/A",0,RTD("tos.rtd",,$A$2,"."&amp;X$2&amp;X$1&amp;"P"&amp;$A37))</f>
        <v>-35</v>
      </c>
      <c r="Y37" s="98">
        <f t="shared" ca="1" si="3"/>
        <v>-16715</v>
      </c>
    </row>
    <row r="38" spans="1:25" x14ac:dyDescent="0.25">
      <c r="A38" s="93">
        <f>+Hoja1!A37</f>
        <v>549</v>
      </c>
      <c r="B38" s="91">
        <f ca="1">IF(RTD("tos.rtd",,$A$2,"."&amp;B$2&amp;B$1&amp;"C"&amp;$A38)="N/A",0,RTD("tos.rtd",,$A$2,"."&amp;B$2&amp;B$1&amp;"C"&amp;$A38))-IF(RTD("tos.rtd",,$A$2,"."&amp;B$2&amp;B$1&amp;"P"&amp;$A38)="N/A",0,RTD("tos.rtd",,$A$2,"."&amp;B$2&amp;B$1&amp;"P"&amp;$A38))</f>
        <v>0</v>
      </c>
      <c r="C38" s="91">
        <f ca="1">IF(RTD("tos.rtd",,$A$2,"."&amp;C$2&amp;C$1&amp;"C"&amp;$A38)="N/A",0,RTD("tos.rtd",,$A$2,"."&amp;C$2&amp;C$1&amp;"C"&amp;$A38))-IF(RTD("tos.rtd",,$A$2,"."&amp;C$2&amp;C$1&amp;"P"&amp;$A38)="N/A",0,RTD("tos.rtd",,$A$2,"."&amp;C$2&amp;C$1&amp;"P"&amp;$A38))</f>
        <v>0</v>
      </c>
      <c r="D38" s="91">
        <f ca="1">IF(RTD("tos.rtd",,$A$2,"."&amp;D$2&amp;D$1&amp;"C"&amp;$A38)="N/A",0,RTD("tos.rtd",,$A$2,"."&amp;D$2&amp;D$1&amp;"C"&amp;$A38))-IF(RTD("tos.rtd",,$A$2,"."&amp;D$2&amp;D$1&amp;"P"&amp;$A38)="N/A",0,RTD("tos.rtd",,$A$2,"."&amp;D$2&amp;D$1&amp;"P"&amp;$A38))</f>
        <v>0</v>
      </c>
      <c r="E38" s="91">
        <f ca="1">IF(RTD("tos.rtd",,$A$2,"."&amp;E$2&amp;E$1&amp;"C"&amp;$A38)="N/A",0,RTD("tos.rtd",,$A$2,"."&amp;E$2&amp;E$1&amp;"C"&amp;$A38))-IF(RTD("tos.rtd",,$A$2,"."&amp;E$2&amp;E$1&amp;"P"&amp;$A38)="N/A",0,RTD("tos.rtd",,$A$2,"."&amp;E$2&amp;E$1&amp;"P"&amp;$A38))</f>
        <v>0</v>
      </c>
      <c r="F38" s="91">
        <f ca="1">IF(RTD("tos.rtd",,$A$2,"."&amp;F$2&amp;F$1&amp;"C"&amp;$A38)="N/A",0,RTD("tos.rtd",,$A$2,"."&amp;F$2&amp;F$1&amp;"C"&amp;$A38))-IF(RTD("tos.rtd",,$A$2,"."&amp;F$2&amp;F$1&amp;"P"&amp;$A38)="N/A",0,RTD("tos.rtd",,$A$2,"."&amp;F$2&amp;F$1&amp;"P"&amp;$A38))</f>
        <v>0</v>
      </c>
      <c r="G38" s="91">
        <f ca="1">IF(RTD("tos.rtd",,$A$2,"."&amp;G$2&amp;G$1&amp;"C"&amp;$A38)="N/A",0,RTD("tos.rtd",,$A$2,"."&amp;G$2&amp;G$1&amp;"C"&amp;$A38))-IF(RTD("tos.rtd",,$A$2,"."&amp;G$2&amp;G$1&amp;"P"&amp;$A38)="N/A",0,RTD("tos.rtd",,$A$2,"."&amp;G$2&amp;G$1&amp;"P"&amp;$A38))</f>
        <v>0</v>
      </c>
      <c r="H38" s="91">
        <f ca="1">IF(RTD("tos.rtd",,$A$2,"."&amp;H$2&amp;H$1&amp;"C"&amp;$A38)="N/A",0,RTD("tos.rtd",,$A$2,"."&amp;H$2&amp;H$1&amp;"C"&amp;$A38))-IF(RTD("tos.rtd",,$A$2,"."&amp;H$2&amp;H$1&amp;"P"&amp;$A38)="N/A",0,RTD("tos.rtd",,$A$2,"."&amp;H$2&amp;H$1&amp;"P"&amp;$A38))</f>
        <v>-285</v>
      </c>
      <c r="I38" s="91">
        <f ca="1">IF(RTD("tos.rtd",,$A$2,"."&amp;I$2&amp;I$1&amp;"C"&amp;$A38)="N/A",0,RTD("tos.rtd",,$A$2,"."&amp;I$2&amp;I$1&amp;"C"&amp;$A38))-IF(RTD("tos.rtd",,$A$2,"."&amp;I$2&amp;I$1&amp;"P"&amp;$A38)="N/A",0,RTD("tos.rtd",,$A$2,"."&amp;I$2&amp;I$1&amp;"P"&amp;$A38))</f>
        <v>-454</v>
      </c>
      <c r="J38" s="91">
        <f ca="1">IF(RTD("tos.rtd",,$A$2,"."&amp;J$2&amp;J$1&amp;"C"&amp;$A38)="N/A",0,RTD("tos.rtd",,$A$2,"."&amp;J$2&amp;J$1&amp;"C"&amp;$A38))-IF(RTD("tos.rtd",,$A$2,"."&amp;J$2&amp;J$1&amp;"P"&amp;$A38)="N/A",0,RTD("tos.rtd",,$A$2,"."&amp;J$2&amp;J$1&amp;"P"&amp;$A38))</f>
        <v>-12</v>
      </c>
      <c r="K38" s="91">
        <f ca="1">IF(RTD("tos.rtd",,$A$2,"."&amp;K$2&amp;K$1&amp;"C"&amp;$A38)="N/A",0,RTD("tos.rtd",,$A$2,"."&amp;K$2&amp;K$1&amp;"C"&amp;$A38))-IF(RTD("tos.rtd",,$A$2,"."&amp;K$2&amp;K$1&amp;"P"&amp;$A38)="N/A",0,RTD("tos.rtd",,$A$2,"."&amp;K$2&amp;K$1&amp;"P"&amp;$A38))</f>
        <v>-255</v>
      </c>
      <c r="L38" s="91">
        <f ca="1">IF(RTD("tos.rtd",,$A$2,"."&amp;L$2&amp;L$1&amp;"C"&amp;$A38)="N/A",0,RTD("tos.rtd",,$A$2,"."&amp;L$2&amp;L$1&amp;"C"&amp;$A38))-IF(RTD("tos.rtd",,$A$2,"."&amp;L$2&amp;L$1&amp;"P"&amp;$A38)="N/A",0,RTD("tos.rtd",,$A$2,"."&amp;L$2&amp;L$1&amp;"P"&amp;$A38))</f>
        <v>-143</v>
      </c>
      <c r="M38" s="91">
        <f ca="1">IF(RTD("tos.rtd",,$A$2,"."&amp;M$2&amp;M$1&amp;"C"&amp;$A38)="N/A",0,RTD("tos.rtd",,$A$2,"."&amp;M$2&amp;M$1&amp;"C"&amp;$A38))-IF(RTD("tos.rtd",,$A$2,"."&amp;M$2&amp;M$1&amp;"P"&amp;$A38)="N/A",0,RTD("tos.rtd",,$A$2,"."&amp;M$2&amp;M$1&amp;"P"&amp;$A38))</f>
        <v>0</v>
      </c>
      <c r="N38" s="91">
        <f ca="1">IF(RTD("tos.rtd",,$A$2,"."&amp;N$2&amp;N$1&amp;"C"&amp;$A38)="N/A",0,RTD("tos.rtd",,$A$2,"."&amp;N$2&amp;N$1&amp;"C"&amp;$A38))-IF(RTD("tos.rtd",,$A$2,"."&amp;N$2&amp;N$1&amp;"P"&amp;$A38)="N/A",0,RTD("tos.rtd",,$A$2,"."&amp;N$2&amp;N$1&amp;"P"&amp;$A38))</f>
        <v>-7</v>
      </c>
      <c r="O38" s="91">
        <f ca="1">IF(RTD("tos.rtd",,$A$2,"."&amp;O$2&amp;O$1&amp;"C"&amp;$A38)="N/A",0,RTD("tos.rtd",,$A$2,"."&amp;O$2&amp;O$1&amp;"C"&amp;$A38))-IF(RTD("tos.rtd",,$A$2,"."&amp;O$2&amp;O$1&amp;"P"&amp;$A38)="N/A",0,RTD("tos.rtd",,$A$2,"."&amp;O$2&amp;O$1&amp;"P"&amp;$A38))</f>
        <v>-286</v>
      </c>
      <c r="P38" s="91">
        <f ca="1">IF(RTD("tos.rtd",,$A$2,"."&amp;P$2&amp;P$1&amp;"C"&amp;$A38)="N/A",0,RTD("tos.rtd",,$A$2,"."&amp;P$2&amp;P$1&amp;"C"&amp;$A38))-IF(RTD("tos.rtd",,$A$2,"."&amp;P$2&amp;P$1&amp;"P"&amp;$A38)="N/A",0,RTD("tos.rtd",,$A$2,"."&amp;P$2&amp;P$1&amp;"P"&amp;$A38))</f>
        <v>0</v>
      </c>
      <c r="Q38" s="91">
        <f ca="1">IF(RTD("tos.rtd",,$A$2,"."&amp;Q$2&amp;Q$1&amp;"C"&amp;$A38)="N/A",0,RTD("tos.rtd",,$A$2,"."&amp;Q$2&amp;Q$1&amp;"C"&amp;$A38))-IF(RTD("tos.rtd",,$A$2,"."&amp;Q$2&amp;Q$1&amp;"P"&amp;$A38)="N/A",0,RTD("tos.rtd",,$A$2,"."&amp;Q$2&amp;Q$1&amp;"P"&amp;$A38))</f>
        <v>0</v>
      </c>
      <c r="R38" s="91">
        <f ca="1">IF(RTD("tos.rtd",,$A$2,"."&amp;R$2&amp;R$1&amp;"C"&amp;$A38)="N/A",0,RTD("tos.rtd",,$A$2,"."&amp;R$2&amp;R$1&amp;"C"&amp;$A38))-IF(RTD("tos.rtd",,$A$2,"."&amp;R$2&amp;R$1&amp;"P"&amp;$A38)="N/A",0,RTD("tos.rtd",,$A$2,"."&amp;R$2&amp;R$1&amp;"P"&amp;$A38))</f>
        <v>1</v>
      </c>
      <c r="S38" s="91">
        <f ca="1">IF(RTD("tos.rtd",,$A$2,"."&amp;S$2&amp;S$1&amp;"C"&amp;$A38)="N/A",0,RTD("tos.rtd",,$A$2,"."&amp;S$2&amp;S$1&amp;"C"&amp;$A38))-IF(RTD("tos.rtd",,$A$2,"."&amp;S$2&amp;S$1&amp;"P"&amp;$A38)="N/A",0,RTD("tos.rtd",,$A$2,"."&amp;S$2&amp;S$1&amp;"P"&amp;$A38))</f>
        <v>0</v>
      </c>
      <c r="T38" s="91">
        <f ca="1">IF(RTD("tos.rtd",,$A$2,"."&amp;T$2&amp;T$1&amp;"C"&amp;$A38)="N/A",0,RTD("tos.rtd",,$A$2,"."&amp;T$2&amp;T$1&amp;"C"&amp;$A38))-IF(RTD("tos.rtd",,$A$2,"."&amp;T$2&amp;T$1&amp;"P"&amp;$A38)="N/A",0,RTD("tos.rtd",,$A$2,"."&amp;T$2&amp;T$1&amp;"P"&amp;$A38))</f>
        <v>-24</v>
      </c>
      <c r="U38" s="91">
        <f ca="1">IF(RTD("tos.rtd",,$A$2,"."&amp;U$2&amp;U$1&amp;"C"&amp;$A38)="N/A",0,RTD("tos.rtd",,$A$2,"."&amp;U$2&amp;U$1&amp;"C"&amp;$A38))-IF(RTD("tos.rtd",,$A$2,"."&amp;U$2&amp;U$1&amp;"P"&amp;$A38)="N/A",0,RTD("tos.rtd",,$A$2,"."&amp;U$2&amp;U$1&amp;"P"&amp;$A38))</f>
        <v>0</v>
      </c>
      <c r="V38" s="91">
        <f ca="1">IF(RTD("tos.rtd",,$A$2,"."&amp;V$2&amp;V$1&amp;"C"&amp;$A38)="N/A",0,RTD("tos.rtd",,$A$2,"."&amp;V$2&amp;V$1&amp;"C"&amp;$A38))-IF(RTD("tos.rtd",,$A$2,"."&amp;V$2&amp;V$1&amp;"P"&amp;$A38)="N/A",0,RTD("tos.rtd",,$A$2,"."&amp;V$2&amp;V$1&amp;"P"&amp;$A38))</f>
        <v>0</v>
      </c>
      <c r="W38" s="91">
        <f ca="1">IF(RTD("tos.rtd",,$A$2,"."&amp;W$2&amp;W$1&amp;"C"&amp;$A38)="N/A",0,RTD("tos.rtd",,$A$2,"."&amp;W$2&amp;W$1&amp;"C"&amp;$A38))-IF(RTD("tos.rtd",,$A$2,"."&amp;W$2&amp;W$1&amp;"P"&amp;$A38)="N/A",0,RTD("tos.rtd",,$A$2,"."&amp;W$2&amp;W$1&amp;"P"&amp;$A38))</f>
        <v>0</v>
      </c>
      <c r="X38" s="91">
        <f ca="1">IF(RTD("tos.rtd",,$A$2,"."&amp;X$2&amp;X$1&amp;"C"&amp;$A38)="N/A",0,RTD("tos.rtd",,$A$2,"."&amp;X$2&amp;X$1&amp;"C"&amp;$A38))-IF(RTD("tos.rtd",,$A$2,"."&amp;X$2&amp;X$1&amp;"P"&amp;$A38)="N/A",0,RTD("tos.rtd",,$A$2,"."&amp;X$2&amp;X$1&amp;"P"&amp;$A38))</f>
        <v>-12</v>
      </c>
      <c r="Y38" s="98">
        <f t="shared" ca="1" si="3"/>
        <v>-1477</v>
      </c>
    </row>
    <row r="39" spans="1:25" x14ac:dyDescent="0.25">
      <c r="A39" s="93">
        <f>+Hoja1!A38</f>
        <v>548</v>
      </c>
      <c r="B39" s="91">
        <f ca="1">IF(RTD("tos.rtd",,$A$2,"."&amp;B$2&amp;B$1&amp;"C"&amp;$A39)="N/A",0,RTD("tos.rtd",,$A$2,"."&amp;B$2&amp;B$1&amp;"C"&amp;$A39))-IF(RTD("tos.rtd",,$A$2,"."&amp;B$2&amp;B$1&amp;"P"&amp;$A39)="N/A",0,RTD("tos.rtd",,$A$2,"."&amp;B$2&amp;B$1&amp;"P"&amp;$A39))</f>
        <v>0</v>
      </c>
      <c r="C39" s="91">
        <f ca="1">IF(RTD("tos.rtd",,$A$2,"."&amp;C$2&amp;C$1&amp;"C"&amp;$A39)="N/A",0,RTD("tos.rtd",,$A$2,"."&amp;C$2&amp;C$1&amp;"C"&amp;$A39))-IF(RTD("tos.rtd",,$A$2,"."&amp;C$2&amp;C$1&amp;"P"&amp;$A39)="N/A",0,RTD("tos.rtd",,$A$2,"."&amp;C$2&amp;C$1&amp;"P"&amp;$A39))</f>
        <v>0</v>
      </c>
      <c r="D39" s="91">
        <f ca="1">IF(RTD("tos.rtd",,$A$2,"."&amp;D$2&amp;D$1&amp;"C"&amp;$A39)="N/A",0,RTD("tos.rtd",,$A$2,"."&amp;D$2&amp;D$1&amp;"C"&amp;$A39))-IF(RTD("tos.rtd",,$A$2,"."&amp;D$2&amp;D$1&amp;"P"&amp;$A39)="N/A",0,RTD("tos.rtd",,$A$2,"."&amp;D$2&amp;D$1&amp;"P"&amp;$A39))</f>
        <v>0</v>
      </c>
      <c r="E39" s="91">
        <f ca="1">IF(RTD("tos.rtd",,$A$2,"."&amp;E$2&amp;E$1&amp;"C"&amp;$A39)="N/A",0,RTD("tos.rtd",,$A$2,"."&amp;E$2&amp;E$1&amp;"C"&amp;$A39))-IF(RTD("tos.rtd",,$A$2,"."&amp;E$2&amp;E$1&amp;"P"&amp;$A39)="N/A",0,RTD("tos.rtd",,$A$2,"."&amp;E$2&amp;E$1&amp;"P"&amp;$A39))</f>
        <v>0</v>
      </c>
      <c r="F39" s="91">
        <f ca="1">IF(RTD("tos.rtd",,$A$2,"."&amp;F$2&amp;F$1&amp;"C"&amp;$A39)="N/A",0,RTD("tos.rtd",,$A$2,"."&amp;F$2&amp;F$1&amp;"C"&amp;$A39))-IF(RTD("tos.rtd",,$A$2,"."&amp;F$2&amp;F$1&amp;"P"&amp;$A39)="N/A",0,RTD("tos.rtd",,$A$2,"."&amp;F$2&amp;F$1&amp;"P"&amp;$A39))</f>
        <v>0</v>
      </c>
      <c r="G39" s="91">
        <f ca="1">IF(RTD("tos.rtd",,$A$2,"."&amp;G$2&amp;G$1&amp;"C"&amp;$A39)="N/A",0,RTD("tos.rtd",,$A$2,"."&amp;G$2&amp;G$1&amp;"C"&amp;$A39))-IF(RTD("tos.rtd",,$A$2,"."&amp;G$2&amp;G$1&amp;"P"&amp;$A39)="N/A",0,RTD("tos.rtd",,$A$2,"."&amp;G$2&amp;G$1&amp;"P"&amp;$A39))</f>
        <v>0</v>
      </c>
      <c r="H39" s="91">
        <f ca="1">IF(RTD("tos.rtd",,$A$2,"."&amp;H$2&amp;H$1&amp;"C"&amp;$A39)="N/A",0,RTD("tos.rtd",,$A$2,"."&amp;H$2&amp;H$1&amp;"C"&amp;$A39))-IF(RTD("tos.rtd",,$A$2,"."&amp;H$2&amp;H$1&amp;"P"&amp;$A39)="N/A",0,RTD("tos.rtd",,$A$2,"."&amp;H$2&amp;H$1&amp;"P"&amp;$A39))</f>
        <v>-46</v>
      </c>
      <c r="I39" s="91">
        <f ca="1">IF(RTD("tos.rtd",,$A$2,"."&amp;I$2&amp;I$1&amp;"C"&amp;$A39)="N/A",0,RTD("tos.rtd",,$A$2,"."&amp;I$2&amp;I$1&amp;"C"&amp;$A39))-IF(RTD("tos.rtd",,$A$2,"."&amp;I$2&amp;I$1&amp;"P"&amp;$A39)="N/A",0,RTD("tos.rtd",,$A$2,"."&amp;I$2&amp;I$1&amp;"P"&amp;$A39))</f>
        <v>-244</v>
      </c>
      <c r="J39" s="91">
        <f ca="1">IF(RTD("tos.rtd",,$A$2,"."&amp;J$2&amp;J$1&amp;"C"&amp;$A39)="N/A",0,RTD("tos.rtd",,$A$2,"."&amp;J$2&amp;J$1&amp;"C"&amp;$A39))-IF(RTD("tos.rtd",,$A$2,"."&amp;J$2&amp;J$1&amp;"P"&amp;$A39)="N/A",0,RTD("tos.rtd",,$A$2,"."&amp;J$2&amp;J$1&amp;"P"&amp;$A39))</f>
        <v>-77</v>
      </c>
      <c r="K39" s="91">
        <f ca="1">IF(RTD("tos.rtd",,$A$2,"."&amp;K$2&amp;K$1&amp;"C"&amp;$A39)="N/A",0,RTD("tos.rtd",,$A$2,"."&amp;K$2&amp;K$1&amp;"C"&amp;$A39))-IF(RTD("tos.rtd",,$A$2,"."&amp;K$2&amp;K$1&amp;"P"&amp;$A39)="N/A",0,RTD("tos.rtd",,$A$2,"."&amp;K$2&amp;K$1&amp;"P"&amp;$A39))</f>
        <v>-257</v>
      </c>
      <c r="L39" s="91">
        <f ca="1">IF(RTD("tos.rtd",,$A$2,"."&amp;L$2&amp;L$1&amp;"C"&amp;$A39)="N/A",0,RTD("tos.rtd",,$A$2,"."&amp;L$2&amp;L$1&amp;"C"&amp;$A39))-IF(RTD("tos.rtd",,$A$2,"."&amp;L$2&amp;L$1&amp;"P"&amp;$A39)="N/A",0,RTD("tos.rtd",,$A$2,"."&amp;L$2&amp;L$1&amp;"P"&amp;$A39))</f>
        <v>-87</v>
      </c>
      <c r="M39" s="91">
        <f ca="1">IF(RTD("tos.rtd",,$A$2,"."&amp;M$2&amp;M$1&amp;"C"&amp;$A39)="N/A",0,RTD("tos.rtd",,$A$2,"."&amp;M$2&amp;M$1&amp;"C"&amp;$A39))-IF(RTD("tos.rtd",,$A$2,"."&amp;M$2&amp;M$1&amp;"P"&amp;$A39)="N/A",0,RTD("tos.rtd",,$A$2,"."&amp;M$2&amp;M$1&amp;"P"&amp;$A39))</f>
        <v>0</v>
      </c>
      <c r="N39" s="91">
        <f ca="1">IF(RTD("tos.rtd",,$A$2,"."&amp;N$2&amp;N$1&amp;"C"&amp;$A39)="N/A",0,RTD("tos.rtd",,$A$2,"."&amp;N$2&amp;N$1&amp;"C"&amp;$A39))-IF(RTD("tos.rtd",,$A$2,"."&amp;N$2&amp;N$1&amp;"P"&amp;$A39)="N/A",0,RTD("tos.rtd",,$A$2,"."&amp;N$2&amp;N$1&amp;"P"&amp;$A39))</f>
        <v>-23</v>
      </c>
      <c r="O39" s="91">
        <f ca="1">IF(RTD("tos.rtd",,$A$2,"."&amp;O$2&amp;O$1&amp;"C"&amp;$A39)="N/A",0,RTD("tos.rtd",,$A$2,"."&amp;O$2&amp;O$1&amp;"C"&amp;$A39))-IF(RTD("tos.rtd",,$A$2,"."&amp;O$2&amp;O$1&amp;"P"&amp;$A39)="N/A",0,RTD("tos.rtd",,$A$2,"."&amp;O$2&amp;O$1&amp;"P"&amp;$A39))</f>
        <v>-24</v>
      </c>
      <c r="P39" s="91">
        <f ca="1">IF(RTD("tos.rtd",,$A$2,"."&amp;P$2&amp;P$1&amp;"C"&amp;$A39)="N/A",0,RTD("tos.rtd",,$A$2,"."&amp;P$2&amp;P$1&amp;"C"&amp;$A39))-IF(RTD("tos.rtd",,$A$2,"."&amp;P$2&amp;P$1&amp;"P"&amp;$A39)="N/A",0,RTD("tos.rtd",,$A$2,"."&amp;P$2&amp;P$1&amp;"P"&amp;$A39))</f>
        <v>0</v>
      </c>
      <c r="Q39" s="91">
        <f ca="1">IF(RTD("tos.rtd",,$A$2,"."&amp;Q$2&amp;Q$1&amp;"C"&amp;$A39)="N/A",0,RTD("tos.rtd",,$A$2,"."&amp;Q$2&amp;Q$1&amp;"C"&amp;$A39))-IF(RTD("tos.rtd",,$A$2,"."&amp;Q$2&amp;Q$1&amp;"P"&amp;$A39)="N/A",0,RTD("tos.rtd",,$A$2,"."&amp;Q$2&amp;Q$1&amp;"P"&amp;$A39))</f>
        <v>0</v>
      </c>
      <c r="R39" s="91">
        <f ca="1">IF(RTD("tos.rtd",,$A$2,"."&amp;R$2&amp;R$1&amp;"C"&amp;$A39)="N/A",0,RTD("tos.rtd",,$A$2,"."&amp;R$2&amp;R$1&amp;"C"&amp;$A39))-IF(RTD("tos.rtd",,$A$2,"."&amp;R$2&amp;R$1&amp;"P"&amp;$A39)="N/A",0,RTD("tos.rtd",,$A$2,"."&amp;R$2&amp;R$1&amp;"P"&amp;$A39))</f>
        <v>16</v>
      </c>
      <c r="S39" s="91">
        <f ca="1">IF(RTD("tos.rtd",,$A$2,"."&amp;S$2&amp;S$1&amp;"C"&amp;$A39)="N/A",0,RTD("tos.rtd",,$A$2,"."&amp;S$2&amp;S$1&amp;"C"&amp;$A39))-IF(RTD("tos.rtd",,$A$2,"."&amp;S$2&amp;S$1&amp;"P"&amp;$A39)="N/A",0,RTD("tos.rtd",,$A$2,"."&amp;S$2&amp;S$1&amp;"P"&amp;$A39))</f>
        <v>0</v>
      </c>
      <c r="T39" s="91">
        <f ca="1">IF(RTD("tos.rtd",,$A$2,"."&amp;T$2&amp;T$1&amp;"C"&amp;$A39)="N/A",0,RTD("tos.rtd",,$A$2,"."&amp;T$2&amp;T$1&amp;"C"&amp;$A39))-IF(RTD("tos.rtd",,$A$2,"."&amp;T$2&amp;T$1&amp;"P"&amp;$A39)="N/A",0,RTD("tos.rtd",,$A$2,"."&amp;T$2&amp;T$1&amp;"P"&amp;$A39))</f>
        <v>-14</v>
      </c>
      <c r="U39" s="91">
        <f ca="1">IF(RTD("tos.rtd",,$A$2,"."&amp;U$2&amp;U$1&amp;"C"&amp;$A39)="N/A",0,RTD("tos.rtd",,$A$2,"."&amp;U$2&amp;U$1&amp;"C"&amp;$A39))-IF(RTD("tos.rtd",,$A$2,"."&amp;U$2&amp;U$1&amp;"P"&amp;$A39)="N/A",0,RTD("tos.rtd",,$A$2,"."&amp;U$2&amp;U$1&amp;"P"&amp;$A39))</f>
        <v>0</v>
      </c>
      <c r="V39" s="91">
        <f ca="1">IF(RTD("tos.rtd",,$A$2,"."&amp;V$2&amp;V$1&amp;"C"&amp;$A39)="N/A",0,RTD("tos.rtd",,$A$2,"."&amp;V$2&amp;V$1&amp;"C"&amp;$A39))-IF(RTD("tos.rtd",,$A$2,"."&amp;V$2&amp;V$1&amp;"P"&amp;$A39)="N/A",0,RTD("tos.rtd",,$A$2,"."&amp;V$2&amp;V$1&amp;"P"&amp;$A39))</f>
        <v>0</v>
      </c>
      <c r="W39" s="91">
        <f ca="1">IF(RTD("tos.rtd",,$A$2,"."&amp;W$2&amp;W$1&amp;"C"&amp;$A39)="N/A",0,RTD("tos.rtd",,$A$2,"."&amp;W$2&amp;W$1&amp;"C"&amp;$A39))-IF(RTD("tos.rtd",,$A$2,"."&amp;W$2&amp;W$1&amp;"P"&amp;$A39)="N/A",0,RTD("tos.rtd",,$A$2,"."&amp;W$2&amp;W$1&amp;"P"&amp;$A39))</f>
        <v>0</v>
      </c>
      <c r="X39" s="91">
        <f ca="1">IF(RTD("tos.rtd",,$A$2,"."&amp;X$2&amp;X$1&amp;"C"&amp;$A39)="N/A",0,RTD("tos.rtd",,$A$2,"."&amp;X$2&amp;X$1&amp;"C"&amp;$A39))-IF(RTD("tos.rtd",,$A$2,"."&amp;X$2&amp;X$1&amp;"P"&amp;$A39)="N/A",0,RTD("tos.rtd",,$A$2,"."&amp;X$2&amp;X$1&amp;"P"&amp;$A39))</f>
        <v>0</v>
      </c>
      <c r="Y39" s="98">
        <f t="shared" ca="1" si="3"/>
        <v>-756</v>
      </c>
    </row>
    <row r="40" spans="1:25" x14ac:dyDescent="0.25">
      <c r="A40" s="93">
        <f>+Hoja1!A39</f>
        <v>1</v>
      </c>
    </row>
    <row r="41" spans="1:25" x14ac:dyDescent="0.25">
      <c r="A41" s="93">
        <f>+Hoja1!A40</f>
        <v>0</v>
      </c>
    </row>
    <row r="42" spans="1:25" x14ac:dyDescent="0.25">
      <c r="A42" s="93">
        <f>+Hoja1!A41</f>
        <v>0</v>
      </c>
      <c r="B42" s="92" t="str">
        <f ca="1">+B1</f>
        <v/>
      </c>
      <c r="C42" s="92" t="str">
        <f t="shared" ref="C42:X42" ca="1" si="4">+C1</f>
        <v/>
      </c>
      <c r="D42" s="92" t="str">
        <f t="shared" ca="1" si="4"/>
        <v/>
      </c>
      <c r="E42" s="92" t="str">
        <f t="shared" ca="1" si="4"/>
        <v/>
      </c>
      <c r="F42" s="92" t="str">
        <f t="shared" ca="1" si="4"/>
        <v/>
      </c>
      <c r="G42" s="92" t="str">
        <f t="shared" ca="1" si="4"/>
        <v/>
      </c>
      <c r="H42" s="92" t="str">
        <f t="shared" ca="1" si="4"/>
        <v>250523</v>
      </c>
      <c r="I42" s="92" t="str">
        <f t="shared" ca="1" si="4"/>
        <v>250530</v>
      </c>
      <c r="J42" s="92" t="str">
        <f t="shared" ca="1" si="4"/>
        <v>250606</v>
      </c>
      <c r="K42" s="92" t="str">
        <f t="shared" ca="1" si="4"/>
        <v>250620</v>
      </c>
      <c r="L42" s="92" t="str">
        <f t="shared" ca="1" si="4"/>
        <v>250630</v>
      </c>
      <c r="M42" s="92" t="str">
        <f t="shared" ca="1" si="4"/>
        <v>250718</v>
      </c>
      <c r="N42" s="92" t="str">
        <f t="shared" ca="1" si="4"/>
        <v>250731</v>
      </c>
      <c r="O42" s="92" t="str">
        <f t="shared" ca="1" si="4"/>
        <v>250815</v>
      </c>
      <c r="P42" s="92" t="str">
        <f t="shared" ca="1" si="4"/>
        <v>250829</v>
      </c>
      <c r="Q42" s="92" t="str">
        <f t="shared" ca="1" si="4"/>
        <v>250919</v>
      </c>
      <c r="R42" s="92" t="str">
        <f t="shared" ca="1" si="4"/>
        <v>250930</v>
      </c>
      <c r="S42" s="92" t="str">
        <f t="shared" ca="1" si="4"/>
        <v>251017</v>
      </c>
      <c r="T42" s="92" t="str">
        <f t="shared" ca="1" si="4"/>
        <v>251031</v>
      </c>
      <c r="U42" s="92" t="str">
        <f t="shared" ca="1" si="4"/>
        <v>251121</v>
      </c>
      <c r="V42" s="92" t="str">
        <f t="shared" ca="1" si="4"/>
        <v>251128</v>
      </c>
      <c r="W42" s="92" t="str">
        <f t="shared" ca="1" si="4"/>
        <v>251219</v>
      </c>
      <c r="X42" s="92" t="str">
        <f t="shared" ca="1" si="4"/>
        <v>251231</v>
      </c>
    </row>
    <row r="43" spans="1:25" x14ac:dyDescent="0.25">
      <c r="A43" s="93">
        <f>+Hoja1!A42</f>
        <v>0</v>
      </c>
      <c r="B43" s="92" t="str">
        <f>+A44</f>
        <v>QQQ</v>
      </c>
      <c r="C43" s="92" t="str">
        <f>+B43</f>
        <v>QQQ</v>
      </c>
      <c r="D43" s="92" t="str">
        <f t="shared" ref="D43:L43" si="5">+C43</f>
        <v>QQQ</v>
      </c>
      <c r="E43" s="92" t="str">
        <f t="shared" si="5"/>
        <v>QQQ</v>
      </c>
      <c r="F43" s="92" t="str">
        <f t="shared" si="5"/>
        <v>QQQ</v>
      </c>
      <c r="G43" s="92" t="str">
        <f t="shared" si="5"/>
        <v>QQQ</v>
      </c>
      <c r="H43" s="92" t="str">
        <f t="shared" si="5"/>
        <v>QQQ</v>
      </c>
      <c r="I43" s="92" t="str">
        <f t="shared" si="5"/>
        <v>QQQ</v>
      </c>
      <c r="J43" s="92" t="str">
        <f t="shared" si="5"/>
        <v>QQQ</v>
      </c>
      <c r="K43" s="92" t="str">
        <f t="shared" si="5"/>
        <v>QQQ</v>
      </c>
      <c r="L43" s="92" t="str">
        <f t="shared" si="5"/>
        <v>QQQ</v>
      </c>
      <c r="M43" s="92" t="str">
        <f t="shared" ref="M43:X43" si="6">+K43</f>
        <v>QQQ</v>
      </c>
      <c r="N43" s="92" t="str">
        <f t="shared" si="6"/>
        <v>QQQ</v>
      </c>
      <c r="O43" s="92" t="str">
        <f t="shared" si="6"/>
        <v>QQQ</v>
      </c>
      <c r="P43" s="92" t="str">
        <f t="shared" si="6"/>
        <v>QQQ</v>
      </c>
      <c r="Q43" s="92" t="str">
        <f t="shared" si="6"/>
        <v>QQQ</v>
      </c>
      <c r="R43" s="92" t="str">
        <f t="shared" si="6"/>
        <v>QQQ</v>
      </c>
      <c r="S43" s="92" t="str">
        <f t="shared" si="6"/>
        <v>QQQ</v>
      </c>
      <c r="T43" s="92" t="str">
        <f t="shared" si="6"/>
        <v>QQQ</v>
      </c>
      <c r="U43" s="92" t="str">
        <f t="shared" si="6"/>
        <v>QQQ</v>
      </c>
      <c r="V43" s="92" t="str">
        <f t="shared" si="6"/>
        <v>QQQ</v>
      </c>
      <c r="W43" s="92" t="str">
        <f t="shared" si="6"/>
        <v>QQQ</v>
      </c>
      <c r="X43" s="92" t="str">
        <f t="shared" si="6"/>
        <v>QQQ</v>
      </c>
    </row>
    <row r="44" spans="1:25" x14ac:dyDescent="0.25">
      <c r="A44" s="93" t="str">
        <f>+Hoja1!A43</f>
        <v>QQQ</v>
      </c>
      <c r="B44" s="94">
        <f>+B3</f>
        <v>45782</v>
      </c>
      <c r="C44" s="94">
        <f>+B44+1</f>
        <v>45783</v>
      </c>
      <c r="D44" s="94">
        <f>+C44+1</f>
        <v>45784</v>
      </c>
      <c r="E44" s="94">
        <f>+D44+1</f>
        <v>45785</v>
      </c>
      <c r="F44" s="94">
        <f>+E44+1</f>
        <v>45786</v>
      </c>
      <c r="G44" s="94">
        <f>+F44+7</f>
        <v>45793</v>
      </c>
      <c r="H44" s="94">
        <f>+G44+7</f>
        <v>45800</v>
      </c>
      <c r="I44" s="94">
        <f>+H44+7</f>
        <v>45807</v>
      </c>
      <c r="J44" s="94">
        <f>+I44+7</f>
        <v>45814</v>
      </c>
      <c r="K44" s="94">
        <v>45828</v>
      </c>
      <c r="L44" s="94">
        <v>45838</v>
      </c>
      <c r="M44" s="94">
        <f>+K44+7+7+7+7</f>
        <v>45856</v>
      </c>
      <c r="N44" s="94">
        <v>45869</v>
      </c>
      <c r="O44" s="94">
        <f>+M44+7+7+7+7</f>
        <v>45884</v>
      </c>
      <c r="P44" s="94">
        <v>45898</v>
      </c>
      <c r="Q44" s="94">
        <f>+O44+7+7+7+7+7</f>
        <v>45919</v>
      </c>
      <c r="R44" s="94">
        <v>45930</v>
      </c>
      <c r="S44" s="94">
        <f>+Q44+7+7+7+7</f>
        <v>45947</v>
      </c>
      <c r="T44" s="94">
        <v>45961</v>
      </c>
      <c r="U44" s="94">
        <f>+S44+7+7+7+7+7</f>
        <v>45982</v>
      </c>
      <c r="V44" s="94">
        <v>45989</v>
      </c>
      <c r="W44" s="94">
        <f>+U44+7+7+7+7</f>
        <v>46010</v>
      </c>
      <c r="X44" s="94">
        <v>46022</v>
      </c>
    </row>
    <row r="45" spans="1:25" x14ac:dyDescent="0.25">
      <c r="A45" s="93">
        <f>+Hoja1!A44</f>
        <v>486.85</v>
      </c>
      <c r="B45" s="92"/>
      <c r="C45" s="92"/>
      <c r="D45" s="92"/>
    </row>
    <row r="46" spans="1:25" x14ac:dyDescent="0.25">
      <c r="A46" s="93">
        <f>+Hoja1!A45</f>
        <v>502</v>
      </c>
      <c r="B46" s="91">
        <f ca="1">IF(RTD("tos.rtd",,$A$2,"."&amp;B$43&amp;B$1&amp;"C"&amp;$A46)="N/A",0,RTD("tos.rtd",,$A$2,"."&amp;B$43&amp;B$1&amp;"C"&amp;$A46))-IF(RTD("tos.rtd",,$A$2,"."&amp;B$43&amp;B$1&amp;"P"&amp;$A46)="N/A",0,RTD("tos.rtd",,$A$2,"."&amp;B$43&amp;B$1&amp;"P"&amp;$A46))</f>
        <v>0</v>
      </c>
      <c r="C46" s="91">
        <f ca="1">IF(RTD("tos.rtd",,$A$2,"."&amp;C$43&amp;C$1&amp;"C"&amp;$A46)="N/A",0,RTD("tos.rtd",,$A$2,"."&amp;C$43&amp;C$1&amp;"C"&amp;$A46))-IF(RTD("tos.rtd",,$A$2,"."&amp;C$43&amp;C$1&amp;"P"&amp;$A46)="N/A",0,RTD("tos.rtd",,$A$2,"."&amp;C$43&amp;C$1&amp;"P"&amp;$A46))</f>
        <v>0</v>
      </c>
      <c r="D46" s="91">
        <f ca="1">IF(RTD("tos.rtd",,$A$2,"."&amp;D$43&amp;D$1&amp;"C"&amp;$A46)="N/A",0,RTD("tos.rtd",,$A$2,"."&amp;D$43&amp;D$1&amp;"C"&amp;$A46))-IF(RTD("tos.rtd",,$A$2,"."&amp;D$43&amp;D$1&amp;"P"&amp;$A46)="N/A",0,RTD("tos.rtd",,$A$2,"."&amp;D$43&amp;D$1&amp;"P"&amp;$A46))</f>
        <v>0</v>
      </c>
      <c r="E46" s="91">
        <f ca="1">IF(RTD("tos.rtd",,$A$2,"."&amp;E$43&amp;E$1&amp;"C"&amp;$A46)="N/A",0,RTD("tos.rtd",,$A$2,"."&amp;E$43&amp;E$1&amp;"C"&amp;$A46))-IF(RTD("tos.rtd",,$A$2,"."&amp;E$43&amp;E$1&amp;"P"&amp;$A46)="N/A",0,RTD("tos.rtd",,$A$2,"."&amp;E$43&amp;E$1&amp;"P"&amp;$A46))</f>
        <v>0</v>
      </c>
      <c r="F46" s="91">
        <f ca="1">IF(RTD("tos.rtd",,$A$2,"."&amp;F$43&amp;F$1&amp;"C"&amp;$A46)="N/A",0,RTD("tos.rtd",,$A$2,"."&amp;F$43&amp;F$1&amp;"C"&amp;$A46))-IF(RTD("tos.rtd",,$A$2,"."&amp;F$43&amp;F$1&amp;"P"&amp;$A46)="N/A",0,RTD("tos.rtd",,$A$2,"."&amp;F$43&amp;F$1&amp;"P"&amp;$A46))</f>
        <v>0</v>
      </c>
      <c r="G46" s="91">
        <f ca="1">IF(RTD("tos.rtd",,$A$2,"."&amp;G$43&amp;G$1&amp;"C"&amp;$A46)="N/A",0,RTD("tos.rtd",,$A$2,"."&amp;G$43&amp;G$1&amp;"C"&amp;$A46))-IF(RTD("tos.rtd",,$A$2,"."&amp;G$43&amp;G$1&amp;"P"&amp;$A46)="N/A",0,RTD("tos.rtd",,$A$2,"."&amp;G$43&amp;G$1&amp;"P"&amp;$A46))</f>
        <v>0</v>
      </c>
      <c r="H46" s="91">
        <f ca="1">IF(RTD("tos.rtd",,$A$2,"."&amp;H$43&amp;H$1&amp;"C"&amp;$A46)="N/A",0,RTD("tos.rtd",,$A$2,"."&amp;H$43&amp;H$1&amp;"C"&amp;$A46))-IF(RTD("tos.rtd",,$A$2,"."&amp;H$43&amp;H$1&amp;"P"&amp;$A46)="N/A",0,RTD("tos.rtd",,$A$2,"."&amp;H$43&amp;H$1&amp;"P"&amp;$A46))</f>
        <v>117</v>
      </c>
      <c r="I46" s="91">
        <f ca="1">IF(RTD("tos.rtd",,$A$2,"."&amp;I$43&amp;I$1&amp;"C"&amp;$A46)="N/A",0,RTD("tos.rtd",,$A$2,"."&amp;I$43&amp;I$1&amp;"C"&amp;$A46))-IF(RTD("tos.rtd",,$A$2,"."&amp;I$43&amp;I$1&amp;"P"&amp;$A46)="N/A",0,RTD("tos.rtd",,$A$2,"."&amp;I$43&amp;I$1&amp;"P"&amp;$A46))</f>
        <v>51</v>
      </c>
      <c r="J46" s="91">
        <f ca="1">IF(RTD("tos.rtd",,$A$2,"."&amp;J$43&amp;J$1&amp;"C"&amp;$A46)="N/A",0,RTD("tos.rtd",,$A$2,"."&amp;J$43&amp;J$1&amp;"C"&amp;$A46))-IF(RTD("tos.rtd",,$A$2,"."&amp;J$43&amp;J$1&amp;"P"&amp;$A46)="N/A",0,RTD("tos.rtd",,$A$2,"."&amp;J$43&amp;J$1&amp;"P"&amp;$A46))</f>
        <v>0</v>
      </c>
      <c r="K46" s="91">
        <f ca="1">IF(RTD("tos.rtd",,$A$2,"."&amp;K$43&amp;K$1&amp;"C"&amp;$A46)="N/A",0,RTD("tos.rtd",,$A$2,"."&amp;K$43&amp;K$1&amp;"C"&amp;$A46))-IF(RTD("tos.rtd",,$A$2,"."&amp;K$43&amp;K$1&amp;"P"&amp;$A46)="N/A",0,RTD("tos.rtd",,$A$2,"."&amp;K$43&amp;K$1&amp;"P"&amp;$A46))</f>
        <v>0</v>
      </c>
      <c r="L46" s="91">
        <f ca="1">IF(RTD("tos.rtd",,$A$2,"."&amp;L$43&amp;L$1&amp;"C"&amp;$A46)="N/A",0,RTD("tos.rtd",,$A$2,"."&amp;L$43&amp;L$1&amp;"C"&amp;$A46))-IF(RTD("tos.rtd",,$A$2,"."&amp;L$43&amp;L$1&amp;"P"&amp;$A46)="N/A",0,RTD("tos.rtd",,$A$2,"."&amp;L$43&amp;L$1&amp;"P"&amp;$A46))</f>
        <v>5</v>
      </c>
      <c r="M46" s="91">
        <f ca="1">IF(RTD("tos.rtd",,$A$2,"."&amp;M$43&amp;M$1&amp;"C"&amp;$A46)="N/A",0,RTD("tos.rtd",,$A$2,"."&amp;M$43&amp;M$1&amp;"C"&amp;$A46))-IF(RTD("tos.rtd",,$A$2,"."&amp;M$43&amp;M$1&amp;"P"&amp;$A46)="N/A",0,RTD("tos.rtd",,$A$2,"."&amp;M$43&amp;M$1&amp;"P"&amp;$A46))</f>
        <v>0</v>
      </c>
      <c r="N46" s="91">
        <f ca="1">IF(RTD("tos.rtd",,$A$2,"."&amp;N$43&amp;N$1&amp;"C"&amp;$A46)="N/A",0,RTD("tos.rtd",,$A$2,"."&amp;N$43&amp;N$1&amp;"C"&amp;$A46))-IF(RTD("tos.rtd",,$A$2,"."&amp;N$43&amp;N$1&amp;"P"&amp;$A46)="N/A",0,RTD("tos.rtd",,$A$2,"."&amp;N$43&amp;N$1&amp;"P"&amp;$A46))</f>
        <v>3</v>
      </c>
      <c r="O46" s="91">
        <f ca="1">IF(RTD("tos.rtd",,$A$2,"."&amp;O$43&amp;O$1&amp;"C"&amp;$A46)="N/A",0,RTD("tos.rtd",,$A$2,"."&amp;O$43&amp;O$1&amp;"C"&amp;$A46))-IF(RTD("tos.rtd",,$A$2,"."&amp;O$43&amp;O$1&amp;"P"&amp;$A46)="N/A",0,RTD("tos.rtd",,$A$2,"."&amp;O$43&amp;O$1&amp;"P"&amp;$A46))</f>
        <v>0</v>
      </c>
      <c r="P46" s="91">
        <f ca="1">IF(RTD("tos.rtd",,$A$2,"."&amp;P$43&amp;P$1&amp;"C"&amp;$A46)="N/A",0,RTD("tos.rtd",,$A$2,"."&amp;P$43&amp;P$1&amp;"C"&amp;$A46))-IF(RTD("tos.rtd",,$A$2,"."&amp;P$43&amp;P$1&amp;"P"&amp;$A46)="N/A",0,RTD("tos.rtd",,$A$2,"."&amp;P$43&amp;P$1&amp;"P"&amp;$A46))</f>
        <v>0</v>
      </c>
      <c r="Q46" s="91">
        <f ca="1">IF(RTD("tos.rtd",,$A$2,"."&amp;Q$43&amp;Q$1&amp;"C"&amp;$A46)="N/A",0,RTD("tos.rtd",,$A$2,"."&amp;Q$43&amp;Q$1&amp;"C"&amp;$A46))-IF(RTD("tos.rtd",,$A$2,"."&amp;Q$43&amp;Q$1&amp;"P"&amp;$A46)="N/A",0,RTD("tos.rtd",,$A$2,"."&amp;Q$43&amp;Q$1&amp;"P"&amp;$A46))</f>
        <v>0</v>
      </c>
      <c r="R46" s="91">
        <f ca="1">IF(RTD("tos.rtd",,$A$2,"."&amp;R$43&amp;R$1&amp;"C"&amp;$A46)="N/A",0,RTD("tos.rtd",,$A$2,"."&amp;R$43&amp;R$1&amp;"C"&amp;$A46))-IF(RTD("tos.rtd",,$A$2,"."&amp;R$43&amp;R$1&amp;"P"&amp;$A46)="N/A",0,RTD("tos.rtd",,$A$2,"."&amp;R$43&amp;R$1&amp;"P"&amp;$A46))</f>
        <v>-2</v>
      </c>
      <c r="S46" s="91">
        <f ca="1">IF(RTD("tos.rtd",,$A$2,"."&amp;S$43&amp;S$1&amp;"C"&amp;$A46)="N/A",0,RTD("tos.rtd",,$A$2,"."&amp;S$43&amp;S$1&amp;"C"&amp;$A46))-IF(RTD("tos.rtd",,$A$2,"."&amp;S$43&amp;S$1&amp;"P"&amp;$A46)="N/A",0,RTD("tos.rtd",,$A$2,"."&amp;S$43&amp;S$1&amp;"P"&amp;$A46))</f>
        <v>0</v>
      </c>
      <c r="T46" s="91">
        <f ca="1">IF(RTD("tos.rtd",,$A$2,"."&amp;T$43&amp;T$1&amp;"C"&amp;$A46)="N/A",0,RTD("tos.rtd",,$A$2,"."&amp;T$43&amp;T$1&amp;"C"&amp;$A46))-IF(RTD("tos.rtd",,$A$2,"."&amp;T$43&amp;T$1&amp;"P"&amp;$A46)="N/A",0,RTD("tos.rtd",,$A$2,"."&amp;T$43&amp;T$1&amp;"P"&amp;$A46))</f>
        <v>0</v>
      </c>
      <c r="U46" s="91">
        <f ca="1">IF(RTD("tos.rtd",,$A$2,"."&amp;U$43&amp;U$1&amp;"C"&amp;$A46)="N/A",0,RTD("tos.rtd",,$A$2,"."&amp;U$43&amp;U$1&amp;"C"&amp;$A46))-IF(RTD("tos.rtd",,$A$2,"."&amp;U$43&amp;U$1&amp;"P"&amp;$A46)="N/A",0,RTD("tos.rtd",,$A$2,"."&amp;U$43&amp;U$1&amp;"P"&amp;$A46))</f>
        <v>0</v>
      </c>
      <c r="V46" s="91">
        <f ca="1">IF(RTD("tos.rtd",,$A$2,"."&amp;V$43&amp;V$1&amp;"C"&amp;$A46)="N/A",0,RTD("tos.rtd",,$A$2,"."&amp;V$43&amp;V$1&amp;"C"&amp;$A46))-IF(RTD("tos.rtd",,$A$2,"."&amp;V$43&amp;V$1&amp;"P"&amp;$A46)="N/A",0,RTD("tos.rtd",,$A$2,"."&amp;V$43&amp;V$1&amp;"P"&amp;$A46))</f>
        <v>0</v>
      </c>
      <c r="W46" s="91">
        <f ca="1">IF(RTD("tos.rtd",,$A$2,"."&amp;W$43&amp;W$1&amp;"C"&amp;$A46)="N/A",0,RTD("tos.rtd",,$A$2,"."&amp;W$43&amp;W$1&amp;"C"&amp;$A46))-IF(RTD("tos.rtd",,$A$2,"."&amp;W$43&amp;W$1&amp;"P"&amp;$A46)="N/A",0,RTD("tos.rtd",,$A$2,"."&amp;W$43&amp;W$1&amp;"P"&amp;$A46))</f>
        <v>0</v>
      </c>
      <c r="X46" s="91">
        <f ca="1">IF(RTD("tos.rtd",,$A$2,"."&amp;X$43&amp;X$1&amp;"C"&amp;$A46)="N/A",0,RTD("tos.rtd",,$A$2,"."&amp;X$43&amp;X$1&amp;"C"&amp;$A46))-IF(RTD("tos.rtd",,$A$2,"."&amp;X$43&amp;X$1&amp;"P"&amp;$A46)="N/A",0,RTD("tos.rtd",,$A$2,"."&amp;X$43&amp;X$1&amp;"P"&amp;$A46))</f>
        <v>0</v>
      </c>
      <c r="Y46" s="98">
        <f ca="1">SUM(B46:X46)</f>
        <v>174</v>
      </c>
    </row>
    <row r="47" spans="1:25" x14ac:dyDescent="0.25">
      <c r="A47" s="93">
        <f>+Hoja1!A46</f>
        <v>501</v>
      </c>
      <c r="B47" s="91">
        <f ca="1">IF(RTD("tos.rtd",,$A$2,"."&amp;B$43&amp;B$1&amp;"C"&amp;$A47)="N/A",0,RTD("tos.rtd",,$A$2,"."&amp;B$43&amp;B$1&amp;"C"&amp;$A47))-IF(RTD("tos.rtd",,$A$2,"."&amp;B$43&amp;B$1&amp;"P"&amp;$A47)="N/A",0,RTD("tos.rtd",,$A$2,"."&amp;B$43&amp;B$1&amp;"P"&amp;$A47))</f>
        <v>0</v>
      </c>
      <c r="C47" s="91">
        <f ca="1">IF(RTD("tos.rtd",,$A$2,"."&amp;C$43&amp;C$1&amp;"C"&amp;$A47)="N/A",0,RTD("tos.rtd",,$A$2,"."&amp;C$43&amp;C$1&amp;"C"&amp;$A47))-IF(RTD("tos.rtd",,$A$2,"."&amp;C$43&amp;C$1&amp;"P"&amp;$A47)="N/A",0,RTD("tos.rtd",,$A$2,"."&amp;C$43&amp;C$1&amp;"P"&amp;$A47))</f>
        <v>0</v>
      </c>
      <c r="D47" s="91">
        <f ca="1">IF(RTD("tos.rtd",,$A$2,"."&amp;D$43&amp;D$1&amp;"C"&amp;$A47)="N/A",0,RTD("tos.rtd",,$A$2,"."&amp;D$43&amp;D$1&amp;"C"&amp;$A47))-IF(RTD("tos.rtd",,$A$2,"."&amp;D$43&amp;D$1&amp;"P"&amp;$A47)="N/A",0,RTD("tos.rtd",,$A$2,"."&amp;D$43&amp;D$1&amp;"P"&amp;$A47))</f>
        <v>0</v>
      </c>
      <c r="E47" s="91">
        <f ca="1">IF(RTD("tos.rtd",,$A$2,"."&amp;E$43&amp;E$1&amp;"C"&amp;$A47)="N/A",0,RTD("tos.rtd",,$A$2,"."&amp;E$43&amp;E$1&amp;"C"&amp;$A47))-IF(RTD("tos.rtd",,$A$2,"."&amp;E$43&amp;E$1&amp;"P"&amp;$A47)="N/A",0,RTD("tos.rtd",,$A$2,"."&amp;E$43&amp;E$1&amp;"P"&amp;$A47))</f>
        <v>0</v>
      </c>
      <c r="F47" s="91">
        <f ca="1">IF(RTD("tos.rtd",,$A$2,"."&amp;F$43&amp;F$1&amp;"C"&amp;$A47)="N/A",0,RTD("tos.rtd",,$A$2,"."&amp;F$43&amp;F$1&amp;"C"&amp;$A47))-IF(RTD("tos.rtd",,$A$2,"."&amp;F$43&amp;F$1&amp;"P"&amp;$A47)="N/A",0,RTD("tos.rtd",,$A$2,"."&amp;F$43&amp;F$1&amp;"P"&amp;$A47))</f>
        <v>0</v>
      </c>
      <c r="G47" s="91">
        <f ca="1">IF(RTD("tos.rtd",,$A$2,"."&amp;G$43&amp;G$1&amp;"C"&amp;$A47)="N/A",0,RTD("tos.rtd",,$A$2,"."&amp;G$43&amp;G$1&amp;"C"&amp;$A47))-IF(RTD("tos.rtd",,$A$2,"."&amp;G$43&amp;G$1&amp;"P"&amp;$A47)="N/A",0,RTD("tos.rtd",,$A$2,"."&amp;G$43&amp;G$1&amp;"P"&amp;$A47))</f>
        <v>0</v>
      </c>
      <c r="H47" s="91">
        <f ca="1">IF(RTD("tos.rtd",,$A$2,"."&amp;H$43&amp;H$1&amp;"C"&amp;$A47)="N/A",0,RTD("tos.rtd",,$A$2,"."&amp;H$43&amp;H$1&amp;"C"&amp;$A47))-IF(RTD("tos.rtd",,$A$2,"."&amp;H$43&amp;H$1&amp;"P"&amp;$A47)="N/A",0,RTD("tos.rtd",,$A$2,"."&amp;H$43&amp;H$1&amp;"P"&amp;$A47))</f>
        <v>41</v>
      </c>
      <c r="I47" s="91">
        <f ca="1">IF(RTD("tos.rtd",,$A$2,"."&amp;I$43&amp;I$1&amp;"C"&amp;$A47)="N/A",0,RTD("tos.rtd",,$A$2,"."&amp;I$43&amp;I$1&amp;"C"&amp;$A47))-IF(RTD("tos.rtd",,$A$2,"."&amp;I$43&amp;I$1&amp;"P"&amp;$A47)="N/A",0,RTD("tos.rtd",,$A$2,"."&amp;I$43&amp;I$1&amp;"P"&amp;$A47))</f>
        <v>-21</v>
      </c>
      <c r="J47" s="91">
        <f ca="1">IF(RTD("tos.rtd",,$A$2,"."&amp;J$43&amp;J$1&amp;"C"&amp;$A47)="N/A",0,RTD("tos.rtd",,$A$2,"."&amp;J$43&amp;J$1&amp;"C"&amp;$A47))-IF(RTD("tos.rtd",,$A$2,"."&amp;J$43&amp;J$1&amp;"P"&amp;$A47)="N/A",0,RTD("tos.rtd",,$A$2,"."&amp;J$43&amp;J$1&amp;"P"&amp;$A47))</f>
        <v>0</v>
      </c>
      <c r="K47" s="91">
        <f ca="1">IF(RTD("tos.rtd",,$A$2,"."&amp;K$43&amp;K$1&amp;"C"&amp;$A47)="N/A",0,RTD("tos.rtd",,$A$2,"."&amp;K$43&amp;K$1&amp;"C"&amp;$A47))-IF(RTD("tos.rtd",,$A$2,"."&amp;K$43&amp;K$1&amp;"P"&amp;$A47)="N/A",0,RTD("tos.rtd",,$A$2,"."&amp;K$43&amp;K$1&amp;"P"&amp;$A47))</f>
        <v>0</v>
      </c>
      <c r="L47" s="91">
        <f ca="1">IF(RTD("tos.rtd",,$A$2,"."&amp;L$43&amp;L$1&amp;"C"&amp;$A47)="N/A",0,RTD("tos.rtd",,$A$2,"."&amp;L$43&amp;L$1&amp;"C"&amp;$A47))-IF(RTD("tos.rtd",,$A$2,"."&amp;L$43&amp;L$1&amp;"P"&amp;$A47)="N/A",0,RTD("tos.rtd",,$A$2,"."&amp;L$43&amp;L$1&amp;"P"&amp;$A47))</f>
        <v>7</v>
      </c>
      <c r="M47" s="91">
        <f ca="1">IF(RTD("tos.rtd",,$A$2,"."&amp;M$43&amp;M$1&amp;"C"&amp;$A47)="N/A",0,RTD("tos.rtd",,$A$2,"."&amp;M$43&amp;M$1&amp;"C"&amp;$A47))-IF(RTD("tos.rtd",,$A$2,"."&amp;M$43&amp;M$1&amp;"P"&amp;$A47)="N/A",0,RTD("tos.rtd",,$A$2,"."&amp;M$43&amp;M$1&amp;"P"&amp;$A47))</f>
        <v>0</v>
      </c>
      <c r="N47" s="91">
        <f ca="1">IF(RTD("tos.rtd",,$A$2,"."&amp;N$43&amp;N$1&amp;"C"&amp;$A47)="N/A",0,RTD("tos.rtd",,$A$2,"."&amp;N$43&amp;N$1&amp;"C"&amp;$A47))-IF(RTD("tos.rtd",,$A$2,"."&amp;N$43&amp;N$1&amp;"P"&amp;$A47)="N/A",0,RTD("tos.rtd",,$A$2,"."&amp;N$43&amp;N$1&amp;"P"&amp;$A47))</f>
        <v>1</v>
      </c>
      <c r="O47" s="91">
        <f ca="1">IF(RTD("tos.rtd",,$A$2,"."&amp;O$43&amp;O$1&amp;"C"&amp;$A47)="N/A",0,RTD("tos.rtd",,$A$2,"."&amp;O$43&amp;O$1&amp;"C"&amp;$A47))-IF(RTD("tos.rtd",,$A$2,"."&amp;O$43&amp;O$1&amp;"P"&amp;$A47)="N/A",0,RTD("tos.rtd",,$A$2,"."&amp;O$43&amp;O$1&amp;"P"&amp;$A47))</f>
        <v>0</v>
      </c>
      <c r="P47" s="91">
        <f ca="1">IF(RTD("tos.rtd",,$A$2,"."&amp;P$43&amp;P$1&amp;"C"&amp;$A47)="N/A",0,RTD("tos.rtd",,$A$2,"."&amp;P$43&amp;P$1&amp;"C"&amp;$A47))-IF(RTD("tos.rtd",,$A$2,"."&amp;P$43&amp;P$1&amp;"P"&amp;$A47)="N/A",0,RTD("tos.rtd",,$A$2,"."&amp;P$43&amp;P$1&amp;"P"&amp;$A47))</f>
        <v>0</v>
      </c>
      <c r="Q47" s="91">
        <f ca="1">IF(RTD("tos.rtd",,$A$2,"."&amp;Q$43&amp;Q$1&amp;"C"&amp;$A47)="N/A",0,RTD("tos.rtd",,$A$2,"."&amp;Q$43&amp;Q$1&amp;"C"&amp;$A47))-IF(RTD("tos.rtd",,$A$2,"."&amp;Q$43&amp;Q$1&amp;"P"&amp;$A47)="N/A",0,RTD("tos.rtd",,$A$2,"."&amp;Q$43&amp;Q$1&amp;"P"&amp;$A47))</f>
        <v>0</v>
      </c>
      <c r="R47" s="91">
        <f ca="1">IF(RTD("tos.rtd",,$A$2,"."&amp;R$43&amp;R$1&amp;"C"&amp;$A47)="N/A",0,RTD("tos.rtd",,$A$2,"."&amp;R$43&amp;R$1&amp;"C"&amp;$A47))-IF(RTD("tos.rtd",,$A$2,"."&amp;R$43&amp;R$1&amp;"P"&amp;$A47)="N/A",0,RTD("tos.rtd",,$A$2,"."&amp;R$43&amp;R$1&amp;"P"&amp;$A47))</f>
        <v>-2</v>
      </c>
      <c r="S47" s="91">
        <f ca="1">IF(RTD("tos.rtd",,$A$2,"."&amp;S$43&amp;S$1&amp;"C"&amp;$A47)="N/A",0,RTD("tos.rtd",,$A$2,"."&amp;S$43&amp;S$1&amp;"C"&amp;$A47))-IF(RTD("tos.rtd",,$A$2,"."&amp;S$43&amp;S$1&amp;"P"&amp;$A47)="N/A",0,RTD("tos.rtd",,$A$2,"."&amp;S$43&amp;S$1&amp;"P"&amp;$A47))</f>
        <v>0</v>
      </c>
      <c r="T47" s="91">
        <f ca="1">IF(RTD("tos.rtd",,$A$2,"."&amp;T$43&amp;T$1&amp;"C"&amp;$A47)="N/A",0,RTD("tos.rtd",,$A$2,"."&amp;T$43&amp;T$1&amp;"C"&amp;$A47))-IF(RTD("tos.rtd",,$A$2,"."&amp;T$43&amp;T$1&amp;"P"&amp;$A47)="N/A",0,RTD("tos.rtd",,$A$2,"."&amp;T$43&amp;T$1&amp;"P"&amp;$A47))</f>
        <v>0</v>
      </c>
      <c r="U47" s="91">
        <f ca="1">IF(RTD("tos.rtd",,$A$2,"."&amp;U$43&amp;U$1&amp;"C"&amp;$A47)="N/A",0,RTD("tos.rtd",,$A$2,"."&amp;U$43&amp;U$1&amp;"C"&amp;$A47))-IF(RTD("tos.rtd",,$A$2,"."&amp;U$43&amp;U$1&amp;"P"&amp;$A47)="N/A",0,RTD("tos.rtd",,$A$2,"."&amp;U$43&amp;U$1&amp;"P"&amp;$A47))</f>
        <v>0</v>
      </c>
      <c r="V47" s="91">
        <f ca="1">IF(RTD("tos.rtd",,$A$2,"."&amp;V$43&amp;V$1&amp;"C"&amp;$A47)="N/A",0,RTD("tos.rtd",,$A$2,"."&amp;V$43&amp;V$1&amp;"C"&amp;$A47))-IF(RTD("tos.rtd",,$A$2,"."&amp;V$43&amp;V$1&amp;"P"&amp;$A47)="N/A",0,RTD("tos.rtd",,$A$2,"."&amp;V$43&amp;V$1&amp;"P"&amp;$A47))</f>
        <v>0</v>
      </c>
      <c r="W47" s="91">
        <f ca="1">IF(RTD("tos.rtd",,$A$2,"."&amp;W$43&amp;W$1&amp;"C"&amp;$A47)="N/A",0,RTD("tos.rtd",,$A$2,"."&amp;W$43&amp;W$1&amp;"C"&amp;$A47))-IF(RTD("tos.rtd",,$A$2,"."&amp;W$43&amp;W$1&amp;"P"&amp;$A47)="N/A",0,RTD("tos.rtd",,$A$2,"."&amp;W$43&amp;W$1&amp;"P"&amp;$A47))</f>
        <v>0</v>
      </c>
      <c r="X47" s="91">
        <f ca="1">IF(RTD("tos.rtd",,$A$2,"."&amp;X$43&amp;X$1&amp;"C"&amp;$A47)="N/A",0,RTD("tos.rtd",,$A$2,"."&amp;X$43&amp;X$1&amp;"C"&amp;$A47))-IF(RTD("tos.rtd",,$A$2,"."&amp;X$43&amp;X$1&amp;"P"&amp;$A47)="N/A",0,RTD("tos.rtd",,$A$2,"."&amp;X$43&amp;X$1&amp;"P"&amp;$A47))</f>
        <v>0</v>
      </c>
      <c r="Y47" s="98">
        <f t="shared" ref="Y47:Y80" ca="1" si="7">SUM(B47:X47)</f>
        <v>26</v>
      </c>
    </row>
    <row r="48" spans="1:25" x14ac:dyDescent="0.25">
      <c r="A48" s="93">
        <f>+Hoja1!A47</f>
        <v>500</v>
      </c>
      <c r="B48" s="91">
        <f ca="1">IF(RTD("tos.rtd",,$A$2,"."&amp;B$43&amp;B$1&amp;"C"&amp;$A48)="N/A",0,RTD("tos.rtd",,$A$2,"."&amp;B$43&amp;B$1&amp;"C"&amp;$A48))-IF(RTD("tos.rtd",,$A$2,"."&amp;B$43&amp;B$1&amp;"P"&amp;$A48)="N/A",0,RTD("tos.rtd",,$A$2,"."&amp;B$43&amp;B$1&amp;"P"&amp;$A48))</f>
        <v>0</v>
      </c>
      <c r="C48" s="91">
        <f ca="1">IF(RTD("tos.rtd",,$A$2,"."&amp;C$43&amp;C$1&amp;"C"&amp;$A48)="N/A",0,RTD("tos.rtd",,$A$2,"."&amp;C$43&amp;C$1&amp;"C"&amp;$A48))-IF(RTD("tos.rtd",,$A$2,"."&amp;C$43&amp;C$1&amp;"P"&amp;$A48)="N/A",0,RTD("tos.rtd",,$A$2,"."&amp;C$43&amp;C$1&amp;"P"&amp;$A48))</f>
        <v>0</v>
      </c>
      <c r="D48" s="91">
        <f ca="1">IF(RTD("tos.rtd",,$A$2,"."&amp;D$43&amp;D$1&amp;"C"&amp;$A48)="N/A",0,RTD("tos.rtd",,$A$2,"."&amp;D$43&amp;D$1&amp;"C"&amp;$A48))-IF(RTD("tos.rtd",,$A$2,"."&amp;D$43&amp;D$1&amp;"P"&amp;$A48)="N/A",0,RTD("tos.rtd",,$A$2,"."&amp;D$43&amp;D$1&amp;"P"&amp;$A48))</f>
        <v>0</v>
      </c>
      <c r="E48" s="91">
        <f ca="1">IF(RTD("tos.rtd",,$A$2,"."&amp;E$43&amp;E$1&amp;"C"&amp;$A48)="N/A",0,RTD("tos.rtd",,$A$2,"."&amp;E$43&amp;E$1&amp;"C"&amp;$A48))-IF(RTD("tos.rtd",,$A$2,"."&amp;E$43&amp;E$1&amp;"P"&amp;$A48)="N/A",0,RTD("tos.rtd",,$A$2,"."&amp;E$43&amp;E$1&amp;"P"&amp;$A48))</f>
        <v>0</v>
      </c>
      <c r="F48" s="91">
        <f ca="1">IF(RTD("tos.rtd",,$A$2,"."&amp;F$43&amp;F$1&amp;"C"&amp;$A48)="N/A",0,RTD("tos.rtd",,$A$2,"."&amp;F$43&amp;F$1&amp;"C"&amp;$A48))-IF(RTD("tos.rtd",,$A$2,"."&amp;F$43&amp;F$1&amp;"P"&amp;$A48)="N/A",0,RTD("tos.rtd",,$A$2,"."&amp;F$43&amp;F$1&amp;"P"&amp;$A48))</f>
        <v>0</v>
      </c>
      <c r="G48" s="91">
        <f ca="1">IF(RTD("tos.rtd",,$A$2,"."&amp;G$43&amp;G$1&amp;"C"&amp;$A48)="N/A",0,RTD("tos.rtd",,$A$2,"."&amp;G$43&amp;G$1&amp;"C"&amp;$A48))-IF(RTD("tos.rtd",,$A$2,"."&amp;G$43&amp;G$1&amp;"P"&amp;$A48)="N/A",0,RTD("tos.rtd",,$A$2,"."&amp;G$43&amp;G$1&amp;"P"&amp;$A48))</f>
        <v>0</v>
      </c>
      <c r="H48" s="91">
        <f ca="1">IF(RTD("tos.rtd",,$A$2,"."&amp;H$43&amp;H$1&amp;"C"&amp;$A48)="N/A",0,RTD("tos.rtd",,$A$2,"."&amp;H$43&amp;H$1&amp;"C"&amp;$A48))-IF(RTD("tos.rtd",,$A$2,"."&amp;H$43&amp;H$1&amp;"P"&amp;$A48)="N/A",0,RTD("tos.rtd",,$A$2,"."&amp;H$43&amp;H$1&amp;"P"&amp;$A48))</f>
        <v>963</v>
      </c>
      <c r="I48" s="91">
        <f ca="1">IF(RTD("tos.rtd",,$A$2,"."&amp;I$43&amp;I$1&amp;"C"&amp;$A48)="N/A",0,RTD("tos.rtd",,$A$2,"."&amp;I$43&amp;I$1&amp;"C"&amp;$A48))-IF(RTD("tos.rtd",,$A$2,"."&amp;I$43&amp;I$1&amp;"P"&amp;$A48)="N/A",0,RTD("tos.rtd",,$A$2,"."&amp;I$43&amp;I$1&amp;"P"&amp;$A48))</f>
        <v>4253</v>
      </c>
      <c r="J48" s="91">
        <f ca="1">IF(RTD("tos.rtd",,$A$2,"."&amp;J$43&amp;J$1&amp;"C"&amp;$A48)="N/A",0,RTD("tos.rtd",,$A$2,"."&amp;J$43&amp;J$1&amp;"C"&amp;$A48))-IF(RTD("tos.rtd",,$A$2,"."&amp;J$43&amp;J$1&amp;"P"&amp;$A48)="N/A",0,RTD("tos.rtd",,$A$2,"."&amp;J$43&amp;J$1&amp;"P"&amp;$A48))</f>
        <v>837</v>
      </c>
      <c r="K48" s="91">
        <f ca="1">IF(RTD("tos.rtd",,$A$2,"."&amp;K$43&amp;K$1&amp;"C"&amp;$A48)="N/A",0,RTD("tos.rtd",,$A$2,"."&amp;K$43&amp;K$1&amp;"C"&amp;$A48))-IF(RTD("tos.rtd",,$A$2,"."&amp;K$43&amp;K$1&amp;"P"&amp;$A48)="N/A",0,RTD("tos.rtd",,$A$2,"."&amp;K$43&amp;K$1&amp;"P"&amp;$A48))</f>
        <v>9903</v>
      </c>
      <c r="L48" s="91">
        <f ca="1">IF(RTD("tos.rtd",,$A$2,"."&amp;L$43&amp;L$1&amp;"C"&amp;$A48)="N/A",0,RTD("tos.rtd",,$A$2,"."&amp;L$43&amp;L$1&amp;"C"&amp;$A48))-IF(RTD("tos.rtd",,$A$2,"."&amp;L$43&amp;L$1&amp;"P"&amp;$A48)="N/A",0,RTD("tos.rtd",,$A$2,"."&amp;L$43&amp;L$1&amp;"P"&amp;$A48))</f>
        <v>162</v>
      </c>
      <c r="M48" s="91">
        <f ca="1">IF(RTD("tos.rtd",,$A$2,"."&amp;M$43&amp;M$1&amp;"C"&amp;$A48)="N/A",0,RTD("tos.rtd",,$A$2,"."&amp;M$43&amp;M$1&amp;"C"&amp;$A48))-IF(RTD("tos.rtd",,$A$2,"."&amp;M$43&amp;M$1&amp;"P"&amp;$A48)="N/A",0,RTD("tos.rtd",,$A$2,"."&amp;M$43&amp;M$1&amp;"P"&amp;$A48))</f>
        <v>292</v>
      </c>
      <c r="N48" s="91">
        <f ca="1">IF(RTD("tos.rtd",,$A$2,"."&amp;N$43&amp;N$1&amp;"C"&amp;$A48)="N/A",0,RTD("tos.rtd",,$A$2,"."&amp;N$43&amp;N$1&amp;"C"&amp;$A48))-IF(RTD("tos.rtd",,$A$2,"."&amp;N$43&amp;N$1&amp;"P"&amp;$A48)="N/A",0,RTD("tos.rtd",,$A$2,"."&amp;N$43&amp;N$1&amp;"P"&amp;$A48))</f>
        <v>2130</v>
      </c>
      <c r="O48" s="91">
        <f ca="1">IF(RTD("tos.rtd",,$A$2,"."&amp;O$43&amp;O$1&amp;"C"&amp;$A48)="N/A",0,RTD("tos.rtd",,$A$2,"."&amp;O$43&amp;O$1&amp;"C"&amp;$A48))-IF(RTD("tos.rtd",,$A$2,"."&amp;O$43&amp;O$1&amp;"P"&amp;$A48)="N/A",0,RTD("tos.rtd",,$A$2,"."&amp;O$43&amp;O$1&amp;"P"&amp;$A48))</f>
        <v>534</v>
      </c>
      <c r="P48" s="91">
        <f ca="1">IF(RTD("tos.rtd",,$A$2,"."&amp;P$43&amp;P$1&amp;"C"&amp;$A48)="N/A",0,RTD("tos.rtd",,$A$2,"."&amp;P$43&amp;P$1&amp;"C"&amp;$A48))-IF(RTD("tos.rtd",,$A$2,"."&amp;P$43&amp;P$1&amp;"P"&amp;$A48)="N/A",0,RTD("tos.rtd",,$A$2,"."&amp;P$43&amp;P$1&amp;"P"&amp;$A48))</f>
        <v>9</v>
      </c>
      <c r="Q48" s="91">
        <f ca="1">IF(RTD("tos.rtd",,$A$2,"."&amp;Q$43&amp;Q$1&amp;"C"&amp;$A48)="N/A",0,RTD("tos.rtd",,$A$2,"."&amp;Q$43&amp;Q$1&amp;"C"&amp;$A48))-IF(RTD("tos.rtd",,$A$2,"."&amp;Q$43&amp;Q$1&amp;"P"&amp;$A48)="N/A",0,RTD("tos.rtd",,$A$2,"."&amp;Q$43&amp;Q$1&amp;"P"&amp;$A48))</f>
        <v>3573</v>
      </c>
      <c r="R48" s="91">
        <f ca="1">IF(RTD("tos.rtd",,$A$2,"."&amp;R$43&amp;R$1&amp;"C"&amp;$A48)="N/A",0,RTD("tos.rtd",,$A$2,"."&amp;R$43&amp;R$1&amp;"C"&amp;$A48))-IF(RTD("tos.rtd",,$A$2,"."&amp;R$43&amp;R$1&amp;"P"&amp;$A48)="N/A",0,RTD("tos.rtd",,$A$2,"."&amp;R$43&amp;R$1&amp;"P"&amp;$A48))</f>
        <v>17</v>
      </c>
      <c r="S48" s="91">
        <f ca="1">IF(RTD("tos.rtd",,$A$2,"."&amp;S$43&amp;S$1&amp;"C"&amp;$A48)="N/A",0,RTD("tos.rtd",,$A$2,"."&amp;S$43&amp;S$1&amp;"C"&amp;$A48))-IF(RTD("tos.rtd",,$A$2,"."&amp;S$43&amp;S$1&amp;"P"&amp;$A48)="N/A",0,RTD("tos.rtd",,$A$2,"."&amp;S$43&amp;S$1&amp;"P"&amp;$A48))</f>
        <v>0</v>
      </c>
      <c r="T48" s="91">
        <f ca="1">IF(RTD("tos.rtd",,$A$2,"."&amp;T$43&amp;T$1&amp;"C"&amp;$A48)="N/A",0,RTD("tos.rtd",,$A$2,"."&amp;T$43&amp;T$1&amp;"C"&amp;$A48))-IF(RTD("tos.rtd",,$A$2,"."&amp;T$43&amp;T$1&amp;"P"&amp;$A48)="N/A",0,RTD("tos.rtd",,$A$2,"."&amp;T$43&amp;T$1&amp;"P"&amp;$A48))</f>
        <v>0</v>
      </c>
      <c r="U48" s="91">
        <f ca="1">IF(RTD("tos.rtd",,$A$2,"."&amp;U$43&amp;U$1&amp;"C"&amp;$A48)="N/A",0,RTD("tos.rtd",,$A$2,"."&amp;U$43&amp;U$1&amp;"C"&amp;$A48))-IF(RTD("tos.rtd",,$A$2,"."&amp;U$43&amp;U$1&amp;"P"&amp;$A48)="N/A",0,RTD("tos.rtd",,$A$2,"."&amp;U$43&amp;U$1&amp;"P"&amp;$A48))</f>
        <v>43</v>
      </c>
      <c r="V48" s="91">
        <f ca="1">IF(RTD("tos.rtd",,$A$2,"."&amp;V$43&amp;V$1&amp;"C"&amp;$A48)="N/A",0,RTD("tos.rtd",,$A$2,"."&amp;V$43&amp;V$1&amp;"C"&amp;$A48))-IF(RTD("tos.rtd",,$A$2,"."&amp;V$43&amp;V$1&amp;"P"&amp;$A48)="N/A",0,RTD("tos.rtd",,$A$2,"."&amp;V$43&amp;V$1&amp;"P"&amp;$A48))</f>
        <v>0</v>
      </c>
      <c r="W48" s="91">
        <f ca="1">IF(RTD("tos.rtd",,$A$2,"."&amp;W$43&amp;W$1&amp;"C"&amp;$A48)="N/A",0,RTD("tos.rtd",,$A$2,"."&amp;W$43&amp;W$1&amp;"C"&amp;$A48))-IF(RTD("tos.rtd",,$A$2,"."&amp;W$43&amp;W$1&amp;"P"&amp;$A48)="N/A",0,RTD("tos.rtd",,$A$2,"."&amp;W$43&amp;W$1&amp;"P"&amp;$A48))</f>
        <v>14</v>
      </c>
      <c r="X48" s="91">
        <f ca="1">IF(RTD("tos.rtd",,$A$2,"."&amp;X$43&amp;X$1&amp;"C"&amp;$A48)="N/A",0,RTD("tos.rtd",,$A$2,"."&amp;X$43&amp;X$1&amp;"C"&amp;$A48))-IF(RTD("tos.rtd",,$A$2,"."&amp;X$43&amp;X$1&amp;"P"&amp;$A48)="N/A",0,RTD("tos.rtd",,$A$2,"."&amp;X$43&amp;X$1&amp;"P"&amp;$A48))</f>
        <v>4</v>
      </c>
      <c r="Y48" s="98">
        <f t="shared" ca="1" si="7"/>
        <v>22734</v>
      </c>
    </row>
    <row r="49" spans="1:25" x14ac:dyDescent="0.25">
      <c r="A49" s="93">
        <f>+Hoja1!A48</f>
        <v>499</v>
      </c>
      <c r="B49" s="91">
        <f ca="1">IF(RTD("tos.rtd",,$A$2,"."&amp;B$43&amp;B$1&amp;"C"&amp;$A49)="N/A",0,RTD("tos.rtd",,$A$2,"."&amp;B$43&amp;B$1&amp;"C"&amp;$A49))-IF(RTD("tos.rtd",,$A$2,"."&amp;B$43&amp;B$1&amp;"P"&amp;$A49)="N/A",0,RTD("tos.rtd",,$A$2,"."&amp;B$43&amp;B$1&amp;"P"&amp;$A49))</f>
        <v>0</v>
      </c>
      <c r="C49" s="91">
        <f ca="1">IF(RTD("tos.rtd",,$A$2,"."&amp;C$43&amp;C$1&amp;"C"&amp;$A49)="N/A",0,RTD("tos.rtd",,$A$2,"."&amp;C$43&amp;C$1&amp;"C"&amp;$A49))-IF(RTD("tos.rtd",,$A$2,"."&amp;C$43&amp;C$1&amp;"P"&amp;$A49)="N/A",0,RTD("tos.rtd",,$A$2,"."&amp;C$43&amp;C$1&amp;"P"&amp;$A49))</f>
        <v>0</v>
      </c>
      <c r="D49" s="91">
        <f ca="1">IF(RTD("tos.rtd",,$A$2,"."&amp;D$43&amp;D$1&amp;"C"&amp;$A49)="N/A",0,RTD("tos.rtd",,$A$2,"."&amp;D$43&amp;D$1&amp;"C"&amp;$A49))-IF(RTD("tos.rtd",,$A$2,"."&amp;D$43&amp;D$1&amp;"P"&amp;$A49)="N/A",0,RTD("tos.rtd",,$A$2,"."&amp;D$43&amp;D$1&amp;"P"&amp;$A49))</f>
        <v>0</v>
      </c>
      <c r="E49" s="91">
        <f ca="1">IF(RTD("tos.rtd",,$A$2,"."&amp;E$43&amp;E$1&amp;"C"&amp;$A49)="N/A",0,RTD("tos.rtd",,$A$2,"."&amp;E$43&amp;E$1&amp;"C"&amp;$A49))-IF(RTD("tos.rtd",,$A$2,"."&amp;E$43&amp;E$1&amp;"P"&amp;$A49)="N/A",0,RTD("tos.rtd",,$A$2,"."&amp;E$43&amp;E$1&amp;"P"&amp;$A49))</f>
        <v>0</v>
      </c>
      <c r="F49" s="91">
        <f ca="1">IF(RTD("tos.rtd",,$A$2,"."&amp;F$43&amp;F$1&amp;"C"&amp;$A49)="N/A",0,RTD("tos.rtd",,$A$2,"."&amp;F$43&amp;F$1&amp;"C"&amp;$A49))-IF(RTD("tos.rtd",,$A$2,"."&amp;F$43&amp;F$1&amp;"P"&amp;$A49)="N/A",0,RTD("tos.rtd",,$A$2,"."&amp;F$43&amp;F$1&amp;"P"&amp;$A49))</f>
        <v>0</v>
      </c>
      <c r="G49" s="91">
        <f ca="1">IF(RTD("tos.rtd",,$A$2,"."&amp;G$43&amp;G$1&amp;"C"&amp;$A49)="N/A",0,RTD("tos.rtd",,$A$2,"."&amp;G$43&amp;G$1&amp;"C"&amp;$A49))-IF(RTD("tos.rtd",,$A$2,"."&amp;G$43&amp;G$1&amp;"P"&amp;$A49)="N/A",0,RTD("tos.rtd",,$A$2,"."&amp;G$43&amp;G$1&amp;"P"&amp;$A49))</f>
        <v>0</v>
      </c>
      <c r="H49" s="91">
        <f ca="1">IF(RTD("tos.rtd",,$A$2,"."&amp;H$43&amp;H$1&amp;"C"&amp;$A49)="N/A",0,RTD("tos.rtd",,$A$2,"."&amp;H$43&amp;H$1&amp;"C"&amp;$A49))-IF(RTD("tos.rtd",,$A$2,"."&amp;H$43&amp;H$1&amp;"P"&amp;$A49)="N/A",0,RTD("tos.rtd",,$A$2,"."&amp;H$43&amp;H$1&amp;"P"&amp;$A49))</f>
        <v>73</v>
      </c>
      <c r="I49" s="91">
        <f ca="1">IF(RTD("tos.rtd",,$A$2,"."&amp;I$43&amp;I$1&amp;"C"&amp;$A49)="N/A",0,RTD("tos.rtd",,$A$2,"."&amp;I$43&amp;I$1&amp;"C"&amp;$A49))-IF(RTD("tos.rtd",,$A$2,"."&amp;I$43&amp;I$1&amp;"P"&amp;$A49)="N/A",0,RTD("tos.rtd",,$A$2,"."&amp;I$43&amp;I$1&amp;"P"&amp;$A49))</f>
        <v>-137</v>
      </c>
      <c r="J49" s="91">
        <f ca="1">IF(RTD("tos.rtd",,$A$2,"."&amp;J$43&amp;J$1&amp;"C"&amp;$A49)="N/A",0,RTD("tos.rtd",,$A$2,"."&amp;J$43&amp;J$1&amp;"C"&amp;$A49))-IF(RTD("tos.rtd",,$A$2,"."&amp;J$43&amp;J$1&amp;"P"&amp;$A49)="N/A",0,RTD("tos.rtd",,$A$2,"."&amp;J$43&amp;J$1&amp;"P"&amp;$A49))</f>
        <v>-167</v>
      </c>
      <c r="K49" s="91">
        <f ca="1">IF(RTD("tos.rtd",,$A$2,"."&amp;K$43&amp;K$1&amp;"C"&amp;$A49)="N/A",0,RTD("tos.rtd",,$A$2,"."&amp;K$43&amp;K$1&amp;"C"&amp;$A49))-IF(RTD("tos.rtd",,$A$2,"."&amp;K$43&amp;K$1&amp;"P"&amp;$A49)="N/A",0,RTD("tos.rtd",,$A$2,"."&amp;K$43&amp;K$1&amp;"P"&amp;$A49))</f>
        <v>0</v>
      </c>
      <c r="L49" s="91">
        <f ca="1">IF(RTD("tos.rtd",,$A$2,"."&amp;L$43&amp;L$1&amp;"C"&amp;$A49)="N/A",0,RTD("tos.rtd",,$A$2,"."&amp;L$43&amp;L$1&amp;"C"&amp;$A49))-IF(RTD("tos.rtd",,$A$2,"."&amp;L$43&amp;L$1&amp;"P"&amp;$A49)="N/A",0,RTD("tos.rtd",,$A$2,"."&amp;L$43&amp;L$1&amp;"P"&amp;$A49))</f>
        <v>3</v>
      </c>
      <c r="M49" s="91">
        <f ca="1">IF(RTD("tos.rtd",,$A$2,"."&amp;M$43&amp;M$1&amp;"C"&amp;$A49)="N/A",0,RTD("tos.rtd",,$A$2,"."&amp;M$43&amp;M$1&amp;"C"&amp;$A49))-IF(RTD("tos.rtd",,$A$2,"."&amp;M$43&amp;M$1&amp;"P"&amp;$A49)="N/A",0,RTD("tos.rtd",,$A$2,"."&amp;M$43&amp;M$1&amp;"P"&amp;$A49))</f>
        <v>0</v>
      </c>
      <c r="N49" s="91">
        <f ca="1">IF(RTD("tos.rtd",,$A$2,"."&amp;N$43&amp;N$1&amp;"C"&amp;$A49)="N/A",0,RTD("tos.rtd",,$A$2,"."&amp;N$43&amp;N$1&amp;"C"&amp;$A49))-IF(RTD("tos.rtd",,$A$2,"."&amp;N$43&amp;N$1&amp;"P"&amp;$A49)="N/A",0,RTD("tos.rtd",,$A$2,"."&amp;N$43&amp;N$1&amp;"P"&amp;$A49))</f>
        <v>0</v>
      </c>
      <c r="O49" s="91">
        <f ca="1">IF(RTD("tos.rtd",,$A$2,"."&amp;O$43&amp;O$1&amp;"C"&amp;$A49)="N/A",0,RTD("tos.rtd",,$A$2,"."&amp;O$43&amp;O$1&amp;"C"&amp;$A49))-IF(RTD("tos.rtd",,$A$2,"."&amp;O$43&amp;O$1&amp;"P"&amp;$A49)="N/A",0,RTD("tos.rtd",,$A$2,"."&amp;O$43&amp;O$1&amp;"P"&amp;$A49))</f>
        <v>0</v>
      </c>
      <c r="P49" s="91">
        <f ca="1">IF(RTD("tos.rtd",,$A$2,"."&amp;P$43&amp;P$1&amp;"C"&amp;$A49)="N/A",0,RTD("tos.rtd",,$A$2,"."&amp;P$43&amp;P$1&amp;"C"&amp;$A49))-IF(RTD("tos.rtd",,$A$2,"."&amp;P$43&amp;P$1&amp;"P"&amp;$A49)="N/A",0,RTD("tos.rtd",,$A$2,"."&amp;P$43&amp;P$1&amp;"P"&amp;$A49))</f>
        <v>0</v>
      </c>
      <c r="Q49" s="91">
        <f ca="1">IF(RTD("tos.rtd",,$A$2,"."&amp;Q$43&amp;Q$1&amp;"C"&amp;$A49)="N/A",0,RTD("tos.rtd",,$A$2,"."&amp;Q$43&amp;Q$1&amp;"C"&amp;$A49))-IF(RTD("tos.rtd",,$A$2,"."&amp;Q$43&amp;Q$1&amp;"P"&amp;$A49)="N/A",0,RTD("tos.rtd",,$A$2,"."&amp;Q$43&amp;Q$1&amp;"P"&amp;$A49))</f>
        <v>0</v>
      </c>
      <c r="R49" s="91">
        <f ca="1">IF(RTD("tos.rtd",,$A$2,"."&amp;R$43&amp;R$1&amp;"C"&amp;$A49)="N/A",0,RTD("tos.rtd",,$A$2,"."&amp;R$43&amp;R$1&amp;"C"&amp;$A49))-IF(RTD("tos.rtd",,$A$2,"."&amp;R$43&amp;R$1&amp;"P"&amp;$A49)="N/A",0,RTD("tos.rtd",,$A$2,"."&amp;R$43&amp;R$1&amp;"P"&amp;$A49))</f>
        <v>0</v>
      </c>
      <c r="S49" s="91">
        <f ca="1">IF(RTD("tos.rtd",,$A$2,"."&amp;S$43&amp;S$1&amp;"C"&amp;$A49)="N/A",0,RTD("tos.rtd",,$A$2,"."&amp;S$43&amp;S$1&amp;"C"&amp;$A49))-IF(RTD("tos.rtd",,$A$2,"."&amp;S$43&amp;S$1&amp;"P"&amp;$A49)="N/A",0,RTD("tos.rtd",,$A$2,"."&amp;S$43&amp;S$1&amp;"P"&amp;$A49))</f>
        <v>0</v>
      </c>
      <c r="T49" s="91">
        <f ca="1">IF(RTD("tos.rtd",,$A$2,"."&amp;T$43&amp;T$1&amp;"C"&amp;$A49)="N/A",0,RTD("tos.rtd",,$A$2,"."&amp;T$43&amp;T$1&amp;"C"&amp;$A49))-IF(RTD("tos.rtd",,$A$2,"."&amp;T$43&amp;T$1&amp;"P"&amp;$A49)="N/A",0,RTD("tos.rtd",,$A$2,"."&amp;T$43&amp;T$1&amp;"P"&amp;$A49))</f>
        <v>0</v>
      </c>
      <c r="U49" s="91">
        <f ca="1">IF(RTD("tos.rtd",,$A$2,"."&amp;U$43&amp;U$1&amp;"C"&amp;$A49)="N/A",0,RTD("tos.rtd",,$A$2,"."&amp;U$43&amp;U$1&amp;"C"&amp;$A49))-IF(RTD("tos.rtd",,$A$2,"."&amp;U$43&amp;U$1&amp;"P"&amp;$A49)="N/A",0,RTD("tos.rtd",,$A$2,"."&amp;U$43&amp;U$1&amp;"P"&amp;$A49))</f>
        <v>0</v>
      </c>
      <c r="V49" s="91">
        <f ca="1">IF(RTD("tos.rtd",,$A$2,"."&amp;V$43&amp;V$1&amp;"C"&amp;$A49)="N/A",0,RTD("tos.rtd",,$A$2,"."&amp;V$43&amp;V$1&amp;"C"&amp;$A49))-IF(RTD("tos.rtd",,$A$2,"."&amp;V$43&amp;V$1&amp;"P"&amp;$A49)="N/A",0,RTD("tos.rtd",,$A$2,"."&amp;V$43&amp;V$1&amp;"P"&amp;$A49))</f>
        <v>0</v>
      </c>
      <c r="W49" s="91">
        <f ca="1">IF(RTD("tos.rtd",,$A$2,"."&amp;W$43&amp;W$1&amp;"C"&amp;$A49)="N/A",0,RTD("tos.rtd",,$A$2,"."&amp;W$43&amp;W$1&amp;"C"&amp;$A49))-IF(RTD("tos.rtd",,$A$2,"."&amp;W$43&amp;W$1&amp;"P"&amp;$A49)="N/A",0,RTD("tos.rtd",,$A$2,"."&amp;W$43&amp;W$1&amp;"P"&amp;$A49))</f>
        <v>0</v>
      </c>
      <c r="X49" s="91">
        <f ca="1">IF(RTD("tos.rtd",,$A$2,"."&amp;X$43&amp;X$1&amp;"C"&amp;$A49)="N/A",0,RTD("tos.rtd",,$A$2,"."&amp;X$43&amp;X$1&amp;"C"&amp;$A49))-IF(RTD("tos.rtd",,$A$2,"."&amp;X$43&amp;X$1&amp;"P"&amp;$A49)="N/A",0,RTD("tos.rtd",,$A$2,"."&amp;X$43&amp;X$1&amp;"P"&amp;$A49))</f>
        <v>-1</v>
      </c>
      <c r="Y49" s="98">
        <f t="shared" ca="1" si="7"/>
        <v>-229</v>
      </c>
    </row>
    <row r="50" spans="1:25" x14ac:dyDescent="0.25">
      <c r="A50" s="93">
        <f>+Hoja1!A49</f>
        <v>498</v>
      </c>
      <c r="B50" s="91">
        <f ca="1">IF(RTD("tos.rtd",,$A$2,"."&amp;B$43&amp;B$1&amp;"C"&amp;$A50)="N/A",0,RTD("tos.rtd",,$A$2,"."&amp;B$43&amp;B$1&amp;"C"&amp;$A50))-IF(RTD("tos.rtd",,$A$2,"."&amp;B$43&amp;B$1&amp;"P"&amp;$A50)="N/A",0,RTD("tos.rtd",,$A$2,"."&amp;B$43&amp;B$1&amp;"P"&amp;$A50))</f>
        <v>0</v>
      </c>
      <c r="C50" s="91">
        <f ca="1">IF(RTD("tos.rtd",,$A$2,"."&amp;C$43&amp;C$1&amp;"C"&amp;$A50)="N/A",0,RTD("tos.rtd",,$A$2,"."&amp;C$43&amp;C$1&amp;"C"&amp;$A50))-IF(RTD("tos.rtd",,$A$2,"."&amp;C$43&amp;C$1&amp;"P"&amp;$A50)="N/A",0,RTD("tos.rtd",,$A$2,"."&amp;C$43&amp;C$1&amp;"P"&amp;$A50))</f>
        <v>0</v>
      </c>
      <c r="D50" s="91">
        <f ca="1">IF(RTD("tos.rtd",,$A$2,"."&amp;D$43&amp;D$1&amp;"C"&amp;$A50)="N/A",0,RTD("tos.rtd",,$A$2,"."&amp;D$43&amp;D$1&amp;"C"&amp;$A50))-IF(RTD("tos.rtd",,$A$2,"."&amp;D$43&amp;D$1&amp;"P"&amp;$A50)="N/A",0,RTD("tos.rtd",,$A$2,"."&amp;D$43&amp;D$1&amp;"P"&amp;$A50))</f>
        <v>0</v>
      </c>
      <c r="E50" s="91">
        <f ca="1">IF(RTD("tos.rtd",,$A$2,"."&amp;E$43&amp;E$1&amp;"C"&amp;$A50)="N/A",0,RTD("tos.rtd",,$A$2,"."&amp;E$43&amp;E$1&amp;"C"&amp;$A50))-IF(RTD("tos.rtd",,$A$2,"."&amp;E$43&amp;E$1&amp;"P"&amp;$A50)="N/A",0,RTD("tos.rtd",,$A$2,"."&amp;E$43&amp;E$1&amp;"P"&amp;$A50))</f>
        <v>0</v>
      </c>
      <c r="F50" s="91">
        <f ca="1">IF(RTD("tos.rtd",,$A$2,"."&amp;F$43&amp;F$1&amp;"C"&amp;$A50)="N/A",0,RTD("tos.rtd",,$A$2,"."&amp;F$43&amp;F$1&amp;"C"&amp;$A50))-IF(RTD("tos.rtd",,$A$2,"."&amp;F$43&amp;F$1&amp;"P"&amp;$A50)="N/A",0,RTD("tos.rtd",,$A$2,"."&amp;F$43&amp;F$1&amp;"P"&amp;$A50))</f>
        <v>0</v>
      </c>
      <c r="G50" s="91">
        <f ca="1">IF(RTD("tos.rtd",,$A$2,"."&amp;G$43&amp;G$1&amp;"C"&amp;$A50)="N/A",0,RTD("tos.rtd",,$A$2,"."&amp;G$43&amp;G$1&amp;"C"&amp;$A50))-IF(RTD("tos.rtd",,$A$2,"."&amp;G$43&amp;G$1&amp;"P"&amp;$A50)="N/A",0,RTD("tos.rtd",,$A$2,"."&amp;G$43&amp;G$1&amp;"P"&amp;$A50))</f>
        <v>0</v>
      </c>
      <c r="H50" s="91">
        <f ca="1">IF(RTD("tos.rtd",,$A$2,"."&amp;H$43&amp;H$1&amp;"C"&amp;$A50)="N/A",0,RTD("tos.rtd",,$A$2,"."&amp;H$43&amp;H$1&amp;"C"&amp;$A50))-IF(RTD("tos.rtd",,$A$2,"."&amp;H$43&amp;H$1&amp;"P"&amp;$A50)="N/A",0,RTD("tos.rtd",,$A$2,"."&amp;H$43&amp;H$1&amp;"P"&amp;$A50))</f>
        <v>50</v>
      </c>
      <c r="I50" s="91">
        <f ca="1">IF(RTD("tos.rtd",,$A$2,"."&amp;I$43&amp;I$1&amp;"C"&amp;$A50)="N/A",0,RTD("tos.rtd",,$A$2,"."&amp;I$43&amp;I$1&amp;"C"&amp;$A50))-IF(RTD("tos.rtd",,$A$2,"."&amp;I$43&amp;I$1&amp;"P"&amp;$A50)="N/A",0,RTD("tos.rtd",,$A$2,"."&amp;I$43&amp;I$1&amp;"P"&amp;$A50))</f>
        <v>-20</v>
      </c>
      <c r="J50" s="91">
        <f ca="1">IF(RTD("tos.rtd",,$A$2,"."&amp;J$43&amp;J$1&amp;"C"&amp;$A50)="N/A",0,RTD("tos.rtd",,$A$2,"."&amp;J$43&amp;J$1&amp;"C"&amp;$A50))-IF(RTD("tos.rtd",,$A$2,"."&amp;J$43&amp;J$1&amp;"P"&amp;$A50)="N/A",0,RTD("tos.rtd",,$A$2,"."&amp;J$43&amp;J$1&amp;"P"&amp;$A50))</f>
        <v>1499</v>
      </c>
      <c r="K50" s="91">
        <f ca="1">IF(RTD("tos.rtd",,$A$2,"."&amp;K$43&amp;K$1&amp;"C"&amp;$A50)="N/A",0,RTD("tos.rtd",,$A$2,"."&amp;K$43&amp;K$1&amp;"C"&amp;$A50))-IF(RTD("tos.rtd",,$A$2,"."&amp;K$43&amp;K$1&amp;"P"&amp;$A50)="N/A",0,RTD("tos.rtd",,$A$2,"."&amp;K$43&amp;K$1&amp;"P"&amp;$A50))</f>
        <v>0</v>
      </c>
      <c r="L50" s="91">
        <f ca="1">IF(RTD("tos.rtd",,$A$2,"."&amp;L$43&amp;L$1&amp;"C"&amp;$A50)="N/A",0,RTD("tos.rtd",,$A$2,"."&amp;L$43&amp;L$1&amp;"C"&amp;$A50))-IF(RTD("tos.rtd",,$A$2,"."&amp;L$43&amp;L$1&amp;"P"&amp;$A50)="N/A",0,RTD("tos.rtd",,$A$2,"."&amp;L$43&amp;L$1&amp;"P"&amp;$A50))</f>
        <v>3</v>
      </c>
      <c r="M50" s="91">
        <f ca="1">IF(RTD("tos.rtd",,$A$2,"."&amp;M$43&amp;M$1&amp;"C"&amp;$A50)="N/A",0,RTD("tos.rtd",,$A$2,"."&amp;M$43&amp;M$1&amp;"C"&amp;$A50))-IF(RTD("tos.rtd",,$A$2,"."&amp;M$43&amp;M$1&amp;"P"&amp;$A50)="N/A",0,RTD("tos.rtd",,$A$2,"."&amp;M$43&amp;M$1&amp;"P"&amp;$A50))</f>
        <v>0</v>
      </c>
      <c r="N50" s="91">
        <f ca="1">IF(RTD("tos.rtd",,$A$2,"."&amp;N$43&amp;N$1&amp;"C"&amp;$A50)="N/A",0,RTD("tos.rtd",,$A$2,"."&amp;N$43&amp;N$1&amp;"C"&amp;$A50))-IF(RTD("tos.rtd",,$A$2,"."&amp;N$43&amp;N$1&amp;"P"&amp;$A50)="N/A",0,RTD("tos.rtd",,$A$2,"."&amp;N$43&amp;N$1&amp;"P"&amp;$A50))</f>
        <v>0</v>
      </c>
      <c r="O50" s="91">
        <f ca="1">IF(RTD("tos.rtd",,$A$2,"."&amp;O$43&amp;O$1&amp;"C"&amp;$A50)="N/A",0,RTD("tos.rtd",,$A$2,"."&amp;O$43&amp;O$1&amp;"C"&amp;$A50))-IF(RTD("tos.rtd",,$A$2,"."&amp;O$43&amp;O$1&amp;"P"&amp;$A50)="N/A",0,RTD("tos.rtd",,$A$2,"."&amp;O$43&amp;O$1&amp;"P"&amp;$A50))</f>
        <v>0</v>
      </c>
      <c r="P50" s="91">
        <f ca="1">IF(RTD("tos.rtd",,$A$2,"."&amp;P$43&amp;P$1&amp;"C"&amp;$A50)="N/A",0,RTD("tos.rtd",,$A$2,"."&amp;P$43&amp;P$1&amp;"C"&amp;$A50))-IF(RTD("tos.rtd",,$A$2,"."&amp;P$43&amp;P$1&amp;"P"&amp;$A50)="N/A",0,RTD("tos.rtd",,$A$2,"."&amp;P$43&amp;P$1&amp;"P"&amp;$A50))</f>
        <v>0</v>
      </c>
      <c r="Q50" s="91">
        <f ca="1">IF(RTD("tos.rtd",,$A$2,"."&amp;Q$43&amp;Q$1&amp;"C"&amp;$A50)="N/A",0,RTD("tos.rtd",,$A$2,"."&amp;Q$43&amp;Q$1&amp;"C"&amp;$A50))-IF(RTD("tos.rtd",,$A$2,"."&amp;Q$43&amp;Q$1&amp;"P"&amp;$A50)="N/A",0,RTD("tos.rtd",,$A$2,"."&amp;Q$43&amp;Q$1&amp;"P"&amp;$A50))</f>
        <v>0</v>
      </c>
      <c r="R50" s="91">
        <f ca="1">IF(RTD("tos.rtd",,$A$2,"."&amp;R$43&amp;R$1&amp;"C"&amp;$A50)="N/A",0,RTD("tos.rtd",,$A$2,"."&amp;R$43&amp;R$1&amp;"C"&amp;$A50))-IF(RTD("tos.rtd",,$A$2,"."&amp;R$43&amp;R$1&amp;"P"&amp;$A50)="N/A",0,RTD("tos.rtd",,$A$2,"."&amp;R$43&amp;R$1&amp;"P"&amp;$A50))</f>
        <v>0</v>
      </c>
      <c r="S50" s="91">
        <f ca="1">IF(RTD("tos.rtd",,$A$2,"."&amp;S$43&amp;S$1&amp;"C"&amp;$A50)="N/A",0,RTD("tos.rtd",,$A$2,"."&amp;S$43&amp;S$1&amp;"C"&amp;$A50))-IF(RTD("tos.rtd",,$A$2,"."&amp;S$43&amp;S$1&amp;"P"&amp;$A50)="N/A",0,RTD("tos.rtd",,$A$2,"."&amp;S$43&amp;S$1&amp;"P"&amp;$A50))</f>
        <v>0</v>
      </c>
      <c r="T50" s="91">
        <f ca="1">IF(RTD("tos.rtd",,$A$2,"."&amp;T$43&amp;T$1&amp;"C"&amp;$A50)="N/A",0,RTD("tos.rtd",,$A$2,"."&amp;T$43&amp;T$1&amp;"C"&amp;$A50))-IF(RTD("tos.rtd",,$A$2,"."&amp;T$43&amp;T$1&amp;"P"&amp;$A50)="N/A",0,RTD("tos.rtd",,$A$2,"."&amp;T$43&amp;T$1&amp;"P"&amp;$A50))</f>
        <v>0</v>
      </c>
      <c r="U50" s="91">
        <f ca="1">IF(RTD("tos.rtd",,$A$2,"."&amp;U$43&amp;U$1&amp;"C"&amp;$A50)="N/A",0,RTD("tos.rtd",,$A$2,"."&amp;U$43&amp;U$1&amp;"C"&amp;$A50))-IF(RTD("tos.rtd",,$A$2,"."&amp;U$43&amp;U$1&amp;"P"&amp;$A50)="N/A",0,RTD("tos.rtd",,$A$2,"."&amp;U$43&amp;U$1&amp;"P"&amp;$A50))</f>
        <v>0</v>
      </c>
      <c r="V50" s="91">
        <f ca="1">IF(RTD("tos.rtd",,$A$2,"."&amp;V$43&amp;V$1&amp;"C"&amp;$A50)="N/A",0,RTD("tos.rtd",,$A$2,"."&amp;V$43&amp;V$1&amp;"C"&amp;$A50))-IF(RTD("tos.rtd",,$A$2,"."&amp;V$43&amp;V$1&amp;"P"&amp;$A50)="N/A",0,RTD("tos.rtd",,$A$2,"."&amp;V$43&amp;V$1&amp;"P"&amp;$A50))</f>
        <v>0</v>
      </c>
      <c r="W50" s="91">
        <f ca="1">IF(RTD("tos.rtd",,$A$2,"."&amp;W$43&amp;W$1&amp;"C"&amp;$A50)="N/A",0,RTD("tos.rtd",,$A$2,"."&amp;W$43&amp;W$1&amp;"C"&amp;$A50))-IF(RTD("tos.rtd",,$A$2,"."&amp;W$43&amp;W$1&amp;"P"&amp;$A50)="N/A",0,RTD("tos.rtd",,$A$2,"."&amp;W$43&amp;W$1&amp;"P"&amp;$A50))</f>
        <v>0</v>
      </c>
      <c r="X50" s="91">
        <f ca="1">IF(RTD("tos.rtd",,$A$2,"."&amp;X$43&amp;X$1&amp;"C"&amp;$A50)="N/A",0,RTD("tos.rtd",,$A$2,"."&amp;X$43&amp;X$1&amp;"C"&amp;$A50))-IF(RTD("tos.rtd",,$A$2,"."&amp;X$43&amp;X$1&amp;"P"&amp;$A50)="N/A",0,RTD("tos.rtd",,$A$2,"."&amp;X$43&amp;X$1&amp;"P"&amp;$A50))</f>
        <v>0</v>
      </c>
      <c r="Y50" s="98">
        <f t="shared" ca="1" si="7"/>
        <v>1532</v>
      </c>
    </row>
    <row r="51" spans="1:25" x14ac:dyDescent="0.25">
      <c r="A51" s="93">
        <f>+Hoja1!A50</f>
        <v>497</v>
      </c>
      <c r="B51" s="91">
        <f ca="1">IF(RTD("tos.rtd",,$A$2,"."&amp;B$43&amp;B$1&amp;"C"&amp;$A51)="N/A",0,RTD("tos.rtd",,$A$2,"."&amp;B$43&amp;B$1&amp;"C"&amp;$A51))-IF(RTD("tos.rtd",,$A$2,"."&amp;B$43&amp;B$1&amp;"P"&amp;$A51)="N/A",0,RTD("tos.rtd",,$A$2,"."&amp;B$43&amp;B$1&amp;"P"&amp;$A51))</f>
        <v>0</v>
      </c>
      <c r="C51" s="91">
        <f ca="1">IF(RTD("tos.rtd",,$A$2,"."&amp;C$43&amp;C$1&amp;"C"&amp;$A51)="N/A",0,RTD("tos.rtd",,$A$2,"."&amp;C$43&amp;C$1&amp;"C"&amp;$A51))-IF(RTD("tos.rtd",,$A$2,"."&amp;C$43&amp;C$1&amp;"P"&amp;$A51)="N/A",0,RTD("tos.rtd",,$A$2,"."&amp;C$43&amp;C$1&amp;"P"&amp;$A51))</f>
        <v>0</v>
      </c>
      <c r="D51" s="91">
        <f ca="1">IF(RTD("tos.rtd",,$A$2,"."&amp;D$43&amp;D$1&amp;"C"&amp;$A51)="N/A",0,RTD("tos.rtd",,$A$2,"."&amp;D$43&amp;D$1&amp;"C"&amp;$A51))-IF(RTD("tos.rtd",,$A$2,"."&amp;D$43&amp;D$1&amp;"P"&amp;$A51)="N/A",0,RTD("tos.rtd",,$A$2,"."&amp;D$43&amp;D$1&amp;"P"&amp;$A51))</f>
        <v>0</v>
      </c>
      <c r="E51" s="91">
        <f ca="1">IF(RTD("tos.rtd",,$A$2,"."&amp;E$43&amp;E$1&amp;"C"&amp;$A51)="N/A",0,RTD("tos.rtd",,$A$2,"."&amp;E$43&amp;E$1&amp;"C"&amp;$A51))-IF(RTD("tos.rtd",,$A$2,"."&amp;E$43&amp;E$1&amp;"P"&amp;$A51)="N/A",0,RTD("tos.rtd",,$A$2,"."&amp;E$43&amp;E$1&amp;"P"&amp;$A51))</f>
        <v>0</v>
      </c>
      <c r="F51" s="91">
        <f ca="1">IF(RTD("tos.rtd",,$A$2,"."&amp;F$43&amp;F$1&amp;"C"&amp;$A51)="N/A",0,RTD("tos.rtd",,$A$2,"."&amp;F$43&amp;F$1&amp;"C"&amp;$A51))-IF(RTD("tos.rtd",,$A$2,"."&amp;F$43&amp;F$1&amp;"P"&amp;$A51)="N/A",0,RTD("tos.rtd",,$A$2,"."&amp;F$43&amp;F$1&amp;"P"&amp;$A51))</f>
        <v>0</v>
      </c>
      <c r="G51" s="91">
        <f ca="1">IF(RTD("tos.rtd",,$A$2,"."&amp;G$43&amp;G$1&amp;"C"&amp;$A51)="N/A",0,RTD("tos.rtd",,$A$2,"."&amp;G$43&amp;G$1&amp;"C"&amp;$A51))-IF(RTD("tos.rtd",,$A$2,"."&amp;G$43&amp;G$1&amp;"P"&amp;$A51)="N/A",0,RTD("tos.rtd",,$A$2,"."&amp;G$43&amp;G$1&amp;"P"&amp;$A51))</f>
        <v>0</v>
      </c>
      <c r="H51" s="91">
        <f ca="1">IF(RTD("tos.rtd",,$A$2,"."&amp;H$43&amp;H$1&amp;"C"&amp;$A51)="N/A",0,RTD("tos.rtd",,$A$2,"."&amp;H$43&amp;H$1&amp;"C"&amp;$A51))-IF(RTD("tos.rtd",,$A$2,"."&amp;H$43&amp;H$1&amp;"P"&amp;$A51)="N/A",0,RTD("tos.rtd",,$A$2,"."&amp;H$43&amp;H$1&amp;"P"&amp;$A51))</f>
        <v>-104</v>
      </c>
      <c r="I51" s="91">
        <f ca="1">IF(RTD("tos.rtd",,$A$2,"."&amp;I$43&amp;I$1&amp;"C"&amp;$A51)="N/A",0,RTD("tos.rtd",,$A$2,"."&amp;I$43&amp;I$1&amp;"C"&amp;$A51))-IF(RTD("tos.rtd",,$A$2,"."&amp;I$43&amp;I$1&amp;"P"&amp;$A51)="N/A",0,RTD("tos.rtd",,$A$2,"."&amp;I$43&amp;I$1&amp;"P"&amp;$A51))</f>
        <v>-36</v>
      </c>
      <c r="J51" s="91">
        <f ca="1">IF(RTD("tos.rtd",,$A$2,"."&amp;J$43&amp;J$1&amp;"C"&amp;$A51)="N/A",0,RTD("tos.rtd",,$A$2,"."&amp;J$43&amp;J$1&amp;"C"&amp;$A51))-IF(RTD("tos.rtd",,$A$2,"."&amp;J$43&amp;J$1&amp;"P"&amp;$A51)="N/A",0,RTD("tos.rtd",,$A$2,"."&amp;J$43&amp;J$1&amp;"P"&amp;$A51))</f>
        <v>48</v>
      </c>
      <c r="K51" s="91">
        <f ca="1">IF(RTD("tos.rtd",,$A$2,"."&amp;K$43&amp;K$1&amp;"C"&amp;$A51)="N/A",0,RTD("tos.rtd",,$A$2,"."&amp;K$43&amp;K$1&amp;"C"&amp;$A51))-IF(RTD("tos.rtd",,$A$2,"."&amp;K$43&amp;K$1&amp;"P"&amp;$A51)="N/A",0,RTD("tos.rtd",,$A$2,"."&amp;K$43&amp;K$1&amp;"P"&amp;$A51))</f>
        <v>0</v>
      </c>
      <c r="L51" s="91">
        <f ca="1">IF(RTD("tos.rtd",,$A$2,"."&amp;L$43&amp;L$1&amp;"C"&amp;$A51)="N/A",0,RTD("tos.rtd",,$A$2,"."&amp;L$43&amp;L$1&amp;"C"&amp;$A51))-IF(RTD("tos.rtd",,$A$2,"."&amp;L$43&amp;L$1&amp;"P"&amp;$A51)="N/A",0,RTD("tos.rtd",,$A$2,"."&amp;L$43&amp;L$1&amp;"P"&amp;$A51))</f>
        <v>59</v>
      </c>
      <c r="M51" s="91">
        <f ca="1">IF(RTD("tos.rtd",,$A$2,"."&amp;M$43&amp;M$1&amp;"C"&amp;$A51)="N/A",0,RTD("tos.rtd",,$A$2,"."&amp;M$43&amp;M$1&amp;"C"&amp;$A51))-IF(RTD("tos.rtd",,$A$2,"."&amp;M$43&amp;M$1&amp;"P"&amp;$A51)="N/A",0,RTD("tos.rtd",,$A$2,"."&amp;M$43&amp;M$1&amp;"P"&amp;$A51))</f>
        <v>0</v>
      </c>
      <c r="N51" s="91">
        <f ca="1">IF(RTD("tos.rtd",,$A$2,"."&amp;N$43&amp;N$1&amp;"C"&amp;$A51)="N/A",0,RTD("tos.rtd",,$A$2,"."&amp;N$43&amp;N$1&amp;"C"&amp;$A51))-IF(RTD("tos.rtd",,$A$2,"."&amp;N$43&amp;N$1&amp;"P"&amp;$A51)="N/A",0,RTD("tos.rtd",,$A$2,"."&amp;N$43&amp;N$1&amp;"P"&amp;$A51))</f>
        <v>0</v>
      </c>
      <c r="O51" s="91">
        <f ca="1">IF(RTD("tos.rtd",,$A$2,"."&amp;O$43&amp;O$1&amp;"C"&amp;$A51)="N/A",0,RTD("tos.rtd",,$A$2,"."&amp;O$43&amp;O$1&amp;"C"&amp;$A51))-IF(RTD("tos.rtd",,$A$2,"."&amp;O$43&amp;O$1&amp;"P"&amp;$A51)="N/A",0,RTD("tos.rtd",,$A$2,"."&amp;O$43&amp;O$1&amp;"P"&amp;$A51))</f>
        <v>0</v>
      </c>
      <c r="P51" s="91">
        <f ca="1">IF(RTD("tos.rtd",,$A$2,"."&amp;P$43&amp;P$1&amp;"C"&amp;$A51)="N/A",0,RTD("tos.rtd",,$A$2,"."&amp;P$43&amp;P$1&amp;"C"&amp;$A51))-IF(RTD("tos.rtd",,$A$2,"."&amp;P$43&amp;P$1&amp;"P"&amp;$A51)="N/A",0,RTD("tos.rtd",,$A$2,"."&amp;P$43&amp;P$1&amp;"P"&amp;$A51))</f>
        <v>0</v>
      </c>
      <c r="Q51" s="91">
        <f ca="1">IF(RTD("tos.rtd",,$A$2,"."&amp;Q$43&amp;Q$1&amp;"C"&amp;$A51)="N/A",0,RTD("tos.rtd",,$A$2,"."&amp;Q$43&amp;Q$1&amp;"C"&amp;$A51))-IF(RTD("tos.rtd",,$A$2,"."&amp;Q$43&amp;Q$1&amp;"P"&amp;$A51)="N/A",0,RTD("tos.rtd",,$A$2,"."&amp;Q$43&amp;Q$1&amp;"P"&amp;$A51))</f>
        <v>0</v>
      </c>
      <c r="R51" s="91">
        <f ca="1">IF(RTD("tos.rtd",,$A$2,"."&amp;R$43&amp;R$1&amp;"C"&amp;$A51)="N/A",0,RTD("tos.rtd",,$A$2,"."&amp;R$43&amp;R$1&amp;"C"&amp;$A51))-IF(RTD("tos.rtd",,$A$2,"."&amp;R$43&amp;R$1&amp;"P"&amp;$A51)="N/A",0,RTD("tos.rtd",,$A$2,"."&amp;R$43&amp;R$1&amp;"P"&amp;$A51))</f>
        <v>11</v>
      </c>
      <c r="S51" s="91">
        <f ca="1">IF(RTD("tos.rtd",,$A$2,"."&amp;S$43&amp;S$1&amp;"C"&amp;$A51)="N/A",0,RTD("tos.rtd",,$A$2,"."&amp;S$43&amp;S$1&amp;"C"&amp;$A51))-IF(RTD("tos.rtd",,$A$2,"."&amp;S$43&amp;S$1&amp;"P"&amp;$A51)="N/A",0,RTD("tos.rtd",,$A$2,"."&amp;S$43&amp;S$1&amp;"P"&amp;$A51))</f>
        <v>0</v>
      </c>
      <c r="T51" s="91">
        <f ca="1">IF(RTD("tos.rtd",,$A$2,"."&amp;T$43&amp;T$1&amp;"C"&amp;$A51)="N/A",0,RTD("tos.rtd",,$A$2,"."&amp;T$43&amp;T$1&amp;"C"&amp;$A51))-IF(RTD("tos.rtd",,$A$2,"."&amp;T$43&amp;T$1&amp;"P"&amp;$A51)="N/A",0,RTD("tos.rtd",,$A$2,"."&amp;T$43&amp;T$1&amp;"P"&amp;$A51))</f>
        <v>0</v>
      </c>
      <c r="U51" s="91">
        <f ca="1">IF(RTD("tos.rtd",,$A$2,"."&amp;U$43&amp;U$1&amp;"C"&amp;$A51)="N/A",0,RTD("tos.rtd",,$A$2,"."&amp;U$43&amp;U$1&amp;"C"&amp;$A51))-IF(RTD("tos.rtd",,$A$2,"."&amp;U$43&amp;U$1&amp;"P"&amp;$A51)="N/A",0,RTD("tos.rtd",,$A$2,"."&amp;U$43&amp;U$1&amp;"P"&amp;$A51))</f>
        <v>0</v>
      </c>
      <c r="V51" s="91">
        <f ca="1">IF(RTD("tos.rtd",,$A$2,"."&amp;V$43&amp;V$1&amp;"C"&amp;$A51)="N/A",0,RTD("tos.rtd",,$A$2,"."&amp;V$43&amp;V$1&amp;"C"&amp;$A51))-IF(RTD("tos.rtd",,$A$2,"."&amp;V$43&amp;V$1&amp;"P"&amp;$A51)="N/A",0,RTD("tos.rtd",,$A$2,"."&amp;V$43&amp;V$1&amp;"P"&amp;$A51))</f>
        <v>0</v>
      </c>
      <c r="W51" s="91">
        <f ca="1">IF(RTD("tos.rtd",,$A$2,"."&amp;W$43&amp;W$1&amp;"C"&amp;$A51)="N/A",0,RTD("tos.rtd",,$A$2,"."&amp;W$43&amp;W$1&amp;"C"&amp;$A51))-IF(RTD("tos.rtd",,$A$2,"."&amp;W$43&amp;W$1&amp;"P"&amp;$A51)="N/A",0,RTD("tos.rtd",,$A$2,"."&amp;W$43&amp;W$1&amp;"P"&amp;$A51))</f>
        <v>0</v>
      </c>
      <c r="X51" s="91">
        <f ca="1">IF(RTD("tos.rtd",,$A$2,"."&amp;X$43&amp;X$1&amp;"C"&amp;$A51)="N/A",0,RTD("tos.rtd",,$A$2,"."&amp;X$43&amp;X$1&amp;"C"&amp;$A51))-IF(RTD("tos.rtd",,$A$2,"."&amp;X$43&amp;X$1&amp;"P"&amp;$A51)="N/A",0,RTD("tos.rtd",,$A$2,"."&amp;X$43&amp;X$1&amp;"P"&amp;$A51))</f>
        <v>0</v>
      </c>
      <c r="Y51" s="98">
        <f t="shared" ca="1" si="7"/>
        <v>-22</v>
      </c>
    </row>
    <row r="52" spans="1:25" x14ac:dyDescent="0.25">
      <c r="A52" s="93">
        <f>+Hoja1!A51</f>
        <v>496</v>
      </c>
      <c r="B52" s="91">
        <f ca="1">IF(RTD("tos.rtd",,$A$2,"."&amp;B$43&amp;B$1&amp;"C"&amp;$A52)="N/A",0,RTD("tos.rtd",,$A$2,"."&amp;B$43&amp;B$1&amp;"C"&amp;$A52))-IF(RTD("tos.rtd",,$A$2,"."&amp;B$43&amp;B$1&amp;"P"&amp;$A52)="N/A",0,RTD("tos.rtd",,$A$2,"."&amp;B$43&amp;B$1&amp;"P"&amp;$A52))</f>
        <v>0</v>
      </c>
      <c r="C52" s="91">
        <f ca="1">IF(RTD("tos.rtd",,$A$2,"."&amp;C$43&amp;C$1&amp;"C"&amp;$A52)="N/A",0,RTD("tos.rtd",,$A$2,"."&amp;C$43&amp;C$1&amp;"C"&amp;$A52))-IF(RTD("tos.rtd",,$A$2,"."&amp;C$43&amp;C$1&amp;"P"&amp;$A52)="N/A",0,RTD("tos.rtd",,$A$2,"."&amp;C$43&amp;C$1&amp;"P"&amp;$A52))</f>
        <v>0</v>
      </c>
      <c r="D52" s="91">
        <f ca="1">IF(RTD("tos.rtd",,$A$2,"."&amp;D$43&amp;D$1&amp;"C"&amp;$A52)="N/A",0,RTD("tos.rtd",,$A$2,"."&amp;D$43&amp;D$1&amp;"C"&amp;$A52))-IF(RTD("tos.rtd",,$A$2,"."&amp;D$43&amp;D$1&amp;"P"&amp;$A52)="N/A",0,RTD("tos.rtd",,$A$2,"."&amp;D$43&amp;D$1&amp;"P"&amp;$A52))</f>
        <v>0</v>
      </c>
      <c r="E52" s="91">
        <f ca="1">IF(RTD("tos.rtd",,$A$2,"."&amp;E$43&amp;E$1&amp;"C"&amp;$A52)="N/A",0,RTD("tos.rtd",,$A$2,"."&amp;E$43&amp;E$1&amp;"C"&amp;$A52))-IF(RTD("tos.rtd",,$A$2,"."&amp;E$43&amp;E$1&amp;"P"&amp;$A52)="N/A",0,RTD("tos.rtd",,$A$2,"."&amp;E$43&amp;E$1&amp;"P"&amp;$A52))</f>
        <v>0</v>
      </c>
      <c r="F52" s="91">
        <f ca="1">IF(RTD("tos.rtd",,$A$2,"."&amp;F$43&amp;F$1&amp;"C"&amp;$A52)="N/A",0,RTD("tos.rtd",,$A$2,"."&amp;F$43&amp;F$1&amp;"C"&amp;$A52))-IF(RTD("tos.rtd",,$A$2,"."&amp;F$43&amp;F$1&amp;"P"&amp;$A52)="N/A",0,RTD("tos.rtd",,$A$2,"."&amp;F$43&amp;F$1&amp;"P"&amp;$A52))</f>
        <v>0</v>
      </c>
      <c r="G52" s="91">
        <f ca="1">IF(RTD("tos.rtd",,$A$2,"."&amp;G$43&amp;G$1&amp;"C"&amp;$A52)="N/A",0,RTD("tos.rtd",,$A$2,"."&amp;G$43&amp;G$1&amp;"C"&amp;$A52))-IF(RTD("tos.rtd",,$A$2,"."&amp;G$43&amp;G$1&amp;"P"&amp;$A52)="N/A",0,RTD("tos.rtd",,$A$2,"."&amp;G$43&amp;G$1&amp;"P"&amp;$A52))</f>
        <v>0</v>
      </c>
      <c r="H52" s="91">
        <f ca="1">IF(RTD("tos.rtd",,$A$2,"."&amp;H$43&amp;H$1&amp;"C"&amp;$A52)="N/A",0,RTD("tos.rtd",,$A$2,"."&amp;H$43&amp;H$1&amp;"C"&amp;$A52))-IF(RTD("tos.rtd",,$A$2,"."&amp;H$43&amp;H$1&amp;"P"&amp;$A52)="N/A",0,RTD("tos.rtd",,$A$2,"."&amp;H$43&amp;H$1&amp;"P"&amp;$A52))</f>
        <v>-74</v>
      </c>
      <c r="I52" s="91">
        <f ca="1">IF(RTD("tos.rtd",,$A$2,"."&amp;I$43&amp;I$1&amp;"C"&amp;$A52)="N/A",0,RTD("tos.rtd",,$A$2,"."&amp;I$43&amp;I$1&amp;"C"&amp;$A52))-IF(RTD("tos.rtd",,$A$2,"."&amp;I$43&amp;I$1&amp;"P"&amp;$A52)="N/A",0,RTD("tos.rtd",,$A$2,"."&amp;I$43&amp;I$1&amp;"P"&amp;$A52))</f>
        <v>47</v>
      </c>
      <c r="J52" s="91">
        <f ca="1">IF(RTD("tos.rtd",,$A$2,"."&amp;J$43&amp;J$1&amp;"C"&amp;$A52)="N/A",0,RTD("tos.rtd",,$A$2,"."&amp;J$43&amp;J$1&amp;"C"&amp;$A52))-IF(RTD("tos.rtd",,$A$2,"."&amp;J$43&amp;J$1&amp;"P"&amp;$A52)="N/A",0,RTD("tos.rtd",,$A$2,"."&amp;J$43&amp;J$1&amp;"P"&amp;$A52))</f>
        <v>-48</v>
      </c>
      <c r="K52" s="91">
        <f ca="1">IF(RTD("tos.rtd",,$A$2,"."&amp;K$43&amp;K$1&amp;"C"&amp;$A52)="N/A",0,RTD("tos.rtd",,$A$2,"."&amp;K$43&amp;K$1&amp;"C"&amp;$A52))-IF(RTD("tos.rtd",,$A$2,"."&amp;K$43&amp;K$1&amp;"P"&amp;$A52)="N/A",0,RTD("tos.rtd",,$A$2,"."&amp;K$43&amp;K$1&amp;"P"&amp;$A52))</f>
        <v>0</v>
      </c>
      <c r="L52" s="91">
        <f ca="1">IF(RTD("tos.rtd",,$A$2,"."&amp;L$43&amp;L$1&amp;"C"&amp;$A52)="N/A",0,RTD("tos.rtd",,$A$2,"."&amp;L$43&amp;L$1&amp;"C"&amp;$A52))-IF(RTD("tos.rtd",,$A$2,"."&amp;L$43&amp;L$1&amp;"P"&amp;$A52)="N/A",0,RTD("tos.rtd",,$A$2,"."&amp;L$43&amp;L$1&amp;"P"&amp;$A52))</f>
        <v>44</v>
      </c>
      <c r="M52" s="91">
        <f ca="1">IF(RTD("tos.rtd",,$A$2,"."&amp;M$43&amp;M$1&amp;"C"&amp;$A52)="N/A",0,RTD("tos.rtd",,$A$2,"."&amp;M$43&amp;M$1&amp;"C"&amp;$A52))-IF(RTD("tos.rtd",,$A$2,"."&amp;M$43&amp;M$1&amp;"P"&amp;$A52)="N/A",0,RTD("tos.rtd",,$A$2,"."&amp;M$43&amp;M$1&amp;"P"&amp;$A52))</f>
        <v>0</v>
      </c>
      <c r="N52" s="91">
        <f ca="1">IF(RTD("tos.rtd",,$A$2,"."&amp;N$43&amp;N$1&amp;"C"&amp;$A52)="N/A",0,RTD("tos.rtd",,$A$2,"."&amp;N$43&amp;N$1&amp;"C"&amp;$A52))-IF(RTD("tos.rtd",,$A$2,"."&amp;N$43&amp;N$1&amp;"P"&amp;$A52)="N/A",0,RTD("tos.rtd",,$A$2,"."&amp;N$43&amp;N$1&amp;"P"&amp;$A52))</f>
        <v>0</v>
      </c>
      <c r="O52" s="91">
        <f ca="1">IF(RTD("tos.rtd",,$A$2,"."&amp;O$43&amp;O$1&amp;"C"&amp;$A52)="N/A",0,RTD("tos.rtd",,$A$2,"."&amp;O$43&amp;O$1&amp;"C"&amp;$A52))-IF(RTD("tos.rtd",,$A$2,"."&amp;O$43&amp;O$1&amp;"P"&amp;$A52)="N/A",0,RTD("tos.rtd",,$A$2,"."&amp;O$43&amp;O$1&amp;"P"&amp;$A52))</f>
        <v>0</v>
      </c>
      <c r="P52" s="91">
        <f ca="1">IF(RTD("tos.rtd",,$A$2,"."&amp;P$43&amp;P$1&amp;"C"&amp;$A52)="N/A",0,RTD("tos.rtd",,$A$2,"."&amp;P$43&amp;P$1&amp;"C"&amp;$A52))-IF(RTD("tos.rtd",,$A$2,"."&amp;P$43&amp;P$1&amp;"P"&amp;$A52)="N/A",0,RTD("tos.rtd",,$A$2,"."&amp;P$43&amp;P$1&amp;"P"&amp;$A52))</f>
        <v>0</v>
      </c>
      <c r="Q52" s="91">
        <f ca="1">IF(RTD("tos.rtd",,$A$2,"."&amp;Q$43&amp;Q$1&amp;"C"&amp;$A52)="N/A",0,RTD("tos.rtd",,$A$2,"."&amp;Q$43&amp;Q$1&amp;"C"&amp;$A52))-IF(RTD("tos.rtd",,$A$2,"."&amp;Q$43&amp;Q$1&amp;"P"&amp;$A52)="N/A",0,RTD("tos.rtd",,$A$2,"."&amp;Q$43&amp;Q$1&amp;"P"&amp;$A52))</f>
        <v>0</v>
      </c>
      <c r="R52" s="91">
        <f ca="1">IF(RTD("tos.rtd",,$A$2,"."&amp;R$43&amp;R$1&amp;"C"&amp;$A52)="N/A",0,RTD("tos.rtd",,$A$2,"."&amp;R$43&amp;R$1&amp;"C"&amp;$A52))-IF(RTD("tos.rtd",,$A$2,"."&amp;R$43&amp;R$1&amp;"P"&amp;$A52)="N/A",0,RTD("tos.rtd",,$A$2,"."&amp;R$43&amp;R$1&amp;"P"&amp;$A52))</f>
        <v>2</v>
      </c>
      <c r="S52" s="91">
        <f ca="1">IF(RTD("tos.rtd",,$A$2,"."&amp;S$43&amp;S$1&amp;"C"&amp;$A52)="N/A",0,RTD("tos.rtd",,$A$2,"."&amp;S$43&amp;S$1&amp;"C"&amp;$A52))-IF(RTD("tos.rtd",,$A$2,"."&amp;S$43&amp;S$1&amp;"P"&amp;$A52)="N/A",0,RTD("tos.rtd",,$A$2,"."&amp;S$43&amp;S$1&amp;"P"&amp;$A52))</f>
        <v>0</v>
      </c>
      <c r="T52" s="91">
        <f ca="1">IF(RTD("tos.rtd",,$A$2,"."&amp;T$43&amp;T$1&amp;"C"&amp;$A52)="N/A",0,RTD("tos.rtd",,$A$2,"."&amp;T$43&amp;T$1&amp;"C"&amp;$A52))-IF(RTD("tos.rtd",,$A$2,"."&amp;T$43&amp;T$1&amp;"P"&amp;$A52)="N/A",0,RTD("tos.rtd",,$A$2,"."&amp;T$43&amp;T$1&amp;"P"&amp;$A52))</f>
        <v>0</v>
      </c>
      <c r="U52" s="91">
        <f ca="1">IF(RTD("tos.rtd",,$A$2,"."&amp;U$43&amp;U$1&amp;"C"&amp;$A52)="N/A",0,RTD("tos.rtd",,$A$2,"."&amp;U$43&amp;U$1&amp;"C"&amp;$A52))-IF(RTD("tos.rtd",,$A$2,"."&amp;U$43&amp;U$1&amp;"P"&amp;$A52)="N/A",0,RTD("tos.rtd",,$A$2,"."&amp;U$43&amp;U$1&amp;"P"&amp;$A52))</f>
        <v>0</v>
      </c>
      <c r="V52" s="91">
        <f ca="1">IF(RTD("tos.rtd",,$A$2,"."&amp;V$43&amp;V$1&amp;"C"&amp;$A52)="N/A",0,RTD("tos.rtd",,$A$2,"."&amp;V$43&amp;V$1&amp;"C"&amp;$A52))-IF(RTD("tos.rtd",,$A$2,"."&amp;V$43&amp;V$1&amp;"P"&amp;$A52)="N/A",0,RTD("tos.rtd",,$A$2,"."&amp;V$43&amp;V$1&amp;"P"&amp;$A52))</f>
        <v>0</v>
      </c>
      <c r="W52" s="91">
        <f ca="1">IF(RTD("tos.rtd",,$A$2,"."&amp;W$43&amp;W$1&amp;"C"&amp;$A52)="N/A",0,RTD("tos.rtd",,$A$2,"."&amp;W$43&amp;W$1&amp;"C"&amp;$A52))-IF(RTD("tos.rtd",,$A$2,"."&amp;W$43&amp;W$1&amp;"P"&amp;$A52)="N/A",0,RTD("tos.rtd",,$A$2,"."&amp;W$43&amp;W$1&amp;"P"&amp;$A52))</f>
        <v>0</v>
      </c>
      <c r="X52" s="91">
        <f ca="1">IF(RTD("tos.rtd",,$A$2,"."&amp;X$43&amp;X$1&amp;"C"&amp;$A52)="N/A",0,RTD("tos.rtd",,$A$2,"."&amp;X$43&amp;X$1&amp;"C"&amp;$A52))-IF(RTD("tos.rtd",,$A$2,"."&amp;X$43&amp;X$1&amp;"P"&amp;$A52)="N/A",0,RTD("tos.rtd",,$A$2,"."&amp;X$43&amp;X$1&amp;"P"&amp;$A52))</f>
        <v>0</v>
      </c>
      <c r="Y52" s="98">
        <f t="shared" ca="1" si="7"/>
        <v>-29</v>
      </c>
    </row>
    <row r="53" spans="1:25" x14ac:dyDescent="0.25">
      <c r="A53" s="93">
        <f>+Hoja1!A52</f>
        <v>495</v>
      </c>
      <c r="B53" s="91">
        <f ca="1">IF(RTD("tos.rtd",,$A$2,"."&amp;B$43&amp;B$1&amp;"C"&amp;$A53)="N/A",0,RTD("tos.rtd",,$A$2,"."&amp;B$43&amp;B$1&amp;"C"&amp;$A53))-IF(RTD("tos.rtd",,$A$2,"."&amp;B$43&amp;B$1&amp;"P"&amp;$A53)="N/A",0,RTD("tos.rtd",,$A$2,"."&amp;B$43&amp;B$1&amp;"P"&amp;$A53))</f>
        <v>0</v>
      </c>
      <c r="C53" s="91">
        <f ca="1">IF(RTD("tos.rtd",,$A$2,"."&amp;C$43&amp;C$1&amp;"C"&amp;$A53)="N/A",0,RTD("tos.rtd",,$A$2,"."&amp;C$43&amp;C$1&amp;"C"&amp;$A53))-IF(RTD("tos.rtd",,$A$2,"."&amp;C$43&amp;C$1&amp;"P"&amp;$A53)="N/A",0,RTD("tos.rtd",,$A$2,"."&amp;C$43&amp;C$1&amp;"P"&amp;$A53))</f>
        <v>0</v>
      </c>
      <c r="D53" s="91">
        <f ca="1">IF(RTD("tos.rtd",,$A$2,"."&amp;D$43&amp;D$1&amp;"C"&amp;$A53)="N/A",0,RTD("tos.rtd",,$A$2,"."&amp;D$43&amp;D$1&amp;"C"&amp;$A53))-IF(RTD("tos.rtd",,$A$2,"."&amp;D$43&amp;D$1&amp;"P"&amp;$A53)="N/A",0,RTD("tos.rtd",,$A$2,"."&amp;D$43&amp;D$1&amp;"P"&amp;$A53))</f>
        <v>0</v>
      </c>
      <c r="E53" s="91">
        <f ca="1">IF(RTD("tos.rtd",,$A$2,"."&amp;E$43&amp;E$1&amp;"C"&amp;$A53)="N/A",0,RTD("tos.rtd",,$A$2,"."&amp;E$43&amp;E$1&amp;"C"&amp;$A53))-IF(RTD("tos.rtd",,$A$2,"."&amp;E$43&amp;E$1&amp;"P"&amp;$A53)="N/A",0,RTD("tos.rtd",,$A$2,"."&amp;E$43&amp;E$1&amp;"P"&amp;$A53))</f>
        <v>0</v>
      </c>
      <c r="F53" s="91">
        <f ca="1">IF(RTD("tos.rtd",,$A$2,"."&amp;F$43&amp;F$1&amp;"C"&amp;$A53)="N/A",0,RTD("tos.rtd",,$A$2,"."&amp;F$43&amp;F$1&amp;"C"&amp;$A53))-IF(RTD("tos.rtd",,$A$2,"."&amp;F$43&amp;F$1&amp;"P"&amp;$A53)="N/A",0,RTD("tos.rtd",,$A$2,"."&amp;F$43&amp;F$1&amp;"P"&amp;$A53))</f>
        <v>0</v>
      </c>
      <c r="G53" s="91">
        <f ca="1">IF(RTD("tos.rtd",,$A$2,"."&amp;G$43&amp;G$1&amp;"C"&amp;$A53)="N/A",0,RTD("tos.rtd",,$A$2,"."&amp;G$43&amp;G$1&amp;"C"&amp;$A53))-IF(RTD("tos.rtd",,$A$2,"."&amp;G$43&amp;G$1&amp;"P"&amp;$A53)="N/A",0,RTD("tos.rtd",,$A$2,"."&amp;G$43&amp;G$1&amp;"P"&amp;$A53))</f>
        <v>0</v>
      </c>
      <c r="H53" s="91">
        <f ca="1">IF(RTD("tos.rtd",,$A$2,"."&amp;H$43&amp;H$1&amp;"C"&amp;$A53)="N/A",0,RTD("tos.rtd",,$A$2,"."&amp;H$43&amp;H$1&amp;"C"&amp;$A53))-IF(RTD("tos.rtd",,$A$2,"."&amp;H$43&amp;H$1&amp;"P"&amp;$A53)="N/A",0,RTD("tos.rtd",,$A$2,"."&amp;H$43&amp;H$1&amp;"P"&amp;$A53))</f>
        <v>360</v>
      </c>
      <c r="I53" s="91">
        <f ca="1">IF(RTD("tos.rtd",,$A$2,"."&amp;I$43&amp;I$1&amp;"C"&amp;$A53)="N/A",0,RTD("tos.rtd",,$A$2,"."&amp;I$43&amp;I$1&amp;"C"&amp;$A53))-IF(RTD("tos.rtd",,$A$2,"."&amp;I$43&amp;I$1&amp;"P"&amp;$A53)="N/A",0,RTD("tos.rtd",,$A$2,"."&amp;I$43&amp;I$1&amp;"P"&amp;$A53))</f>
        <v>333</v>
      </c>
      <c r="J53" s="91">
        <f ca="1">IF(RTD("tos.rtd",,$A$2,"."&amp;J$43&amp;J$1&amp;"C"&amp;$A53)="N/A",0,RTD("tos.rtd",,$A$2,"."&amp;J$43&amp;J$1&amp;"C"&amp;$A53))-IF(RTD("tos.rtd",,$A$2,"."&amp;J$43&amp;J$1&amp;"P"&amp;$A53)="N/A",0,RTD("tos.rtd",,$A$2,"."&amp;J$43&amp;J$1&amp;"P"&amp;$A53))</f>
        <v>64</v>
      </c>
      <c r="K53" s="91">
        <f ca="1">IF(RTD("tos.rtd",,$A$2,"."&amp;K$43&amp;K$1&amp;"C"&amp;$A53)="N/A",0,RTD("tos.rtd",,$A$2,"."&amp;K$43&amp;K$1&amp;"C"&amp;$A53))-IF(RTD("tos.rtd",,$A$2,"."&amp;K$43&amp;K$1&amp;"P"&amp;$A53)="N/A",0,RTD("tos.rtd",,$A$2,"."&amp;K$43&amp;K$1&amp;"P"&amp;$A53))</f>
        <v>545</v>
      </c>
      <c r="L53" s="91">
        <f ca="1">IF(RTD("tos.rtd",,$A$2,"."&amp;L$43&amp;L$1&amp;"C"&amp;$A53)="N/A",0,RTD("tos.rtd",,$A$2,"."&amp;L$43&amp;L$1&amp;"C"&amp;$A53))-IF(RTD("tos.rtd",,$A$2,"."&amp;L$43&amp;L$1&amp;"P"&amp;$A53)="N/A",0,RTD("tos.rtd",,$A$2,"."&amp;L$43&amp;L$1&amp;"P"&amp;$A53))</f>
        <v>21</v>
      </c>
      <c r="M53" s="91">
        <f ca="1">IF(RTD("tos.rtd",,$A$2,"."&amp;M$43&amp;M$1&amp;"C"&amp;$A53)="N/A",0,RTD("tos.rtd",,$A$2,"."&amp;M$43&amp;M$1&amp;"C"&amp;$A53))-IF(RTD("tos.rtd",,$A$2,"."&amp;M$43&amp;M$1&amp;"P"&amp;$A53)="N/A",0,RTD("tos.rtd",,$A$2,"."&amp;M$43&amp;M$1&amp;"P"&amp;$A53))</f>
        <v>61</v>
      </c>
      <c r="N53" s="91">
        <f ca="1">IF(RTD("tos.rtd",,$A$2,"."&amp;N$43&amp;N$1&amp;"C"&amp;$A53)="N/A",0,RTD("tos.rtd",,$A$2,"."&amp;N$43&amp;N$1&amp;"C"&amp;$A53))-IF(RTD("tos.rtd",,$A$2,"."&amp;N$43&amp;N$1&amp;"P"&amp;$A53)="N/A",0,RTD("tos.rtd",,$A$2,"."&amp;N$43&amp;N$1&amp;"P"&amp;$A53))</f>
        <v>3</v>
      </c>
      <c r="O53" s="91">
        <f ca="1">IF(RTD("tos.rtd",,$A$2,"."&amp;O$43&amp;O$1&amp;"C"&amp;$A53)="N/A",0,RTD("tos.rtd",,$A$2,"."&amp;O$43&amp;O$1&amp;"C"&amp;$A53))-IF(RTD("tos.rtd",,$A$2,"."&amp;O$43&amp;O$1&amp;"P"&amp;$A53)="N/A",0,RTD("tos.rtd",,$A$2,"."&amp;O$43&amp;O$1&amp;"P"&amp;$A53))</f>
        <v>232</v>
      </c>
      <c r="P53" s="91">
        <f ca="1">IF(RTD("tos.rtd",,$A$2,"."&amp;P$43&amp;P$1&amp;"C"&amp;$A53)="N/A",0,RTD("tos.rtd",,$A$2,"."&amp;P$43&amp;P$1&amp;"C"&amp;$A53))-IF(RTD("tos.rtd",,$A$2,"."&amp;P$43&amp;P$1&amp;"P"&amp;$A53)="N/A",0,RTD("tos.rtd",,$A$2,"."&amp;P$43&amp;P$1&amp;"P"&amp;$A53))</f>
        <v>-5</v>
      </c>
      <c r="Q53" s="91">
        <f ca="1">IF(RTD("tos.rtd",,$A$2,"."&amp;Q$43&amp;Q$1&amp;"C"&amp;$A53)="N/A",0,RTD("tos.rtd",,$A$2,"."&amp;Q$43&amp;Q$1&amp;"C"&amp;$A53))-IF(RTD("tos.rtd",,$A$2,"."&amp;Q$43&amp;Q$1&amp;"P"&amp;$A53)="N/A",0,RTD("tos.rtd",,$A$2,"."&amp;Q$43&amp;Q$1&amp;"P"&amp;$A53))</f>
        <v>183</v>
      </c>
      <c r="R53" s="91">
        <f ca="1">IF(RTD("tos.rtd",,$A$2,"."&amp;R$43&amp;R$1&amp;"C"&amp;$A53)="N/A",0,RTD("tos.rtd",,$A$2,"."&amp;R$43&amp;R$1&amp;"C"&amp;$A53))-IF(RTD("tos.rtd",,$A$2,"."&amp;R$43&amp;R$1&amp;"P"&amp;$A53)="N/A",0,RTD("tos.rtd",,$A$2,"."&amp;R$43&amp;R$1&amp;"P"&amp;$A53))</f>
        <v>-5</v>
      </c>
      <c r="S53" s="91">
        <f ca="1">IF(RTD("tos.rtd",,$A$2,"."&amp;S$43&amp;S$1&amp;"C"&amp;$A53)="N/A",0,RTD("tos.rtd",,$A$2,"."&amp;S$43&amp;S$1&amp;"C"&amp;$A53))-IF(RTD("tos.rtd",,$A$2,"."&amp;S$43&amp;S$1&amp;"P"&amp;$A53)="N/A",0,RTD("tos.rtd",,$A$2,"."&amp;S$43&amp;S$1&amp;"P"&amp;$A53))</f>
        <v>0</v>
      </c>
      <c r="T53" s="91">
        <f ca="1">IF(RTD("tos.rtd",,$A$2,"."&amp;T$43&amp;T$1&amp;"C"&amp;$A53)="N/A",0,RTD("tos.rtd",,$A$2,"."&amp;T$43&amp;T$1&amp;"C"&amp;$A53))-IF(RTD("tos.rtd",,$A$2,"."&amp;T$43&amp;T$1&amp;"P"&amp;$A53)="N/A",0,RTD("tos.rtd",,$A$2,"."&amp;T$43&amp;T$1&amp;"P"&amp;$A53))</f>
        <v>0</v>
      </c>
      <c r="U53" s="91">
        <f ca="1">IF(RTD("tos.rtd",,$A$2,"."&amp;U$43&amp;U$1&amp;"C"&amp;$A53)="N/A",0,RTD("tos.rtd",,$A$2,"."&amp;U$43&amp;U$1&amp;"C"&amp;$A53))-IF(RTD("tos.rtd",,$A$2,"."&amp;U$43&amp;U$1&amp;"P"&amp;$A53)="N/A",0,RTD("tos.rtd",,$A$2,"."&amp;U$43&amp;U$1&amp;"P"&amp;$A53))</f>
        <v>17</v>
      </c>
      <c r="V53" s="91">
        <f ca="1">IF(RTD("tos.rtd",,$A$2,"."&amp;V$43&amp;V$1&amp;"C"&amp;$A53)="N/A",0,RTD("tos.rtd",,$A$2,"."&amp;V$43&amp;V$1&amp;"C"&amp;$A53))-IF(RTD("tos.rtd",,$A$2,"."&amp;V$43&amp;V$1&amp;"P"&amp;$A53)="N/A",0,RTD("tos.rtd",,$A$2,"."&amp;V$43&amp;V$1&amp;"P"&amp;$A53))</f>
        <v>0</v>
      </c>
      <c r="W53" s="91">
        <f ca="1">IF(RTD("tos.rtd",,$A$2,"."&amp;W$43&amp;W$1&amp;"C"&amp;$A53)="N/A",0,RTD("tos.rtd",,$A$2,"."&amp;W$43&amp;W$1&amp;"C"&amp;$A53))-IF(RTD("tos.rtd",,$A$2,"."&amp;W$43&amp;W$1&amp;"P"&amp;$A53)="N/A",0,RTD("tos.rtd",,$A$2,"."&amp;W$43&amp;W$1&amp;"P"&amp;$A53))</f>
        <v>0</v>
      </c>
      <c r="X53" s="91">
        <f ca="1">IF(RTD("tos.rtd",,$A$2,"."&amp;X$43&amp;X$1&amp;"C"&amp;$A53)="N/A",0,RTD("tos.rtd",,$A$2,"."&amp;X$43&amp;X$1&amp;"C"&amp;$A53))-IF(RTD("tos.rtd",,$A$2,"."&amp;X$43&amp;X$1&amp;"P"&amp;$A53)="N/A",0,RTD("tos.rtd",,$A$2,"."&amp;X$43&amp;X$1&amp;"P"&amp;$A53))</f>
        <v>0</v>
      </c>
      <c r="Y53" s="98">
        <f t="shared" ca="1" si="7"/>
        <v>1809</v>
      </c>
    </row>
    <row r="54" spans="1:25" x14ac:dyDescent="0.25">
      <c r="A54" s="93">
        <f>+Hoja1!A53</f>
        <v>494</v>
      </c>
      <c r="B54" s="91">
        <f ca="1">IF(RTD("tos.rtd",,$A$2,"."&amp;B$43&amp;B$1&amp;"C"&amp;$A54)="N/A",0,RTD("tos.rtd",,$A$2,"."&amp;B$43&amp;B$1&amp;"C"&amp;$A54))-IF(RTD("tos.rtd",,$A$2,"."&amp;B$43&amp;B$1&amp;"P"&amp;$A54)="N/A",0,RTD("tos.rtd",,$A$2,"."&amp;B$43&amp;B$1&amp;"P"&amp;$A54))</f>
        <v>0</v>
      </c>
      <c r="C54" s="91">
        <f ca="1">IF(RTD("tos.rtd",,$A$2,"."&amp;C$43&amp;C$1&amp;"C"&amp;$A54)="N/A",0,RTD("tos.rtd",,$A$2,"."&amp;C$43&amp;C$1&amp;"C"&amp;$A54))-IF(RTD("tos.rtd",,$A$2,"."&amp;C$43&amp;C$1&amp;"P"&amp;$A54)="N/A",0,RTD("tos.rtd",,$A$2,"."&amp;C$43&amp;C$1&amp;"P"&amp;$A54))</f>
        <v>0</v>
      </c>
      <c r="D54" s="91">
        <f ca="1">IF(RTD("tos.rtd",,$A$2,"."&amp;D$43&amp;D$1&amp;"C"&amp;$A54)="N/A",0,RTD("tos.rtd",,$A$2,"."&amp;D$43&amp;D$1&amp;"C"&amp;$A54))-IF(RTD("tos.rtd",,$A$2,"."&amp;D$43&amp;D$1&amp;"P"&amp;$A54)="N/A",0,RTD("tos.rtd",,$A$2,"."&amp;D$43&amp;D$1&amp;"P"&amp;$A54))</f>
        <v>0</v>
      </c>
      <c r="E54" s="91">
        <f ca="1">IF(RTD("tos.rtd",,$A$2,"."&amp;E$43&amp;E$1&amp;"C"&amp;$A54)="N/A",0,RTD("tos.rtd",,$A$2,"."&amp;E$43&amp;E$1&amp;"C"&amp;$A54))-IF(RTD("tos.rtd",,$A$2,"."&amp;E$43&amp;E$1&amp;"P"&amp;$A54)="N/A",0,RTD("tos.rtd",,$A$2,"."&amp;E$43&amp;E$1&amp;"P"&amp;$A54))</f>
        <v>0</v>
      </c>
      <c r="F54" s="91">
        <f ca="1">IF(RTD("tos.rtd",,$A$2,"."&amp;F$43&amp;F$1&amp;"C"&amp;$A54)="N/A",0,RTD("tos.rtd",,$A$2,"."&amp;F$43&amp;F$1&amp;"C"&amp;$A54))-IF(RTD("tos.rtd",,$A$2,"."&amp;F$43&amp;F$1&amp;"P"&amp;$A54)="N/A",0,RTD("tos.rtd",,$A$2,"."&amp;F$43&amp;F$1&amp;"P"&amp;$A54))</f>
        <v>0</v>
      </c>
      <c r="G54" s="91">
        <f ca="1">IF(RTD("tos.rtd",,$A$2,"."&amp;G$43&amp;G$1&amp;"C"&amp;$A54)="N/A",0,RTD("tos.rtd",,$A$2,"."&amp;G$43&amp;G$1&amp;"C"&amp;$A54))-IF(RTD("tos.rtd",,$A$2,"."&amp;G$43&amp;G$1&amp;"P"&amp;$A54)="N/A",0,RTD("tos.rtd",,$A$2,"."&amp;G$43&amp;G$1&amp;"P"&amp;$A54))</f>
        <v>0</v>
      </c>
      <c r="H54" s="91">
        <f ca="1">IF(RTD("tos.rtd",,$A$2,"."&amp;H$43&amp;H$1&amp;"C"&amp;$A54)="N/A",0,RTD("tos.rtd",,$A$2,"."&amp;H$43&amp;H$1&amp;"C"&amp;$A54))-IF(RTD("tos.rtd",,$A$2,"."&amp;H$43&amp;H$1&amp;"P"&amp;$A54)="N/A",0,RTD("tos.rtd",,$A$2,"."&amp;H$43&amp;H$1&amp;"P"&amp;$A54))</f>
        <v>-58</v>
      </c>
      <c r="I54" s="91">
        <f ca="1">IF(RTD("tos.rtd",,$A$2,"."&amp;I$43&amp;I$1&amp;"C"&amp;$A54)="N/A",0,RTD("tos.rtd",,$A$2,"."&amp;I$43&amp;I$1&amp;"C"&amp;$A54))-IF(RTD("tos.rtd",,$A$2,"."&amp;I$43&amp;I$1&amp;"P"&amp;$A54)="N/A",0,RTD("tos.rtd",,$A$2,"."&amp;I$43&amp;I$1&amp;"P"&amp;$A54))</f>
        <v>69</v>
      </c>
      <c r="J54" s="91">
        <f ca="1">IF(RTD("tos.rtd",,$A$2,"."&amp;J$43&amp;J$1&amp;"C"&amp;$A54)="N/A",0,RTD("tos.rtd",,$A$2,"."&amp;J$43&amp;J$1&amp;"C"&amp;$A54))-IF(RTD("tos.rtd",,$A$2,"."&amp;J$43&amp;J$1&amp;"P"&amp;$A54)="N/A",0,RTD("tos.rtd",,$A$2,"."&amp;J$43&amp;J$1&amp;"P"&amp;$A54))</f>
        <v>20</v>
      </c>
      <c r="K54" s="91">
        <f ca="1">IF(RTD("tos.rtd",,$A$2,"."&amp;K$43&amp;K$1&amp;"C"&amp;$A54)="N/A",0,RTD("tos.rtd",,$A$2,"."&amp;K$43&amp;K$1&amp;"C"&amp;$A54))-IF(RTD("tos.rtd",,$A$2,"."&amp;K$43&amp;K$1&amp;"P"&amp;$A54)="N/A",0,RTD("tos.rtd",,$A$2,"."&amp;K$43&amp;K$1&amp;"P"&amp;$A54))</f>
        <v>0</v>
      </c>
      <c r="L54" s="91">
        <f ca="1">IF(RTD("tos.rtd",,$A$2,"."&amp;L$43&amp;L$1&amp;"C"&amp;$A54)="N/A",0,RTD("tos.rtd",,$A$2,"."&amp;L$43&amp;L$1&amp;"C"&amp;$A54))-IF(RTD("tos.rtd",,$A$2,"."&amp;L$43&amp;L$1&amp;"P"&amp;$A54)="N/A",0,RTD("tos.rtd",,$A$2,"."&amp;L$43&amp;L$1&amp;"P"&amp;$A54))</f>
        <v>-3</v>
      </c>
      <c r="M54" s="91">
        <f ca="1">IF(RTD("tos.rtd",,$A$2,"."&amp;M$43&amp;M$1&amp;"C"&amp;$A54)="N/A",0,RTD("tos.rtd",,$A$2,"."&amp;M$43&amp;M$1&amp;"C"&amp;$A54))-IF(RTD("tos.rtd",,$A$2,"."&amp;M$43&amp;M$1&amp;"P"&amp;$A54)="N/A",0,RTD("tos.rtd",,$A$2,"."&amp;M$43&amp;M$1&amp;"P"&amp;$A54))</f>
        <v>0</v>
      </c>
      <c r="N54" s="91">
        <f ca="1">IF(RTD("tos.rtd",,$A$2,"."&amp;N$43&amp;N$1&amp;"C"&amp;$A54)="N/A",0,RTD("tos.rtd",,$A$2,"."&amp;N$43&amp;N$1&amp;"C"&amp;$A54))-IF(RTD("tos.rtd",,$A$2,"."&amp;N$43&amp;N$1&amp;"P"&amp;$A54)="N/A",0,RTD("tos.rtd",,$A$2,"."&amp;N$43&amp;N$1&amp;"P"&amp;$A54))</f>
        <v>1</v>
      </c>
      <c r="O54" s="91">
        <f ca="1">IF(RTD("tos.rtd",,$A$2,"."&amp;O$43&amp;O$1&amp;"C"&amp;$A54)="N/A",0,RTD("tos.rtd",,$A$2,"."&amp;O$43&amp;O$1&amp;"C"&amp;$A54))-IF(RTD("tos.rtd",,$A$2,"."&amp;O$43&amp;O$1&amp;"P"&amp;$A54)="N/A",0,RTD("tos.rtd",,$A$2,"."&amp;O$43&amp;O$1&amp;"P"&amp;$A54))</f>
        <v>0</v>
      </c>
      <c r="P54" s="91">
        <f ca="1">IF(RTD("tos.rtd",,$A$2,"."&amp;P$43&amp;P$1&amp;"C"&amp;$A54)="N/A",0,RTD("tos.rtd",,$A$2,"."&amp;P$43&amp;P$1&amp;"C"&amp;$A54))-IF(RTD("tos.rtd",,$A$2,"."&amp;P$43&amp;P$1&amp;"P"&amp;$A54)="N/A",0,RTD("tos.rtd",,$A$2,"."&amp;P$43&amp;P$1&amp;"P"&amp;$A54))</f>
        <v>0</v>
      </c>
      <c r="Q54" s="91">
        <f ca="1">IF(RTD("tos.rtd",,$A$2,"."&amp;Q$43&amp;Q$1&amp;"C"&amp;$A54)="N/A",0,RTD("tos.rtd",,$A$2,"."&amp;Q$43&amp;Q$1&amp;"C"&amp;$A54))-IF(RTD("tos.rtd",,$A$2,"."&amp;Q$43&amp;Q$1&amp;"P"&amp;$A54)="N/A",0,RTD("tos.rtd",,$A$2,"."&amp;Q$43&amp;Q$1&amp;"P"&amp;$A54))</f>
        <v>0</v>
      </c>
      <c r="R54" s="91">
        <f ca="1">IF(RTD("tos.rtd",,$A$2,"."&amp;R$43&amp;R$1&amp;"C"&amp;$A54)="N/A",0,RTD("tos.rtd",,$A$2,"."&amp;R$43&amp;R$1&amp;"C"&amp;$A54))-IF(RTD("tos.rtd",,$A$2,"."&amp;R$43&amp;R$1&amp;"P"&amp;$A54)="N/A",0,RTD("tos.rtd",,$A$2,"."&amp;R$43&amp;R$1&amp;"P"&amp;$A54))</f>
        <v>0</v>
      </c>
      <c r="S54" s="91">
        <f ca="1">IF(RTD("tos.rtd",,$A$2,"."&amp;S$43&amp;S$1&amp;"C"&amp;$A54)="N/A",0,RTD("tos.rtd",,$A$2,"."&amp;S$43&amp;S$1&amp;"C"&amp;$A54))-IF(RTD("tos.rtd",,$A$2,"."&amp;S$43&amp;S$1&amp;"P"&amp;$A54)="N/A",0,RTD("tos.rtd",,$A$2,"."&amp;S$43&amp;S$1&amp;"P"&amp;$A54))</f>
        <v>0</v>
      </c>
      <c r="T54" s="91">
        <f ca="1">IF(RTD("tos.rtd",,$A$2,"."&amp;T$43&amp;T$1&amp;"C"&amp;$A54)="N/A",0,RTD("tos.rtd",,$A$2,"."&amp;T$43&amp;T$1&amp;"C"&amp;$A54))-IF(RTD("tos.rtd",,$A$2,"."&amp;T$43&amp;T$1&amp;"P"&amp;$A54)="N/A",0,RTD("tos.rtd",,$A$2,"."&amp;T$43&amp;T$1&amp;"P"&amp;$A54))</f>
        <v>0</v>
      </c>
      <c r="U54" s="91">
        <f ca="1">IF(RTD("tos.rtd",,$A$2,"."&amp;U$43&amp;U$1&amp;"C"&amp;$A54)="N/A",0,RTD("tos.rtd",,$A$2,"."&amp;U$43&amp;U$1&amp;"C"&amp;$A54))-IF(RTD("tos.rtd",,$A$2,"."&amp;U$43&amp;U$1&amp;"P"&amp;$A54)="N/A",0,RTD("tos.rtd",,$A$2,"."&amp;U$43&amp;U$1&amp;"P"&amp;$A54))</f>
        <v>0</v>
      </c>
      <c r="V54" s="91">
        <f ca="1">IF(RTD("tos.rtd",,$A$2,"."&amp;V$43&amp;V$1&amp;"C"&amp;$A54)="N/A",0,RTD("tos.rtd",,$A$2,"."&amp;V$43&amp;V$1&amp;"C"&amp;$A54))-IF(RTD("tos.rtd",,$A$2,"."&amp;V$43&amp;V$1&amp;"P"&amp;$A54)="N/A",0,RTD("tos.rtd",,$A$2,"."&amp;V$43&amp;V$1&amp;"P"&amp;$A54))</f>
        <v>0</v>
      </c>
      <c r="W54" s="91">
        <f ca="1">IF(RTD("tos.rtd",,$A$2,"."&amp;W$43&amp;W$1&amp;"C"&amp;$A54)="N/A",0,RTD("tos.rtd",,$A$2,"."&amp;W$43&amp;W$1&amp;"C"&amp;$A54))-IF(RTD("tos.rtd",,$A$2,"."&amp;W$43&amp;W$1&amp;"P"&amp;$A54)="N/A",0,RTD("tos.rtd",,$A$2,"."&amp;W$43&amp;W$1&amp;"P"&amp;$A54))</f>
        <v>0</v>
      </c>
      <c r="X54" s="91">
        <f ca="1">IF(RTD("tos.rtd",,$A$2,"."&amp;X$43&amp;X$1&amp;"C"&amp;$A54)="N/A",0,RTD("tos.rtd",,$A$2,"."&amp;X$43&amp;X$1&amp;"C"&amp;$A54))-IF(RTD("tos.rtd",,$A$2,"."&amp;X$43&amp;X$1&amp;"P"&amp;$A54)="N/A",0,RTD("tos.rtd",,$A$2,"."&amp;X$43&amp;X$1&amp;"P"&amp;$A54))</f>
        <v>0</v>
      </c>
      <c r="Y54" s="98">
        <f t="shared" ca="1" si="7"/>
        <v>29</v>
      </c>
    </row>
    <row r="55" spans="1:25" x14ac:dyDescent="0.25">
      <c r="A55" s="93">
        <f>+Hoja1!A54</f>
        <v>493</v>
      </c>
      <c r="B55" s="91">
        <f ca="1">IF(RTD("tos.rtd",,$A$2,"."&amp;B$43&amp;B$1&amp;"C"&amp;$A55)="N/A",0,RTD("tos.rtd",,$A$2,"."&amp;B$43&amp;B$1&amp;"C"&amp;$A55))-IF(RTD("tos.rtd",,$A$2,"."&amp;B$43&amp;B$1&amp;"P"&amp;$A55)="N/A",0,RTD("tos.rtd",,$A$2,"."&amp;B$43&amp;B$1&amp;"P"&amp;$A55))</f>
        <v>0</v>
      </c>
      <c r="C55" s="91">
        <f ca="1">IF(RTD("tos.rtd",,$A$2,"."&amp;C$43&amp;C$1&amp;"C"&amp;$A55)="N/A",0,RTD("tos.rtd",,$A$2,"."&amp;C$43&amp;C$1&amp;"C"&amp;$A55))-IF(RTD("tos.rtd",,$A$2,"."&amp;C$43&amp;C$1&amp;"P"&amp;$A55)="N/A",0,RTD("tos.rtd",,$A$2,"."&amp;C$43&amp;C$1&amp;"P"&amp;$A55))</f>
        <v>0</v>
      </c>
      <c r="D55" s="91">
        <f ca="1">IF(RTD("tos.rtd",,$A$2,"."&amp;D$43&amp;D$1&amp;"C"&amp;$A55)="N/A",0,RTD("tos.rtd",,$A$2,"."&amp;D$43&amp;D$1&amp;"C"&amp;$A55))-IF(RTD("tos.rtd",,$A$2,"."&amp;D$43&amp;D$1&amp;"P"&amp;$A55)="N/A",0,RTD("tos.rtd",,$A$2,"."&amp;D$43&amp;D$1&amp;"P"&amp;$A55))</f>
        <v>0</v>
      </c>
      <c r="E55" s="91">
        <f ca="1">IF(RTD("tos.rtd",,$A$2,"."&amp;E$43&amp;E$1&amp;"C"&amp;$A55)="N/A",0,RTD("tos.rtd",,$A$2,"."&amp;E$43&amp;E$1&amp;"C"&amp;$A55))-IF(RTD("tos.rtd",,$A$2,"."&amp;E$43&amp;E$1&amp;"P"&amp;$A55)="N/A",0,RTD("tos.rtd",,$A$2,"."&amp;E$43&amp;E$1&amp;"P"&amp;$A55))</f>
        <v>0</v>
      </c>
      <c r="F55" s="91">
        <f ca="1">IF(RTD("tos.rtd",,$A$2,"."&amp;F$43&amp;F$1&amp;"C"&amp;$A55)="N/A",0,RTD("tos.rtd",,$A$2,"."&amp;F$43&amp;F$1&amp;"C"&amp;$A55))-IF(RTD("tos.rtd",,$A$2,"."&amp;F$43&amp;F$1&amp;"P"&amp;$A55)="N/A",0,RTD("tos.rtd",,$A$2,"."&amp;F$43&amp;F$1&amp;"P"&amp;$A55))</f>
        <v>0</v>
      </c>
      <c r="G55" s="91">
        <f ca="1">IF(RTD("tos.rtd",,$A$2,"."&amp;G$43&amp;G$1&amp;"C"&amp;$A55)="N/A",0,RTD("tos.rtd",,$A$2,"."&amp;G$43&amp;G$1&amp;"C"&amp;$A55))-IF(RTD("tos.rtd",,$A$2,"."&amp;G$43&amp;G$1&amp;"P"&amp;$A55)="N/A",0,RTD("tos.rtd",,$A$2,"."&amp;G$43&amp;G$1&amp;"P"&amp;$A55))</f>
        <v>0</v>
      </c>
      <c r="H55" s="91">
        <f ca="1">IF(RTD("tos.rtd",,$A$2,"."&amp;H$43&amp;H$1&amp;"C"&amp;$A55)="N/A",0,RTD("tos.rtd",,$A$2,"."&amp;H$43&amp;H$1&amp;"C"&amp;$A55))-IF(RTD("tos.rtd",,$A$2,"."&amp;H$43&amp;H$1&amp;"P"&amp;$A55)="N/A",0,RTD("tos.rtd",,$A$2,"."&amp;H$43&amp;H$1&amp;"P"&amp;$A55))</f>
        <v>21</v>
      </c>
      <c r="I55" s="91">
        <f ca="1">IF(RTD("tos.rtd",,$A$2,"."&amp;I$43&amp;I$1&amp;"C"&amp;$A55)="N/A",0,RTD("tos.rtd",,$A$2,"."&amp;I$43&amp;I$1&amp;"C"&amp;$A55))-IF(RTD("tos.rtd",,$A$2,"."&amp;I$43&amp;I$1&amp;"P"&amp;$A55)="N/A",0,RTD("tos.rtd",,$A$2,"."&amp;I$43&amp;I$1&amp;"P"&amp;$A55))</f>
        <v>-3</v>
      </c>
      <c r="J55" s="91">
        <f ca="1">IF(RTD("tos.rtd",,$A$2,"."&amp;J$43&amp;J$1&amp;"C"&amp;$A55)="N/A",0,RTD("tos.rtd",,$A$2,"."&amp;J$43&amp;J$1&amp;"C"&amp;$A55))-IF(RTD("tos.rtd",,$A$2,"."&amp;J$43&amp;J$1&amp;"P"&amp;$A55)="N/A",0,RTD("tos.rtd",,$A$2,"."&amp;J$43&amp;J$1&amp;"P"&amp;$A55))</f>
        <v>24</v>
      </c>
      <c r="K55" s="91">
        <f ca="1">IF(RTD("tos.rtd",,$A$2,"."&amp;K$43&amp;K$1&amp;"C"&amp;$A55)="N/A",0,RTD("tos.rtd",,$A$2,"."&amp;K$43&amp;K$1&amp;"C"&amp;$A55))-IF(RTD("tos.rtd",,$A$2,"."&amp;K$43&amp;K$1&amp;"P"&amp;$A55)="N/A",0,RTD("tos.rtd",,$A$2,"."&amp;K$43&amp;K$1&amp;"P"&amp;$A55))</f>
        <v>0</v>
      </c>
      <c r="L55" s="91">
        <f ca="1">IF(RTD("tos.rtd",,$A$2,"."&amp;L$43&amp;L$1&amp;"C"&amp;$A55)="N/A",0,RTD("tos.rtd",,$A$2,"."&amp;L$43&amp;L$1&amp;"C"&amp;$A55))-IF(RTD("tos.rtd",,$A$2,"."&amp;L$43&amp;L$1&amp;"P"&amp;$A55)="N/A",0,RTD("tos.rtd",,$A$2,"."&amp;L$43&amp;L$1&amp;"P"&amp;$A55))</f>
        <v>0</v>
      </c>
      <c r="M55" s="91">
        <f ca="1">IF(RTD("tos.rtd",,$A$2,"."&amp;M$43&amp;M$1&amp;"C"&amp;$A55)="N/A",0,RTD("tos.rtd",,$A$2,"."&amp;M$43&amp;M$1&amp;"C"&amp;$A55))-IF(RTD("tos.rtd",,$A$2,"."&amp;M$43&amp;M$1&amp;"P"&amp;$A55)="N/A",0,RTD("tos.rtd",,$A$2,"."&amp;M$43&amp;M$1&amp;"P"&amp;$A55))</f>
        <v>0</v>
      </c>
      <c r="N55" s="91">
        <f ca="1">IF(RTD("tos.rtd",,$A$2,"."&amp;N$43&amp;N$1&amp;"C"&amp;$A55)="N/A",0,RTD("tos.rtd",,$A$2,"."&amp;N$43&amp;N$1&amp;"C"&amp;$A55))-IF(RTD("tos.rtd",,$A$2,"."&amp;N$43&amp;N$1&amp;"P"&amp;$A55)="N/A",0,RTD("tos.rtd",,$A$2,"."&amp;N$43&amp;N$1&amp;"P"&amp;$A55))</f>
        <v>0</v>
      </c>
      <c r="O55" s="91">
        <f ca="1">IF(RTD("tos.rtd",,$A$2,"."&amp;O$43&amp;O$1&amp;"C"&amp;$A55)="N/A",0,RTD("tos.rtd",,$A$2,"."&amp;O$43&amp;O$1&amp;"C"&amp;$A55))-IF(RTD("tos.rtd",,$A$2,"."&amp;O$43&amp;O$1&amp;"P"&amp;$A55)="N/A",0,RTD("tos.rtd",,$A$2,"."&amp;O$43&amp;O$1&amp;"P"&amp;$A55))</f>
        <v>0</v>
      </c>
      <c r="P55" s="91">
        <f ca="1">IF(RTD("tos.rtd",,$A$2,"."&amp;P$43&amp;P$1&amp;"C"&amp;$A55)="N/A",0,RTD("tos.rtd",,$A$2,"."&amp;P$43&amp;P$1&amp;"C"&amp;$A55))-IF(RTD("tos.rtd",,$A$2,"."&amp;P$43&amp;P$1&amp;"P"&amp;$A55)="N/A",0,RTD("tos.rtd",,$A$2,"."&amp;P$43&amp;P$1&amp;"P"&amp;$A55))</f>
        <v>0</v>
      </c>
      <c r="Q55" s="91">
        <f ca="1">IF(RTD("tos.rtd",,$A$2,"."&amp;Q$43&amp;Q$1&amp;"C"&amp;$A55)="N/A",0,RTD("tos.rtd",,$A$2,"."&amp;Q$43&amp;Q$1&amp;"C"&amp;$A55))-IF(RTD("tos.rtd",,$A$2,"."&amp;Q$43&amp;Q$1&amp;"P"&amp;$A55)="N/A",0,RTD("tos.rtd",,$A$2,"."&amp;Q$43&amp;Q$1&amp;"P"&amp;$A55))</f>
        <v>0</v>
      </c>
      <c r="R55" s="91">
        <f ca="1">IF(RTD("tos.rtd",,$A$2,"."&amp;R$43&amp;R$1&amp;"C"&amp;$A55)="N/A",0,RTD("tos.rtd",,$A$2,"."&amp;R$43&amp;R$1&amp;"C"&amp;$A55))-IF(RTD("tos.rtd",,$A$2,"."&amp;R$43&amp;R$1&amp;"P"&amp;$A55)="N/A",0,RTD("tos.rtd",,$A$2,"."&amp;R$43&amp;R$1&amp;"P"&amp;$A55))</f>
        <v>0</v>
      </c>
      <c r="S55" s="91">
        <f ca="1">IF(RTD("tos.rtd",,$A$2,"."&amp;S$43&amp;S$1&amp;"C"&amp;$A55)="N/A",0,RTD("tos.rtd",,$A$2,"."&amp;S$43&amp;S$1&amp;"C"&amp;$A55))-IF(RTD("tos.rtd",,$A$2,"."&amp;S$43&amp;S$1&amp;"P"&amp;$A55)="N/A",0,RTD("tos.rtd",,$A$2,"."&amp;S$43&amp;S$1&amp;"P"&amp;$A55))</f>
        <v>0</v>
      </c>
      <c r="T55" s="91">
        <f ca="1">IF(RTD("tos.rtd",,$A$2,"."&amp;T$43&amp;T$1&amp;"C"&amp;$A55)="N/A",0,RTD("tos.rtd",,$A$2,"."&amp;T$43&amp;T$1&amp;"C"&amp;$A55))-IF(RTD("tos.rtd",,$A$2,"."&amp;T$43&amp;T$1&amp;"P"&amp;$A55)="N/A",0,RTD("tos.rtd",,$A$2,"."&amp;T$43&amp;T$1&amp;"P"&amp;$A55))</f>
        <v>0</v>
      </c>
      <c r="U55" s="91">
        <f ca="1">IF(RTD("tos.rtd",,$A$2,"."&amp;U$43&amp;U$1&amp;"C"&amp;$A55)="N/A",0,RTD("tos.rtd",,$A$2,"."&amp;U$43&amp;U$1&amp;"C"&amp;$A55))-IF(RTD("tos.rtd",,$A$2,"."&amp;U$43&amp;U$1&amp;"P"&amp;$A55)="N/A",0,RTD("tos.rtd",,$A$2,"."&amp;U$43&amp;U$1&amp;"P"&amp;$A55))</f>
        <v>0</v>
      </c>
      <c r="V55" s="91">
        <f ca="1">IF(RTD("tos.rtd",,$A$2,"."&amp;V$43&amp;V$1&amp;"C"&amp;$A55)="N/A",0,RTD("tos.rtd",,$A$2,"."&amp;V$43&amp;V$1&amp;"C"&amp;$A55))-IF(RTD("tos.rtd",,$A$2,"."&amp;V$43&amp;V$1&amp;"P"&amp;$A55)="N/A",0,RTD("tos.rtd",,$A$2,"."&amp;V$43&amp;V$1&amp;"P"&amp;$A55))</f>
        <v>0</v>
      </c>
      <c r="W55" s="91">
        <f ca="1">IF(RTD("tos.rtd",,$A$2,"."&amp;W$43&amp;W$1&amp;"C"&amp;$A55)="N/A",0,RTD("tos.rtd",,$A$2,"."&amp;W$43&amp;W$1&amp;"C"&amp;$A55))-IF(RTD("tos.rtd",,$A$2,"."&amp;W$43&amp;W$1&amp;"P"&amp;$A55)="N/A",0,RTD("tos.rtd",,$A$2,"."&amp;W$43&amp;W$1&amp;"P"&amp;$A55))</f>
        <v>0</v>
      </c>
      <c r="X55" s="91">
        <f ca="1">IF(RTD("tos.rtd",,$A$2,"."&amp;X$43&amp;X$1&amp;"C"&amp;$A55)="N/A",0,RTD("tos.rtd",,$A$2,"."&amp;X$43&amp;X$1&amp;"C"&amp;$A55))-IF(RTD("tos.rtd",,$A$2,"."&amp;X$43&amp;X$1&amp;"P"&amp;$A55)="N/A",0,RTD("tos.rtd",,$A$2,"."&amp;X$43&amp;X$1&amp;"P"&amp;$A55))</f>
        <v>2</v>
      </c>
      <c r="Y55" s="98">
        <f t="shared" ca="1" si="7"/>
        <v>44</v>
      </c>
    </row>
    <row r="56" spans="1:25" x14ac:dyDescent="0.25">
      <c r="A56" s="93">
        <f>+Hoja1!A55</f>
        <v>492</v>
      </c>
      <c r="B56" s="91">
        <f ca="1">IF(RTD("tos.rtd",,$A$2,"."&amp;B$43&amp;B$1&amp;"C"&amp;$A56)="N/A",0,RTD("tos.rtd",,$A$2,"."&amp;B$43&amp;B$1&amp;"C"&amp;$A56))-IF(RTD("tos.rtd",,$A$2,"."&amp;B$43&amp;B$1&amp;"P"&amp;$A56)="N/A",0,RTD("tos.rtd",,$A$2,"."&amp;B$43&amp;B$1&amp;"P"&amp;$A56))</f>
        <v>0</v>
      </c>
      <c r="C56" s="91">
        <f ca="1">IF(RTD("tos.rtd",,$A$2,"."&amp;C$43&amp;C$1&amp;"C"&amp;$A56)="N/A",0,RTD("tos.rtd",,$A$2,"."&amp;C$43&amp;C$1&amp;"C"&amp;$A56))-IF(RTD("tos.rtd",,$A$2,"."&amp;C$43&amp;C$1&amp;"P"&amp;$A56)="N/A",0,RTD("tos.rtd",,$A$2,"."&amp;C$43&amp;C$1&amp;"P"&amp;$A56))</f>
        <v>0</v>
      </c>
      <c r="D56" s="91">
        <f ca="1">IF(RTD("tos.rtd",,$A$2,"."&amp;D$43&amp;D$1&amp;"C"&amp;$A56)="N/A",0,RTD("tos.rtd",,$A$2,"."&amp;D$43&amp;D$1&amp;"C"&amp;$A56))-IF(RTD("tos.rtd",,$A$2,"."&amp;D$43&amp;D$1&amp;"P"&amp;$A56)="N/A",0,RTD("tos.rtd",,$A$2,"."&amp;D$43&amp;D$1&amp;"P"&amp;$A56))</f>
        <v>0</v>
      </c>
      <c r="E56" s="91">
        <f ca="1">IF(RTD("tos.rtd",,$A$2,"."&amp;E$43&amp;E$1&amp;"C"&amp;$A56)="N/A",0,RTD("tos.rtd",,$A$2,"."&amp;E$43&amp;E$1&amp;"C"&amp;$A56))-IF(RTD("tos.rtd",,$A$2,"."&amp;E$43&amp;E$1&amp;"P"&amp;$A56)="N/A",0,RTD("tos.rtd",,$A$2,"."&amp;E$43&amp;E$1&amp;"P"&amp;$A56))</f>
        <v>0</v>
      </c>
      <c r="F56" s="91">
        <f ca="1">IF(RTD("tos.rtd",,$A$2,"."&amp;F$43&amp;F$1&amp;"C"&amp;$A56)="N/A",0,RTD("tos.rtd",,$A$2,"."&amp;F$43&amp;F$1&amp;"C"&amp;$A56))-IF(RTD("tos.rtd",,$A$2,"."&amp;F$43&amp;F$1&amp;"P"&amp;$A56)="N/A",0,RTD("tos.rtd",,$A$2,"."&amp;F$43&amp;F$1&amp;"P"&amp;$A56))</f>
        <v>0</v>
      </c>
      <c r="G56" s="91">
        <f ca="1">IF(RTD("tos.rtd",,$A$2,"."&amp;G$43&amp;G$1&amp;"C"&amp;$A56)="N/A",0,RTD("tos.rtd",,$A$2,"."&amp;G$43&amp;G$1&amp;"C"&amp;$A56))-IF(RTD("tos.rtd",,$A$2,"."&amp;G$43&amp;G$1&amp;"P"&amp;$A56)="N/A",0,RTD("tos.rtd",,$A$2,"."&amp;G$43&amp;G$1&amp;"P"&amp;$A56))</f>
        <v>0</v>
      </c>
      <c r="H56" s="91">
        <f ca="1">IF(RTD("tos.rtd",,$A$2,"."&amp;H$43&amp;H$1&amp;"C"&amp;$A56)="N/A",0,RTD("tos.rtd",,$A$2,"."&amp;H$43&amp;H$1&amp;"C"&amp;$A56))-IF(RTD("tos.rtd",,$A$2,"."&amp;H$43&amp;H$1&amp;"P"&amp;$A56)="N/A",0,RTD("tos.rtd",,$A$2,"."&amp;H$43&amp;H$1&amp;"P"&amp;$A56))</f>
        <v>90</v>
      </c>
      <c r="I56" s="91">
        <f ca="1">IF(RTD("tos.rtd",,$A$2,"."&amp;I$43&amp;I$1&amp;"C"&amp;$A56)="N/A",0,RTD("tos.rtd",,$A$2,"."&amp;I$43&amp;I$1&amp;"C"&amp;$A56))-IF(RTD("tos.rtd",,$A$2,"."&amp;I$43&amp;I$1&amp;"P"&amp;$A56)="N/A",0,RTD("tos.rtd",,$A$2,"."&amp;I$43&amp;I$1&amp;"P"&amp;$A56))</f>
        <v>-148</v>
      </c>
      <c r="J56" s="91">
        <f ca="1">IF(RTD("tos.rtd",,$A$2,"."&amp;J$43&amp;J$1&amp;"C"&amp;$A56)="N/A",0,RTD("tos.rtd",,$A$2,"."&amp;J$43&amp;J$1&amp;"C"&amp;$A56))-IF(RTD("tos.rtd",,$A$2,"."&amp;J$43&amp;J$1&amp;"P"&amp;$A56)="N/A",0,RTD("tos.rtd",,$A$2,"."&amp;J$43&amp;J$1&amp;"P"&amp;$A56))</f>
        <v>-34</v>
      </c>
      <c r="K56" s="91">
        <f ca="1">IF(RTD("tos.rtd",,$A$2,"."&amp;K$43&amp;K$1&amp;"C"&amp;$A56)="N/A",0,RTD("tos.rtd",,$A$2,"."&amp;K$43&amp;K$1&amp;"C"&amp;$A56))-IF(RTD("tos.rtd",,$A$2,"."&amp;K$43&amp;K$1&amp;"P"&amp;$A56)="N/A",0,RTD("tos.rtd",,$A$2,"."&amp;K$43&amp;K$1&amp;"P"&amp;$A56))</f>
        <v>0</v>
      </c>
      <c r="L56" s="91">
        <f ca="1">IF(RTD("tos.rtd",,$A$2,"."&amp;L$43&amp;L$1&amp;"C"&amp;$A56)="N/A",0,RTD("tos.rtd",,$A$2,"."&amp;L$43&amp;L$1&amp;"C"&amp;$A56))-IF(RTD("tos.rtd",,$A$2,"."&amp;L$43&amp;L$1&amp;"P"&amp;$A56)="N/A",0,RTD("tos.rtd",,$A$2,"."&amp;L$43&amp;L$1&amp;"P"&amp;$A56))</f>
        <v>48</v>
      </c>
      <c r="M56" s="91">
        <f ca="1">IF(RTD("tos.rtd",,$A$2,"."&amp;M$43&amp;M$1&amp;"C"&amp;$A56)="N/A",0,RTD("tos.rtd",,$A$2,"."&amp;M$43&amp;M$1&amp;"C"&amp;$A56))-IF(RTD("tos.rtd",,$A$2,"."&amp;M$43&amp;M$1&amp;"P"&amp;$A56)="N/A",0,RTD("tos.rtd",,$A$2,"."&amp;M$43&amp;M$1&amp;"P"&amp;$A56))</f>
        <v>0</v>
      </c>
      <c r="N56" s="91">
        <f ca="1">IF(RTD("tos.rtd",,$A$2,"."&amp;N$43&amp;N$1&amp;"C"&amp;$A56)="N/A",0,RTD("tos.rtd",,$A$2,"."&amp;N$43&amp;N$1&amp;"C"&amp;$A56))-IF(RTD("tos.rtd",,$A$2,"."&amp;N$43&amp;N$1&amp;"P"&amp;$A56)="N/A",0,RTD("tos.rtd",,$A$2,"."&amp;N$43&amp;N$1&amp;"P"&amp;$A56))</f>
        <v>0</v>
      </c>
      <c r="O56" s="91">
        <f ca="1">IF(RTD("tos.rtd",,$A$2,"."&amp;O$43&amp;O$1&amp;"C"&amp;$A56)="N/A",0,RTD("tos.rtd",,$A$2,"."&amp;O$43&amp;O$1&amp;"C"&amp;$A56))-IF(RTD("tos.rtd",,$A$2,"."&amp;O$43&amp;O$1&amp;"P"&amp;$A56)="N/A",0,RTD("tos.rtd",,$A$2,"."&amp;O$43&amp;O$1&amp;"P"&amp;$A56))</f>
        <v>0</v>
      </c>
      <c r="P56" s="91">
        <f ca="1">IF(RTD("tos.rtd",,$A$2,"."&amp;P$43&amp;P$1&amp;"C"&amp;$A56)="N/A",0,RTD("tos.rtd",,$A$2,"."&amp;P$43&amp;P$1&amp;"C"&amp;$A56))-IF(RTD("tos.rtd",,$A$2,"."&amp;P$43&amp;P$1&amp;"P"&amp;$A56)="N/A",0,RTD("tos.rtd",,$A$2,"."&amp;P$43&amp;P$1&amp;"P"&amp;$A56))</f>
        <v>0</v>
      </c>
      <c r="Q56" s="91">
        <f ca="1">IF(RTD("tos.rtd",,$A$2,"."&amp;Q$43&amp;Q$1&amp;"C"&amp;$A56)="N/A",0,RTD("tos.rtd",,$A$2,"."&amp;Q$43&amp;Q$1&amp;"C"&amp;$A56))-IF(RTD("tos.rtd",,$A$2,"."&amp;Q$43&amp;Q$1&amp;"P"&amp;$A56)="N/A",0,RTD("tos.rtd",,$A$2,"."&amp;Q$43&amp;Q$1&amp;"P"&amp;$A56))</f>
        <v>0</v>
      </c>
      <c r="R56" s="91">
        <f ca="1">IF(RTD("tos.rtd",,$A$2,"."&amp;R$43&amp;R$1&amp;"C"&amp;$A56)="N/A",0,RTD("tos.rtd",,$A$2,"."&amp;R$43&amp;R$1&amp;"C"&amp;$A56))-IF(RTD("tos.rtd",,$A$2,"."&amp;R$43&amp;R$1&amp;"P"&amp;$A56)="N/A",0,RTD("tos.rtd",,$A$2,"."&amp;R$43&amp;R$1&amp;"P"&amp;$A56))</f>
        <v>5</v>
      </c>
      <c r="S56" s="91">
        <f ca="1">IF(RTD("tos.rtd",,$A$2,"."&amp;S$43&amp;S$1&amp;"C"&amp;$A56)="N/A",0,RTD("tos.rtd",,$A$2,"."&amp;S$43&amp;S$1&amp;"C"&amp;$A56))-IF(RTD("tos.rtd",,$A$2,"."&amp;S$43&amp;S$1&amp;"P"&amp;$A56)="N/A",0,RTD("tos.rtd",,$A$2,"."&amp;S$43&amp;S$1&amp;"P"&amp;$A56))</f>
        <v>0</v>
      </c>
      <c r="T56" s="91">
        <f ca="1">IF(RTD("tos.rtd",,$A$2,"."&amp;T$43&amp;T$1&amp;"C"&amp;$A56)="N/A",0,RTD("tos.rtd",,$A$2,"."&amp;T$43&amp;T$1&amp;"C"&amp;$A56))-IF(RTD("tos.rtd",,$A$2,"."&amp;T$43&amp;T$1&amp;"P"&amp;$A56)="N/A",0,RTD("tos.rtd",,$A$2,"."&amp;T$43&amp;T$1&amp;"P"&amp;$A56))</f>
        <v>0</v>
      </c>
      <c r="U56" s="91">
        <f ca="1">IF(RTD("tos.rtd",,$A$2,"."&amp;U$43&amp;U$1&amp;"C"&amp;$A56)="N/A",0,RTD("tos.rtd",,$A$2,"."&amp;U$43&amp;U$1&amp;"C"&amp;$A56))-IF(RTD("tos.rtd",,$A$2,"."&amp;U$43&amp;U$1&amp;"P"&amp;$A56)="N/A",0,RTD("tos.rtd",,$A$2,"."&amp;U$43&amp;U$1&amp;"P"&amp;$A56))</f>
        <v>0</v>
      </c>
      <c r="V56" s="91">
        <f ca="1">IF(RTD("tos.rtd",,$A$2,"."&amp;V$43&amp;V$1&amp;"C"&amp;$A56)="N/A",0,RTD("tos.rtd",,$A$2,"."&amp;V$43&amp;V$1&amp;"C"&amp;$A56))-IF(RTD("tos.rtd",,$A$2,"."&amp;V$43&amp;V$1&amp;"P"&amp;$A56)="N/A",0,RTD("tos.rtd",,$A$2,"."&amp;V$43&amp;V$1&amp;"P"&amp;$A56))</f>
        <v>0</v>
      </c>
      <c r="W56" s="91">
        <f ca="1">IF(RTD("tos.rtd",,$A$2,"."&amp;W$43&amp;W$1&amp;"C"&amp;$A56)="N/A",0,RTD("tos.rtd",,$A$2,"."&amp;W$43&amp;W$1&amp;"C"&amp;$A56))-IF(RTD("tos.rtd",,$A$2,"."&amp;W$43&amp;W$1&amp;"P"&amp;$A56)="N/A",0,RTD("tos.rtd",,$A$2,"."&amp;W$43&amp;W$1&amp;"P"&amp;$A56))</f>
        <v>0</v>
      </c>
      <c r="X56" s="91">
        <f ca="1">IF(RTD("tos.rtd",,$A$2,"."&amp;X$43&amp;X$1&amp;"C"&amp;$A56)="N/A",0,RTD("tos.rtd",,$A$2,"."&amp;X$43&amp;X$1&amp;"C"&amp;$A56))-IF(RTD("tos.rtd",,$A$2,"."&amp;X$43&amp;X$1&amp;"P"&amp;$A56)="N/A",0,RTD("tos.rtd",,$A$2,"."&amp;X$43&amp;X$1&amp;"P"&amp;$A56))</f>
        <v>0</v>
      </c>
      <c r="Y56" s="98">
        <f t="shared" ca="1" si="7"/>
        <v>-39</v>
      </c>
    </row>
    <row r="57" spans="1:25" x14ac:dyDescent="0.25">
      <c r="A57" s="93">
        <f>+Hoja1!A56</f>
        <v>491</v>
      </c>
      <c r="B57" s="91">
        <f ca="1">IF(RTD("tos.rtd",,$A$2,"."&amp;B$43&amp;B$1&amp;"C"&amp;$A57)="N/A",0,RTD("tos.rtd",,$A$2,"."&amp;B$43&amp;B$1&amp;"C"&amp;$A57))-IF(RTD("tos.rtd",,$A$2,"."&amp;B$43&amp;B$1&amp;"P"&amp;$A57)="N/A",0,RTD("tos.rtd",,$A$2,"."&amp;B$43&amp;B$1&amp;"P"&amp;$A57))</f>
        <v>0</v>
      </c>
      <c r="C57" s="91">
        <f ca="1">IF(RTD("tos.rtd",,$A$2,"."&amp;C$43&amp;C$1&amp;"C"&amp;$A57)="N/A",0,RTD("tos.rtd",,$A$2,"."&amp;C$43&amp;C$1&amp;"C"&amp;$A57))-IF(RTD("tos.rtd",,$A$2,"."&amp;C$43&amp;C$1&amp;"P"&amp;$A57)="N/A",0,RTD("tos.rtd",,$A$2,"."&amp;C$43&amp;C$1&amp;"P"&amp;$A57))</f>
        <v>0</v>
      </c>
      <c r="D57" s="91">
        <f ca="1">IF(RTD("tos.rtd",,$A$2,"."&amp;D$43&amp;D$1&amp;"C"&amp;$A57)="N/A",0,RTD("tos.rtd",,$A$2,"."&amp;D$43&amp;D$1&amp;"C"&amp;$A57))-IF(RTD("tos.rtd",,$A$2,"."&amp;D$43&amp;D$1&amp;"P"&amp;$A57)="N/A",0,RTD("tos.rtd",,$A$2,"."&amp;D$43&amp;D$1&amp;"P"&amp;$A57))</f>
        <v>0</v>
      </c>
      <c r="E57" s="91">
        <f ca="1">IF(RTD("tos.rtd",,$A$2,"."&amp;E$43&amp;E$1&amp;"C"&amp;$A57)="N/A",0,RTD("tos.rtd",,$A$2,"."&amp;E$43&amp;E$1&amp;"C"&amp;$A57))-IF(RTD("tos.rtd",,$A$2,"."&amp;E$43&amp;E$1&amp;"P"&amp;$A57)="N/A",0,RTD("tos.rtd",,$A$2,"."&amp;E$43&amp;E$1&amp;"P"&amp;$A57))</f>
        <v>0</v>
      </c>
      <c r="F57" s="91">
        <f ca="1">IF(RTD("tos.rtd",,$A$2,"."&amp;F$43&amp;F$1&amp;"C"&amp;$A57)="N/A",0,RTD("tos.rtd",,$A$2,"."&amp;F$43&amp;F$1&amp;"C"&amp;$A57))-IF(RTD("tos.rtd",,$A$2,"."&amp;F$43&amp;F$1&amp;"P"&amp;$A57)="N/A",0,RTD("tos.rtd",,$A$2,"."&amp;F$43&amp;F$1&amp;"P"&amp;$A57))</f>
        <v>0</v>
      </c>
      <c r="G57" s="91">
        <f ca="1">IF(RTD("tos.rtd",,$A$2,"."&amp;G$43&amp;G$1&amp;"C"&amp;$A57)="N/A",0,RTD("tos.rtd",,$A$2,"."&amp;G$43&amp;G$1&amp;"C"&amp;$A57))-IF(RTD("tos.rtd",,$A$2,"."&amp;G$43&amp;G$1&amp;"P"&amp;$A57)="N/A",0,RTD("tos.rtd",,$A$2,"."&amp;G$43&amp;G$1&amp;"P"&amp;$A57))</f>
        <v>0</v>
      </c>
      <c r="H57" s="91">
        <f ca="1">IF(RTD("tos.rtd",,$A$2,"."&amp;H$43&amp;H$1&amp;"C"&amp;$A57)="N/A",0,RTD("tos.rtd",,$A$2,"."&amp;H$43&amp;H$1&amp;"C"&amp;$A57))-IF(RTD("tos.rtd",,$A$2,"."&amp;H$43&amp;H$1&amp;"P"&amp;$A57)="N/A",0,RTD("tos.rtd",,$A$2,"."&amp;H$43&amp;H$1&amp;"P"&amp;$A57))</f>
        <v>-28</v>
      </c>
      <c r="I57" s="91">
        <f ca="1">IF(RTD("tos.rtd",,$A$2,"."&amp;I$43&amp;I$1&amp;"C"&amp;$A57)="N/A",0,RTD("tos.rtd",,$A$2,"."&amp;I$43&amp;I$1&amp;"C"&amp;$A57))-IF(RTD("tos.rtd",,$A$2,"."&amp;I$43&amp;I$1&amp;"P"&amp;$A57)="N/A",0,RTD("tos.rtd",,$A$2,"."&amp;I$43&amp;I$1&amp;"P"&amp;$A57))</f>
        <v>-197</v>
      </c>
      <c r="J57" s="91">
        <f ca="1">IF(RTD("tos.rtd",,$A$2,"."&amp;J$43&amp;J$1&amp;"C"&amp;$A57)="N/A",0,RTD("tos.rtd",,$A$2,"."&amp;J$43&amp;J$1&amp;"C"&amp;$A57))-IF(RTD("tos.rtd",,$A$2,"."&amp;J$43&amp;J$1&amp;"P"&amp;$A57)="N/A",0,RTD("tos.rtd",,$A$2,"."&amp;J$43&amp;J$1&amp;"P"&amp;$A57))</f>
        <v>12</v>
      </c>
      <c r="K57" s="91">
        <f ca="1">IF(RTD("tos.rtd",,$A$2,"."&amp;K$43&amp;K$1&amp;"C"&amp;$A57)="N/A",0,RTD("tos.rtd",,$A$2,"."&amp;K$43&amp;K$1&amp;"C"&amp;$A57))-IF(RTD("tos.rtd",,$A$2,"."&amp;K$43&amp;K$1&amp;"P"&amp;$A57)="N/A",0,RTD("tos.rtd",,$A$2,"."&amp;K$43&amp;K$1&amp;"P"&amp;$A57))</f>
        <v>0</v>
      </c>
      <c r="L57" s="91">
        <f ca="1">IF(RTD("tos.rtd",,$A$2,"."&amp;L$43&amp;L$1&amp;"C"&amp;$A57)="N/A",0,RTD("tos.rtd",,$A$2,"."&amp;L$43&amp;L$1&amp;"C"&amp;$A57))-IF(RTD("tos.rtd",,$A$2,"."&amp;L$43&amp;L$1&amp;"P"&amp;$A57)="N/A",0,RTD("tos.rtd",,$A$2,"."&amp;L$43&amp;L$1&amp;"P"&amp;$A57))</f>
        <v>23</v>
      </c>
      <c r="M57" s="91">
        <f ca="1">IF(RTD("tos.rtd",,$A$2,"."&amp;M$43&amp;M$1&amp;"C"&amp;$A57)="N/A",0,RTD("tos.rtd",,$A$2,"."&amp;M$43&amp;M$1&amp;"C"&amp;$A57))-IF(RTD("tos.rtd",,$A$2,"."&amp;M$43&amp;M$1&amp;"P"&amp;$A57)="N/A",0,RTD("tos.rtd",,$A$2,"."&amp;M$43&amp;M$1&amp;"P"&amp;$A57))</f>
        <v>0</v>
      </c>
      <c r="N57" s="91">
        <f ca="1">IF(RTD("tos.rtd",,$A$2,"."&amp;N$43&amp;N$1&amp;"C"&amp;$A57)="N/A",0,RTD("tos.rtd",,$A$2,"."&amp;N$43&amp;N$1&amp;"C"&amp;$A57))-IF(RTD("tos.rtd",,$A$2,"."&amp;N$43&amp;N$1&amp;"P"&amp;$A57)="N/A",0,RTD("tos.rtd",,$A$2,"."&amp;N$43&amp;N$1&amp;"P"&amp;$A57))</f>
        <v>-1</v>
      </c>
      <c r="O57" s="91">
        <f ca="1">IF(RTD("tos.rtd",,$A$2,"."&amp;O$43&amp;O$1&amp;"C"&amp;$A57)="N/A",0,RTD("tos.rtd",,$A$2,"."&amp;O$43&amp;O$1&amp;"C"&amp;$A57))-IF(RTD("tos.rtd",,$A$2,"."&amp;O$43&amp;O$1&amp;"P"&amp;$A57)="N/A",0,RTD("tos.rtd",,$A$2,"."&amp;O$43&amp;O$1&amp;"P"&amp;$A57))</f>
        <v>0</v>
      </c>
      <c r="P57" s="91">
        <f ca="1">IF(RTD("tos.rtd",,$A$2,"."&amp;P$43&amp;P$1&amp;"C"&amp;$A57)="N/A",0,RTD("tos.rtd",,$A$2,"."&amp;P$43&amp;P$1&amp;"C"&amp;$A57))-IF(RTD("tos.rtd",,$A$2,"."&amp;P$43&amp;P$1&amp;"P"&amp;$A57)="N/A",0,RTD("tos.rtd",,$A$2,"."&amp;P$43&amp;P$1&amp;"P"&amp;$A57))</f>
        <v>0</v>
      </c>
      <c r="Q57" s="91">
        <f ca="1">IF(RTD("tos.rtd",,$A$2,"."&amp;Q$43&amp;Q$1&amp;"C"&amp;$A57)="N/A",0,RTD("tos.rtd",,$A$2,"."&amp;Q$43&amp;Q$1&amp;"C"&amp;$A57))-IF(RTD("tos.rtd",,$A$2,"."&amp;Q$43&amp;Q$1&amp;"P"&amp;$A57)="N/A",0,RTD("tos.rtd",,$A$2,"."&amp;Q$43&amp;Q$1&amp;"P"&amp;$A57))</f>
        <v>0</v>
      </c>
      <c r="R57" s="91">
        <f ca="1">IF(RTD("tos.rtd",,$A$2,"."&amp;R$43&amp;R$1&amp;"C"&amp;$A57)="N/A",0,RTD("tos.rtd",,$A$2,"."&amp;R$43&amp;R$1&amp;"C"&amp;$A57))-IF(RTD("tos.rtd",,$A$2,"."&amp;R$43&amp;R$1&amp;"P"&amp;$A57)="N/A",0,RTD("tos.rtd",,$A$2,"."&amp;R$43&amp;R$1&amp;"P"&amp;$A57))</f>
        <v>4</v>
      </c>
      <c r="S57" s="91">
        <f ca="1">IF(RTD("tos.rtd",,$A$2,"."&amp;S$43&amp;S$1&amp;"C"&amp;$A57)="N/A",0,RTD("tos.rtd",,$A$2,"."&amp;S$43&amp;S$1&amp;"C"&amp;$A57))-IF(RTD("tos.rtd",,$A$2,"."&amp;S$43&amp;S$1&amp;"P"&amp;$A57)="N/A",0,RTD("tos.rtd",,$A$2,"."&amp;S$43&amp;S$1&amp;"P"&amp;$A57))</f>
        <v>0</v>
      </c>
      <c r="T57" s="91">
        <f ca="1">IF(RTD("tos.rtd",,$A$2,"."&amp;T$43&amp;T$1&amp;"C"&amp;$A57)="N/A",0,RTD("tos.rtd",,$A$2,"."&amp;T$43&amp;T$1&amp;"C"&amp;$A57))-IF(RTD("tos.rtd",,$A$2,"."&amp;T$43&amp;T$1&amp;"P"&amp;$A57)="N/A",0,RTD("tos.rtd",,$A$2,"."&amp;T$43&amp;T$1&amp;"P"&amp;$A57))</f>
        <v>0</v>
      </c>
      <c r="U57" s="91">
        <f ca="1">IF(RTD("tos.rtd",,$A$2,"."&amp;U$43&amp;U$1&amp;"C"&amp;$A57)="N/A",0,RTD("tos.rtd",,$A$2,"."&amp;U$43&amp;U$1&amp;"C"&amp;$A57))-IF(RTD("tos.rtd",,$A$2,"."&amp;U$43&amp;U$1&amp;"P"&amp;$A57)="N/A",0,RTD("tos.rtd",,$A$2,"."&amp;U$43&amp;U$1&amp;"P"&amp;$A57))</f>
        <v>0</v>
      </c>
      <c r="V57" s="91">
        <f ca="1">IF(RTD("tos.rtd",,$A$2,"."&amp;V$43&amp;V$1&amp;"C"&amp;$A57)="N/A",0,RTD("tos.rtd",,$A$2,"."&amp;V$43&amp;V$1&amp;"C"&amp;$A57))-IF(RTD("tos.rtd",,$A$2,"."&amp;V$43&amp;V$1&amp;"P"&amp;$A57)="N/A",0,RTD("tos.rtd",,$A$2,"."&amp;V$43&amp;V$1&amp;"P"&amp;$A57))</f>
        <v>0</v>
      </c>
      <c r="W57" s="91">
        <f ca="1">IF(RTD("tos.rtd",,$A$2,"."&amp;W$43&amp;W$1&amp;"C"&amp;$A57)="N/A",0,RTD("tos.rtd",,$A$2,"."&amp;W$43&amp;W$1&amp;"C"&amp;$A57))-IF(RTD("tos.rtd",,$A$2,"."&amp;W$43&amp;W$1&amp;"P"&amp;$A57)="N/A",0,RTD("tos.rtd",,$A$2,"."&amp;W$43&amp;W$1&amp;"P"&amp;$A57))</f>
        <v>0</v>
      </c>
      <c r="X57" s="91">
        <f ca="1">IF(RTD("tos.rtd",,$A$2,"."&amp;X$43&amp;X$1&amp;"C"&amp;$A57)="N/A",0,RTD("tos.rtd",,$A$2,"."&amp;X$43&amp;X$1&amp;"C"&amp;$A57))-IF(RTD("tos.rtd",,$A$2,"."&amp;X$43&amp;X$1&amp;"P"&amp;$A57)="N/A",0,RTD("tos.rtd",,$A$2,"."&amp;X$43&amp;X$1&amp;"P"&amp;$A57))</f>
        <v>2</v>
      </c>
      <c r="Y57" s="98">
        <f t="shared" ca="1" si="7"/>
        <v>-185</v>
      </c>
    </row>
    <row r="58" spans="1:25" x14ac:dyDescent="0.25">
      <c r="A58" s="93">
        <f>+Hoja1!A57</f>
        <v>490</v>
      </c>
      <c r="B58" s="91">
        <f ca="1">IF(RTD("tos.rtd",,$A$2,"."&amp;B$43&amp;B$1&amp;"C"&amp;$A58)="N/A",0,RTD("tos.rtd",,$A$2,"."&amp;B$43&amp;B$1&amp;"C"&amp;$A58))-IF(RTD("tos.rtd",,$A$2,"."&amp;B$43&amp;B$1&amp;"P"&amp;$A58)="N/A",0,RTD("tos.rtd",,$A$2,"."&amp;B$43&amp;B$1&amp;"P"&amp;$A58))</f>
        <v>0</v>
      </c>
      <c r="C58" s="91">
        <f ca="1">IF(RTD("tos.rtd",,$A$2,"."&amp;C$43&amp;C$1&amp;"C"&amp;$A58)="N/A",0,RTD("tos.rtd",,$A$2,"."&amp;C$43&amp;C$1&amp;"C"&amp;$A58))-IF(RTD("tos.rtd",,$A$2,"."&amp;C$43&amp;C$1&amp;"P"&amp;$A58)="N/A",0,RTD("tos.rtd",,$A$2,"."&amp;C$43&amp;C$1&amp;"P"&amp;$A58))</f>
        <v>0</v>
      </c>
      <c r="D58" s="91">
        <f ca="1">IF(RTD("tos.rtd",,$A$2,"."&amp;D$43&amp;D$1&amp;"C"&amp;$A58)="N/A",0,RTD("tos.rtd",,$A$2,"."&amp;D$43&amp;D$1&amp;"C"&amp;$A58))-IF(RTD("tos.rtd",,$A$2,"."&amp;D$43&amp;D$1&amp;"P"&amp;$A58)="N/A",0,RTD("tos.rtd",,$A$2,"."&amp;D$43&amp;D$1&amp;"P"&amp;$A58))</f>
        <v>0</v>
      </c>
      <c r="E58" s="91">
        <f ca="1">IF(RTD("tos.rtd",,$A$2,"."&amp;E$43&amp;E$1&amp;"C"&amp;$A58)="N/A",0,RTD("tos.rtd",,$A$2,"."&amp;E$43&amp;E$1&amp;"C"&amp;$A58))-IF(RTD("tos.rtd",,$A$2,"."&amp;E$43&amp;E$1&amp;"P"&amp;$A58)="N/A",0,RTD("tos.rtd",,$A$2,"."&amp;E$43&amp;E$1&amp;"P"&amp;$A58))</f>
        <v>0</v>
      </c>
      <c r="F58" s="91">
        <f ca="1">IF(RTD("tos.rtd",,$A$2,"."&amp;F$43&amp;F$1&amp;"C"&amp;$A58)="N/A",0,RTD("tos.rtd",,$A$2,"."&amp;F$43&amp;F$1&amp;"C"&amp;$A58))-IF(RTD("tos.rtd",,$A$2,"."&amp;F$43&amp;F$1&amp;"P"&amp;$A58)="N/A",0,RTD("tos.rtd",,$A$2,"."&amp;F$43&amp;F$1&amp;"P"&amp;$A58))</f>
        <v>0</v>
      </c>
      <c r="G58" s="91">
        <f ca="1">IF(RTD("tos.rtd",,$A$2,"."&amp;G$43&amp;G$1&amp;"C"&amp;$A58)="N/A",0,RTD("tos.rtd",,$A$2,"."&amp;G$43&amp;G$1&amp;"C"&amp;$A58))-IF(RTD("tos.rtd",,$A$2,"."&amp;G$43&amp;G$1&amp;"P"&amp;$A58)="N/A",0,RTD("tos.rtd",,$A$2,"."&amp;G$43&amp;G$1&amp;"P"&amp;$A58))</f>
        <v>0</v>
      </c>
      <c r="H58" s="91">
        <f ca="1">IF(RTD("tos.rtd",,$A$2,"."&amp;H$43&amp;H$1&amp;"C"&amp;$A58)="N/A",0,RTD("tos.rtd",,$A$2,"."&amp;H$43&amp;H$1&amp;"C"&amp;$A58))-IF(RTD("tos.rtd",,$A$2,"."&amp;H$43&amp;H$1&amp;"P"&amp;$A58)="N/A",0,RTD("tos.rtd",,$A$2,"."&amp;H$43&amp;H$1&amp;"P"&amp;$A58))</f>
        <v>471</v>
      </c>
      <c r="I58" s="91">
        <f ca="1">IF(RTD("tos.rtd",,$A$2,"."&amp;I$43&amp;I$1&amp;"C"&amp;$A58)="N/A",0,RTD("tos.rtd",,$A$2,"."&amp;I$43&amp;I$1&amp;"C"&amp;$A58))-IF(RTD("tos.rtd",,$A$2,"."&amp;I$43&amp;I$1&amp;"P"&amp;$A58)="N/A",0,RTD("tos.rtd",,$A$2,"."&amp;I$43&amp;I$1&amp;"P"&amp;$A58))</f>
        <v>1120</v>
      </c>
      <c r="J58" s="91">
        <f ca="1">IF(RTD("tos.rtd",,$A$2,"."&amp;J$43&amp;J$1&amp;"C"&amp;$A58)="N/A",0,RTD("tos.rtd",,$A$2,"."&amp;J$43&amp;J$1&amp;"C"&amp;$A58))-IF(RTD("tos.rtd",,$A$2,"."&amp;J$43&amp;J$1&amp;"P"&amp;$A58)="N/A",0,RTD("tos.rtd",,$A$2,"."&amp;J$43&amp;J$1&amp;"P"&amp;$A58))</f>
        <v>434</v>
      </c>
      <c r="K58" s="91">
        <f ca="1">IF(RTD("tos.rtd",,$A$2,"."&amp;K$43&amp;K$1&amp;"C"&amp;$A58)="N/A",0,RTD("tos.rtd",,$A$2,"."&amp;K$43&amp;K$1&amp;"C"&amp;$A58))-IF(RTD("tos.rtd",,$A$2,"."&amp;K$43&amp;K$1&amp;"P"&amp;$A58)="N/A",0,RTD("tos.rtd",,$A$2,"."&amp;K$43&amp;K$1&amp;"P"&amp;$A58))</f>
        <v>648</v>
      </c>
      <c r="L58" s="91">
        <f ca="1">IF(RTD("tos.rtd",,$A$2,"."&amp;L$43&amp;L$1&amp;"C"&amp;$A58)="N/A",0,RTD("tos.rtd",,$A$2,"."&amp;L$43&amp;L$1&amp;"C"&amp;$A58))-IF(RTD("tos.rtd",,$A$2,"."&amp;L$43&amp;L$1&amp;"P"&amp;$A58)="N/A",0,RTD("tos.rtd",,$A$2,"."&amp;L$43&amp;L$1&amp;"P"&amp;$A58))</f>
        <v>-82</v>
      </c>
      <c r="M58" s="91">
        <f ca="1">IF(RTD("tos.rtd",,$A$2,"."&amp;M$43&amp;M$1&amp;"C"&amp;$A58)="N/A",0,RTD("tos.rtd",,$A$2,"."&amp;M$43&amp;M$1&amp;"C"&amp;$A58))-IF(RTD("tos.rtd",,$A$2,"."&amp;M$43&amp;M$1&amp;"P"&amp;$A58)="N/A",0,RTD("tos.rtd",,$A$2,"."&amp;M$43&amp;M$1&amp;"P"&amp;$A58))</f>
        <v>116</v>
      </c>
      <c r="N58" s="91">
        <f ca="1">IF(RTD("tos.rtd",,$A$2,"."&amp;N$43&amp;N$1&amp;"C"&amp;$A58)="N/A",0,RTD("tos.rtd",,$A$2,"."&amp;N$43&amp;N$1&amp;"C"&amp;$A58))-IF(RTD("tos.rtd",,$A$2,"."&amp;N$43&amp;N$1&amp;"P"&amp;$A58)="N/A",0,RTD("tos.rtd",,$A$2,"."&amp;N$43&amp;N$1&amp;"P"&amp;$A58))</f>
        <v>-2</v>
      </c>
      <c r="O58" s="91">
        <f ca="1">IF(RTD("tos.rtd",,$A$2,"."&amp;O$43&amp;O$1&amp;"C"&amp;$A58)="N/A",0,RTD("tos.rtd",,$A$2,"."&amp;O$43&amp;O$1&amp;"C"&amp;$A58))-IF(RTD("tos.rtd",,$A$2,"."&amp;O$43&amp;O$1&amp;"P"&amp;$A58)="N/A",0,RTD("tos.rtd",,$A$2,"."&amp;O$43&amp;O$1&amp;"P"&amp;$A58))</f>
        <v>225</v>
      </c>
      <c r="P58" s="91">
        <f ca="1">IF(RTD("tos.rtd",,$A$2,"."&amp;P$43&amp;P$1&amp;"C"&amp;$A58)="N/A",0,RTD("tos.rtd",,$A$2,"."&amp;P$43&amp;P$1&amp;"C"&amp;$A58))-IF(RTD("tos.rtd",,$A$2,"."&amp;P$43&amp;P$1&amp;"P"&amp;$A58)="N/A",0,RTD("tos.rtd",,$A$2,"."&amp;P$43&amp;P$1&amp;"P"&amp;$A58))</f>
        <v>24</v>
      </c>
      <c r="Q58" s="91">
        <f ca="1">IF(RTD("tos.rtd",,$A$2,"."&amp;Q$43&amp;Q$1&amp;"C"&amp;$A58)="N/A",0,RTD("tos.rtd",,$A$2,"."&amp;Q$43&amp;Q$1&amp;"C"&amp;$A58))-IF(RTD("tos.rtd",,$A$2,"."&amp;Q$43&amp;Q$1&amp;"P"&amp;$A58)="N/A",0,RTD("tos.rtd",,$A$2,"."&amp;Q$43&amp;Q$1&amp;"P"&amp;$A58))</f>
        <v>219</v>
      </c>
      <c r="R58" s="91">
        <f ca="1">IF(RTD("tos.rtd",,$A$2,"."&amp;R$43&amp;R$1&amp;"C"&amp;$A58)="N/A",0,RTD("tos.rtd",,$A$2,"."&amp;R$43&amp;R$1&amp;"C"&amp;$A58))-IF(RTD("tos.rtd",,$A$2,"."&amp;R$43&amp;R$1&amp;"P"&amp;$A58)="N/A",0,RTD("tos.rtd",,$A$2,"."&amp;R$43&amp;R$1&amp;"P"&amp;$A58))</f>
        <v>18</v>
      </c>
      <c r="S58" s="91">
        <f ca="1">IF(RTD("tos.rtd",,$A$2,"."&amp;S$43&amp;S$1&amp;"C"&amp;$A58)="N/A",0,RTD("tos.rtd",,$A$2,"."&amp;S$43&amp;S$1&amp;"C"&amp;$A58))-IF(RTD("tos.rtd",,$A$2,"."&amp;S$43&amp;S$1&amp;"P"&amp;$A58)="N/A",0,RTD("tos.rtd",,$A$2,"."&amp;S$43&amp;S$1&amp;"P"&amp;$A58))</f>
        <v>0</v>
      </c>
      <c r="T58" s="91">
        <f ca="1">IF(RTD("tos.rtd",,$A$2,"."&amp;T$43&amp;T$1&amp;"C"&amp;$A58)="N/A",0,RTD("tos.rtd",,$A$2,"."&amp;T$43&amp;T$1&amp;"C"&amp;$A58))-IF(RTD("tos.rtd",,$A$2,"."&amp;T$43&amp;T$1&amp;"P"&amp;$A58)="N/A",0,RTD("tos.rtd",,$A$2,"."&amp;T$43&amp;T$1&amp;"P"&amp;$A58))</f>
        <v>0</v>
      </c>
      <c r="U58" s="91">
        <f ca="1">IF(RTD("tos.rtd",,$A$2,"."&amp;U$43&amp;U$1&amp;"C"&amp;$A58)="N/A",0,RTD("tos.rtd",,$A$2,"."&amp;U$43&amp;U$1&amp;"C"&amp;$A58))-IF(RTD("tos.rtd",,$A$2,"."&amp;U$43&amp;U$1&amp;"P"&amp;$A58)="N/A",0,RTD("tos.rtd",,$A$2,"."&amp;U$43&amp;U$1&amp;"P"&amp;$A58))</f>
        <v>-110</v>
      </c>
      <c r="V58" s="91">
        <f ca="1">IF(RTD("tos.rtd",,$A$2,"."&amp;V$43&amp;V$1&amp;"C"&amp;$A58)="N/A",0,RTD("tos.rtd",,$A$2,"."&amp;V$43&amp;V$1&amp;"C"&amp;$A58))-IF(RTD("tos.rtd",,$A$2,"."&amp;V$43&amp;V$1&amp;"P"&amp;$A58)="N/A",0,RTD("tos.rtd",,$A$2,"."&amp;V$43&amp;V$1&amp;"P"&amp;$A58))</f>
        <v>0</v>
      </c>
      <c r="W58" s="91">
        <f ca="1">IF(RTD("tos.rtd",,$A$2,"."&amp;W$43&amp;W$1&amp;"C"&amp;$A58)="N/A",0,RTD("tos.rtd",,$A$2,"."&amp;W$43&amp;W$1&amp;"C"&amp;$A58))-IF(RTD("tos.rtd",,$A$2,"."&amp;W$43&amp;W$1&amp;"P"&amp;$A58)="N/A",0,RTD("tos.rtd",,$A$2,"."&amp;W$43&amp;W$1&amp;"P"&amp;$A58))</f>
        <v>36</v>
      </c>
      <c r="X58" s="91">
        <f ca="1">IF(RTD("tos.rtd",,$A$2,"."&amp;X$43&amp;X$1&amp;"C"&amp;$A58)="N/A",0,RTD("tos.rtd",,$A$2,"."&amp;X$43&amp;X$1&amp;"C"&amp;$A58))-IF(RTD("tos.rtd",,$A$2,"."&amp;X$43&amp;X$1&amp;"P"&amp;$A58)="N/A",0,RTD("tos.rtd",,$A$2,"."&amp;X$43&amp;X$1&amp;"P"&amp;$A58))</f>
        <v>0</v>
      </c>
      <c r="Y58" s="98">
        <f t="shared" ca="1" si="7"/>
        <v>3117</v>
      </c>
    </row>
    <row r="59" spans="1:25" x14ac:dyDescent="0.25">
      <c r="A59" s="93">
        <f>+Hoja1!A58</f>
        <v>489</v>
      </c>
      <c r="B59" s="91">
        <f ca="1">IF(RTD("tos.rtd",,$A$2,"."&amp;B$43&amp;B$1&amp;"C"&amp;$A59)="N/A",0,RTD("tos.rtd",,$A$2,"."&amp;B$43&amp;B$1&amp;"C"&amp;$A59))-IF(RTD("tos.rtd",,$A$2,"."&amp;B$43&amp;B$1&amp;"P"&amp;$A59)="N/A",0,RTD("tos.rtd",,$A$2,"."&amp;B$43&amp;B$1&amp;"P"&amp;$A59))</f>
        <v>0</v>
      </c>
      <c r="C59" s="91">
        <f ca="1">IF(RTD("tos.rtd",,$A$2,"."&amp;C$43&amp;C$1&amp;"C"&amp;$A59)="N/A",0,RTD("tos.rtd",,$A$2,"."&amp;C$43&amp;C$1&amp;"C"&amp;$A59))-IF(RTD("tos.rtd",,$A$2,"."&amp;C$43&amp;C$1&amp;"P"&amp;$A59)="N/A",0,RTD("tos.rtd",,$A$2,"."&amp;C$43&amp;C$1&amp;"P"&amp;$A59))</f>
        <v>0</v>
      </c>
      <c r="D59" s="91">
        <f ca="1">IF(RTD("tos.rtd",,$A$2,"."&amp;D$43&amp;D$1&amp;"C"&amp;$A59)="N/A",0,RTD("tos.rtd",,$A$2,"."&amp;D$43&amp;D$1&amp;"C"&amp;$A59))-IF(RTD("tos.rtd",,$A$2,"."&amp;D$43&amp;D$1&amp;"P"&amp;$A59)="N/A",0,RTD("tos.rtd",,$A$2,"."&amp;D$43&amp;D$1&amp;"P"&amp;$A59))</f>
        <v>0</v>
      </c>
      <c r="E59" s="91">
        <f ca="1">IF(RTD("tos.rtd",,$A$2,"."&amp;E$43&amp;E$1&amp;"C"&amp;$A59)="N/A",0,RTD("tos.rtd",,$A$2,"."&amp;E$43&amp;E$1&amp;"C"&amp;$A59))-IF(RTD("tos.rtd",,$A$2,"."&amp;E$43&amp;E$1&amp;"P"&amp;$A59)="N/A",0,RTD("tos.rtd",,$A$2,"."&amp;E$43&amp;E$1&amp;"P"&amp;$A59))</f>
        <v>0</v>
      </c>
      <c r="F59" s="91">
        <f ca="1">IF(RTD("tos.rtd",,$A$2,"."&amp;F$43&amp;F$1&amp;"C"&amp;$A59)="N/A",0,RTD("tos.rtd",,$A$2,"."&amp;F$43&amp;F$1&amp;"C"&amp;$A59))-IF(RTD("tos.rtd",,$A$2,"."&amp;F$43&amp;F$1&amp;"P"&amp;$A59)="N/A",0,RTD("tos.rtd",,$A$2,"."&amp;F$43&amp;F$1&amp;"P"&amp;$A59))</f>
        <v>0</v>
      </c>
      <c r="G59" s="91">
        <f ca="1">IF(RTD("tos.rtd",,$A$2,"."&amp;G$43&amp;G$1&amp;"C"&amp;$A59)="N/A",0,RTD("tos.rtd",,$A$2,"."&amp;G$43&amp;G$1&amp;"C"&amp;$A59))-IF(RTD("tos.rtd",,$A$2,"."&amp;G$43&amp;G$1&amp;"P"&amp;$A59)="N/A",0,RTD("tos.rtd",,$A$2,"."&amp;G$43&amp;G$1&amp;"P"&amp;$A59))</f>
        <v>0</v>
      </c>
      <c r="H59" s="91">
        <f ca="1">IF(RTD("tos.rtd",,$A$2,"."&amp;H$43&amp;H$1&amp;"C"&amp;$A59)="N/A",0,RTD("tos.rtd",,$A$2,"."&amp;H$43&amp;H$1&amp;"C"&amp;$A59))-IF(RTD("tos.rtd",,$A$2,"."&amp;H$43&amp;H$1&amp;"P"&amp;$A59)="N/A",0,RTD("tos.rtd",,$A$2,"."&amp;H$43&amp;H$1&amp;"P"&amp;$A59))</f>
        <v>-132</v>
      </c>
      <c r="I59" s="91">
        <f ca="1">IF(RTD("tos.rtd",,$A$2,"."&amp;I$43&amp;I$1&amp;"C"&amp;$A59)="N/A",0,RTD("tos.rtd",,$A$2,"."&amp;I$43&amp;I$1&amp;"C"&amp;$A59))-IF(RTD("tos.rtd",,$A$2,"."&amp;I$43&amp;I$1&amp;"P"&amp;$A59)="N/A",0,RTD("tos.rtd",,$A$2,"."&amp;I$43&amp;I$1&amp;"P"&amp;$A59))</f>
        <v>63</v>
      </c>
      <c r="J59" s="91">
        <f ca="1">IF(RTD("tos.rtd",,$A$2,"."&amp;J$43&amp;J$1&amp;"C"&amp;$A59)="N/A",0,RTD("tos.rtd",,$A$2,"."&amp;J$43&amp;J$1&amp;"C"&amp;$A59))-IF(RTD("tos.rtd",,$A$2,"."&amp;J$43&amp;J$1&amp;"P"&amp;$A59)="N/A",0,RTD("tos.rtd",,$A$2,"."&amp;J$43&amp;J$1&amp;"P"&amp;$A59))</f>
        <v>3</v>
      </c>
      <c r="K59" s="91">
        <f ca="1">IF(RTD("tos.rtd",,$A$2,"."&amp;K$43&amp;K$1&amp;"C"&amp;$A59)="N/A",0,RTD("tos.rtd",,$A$2,"."&amp;K$43&amp;K$1&amp;"C"&amp;$A59))-IF(RTD("tos.rtd",,$A$2,"."&amp;K$43&amp;K$1&amp;"P"&amp;$A59)="N/A",0,RTD("tos.rtd",,$A$2,"."&amp;K$43&amp;K$1&amp;"P"&amp;$A59))</f>
        <v>0</v>
      </c>
      <c r="L59" s="91">
        <f ca="1">IF(RTD("tos.rtd",,$A$2,"."&amp;L$43&amp;L$1&amp;"C"&amp;$A59)="N/A",0,RTD("tos.rtd",,$A$2,"."&amp;L$43&amp;L$1&amp;"C"&amp;$A59))-IF(RTD("tos.rtd",,$A$2,"."&amp;L$43&amp;L$1&amp;"P"&amp;$A59)="N/A",0,RTD("tos.rtd",,$A$2,"."&amp;L$43&amp;L$1&amp;"P"&amp;$A59))</f>
        <v>3</v>
      </c>
      <c r="M59" s="91">
        <f ca="1">IF(RTD("tos.rtd",,$A$2,"."&amp;M$43&amp;M$1&amp;"C"&amp;$A59)="N/A",0,RTD("tos.rtd",,$A$2,"."&amp;M$43&amp;M$1&amp;"C"&amp;$A59))-IF(RTD("tos.rtd",,$A$2,"."&amp;M$43&amp;M$1&amp;"P"&amp;$A59)="N/A",0,RTD("tos.rtd",,$A$2,"."&amp;M$43&amp;M$1&amp;"P"&amp;$A59))</f>
        <v>0</v>
      </c>
      <c r="N59" s="91">
        <f ca="1">IF(RTD("tos.rtd",,$A$2,"."&amp;N$43&amp;N$1&amp;"C"&amp;$A59)="N/A",0,RTD("tos.rtd",,$A$2,"."&amp;N$43&amp;N$1&amp;"C"&amp;$A59))-IF(RTD("tos.rtd",,$A$2,"."&amp;N$43&amp;N$1&amp;"P"&amp;$A59)="N/A",0,RTD("tos.rtd",,$A$2,"."&amp;N$43&amp;N$1&amp;"P"&amp;$A59))</f>
        <v>9</v>
      </c>
      <c r="O59" s="91">
        <f ca="1">IF(RTD("tos.rtd",,$A$2,"."&amp;O$43&amp;O$1&amp;"C"&amp;$A59)="N/A",0,RTD("tos.rtd",,$A$2,"."&amp;O$43&amp;O$1&amp;"C"&amp;$A59))-IF(RTD("tos.rtd",,$A$2,"."&amp;O$43&amp;O$1&amp;"P"&amp;$A59)="N/A",0,RTD("tos.rtd",,$A$2,"."&amp;O$43&amp;O$1&amp;"P"&amp;$A59))</f>
        <v>0</v>
      </c>
      <c r="P59" s="91">
        <f ca="1">IF(RTD("tos.rtd",,$A$2,"."&amp;P$43&amp;P$1&amp;"C"&amp;$A59)="N/A",0,RTD("tos.rtd",,$A$2,"."&amp;P$43&amp;P$1&amp;"C"&amp;$A59))-IF(RTD("tos.rtd",,$A$2,"."&amp;P$43&amp;P$1&amp;"P"&amp;$A59)="N/A",0,RTD("tos.rtd",,$A$2,"."&amp;P$43&amp;P$1&amp;"P"&amp;$A59))</f>
        <v>0</v>
      </c>
      <c r="Q59" s="91">
        <f ca="1">IF(RTD("tos.rtd",,$A$2,"."&amp;Q$43&amp;Q$1&amp;"C"&amp;$A59)="N/A",0,RTD("tos.rtd",,$A$2,"."&amp;Q$43&amp;Q$1&amp;"C"&amp;$A59))-IF(RTD("tos.rtd",,$A$2,"."&amp;Q$43&amp;Q$1&amp;"P"&amp;$A59)="N/A",0,RTD("tos.rtd",,$A$2,"."&amp;Q$43&amp;Q$1&amp;"P"&amp;$A59))</f>
        <v>0</v>
      </c>
      <c r="R59" s="91">
        <f ca="1">IF(RTD("tos.rtd",,$A$2,"."&amp;R$43&amp;R$1&amp;"C"&amp;$A59)="N/A",0,RTD("tos.rtd",,$A$2,"."&amp;R$43&amp;R$1&amp;"C"&amp;$A59))-IF(RTD("tos.rtd",,$A$2,"."&amp;R$43&amp;R$1&amp;"P"&amp;$A59)="N/A",0,RTD("tos.rtd",,$A$2,"."&amp;R$43&amp;R$1&amp;"P"&amp;$A59))</f>
        <v>0</v>
      </c>
      <c r="S59" s="91">
        <f ca="1">IF(RTD("tos.rtd",,$A$2,"."&amp;S$43&amp;S$1&amp;"C"&amp;$A59)="N/A",0,RTD("tos.rtd",,$A$2,"."&amp;S$43&amp;S$1&amp;"C"&amp;$A59))-IF(RTD("tos.rtd",,$A$2,"."&amp;S$43&amp;S$1&amp;"P"&amp;$A59)="N/A",0,RTD("tos.rtd",,$A$2,"."&amp;S$43&amp;S$1&amp;"P"&amp;$A59))</f>
        <v>0</v>
      </c>
      <c r="T59" s="91">
        <f ca="1">IF(RTD("tos.rtd",,$A$2,"."&amp;T$43&amp;T$1&amp;"C"&amp;$A59)="N/A",0,RTD("tos.rtd",,$A$2,"."&amp;T$43&amp;T$1&amp;"C"&amp;$A59))-IF(RTD("tos.rtd",,$A$2,"."&amp;T$43&amp;T$1&amp;"P"&amp;$A59)="N/A",0,RTD("tos.rtd",,$A$2,"."&amp;T$43&amp;T$1&amp;"P"&amp;$A59))</f>
        <v>0</v>
      </c>
      <c r="U59" s="91">
        <f ca="1">IF(RTD("tos.rtd",,$A$2,"."&amp;U$43&amp;U$1&amp;"C"&amp;$A59)="N/A",0,RTD("tos.rtd",,$A$2,"."&amp;U$43&amp;U$1&amp;"C"&amp;$A59))-IF(RTD("tos.rtd",,$A$2,"."&amp;U$43&amp;U$1&amp;"P"&amp;$A59)="N/A",0,RTD("tos.rtd",,$A$2,"."&amp;U$43&amp;U$1&amp;"P"&amp;$A59))</f>
        <v>0</v>
      </c>
      <c r="V59" s="91">
        <f ca="1">IF(RTD("tos.rtd",,$A$2,"."&amp;V$43&amp;V$1&amp;"C"&amp;$A59)="N/A",0,RTD("tos.rtd",,$A$2,"."&amp;V$43&amp;V$1&amp;"C"&amp;$A59))-IF(RTD("tos.rtd",,$A$2,"."&amp;V$43&amp;V$1&amp;"P"&amp;$A59)="N/A",0,RTD("tos.rtd",,$A$2,"."&amp;V$43&amp;V$1&amp;"P"&amp;$A59))</f>
        <v>0</v>
      </c>
      <c r="W59" s="91">
        <f ca="1">IF(RTD("tos.rtd",,$A$2,"."&amp;W$43&amp;W$1&amp;"C"&amp;$A59)="N/A",0,RTD("tos.rtd",,$A$2,"."&amp;W$43&amp;W$1&amp;"C"&amp;$A59))-IF(RTD("tos.rtd",,$A$2,"."&amp;W$43&amp;W$1&amp;"P"&amp;$A59)="N/A",0,RTD("tos.rtd",,$A$2,"."&amp;W$43&amp;W$1&amp;"P"&amp;$A59))</f>
        <v>0</v>
      </c>
      <c r="X59" s="91">
        <f ca="1">IF(RTD("tos.rtd",,$A$2,"."&amp;X$43&amp;X$1&amp;"C"&amp;$A59)="N/A",0,RTD("tos.rtd",,$A$2,"."&amp;X$43&amp;X$1&amp;"C"&amp;$A59))-IF(RTD("tos.rtd",,$A$2,"."&amp;X$43&amp;X$1&amp;"P"&amp;$A59)="N/A",0,RTD("tos.rtd",,$A$2,"."&amp;X$43&amp;X$1&amp;"P"&amp;$A59))</f>
        <v>0</v>
      </c>
      <c r="Y59" s="98">
        <f t="shared" ca="1" si="7"/>
        <v>-54</v>
      </c>
    </row>
    <row r="60" spans="1:25" x14ac:dyDescent="0.25">
      <c r="A60" s="93">
        <f>+Hoja1!A59</f>
        <v>488</v>
      </c>
      <c r="B60" s="91">
        <f ca="1">IF(RTD("tos.rtd",,$A$2,"."&amp;B$43&amp;B$1&amp;"C"&amp;$A60)="N/A",0,RTD("tos.rtd",,$A$2,"."&amp;B$43&amp;B$1&amp;"C"&amp;$A60))-IF(RTD("tos.rtd",,$A$2,"."&amp;B$43&amp;B$1&amp;"P"&amp;$A60)="N/A",0,RTD("tos.rtd",,$A$2,"."&amp;B$43&amp;B$1&amp;"P"&amp;$A60))</f>
        <v>0</v>
      </c>
      <c r="C60" s="91">
        <f ca="1">IF(RTD("tos.rtd",,$A$2,"."&amp;C$43&amp;C$1&amp;"C"&amp;$A60)="N/A",0,RTD("tos.rtd",,$A$2,"."&amp;C$43&amp;C$1&amp;"C"&amp;$A60))-IF(RTD("tos.rtd",,$A$2,"."&amp;C$43&amp;C$1&amp;"P"&amp;$A60)="N/A",0,RTD("tos.rtd",,$A$2,"."&amp;C$43&amp;C$1&amp;"P"&amp;$A60))</f>
        <v>0</v>
      </c>
      <c r="D60" s="91">
        <f ca="1">IF(RTD("tos.rtd",,$A$2,"."&amp;D$43&amp;D$1&amp;"C"&amp;$A60)="N/A",0,RTD("tos.rtd",,$A$2,"."&amp;D$43&amp;D$1&amp;"C"&amp;$A60))-IF(RTD("tos.rtd",,$A$2,"."&amp;D$43&amp;D$1&amp;"P"&amp;$A60)="N/A",0,RTD("tos.rtd",,$A$2,"."&amp;D$43&amp;D$1&amp;"P"&amp;$A60))</f>
        <v>0</v>
      </c>
      <c r="E60" s="91">
        <f ca="1">IF(RTD("tos.rtd",,$A$2,"."&amp;E$43&amp;E$1&amp;"C"&amp;$A60)="N/A",0,RTD("tos.rtd",,$A$2,"."&amp;E$43&amp;E$1&amp;"C"&amp;$A60))-IF(RTD("tos.rtd",,$A$2,"."&amp;E$43&amp;E$1&amp;"P"&amp;$A60)="N/A",0,RTD("tos.rtd",,$A$2,"."&amp;E$43&amp;E$1&amp;"P"&amp;$A60))</f>
        <v>0</v>
      </c>
      <c r="F60" s="91">
        <f ca="1">IF(RTD("tos.rtd",,$A$2,"."&amp;F$43&amp;F$1&amp;"C"&amp;$A60)="N/A",0,RTD("tos.rtd",,$A$2,"."&amp;F$43&amp;F$1&amp;"C"&amp;$A60))-IF(RTD("tos.rtd",,$A$2,"."&amp;F$43&amp;F$1&amp;"P"&amp;$A60)="N/A",0,RTD("tos.rtd",,$A$2,"."&amp;F$43&amp;F$1&amp;"P"&amp;$A60))</f>
        <v>0</v>
      </c>
      <c r="G60" s="91">
        <f ca="1">IF(RTD("tos.rtd",,$A$2,"."&amp;G$43&amp;G$1&amp;"C"&amp;$A60)="N/A",0,RTD("tos.rtd",,$A$2,"."&amp;G$43&amp;G$1&amp;"C"&amp;$A60))-IF(RTD("tos.rtd",,$A$2,"."&amp;G$43&amp;G$1&amp;"P"&amp;$A60)="N/A",0,RTD("tos.rtd",,$A$2,"."&amp;G$43&amp;G$1&amp;"P"&amp;$A60))</f>
        <v>0</v>
      </c>
      <c r="H60" s="91">
        <f ca="1">IF(RTD("tos.rtd",,$A$2,"."&amp;H$43&amp;H$1&amp;"C"&amp;$A60)="N/A",0,RTD("tos.rtd",,$A$2,"."&amp;H$43&amp;H$1&amp;"C"&amp;$A60))-IF(RTD("tos.rtd",,$A$2,"."&amp;H$43&amp;H$1&amp;"P"&amp;$A60)="N/A",0,RTD("tos.rtd",,$A$2,"."&amp;H$43&amp;H$1&amp;"P"&amp;$A60))</f>
        <v>-160</v>
      </c>
      <c r="I60" s="91">
        <f ca="1">IF(RTD("tos.rtd",,$A$2,"."&amp;I$43&amp;I$1&amp;"C"&amp;$A60)="N/A",0,RTD("tos.rtd",,$A$2,"."&amp;I$43&amp;I$1&amp;"C"&amp;$A60))-IF(RTD("tos.rtd",,$A$2,"."&amp;I$43&amp;I$1&amp;"P"&amp;$A60)="N/A",0,RTD("tos.rtd",,$A$2,"."&amp;I$43&amp;I$1&amp;"P"&amp;$A60))</f>
        <v>295</v>
      </c>
      <c r="J60" s="91">
        <f ca="1">IF(RTD("tos.rtd",,$A$2,"."&amp;J$43&amp;J$1&amp;"C"&amp;$A60)="N/A",0,RTD("tos.rtd",,$A$2,"."&amp;J$43&amp;J$1&amp;"C"&amp;$A60))-IF(RTD("tos.rtd",,$A$2,"."&amp;J$43&amp;J$1&amp;"P"&amp;$A60)="N/A",0,RTD("tos.rtd",,$A$2,"."&amp;J$43&amp;J$1&amp;"P"&amp;$A60))</f>
        <v>-6</v>
      </c>
      <c r="K60" s="91">
        <f ca="1">IF(RTD("tos.rtd",,$A$2,"."&amp;K$43&amp;K$1&amp;"C"&amp;$A60)="N/A",0,RTD("tos.rtd",,$A$2,"."&amp;K$43&amp;K$1&amp;"C"&amp;$A60))-IF(RTD("tos.rtd",,$A$2,"."&amp;K$43&amp;K$1&amp;"P"&amp;$A60)="N/A",0,RTD("tos.rtd",,$A$2,"."&amp;K$43&amp;K$1&amp;"P"&amp;$A60))</f>
        <v>0</v>
      </c>
      <c r="L60" s="91">
        <f ca="1">IF(RTD("tos.rtd",,$A$2,"."&amp;L$43&amp;L$1&amp;"C"&amp;$A60)="N/A",0,RTD("tos.rtd",,$A$2,"."&amp;L$43&amp;L$1&amp;"C"&amp;$A60))-IF(RTD("tos.rtd",,$A$2,"."&amp;L$43&amp;L$1&amp;"P"&amp;$A60)="N/A",0,RTD("tos.rtd",,$A$2,"."&amp;L$43&amp;L$1&amp;"P"&amp;$A60))</f>
        <v>-1</v>
      </c>
      <c r="M60" s="91">
        <f ca="1">IF(RTD("tos.rtd",,$A$2,"."&amp;M$43&amp;M$1&amp;"C"&amp;$A60)="N/A",0,RTD("tos.rtd",,$A$2,"."&amp;M$43&amp;M$1&amp;"C"&amp;$A60))-IF(RTD("tos.rtd",,$A$2,"."&amp;M$43&amp;M$1&amp;"P"&amp;$A60)="N/A",0,RTD("tos.rtd",,$A$2,"."&amp;M$43&amp;M$1&amp;"P"&amp;$A60))</f>
        <v>0</v>
      </c>
      <c r="N60" s="91">
        <f ca="1">IF(RTD("tos.rtd",,$A$2,"."&amp;N$43&amp;N$1&amp;"C"&amp;$A60)="N/A",0,RTD("tos.rtd",,$A$2,"."&amp;N$43&amp;N$1&amp;"C"&amp;$A60))-IF(RTD("tos.rtd",,$A$2,"."&amp;N$43&amp;N$1&amp;"P"&amp;$A60)="N/A",0,RTD("tos.rtd",,$A$2,"."&amp;N$43&amp;N$1&amp;"P"&amp;$A60))</f>
        <v>3</v>
      </c>
      <c r="O60" s="91">
        <f ca="1">IF(RTD("tos.rtd",,$A$2,"."&amp;O$43&amp;O$1&amp;"C"&amp;$A60)="N/A",0,RTD("tos.rtd",,$A$2,"."&amp;O$43&amp;O$1&amp;"C"&amp;$A60))-IF(RTD("tos.rtd",,$A$2,"."&amp;O$43&amp;O$1&amp;"P"&amp;$A60)="N/A",0,RTD("tos.rtd",,$A$2,"."&amp;O$43&amp;O$1&amp;"P"&amp;$A60))</f>
        <v>0</v>
      </c>
      <c r="P60" s="91">
        <f ca="1">IF(RTD("tos.rtd",,$A$2,"."&amp;P$43&amp;P$1&amp;"C"&amp;$A60)="N/A",0,RTD("tos.rtd",,$A$2,"."&amp;P$43&amp;P$1&amp;"C"&amp;$A60))-IF(RTD("tos.rtd",,$A$2,"."&amp;P$43&amp;P$1&amp;"P"&amp;$A60)="N/A",0,RTD("tos.rtd",,$A$2,"."&amp;P$43&amp;P$1&amp;"P"&amp;$A60))</f>
        <v>0</v>
      </c>
      <c r="Q60" s="91">
        <f ca="1">IF(RTD("tos.rtd",,$A$2,"."&amp;Q$43&amp;Q$1&amp;"C"&amp;$A60)="N/A",0,RTD("tos.rtd",,$A$2,"."&amp;Q$43&amp;Q$1&amp;"C"&amp;$A60))-IF(RTD("tos.rtd",,$A$2,"."&amp;Q$43&amp;Q$1&amp;"P"&amp;$A60)="N/A",0,RTD("tos.rtd",,$A$2,"."&amp;Q$43&amp;Q$1&amp;"P"&amp;$A60))</f>
        <v>0</v>
      </c>
      <c r="R60" s="91">
        <f ca="1">IF(RTD("tos.rtd",,$A$2,"."&amp;R$43&amp;R$1&amp;"C"&amp;$A60)="N/A",0,RTD("tos.rtd",,$A$2,"."&amp;R$43&amp;R$1&amp;"C"&amp;$A60))-IF(RTD("tos.rtd",,$A$2,"."&amp;R$43&amp;R$1&amp;"P"&amp;$A60)="N/A",0,RTD("tos.rtd",,$A$2,"."&amp;R$43&amp;R$1&amp;"P"&amp;$A60))</f>
        <v>-11</v>
      </c>
      <c r="S60" s="91">
        <f ca="1">IF(RTD("tos.rtd",,$A$2,"."&amp;S$43&amp;S$1&amp;"C"&amp;$A60)="N/A",0,RTD("tos.rtd",,$A$2,"."&amp;S$43&amp;S$1&amp;"C"&amp;$A60))-IF(RTD("tos.rtd",,$A$2,"."&amp;S$43&amp;S$1&amp;"P"&amp;$A60)="N/A",0,RTD("tos.rtd",,$A$2,"."&amp;S$43&amp;S$1&amp;"P"&amp;$A60))</f>
        <v>0</v>
      </c>
      <c r="T60" s="91">
        <f ca="1">IF(RTD("tos.rtd",,$A$2,"."&amp;T$43&amp;T$1&amp;"C"&amp;$A60)="N/A",0,RTD("tos.rtd",,$A$2,"."&amp;T$43&amp;T$1&amp;"C"&amp;$A60))-IF(RTD("tos.rtd",,$A$2,"."&amp;T$43&amp;T$1&amp;"P"&amp;$A60)="N/A",0,RTD("tos.rtd",,$A$2,"."&amp;T$43&amp;T$1&amp;"P"&amp;$A60))</f>
        <v>0</v>
      </c>
      <c r="U60" s="91">
        <f ca="1">IF(RTD("tos.rtd",,$A$2,"."&amp;U$43&amp;U$1&amp;"C"&amp;$A60)="N/A",0,RTD("tos.rtd",,$A$2,"."&amp;U$43&amp;U$1&amp;"C"&amp;$A60))-IF(RTD("tos.rtd",,$A$2,"."&amp;U$43&amp;U$1&amp;"P"&amp;$A60)="N/A",0,RTD("tos.rtd",,$A$2,"."&amp;U$43&amp;U$1&amp;"P"&amp;$A60))</f>
        <v>0</v>
      </c>
      <c r="V60" s="91">
        <f ca="1">IF(RTD("tos.rtd",,$A$2,"."&amp;V$43&amp;V$1&amp;"C"&amp;$A60)="N/A",0,RTD("tos.rtd",,$A$2,"."&amp;V$43&amp;V$1&amp;"C"&amp;$A60))-IF(RTD("tos.rtd",,$A$2,"."&amp;V$43&amp;V$1&amp;"P"&amp;$A60)="N/A",0,RTD("tos.rtd",,$A$2,"."&amp;V$43&amp;V$1&amp;"P"&amp;$A60))</f>
        <v>0</v>
      </c>
      <c r="W60" s="91">
        <f ca="1">IF(RTD("tos.rtd",,$A$2,"."&amp;W$43&amp;W$1&amp;"C"&amp;$A60)="N/A",0,RTD("tos.rtd",,$A$2,"."&amp;W$43&amp;W$1&amp;"C"&amp;$A60))-IF(RTD("tos.rtd",,$A$2,"."&amp;W$43&amp;W$1&amp;"P"&amp;$A60)="N/A",0,RTD("tos.rtd",,$A$2,"."&amp;W$43&amp;W$1&amp;"P"&amp;$A60))</f>
        <v>0</v>
      </c>
      <c r="X60" s="91">
        <f ca="1">IF(RTD("tos.rtd",,$A$2,"."&amp;X$43&amp;X$1&amp;"C"&amp;$A60)="N/A",0,RTD("tos.rtd",,$A$2,"."&amp;X$43&amp;X$1&amp;"C"&amp;$A60))-IF(RTD("tos.rtd",,$A$2,"."&amp;X$43&amp;X$1&amp;"P"&amp;$A60)="N/A",0,RTD("tos.rtd",,$A$2,"."&amp;X$43&amp;X$1&amp;"P"&amp;$A60))</f>
        <v>-10</v>
      </c>
      <c r="Y60" s="98">
        <f t="shared" ca="1" si="7"/>
        <v>110</v>
      </c>
    </row>
    <row r="61" spans="1:25" x14ac:dyDescent="0.25">
      <c r="A61" s="93">
        <f>+Hoja1!A60</f>
        <v>487</v>
      </c>
      <c r="B61" s="91">
        <f ca="1">IF(RTD("tos.rtd",,$A$2,"."&amp;B$43&amp;B$1&amp;"C"&amp;$A61)="N/A",0,RTD("tos.rtd",,$A$2,"."&amp;B$43&amp;B$1&amp;"C"&amp;$A61))-IF(RTD("tos.rtd",,$A$2,"."&amp;B$43&amp;B$1&amp;"P"&amp;$A61)="N/A",0,RTD("tos.rtd",,$A$2,"."&amp;B$43&amp;B$1&amp;"P"&amp;$A61))</f>
        <v>0</v>
      </c>
      <c r="C61" s="91">
        <f ca="1">IF(RTD("tos.rtd",,$A$2,"."&amp;C$43&amp;C$1&amp;"C"&amp;$A61)="N/A",0,RTD("tos.rtd",,$A$2,"."&amp;C$43&amp;C$1&amp;"C"&amp;$A61))-IF(RTD("tos.rtd",,$A$2,"."&amp;C$43&amp;C$1&amp;"P"&amp;$A61)="N/A",0,RTD("tos.rtd",,$A$2,"."&amp;C$43&amp;C$1&amp;"P"&amp;$A61))</f>
        <v>0</v>
      </c>
      <c r="D61" s="91">
        <f ca="1">IF(RTD("tos.rtd",,$A$2,"."&amp;D$43&amp;D$1&amp;"C"&amp;$A61)="N/A",0,RTD("tos.rtd",,$A$2,"."&amp;D$43&amp;D$1&amp;"C"&amp;$A61))-IF(RTD("tos.rtd",,$A$2,"."&amp;D$43&amp;D$1&amp;"P"&amp;$A61)="N/A",0,RTD("tos.rtd",,$A$2,"."&amp;D$43&amp;D$1&amp;"P"&amp;$A61))</f>
        <v>0</v>
      </c>
      <c r="E61" s="91">
        <f ca="1">IF(RTD("tos.rtd",,$A$2,"."&amp;E$43&amp;E$1&amp;"C"&amp;$A61)="N/A",0,RTD("tos.rtd",,$A$2,"."&amp;E$43&amp;E$1&amp;"C"&amp;$A61))-IF(RTD("tos.rtd",,$A$2,"."&amp;E$43&amp;E$1&amp;"P"&amp;$A61)="N/A",0,RTD("tos.rtd",,$A$2,"."&amp;E$43&amp;E$1&amp;"P"&amp;$A61))</f>
        <v>0</v>
      </c>
      <c r="F61" s="91">
        <f ca="1">IF(RTD("tos.rtd",,$A$2,"."&amp;F$43&amp;F$1&amp;"C"&amp;$A61)="N/A",0,RTD("tos.rtd",,$A$2,"."&amp;F$43&amp;F$1&amp;"C"&amp;$A61))-IF(RTD("tos.rtd",,$A$2,"."&amp;F$43&amp;F$1&amp;"P"&amp;$A61)="N/A",0,RTD("tos.rtd",,$A$2,"."&amp;F$43&amp;F$1&amp;"P"&amp;$A61))</f>
        <v>0</v>
      </c>
      <c r="G61" s="91">
        <f ca="1">IF(RTD("tos.rtd",,$A$2,"."&amp;G$43&amp;G$1&amp;"C"&amp;$A61)="N/A",0,RTD("tos.rtd",,$A$2,"."&amp;G$43&amp;G$1&amp;"C"&amp;$A61))-IF(RTD("tos.rtd",,$A$2,"."&amp;G$43&amp;G$1&amp;"P"&amp;$A61)="N/A",0,RTD("tos.rtd",,$A$2,"."&amp;G$43&amp;G$1&amp;"P"&amp;$A61))</f>
        <v>0</v>
      </c>
      <c r="H61" s="91">
        <f ca="1">IF(RTD("tos.rtd",,$A$2,"."&amp;H$43&amp;H$1&amp;"C"&amp;$A61)="N/A",0,RTD("tos.rtd",,$A$2,"."&amp;H$43&amp;H$1&amp;"C"&amp;$A61))-IF(RTD("tos.rtd",,$A$2,"."&amp;H$43&amp;H$1&amp;"P"&amp;$A61)="N/A",0,RTD("tos.rtd",,$A$2,"."&amp;H$43&amp;H$1&amp;"P"&amp;$A61))</f>
        <v>193</v>
      </c>
      <c r="I61" s="91">
        <f ca="1">IF(RTD("tos.rtd",,$A$2,"."&amp;I$43&amp;I$1&amp;"C"&amp;$A61)="N/A",0,RTD("tos.rtd",,$A$2,"."&amp;I$43&amp;I$1&amp;"C"&amp;$A61))-IF(RTD("tos.rtd",,$A$2,"."&amp;I$43&amp;I$1&amp;"P"&amp;$A61)="N/A",0,RTD("tos.rtd",,$A$2,"."&amp;I$43&amp;I$1&amp;"P"&amp;$A61))</f>
        <v>55</v>
      </c>
      <c r="J61" s="91">
        <f ca="1">IF(RTD("tos.rtd",,$A$2,"."&amp;J$43&amp;J$1&amp;"C"&amp;$A61)="N/A",0,RTD("tos.rtd",,$A$2,"."&amp;J$43&amp;J$1&amp;"C"&amp;$A61))-IF(RTD("tos.rtd",,$A$2,"."&amp;J$43&amp;J$1&amp;"P"&amp;$A61)="N/A",0,RTD("tos.rtd",,$A$2,"."&amp;J$43&amp;J$1&amp;"P"&amp;$A61))</f>
        <v>137</v>
      </c>
      <c r="K61" s="91">
        <f ca="1">IF(RTD("tos.rtd",,$A$2,"."&amp;K$43&amp;K$1&amp;"C"&amp;$A61)="N/A",0,RTD("tos.rtd",,$A$2,"."&amp;K$43&amp;K$1&amp;"C"&amp;$A61))-IF(RTD("tos.rtd",,$A$2,"."&amp;K$43&amp;K$1&amp;"P"&amp;$A61)="N/A",0,RTD("tos.rtd",,$A$2,"."&amp;K$43&amp;K$1&amp;"P"&amp;$A61))</f>
        <v>0</v>
      </c>
      <c r="L61" s="91">
        <f ca="1">IF(RTD("tos.rtd",,$A$2,"."&amp;L$43&amp;L$1&amp;"C"&amp;$A61)="N/A",0,RTD("tos.rtd",,$A$2,"."&amp;L$43&amp;L$1&amp;"C"&amp;$A61))-IF(RTD("tos.rtd",,$A$2,"."&amp;L$43&amp;L$1&amp;"P"&amp;$A61)="N/A",0,RTD("tos.rtd",,$A$2,"."&amp;L$43&amp;L$1&amp;"P"&amp;$A61))</f>
        <v>-10</v>
      </c>
      <c r="M61" s="91">
        <f ca="1">IF(RTD("tos.rtd",,$A$2,"."&amp;M$43&amp;M$1&amp;"C"&amp;$A61)="N/A",0,RTD("tos.rtd",,$A$2,"."&amp;M$43&amp;M$1&amp;"C"&amp;$A61))-IF(RTD("tos.rtd",,$A$2,"."&amp;M$43&amp;M$1&amp;"P"&amp;$A61)="N/A",0,RTD("tos.rtd",,$A$2,"."&amp;M$43&amp;M$1&amp;"P"&amp;$A61))</f>
        <v>0</v>
      </c>
      <c r="N61" s="91">
        <f ca="1">IF(RTD("tos.rtd",,$A$2,"."&amp;N$43&amp;N$1&amp;"C"&amp;$A61)="N/A",0,RTD("tos.rtd",,$A$2,"."&amp;N$43&amp;N$1&amp;"C"&amp;$A61))-IF(RTD("tos.rtd",,$A$2,"."&amp;N$43&amp;N$1&amp;"P"&amp;$A61)="N/A",0,RTD("tos.rtd",,$A$2,"."&amp;N$43&amp;N$1&amp;"P"&amp;$A61))</f>
        <v>11</v>
      </c>
      <c r="O61" s="91">
        <f ca="1">IF(RTD("tos.rtd",,$A$2,"."&amp;O$43&amp;O$1&amp;"C"&amp;$A61)="N/A",0,RTD("tos.rtd",,$A$2,"."&amp;O$43&amp;O$1&amp;"C"&amp;$A61))-IF(RTD("tos.rtd",,$A$2,"."&amp;O$43&amp;O$1&amp;"P"&amp;$A61)="N/A",0,RTD("tos.rtd",,$A$2,"."&amp;O$43&amp;O$1&amp;"P"&amp;$A61))</f>
        <v>0</v>
      </c>
      <c r="P61" s="91">
        <f ca="1">IF(RTD("tos.rtd",,$A$2,"."&amp;P$43&amp;P$1&amp;"C"&amp;$A61)="N/A",0,RTD("tos.rtd",,$A$2,"."&amp;P$43&amp;P$1&amp;"C"&amp;$A61))-IF(RTD("tos.rtd",,$A$2,"."&amp;P$43&amp;P$1&amp;"P"&amp;$A61)="N/A",0,RTD("tos.rtd",,$A$2,"."&amp;P$43&amp;P$1&amp;"P"&amp;$A61))</f>
        <v>0</v>
      </c>
      <c r="Q61" s="91">
        <f ca="1">IF(RTD("tos.rtd",,$A$2,"."&amp;Q$43&amp;Q$1&amp;"C"&amp;$A61)="N/A",0,RTD("tos.rtd",,$A$2,"."&amp;Q$43&amp;Q$1&amp;"C"&amp;$A61))-IF(RTD("tos.rtd",,$A$2,"."&amp;Q$43&amp;Q$1&amp;"P"&amp;$A61)="N/A",0,RTD("tos.rtd",,$A$2,"."&amp;Q$43&amp;Q$1&amp;"P"&amp;$A61))</f>
        <v>0</v>
      </c>
      <c r="R61" s="91">
        <f ca="1">IF(RTD("tos.rtd",,$A$2,"."&amp;R$43&amp;R$1&amp;"C"&amp;$A61)="N/A",0,RTD("tos.rtd",,$A$2,"."&amp;R$43&amp;R$1&amp;"C"&amp;$A61))-IF(RTD("tos.rtd",,$A$2,"."&amp;R$43&amp;R$1&amp;"P"&amp;$A61)="N/A",0,RTD("tos.rtd",,$A$2,"."&amp;R$43&amp;R$1&amp;"P"&amp;$A61))</f>
        <v>-3</v>
      </c>
      <c r="S61" s="91">
        <f ca="1">IF(RTD("tos.rtd",,$A$2,"."&amp;S$43&amp;S$1&amp;"C"&amp;$A61)="N/A",0,RTD("tos.rtd",,$A$2,"."&amp;S$43&amp;S$1&amp;"C"&amp;$A61))-IF(RTD("tos.rtd",,$A$2,"."&amp;S$43&amp;S$1&amp;"P"&amp;$A61)="N/A",0,RTD("tos.rtd",,$A$2,"."&amp;S$43&amp;S$1&amp;"P"&amp;$A61))</f>
        <v>0</v>
      </c>
      <c r="T61" s="91">
        <f ca="1">IF(RTD("tos.rtd",,$A$2,"."&amp;T$43&amp;T$1&amp;"C"&amp;$A61)="N/A",0,RTD("tos.rtd",,$A$2,"."&amp;T$43&amp;T$1&amp;"C"&amp;$A61))-IF(RTD("tos.rtd",,$A$2,"."&amp;T$43&amp;T$1&amp;"P"&amp;$A61)="N/A",0,RTD("tos.rtd",,$A$2,"."&amp;T$43&amp;T$1&amp;"P"&amp;$A61))</f>
        <v>0</v>
      </c>
      <c r="U61" s="91">
        <f ca="1">IF(RTD("tos.rtd",,$A$2,"."&amp;U$43&amp;U$1&amp;"C"&amp;$A61)="N/A",0,RTD("tos.rtd",,$A$2,"."&amp;U$43&amp;U$1&amp;"C"&amp;$A61))-IF(RTD("tos.rtd",,$A$2,"."&amp;U$43&amp;U$1&amp;"P"&amp;$A61)="N/A",0,RTD("tos.rtd",,$A$2,"."&amp;U$43&amp;U$1&amp;"P"&amp;$A61))</f>
        <v>0</v>
      </c>
      <c r="V61" s="91">
        <f ca="1">IF(RTD("tos.rtd",,$A$2,"."&amp;V$43&amp;V$1&amp;"C"&amp;$A61)="N/A",0,RTD("tos.rtd",,$A$2,"."&amp;V$43&amp;V$1&amp;"C"&amp;$A61))-IF(RTD("tos.rtd",,$A$2,"."&amp;V$43&amp;V$1&amp;"P"&amp;$A61)="N/A",0,RTD("tos.rtd",,$A$2,"."&amp;V$43&amp;V$1&amp;"P"&amp;$A61))</f>
        <v>0</v>
      </c>
      <c r="W61" s="91">
        <f ca="1">IF(RTD("tos.rtd",,$A$2,"."&amp;W$43&amp;W$1&amp;"C"&amp;$A61)="N/A",0,RTD("tos.rtd",,$A$2,"."&amp;W$43&amp;W$1&amp;"C"&amp;$A61))-IF(RTD("tos.rtd",,$A$2,"."&amp;W$43&amp;W$1&amp;"P"&amp;$A61)="N/A",0,RTD("tos.rtd",,$A$2,"."&amp;W$43&amp;W$1&amp;"P"&amp;$A61))</f>
        <v>0</v>
      </c>
      <c r="X61" s="91">
        <f ca="1">IF(RTD("tos.rtd",,$A$2,"."&amp;X$43&amp;X$1&amp;"C"&amp;$A61)="N/A",0,RTD("tos.rtd",,$A$2,"."&amp;X$43&amp;X$1&amp;"C"&amp;$A61))-IF(RTD("tos.rtd",,$A$2,"."&amp;X$43&amp;X$1&amp;"P"&amp;$A61)="N/A",0,RTD("tos.rtd",,$A$2,"."&amp;X$43&amp;X$1&amp;"P"&amp;$A61))</f>
        <v>-1</v>
      </c>
      <c r="Y61" s="98">
        <f t="shared" ca="1" si="7"/>
        <v>382</v>
      </c>
    </row>
    <row r="62" spans="1:25" x14ac:dyDescent="0.25">
      <c r="A62" s="93">
        <f>+Hoja1!A61</f>
        <v>486</v>
      </c>
      <c r="B62" s="91">
        <f ca="1">IF(RTD("tos.rtd",,$A$2,"."&amp;B$43&amp;B$1&amp;"C"&amp;$A62)="N/A",0,RTD("tos.rtd",,$A$2,"."&amp;B$43&amp;B$1&amp;"C"&amp;$A62))-IF(RTD("tos.rtd",,$A$2,"."&amp;B$43&amp;B$1&amp;"P"&amp;$A62)="N/A",0,RTD("tos.rtd",,$A$2,"."&amp;B$43&amp;B$1&amp;"P"&amp;$A62))</f>
        <v>0</v>
      </c>
      <c r="C62" s="91">
        <f ca="1">IF(RTD("tos.rtd",,$A$2,"."&amp;C$43&amp;C$1&amp;"C"&amp;$A62)="N/A",0,RTD("tos.rtd",,$A$2,"."&amp;C$43&amp;C$1&amp;"C"&amp;$A62))-IF(RTD("tos.rtd",,$A$2,"."&amp;C$43&amp;C$1&amp;"P"&amp;$A62)="N/A",0,RTD("tos.rtd",,$A$2,"."&amp;C$43&amp;C$1&amp;"P"&amp;$A62))</f>
        <v>0</v>
      </c>
      <c r="D62" s="91">
        <f ca="1">IF(RTD("tos.rtd",,$A$2,"."&amp;D$43&amp;D$1&amp;"C"&amp;$A62)="N/A",0,RTD("tos.rtd",,$A$2,"."&amp;D$43&amp;D$1&amp;"C"&amp;$A62))-IF(RTD("tos.rtd",,$A$2,"."&amp;D$43&amp;D$1&amp;"P"&amp;$A62)="N/A",0,RTD("tos.rtd",,$A$2,"."&amp;D$43&amp;D$1&amp;"P"&amp;$A62))</f>
        <v>0</v>
      </c>
      <c r="E62" s="91">
        <f ca="1">IF(RTD("tos.rtd",,$A$2,"."&amp;E$43&amp;E$1&amp;"C"&amp;$A62)="N/A",0,RTD("tos.rtd",,$A$2,"."&amp;E$43&amp;E$1&amp;"C"&amp;$A62))-IF(RTD("tos.rtd",,$A$2,"."&amp;E$43&amp;E$1&amp;"P"&amp;$A62)="N/A",0,RTD("tos.rtd",,$A$2,"."&amp;E$43&amp;E$1&amp;"P"&amp;$A62))</f>
        <v>0</v>
      </c>
      <c r="F62" s="91">
        <f ca="1">IF(RTD("tos.rtd",,$A$2,"."&amp;F$43&amp;F$1&amp;"C"&amp;$A62)="N/A",0,RTD("tos.rtd",,$A$2,"."&amp;F$43&amp;F$1&amp;"C"&amp;$A62))-IF(RTD("tos.rtd",,$A$2,"."&amp;F$43&amp;F$1&amp;"P"&amp;$A62)="N/A",0,RTD("tos.rtd",,$A$2,"."&amp;F$43&amp;F$1&amp;"P"&amp;$A62))</f>
        <v>0</v>
      </c>
      <c r="G62" s="91">
        <f ca="1">IF(RTD("tos.rtd",,$A$2,"."&amp;G$43&amp;G$1&amp;"C"&amp;$A62)="N/A",0,RTD("tos.rtd",,$A$2,"."&amp;G$43&amp;G$1&amp;"C"&amp;$A62))-IF(RTD("tos.rtd",,$A$2,"."&amp;G$43&amp;G$1&amp;"P"&amp;$A62)="N/A",0,RTD("tos.rtd",,$A$2,"."&amp;G$43&amp;G$1&amp;"P"&amp;$A62))</f>
        <v>0</v>
      </c>
      <c r="H62" s="91">
        <f ca="1">IF(RTD("tos.rtd",,$A$2,"."&amp;H$43&amp;H$1&amp;"C"&amp;$A62)="N/A",0,RTD("tos.rtd",,$A$2,"."&amp;H$43&amp;H$1&amp;"C"&amp;$A62))-IF(RTD("tos.rtd",,$A$2,"."&amp;H$43&amp;H$1&amp;"P"&amp;$A62)="N/A",0,RTD("tos.rtd",,$A$2,"."&amp;H$43&amp;H$1&amp;"P"&amp;$A62))</f>
        <v>-54</v>
      </c>
      <c r="I62" s="91">
        <f ca="1">IF(RTD("tos.rtd",,$A$2,"."&amp;I$43&amp;I$1&amp;"C"&amp;$A62)="N/A",0,RTD("tos.rtd",,$A$2,"."&amp;I$43&amp;I$1&amp;"C"&amp;$A62))-IF(RTD("tos.rtd",,$A$2,"."&amp;I$43&amp;I$1&amp;"P"&amp;$A62)="N/A",0,RTD("tos.rtd",,$A$2,"."&amp;I$43&amp;I$1&amp;"P"&amp;$A62))</f>
        <v>807</v>
      </c>
      <c r="J62" s="91">
        <f ca="1">IF(RTD("tos.rtd",,$A$2,"."&amp;J$43&amp;J$1&amp;"C"&amp;$A62)="N/A",0,RTD("tos.rtd",,$A$2,"."&amp;J$43&amp;J$1&amp;"C"&amp;$A62))-IF(RTD("tos.rtd",,$A$2,"."&amp;J$43&amp;J$1&amp;"P"&amp;$A62)="N/A",0,RTD("tos.rtd",,$A$2,"."&amp;J$43&amp;J$1&amp;"P"&amp;$A62))</f>
        <v>17</v>
      </c>
      <c r="K62" s="91">
        <f ca="1">IF(RTD("tos.rtd",,$A$2,"."&amp;K$43&amp;K$1&amp;"C"&amp;$A62)="N/A",0,RTD("tos.rtd",,$A$2,"."&amp;K$43&amp;K$1&amp;"C"&amp;$A62))-IF(RTD("tos.rtd",,$A$2,"."&amp;K$43&amp;K$1&amp;"P"&amp;$A62)="N/A",0,RTD("tos.rtd",,$A$2,"."&amp;K$43&amp;K$1&amp;"P"&amp;$A62))</f>
        <v>0</v>
      </c>
      <c r="L62" s="91">
        <f ca="1">IF(RTD("tos.rtd",,$A$2,"."&amp;L$43&amp;L$1&amp;"C"&amp;$A62)="N/A",0,RTD("tos.rtd",,$A$2,"."&amp;L$43&amp;L$1&amp;"C"&amp;$A62))-IF(RTD("tos.rtd",,$A$2,"."&amp;L$43&amp;L$1&amp;"P"&amp;$A62)="N/A",0,RTD("tos.rtd",,$A$2,"."&amp;L$43&amp;L$1&amp;"P"&amp;$A62))</f>
        <v>-53</v>
      </c>
      <c r="M62" s="91">
        <f ca="1">IF(RTD("tos.rtd",,$A$2,"."&amp;M$43&amp;M$1&amp;"C"&amp;$A62)="N/A",0,RTD("tos.rtd",,$A$2,"."&amp;M$43&amp;M$1&amp;"C"&amp;$A62))-IF(RTD("tos.rtd",,$A$2,"."&amp;M$43&amp;M$1&amp;"P"&amp;$A62)="N/A",0,RTD("tos.rtd",,$A$2,"."&amp;M$43&amp;M$1&amp;"P"&amp;$A62))</f>
        <v>0</v>
      </c>
      <c r="N62" s="91">
        <f ca="1">IF(RTD("tos.rtd",,$A$2,"."&amp;N$43&amp;N$1&amp;"C"&amp;$A62)="N/A",0,RTD("tos.rtd",,$A$2,"."&amp;N$43&amp;N$1&amp;"C"&amp;$A62))-IF(RTD("tos.rtd",,$A$2,"."&amp;N$43&amp;N$1&amp;"P"&amp;$A62)="N/A",0,RTD("tos.rtd",,$A$2,"."&amp;N$43&amp;N$1&amp;"P"&amp;$A62))</f>
        <v>-7</v>
      </c>
      <c r="O62" s="91">
        <f ca="1">IF(RTD("tos.rtd",,$A$2,"."&amp;O$43&amp;O$1&amp;"C"&amp;$A62)="N/A",0,RTD("tos.rtd",,$A$2,"."&amp;O$43&amp;O$1&amp;"C"&amp;$A62))-IF(RTD("tos.rtd",,$A$2,"."&amp;O$43&amp;O$1&amp;"P"&amp;$A62)="N/A",0,RTD("tos.rtd",,$A$2,"."&amp;O$43&amp;O$1&amp;"P"&amp;$A62))</f>
        <v>0</v>
      </c>
      <c r="P62" s="91">
        <f ca="1">IF(RTD("tos.rtd",,$A$2,"."&amp;P$43&amp;P$1&amp;"C"&amp;$A62)="N/A",0,RTD("tos.rtd",,$A$2,"."&amp;P$43&amp;P$1&amp;"C"&amp;$A62))-IF(RTD("tos.rtd",,$A$2,"."&amp;P$43&amp;P$1&amp;"P"&amp;$A62)="N/A",0,RTD("tos.rtd",,$A$2,"."&amp;P$43&amp;P$1&amp;"P"&amp;$A62))</f>
        <v>0</v>
      </c>
      <c r="Q62" s="91">
        <f ca="1">IF(RTD("tos.rtd",,$A$2,"."&amp;Q$43&amp;Q$1&amp;"C"&amp;$A62)="N/A",0,RTD("tos.rtd",,$A$2,"."&amp;Q$43&amp;Q$1&amp;"C"&amp;$A62))-IF(RTD("tos.rtd",,$A$2,"."&amp;Q$43&amp;Q$1&amp;"P"&amp;$A62)="N/A",0,RTD("tos.rtd",,$A$2,"."&amp;Q$43&amp;Q$1&amp;"P"&amp;$A62))</f>
        <v>0</v>
      </c>
      <c r="R62" s="91">
        <f ca="1">IF(RTD("tos.rtd",,$A$2,"."&amp;R$43&amp;R$1&amp;"C"&amp;$A62)="N/A",0,RTD("tos.rtd",,$A$2,"."&amp;R$43&amp;R$1&amp;"C"&amp;$A62))-IF(RTD("tos.rtd",,$A$2,"."&amp;R$43&amp;R$1&amp;"P"&amp;$A62)="N/A",0,RTD("tos.rtd",,$A$2,"."&amp;R$43&amp;R$1&amp;"P"&amp;$A62))</f>
        <v>-5</v>
      </c>
      <c r="S62" s="91">
        <f ca="1">IF(RTD("tos.rtd",,$A$2,"."&amp;S$43&amp;S$1&amp;"C"&amp;$A62)="N/A",0,RTD("tos.rtd",,$A$2,"."&amp;S$43&amp;S$1&amp;"C"&amp;$A62))-IF(RTD("tos.rtd",,$A$2,"."&amp;S$43&amp;S$1&amp;"P"&amp;$A62)="N/A",0,RTD("tos.rtd",,$A$2,"."&amp;S$43&amp;S$1&amp;"P"&amp;$A62))</f>
        <v>0</v>
      </c>
      <c r="T62" s="91">
        <f ca="1">IF(RTD("tos.rtd",,$A$2,"."&amp;T$43&amp;T$1&amp;"C"&amp;$A62)="N/A",0,RTD("tos.rtd",,$A$2,"."&amp;T$43&amp;T$1&amp;"C"&amp;$A62))-IF(RTD("tos.rtd",,$A$2,"."&amp;T$43&amp;T$1&amp;"P"&amp;$A62)="N/A",0,RTD("tos.rtd",,$A$2,"."&amp;T$43&amp;T$1&amp;"P"&amp;$A62))</f>
        <v>0</v>
      </c>
      <c r="U62" s="91">
        <f ca="1">IF(RTD("tos.rtd",,$A$2,"."&amp;U$43&amp;U$1&amp;"C"&amp;$A62)="N/A",0,RTD("tos.rtd",,$A$2,"."&amp;U$43&amp;U$1&amp;"C"&amp;$A62))-IF(RTD("tos.rtd",,$A$2,"."&amp;U$43&amp;U$1&amp;"P"&amp;$A62)="N/A",0,RTD("tos.rtd",,$A$2,"."&amp;U$43&amp;U$1&amp;"P"&amp;$A62))</f>
        <v>0</v>
      </c>
      <c r="V62" s="91">
        <f ca="1">IF(RTD("tos.rtd",,$A$2,"."&amp;V$43&amp;V$1&amp;"C"&amp;$A62)="N/A",0,RTD("tos.rtd",,$A$2,"."&amp;V$43&amp;V$1&amp;"C"&amp;$A62))-IF(RTD("tos.rtd",,$A$2,"."&amp;V$43&amp;V$1&amp;"P"&amp;$A62)="N/A",0,RTD("tos.rtd",,$A$2,"."&amp;V$43&amp;V$1&amp;"P"&amp;$A62))</f>
        <v>0</v>
      </c>
      <c r="W62" s="91">
        <f ca="1">IF(RTD("tos.rtd",,$A$2,"."&amp;W$43&amp;W$1&amp;"C"&amp;$A62)="N/A",0,RTD("tos.rtd",,$A$2,"."&amp;W$43&amp;W$1&amp;"C"&amp;$A62))-IF(RTD("tos.rtd",,$A$2,"."&amp;W$43&amp;W$1&amp;"P"&amp;$A62)="N/A",0,RTD("tos.rtd",,$A$2,"."&amp;W$43&amp;W$1&amp;"P"&amp;$A62))</f>
        <v>0</v>
      </c>
      <c r="X62" s="91">
        <f ca="1">IF(RTD("tos.rtd",,$A$2,"."&amp;X$43&amp;X$1&amp;"C"&amp;$A62)="N/A",0,RTD("tos.rtd",,$A$2,"."&amp;X$43&amp;X$1&amp;"C"&amp;$A62))-IF(RTD("tos.rtd",,$A$2,"."&amp;X$43&amp;X$1&amp;"P"&amp;$A62)="N/A",0,RTD("tos.rtd",,$A$2,"."&amp;X$43&amp;X$1&amp;"P"&amp;$A62))</f>
        <v>0</v>
      </c>
      <c r="Y62" s="98">
        <f t="shared" ca="1" si="7"/>
        <v>705</v>
      </c>
    </row>
    <row r="63" spans="1:25" x14ac:dyDescent="0.25">
      <c r="A63" s="93">
        <f>+Hoja1!A62</f>
        <v>485</v>
      </c>
      <c r="B63" s="91">
        <f ca="1">IF(RTD("tos.rtd",,$A$2,"."&amp;B$43&amp;B$1&amp;"C"&amp;$A63)="N/A",0,RTD("tos.rtd",,$A$2,"."&amp;B$43&amp;B$1&amp;"C"&amp;$A63))-IF(RTD("tos.rtd",,$A$2,"."&amp;B$43&amp;B$1&amp;"P"&amp;$A63)="N/A",0,RTD("tos.rtd",,$A$2,"."&amp;B$43&amp;B$1&amp;"P"&amp;$A63))</f>
        <v>0</v>
      </c>
      <c r="C63" s="91">
        <f ca="1">IF(RTD("tos.rtd",,$A$2,"."&amp;C$43&amp;C$1&amp;"C"&amp;$A63)="N/A",0,RTD("tos.rtd",,$A$2,"."&amp;C$43&amp;C$1&amp;"C"&amp;$A63))-IF(RTD("tos.rtd",,$A$2,"."&amp;C$43&amp;C$1&amp;"P"&amp;$A63)="N/A",0,RTD("tos.rtd",,$A$2,"."&amp;C$43&amp;C$1&amp;"P"&amp;$A63))</f>
        <v>0</v>
      </c>
      <c r="D63" s="91">
        <f ca="1">IF(RTD("tos.rtd",,$A$2,"."&amp;D$43&amp;D$1&amp;"C"&amp;$A63)="N/A",0,RTD("tos.rtd",,$A$2,"."&amp;D$43&amp;D$1&amp;"C"&amp;$A63))-IF(RTD("tos.rtd",,$A$2,"."&amp;D$43&amp;D$1&amp;"P"&amp;$A63)="N/A",0,RTD("tos.rtd",,$A$2,"."&amp;D$43&amp;D$1&amp;"P"&amp;$A63))</f>
        <v>0</v>
      </c>
      <c r="E63" s="91">
        <f ca="1">IF(RTD("tos.rtd",,$A$2,"."&amp;E$43&amp;E$1&amp;"C"&amp;$A63)="N/A",0,RTD("tos.rtd",,$A$2,"."&amp;E$43&amp;E$1&amp;"C"&amp;$A63))-IF(RTD("tos.rtd",,$A$2,"."&amp;E$43&amp;E$1&amp;"P"&amp;$A63)="N/A",0,RTD("tos.rtd",,$A$2,"."&amp;E$43&amp;E$1&amp;"P"&amp;$A63))</f>
        <v>0</v>
      </c>
      <c r="F63" s="91">
        <f ca="1">IF(RTD("tos.rtd",,$A$2,"."&amp;F$43&amp;F$1&amp;"C"&amp;$A63)="N/A",0,RTD("tos.rtd",,$A$2,"."&amp;F$43&amp;F$1&amp;"C"&amp;$A63))-IF(RTD("tos.rtd",,$A$2,"."&amp;F$43&amp;F$1&amp;"P"&amp;$A63)="N/A",0,RTD("tos.rtd",,$A$2,"."&amp;F$43&amp;F$1&amp;"P"&amp;$A63))</f>
        <v>0</v>
      </c>
      <c r="G63" s="91">
        <f ca="1">IF(RTD("tos.rtd",,$A$2,"."&amp;G$43&amp;G$1&amp;"C"&amp;$A63)="N/A",0,RTD("tos.rtd",,$A$2,"."&amp;G$43&amp;G$1&amp;"C"&amp;$A63))-IF(RTD("tos.rtd",,$A$2,"."&amp;G$43&amp;G$1&amp;"P"&amp;$A63)="N/A",0,RTD("tos.rtd",,$A$2,"."&amp;G$43&amp;G$1&amp;"P"&amp;$A63))</f>
        <v>0</v>
      </c>
      <c r="H63" s="91">
        <f ca="1">IF(RTD("tos.rtd",,$A$2,"."&amp;H$43&amp;H$1&amp;"C"&amp;$A63)="N/A",0,RTD("tos.rtd",,$A$2,"."&amp;H$43&amp;H$1&amp;"C"&amp;$A63))-IF(RTD("tos.rtd",,$A$2,"."&amp;H$43&amp;H$1&amp;"P"&amp;$A63)="N/A",0,RTD("tos.rtd",,$A$2,"."&amp;H$43&amp;H$1&amp;"P"&amp;$A63))</f>
        <v>344</v>
      </c>
      <c r="I63" s="91">
        <f ca="1">IF(RTD("tos.rtd",,$A$2,"."&amp;I$43&amp;I$1&amp;"C"&amp;$A63)="N/A",0,RTD("tos.rtd",,$A$2,"."&amp;I$43&amp;I$1&amp;"C"&amp;$A63))-IF(RTD("tos.rtd",,$A$2,"."&amp;I$43&amp;I$1&amp;"P"&amp;$A63)="N/A",0,RTD("tos.rtd",,$A$2,"."&amp;I$43&amp;I$1&amp;"P"&amp;$A63))</f>
        <v>571</v>
      </c>
      <c r="J63" s="91">
        <f ca="1">IF(RTD("tos.rtd",,$A$2,"."&amp;J$43&amp;J$1&amp;"C"&amp;$A63)="N/A",0,RTD("tos.rtd",,$A$2,"."&amp;J$43&amp;J$1&amp;"C"&amp;$A63))-IF(RTD("tos.rtd",,$A$2,"."&amp;J$43&amp;J$1&amp;"P"&amp;$A63)="N/A",0,RTD("tos.rtd",,$A$2,"."&amp;J$43&amp;J$1&amp;"P"&amp;$A63))</f>
        <v>-91</v>
      </c>
      <c r="K63" s="91">
        <f ca="1">IF(RTD("tos.rtd",,$A$2,"."&amp;K$43&amp;K$1&amp;"C"&amp;$A63)="N/A",0,RTD("tos.rtd",,$A$2,"."&amp;K$43&amp;K$1&amp;"C"&amp;$A63))-IF(RTD("tos.rtd",,$A$2,"."&amp;K$43&amp;K$1&amp;"P"&amp;$A63)="N/A",0,RTD("tos.rtd",,$A$2,"."&amp;K$43&amp;K$1&amp;"P"&amp;$A63))</f>
        <v>897</v>
      </c>
      <c r="L63" s="91">
        <f ca="1">IF(RTD("tos.rtd",,$A$2,"."&amp;L$43&amp;L$1&amp;"C"&amp;$A63)="N/A",0,RTD("tos.rtd",,$A$2,"."&amp;L$43&amp;L$1&amp;"C"&amp;$A63))-IF(RTD("tos.rtd",,$A$2,"."&amp;L$43&amp;L$1&amp;"P"&amp;$A63)="N/A",0,RTD("tos.rtd",,$A$2,"."&amp;L$43&amp;L$1&amp;"P"&amp;$A63))</f>
        <v>17</v>
      </c>
      <c r="M63" s="91">
        <f ca="1">IF(RTD("tos.rtd",,$A$2,"."&amp;M$43&amp;M$1&amp;"C"&amp;$A63)="N/A",0,RTD("tos.rtd",,$A$2,"."&amp;M$43&amp;M$1&amp;"C"&amp;$A63))-IF(RTD("tos.rtd",,$A$2,"."&amp;M$43&amp;M$1&amp;"P"&amp;$A63)="N/A",0,RTD("tos.rtd",,$A$2,"."&amp;M$43&amp;M$1&amp;"P"&amp;$A63))</f>
        <v>-28</v>
      </c>
      <c r="N63" s="91">
        <f ca="1">IF(RTD("tos.rtd",,$A$2,"."&amp;N$43&amp;N$1&amp;"C"&amp;$A63)="N/A",0,RTD("tos.rtd",,$A$2,"."&amp;N$43&amp;N$1&amp;"C"&amp;$A63))-IF(RTD("tos.rtd",,$A$2,"."&amp;N$43&amp;N$1&amp;"P"&amp;$A63)="N/A",0,RTD("tos.rtd",,$A$2,"."&amp;N$43&amp;N$1&amp;"P"&amp;$A63))</f>
        <v>-6</v>
      </c>
      <c r="O63" s="91">
        <f ca="1">IF(RTD("tos.rtd",,$A$2,"."&amp;O$43&amp;O$1&amp;"C"&amp;$A63)="N/A",0,RTD("tos.rtd",,$A$2,"."&amp;O$43&amp;O$1&amp;"C"&amp;$A63))-IF(RTD("tos.rtd",,$A$2,"."&amp;O$43&amp;O$1&amp;"P"&amp;$A63)="N/A",0,RTD("tos.rtd",,$A$2,"."&amp;O$43&amp;O$1&amp;"P"&amp;$A63))</f>
        <v>139</v>
      </c>
      <c r="P63" s="91">
        <f ca="1">IF(RTD("tos.rtd",,$A$2,"."&amp;P$43&amp;P$1&amp;"C"&amp;$A63)="N/A",0,RTD("tos.rtd",,$A$2,"."&amp;P$43&amp;P$1&amp;"C"&amp;$A63))-IF(RTD("tos.rtd",,$A$2,"."&amp;P$43&amp;P$1&amp;"P"&amp;$A63)="N/A",0,RTD("tos.rtd",,$A$2,"."&amp;P$43&amp;P$1&amp;"P"&amp;$A63))</f>
        <v>-51</v>
      </c>
      <c r="Q63" s="91">
        <f ca="1">IF(RTD("tos.rtd",,$A$2,"."&amp;Q$43&amp;Q$1&amp;"C"&amp;$A63)="N/A",0,RTD("tos.rtd",,$A$2,"."&amp;Q$43&amp;Q$1&amp;"C"&amp;$A63))-IF(RTD("tos.rtd",,$A$2,"."&amp;Q$43&amp;Q$1&amp;"P"&amp;$A63)="N/A",0,RTD("tos.rtd",,$A$2,"."&amp;Q$43&amp;Q$1&amp;"P"&amp;$A63))</f>
        <v>-16</v>
      </c>
      <c r="R63" s="91">
        <f ca="1">IF(RTD("tos.rtd",,$A$2,"."&amp;R$43&amp;R$1&amp;"C"&amp;$A63)="N/A",0,RTD("tos.rtd",,$A$2,"."&amp;R$43&amp;R$1&amp;"C"&amp;$A63))-IF(RTD("tos.rtd",,$A$2,"."&amp;R$43&amp;R$1&amp;"P"&amp;$A63)="N/A",0,RTD("tos.rtd",,$A$2,"."&amp;R$43&amp;R$1&amp;"P"&amp;$A63))</f>
        <v>-45</v>
      </c>
      <c r="S63" s="91">
        <f ca="1">IF(RTD("tos.rtd",,$A$2,"."&amp;S$43&amp;S$1&amp;"C"&amp;$A63)="N/A",0,RTD("tos.rtd",,$A$2,"."&amp;S$43&amp;S$1&amp;"C"&amp;$A63))-IF(RTD("tos.rtd",,$A$2,"."&amp;S$43&amp;S$1&amp;"P"&amp;$A63)="N/A",0,RTD("tos.rtd",,$A$2,"."&amp;S$43&amp;S$1&amp;"P"&amp;$A63))</f>
        <v>0</v>
      </c>
      <c r="T63" s="91">
        <f ca="1">IF(RTD("tos.rtd",,$A$2,"."&amp;T$43&amp;T$1&amp;"C"&amp;$A63)="N/A",0,RTD("tos.rtd",,$A$2,"."&amp;T$43&amp;T$1&amp;"C"&amp;$A63))-IF(RTD("tos.rtd",,$A$2,"."&amp;T$43&amp;T$1&amp;"P"&amp;$A63)="N/A",0,RTD("tos.rtd",,$A$2,"."&amp;T$43&amp;T$1&amp;"P"&amp;$A63))</f>
        <v>0</v>
      </c>
      <c r="U63" s="91">
        <f ca="1">IF(RTD("tos.rtd",,$A$2,"."&amp;U$43&amp;U$1&amp;"C"&amp;$A63)="N/A",0,RTD("tos.rtd",,$A$2,"."&amp;U$43&amp;U$1&amp;"C"&amp;$A63))-IF(RTD("tos.rtd",,$A$2,"."&amp;U$43&amp;U$1&amp;"P"&amp;$A63)="N/A",0,RTD("tos.rtd",,$A$2,"."&amp;U$43&amp;U$1&amp;"P"&amp;$A63))</f>
        <v>17</v>
      </c>
      <c r="V63" s="91">
        <f ca="1">IF(RTD("tos.rtd",,$A$2,"."&amp;V$43&amp;V$1&amp;"C"&amp;$A63)="N/A",0,RTD("tos.rtd",,$A$2,"."&amp;V$43&amp;V$1&amp;"C"&amp;$A63))-IF(RTD("tos.rtd",,$A$2,"."&amp;V$43&amp;V$1&amp;"P"&amp;$A63)="N/A",0,RTD("tos.rtd",,$A$2,"."&amp;V$43&amp;V$1&amp;"P"&amp;$A63))</f>
        <v>0</v>
      </c>
      <c r="W63" s="91">
        <f ca="1">IF(RTD("tos.rtd",,$A$2,"."&amp;W$43&amp;W$1&amp;"C"&amp;$A63)="N/A",0,RTD("tos.rtd",,$A$2,"."&amp;W$43&amp;W$1&amp;"C"&amp;$A63))-IF(RTD("tos.rtd",,$A$2,"."&amp;W$43&amp;W$1&amp;"P"&amp;$A63)="N/A",0,RTD("tos.rtd",,$A$2,"."&amp;W$43&amp;W$1&amp;"P"&amp;$A63))</f>
        <v>0</v>
      </c>
      <c r="X63" s="91">
        <f ca="1">IF(RTD("tos.rtd",,$A$2,"."&amp;X$43&amp;X$1&amp;"C"&amp;$A63)="N/A",0,RTD("tos.rtd",,$A$2,"."&amp;X$43&amp;X$1&amp;"C"&amp;$A63))-IF(RTD("tos.rtd",,$A$2,"."&amp;X$43&amp;X$1&amp;"P"&amp;$A63)="N/A",0,RTD("tos.rtd",,$A$2,"."&amp;X$43&amp;X$1&amp;"P"&amp;$A63))</f>
        <v>0</v>
      </c>
      <c r="Y63" s="98">
        <f t="shared" ca="1" si="7"/>
        <v>1748</v>
      </c>
    </row>
    <row r="64" spans="1:25" x14ac:dyDescent="0.25">
      <c r="A64" s="93">
        <f>+Hoja1!A63</f>
        <v>484</v>
      </c>
      <c r="B64" s="91">
        <f ca="1">IF(RTD("tos.rtd",,$A$2,"."&amp;B$43&amp;B$1&amp;"C"&amp;$A64)="N/A",0,RTD("tos.rtd",,$A$2,"."&amp;B$43&amp;B$1&amp;"C"&amp;$A64))-IF(RTD("tos.rtd",,$A$2,"."&amp;B$43&amp;B$1&amp;"P"&amp;$A64)="N/A",0,RTD("tos.rtd",,$A$2,"."&amp;B$43&amp;B$1&amp;"P"&amp;$A64))</f>
        <v>0</v>
      </c>
      <c r="C64" s="91">
        <f ca="1">IF(RTD("tos.rtd",,$A$2,"."&amp;C$43&amp;C$1&amp;"C"&amp;$A64)="N/A",0,RTD("tos.rtd",,$A$2,"."&amp;C$43&amp;C$1&amp;"C"&amp;$A64))-IF(RTD("tos.rtd",,$A$2,"."&amp;C$43&amp;C$1&amp;"P"&amp;$A64)="N/A",0,RTD("tos.rtd",,$A$2,"."&amp;C$43&amp;C$1&amp;"P"&amp;$A64))</f>
        <v>0</v>
      </c>
      <c r="D64" s="91">
        <f ca="1">IF(RTD("tos.rtd",,$A$2,"."&amp;D$43&amp;D$1&amp;"C"&amp;$A64)="N/A",0,RTD("tos.rtd",,$A$2,"."&amp;D$43&amp;D$1&amp;"C"&amp;$A64))-IF(RTD("tos.rtd",,$A$2,"."&amp;D$43&amp;D$1&amp;"P"&amp;$A64)="N/A",0,RTD("tos.rtd",,$A$2,"."&amp;D$43&amp;D$1&amp;"P"&amp;$A64))</f>
        <v>0</v>
      </c>
      <c r="E64" s="91">
        <f ca="1">IF(RTD("tos.rtd",,$A$2,"."&amp;E$43&amp;E$1&amp;"C"&amp;$A64)="N/A",0,RTD("tos.rtd",,$A$2,"."&amp;E$43&amp;E$1&amp;"C"&amp;$A64))-IF(RTD("tos.rtd",,$A$2,"."&amp;E$43&amp;E$1&amp;"P"&amp;$A64)="N/A",0,RTD("tos.rtd",,$A$2,"."&amp;E$43&amp;E$1&amp;"P"&amp;$A64))</f>
        <v>0</v>
      </c>
      <c r="F64" s="91">
        <f ca="1">IF(RTD("tos.rtd",,$A$2,"."&amp;F$43&amp;F$1&amp;"C"&amp;$A64)="N/A",0,RTD("tos.rtd",,$A$2,"."&amp;F$43&amp;F$1&amp;"C"&amp;$A64))-IF(RTD("tos.rtd",,$A$2,"."&amp;F$43&amp;F$1&amp;"P"&amp;$A64)="N/A",0,RTD("tos.rtd",,$A$2,"."&amp;F$43&amp;F$1&amp;"P"&amp;$A64))</f>
        <v>0</v>
      </c>
      <c r="G64" s="91">
        <f ca="1">IF(RTD("tos.rtd",,$A$2,"."&amp;G$43&amp;G$1&amp;"C"&amp;$A64)="N/A",0,RTD("tos.rtd",,$A$2,"."&amp;G$43&amp;G$1&amp;"C"&amp;$A64))-IF(RTD("tos.rtd",,$A$2,"."&amp;G$43&amp;G$1&amp;"P"&amp;$A64)="N/A",0,RTD("tos.rtd",,$A$2,"."&amp;G$43&amp;G$1&amp;"P"&amp;$A64))</f>
        <v>0</v>
      </c>
      <c r="H64" s="91">
        <f ca="1">IF(RTD("tos.rtd",,$A$2,"."&amp;H$43&amp;H$1&amp;"C"&amp;$A64)="N/A",0,RTD("tos.rtd",,$A$2,"."&amp;H$43&amp;H$1&amp;"C"&amp;$A64))-IF(RTD("tos.rtd",,$A$2,"."&amp;H$43&amp;H$1&amp;"P"&amp;$A64)="N/A",0,RTD("tos.rtd",,$A$2,"."&amp;H$43&amp;H$1&amp;"P"&amp;$A64))</f>
        <v>76</v>
      </c>
      <c r="I64" s="91">
        <f ca="1">IF(RTD("tos.rtd",,$A$2,"."&amp;I$43&amp;I$1&amp;"C"&amp;$A64)="N/A",0,RTD("tos.rtd",,$A$2,"."&amp;I$43&amp;I$1&amp;"C"&amp;$A64))-IF(RTD("tos.rtd",,$A$2,"."&amp;I$43&amp;I$1&amp;"P"&amp;$A64)="N/A",0,RTD("tos.rtd",,$A$2,"."&amp;I$43&amp;I$1&amp;"P"&amp;$A64))</f>
        <v>-176</v>
      </c>
      <c r="J64" s="91">
        <f ca="1">IF(RTD("tos.rtd",,$A$2,"."&amp;J$43&amp;J$1&amp;"C"&amp;$A64)="N/A",0,RTD("tos.rtd",,$A$2,"."&amp;J$43&amp;J$1&amp;"C"&amp;$A64))-IF(RTD("tos.rtd",,$A$2,"."&amp;J$43&amp;J$1&amp;"P"&amp;$A64)="N/A",0,RTD("tos.rtd",,$A$2,"."&amp;J$43&amp;J$1&amp;"P"&amp;$A64))</f>
        <v>-12</v>
      </c>
      <c r="K64" s="91">
        <f ca="1">IF(RTD("tos.rtd",,$A$2,"."&amp;K$43&amp;K$1&amp;"C"&amp;$A64)="N/A",0,RTD("tos.rtd",,$A$2,"."&amp;K$43&amp;K$1&amp;"C"&amp;$A64))-IF(RTD("tos.rtd",,$A$2,"."&amp;K$43&amp;K$1&amp;"P"&amp;$A64)="N/A",0,RTD("tos.rtd",,$A$2,"."&amp;K$43&amp;K$1&amp;"P"&amp;$A64))</f>
        <v>0</v>
      </c>
      <c r="L64" s="91">
        <f ca="1">IF(RTD("tos.rtd",,$A$2,"."&amp;L$43&amp;L$1&amp;"C"&amp;$A64)="N/A",0,RTD("tos.rtd",,$A$2,"."&amp;L$43&amp;L$1&amp;"C"&amp;$A64))-IF(RTD("tos.rtd",,$A$2,"."&amp;L$43&amp;L$1&amp;"P"&amp;$A64)="N/A",0,RTD("tos.rtd",,$A$2,"."&amp;L$43&amp;L$1&amp;"P"&amp;$A64))</f>
        <v>-32</v>
      </c>
      <c r="M64" s="91">
        <f ca="1">IF(RTD("tos.rtd",,$A$2,"."&amp;M$43&amp;M$1&amp;"C"&amp;$A64)="N/A",0,RTD("tos.rtd",,$A$2,"."&amp;M$43&amp;M$1&amp;"C"&amp;$A64))-IF(RTD("tos.rtd",,$A$2,"."&amp;M$43&amp;M$1&amp;"P"&amp;$A64)="N/A",0,RTD("tos.rtd",,$A$2,"."&amp;M$43&amp;M$1&amp;"P"&amp;$A64))</f>
        <v>0</v>
      </c>
      <c r="N64" s="91">
        <f ca="1">IF(RTD("tos.rtd",,$A$2,"."&amp;N$43&amp;N$1&amp;"C"&amp;$A64)="N/A",0,RTD("tos.rtd",,$A$2,"."&amp;N$43&amp;N$1&amp;"C"&amp;$A64))-IF(RTD("tos.rtd",,$A$2,"."&amp;N$43&amp;N$1&amp;"P"&amp;$A64)="N/A",0,RTD("tos.rtd",,$A$2,"."&amp;N$43&amp;N$1&amp;"P"&amp;$A64))</f>
        <v>2</v>
      </c>
      <c r="O64" s="91">
        <f ca="1">IF(RTD("tos.rtd",,$A$2,"."&amp;O$43&amp;O$1&amp;"C"&amp;$A64)="N/A",0,RTD("tos.rtd",,$A$2,"."&amp;O$43&amp;O$1&amp;"C"&amp;$A64))-IF(RTD("tos.rtd",,$A$2,"."&amp;O$43&amp;O$1&amp;"P"&amp;$A64)="N/A",0,RTD("tos.rtd",,$A$2,"."&amp;O$43&amp;O$1&amp;"P"&amp;$A64))</f>
        <v>0</v>
      </c>
      <c r="P64" s="91">
        <f ca="1">IF(RTD("tos.rtd",,$A$2,"."&amp;P$43&amp;P$1&amp;"C"&amp;$A64)="N/A",0,RTD("tos.rtd",,$A$2,"."&amp;P$43&amp;P$1&amp;"C"&amp;$A64))-IF(RTD("tos.rtd",,$A$2,"."&amp;P$43&amp;P$1&amp;"P"&amp;$A64)="N/A",0,RTD("tos.rtd",,$A$2,"."&amp;P$43&amp;P$1&amp;"P"&amp;$A64))</f>
        <v>0</v>
      </c>
      <c r="Q64" s="91">
        <f ca="1">IF(RTD("tos.rtd",,$A$2,"."&amp;Q$43&amp;Q$1&amp;"C"&amp;$A64)="N/A",0,RTD("tos.rtd",,$A$2,"."&amp;Q$43&amp;Q$1&amp;"C"&amp;$A64))-IF(RTD("tos.rtd",,$A$2,"."&amp;Q$43&amp;Q$1&amp;"P"&amp;$A64)="N/A",0,RTD("tos.rtd",,$A$2,"."&amp;Q$43&amp;Q$1&amp;"P"&amp;$A64))</f>
        <v>0</v>
      </c>
      <c r="R64" s="91">
        <f ca="1">IF(RTD("tos.rtd",,$A$2,"."&amp;R$43&amp;R$1&amp;"C"&amp;$A64)="N/A",0,RTD("tos.rtd",,$A$2,"."&amp;R$43&amp;R$1&amp;"C"&amp;$A64))-IF(RTD("tos.rtd",,$A$2,"."&amp;R$43&amp;R$1&amp;"P"&amp;$A64)="N/A",0,RTD("tos.rtd",,$A$2,"."&amp;R$43&amp;R$1&amp;"P"&amp;$A64))</f>
        <v>0</v>
      </c>
      <c r="S64" s="91">
        <f ca="1">IF(RTD("tos.rtd",,$A$2,"."&amp;S$43&amp;S$1&amp;"C"&amp;$A64)="N/A",0,RTD("tos.rtd",,$A$2,"."&amp;S$43&amp;S$1&amp;"C"&amp;$A64))-IF(RTD("tos.rtd",,$A$2,"."&amp;S$43&amp;S$1&amp;"P"&amp;$A64)="N/A",0,RTD("tos.rtd",,$A$2,"."&amp;S$43&amp;S$1&amp;"P"&amp;$A64))</f>
        <v>0</v>
      </c>
      <c r="T64" s="91">
        <f ca="1">IF(RTD("tos.rtd",,$A$2,"."&amp;T$43&amp;T$1&amp;"C"&amp;$A64)="N/A",0,RTD("tos.rtd",,$A$2,"."&amp;T$43&amp;T$1&amp;"C"&amp;$A64))-IF(RTD("tos.rtd",,$A$2,"."&amp;T$43&amp;T$1&amp;"P"&amp;$A64)="N/A",0,RTD("tos.rtd",,$A$2,"."&amp;T$43&amp;T$1&amp;"P"&amp;$A64))</f>
        <v>0</v>
      </c>
      <c r="U64" s="91">
        <f ca="1">IF(RTD("tos.rtd",,$A$2,"."&amp;U$43&amp;U$1&amp;"C"&amp;$A64)="N/A",0,RTD("tos.rtd",,$A$2,"."&amp;U$43&amp;U$1&amp;"C"&amp;$A64))-IF(RTD("tos.rtd",,$A$2,"."&amp;U$43&amp;U$1&amp;"P"&amp;$A64)="N/A",0,RTD("tos.rtd",,$A$2,"."&amp;U$43&amp;U$1&amp;"P"&amp;$A64))</f>
        <v>0</v>
      </c>
      <c r="V64" s="91">
        <f ca="1">IF(RTD("tos.rtd",,$A$2,"."&amp;V$43&amp;V$1&amp;"C"&amp;$A64)="N/A",0,RTD("tos.rtd",,$A$2,"."&amp;V$43&amp;V$1&amp;"C"&amp;$A64))-IF(RTD("tos.rtd",,$A$2,"."&amp;V$43&amp;V$1&amp;"P"&amp;$A64)="N/A",0,RTD("tos.rtd",,$A$2,"."&amp;V$43&amp;V$1&amp;"P"&amp;$A64))</f>
        <v>0</v>
      </c>
      <c r="W64" s="91">
        <f ca="1">IF(RTD("tos.rtd",,$A$2,"."&amp;W$43&amp;W$1&amp;"C"&amp;$A64)="N/A",0,RTD("tos.rtd",,$A$2,"."&amp;W$43&amp;W$1&amp;"C"&amp;$A64))-IF(RTD("tos.rtd",,$A$2,"."&amp;W$43&amp;W$1&amp;"P"&amp;$A64)="N/A",0,RTD("tos.rtd",,$A$2,"."&amp;W$43&amp;W$1&amp;"P"&amp;$A64))</f>
        <v>0</v>
      </c>
      <c r="X64" s="91">
        <f ca="1">IF(RTD("tos.rtd",,$A$2,"."&amp;X$43&amp;X$1&amp;"C"&amp;$A64)="N/A",0,RTD("tos.rtd",,$A$2,"."&amp;X$43&amp;X$1&amp;"C"&amp;$A64))-IF(RTD("tos.rtd",,$A$2,"."&amp;X$43&amp;X$1&amp;"P"&amp;$A64)="N/A",0,RTD("tos.rtd",,$A$2,"."&amp;X$43&amp;X$1&amp;"P"&amp;$A64))</f>
        <v>2</v>
      </c>
      <c r="Y64" s="98">
        <f t="shared" ca="1" si="7"/>
        <v>-140</v>
      </c>
    </row>
    <row r="65" spans="1:25" x14ac:dyDescent="0.25">
      <c r="A65" s="93">
        <f>+Hoja1!A64</f>
        <v>483</v>
      </c>
      <c r="B65" s="91">
        <f ca="1">IF(RTD("tos.rtd",,$A$2,"."&amp;B$43&amp;B$1&amp;"C"&amp;$A65)="N/A",0,RTD("tos.rtd",,$A$2,"."&amp;B$43&amp;B$1&amp;"C"&amp;$A65))-IF(RTD("tos.rtd",,$A$2,"."&amp;B$43&amp;B$1&amp;"P"&amp;$A65)="N/A",0,RTD("tos.rtd",,$A$2,"."&amp;B$43&amp;B$1&amp;"P"&amp;$A65))</f>
        <v>0</v>
      </c>
      <c r="C65" s="91">
        <f ca="1">IF(RTD("tos.rtd",,$A$2,"."&amp;C$43&amp;C$1&amp;"C"&amp;$A65)="N/A",0,RTD("tos.rtd",,$A$2,"."&amp;C$43&amp;C$1&amp;"C"&amp;$A65))-IF(RTD("tos.rtd",,$A$2,"."&amp;C$43&amp;C$1&amp;"P"&amp;$A65)="N/A",0,RTD("tos.rtd",,$A$2,"."&amp;C$43&amp;C$1&amp;"P"&amp;$A65))</f>
        <v>0</v>
      </c>
      <c r="D65" s="91">
        <f ca="1">IF(RTD("tos.rtd",,$A$2,"."&amp;D$43&amp;D$1&amp;"C"&amp;$A65)="N/A",0,RTD("tos.rtd",,$A$2,"."&amp;D$43&amp;D$1&amp;"C"&amp;$A65))-IF(RTD("tos.rtd",,$A$2,"."&amp;D$43&amp;D$1&amp;"P"&amp;$A65)="N/A",0,RTD("tos.rtd",,$A$2,"."&amp;D$43&amp;D$1&amp;"P"&amp;$A65))</f>
        <v>0</v>
      </c>
      <c r="E65" s="91">
        <f ca="1">IF(RTD("tos.rtd",,$A$2,"."&amp;E$43&amp;E$1&amp;"C"&amp;$A65)="N/A",0,RTD("tos.rtd",,$A$2,"."&amp;E$43&amp;E$1&amp;"C"&amp;$A65))-IF(RTD("tos.rtd",,$A$2,"."&amp;E$43&amp;E$1&amp;"P"&amp;$A65)="N/A",0,RTD("tos.rtd",,$A$2,"."&amp;E$43&amp;E$1&amp;"P"&amp;$A65))</f>
        <v>0</v>
      </c>
      <c r="F65" s="91">
        <f ca="1">IF(RTD("tos.rtd",,$A$2,"."&amp;F$43&amp;F$1&amp;"C"&amp;$A65)="N/A",0,RTD("tos.rtd",,$A$2,"."&amp;F$43&amp;F$1&amp;"C"&amp;$A65))-IF(RTD("tos.rtd",,$A$2,"."&amp;F$43&amp;F$1&amp;"P"&amp;$A65)="N/A",0,RTD("tos.rtd",,$A$2,"."&amp;F$43&amp;F$1&amp;"P"&amp;$A65))</f>
        <v>0</v>
      </c>
      <c r="G65" s="91">
        <f ca="1">IF(RTD("tos.rtd",,$A$2,"."&amp;G$43&amp;G$1&amp;"C"&amp;$A65)="N/A",0,RTD("tos.rtd",,$A$2,"."&amp;G$43&amp;G$1&amp;"C"&amp;$A65))-IF(RTD("tos.rtd",,$A$2,"."&amp;G$43&amp;G$1&amp;"P"&amp;$A65)="N/A",0,RTD("tos.rtd",,$A$2,"."&amp;G$43&amp;G$1&amp;"P"&amp;$A65))</f>
        <v>0</v>
      </c>
      <c r="H65" s="91">
        <f ca="1">IF(RTD("tos.rtd",,$A$2,"."&amp;H$43&amp;H$1&amp;"C"&amp;$A65)="N/A",0,RTD("tos.rtd",,$A$2,"."&amp;H$43&amp;H$1&amp;"C"&amp;$A65))-IF(RTD("tos.rtd",,$A$2,"."&amp;H$43&amp;H$1&amp;"P"&amp;$A65)="N/A",0,RTD("tos.rtd",,$A$2,"."&amp;H$43&amp;H$1&amp;"P"&amp;$A65))</f>
        <v>-44</v>
      </c>
      <c r="I65" s="91">
        <f ca="1">IF(RTD("tos.rtd",,$A$2,"."&amp;I$43&amp;I$1&amp;"C"&amp;$A65)="N/A",0,RTD("tos.rtd",,$A$2,"."&amp;I$43&amp;I$1&amp;"C"&amp;$A65))-IF(RTD("tos.rtd",,$A$2,"."&amp;I$43&amp;I$1&amp;"P"&amp;$A65)="N/A",0,RTD("tos.rtd",,$A$2,"."&amp;I$43&amp;I$1&amp;"P"&amp;$A65))</f>
        <v>-41</v>
      </c>
      <c r="J65" s="91">
        <f ca="1">IF(RTD("tos.rtd",,$A$2,"."&amp;J$43&amp;J$1&amp;"C"&amp;$A65)="N/A",0,RTD("tos.rtd",,$A$2,"."&amp;J$43&amp;J$1&amp;"C"&amp;$A65))-IF(RTD("tos.rtd",,$A$2,"."&amp;J$43&amp;J$1&amp;"P"&amp;$A65)="N/A",0,RTD("tos.rtd",,$A$2,"."&amp;J$43&amp;J$1&amp;"P"&amp;$A65))</f>
        <v>-143</v>
      </c>
      <c r="K65" s="91">
        <f ca="1">IF(RTD("tos.rtd",,$A$2,"."&amp;K$43&amp;K$1&amp;"C"&amp;$A65)="N/A",0,RTD("tos.rtd",,$A$2,"."&amp;K$43&amp;K$1&amp;"C"&amp;$A65))-IF(RTD("tos.rtd",,$A$2,"."&amp;K$43&amp;K$1&amp;"P"&amp;$A65)="N/A",0,RTD("tos.rtd",,$A$2,"."&amp;K$43&amp;K$1&amp;"P"&amp;$A65))</f>
        <v>0</v>
      </c>
      <c r="L65" s="91">
        <f ca="1">IF(RTD("tos.rtd",,$A$2,"."&amp;L$43&amp;L$1&amp;"C"&amp;$A65)="N/A",0,RTD("tos.rtd",,$A$2,"."&amp;L$43&amp;L$1&amp;"C"&amp;$A65))-IF(RTD("tos.rtd",,$A$2,"."&amp;L$43&amp;L$1&amp;"P"&amp;$A65)="N/A",0,RTD("tos.rtd",,$A$2,"."&amp;L$43&amp;L$1&amp;"P"&amp;$A65))</f>
        <v>-86</v>
      </c>
      <c r="M65" s="91">
        <f ca="1">IF(RTD("tos.rtd",,$A$2,"."&amp;M$43&amp;M$1&amp;"C"&amp;$A65)="N/A",0,RTD("tos.rtd",,$A$2,"."&amp;M$43&amp;M$1&amp;"C"&amp;$A65))-IF(RTD("tos.rtd",,$A$2,"."&amp;M$43&amp;M$1&amp;"P"&amp;$A65)="N/A",0,RTD("tos.rtd",,$A$2,"."&amp;M$43&amp;M$1&amp;"P"&amp;$A65))</f>
        <v>0</v>
      </c>
      <c r="N65" s="91">
        <f ca="1">IF(RTD("tos.rtd",,$A$2,"."&amp;N$43&amp;N$1&amp;"C"&amp;$A65)="N/A",0,RTD("tos.rtd",,$A$2,"."&amp;N$43&amp;N$1&amp;"C"&amp;$A65))-IF(RTD("tos.rtd",,$A$2,"."&amp;N$43&amp;N$1&amp;"P"&amp;$A65)="N/A",0,RTD("tos.rtd",,$A$2,"."&amp;N$43&amp;N$1&amp;"P"&amp;$A65))</f>
        <v>1</v>
      </c>
      <c r="O65" s="91">
        <f ca="1">IF(RTD("tos.rtd",,$A$2,"."&amp;O$43&amp;O$1&amp;"C"&amp;$A65)="N/A",0,RTD("tos.rtd",,$A$2,"."&amp;O$43&amp;O$1&amp;"C"&amp;$A65))-IF(RTD("tos.rtd",,$A$2,"."&amp;O$43&amp;O$1&amp;"P"&amp;$A65)="N/A",0,RTD("tos.rtd",,$A$2,"."&amp;O$43&amp;O$1&amp;"P"&amp;$A65))</f>
        <v>0</v>
      </c>
      <c r="P65" s="91">
        <f ca="1">IF(RTD("tos.rtd",,$A$2,"."&amp;P$43&amp;P$1&amp;"C"&amp;$A65)="N/A",0,RTD("tos.rtd",,$A$2,"."&amp;P$43&amp;P$1&amp;"C"&amp;$A65))-IF(RTD("tos.rtd",,$A$2,"."&amp;P$43&amp;P$1&amp;"P"&amp;$A65)="N/A",0,RTD("tos.rtd",,$A$2,"."&amp;P$43&amp;P$1&amp;"P"&amp;$A65))</f>
        <v>0</v>
      </c>
      <c r="Q65" s="91">
        <f ca="1">IF(RTD("tos.rtd",,$A$2,"."&amp;Q$43&amp;Q$1&amp;"C"&amp;$A65)="N/A",0,RTD("tos.rtd",,$A$2,"."&amp;Q$43&amp;Q$1&amp;"C"&amp;$A65))-IF(RTD("tos.rtd",,$A$2,"."&amp;Q$43&amp;Q$1&amp;"P"&amp;$A65)="N/A",0,RTD("tos.rtd",,$A$2,"."&amp;Q$43&amp;Q$1&amp;"P"&amp;$A65))</f>
        <v>0</v>
      </c>
      <c r="R65" s="91">
        <f ca="1">IF(RTD("tos.rtd",,$A$2,"."&amp;R$43&amp;R$1&amp;"C"&amp;$A65)="N/A",0,RTD("tos.rtd",,$A$2,"."&amp;R$43&amp;R$1&amp;"C"&amp;$A65))-IF(RTD("tos.rtd",,$A$2,"."&amp;R$43&amp;R$1&amp;"P"&amp;$A65)="N/A",0,RTD("tos.rtd",,$A$2,"."&amp;R$43&amp;R$1&amp;"P"&amp;$A65))</f>
        <v>8</v>
      </c>
      <c r="S65" s="91">
        <f ca="1">IF(RTD("tos.rtd",,$A$2,"."&amp;S$43&amp;S$1&amp;"C"&amp;$A65)="N/A",0,RTD("tos.rtd",,$A$2,"."&amp;S$43&amp;S$1&amp;"C"&amp;$A65))-IF(RTD("tos.rtd",,$A$2,"."&amp;S$43&amp;S$1&amp;"P"&amp;$A65)="N/A",0,RTD("tos.rtd",,$A$2,"."&amp;S$43&amp;S$1&amp;"P"&amp;$A65))</f>
        <v>0</v>
      </c>
      <c r="T65" s="91">
        <f ca="1">IF(RTD("tos.rtd",,$A$2,"."&amp;T$43&amp;T$1&amp;"C"&amp;$A65)="N/A",0,RTD("tos.rtd",,$A$2,"."&amp;T$43&amp;T$1&amp;"C"&amp;$A65))-IF(RTD("tos.rtd",,$A$2,"."&amp;T$43&amp;T$1&amp;"P"&amp;$A65)="N/A",0,RTD("tos.rtd",,$A$2,"."&amp;T$43&amp;T$1&amp;"P"&amp;$A65))</f>
        <v>0</v>
      </c>
      <c r="U65" s="91">
        <f ca="1">IF(RTD("tos.rtd",,$A$2,"."&amp;U$43&amp;U$1&amp;"C"&amp;$A65)="N/A",0,RTD("tos.rtd",,$A$2,"."&amp;U$43&amp;U$1&amp;"C"&amp;$A65))-IF(RTD("tos.rtd",,$A$2,"."&amp;U$43&amp;U$1&amp;"P"&amp;$A65)="N/A",0,RTD("tos.rtd",,$A$2,"."&amp;U$43&amp;U$1&amp;"P"&amp;$A65))</f>
        <v>0</v>
      </c>
      <c r="V65" s="91">
        <f ca="1">IF(RTD("tos.rtd",,$A$2,"."&amp;V$43&amp;V$1&amp;"C"&amp;$A65)="N/A",0,RTD("tos.rtd",,$A$2,"."&amp;V$43&amp;V$1&amp;"C"&amp;$A65))-IF(RTD("tos.rtd",,$A$2,"."&amp;V$43&amp;V$1&amp;"P"&amp;$A65)="N/A",0,RTD("tos.rtd",,$A$2,"."&amp;V$43&amp;V$1&amp;"P"&amp;$A65))</f>
        <v>0</v>
      </c>
      <c r="W65" s="91">
        <f ca="1">IF(RTD("tos.rtd",,$A$2,"."&amp;W$43&amp;W$1&amp;"C"&amp;$A65)="N/A",0,RTD("tos.rtd",,$A$2,"."&amp;W$43&amp;W$1&amp;"C"&amp;$A65))-IF(RTD("tos.rtd",,$A$2,"."&amp;W$43&amp;W$1&amp;"P"&amp;$A65)="N/A",0,RTD("tos.rtd",,$A$2,"."&amp;W$43&amp;W$1&amp;"P"&amp;$A65))</f>
        <v>0</v>
      </c>
      <c r="X65" s="91">
        <f ca="1">IF(RTD("tos.rtd",,$A$2,"."&amp;X$43&amp;X$1&amp;"C"&amp;$A65)="N/A",0,RTD("tos.rtd",,$A$2,"."&amp;X$43&amp;X$1&amp;"C"&amp;$A65))-IF(RTD("tos.rtd",,$A$2,"."&amp;X$43&amp;X$1&amp;"P"&amp;$A65)="N/A",0,RTD("tos.rtd",,$A$2,"."&amp;X$43&amp;X$1&amp;"P"&amp;$A65))</f>
        <v>0</v>
      </c>
      <c r="Y65" s="98">
        <f t="shared" ca="1" si="7"/>
        <v>-305</v>
      </c>
    </row>
    <row r="66" spans="1:25" x14ac:dyDescent="0.25">
      <c r="A66" s="93">
        <f>+Hoja1!A65</f>
        <v>482</v>
      </c>
      <c r="B66" s="91">
        <f ca="1">IF(RTD("tos.rtd",,$A$2,"."&amp;B$43&amp;B$1&amp;"C"&amp;$A66)="N/A",0,RTD("tos.rtd",,$A$2,"."&amp;B$43&amp;B$1&amp;"C"&amp;$A66))-IF(RTD("tos.rtd",,$A$2,"."&amp;B$43&amp;B$1&amp;"P"&amp;$A66)="N/A",0,RTD("tos.rtd",,$A$2,"."&amp;B$43&amp;B$1&amp;"P"&amp;$A66))</f>
        <v>0</v>
      </c>
      <c r="C66" s="91">
        <f ca="1">IF(RTD("tos.rtd",,$A$2,"."&amp;C$43&amp;C$1&amp;"C"&amp;$A66)="N/A",0,RTD("tos.rtd",,$A$2,"."&amp;C$43&amp;C$1&amp;"C"&amp;$A66))-IF(RTD("tos.rtd",,$A$2,"."&amp;C$43&amp;C$1&amp;"P"&amp;$A66)="N/A",0,RTD("tos.rtd",,$A$2,"."&amp;C$43&amp;C$1&amp;"P"&amp;$A66))</f>
        <v>0</v>
      </c>
      <c r="D66" s="91">
        <f ca="1">IF(RTD("tos.rtd",,$A$2,"."&amp;D$43&amp;D$1&amp;"C"&amp;$A66)="N/A",0,RTD("tos.rtd",,$A$2,"."&amp;D$43&amp;D$1&amp;"C"&amp;$A66))-IF(RTD("tos.rtd",,$A$2,"."&amp;D$43&amp;D$1&amp;"P"&amp;$A66)="N/A",0,RTD("tos.rtd",,$A$2,"."&amp;D$43&amp;D$1&amp;"P"&amp;$A66))</f>
        <v>0</v>
      </c>
      <c r="E66" s="91">
        <f ca="1">IF(RTD("tos.rtd",,$A$2,"."&amp;E$43&amp;E$1&amp;"C"&amp;$A66)="N/A",0,RTD("tos.rtd",,$A$2,"."&amp;E$43&amp;E$1&amp;"C"&amp;$A66))-IF(RTD("tos.rtd",,$A$2,"."&amp;E$43&amp;E$1&amp;"P"&amp;$A66)="N/A",0,RTD("tos.rtd",,$A$2,"."&amp;E$43&amp;E$1&amp;"P"&amp;$A66))</f>
        <v>0</v>
      </c>
      <c r="F66" s="91">
        <f ca="1">IF(RTD("tos.rtd",,$A$2,"."&amp;F$43&amp;F$1&amp;"C"&amp;$A66)="N/A",0,RTD("tos.rtd",,$A$2,"."&amp;F$43&amp;F$1&amp;"C"&amp;$A66))-IF(RTD("tos.rtd",,$A$2,"."&amp;F$43&amp;F$1&amp;"P"&amp;$A66)="N/A",0,RTD("tos.rtd",,$A$2,"."&amp;F$43&amp;F$1&amp;"P"&amp;$A66))</f>
        <v>0</v>
      </c>
      <c r="G66" s="91">
        <f ca="1">IF(RTD("tos.rtd",,$A$2,"."&amp;G$43&amp;G$1&amp;"C"&amp;$A66)="N/A",0,RTD("tos.rtd",,$A$2,"."&amp;G$43&amp;G$1&amp;"C"&amp;$A66))-IF(RTD("tos.rtd",,$A$2,"."&amp;G$43&amp;G$1&amp;"P"&amp;$A66)="N/A",0,RTD("tos.rtd",,$A$2,"."&amp;G$43&amp;G$1&amp;"P"&amp;$A66))</f>
        <v>0</v>
      </c>
      <c r="H66" s="91">
        <f ca="1">IF(RTD("tos.rtd",,$A$2,"."&amp;H$43&amp;H$1&amp;"C"&amp;$A66)="N/A",0,RTD("tos.rtd",,$A$2,"."&amp;H$43&amp;H$1&amp;"C"&amp;$A66))-IF(RTD("tos.rtd",,$A$2,"."&amp;H$43&amp;H$1&amp;"P"&amp;$A66)="N/A",0,RTD("tos.rtd",,$A$2,"."&amp;H$43&amp;H$1&amp;"P"&amp;$A66))</f>
        <v>125</v>
      </c>
      <c r="I66" s="91">
        <f ca="1">IF(RTD("tos.rtd",,$A$2,"."&amp;I$43&amp;I$1&amp;"C"&amp;$A66)="N/A",0,RTD("tos.rtd",,$A$2,"."&amp;I$43&amp;I$1&amp;"C"&amp;$A66))-IF(RTD("tos.rtd",,$A$2,"."&amp;I$43&amp;I$1&amp;"P"&amp;$A66)="N/A",0,RTD("tos.rtd",,$A$2,"."&amp;I$43&amp;I$1&amp;"P"&amp;$A66))</f>
        <v>-70</v>
      </c>
      <c r="J66" s="91">
        <f ca="1">IF(RTD("tos.rtd",,$A$2,"."&amp;J$43&amp;J$1&amp;"C"&amp;$A66)="N/A",0,RTD("tos.rtd",,$A$2,"."&amp;J$43&amp;J$1&amp;"C"&amp;$A66))-IF(RTD("tos.rtd",,$A$2,"."&amp;J$43&amp;J$1&amp;"P"&amp;$A66)="N/A",0,RTD("tos.rtd",,$A$2,"."&amp;J$43&amp;J$1&amp;"P"&amp;$A66))</f>
        <v>-191</v>
      </c>
      <c r="K66" s="91">
        <f ca="1">IF(RTD("tos.rtd",,$A$2,"."&amp;K$43&amp;K$1&amp;"C"&amp;$A66)="N/A",0,RTD("tos.rtd",,$A$2,"."&amp;K$43&amp;K$1&amp;"C"&amp;$A66))-IF(RTD("tos.rtd",,$A$2,"."&amp;K$43&amp;K$1&amp;"P"&amp;$A66)="N/A",0,RTD("tos.rtd",,$A$2,"."&amp;K$43&amp;K$1&amp;"P"&amp;$A66))</f>
        <v>0</v>
      </c>
      <c r="L66" s="91">
        <f ca="1">IF(RTD("tos.rtd",,$A$2,"."&amp;L$43&amp;L$1&amp;"C"&amp;$A66)="N/A",0,RTD("tos.rtd",,$A$2,"."&amp;L$43&amp;L$1&amp;"C"&amp;$A66))-IF(RTD("tos.rtd",,$A$2,"."&amp;L$43&amp;L$1&amp;"P"&amp;$A66)="N/A",0,RTD("tos.rtd",,$A$2,"."&amp;L$43&amp;L$1&amp;"P"&amp;$A66))</f>
        <v>103</v>
      </c>
      <c r="M66" s="91">
        <f ca="1">IF(RTD("tos.rtd",,$A$2,"."&amp;M$43&amp;M$1&amp;"C"&amp;$A66)="N/A",0,RTD("tos.rtd",,$A$2,"."&amp;M$43&amp;M$1&amp;"C"&amp;$A66))-IF(RTD("tos.rtd",,$A$2,"."&amp;M$43&amp;M$1&amp;"P"&amp;$A66)="N/A",0,RTD("tos.rtd",,$A$2,"."&amp;M$43&amp;M$1&amp;"P"&amp;$A66))</f>
        <v>0</v>
      </c>
      <c r="N66" s="91">
        <f ca="1">IF(RTD("tos.rtd",,$A$2,"."&amp;N$43&amp;N$1&amp;"C"&amp;$A66)="N/A",0,RTD("tos.rtd",,$A$2,"."&amp;N$43&amp;N$1&amp;"C"&amp;$A66))-IF(RTD("tos.rtd",,$A$2,"."&amp;N$43&amp;N$1&amp;"P"&amp;$A66)="N/A",0,RTD("tos.rtd",,$A$2,"."&amp;N$43&amp;N$1&amp;"P"&amp;$A66))</f>
        <v>14</v>
      </c>
      <c r="O66" s="91">
        <f ca="1">IF(RTD("tos.rtd",,$A$2,"."&amp;O$43&amp;O$1&amp;"C"&amp;$A66)="N/A",0,RTD("tos.rtd",,$A$2,"."&amp;O$43&amp;O$1&amp;"C"&amp;$A66))-IF(RTD("tos.rtd",,$A$2,"."&amp;O$43&amp;O$1&amp;"P"&amp;$A66)="N/A",0,RTD("tos.rtd",,$A$2,"."&amp;O$43&amp;O$1&amp;"P"&amp;$A66))</f>
        <v>0</v>
      </c>
      <c r="P66" s="91">
        <f ca="1">IF(RTD("tos.rtd",,$A$2,"."&amp;P$43&amp;P$1&amp;"C"&amp;$A66)="N/A",0,RTD("tos.rtd",,$A$2,"."&amp;P$43&amp;P$1&amp;"C"&amp;$A66))-IF(RTD("tos.rtd",,$A$2,"."&amp;P$43&amp;P$1&amp;"P"&amp;$A66)="N/A",0,RTD("tos.rtd",,$A$2,"."&amp;P$43&amp;P$1&amp;"P"&amp;$A66))</f>
        <v>0</v>
      </c>
      <c r="Q66" s="91">
        <f ca="1">IF(RTD("tos.rtd",,$A$2,"."&amp;Q$43&amp;Q$1&amp;"C"&amp;$A66)="N/A",0,RTD("tos.rtd",,$A$2,"."&amp;Q$43&amp;Q$1&amp;"C"&amp;$A66))-IF(RTD("tos.rtd",,$A$2,"."&amp;Q$43&amp;Q$1&amp;"P"&amp;$A66)="N/A",0,RTD("tos.rtd",,$A$2,"."&amp;Q$43&amp;Q$1&amp;"P"&amp;$A66))</f>
        <v>0</v>
      </c>
      <c r="R66" s="91">
        <f ca="1">IF(RTD("tos.rtd",,$A$2,"."&amp;R$43&amp;R$1&amp;"C"&amp;$A66)="N/A",0,RTD("tos.rtd",,$A$2,"."&amp;R$43&amp;R$1&amp;"C"&amp;$A66))-IF(RTD("tos.rtd",,$A$2,"."&amp;R$43&amp;R$1&amp;"P"&amp;$A66)="N/A",0,RTD("tos.rtd",,$A$2,"."&amp;R$43&amp;R$1&amp;"P"&amp;$A66))</f>
        <v>-24</v>
      </c>
      <c r="S66" s="91">
        <f ca="1">IF(RTD("tos.rtd",,$A$2,"."&amp;S$43&amp;S$1&amp;"C"&amp;$A66)="N/A",0,RTD("tos.rtd",,$A$2,"."&amp;S$43&amp;S$1&amp;"C"&amp;$A66))-IF(RTD("tos.rtd",,$A$2,"."&amp;S$43&amp;S$1&amp;"P"&amp;$A66)="N/A",0,RTD("tos.rtd",,$A$2,"."&amp;S$43&amp;S$1&amp;"P"&amp;$A66))</f>
        <v>0</v>
      </c>
      <c r="T66" s="91">
        <f ca="1">IF(RTD("tos.rtd",,$A$2,"."&amp;T$43&amp;T$1&amp;"C"&amp;$A66)="N/A",0,RTD("tos.rtd",,$A$2,"."&amp;T$43&amp;T$1&amp;"C"&amp;$A66))-IF(RTD("tos.rtd",,$A$2,"."&amp;T$43&amp;T$1&amp;"P"&amp;$A66)="N/A",0,RTD("tos.rtd",,$A$2,"."&amp;T$43&amp;T$1&amp;"P"&amp;$A66))</f>
        <v>0</v>
      </c>
      <c r="U66" s="91">
        <f ca="1">IF(RTD("tos.rtd",,$A$2,"."&amp;U$43&amp;U$1&amp;"C"&amp;$A66)="N/A",0,RTD("tos.rtd",,$A$2,"."&amp;U$43&amp;U$1&amp;"C"&amp;$A66))-IF(RTD("tos.rtd",,$A$2,"."&amp;U$43&amp;U$1&amp;"P"&amp;$A66)="N/A",0,RTD("tos.rtd",,$A$2,"."&amp;U$43&amp;U$1&amp;"P"&amp;$A66))</f>
        <v>0</v>
      </c>
      <c r="V66" s="91">
        <f ca="1">IF(RTD("tos.rtd",,$A$2,"."&amp;V$43&amp;V$1&amp;"C"&amp;$A66)="N/A",0,RTD("tos.rtd",,$A$2,"."&amp;V$43&amp;V$1&amp;"C"&amp;$A66))-IF(RTD("tos.rtd",,$A$2,"."&amp;V$43&amp;V$1&amp;"P"&amp;$A66)="N/A",0,RTD("tos.rtd",,$A$2,"."&amp;V$43&amp;V$1&amp;"P"&amp;$A66))</f>
        <v>0</v>
      </c>
      <c r="W66" s="91">
        <f ca="1">IF(RTD("tos.rtd",,$A$2,"."&amp;W$43&amp;W$1&amp;"C"&amp;$A66)="N/A",0,RTD("tos.rtd",,$A$2,"."&amp;W$43&amp;W$1&amp;"C"&amp;$A66))-IF(RTD("tos.rtd",,$A$2,"."&amp;W$43&amp;W$1&amp;"P"&amp;$A66)="N/A",0,RTD("tos.rtd",,$A$2,"."&amp;W$43&amp;W$1&amp;"P"&amp;$A66))</f>
        <v>0</v>
      </c>
      <c r="X66" s="91">
        <f ca="1">IF(RTD("tos.rtd",,$A$2,"."&amp;X$43&amp;X$1&amp;"C"&amp;$A66)="N/A",0,RTD("tos.rtd",,$A$2,"."&amp;X$43&amp;X$1&amp;"C"&amp;$A66))-IF(RTD("tos.rtd",,$A$2,"."&amp;X$43&amp;X$1&amp;"P"&amp;$A66)="N/A",0,RTD("tos.rtd",,$A$2,"."&amp;X$43&amp;X$1&amp;"P"&amp;$A66))</f>
        <v>-28</v>
      </c>
      <c r="Y66" s="98">
        <f t="shared" ca="1" si="7"/>
        <v>-71</v>
      </c>
    </row>
    <row r="67" spans="1:25" x14ac:dyDescent="0.25">
      <c r="A67" s="93">
        <f>+Hoja1!A66</f>
        <v>481</v>
      </c>
      <c r="B67" s="91">
        <f ca="1">IF(RTD("tos.rtd",,$A$2,"."&amp;B$43&amp;B$1&amp;"C"&amp;$A67)="N/A",0,RTD("tos.rtd",,$A$2,"."&amp;B$43&amp;B$1&amp;"C"&amp;$A67))-IF(RTD("tos.rtd",,$A$2,"."&amp;B$43&amp;B$1&amp;"P"&amp;$A67)="N/A",0,RTD("tos.rtd",,$A$2,"."&amp;B$43&amp;B$1&amp;"P"&amp;$A67))</f>
        <v>0</v>
      </c>
      <c r="C67" s="91">
        <f ca="1">IF(RTD("tos.rtd",,$A$2,"."&amp;C$43&amp;C$1&amp;"C"&amp;$A67)="N/A",0,RTD("tos.rtd",,$A$2,"."&amp;C$43&amp;C$1&amp;"C"&amp;$A67))-IF(RTD("tos.rtd",,$A$2,"."&amp;C$43&amp;C$1&amp;"P"&amp;$A67)="N/A",0,RTD("tos.rtd",,$A$2,"."&amp;C$43&amp;C$1&amp;"P"&amp;$A67))</f>
        <v>0</v>
      </c>
      <c r="D67" s="91">
        <f ca="1">IF(RTD("tos.rtd",,$A$2,"."&amp;D$43&amp;D$1&amp;"C"&amp;$A67)="N/A",0,RTD("tos.rtd",,$A$2,"."&amp;D$43&amp;D$1&amp;"C"&amp;$A67))-IF(RTD("tos.rtd",,$A$2,"."&amp;D$43&amp;D$1&amp;"P"&amp;$A67)="N/A",0,RTD("tos.rtd",,$A$2,"."&amp;D$43&amp;D$1&amp;"P"&amp;$A67))</f>
        <v>0</v>
      </c>
      <c r="E67" s="91">
        <f ca="1">IF(RTD("tos.rtd",,$A$2,"."&amp;E$43&amp;E$1&amp;"C"&amp;$A67)="N/A",0,RTD("tos.rtd",,$A$2,"."&amp;E$43&amp;E$1&amp;"C"&amp;$A67))-IF(RTD("tos.rtd",,$A$2,"."&amp;E$43&amp;E$1&amp;"P"&amp;$A67)="N/A",0,RTD("tos.rtd",,$A$2,"."&amp;E$43&amp;E$1&amp;"P"&amp;$A67))</f>
        <v>0</v>
      </c>
      <c r="F67" s="91">
        <f ca="1">IF(RTD("tos.rtd",,$A$2,"."&amp;F$43&amp;F$1&amp;"C"&amp;$A67)="N/A",0,RTD("tos.rtd",,$A$2,"."&amp;F$43&amp;F$1&amp;"C"&amp;$A67))-IF(RTD("tos.rtd",,$A$2,"."&amp;F$43&amp;F$1&amp;"P"&amp;$A67)="N/A",0,RTD("tos.rtd",,$A$2,"."&amp;F$43&amp;F$1&amp;"P"&amp;$A67))</f>
        <v>0</v>
      </c>
      <c r="G67" s="91">
        <f ca="1">IF(RTD("tos.rtd",,$A$2,"."&amp;G$43&amp;G$1&amp;"C"&amp;$A67)="N/A",0,RTD("tos.rtd",,$A$2,"."&amp;G$43&amp;G$1&amp;"C"&amp;$A67))-IF(RTD("tos.rtd",,$A$2,"."&amp;G$43&amp;G$1&amp;"P"&amp;$A67)="N/A",0,RTD("tos.rtd",,$A$2,"."&amp;G$43&amp;G$1&amp;"P"&amp;$A67))</f>
        <v>0</v>
      </c>
      <c r="H67" s="91">
        <f ca="1">IF(RTD("tos.rtd",,$A$2,"."&amp;H$43&amp;H$1&amp;"C"&amp;$A67)="N/A",0,RTD("tos.rtd",,$A$2,"."&amp;H$43&amp;H$1&amp;"C"&amp;$A67))-IF(RTD("tos.rtd",,$A$2,"."&amp;H$43&amp;H$1&amp;"P"&amp;$A67)="N/A",0,RTD("tos.rtd",,$A$2,"."&amp;H$43&amp;H$1&amp;"P"&amp;$A67))</f>
        <v>13</v>
      </c>
      <c r="I67" s="91">
        <f ca="1">IF(RTD("tos.rtd",,$A$2,"."&amp;I$43&amp;I$1&amp;"C"&amp;$A67)="N/A",0,RTD("tos.rtd",,$A$2,"."&amp;I$43&amp;I$1&amp;"C"&amp;$A67))-IF(RTD("tos.rtd",,$A$2,"."&amp;I$43&amp;I$1&amp;"P"&amp;$A67)="N/A",0,RTD("tos.rtd",,$A$2,"."&amp;I$43&amp;I$1&amp;"P"&amp;$A67))</f>
        <v>73</v>
      </c>
      <c r="J67" s="91">
        <f ca="1">IF(RTD("tos.rtd",,$A$2,"."&amp;J$43&amp;J$1&amp;"C"&amp;$A67)="N/A",0,RTD("tos.rtd",,$A$2,"."&amp;J$43&amp;J$1&amp;"C"&amp;$A67))-IF(RTD("tos.rtd",,$A$2,"."&amp;J$43&amp;J$1&amp;"P"&amp;$A67)="N/A",0,RTD("tos.rtd",,$A$2,"."&amp;J$43&amp;J$1&amp;"P"&amp;$A67))</f>
        <v>-18</v>
      </c>
      <c r="K67" s="91">
        <f ca="1">IF(RTD("tos.rtd",,$A$2,"."&amp;K$43&amp;K$1&amp;"C"&amp;$A67)="N/A",0,RTD("tos.rtd",,$A$2,"."&amp;K$43&amp;K$1&amp;"C"&amp;$A67))-IF(RTD("tos.rtd",,$A$2,"."&amp;K$43&amp;K$1&amp;"P"&amp;$A67)="N/A",0,RTD("tos.rtd",,$A$2,"."&amp;K$43&amp;K$1&amp;"P"&amp;$A67))</f>
        <v>0</v>
      </c>
      <c r="L67" s="91">
        <f ca="1">IF(RTD("tos.rtd",,$A$2,"."&amp;L$43&amp;L$1&amp;"C"&amp;$A67)="N/A",0,RTD("tos.rtd",,$A$2,"."&amp;L$43&amp;L$1&amp;"C"&amp;$A67))-IF(RTD("tos.rtd",,$A$2,"."&amp;L$43&amp;L$1&amp;"P"&amp;$A67)="N/A",0,RTD("tos.rtd",,$A$2,"."&amp;L$43&amp;L$1&amp;"P"&amp;$A67))</f>
        <v>10</v>
      </c>
      <c r="M67" s="91">
        <f ca="1">IF(RTD("tos.rtd",,$A$2,"."&amp;M$43&amp;M$1&amp;"C"&amp;$A67)="N/A",0,RTD("tos.rtd",,$A$2,"."&amp;M$43&amp;M$1&amp;"C"&amp;$A67))-IF(RTD("tos.rtd",,$A$2,"."&amp;M$43&amp;M$1&amp;"P"&amp;$A67)="N/A",0,RTD("tos.rtd",,$A$2,"."&amp;M$43&amp;M$1&amp;"P"&amp;$A67))</f>
        <v>0</v>
      </c>
      <c r="N67" s="91">
        <f ca="1">IF(RTD("tos.rtd",,$A$2,"."&amp;N$43&amp;N$1&amp;"C"&amp;$A67)="N/A",0,RTD("tos.rtd",,$A$2,"."&amp;N$43&amp;N$1&amp;"C"&amp;$A67))-IF(RTD("tos.rtd",,$A$2,"."&amp;N$43&amp;N$1&amp;"P"&amp;$A67)="N/A",0,RTD("tos.rtd",,$A$2,"."&amp;N$43&amp;N$1&amp;"P"&amp;$A67))</f>
        <v>-9</v>
      </c>
      <c r="O67" s="91">
        <f ca="1">IF(RTD("tos.rtd",,$A$2,"."&amp;O$43&amp;O$1&amp;"C"&amp;$A67)="N/A",0,RTD("tos.rtd",,$A$2,"."&amp;O$43&amp;O$1&amp;"C"&amp;$A67))-IF(RTD("tos.rtd",,$A$2,"."&amp;O$43&amp;O$1&amp;"P"&amp;$A67)="N/A",0,RTD("tos.rtd",,$A$2,"."&amp;O$43&amp;O$1&amp;"P"&amp;$A67))</f>
        <v>0</v>
      </c>
      <c r="P67" s="91">
        <f ca="1">IF(RTD("tos.rtd",,$A$2,"."&amp;P$43&amp;P$1&amp;"C"&amp;$A67)="N/A",0,RTD("tos.rtd",,$A$2,"."&amp;P$43&amp;P$1&amp;"C"&amp;$A67))-IF(RTD("tos.rtd",,$A$2,"."&amp;P$43&amp;P$1&amp;"P"&amp;$A67)="N/A",0,RTD("tos.rtd",,$A$2,"."&amp;P$43&amp;P$1&amp;"P"&amp;$A67))</f>
        <v>0</v>
      </c>
      <c r="Q67" s="91">
        <f ca="1">IF(RTD("tos.rtd",,$A$2,"."&amp;Q$43&amp;Q$1&amp;"C"&amp;$A67)="N/A",0,RTD("tos.rtd",,$A$2,"."&amp;Q$43&amp;Q$1&amp;"C"&amp;$A67))-IF(RTD("tos.rtd",,$A$2,"."&amp;Q$43&amp;Q$1&amp;"P"&amp;$A67)="N/A",0,RTD("tos.rtd",,$A$2,"."&amp;Q$43&amp;Q$1&amp;"P"&amp;$A67))</f>
        <v>0</v>
      </c>
      <c r="R67" s="91">
        <f ca="1">IF(RTD("tos.rtd",,$A$2,"."&amp;R$43&amp;R$1&amp;"C"&amp;$A67)="N/A",0,RTD("tos.rtd",,$A$2,"."&amp;R$43&amp;R$1&amp;"C"&amp;$A67))-IF(RTD("tos.rtd",,$A$2,"."&amp;R$43&amp;R$1&amp;"P"&amp;$A67)="N/A",0,RTD("tos.rtd",,$A$2,"."&amp;R$43&amp;R$1&amp;"P"&amp;$A67))</f>
        <v>-21</v>
      </c>
      <c r="S67" s="91">
        <f ca="1">IF(RTD("tos.rtd",,$A$2,"."&amp;S$43&amp;S$1&amp;"C"&amp;$A67)="N/A",0,RTD("tos.rtd",,$A$2,"."&amp;S$43&amp;S$1&amp;"C"&amp;$A67))-IF(RTD("tos.rtd",,$A$2,"."&amp;S$43&amp;S$1&amp;"P"&amp;$A67)="N/A",0,RTD("tos.rtd",,$A$2,"."&amp;S$43&amp;S$1&amp;"P"&amp;$A67))</f>
        <v>0</v>
      </c>
      <c r="T67" s="91">
        <f ca="1">IF(RTD("tos.rtd",,$A$2,"."&amp;T$43&amp;T$1&amp;"C"&amp;$A67)="N/A",0,RTD("tos.rtd",,$A$2,"."&amp;T$43&amp;T$1&amp;"C"&amp;$A67))-IF(RTD("tos.rtd",,$A$2,"."&amp;T$43&amp;T$1&amp;"P"&amp;$A67)="N/A",0,RTD("tos.rtd",,$A$2,"."&amp;T$43&amp;T$1&amp;"P"&amp;$A67))</f>
        <v>0</v>
      </c>
      <c r="U67" s="91">
        <f ca="1">IF(RTD("tos.rtd",,$A$2,"."&amp;U$43&amp;U$1&amp;"C"&amp;$A67)="N/A",0,RTD("tos.rtd",,$A$2,"."&amp;U$43&amp;U$1&amp;"C"&amp;$A67))-IF(RTD("tos.rtd",,$A$2,"."&amp;U$43&amp;U$1&amp;"P"&amp;$A67)="N/A",0,RTD("tos.rtd",,$A$2,"."&amp;U$43&amp;U$1&amp;"P"&amp;$A67))</f>
        <v>0</v>
      </c>
      <c r="V67" s="91">
        <f ca="1">IF(RTD("tos.rtd",,$A$2,"."&amp;V$43&amp;V$1&amp;"C"&amp;$A67)="N/A",0,RTD("tos.rtd",,$A$2,"."&amp;V$43&amp;V$1&amp;"C"&amp;$A67))-IF(RTD("tos.rtd",,$A$2,"."&amp;V$43&amp;V$1&amp;"P"&amp;$A67)="N/A",0,RTD("tos.rtd",,$A$2,"."&amp;V$43&amp;V$1&amp;"P"&amp;$A67))</f>
        <v>0</v>
      </c>
      <c r="W67" s="91">
        <f ca="1">IF(RTD("tos.rtd",,$A$2,"."&amp;W$43&amp;W$1&amp;"C"&amp;$A67)="N/A",0,RTD("tos.rtd",,$A$2,"."&amp;W$43&amp;W$1&amp;"C"&amp;$A67))-IF(RTD("tos.rtd",,$A$2,"."&amp;W$43&amp;W$1&amp;"P"&amp;$A67)="N/A",0,RTD("tos.rtd",,$A$2,"."&amp;W$43&amp;W$1&amp;"P"&amp;$A67))</f>
        <v>0</v>
      </c>
      <c r="X67" s="91">
        <f ca="1">IF(RTD("tos.rtd",,$A$2,"."&amp;X$43&amp;X$1&amp;"C"&amp;$A67)="N/A",0,RTD("tos.rtd",,$A$2,"."&amp;X$43&amp;X$1&amp;"C"&amp;$A67))-IF(RTD("tos.rtd",,$A$2,"."&amp;X$43&amp;X$1&amp;"P"&amp;$A67)="N/A",0,RTD("tos.rtd",,$A$2,"."&amp;X$43&amp;X$1&amp;"P"&amp;$A67))</f>
        <v>8</v>
      </c>
      <c r="Y67" s="98">
        <f t="shared" ca="1" si="7"/>
        <v>56</v>
      </c>
    </row>
    <row r="68" spans="1:25" x14ac:dyDescent="0.25">
      <c r="A68" s="93">
        <f>+Hoja1!A67</f>
        <v>480</v>
      </c>
      <c r="B68" s="91">
        <f ca="1">IF(RTD("tos.rtd",,$A$2,"."&amp;B$43&amp;B$1&amp;"C"&amp;$A68)="N/A",0,RTD("tos.rtd",,$A$2,"."&amp;B$43&amp;B$1&amp;"C"&amp;$A68))-IF(RTD("tos.rtd",,$A$2,"."&amp;B$43&amp;B$1&amp;"P"&amp;$A68)="N/A",0,RTD("tos.rtd",,$A$2,"."&amp;B$43&amp;B$1&amp;"P"&amp;$A68))</f>
        <v>0</v>
      </c>
      <c r="C68" s="91">
        <f ca="1">IF(RTD("tos.rtd",,$A$2,"."&amp;C$43&amp;C$1&amp;"C"&amp;$A68)="N/A",0,RTD("tos.rtd",,$A$2,"."&amp;C$43&amp;C$1&amp;"C"&amp;$A68))-IF(RTD("tos.rtd",,$A$2,"."&amp;C$43&amp;C$1&amp;"P"&amp;$A68)="N/A",0,RTD("tos.rtd",,$A$2,"."&amp;C$43&amp;C$1&amp;"P"&amp;$A68))</f>
        <v>0</v>
      </c>
      <c r="D68" s="91">
        <f ca="1">IF(RTD("tos.rtd",,$A$2,"."&amp;D$43&amp;D$1&amp;"C"&amp;$A68)="N/A",0,RTD("tos.rtd",,$A$2,"."&amp;D$43&amp;D$1&amp;"C"&amp;$A68))-IF(RTD("tos.rtd",,$A$2,"."&amp;D$43&amp;D$1&amp;"P"&amp;$A68)="N/A",0,RTD("tos.rtd",,$A$2,"."&amp;D$43&amp;D$1&amp;"P"&amp;$A68))</f>
        <v>0</v>
      </c>
      <c r="E68" s="91">
        <f ca="1">IF(RTD("tos.rtd",,$A$2,"."&amp;E$43&amp;E$1&amp;"C"&amp;$A68)="N/A",0,RTD("tos.rtd",,$A$2,"."&amp;E$43&amp;E$1&amp;"C"&amp;$A68))-IF(RTD("tos.rtd",,$A$2,"."&amp;E$43&amp;E$1&amp;"P"&amp;$A68)="N/A",0,RTD("tos.rtd",,$A$2,"."&amp;E$43&amp;E$1&amp;"P"&amp;$A68))</f>
        <v>0</v>
      </c>
      <c r="F68" s="91">
        <f ca="1">IF(RTD("tos.rtd",,$A$2,"."&amp;F$43&amp;F$1&amp;"C"&amp;$A68)="N/A",0,RTD("tos.rtd",,$A$2,"."&amp;F$43&amp;F$1&amp;"C"&amp;$A68))-IF(RTD("tos.rtd",,$A$2,"."&amp;F$43&amp;F$1&amp;"P"&amp;$A68)="N/A",0,RTD("tos.rtd",,$A$2,"."&amp;F$43&amp;F$1&amp;"P"&amp;$A68))</f>
        <v>0</v>
      </c>
      <c r="G68" s="91">
        <f ca="1">IF(RTD("tos.rtd",,$A$2,"."&amp;G$43&amp;G$1&amp;"C"&amp;$A68)="N/A",0,RTD("tos.rtd",,$A$2,"."&amp;G$43&amp;G$1&amp;"C"&amp;$A68))-IF(RTD("tos.rtd",,$A$2,"."&amp;G$43&amp;G$1&amp;"P"&amp;$A68)="N/A",0,RTD("tos.rtd",,$A$2,"."&amp;G$43&amp;G$1&amp;"P"&amp;$A68))</f>
        <v>0</v>
      </c>
      <c r="H68" s="91">
        <f ca="1">IF(RTD("tos.rtd",,$A$2,"."&amp;H$43&amp;H$1&amp;"C"&amp;$A68)="N/A",0,RTD("tos.rtd",,$A$2,"."&amp;H$43&amp;H$1&amp;"C"&amp;$A68))-IF(RTD("tos.rtd",,$A$2,"."&amp;H$43&amp;H$1&amp;"P"&amp;$A68)="N/A",0,RTD("tos.rtd",,$A$2,"."&amp;H$43&amp;H$1&amp;"P"&amp;$A68))</f>
        <v>-198</v>
      </c>
      <c r="I68" s="91">
        <f ca="1">IF(RTD("tos.rtd",,$A$2,"."&amp;I$43&amp;I$1&amp;"C"&amp;$A68)="N/A",0,RTD("tos.rtd",,$A$2,"."&amp;I$43&amp;I$1&amp;"C"&amp;$A68))-IF(RTD("tos.rtd",,$A$2,"."&amp;I$43&amp;I$1&amp;"P"&amp;$A68)="N/A",0,RTD("tos.rtd",,$A$2,"."&amp;I$43&amp;I$1&amp;"P"&amp;$A68))</f>
        <v>-1582</v>
      </c>
      <c r="J68" s="91">
        <f ca="1">IF(RTD("tos.rtd",,$A$2,"."&amp;J$43&amp;J$1&amp;"C"&amp;$A68)="N/A",0,RTD("tos.rtd",,$A$2,"."&amp;J$43&amp;J$1&amp;"C"&amp;$A68))-IF(RTD("tos.rtd",,$A$2,"."&amp;J$43&amp;J$1&amp;"P"&amp;$A68)="N/A",0,RTD("tos.rtd",,$A$2,"."&amp;J$43&amp;J$1&amp;"P"&amp;$A68))</f>
        <v>-165</v>
      </c>
      <c r="K68" s="91">
        <f ca="1">IF(RTD("tos.rtd",,$A$2,"."&amp;K$43&amp;K$1&amp;"C"&amp;$A68)="N/A",0,RTD("tos.rtd",,$A$2,"."&amp;K$43&amp;K$1&amp;"C"&amp;$A68))-IF(RTD("tos.rtd",,$A$2,"."&amp;K$43&amp;K$1&amp;"P"&amp;$A68)="N/A",0,RTD("tos.rtd",,$A$2,"."&amp;K$43&amp;K$1&amp;"P"&amp;$A68))</f>
        <v>785</v>
      </c>
      <c r="L68" s="91">
        <f ca="1">IF(RTD("tos.rtd",,$A$2,"."&amp;L$43&amp;L$1&amp;"C"&amp;$A68)="N/A",0,RTD("tos.rtd",,$A$2,"."&amp;L$43&amp;L$1&amp;"C"&amp;$A68))-IF(RTD("tos.rtd",,$A$2,"."&amp;L$43&amp;L$1&amp;"P"&amp;$A68)="N/A",0,RTD("tos.rtd",,$A$2,"."&amp;L$43&amp;L$1&amp;"P"&amp;$A68))</f>
        <v>-598</v>
      </c>
      <c r="M68" s="91">
        <f ca="1">IF(RTD("tos.rtd",,$A$2,"."&amp;M$43&amp;M$1&amp;"C"&amp;$A68)="N/A",0,RTD("tos.rtd",,$A$2,"."&amp;M$43&amp;M$1&amp;"C"&amp;$A68))-IF(RTD("tos.rtd",,$A$2,"."&amp;M$43&amp;M$1&amp;"P"&amp;$A68)="N/A",0,RTD("tos.rtd",,$A$2,"."&amp;M$43&amp;M$1&amp;"P"&amp;$A68))</f>
        <v>-5450</v>
      </c>
      <c r="N68" s="91">
        <f ca="1">IF(RTD("tos.rtd",,$A$2,"."&amp;N$43&amp;N$1&amp;"C"&amp;$A68)="N/A",0,RTD("tos.rtd",,$A$2,"."&amp;N$43&amp;N$1&amp;"C"&amp;$A68))-IF(RTD("tos.rtd",,$A$2,"."&amp;N$43&amp;N$1&amp;"P"&amp;$A68)="N/A",0,RTD("tos.rtd",,$A$2,"."&amp;N$43&amp;N$1&amp;"P"&amp;$A68))</f>
        <v>-28</v>
      </c>
      <c r="O68" s="91">
        <f ca="1">IF(RTD("tos.rtd",,$A$2,"."&amp;O$43&amp;O$1&amp;"C"&amp;$A68)="N/A",0,RTD("tos.rtd",,$A$2,"."&amp;O$43&amp;O$1&amp;"C"&amp;$A68))-IF(RTD("tos.rtd",,$A$2,"."&amp;O$43&amp;O$1&amp;"P"&amp;$A68)="N/A",0,RTD("tos.rtd",,$A$2,"."&amp;O$43&amp;O$1&amp;"P"&amp;$A68))</f>
        <v>-203</v>
      </c>
      <c r="P68" s="91">
        <f ca="1">IF(RTD("tos.rtd",,$A$2,"."&amp;P$43&amp;P$1&amp;"C"&amp;$A68)="N/A",0,RTD("tos.rtd",,$A$2,"."&amp;P$43&amp;P$1&amp;"C"&amp;$A68))-IF(RTD("tos.rtd",,$A$2,"."&amp;P$43&amp;P$1&amp;"P"&amp;$A68)="N/A",0,RTD("tos.rtd",,$A$2,"."&amp;P$43&amp;P$1&amp;"P"&amp;$A68))</f>
        <v>-37</v>
      </c>
      <c r="Q68" s="91">
        <f ca="1">IF(RTD("tos.rtd",,$A$2,"."&amp;Q$43&amp;Q$1&amp;"C"&amp;$A68)="N/A",0,RTD("tos.rtd",,$A$2,"."&amp;Q$43&amp;Q$1&amp;"C"&amp;$A68))-IF(RTD("tos.rtd",,$A$2,"."&amp;Q$43&amp;Q$1&amp;"P"&amp;$A68)="N/A",0,RTD("tos.rtd",,$A$2,"."&amp;Q$43&amp;Q$1&amp;"P"&amp;$A68))</f>
        <v>-52</v>
      </c>
      <c r="R68" s="91">
        <f ca="1">IF(RTD("tos.rtd",,$A$2,"."&amp;R$43&amp;R$1&amp;"C"&amp;$A68)="N/A",0,RTD("tos.rtd",,$A$2,"."&amp;R$43&amp;R$1&amp;"C"&amp;$A68))-IF(RTD("tos.rtd",,$A$2,"."&amp;R$43&amp;R$1&amp;"P"&amp;$A68)="N/A",0,RTD("tos.rtd",,$A$2,"."&amp;R$43&amp;R$1&amp;"P"&amp;$A68))</f>
        <v>-37</v>
      </c>
      <c r="S68" s="91">
        <f ca="1">IF(RTD("tos.rtd",,$A$2,"."&amp;S$43&amp;S$1&amp;"C"&amp;$A68)="N/A",0,RTD("tos.rtd",,$A$2,"."&amp;S$43&amp;S$1&amp;"C"&amp;$A68))-IF(RTD("tos.rtd",,$A$2,"."&amp;S$43&amp;S$1&amp;"P"&amp;$A68)="N/A",0,RTD("tos.rtd",,$A$2,"."&amp;S$43&amp;S$1&amp;"P"&amp;$A68))</f>
        <v>0</v>
      </c>
      <c r="T68" s="91">
        <f ca="1">IF(RTD("tos.rtd",,$A$2,"."&amp;T$43&amp;T$1&amp;"C"&amp;$A68)="N/A",0,RTD("tos.rtd",,$A$2,"."&amp;T$43&amp;T$1&amp;"C"&amp;$A68))-IF(RTD("tos.rtd",,$A$2,"."&amp;T$43&amp;T$1&amp;"P"&amp;$A68)="N/A",0,RTD("tos.rtd",,$A$2,"."&amp;T$43&amp;T$1&amp;"P"&amp;$A68))</f>
        <v>0</v>
      </c>
      <c r="U68" s="91">
        <f ca="1">IF(RTD("tos.rtd",,$A$2,"."&amp;U$43&amp;U$1&amp;"C"&amp;$A68)="N/A",0,RTD("tos.rtd",,$A$2,"."&amp;U$43&amp;U$1&amp;"C"&amp;$A68))-IF(RTD("tos.rtd",,$A$2,"."&amp;U$43&amp;U$1&amp;"P"&amp;$A68)="N/A",0,RTD("tos.rtd",,$A$2,"."&amp;U$43&amp;U$1&amp;"P"&amp;$A68))</f>
        <v>24</v>
      </c>
      <c r="V68" s="91">
        <f ca="1">IF(RTD("tos.rtd",,$A$2,"."&amp;V$43&amp;V$1&amp;"C"&amp;$A68)="N/A",0,RTD("tos.rtd",,$A$2,"."&amp;V$43&amp;V$1&amp;"C"&amp;$A68))-IF(RTD("tos.rtd",,$A$2,"."&amp;V$43&amp;V$1&amp;"P"&amp;$A68)="N/A",0,RTD("tos.rtd",,$A$2,"."&amp;V$43&amp;V$1&amp;"P"&amp;$A68))</f>
        <v>0</v>
      </c>
      <c r="W68" s="91">
        <f ca="1">IF(RTD("tos.rtd",,$A$2,"."&amp;W$43&amp;W$1&amp;"C"&amp;$A68)="N/A",0,RTD("tos.rtd",,$A$2,"."&amp;W$43&amp;W$1&amp;"C"&amp;$A68))-IF(RTD("tos.rtd",,$A$2,"."&amp;W$43&amp;W$1&amp;"P"&amp;$A68)="N/A",0,RTD("tos.rtd",,$A$2,"."&amp;W$43&amp;W$1&amp;"P"&amp;$A68))</f>
        <v>20</v>
      </c>
      <c r="X68" s="91">
        <f ca="1">IF(RTD("tos.rtd",,$A$2,"."&amp;X$43&amp;X$1&amp;"C"&amp;$A68)="N/A",0,RTD("tos.rtd",,$A$2,"."&amp;X$43&amp;X$1&amp;"C"&amp;$A68))-IF(RTD("tos.rtd",,$A$2,"."&amp;X$43&amp;X$1&amp;"P"&amp;$A68)="N/A",0,RTD("tos.rtd",,$A$2,"."&amp;X$43&amp;X$1&amp;"P"&amp;$A68))</f>
        <v>12</v>
      </c>
      <c r="Y68" s="98">
        <f t="shared" ca="1" si="7"/>
        <v>-7509</v>
      </c>
    </row>
    <row r="69" spans="1:25" x14ac:dyDescent="0.25">
      <c r="A69" s="93">
        <f>+Hoja1!A68</f>
        <v>479</v>
      </c>
      <c r="B69" s="91">
        <f ca="1">IF(RTD("tos.rtd",,$A$2,"."&amp;B$43&amp;B$1&amp;"C"&amp;$A69)="N/A",0,RTD("tos.rtd",,$A$2,"."&amp;B$43&amp;B$1&amp;"C"&amp;$A69))-IF(RTD("tos.rtd",,$A$2,"."&amp;B$43&amp;B$1&amp;"P"&amp;$A69)="N/A",0,RTD("tos.rtd",,$A$2,"."&amp;B$43&amp;B$1&amp;"P"&amp;$A69))</f>
        <v>0</v>
      </c>
      <c r="C69" s="91">
        <f ca="1">IF(RTD("tos.rtd",,$A$2,"."&amp;C$43&amp;C$1&amp;"C"&amp;$A69)="N/A",0,RTD("tos.rtd",,$A$2,"."&amp;C$43&amp;C$1&amp;"C"&amp;$A69))-IF(RTD("tos.rtd",,$A$2,"."&amp;C$43&amp;C$1&amp;"P"&amp;$A69)="N/A",0,RTD("tos.rtd",,$A$2,"."&amp;C$43&amp;C$1&amp;"P"&amp;$A69))</f>
        <v>0</v>
      </c>
      <c r="D69" s="91">
        <f ca="1">IF(RTD("tos.rtd",,$A$2,"."&amp;D$43&amp;D$1&amp;"C"&amp;$A69)="N/A",0,RTD("tos.rtd",,$A$2,"."&amp;D$43&amp;D$1&amp;"C"&amp;$A69))-IF(RTD("tos.rtd",,$A$2,"."&amp;D$43&amp;D$1&amp;"P"&amp;$A69)="N/A",0,RTD("tos.rtd",,$A$2,"."&amp;D$43&amp;D$1&amp;"P"&amp;$A69))</f>
        <v>0</v>
      </c>
      <c r="E69" s="91">
        <f ca="1">IF(RTD("tos.rtd",,$A$2,"."&amp;E$43&amp;E$1&amp;"C"&amp;$A69)="N/A",0,RTD("tos.rtd",,$A$2,"."&amp;E$43&amp;E$1&amp;"C"&amp;$A69))-IF(RTD("tos.rtd",,$A$2,"."&amp;E$43&amp;E$1&amp;"P"&amp;$A69)="N/A",0,RTD("tos.rtd",,$A$2,"."&amp;E$43&amp;E$1&amp;"P"&amp;$A69))</f>
        <v>0</v>
      </c>
      <c r="F69" s="91">
        <f ca="1">IF(RTD("tos.rtd",,$A$2,"."&amp;F$43&amp;F$1&amp;"C"&amp;$A69)="N/A",0,RTD("tos.rtd",,$A$2,"."&amp;F$43&amp;F$1&amp;"C"&amp;$A69))-IF(RTD("tos.rtd",,$A$2,"."&amp;F$43&amp;F$1&amp;"P"&amp;$A69)="N/A",0,RTD("tos.rtd",,$A$2,"."&amp;F$43&amp;F$1&amp;"P"&amp;$A69))</f>
        <v>0</v>
      </c>
      <c r="G69" s="91">
        <f ca="1">IF(RTD("tos.rtd",,$A$2,"."&amp;G$43&amp;G$1&amp;"C"&amp;$A69)="N/A",0,RTD("tos.rtd",,$A$2,"."&amp;G$43&amp;G$1&amp;"C"&amp;$A69))-IF(RTD("tos.rtd",,$A$2,"."&amp;G$43&amp;G$1&amp;"P"&amp;$A69)="N/A",0,RTD("tos.rtd",,$A$2,"."&amp;G$43&amp;G$1&amp;"P"&amp;$A69))</f>
        <v>0</v>
      </c>
      <c r="H69" s="91">
        <f ca="1">IF(RTD("tos.rtd",,$A$2,"."&amp;H$43&amp;H$1&amp;"C"&amp;$A69)="N/A",0,RTD("tos.rtd",,$A$2,"."&amp;H$43&amp;H$1&amp;"C"&amp;$A69))-IF(RTD("tos.rtd",,$A$2,"."&amp;H$43&amp;H$1&amp;"P"&amp;$A69)="N/A",0,RTD("tos.rtd",,$A$2,"."&amp;H$43&amp;H$1&amp;"P"&amp;$A69))</f>
        <v>-15</v>
      </c>
      <c r="I69" s="91">
        <f ca="1">IF(RTD("tos.rtd",,$A$2,"."&amp;I$43&amp;I$1&amp;"C"&amp;$A69)="N/A",0,RTD("tos.rtd",,$A$2,"."&amp;I$43&amp;I$1&amp;"C"&amp;$A69))-IF(RTD("tos.rtd",,$A$2,"."&amp;I$43&amp;I$1&amp;"P"&amp;$A69)="N/A",0,RTD("tos.rtd",,$A$2,"."&amp;I$43&amp;I$1&amp;"P"&amp;$A69))</f>
        <v>-295</v>
      </c>
      <c r="J69" s="91">
        <f ca="1">IF(RTD("tos.rtd",,$A$2,"."&amp;J$43&amp;J$1&amp;"C"&amp;$A69)="N/A",0,RTD("tos.rtd",,$A$2,"."&amp;J$43&amp;J$1&amp;"C"&amp;$A69))-IF(RTD("tos.rtd",,$A$2,"."&amp;J$43&amp;J$1&amp;"P"&amp;$A69)="N/A",0,RTD("tos.rtd",,$A$2,"."&amp;J$43&amp;J$1&amp;"P"&amp;$A69))</f>
        <v>-31</v>
      </c>
      <c r="K69" s="91">
        <f ca="1">IF(RTD("tos.rtd",,$A$2,"."&amp;K$43&amp;K$1&amp;"C"&amp;$A69)="N/A",0,RTD("tos.rtd",,$A$2,"."&amp;K$43&amp;K$1&amp;"C"&amp;$A69))-IF(RTD("tos.rtd",,$A$2,"."&amp;K$43&amp;K$1&amp;"P"&amp;$A69)="N/A",0,RTD("tos.rtd",,$A$2,"."&amp;K$43&amp;K$1&amp;"P"&amp;$A69))</f>
        <v>0</v>
      </c>
      <c r="L69" s="91">
        <f ca="1">IF(RTD("tos.rtd",,$A$2,"."&amp;L$43&amp;L$1&amp;"C"&amp;$A69)="N/A",0,RTD("tos.rtd",,$A$2,"."&amp;L$43&amp;L$1&amp;"C"&amp;$A69))-IF(RTD("tos.rtd",,$A$2,"."&amp;L$43&amp;L$1&amp;"P"&amp;$A69)="N/A",0,RTD("tos.rtd",,$A$2,"."&amp;L$43&amp;L$1&amp;"P"&amp;$A69))</f>
        <v>18</v>
      </c>
      <c r="M69" s="91">
        <f ca="1">IF(RTD("tos.rtd",,$A$2,"."&amp;M$43&amp;M$1&amp;"C"&amp;$A69)="N/A",0,RTD("tos.rtd",,$A$2,"."&amp;M$43&amp;M$1&amp;"C"&amp;$A69))-IF(RTD("tos.rtd",,$A$2,"."&amp;M$43&amp;M$1&amp;"P"&amp;$A69)="N/A",0,RTD("tos.rtd",,$A$2,"."&amp;M$43&amp;M$1&amp;"P"&amp;$A69))</f>
        <v>0</v>
      </c>
      <c r="N69" s="91">
        <f ca="1">IF(RTD("tos.rtd",,$A$2,"."&amp;N$43&amp;N$1&amp;"C"&amp;$A69)="N/A",0,RTD("tos.rtd",,$A$2,"."&amp;N$43&amp;N$1&amp;"C"&amp;$A69))-IF(RTD("tos.rtd",,$A$2,"."&amp;N$43&amp;N$1&amp;"P"&amp;$A69)="N/A",0,RTD("tos.rtd",,$A$2,"."&amp;N$43&amp;N$1&amp;"P"&amp;$A69))</f>
        <v>-12</v>
      </c>
      <c r="O69" s="91">
        <f ca="1">IF(RTD("tos.rtd",,$A$2,"."&amp;O$43&amp;O$1&amp;"C"&amp;$A69)="N/A",0,RTD("tos.rtd",,$A$2,"."&amp;O$43&amp;O$1&amp;"C"&amp;$A69))-IF(RTD("tos.rtd",,$A$2,"."&amp;O$43&amp;O$1&amp;"P"&amp;$A69)="N/A",0,RTD("tos.rtd",,$A$2,"."&amp;O$43&amp;O$1&amp;"P"&amp;$A69))</f>
        <v>0</v>
      </c>
      <c r="P69" s="91">
        <f ca="1">IF(RTD("tos.rtd",,$A$2,"."&amp;P$43&amp;P$1&amp;"C"&amp;$A69)="N/A",0,RTD("tos.rtd",,$A$2,"."&amp;P$43&amp;P$1&amp;"C"&amp;$A69))-IF(RTD("tos.rtd",,$A$2,"."&amp;P$43&amp;P$1&amp;"P"&amp;$A69)="N/A",0,RTD("tos.rtd",,$A$2,"."&amp;P$43&amp;P$1&amp;"P"&amp;$A69))</f>
        <v>0</v>
      </c>
      <c r="Q69" s="91">
        <f ca="1">IF(RTD("tos.rtd",,$A$2,"."&amp;Q$43&amp;Q$1&amp;"C"&amp;$A69)="N/A",0,RTD("tos.rtd",,$A$2,"."&amp;Q$43&amp;Q$1&amp;"C"&amp;$A69))-IF(RTD("tos.rtd",,$A$2,"."&amp;Q$43&amp;Q$1&amp;"P"&amp;$A69)="N/A",0,RTD("tos.rtd",,$A$2,"."&amp;Q$43&amp;Q$1&amp;"P"&amp;$A69))</f>
        <v>0</v>
      </c>
      <c r="R69" s="91">
        <f ca="1">IF(RTD("tos.rtd",,$A$2,"."&amp;R$43&amp;R$1&amp;"C"&amp;$A69)="N/A",0,RTD("tos.rtd",,$A$2,"."&amp;R$43&amp;R$1&amp;"C"&amp;$A69))-IF(RTD("tos.rtd",,$A$2,"."&amp;R$43&amp;R$1&amp;"P"&amp;$A69)="N/A",0,RTD("tos.rtd",,$A$2,"."&amp;R$43&amp;R$1&amp;"P"&amp;$A69))</f>
        <v>13</v>
      </c>
      <c r="S69" s="91">
        <f ca="1">IF(RTD("tos.rtd",,$A$2,"."&amp;S$43&amp;S$1&amp;"C"&amp;$A69)="N/A",0,RTD("tos.rtd",,$A$2,"."&amp;S$43&amp;S$1&amp;"C"&amp;$A69))-IF(RTD("tos.rtd",,$A$2,"."&amp;S$43&amp;S$1&amp;"P"&amp;$A69)="N/A",0,RTD("tos.rtd",,$A$2,"."&amp;S$43&amp;S$1&amp;"P"&amp;$A69))</f>
        <v>0</v>
      </c>
      <c r="T69" s="91">
        <f ca="1">IF(RTD("tos.rtd",,$A$2,"."&amp;T$43&amp;T$1&amp;"C"&amp;$A69)="N/A",0,RTD("tos.rtd",,$A$2,"."&amp;T$43&amp;T$1&amp;"C"&amp;$A69))-IF(RTD("tos.rtd",,$A$2,"."&amp;T$43&amp;T$1&amp;"P"&amp;$A69)="N/A",0,RTD("tos.rtd",,$A$2,"."&amp;T$43&amp;T$1&amp;"P"&amp;$A69))</f>
        <v>0</v>
      </c>
      <c r="U69" s="91">
        <f ca="1">IF(RTD("tos.rtd",,$A$2,"."&amp;U$43&amp;U$1&amp;"C"&amp;$A69)="N/A",0,RTD("tos.rtd",,$A$2,"."&amp;U$43&amp;U$1&amp;"C"&amp;$A69))-IF(RTD("tos.rtd",,$A$2,"."&amp;U$43&amp;U$1&amp;"P"&amp;$A69)="N/A",0,RTD("tos.rtd",,$A$2,"."&amp;U$43&amp;U$1&amp;"P"&amp;$A69))</f>
        <v>0</v>
      </c>
      <c r="V69" s="91">
        <f ca="1">IF(RTD("tos.rtd",,$A$2,"."&amp;V$43&amp;V$1&amp;"C"&amp;$A69)="N/A",0,RTD("tos.rtd",,$A$2,"."&amp;V$43&amp;V$1&amp;"C"&amp;$A69))-IF(RTD("tos.rtd",,$A$2,"."&amp;V$43&amp;V$1&amp;"P"&amp;$A69)="N/A",0,RTD("tos.rtd",,$A$2,"."&amp;V$43&amp;V$1&amp;"P"&amp;$A69))</f>
        <v>0</v>
      </c>
      <c r="W69" s="91">
        <f ca="1">IF(RTD("tos.rtd",,$A$2,"."&amp;W$43&amp;W$1&amp;"C"&amp;$A69)="N/A",0,RTD("tos.rtd",,$A$2,"."&amp;W$43&amp;W$1&amp;"C"&amp;$A69))-IF(RTD("tos.rtd",,$A$2,"."&amp;W$43&amp;W$1&amp;"P"&amp;$A69)="N/A",0,RTD("tos.rtd",,$A$2,"."&amp;W$43&amp;W$1&amp;"P"&amp;$A69))</f>
        <v>0</v>
      </c>
      <c r="X69" s="91">
        <f ca="1">IF(RTD("tos.rtd",,$A$2,"."&amp;X$43&amp;X$1&amp;"C"&amp;$A69)="N/A",0,RTD("tos.rtd",,$A$2,"."&amp;X$43&amp;X$1&amp;"C"&amp;$A69))-IF(RTD("tos.rtd",,$A$2,"."&amp;X$43&amp;X$1&amp;"P"&amp;$A69)="N/A",0,RTD("tos.rtd",,$A$2,"."&amp;X$43&amp;X$1&amp;"P"&amp;$A69))</f>
        <v>2</v>
      </c>
      <c r="Y69" s="98">
        <f t="shared" ca="1" si="7"/>
        <v>-320</v>
      </c>
    </row>
    <row r="70" spans="1:25" x14ac:dyDescent="0.25">
      <c r="A70" s="93">
        <f>+Hoja1!A69</f>
        <v>478</v>
      </c>
      <c r="B70" s="91">
        <f ca="1">IF(RTD("tos.rtd",,$A$2,"."&amp;B$43&amp;B$1&amp;"C"&amp;$A70)="N/A",0,RTD("tos.rtd",,$A$2,"."&amp;B$43&amp;B$1&amp;"C"&amp;$A70))-IF(RTD("tos.rtd",,$A$2,"."&amp;B$43&amp;B$1&amp;"P"&amp;$A70)="N/A",0,RTD("tos.rtd",,$A$2,"."&amp;B$43&amp;B$1&amp;"P"&amp;$A70))</f>
        <v>0</v>
      </c>
      <c r="C70" s="91">
        <f ca="1">IF(RTD("tos.rtd",,$A$2,"."&amp;C$43&amp;C$1&amp;"C"&amp;$A70)="N/A",0,RTD("tos.rtd",,$A$2,"."&amp;C$43&amp;C$1&amp;"C"&amp;$A70))-IF(RTD("tos.rtd",,$A$2,"."&amp;C$43&amp;C$1&amp;"P"&amp;$A70)="N/A",0,RTD("tos.rtd",,$A$2,"."&amp;C$43&amp;C$1&amp;"P"&amp;$A70))</f>
        <v>0</v>
      </c>
      <c r="D70" s="91">
        <f ca="1">IF(RTD("tos.rtd",,$A$2,"."&amp;D$43&amp;D$1&amp;"C"&amp;$A70)="N/A",0,RTD("tos.rtd",,$A$2,"."&amp;D$43&amp;D$1&amp;"C"&amp;$A70))-IF(RTD("tos.rtd",,$A$2,"."&amp;D$43&amp;D$1&amp;"P"&amp;$A70)="N/A",0,RTD("tos.rtd",,$A$2,"."&amp;D$43&amp;D$1&amp;"P"&amp;$A70))</f>
        <v>0</v>
      </c>
      <c r="E70" s="91">
        <f ca="1">IF(RTD("tos.rtd",,$A$2,"."&amp;E$43&amp;E$1&amp;"C"&amp;$A70)="N/A",0,RTD("tos.rtd",,$A$2,"."&amp;E$43&amp;E$1&amp;"C"&amp;$A70))-IF(RTD("tos.rtd",,$A$2,"."&amp;E$43&amp;E$1&amp;"P"&amp;$A70)="N/A",0,RTD("tos.rtd",,$A$2,"."&amp;E$43&amp;E$1&amp;"P"&amp;$A70))</f>
        <v>0</v>
      </c>
      <c r="F70" s="91">
        <f ca="1">IF(RTD("tos.rtd",,$A$2,"."&amp;F$43&amp;F$1&amp;"C"&amp;$A70)="N/A",0,RTD("tos.rtd",,$A$2,"."&amp;F$43&amp;F$1&amp;"C"&amp;$A70))-IF(RTD("tos.rtd",,$A$2,"."&amp;F$43&amp;F$1&amp;"P"&amp;$A70)="N/A",0,RTD("tos.rtd",,$A$2,"."&amp;F$43&amp;F$1&amp;"P"&amp;$A70))</f>
        <v>0</v>
      </c>
      <c r="G70" s="91">
        <f ca="1">IF(RTD("tos.rtd",,$A$2,"."&amp;G$43&amp;G$1&amp;"C"&amp;$A70)="N/A",0,RTD("tos.rtd",,$A$2,"."&amp;G$43&amp;G$1&amp;"C"&amp;$A70))-IF(RTD("tos.rtd",,$A$2,"."&amp;G$43&amp;G$1&amp;"P"&amp;$A70)="N/A",0,RTD("tos.rtd",,$A$2,"."&amp;G$43&amp;G$1&amp;"P"&amp;$A70))</f>
        <v>0</v>
      </c>
      <c r="H70" s="91">
        <f ca="1">IF(RTD("tos.rtd",,$A$2,"."&amp;H$43&amp;H$1&amp;"C"&amp;$A70)="N/A",0,RTD("tos.rtd",,$A$2,"."&amp;H$43&amp;H$1&amp;"C"&amp;$A70))-IF(RTD("tos.rtd",,$A$2,"."&amp;H$43&amp;H$1&amp;"P"&amp;$A70)="N/A",0,RTD("tos.rtd",,$A$2,"."&amp;H$43&amp;H$1&amp;"P"&amp;$A70))</f>
        <v>-40</v>
      </c>
      <c r="I70" s="91">
        <f ca="1">IF(RTD("tos.rtd",,$A$2,"."&amp;I$43&amp;I$1&amp;"C"&amp;$A70)="N/A",0,RTD("tos.rtd",,$A$2,"."&amp;I$43&amp;I$1&amp;"C"&amp;$A70))-IF(RTD("tos.rtd",,$A$2,"."&amp;I$43&amp;I$1&amp;"P"&amp;$A70)="N/A",0,RTD("tos.rtd",,$A$2,"."&amp;I$43&amp;I$1&amp;"P"&amp;$A70))</f>
        <v>-65</v>
      </c>
      <c r="J70" s="91">
        <f ca="1">IF(RTD("tos.rtd",,$A$2,"."&amp;J$43&amp;J$1&amp;"C"&amp;$A70)="N/A",0,RTD("tos.rtd",,$A$2,"."&amp;J$43&amp;J$1&amp;"C"&amp;$A70))-IF(RTD("tos.rtd",,$A$2,"."&amp;J$43&amp;J$1&amp;"P"&amp;$A70)="N/A",0,RTD("tos.rtd",,$A$2,"."&amp;J$43&amp;J$1&amp;"P"&amp;$A70))</f>
        <v>-10</v>
      </c>
      <c r="K70" s="91">
        <f ca="1">IF(RTD("tos.rtd",,$A$2,"."&amp;K$43&amp;K$1&amp;"C"&amp;$A70)="N/A",0,RTD("tos.rtd",,$A$2,"."&amp;K$43&amp;K$1&amp;"C"&amp;$A70))-IF(RTD("tos.rtd",,$A$2,"."&amp;K$43&amp;K$1&amp;"P"&amp;$A70)="N/A",0,RTD("tos.rtd",,$A$2,"."&amp;K$43&amp;K$1&amp;"P"&amp;$A70))</f>
        <v>0</v>
      </c>
      <c r="L70" s="91">
        <f ca="1">IF(RTD("tos.rtd",,$A$2,"."&amp;L$43&amp;L$1&amp;"C"&amp;$A70)="N/A",0,RTD("tos.rtd",,$A$2,"."&amp;L$43&amp;L$1&amp;"C"&amp;$A70))-IF(RTD("tos.rtd",,$A$2,"."&amp;L$43&amp;L$1&amp;"P"&amp;$A70)="N/A",0,RTD("tos.rtd",,$A$2,"."&amp;L$43&amp;L$1&amp;"P"&amp;$A70))</f>
        <v>-39</v>
      </c>
      <c r="M70" s="91">
        <f ca="1">IF(RTD("tos.rtd",,$A$2,"."&amp;M$43&amp;M$1&amp;"C"&amp;$A70)="N/A",0,RTD("tos.rtd",,$A$2,"."&amp;M$43&amp;M$1&amp;"C"&amp;$A70))-IF(RTD("tos.rtd",,$A$2,"."&amp;M$43&amp;M$1&amp;"P"&amp;$A70)="N/A",0,RTD("tos.rtd",,$A$2,"."&amp;M$43&amp;M$1&amp;"P"&amp;$A70))</f>
        <v>0</v>
      </c>
      <c r="N70" s="91">
        <f ca="1">IF(RTD("tos.rtd",,$A$2,"."&amp;N$43&amp;N$1&amp;"C"&amp;$A70)="N/A",0,RTD("tos.rtd",,$A$2,"."&amp;N$43&amp;N$1&amp;"C"&amp;$A70))-IF(RTD("tos.rtd",,$A$2,"."&amp;N$43&amp;N$1&amp;"P"&amp;$A70)="N/A",0,RTD("tos.rtd",,$A$2,"."&amp;N$43&amp;N$1&amp;"P"&amp;$A70))</f>
        <v>2</v>
      </c>
      <c r="O70" s="91">
        <f ca="1">IF(RTD("tos.rtd",,$A$2,"."&amp;O$43&amp;O$1&amp;"C"&amp;$A70)="N/A",0,RTD("tos.rtd",,$A$2,"."&amp;O$43&amp;O$1&amp;"C"&amp;$A70))-IF(RTD("tos.rtd",,$A$2,"."&amp;O$43&amp;O$1&amp;"P"&amp;$A70)="N/A",0,RTD("tos.rtd",,$A$2,"."&amp;O$43&amp;O$1&amp;"P"&amp;$A70))</f>
        <v>0</v>
      </c>
      <c r="P70" s="91">
        <f ca="1">IF(RTD("tos.rtd",,$A$2,"."&amp;P$43&amp;P$1&amp;"C"&amp;$A70)="N/A",0,RTD("tos.rtd",,$A$2,"."&amp;P$43&amp;P$1&amp;"C"&amp;$A70))-IF(RTD("tos.rtd",,$A$2,"."&amp;P$43&amp;P$1&amp;"P"&amp;$A70)="N/A",0,RTD("tos.rtd",,$A$2,"."&amp;P$43&amp;P$1&amp;"P"&amp;$A70))</f>
        <v>0</v>
      </c>
      <c r="Q70" s="91">
        <f ca="1">IF(RTD("tos.rtd",,$A$2,"."&amp;Q$43&amp;Q$1&amp;"C"&amp;$A70)="N/A",0,RTD("tos.rtd",,$A$2,"."&amp;Q$43&amp;Q$1&amp;"C"&amp;$A70))-IF(RTD("tos.rtd",,$A$2,"."&amp;Q$43&amp;Q$1&amp;"P"&amp;$A70)="N/A",0,RTD("tos.rtd",,$A$2,"."&amp;Q$43&amp;Q$1&amp;"P"&amp;$A70))</f>
        <v>0</v>
      </c>
      <c r="R70" s="91">
        <f ca="1">IF(RTD("tos.rtd",,$A$2,"."&amp;R$43&amp;R$1&amp;"C"&amp;$A70)="N/A",0,RTD("tos.rtd",,$A$2,"."&amp;R$43&amp;R$1&amp;"C"&amp;$A70))-IF(RTD("tos.rtd",,$A$2,"."&amp;R$43&amp;R$1&amp;"P"&amp;$A70)="N/A",0,RTD("tos.rtd",,$A$2,"."&amp;R$43&amp;R$1&amp;"P"&amp;$A70))</f>
        <v>7</v>
      </c>
      <c r="S70" s="91">
        <f ca="1">IF(RTD("tos.rtd",,$A$2,"."&amp;S$43&amp;S$1&amp;"C"&amp;$A70)="N/A",0,RTD("tos.rtd",,$A$2,"."&amp;S$43&amp;S$1&amp;"C"&amp;$A70))-IF(RTD("tos.rtd",,$A$2,"."&amp;S$43&amp;S$1&amp;"P"&amp;$A70)="N/A",0,RTD("tos.rtd",,$A$2,"."&amp;S$43&amp;S$1&amp;"P"&amp;$A70))</f>
        <v>0</v>
      </c>
      <c r="T70" s="91">
        <f ca="1">IF(RTD("tos.rtd",,$A$2,"."&amp;T$43&amp;T$1&amp;"C"&amp;$A70)="N/A",0,RTD("tos.rtd",,$A$2,"."&amp;T$43&amp;T$1&amp;"C"&amp;$A70))-IF(RTD("tos.rtd",,$A$2,"."&amp;T$43&amp;T$1&amp;"P"&amp;$A70)="N/A",0,RTD("tos.rtd",,$A$2,"."&amp;T$43&amp;T$1&amp;"P"&amp;$A70))</f>
        <v>0</v>
      </c>
      <c r="U70" s="91">
        <f ca="1">IF(RTD("tos.rtd",,$A$2,"."&amp;U$43&amp;U$1&amp;"C"&amp;$A70)="N/A",0,RTD("tos.rtd",,$A$2,"."&amp;U$43&amp;U$1&amp;"C"&amp;$A70))-IF(RTD("tos.rtd",,$A$2,"."&amp;U$43&amp;U$1&amp;"P"&amp;$A70)="N/A",0,RTD("tos.rtd",,$A$2,"."&amp;U$43&amp;U$1&amp;"P"&amp;$A70))</f>
        <v>0</v>
      </c>
      <c r="V70" s="91">
        <f ca="1">IF(RTD("tos.rtd",,$A$2,"."&amp;V$43&amp;V$1&amp;"C"&amp;$A70)="N/A",0,RTD("tos.rtd",,$A$2,"."&amp;V$43&amp;V$1&amp;"C"&amp;$A70))-IF(RTD("tos.rtd",,$A$2,"."&amp;V$43&amp;V$1&amp;"P"&amp;$A70)="N/A",0,RTD("tos.rtd",,$A$2,"."&amp;V$43&amp;V$1&amp;"P"&amp;$A70))</f>
        <v>0</v>
      </c>
      <c r="W70" s="91">
        <f ca="1">IF(RTD("tos.rtd",,$A$2,"."&amp;W$43&amp;W$1&amp;"C"&amp;$A70)="N/A",0,RTD("tos.rtd",,$A$2,"."&amp;W$43&amp;W$1&amp;"C"&amp;$A70))-IF(RTD("tos.rtd",,$A$2,"."&amp;W$43&amp;W$1&amp;"P"&amp;$A70)="N/A",0,RTD("tos.rtd",,$A$2,"."&amp;W$43&amp;W$1&amp;"P"&amp;$A70))</f>
        <v>0</v>
      </c>
      <c r="X70" s="91">
        <f ca="1">IF(RTD("tos.rtd",,$A$2,"."&amp;X$43&amp;X$1&amp;"C"&amp;$A70)="N/A",0,RTD("tos.rtd",,$A$2,"."&amp;X$43&amp;X$1&amp;"C"&amp;$A70))-IF(RTD("tos.rtd",,$A$2,"."&amp;X$43&amp;X$1&amp;"P"&amp;$A70)="N/A",0,RTD("tos.rtd",,$A$2,"."&amp;X$43&amp;X$1&amp;"P"&amp;$A70))</f>
        <v>12</v>
      </c>
      <c r="Y70" s="98">
        <f t="shared" ca="1" si="7"/>
        <v>-133</v>
      </c>
    </row>
    <row r="71" spans="1:25" x14ac:dyDescent="0.25">
      <c r="A71" s="93">
        <f>+Hoja1!A70</f>
        <v>477</v>
      </c>
      <c r="B71" s="91">
        <f ca="1">IF(RTD("tos.rtd",,$A$2,"."&amp;B$43&amp;B$1&amp;"C"&amp;$A71)="N/A",0,RTD("tos.rtd",,$A$2,"."&amp;B$43&amp;B$1&amp;"C"&amp;$A71))-IF(RTD("tos.rtd",,$A$2,"."&amp;B$43&amp;B$1&amp;"P"&amp;$A71)="N/A",0,RTD("tos.rtd",,$A$2,"."&amp;B$43&amp;B$1&amp;"P"&amp;$A71))</f>
        <v>0</v>
      </c>
      <c r="C71" s="91">
        <f ca="1">IF(RTD("tos.rtd",,$A$2,"."&amp;C$43&amp;C$1&amp;"C"&amp;$A71)="N/A",0,RTD("tos.rtd",,$A$2,"."&amp;C$43&amp;C$1&amp;"C"&amp;$A71))-IF(RTD("tos.rtd",,$A$2,"."&amp;C$43&amp;C$1&amp;"P"&amp;$A71)="N/A",0,RTD("tos.rtd",,$A$2,"."&amp;C$43&amp;C$1&amp;"P"&amp;$A71))</f>
        <v>0</v>
      </c>
      <c r="D71" s="91">
        <f ca="1">IF(RTD("tos.rtd",,$A$2,"."&amp;D$43&amp;D$1&amp;"C"&amp;$A71)="N/A",0,RTD("tos.rtd",,$A$2,"."&amp;D$43&amp;D$1&amp;"C"&amp;$A71))-IF(RTD("tos.rtd",,$A$2,"."&amp;D$43&amp;D$1&amp;"P"&amp;$A71)="N/A",0,RTD("tos.rtd",,$A$2,"."&amp;D$43&amp;D$1&amp;"P"&amp;$A71))</f>
        <v>0</v>
      </c>
      <c r="E71" s="91">
        <f ca="1">IF(RTD("tos.rtd",,$A$2,"."&amp;E$43&amp;E$1&amp;"C"&amp;$A71)="N/A",0,RTD("tos.rtd",,$A$2,"."&amp;E$43&amp;E$1&amp;"C"&amp;$A71))-IF(RTD("tos.rtd",,$A$2,"."&amp;E$43&amp;E$1&amp;"P"&amp;$A71)="N/A",0,RTD("tos.rtd",,$A$2,"."&amp;E$43&amp;E$1&amp;"P"&amp;$A71))</f>
        <v>0</v>
      </c>
      <c r="F71" s="91">
        <f ca="1">IF(RTD("tos.rtd",,$A$2,"."&amp;F$43&amp;F$1&amp;"C"&amp;$A71)="N/A",0,RTD("tos.rtd",,$A$2,"."&amp;F$43&amp;F$1&amp;"C"&amp;$A71))-IF(RTD("tos.rtd",,$A$2,"."&amp;F$43&amp;F$1&amp;"P"&amp;$A71)="N/A",0,RTD("tos.rtd",,$A$2,"."&amp;F$43&amp;F$1&amp;"P"&amp;$A71))</f>
        <v>0</v>
      </c>
      <c r="G71" s="91">
        <f ca="1">IF(RTD("tos.rtd",,$A$2,"."&amp;G$43&amp;G$1&amp;"C"&amp;$A71)="N/A",0,RTD("tos.rtd",,$A$2,"."&amp;G$43&amp;G$1&amp;"C"&amp;$A71))-IF(RTD("tos.rtd",,$A$2,"."&amp;G$43&amp;G$1&amp;"P"&amp;$A71)="N/A",0,RTD("tos.rtd",,$A$2,"."&amp;G$43&amp;G$1&amp;"P"&amp;$A71))</f>
        <v>0</v>
      </c>
      <c r="H71" s="91">
        <f ca="1">IF(RTD("tos.rtd",,$A$2,"."&amp;H$43&amp;H$1&amp;"C"&amp;$A71)="N/A",0,RTD("tos.rtd",,$A$2,"."&amp;H$43&amp;H$1&amp;"C"&amp;$A71))-IF(RTD("tos.rtd",,$A$2,"."&amp;H$43&amp;H$1&amp;"P"&amp;$A71)="N/A",0,RTD("tos.rtd",,$A$2,"."&amp;H$43&amp;H$1&amp;"P"&amp;$A71))</f>
        <v>-236</v>
      </c>
      <c r="I71" s="91">
        <f ca="1">IF(RTD("tos.rtd",,$A$2,"."&amp;I$43&amp;I$1&amp;"C"&amp;$A71)="N/A",0,RTD("tos.rtd",,$A$2,"."&amp;I$43&amp;I$1&amp;"C"&amp;$A71))-IF(RTD("tos.rtd",,$A$2,"."&amp;I$43&amp;I$1&amp;"P"&amp;$A71)="N/A",0,RTD("tos.rtd",,$A$2,"."&amp;I$43&amp;I$1&amp;"P"&amp;$A71))</f>
        <v>-382</v>
      </c>
      <c r="J71" s="91">
        <f ca="1">IF(RTD("tos.rtd",,$A$2,"."&amp;J$43&amp;J$1&amp;"C"&amp;$A71)="N/A",0,RTD("tos.rtd",,$A$2,"."&amp;J$43&amp;J$1&amp;"C"&amp;$A71))-IF(RTD("tos.rtd",,$A$2,"."&amp;J$43&amp;J$1&amp;"P"&amp;$A71)="N/A",0,RTD("tos.rtd",,$A$2,"."&amp;J$43&amp;J$1&amp;"P"&amp;$A71))</f>
        <v>-5</v>
      </c>
      <c r="K71" s="91">
        <f ca="1">IF(RTD("tos.rtd",,$A$2,"."&amp;K$43&amp;K$1&amp;"C"&amp;$A71)="N/A",0,RTD("tos.rtd",,$A$2,"."&amp;K$43&amp;K$1&amp;"C"&amp;$A71))-IF(RTD("tos.rtd",,$A$2,"."&amp;K$43&amp;K$1&amp;"P"&amp;$A71)="N/A",0,RTD("tos.rtd",,$A$2,"."&amp;K$43&amp;K$1&amp;"P"&amp;$A71))</f>
        <v>0</v>
      </c>
      <c r="L71" s="91">
        <f ca="1">IF(RTD("tos.rtd",,$A$2,"."&amp;L$43&amp;L$1&amp;"C"&amp;$A71)="N/A",0,RTD("tos.rtd",,$A$2,"."&amp;L$43&amp;L$1&amp;"C"&amp;$A71))-IF(RTD("tos.rtd",,$A$2,"."&amp;L$43&amp;L$1&amp;"P"&amp;$A71)="N/A",0,RTD("tos.rtd",,$A$2,"."&amp;L$43&amp;L$1&amp;"P"&amp;$A71))</f>
        <v>-2</v>
      </c>
      <c r="M71" s="91">
        <f ca="1">IF(RTD("tos.rtd",,$A$2,"."&amp;M$43&amp;M$1&amp;"C"&amp;$A71)="N/A",0,RTD("tos.rtd",,$A$2,"."&amp;M$43&amp;M$1&amp;"C"&amp;$A71))-IF(RTD("tos.rtd",,$A$2,"."&amp;M$43&amp;M$1&amp;"P"&amp;$A71)="N/A",0,RTD("tos.rtd",,$A$2,"."&amp;M$43&amp;M$1&amp;"P"&amp;$A71))</f>
        <v>0</v>
      </c>
      <c r="N71" s="91">
        <f ca="1">IF(RTD("tos.rtd",,$A$2,"."&amp;N$43&amp;N$1&amp;"C"&amp;$A71)="N/A",0,RTD("tos.rtd",,$A$2,"."&amp;N$43&amp;N$1&amp;"C"&amp;$A71))-IF(RTD("tos.rtd",,$A$2,"."&amp;N$43&amp;N$1&amp;"P"&amp;$A71)="N/A",0,RTD("tos.rtd",,$A$2,"."&amp;N$43&amp;N$1&amp;"P"&amp;$A71))</f>
        <v>-12</v>
      </c>
      <c r="O71" s="91">
        <f ca="1">IF(RTD("tos.rtd",,$A$2,"."&amp;O$43&amp;O$1&amp;"C"&amp;$A71)="N/A",0,RTD("tos.rtd",,$A$2,"."&amp;O$43&amp;O$1&amp;"C"&amp;$A71))-IF(RTD("tos.rtd",,$A$2,"."&amp;O$43&amp;O$1&amp;"P"&amp;$A71)="N/A",0,RTD("tos.rtd",,$A$2,"."&amp;O$43&amp;O$1&amp;"P"&amp;$A71))</f>
        <v>0</v>
      </c>
      <c r="P71" s="91">
        <f ca="1">IF(RTD("tos.rtd",,$A$2,"."&amp;P$43&amp;P$1&amp;"C"&amp;$A71)="N/A",0,RTD("tos.rtd",,$A$2,"."&amp;P$43&amp;P$1&amp;"C"&amp;$A71))-IF(RTD("tos.rtd",,$A$2,"."&amp;P$43&amp;P$1&amp;"P"&amp;$A71)="N/A",0,RTD("tos.rtd",,$A$2,"."&amp;P$43&amp;P$1&amp;"P"&amp;$A71))</f>
        <v>0</v>
      </c>
      <c r="Q71" s="91">
        <f ca="1">IF(RTD("tos.rtd",,$A$2,"."&amp;Q$43&amp;Q$1&amp;"C"&amp;$A71)="N/A",0,RTD("tos.rtd",,$A$2,"."&amp;Q$43&amp;Q$1&amp;"C"&amp;$A71))-IF(RTD("tos.rtd",,$A$2,"."&amp;Q$43&amp;Q$1&amp;"P"&amp;$A71)="N/A",0,RTD("tos.rtd",,$A$2,"."&amp;Q$43&amp;Q$1&amp;"P"&amp;$A71))</f>
        <v>0</v>
      </c>
      <c r="R71" s="91">
        <f ca="1">IF(RTD("tos.rtd",,$A$2,"."&amp;R$43&amp;R$1&amp;"C"&amp;$A71)="N/A",0,RTD("tos.rtd",,$A$2,"."&amp;R$43&amp;R$1&amp;"C"&amp;$A71))-IF(RTD("tos.rtd",,$A$2,"."&amp;R$43&amp;R$1&amp;"P"&amp;$A71)="N/A",0,RTD("tos.rtd",,$A$2,"."&amp;R$43&amp;R$1&amp;"P"&amp;$A71))</f>
        <v>1</v>
      </c>
      <c r="S71" s="91">
        <f ca="1">IF(RTD("tos.rtd",,$A$2,"."&amp;S$43&amp;S$1&amp;"C"&amp;$A71)="N/A",0,RTD("tos.rtd",,$A$2,"."&amp;S$43&amp;S$1&amp;"C"&amp;$A71))-IF(RTD("tos.rtd",,$A$2,"."&amp;S$43&amp;S$1&amp;"P"&amp;$A71)="N/A",0,RTD("tos.rtd",,$A$2,"."&amp;S$43&amp;S$1&amp;"P"&amp;$A71))</f>
        <v>0</v>
      </c>
      <c r="T71" s="91">
        <f ca="1">IF(RTD("tos.rtd",,$A$2,"."&amp;T$43&amp;T$1&amp;"C"&amp;$A71)="N/A",0,RTD("tos.rtd",,$A$2,"."&amp;T$43&amp;T$1&amp;"C"&amp;$A71))-IF(RTD("tos.rtd",,$A$2,"."&amp;T$43&amp;T$1&amp;"P"&amp;$A71)="N/A",0,RTD("tos.rtd",,$A$2,"."&amp;T$43&amp;T$1&amp;"P"&amp;$A71))</f>
        <v>0</v>
      </c>
      <c r="U71" s="91">
        <f ca="1">IF(RTD("tos.rtd",,$A$2,"."&amp;U$43&amp;U$1&amp;"C"&amp;$A71)="N/A",0,RTD("tos.rtd",,$A$2,"."&amp;U$43&amp;U$1&amp;"C"&amp;$A71))-IF(RTD("tos.rtd",,$A$2,"."&amp;U$43&amp;U$1&amp;"P"&amp;$A71)="N/A",0,RTD("tos.rtd",,$A$2,"."&amp;U$43&amp;U$1&amp;"P"&amp;$A71))</f>
        <v>0</v>
      </c>
      <c r="V71" s="91">
        <f ca="1">IF(RTD("tos.rtd",,$A$2,"."&amp;V$43&amp;V$1&amp;"C"&amp;$A71)="N/A",0,RTD("tos.rtd",,$A$2,"."&amp;V$43&amp;V$1&amp;"C"&amp;$A71))-IF(RTD("tos.rtd",,$A$2,"."&amp;V$43&amp;V$1&amp;"P"&amp;$A71)="N/A",0,RTD("tos.rtd",,$A$2,"."&amp;V$43&amp;V$1&amp;"P"&amp;$A71))</f>
        <v>0</v>
      </c>
      <c r="W71" s="91">
        <f ca="1">IF(RTD("tos.rtd",,$A$2,"."&amp;W$43&amp;W$1&amp;"C"&amp;$A71)="N/A",0,RTD("tos.rtd",,$A$2,"."&amp;W$43&amp;W$1&amp;"C"&amp;$A71))-IF(RTD("tos.rtd",,$A$2,"."&amp;W$43&amp;W$1&amp;"P"&amp;$A71)="N/A",0,RTD("tos.rtd",,$A$2,"."&amp;W$43&amp;W$1&amp;"P"&amp;$A71))</f>
        <v>0</v>
      </c>
      <c r="X71" s="91">
        <f ca="1">IF(RTD("tos.rtd",,$A$2,"."&amp;X$43&amp;X$1&amp;"C"&amp;$A71)="N/A",0,RTD("tos.rtd",,$A$2,"."&amp;X$43&amp;X$1&amp;"C"&amp;$A71))-IF(RTD("tos.rtd",,$A$2,"."&amp;X$43&amp;X$1&amp;"P"&amp;$A71)="N/A",0,RTD("tos.rtd",,$A$2,"."&amp;X$43&amp;X$1&amp;"P"&amp;$A71))</f>
        <v>0</v>
      </c>
      <c r="Y71" s="98">
        <f t="shared" ca="1" si="7"/>
        <v>-636</v>
      </c>
    </row>
    <row r="72" spans="1:25" x14ac:dyDescent="0.25">
      <c r="A72" s="93">
        <f>+Hoja1!A71</f>
        <v>476</v>
      </c>
      <c r="B72" s="91">
        <f ca="1">IF(RTD("tos.rtd",,$A$2,"."&amp;B$43&amp;B$1&amp;"C"&amp;$A72)="N/A",0,RTD("tos.rtd",,$A$2,"."&amp;B$43&amp;B$1&amp;"C"&amp;$A72))-IF(RTD("tos.rtd",,$A$2,"."&amp;B$43&amp;B$1&amp;"P"&amp;$A72)="N/A",0,RTD("tos.rtd",,$A$2,"."&amp;B$43&amp;B$1&amp;"P"&amp;$A72))</f>
        <v>0</v>
      </c>
      <c r="C72" s="91">
        <f ca="1">IF(RTD("tos.rtd",,$A$2,"."&amp;C$43&amp;C$1&amp;"C"&amp;$A72)="N/A",0,RTD("tos.rtd",,$A$2,"."&amp;C$43&amp;C$1&amp;"C"&amp;$A72))-IF(RTD("tos.rtd",,$A$2,"."&amp;C$43&amp;C$1&amp;"P"&amp;$A72)="N/A",0,RTD("tos.rtd",,$A$2,"."&amp;C$43&amp;C$1&amp;"P"&amp;$A72))</f>
        <v>0</v>
      </c>
      <c r="D72" s="91">
        <f ca="1">IF(RTD("tos.rtd",,$A$2,"."&amp;D$43&amp;D$1&amp;"C"&amp;$A72)="N/A",0,RTD("tos.rtd",,$A$2,"."&amp;D$43&amp;D$1&amp;"C"&amp;$A72))-IF(RTD("tos.rtd",,$A$2,"."&amp;D$43&amp;D$1&amp;"P"&amp;$A72)="N/A",0,RTD("tos.rtd",,$A$2,"."&amp;D$43&amp;D$1&amp;"P"&amp;$A72))</f>
        <v>0</v>
      </c>
      <c r="E72" s="91">
        <f ca="1">IF(RTD("tos.rtd",,$A$2,"."&amp;E$43&amp;E$1&amp;"C"&amp;$A72)="N/A",0,RTD("tos.rtd",,$A$2,"."&amp;E$43&amp;E$1&amp;"C"&amp;$A72))-IF(RTD("tos.rtd",,$A$2,"."&amp;E$43&amp;E$1&amp;"P"&amp;$A72)="N/A",0,RTD("tos.rtd",,$A$2,"."&amp;E$43&amp;E$1&amp;"P"&amp;$A72))</f>
        <v>0</v>
      </c>
      <c r="F72" s="91">
        <f ca="1">IF(RTD("tos.rtd",,$A$2,"."&amp;F$43&amp;F$1&amp;"C"&amp;$A72)="N/A",0,RTD("tos.rtd",,$A$2,"."&amp;F$43&amp;F$1&amp;"C"&amp;$A72))-IF(RTD("tos.rtd",,$A$2,"."&amp;F$43&amp;F$1&amp;"P"&amp;$A72)="N/A",0,RTD("tos.rtd",,$A$2,"."&amp;F$43&amp;F$1&amp;"P"&amp;$A72))</f>
        <v>0</v>
      </c>
      <c r="G72" s="91">
        <f ca="1">IF(RTD("tos.rtd",,$A$2,"."&amp;G$43&amp;G$1&amp;"C"&amp;$A72)="N/A",0,RTD("tos.rtd",,$A$2,"."&amp;G$43&amp;G$1&amp;"C"&amp;$A72))-IF(RTD("tos.rtd",,$A$2,"."&amp;G$43&amp;G$1&amp;"P"&amp;$A72)="N/A",0,RTD("tos.rtd",,$A$2,"."&amp;G$43&amp;G$1&amp;"P"&amp;$A72))</f>
        <v>0</v>
      </c>
      <c r="H72" s="91">
        <f ca="1">IF(RTD("tos.rtd",,$A$2,"."&amp;H$43&amp;H$1&amp;"C"&amp;$A72)="N/A",0,RTD("tos.rtd",,$A$2,"."&amp;H$43&amp;H$1&amp;"C"&amp;$A72))-IF(RTD("tos.rtd",,$A$2,"."&amp;H$43&amp;H$1&amp;"P"&amp;$A72)="N/A",0,RTD("tos.rtd",,$A$2,"."&amp;H$43&amp;H$1&amp;"P"&amp;$A72))</f>
        <v>-45</v>
      </c>
      <c r="I72" s="91">
        <f ca="1">IF(RTD("tos.rtd",,$A$2,"."&amp;I$43&amp;I$1&amp;"C"&amp;$A72)="N/A",0,RTD("tos.rtd",,$A$2,"."&amp;I$43&amp;I$1&amp;"C"&amp;$A72))-IF(RTD("tos.rtd",,$A$2,"."&amp;I$43&amp;I$1&amp;"P"&amp;$A72)="N/A",0,RTD("tos.rtd",,$A$2,"."&amp;I$43&amp;I$1&amp;"P"&amp;$A72))</f>
        <v>-42</v>
      </c>
      <c r="J72" s="91">
        <f ca="1">IF(RTD("tos.rtd",,$A$2,"."&amp;J$43&amp;J$1&amp;"C"&amp;$A72)="N/A",0,RTD("tos.rtd",,$A$2,"."&amp;J$43&amp;J$1&amp;"C"&amp;$A72))-IF(RTD("tos.rtd",,$A$2,"."&amp;J$43&amp;J$1&amp;"P"&amp;$A72)="N/A",0,RTD("tos.rtd",,$A$2,"."&amp;J$43&amp;J$1&amp;"P"&amp;$A72))</f>
        <v>-92</v>
      </c>
      <c r="K72" s="91">
        <f ca="1">IF(RTD("tos.rtd",,$A$2,"."&amp;K$43&amp;K$1&amp;"C"&amp;$A72)="N/A",0,RTD("tos.rtd",,$A$2,"."&amp;K$43&amp;K$1&amp;"C"&amp;$A72))-IF(RTD("tos.rtd",,$A$2,"."&amp;K$43&amp;K$1&amp;"P"&amp;$A72)="N/A",0,RTD("tos.rtd",,$A$2,"."&amp;K$43&amp;K$1&amp;"P"&amp;$A72))</f>
        <v>0</v>
      </c>
      <c r="L72" s="91">
        <f ca="1">IF(RTD("tos.rtd",,$A$2,"."&amp;L$43&amp;L$1&amp;"C"&amp;$A72)="N/A",0,RTD("tos.rtd",,$A$2,"."&amp;L$43&amp;L$1&amp;"C"&amp;$A72))-IF(RTD("tos.rtd",,$A$2,"."&amp;L$43&amp;L$1&amp;"P"&amp;$A72)="N/A",0,RTD("tos.rtd",,$A$2,"."&amp;L$43&amp;L$1&amp;"P"&amp;$A72))</f>
        <v>-5</v>
      </c>
      <c r="M72" s="91">
        <f ca="1">IF(RTD("tos.rtd",,$A$2,"."&amp;M$43&amp;M$1&amp;"C"&amp;$A72)="N/A",0,RTD("tos.rtd",,$A$2,"."&amp;M$43&amp;M$1&amp;"C"&amp;$A72))-IF(RTD("tos.rtd",,$A$2,"."&amp;M$43&amp;M$1&amp;"P"&amp;$A72)="N/A",0,RTD("tos.rtd",,$A$2,"."&amp;M$43&amp;M$1&amp;"P"&amp;$A72))</f>
        <v>0</v>
      </c>
      <c r="N72" s="91">
        <f ca="1">IF(RTD("tos.rtd",,$A$2,"."&amp;N$43&amp;N$1&amp;"C"&amp;$A72)="N/A",0,RTD("tos.rtd",,$A$2,"."&amp;N$43&amp;N$1&amp;"C"&amp;$A72))-IF(RTD("tos.rtd",,$A$2,"."&amp;N$43&amp;N$1&amp;"P"&amp;$A72)="N/A",0,RTD("tos.rtd",,$A$2,"."&amp;N$43&amp;N$1&amp;"P"&amp;$A72))</f>
        <v>0</v>
      </c>
      <c r="O72" s="91">
        <f ca="1">IF(RTD("tos.rtd",,$A$2,"."&amp;O$43&amp;O$1&amp;"C"&amp;$A72)="N/A",0,RTD("tos.rtd",,$A$2,"."&amp;O$43&amp;O$1&amp;"C"&amp;$A72))-IF(RTD("tos.rtd",,$A$2,"."&amp;O$43&amp;O$1&amp;"P"&amp;$A72)="N/A",0,RTD("tos.rtd",,$A$2,"."&amp;O$43&amp;O$1&amp;"P"&amp;$A72))</f>
        <v>0</v>
      </c>
      <c r="P72" s="91">
        <f ca="1">IF(RTD("tos.rtd",,$A$2,"."&amp;P$43&amp;P$1&amp;"C"&amp;$A72)="N/A",0,RTD("tos.rtd",,$A$2,"."&amp;P$43&amp;P$1&amp;"C"&amp;$A72))-IF(RTD("tos.rtd",,$A$2,"."&amp;P$43&amp;P$1&amp;"P"&amp;$A72)="N/A",0,RTD("tos.rtd",,$A$2,"."&amp;P$43&amp;P$1&amp;"P"&amp;$A72))</f>
        <v>0</v>
      </c>
      <c r="Q72" s="91">
        <f ca="1">IF(RTD("tos.rtd",,$A$2,"."&amp;Q$43&amp;Q$1&amp;"C"&amp;$A72)="N/A",0,RTD("tos.rtd",,$A$2,"."&amp;Q$43&amp;Q$1&amp;"C"&amp;$A72))-IF(RTD("tos.rtd",,$A$2,"."&amp;Q$43&amp;Q$1&amp;"P"&amp;$A72)="N/A",0,RTD("tos.rtd",,$A$2,"."&amp;Q$43&amp;Q$1&amp;"P"&amp;$A72))</f>
        <v>0</v>
      </c>
      <c r="R72" s="91">
        <f ca="1">IF(RTD("tos.rtd",,$A$2,"."&amp;R$43&amp;R$1&amp;"C"&amp;$A72)="N/A",0,RTD("tos.rtd",,$A$2,"."&amp;R$43&amp;R$1&amp;"C"&amp;$A72))-IF(RTD("tos.rtd",,$A$2,"."&amp;R$43&amp;R$1&amp;"P"&amp;$A72)="N/A",0,RTD("tos.rtd",,$A$2,"."&amp;R$43&amp;R$1&amp;"P"&amp;$A72))</f>
        <v>6</v>
      </c>
      <c r="S72" s="91">
        <f ca="1">IF(RTD("tos.rtd",,$A$2,"."&amp;S$43&amp;S$1&amp;"C"&amp;$A72)="N/A",0,RTD("tos.rtd",,$A$2,"."&amp;S$43&amp;S$1&amp;"C"&amp;$A72))-IF(RTD("tos.rtd",,$A$2,"."&amp;S$43&amp;S$1&amp;"P"&amp;$A72)="N/A",0,RTD("tos.rtd",,$A$2,"."&amp;S$43&amp;S$1&amp;"P"&amp;$A72))</f>
        <v>0</v>
      </c>
      <c r="T72" s="91">
        <f ca="1">IF(RTD("tos.rtd",,$A$2,"."&amp;T$43&amp;T$1&amp;"C"&amp;$A72)="N/A",0,RTD("tos.rtd",,$A$2,"."&amp;T$43&amp;T$1&amp;"C"&amp;$A72))-IF(RTD("tos.rtd",,$A$2,"."&amp;T$43&amp;T$1&amp;"P"&amp;$A72)="N/A",0,RTD("tos.rtd",,$A$2,"."&amp;T$43&amp;T$1&amp;"P"&amp;$A72))</f>
        <v>0</v>
      </c>
      <c r="U72" s="91">
        <f ca="1">IF(RTD("tos.rtd",,$A$2,"."&amp;U$43&amp;U$1&amp;"C"&amp;$A72)="N/A",0,RTD("tos.rtd",,$A$2,"."&amp;U$43&amp;U$1&amp;"C"&amp;$A72))-IF(RTD("tos.rtd",,$A$2,"."&amp;U$43&amp;U$1&amp;"P"&amp;$A72)="N/A",0,RTD("tos.rtd",,$A$2,"."&amp;U$43&amp;U$1&amp;"P"&amp;$A72))</f>
        <v>0</v>
      </c>
      <c r="V72" s="91">
        <f ca="1">IF(RTD("tos.rtd",,$A$2,"."&amp;V$43&amp;V$1&amp;"C"&amp;$A72)="N/A",0,RTD("tos.rtd",,$A$2,"."&amp;V$43&amp;V$1&amp;"C"&amp;$A72))-IF(RTD("tos.rtd",,$A$2,"."&amp;V$43&amp;V$1&amp;"P"&amp;$A72)="N/A",0,RTD("tos.rtd",,$A$2,"."&amp;V$43&amp;V$1&amp;"P"&amp;$A72))</f>
        <v>0</v>
      </c>
      <c r="W72" s="91">
        <f ca="1">IF(RTD("tos.rtd",,$A$2,"."&amp;W$43&amp;W$1&amp;"C"&amp;$A72)="N/A",0,RTD("tos.rtd",,$A$2,"."&amp;W$43&amp;W$1&amp;"C"&amp;$A72))-IF(RTD("tos.rtd",,$A$2,"."&amp;W$43&amp;W$1&amp;"P"&amp;$A72)="N/A",0,RTD("tos.rtd",,$A$2,"."&amp;W$43&amp;W$1&amp;"P"&amp;$A72))</f>
        <v>0</v>
      </c>
      <c r="X72" s="91">
        <f ca="1">IF(RTD("tos.rtd",,$A$2,"."&amp;X$43&amp;X$1&amp;"C"&amp;$A72)="N/A",0,RTD("tos.rtd",,$A$2,"."&amp;X$43&amp;X$1&amp;"C"&amp;$A72))-IF(RTD("tos.rtd",,$A$2,"."&amp;X$43&amp;X$1&amp;"P"&amp;$A72)="N/A",0,RTD("tos.rtd",,$A$2,"."&amp;X$43&amp;X$1&amp;"P"&amp;$A72))</f>
        <v>-3</v>
      </c>
      <c r="Y72" s="98">
        <f t="shared" ca="1" si="7"/>
        <v>-181</v>
      </c>
    </row>
    <row r="73" spans="1:25" x14ac:dyDescent="0.25">
      <c r="A73" s="93">
        <f>+Hoja1!A72</f>
        <v>475</v>
      </c>
      <c r="B73" s="91">
        <f ca="1">IF(RTD("tos.rtd",,$A$2,"."&amp;B$43&amp;B$1&amp;"C"&amp;$A73)="N/A",0,RTD("tos.rtd",,$A$2,"."&amp;B$43&amp;B$1&amp;"C"&amp;$A73))-IF(RTD("tos.rtd",,$A$2,"."&amp;B$43&amp;B$1&amp;"P"&amp;$A73)="N/A",0,RTD("tos.rtd",,$A$2,"."&amp;B$43&amp;B$1&amp;"P"&amp;$A73))</f>
        <v>0</v>
      </c>
      <c r="C73" s="91">
        <f ca="1">IF(RTD("tos.rtd",,$A$2,"."&amp;C$43&amp;C$1&amp;"C"&amp;$A73)="N/A",0,RTD("tos.rtd",,$A$2,"."&amp;C$43&amp;C$1&amp;"C"&amp;$A73))-IF(RTD("tos.rtd",,$A$2,"."&amp;C$43&amp;C$1&amp;"P"&amp;$A73)="N/A",0,RTD("tos.rtd",,$A$2,"."&amp;C$43&amp;C$1&amp;"P"&amp;$A73))</f>
        <v>0</v>
      </c>
      <c r="D73" s="91">
        <f ca="1">IF(RTD("tos.rtd",,$A$2,"."&amp;D$43&amp;D$1&amp;"C"&amp;$A73)="N/A",0,RTD("tos.rtd",,$A$2,"."&amp;D$43&amp;D$1&amp;"C"&amp;$A73))-IF(RTD("tos.rtd",,$A$2,"."&amp;D$43&amp;D$1&amp;"P"&amp;$A73)="N/A",0,RTD("tos.rtd",,$A$2,"."&amp;D$43&amp;D$1&amp;"P"&amp;$A73))</f>
        <v>0</v>
      </c>
      <c r="E73" s="91">
        <f ca="1">IF(RTD("tos.rtd",,$A$2,"."&amp;E$43&amp;E$1&amp;"C"&amp;$A73)="N/A",0,RTD("tos.rtd",,$A$2,"."&amp;E$43&amp;E$1&amp;"C"&amp;$A73))-IF(RTD("tos.rtd",,$A$2,"."&amp;E$43&amp;E$1&amp;"P"&amp;$A73)="N/A",0,RTD("tos.rtd",,$A$2,"."&amp;E$43&amp;E$1&amp;"P"&amp;$A73))</f>
        <v>0</v>
      </c>
      <c r="F73" s="91">
        <f ca="1">IF(RTD("tos.rtd",,$A$2,"."&amp;F$43&amp;F$1&amp;"C"&amp;$A73)="N/A",0,RTD("tos.rtd",,$A$2,"."&amp;F$43&amp;F$1&amp;"C"&amp;$A73))-IF(RTD("tos.rtd",,$A$2,"."&amp;F$43&amp;F$1&amp;"P"&amp;$A73)="N/A",0,RTD("tos.rtd",,$A$2,"."&amp;F$43&amp;F$1&amp;"P"&amp;$A73))</f>
        <v>0</v>
      </c>
      <c r="G73" s="91">
        <f ca="1">IF(RTD("tos.rtd",,$A$2,"."&amp;G$43&amp;G$1&amp;"C"&amp;$A73)="N/A",0,RTD("tos.rtd",,$A$2,"."&amp;G$43&amp;G$1&amp;"C"&amp;$A73))-IF(RTD("tos.rtd",,$A$2,"."&amp;G$43&amp;G$1&amp;"P"&amp;$A73)="N/A",0,RTD("tos.rtd",,$A$2,"."&amp;G$43&amp;G$1&amp;"P"&amp;$A73))</f>
        <v>0</v>
      </c>
      <c r="H73" s="91">
        <f ca="1">IF(RTD("tos.rtd",,$A$2,"."&amp;H$43&amp;H$1&amp;"C"&amp;$A73)="N/A",0,RTD("tos.rtd",,$A$2,"."&amp;H$43&amp;H$1&amp;"C"&amp;$A73))-IF(RTD("tos.rtd",,$A$2,"."&amp;H$43&amp;H$1&amp;"P"&amp;$A73)="N/A",0,RTD("tos.rtd",,$A$2,"."&amp;H$43&amp;H$1&amp;"P"&amp;$A73))</f>
        <v>-112</v>
      </c>
      <c r="I73" s="91">
        <f ca="1">IF(RTD("tos.rtd",,$A$2,"."&amp;I$43&amp;I$1&amp;"C"&amp;$A73)="N/A",0,RTD("tos.rtd",,$A$2,"."&amp;I$43&amp;I$1&amp;"C"&amp;$A73))-IF(RTD("tos.rtd",,$A$2,"."&amp;I$43&amp;I$1&amp;"P"&amp;$A73)="N/A",0,RTD("tos.rtd",,$A$2,"."&amp;I$43&amp;I$1&amp;"P"&amp;$A73))</f>
        <v>-1069</v>
      </c>
      <c r="J73" s="91">
        <f ca="1">IF(RTD("tos.rtd",,$A$2,"."&amp;J$43&amp;J$1&amp;"C"&amp;$A73)="N/A",0,RTD("tos.rtd",,$A$2,"."&amp;J$43&amp;J$1&amp;"C"&amp;$A73))-IF(RTD("tos.rtd",,$A$2,"."&amp;J$43&amp;J$1&amp;"P"&amp;$A73)="N/A",0,RTD("tos.rtd",,$A$2,"."&amp;J$43&amp;J$1&amp;"P"&amp;$A73))</f>
        <v>-1044</v>
      </c>
      <c r="K73" s="91">
        <f ca="1">IF(RTD("tos.rtd",,$A$2,"."&amp;K$43&amp;K$1&amp;"C"&amp;$A73)="N/A",0,RTD("tos.rtd",,$A$2,"."&amp;K$43&amp;K$1&amp;"C"&amp;$A73))-IF(RTD("tos.rtd",,$A$2,"."&amp;K$43&amp;K$1&amp;"P"&amp;$A73)="N/A",0,RTD("tos.rtd",,$A$2,"."&amp;K$43&amp;K$1&amp;"P"&amp;$A73))</f>
        <v>-1160</v>
      </c>
      <c r="L73" s="91">
        <f ca="1">IF(RTD("tos.rtd",,$A$2,"."&amp;L$43&amp;L$1&amp;"C"&amp;$A73)="N/A",0,RTD("tos.rtd",,$A$2,"."&amp;L$43&amp;L$1&amp;"C"&amp;$A73))-IF(RTD("tos.rtd",,$A$2,"."&amp;L$43&amp;L$1&amp;"P"&amp;$A73)="N/A",0,RTD("tos.rtd",,$A$2,"."&amp;L$43&amp;L$1&amp;"P"&amp;$A73))</f>
        <v>-234</v>
      </c>
      <c r="M73" s="91">
        <f ca="1">IF(RTD("tos.rtd",,$A$2,"."&amp;M$43&amp;M$1&amp;"C"&amp;$A73)="N/A",0,RTD("tos.rtd",,$A$2,"."&amp;M$43&amp;M$1&amp;"C"&amp;$A73))-IF(RTD("tos.rtd",,$A$2,"."&amp;M$43&amp;M$1&amp;"P"&amp;$A73)="N/A",0,RTD("tos.rtd",,$A$2,"."&amp;M$43&amp;M$1&amp;"P"&amp;$A73))</f>
        <v>-250</v>
      </c>
      <c r="N73" s="91">
        <f ca="1">IF(RTD("tos.rtd",,$A$2,"."&amp;N$43&amp;N$1&amp;"C"&amp;$A73)="N/A",0,RTD("tos.rtd",,$A$2,"."&amp;N$43&amp;N$1&amp;"C"&amp;$A73))-IF(RTD("tos.rtd",,$A$2,"."&amp;N$43&amp;N$1&amp;"P"&amp;$A73)="N/A",0,RTD("tos.rtd",,$A$2,"."&amp;N$43&amp;N$1&amp;"P"&amp;$A73))</f>
        <v>-2038</v>
      </c>
      <c r="O73" s="91">
        <f ca="1">IF(RTD("tos.rtd",,$A$2,"."&amp;O$43&amp;O$1&amp;"C"&amp;$A73)="N/A",0,RTD("tos.rtd",,$A$2,"."&amp;O$43&amp;O$1&amp;"C"&amp;$A73))-IF(RTD("tos.rtd",,$A$2,"."&amp;O$43&amp;O$1&amp;"P"&amp;$A73)="N/A",0,RTD("tos.rtd",,$A$2,"."&amp;O$43&amp;O$1&amp;"P"&amp;$A73))</f>
        <v>-81</v>
      </c>
      <c r="P73" s="91">
        <f ca="1">IF(RTD("tos.rtd",,$A$2,"."&amp;P$43&amp;P$1&amp;"C"&amp;$A73)="N/A",0,RTD("tos.rtd",,$A$2,"."&amp;P$43&amp;P$1&amp;"C"&amp;$A73))-IF(RTD("tos.rtd",,$A$2,"."&amp;P$43&amp;P$1&amp;"P"&amp;$A73)="N/A",0,RTD("tos.rtd",,$A$2,"."&amp;P$43&amp;P$1&amp;"P"&amp;$A73))</f>
        <v>-10</v>
      </c>
      <c r="Q73" s="91">
        <f ca="1">IF(RTD("tos.rtd",,$A$2,"."&amp;Q$43&amp;Q$1&amp;"C"&amp;$A73)="N/A",0,RTD("tos.rtd",,$A$2,"."&amp;Q$43&amp;Q$1&amp;"C"&amp;$A73))-IF(RTD("tos.rtd",,$A$2,"."&amp;Q$43&amp;Q$1&amp;"P"&amp;$A73)="N/A",0,RTD("tos.rtd",,$A$2,"."&amp;Q$43&amp;Q$1&amp;"P"&amp;$A73))</f>
        <v>69</v>
      </c>
      <c r="R73" s="91">
        <f ca="1">IF(RTD("tos.rtd",,$A$2,"."&amp;R$43&amp;R$1&amp;"C"&amp;$A73)="N/A",0,RTD("tos.rtd",,$A$2,"."&amp;R$43&amp;R$1&amp;"C"&amp;$A73))-IF(RTD("tos.rtd",,$A$2,"."&amp;R$43&amp;R$1&amp;"P"&amp;$A73)="N/A",0,RTD("tos.rtd",,$A$2,"."&amp;R$43&amp;R$1&amp;"P"&amp;$A73))</f>
        <v>-714</v>
      </c>
      <c r="S73" s="91">
        <f ca="1">IF(RTD("tos.rtd",,$A$2,"."&amp;S$43&amp;S$1&amp;"C"&amp;$A73)="N/A",0,RTD("tos.rtd",,$A$2,"."&amp;S$43&amp;S$1&amp;"C"&amp;$A73))-IF(RTD("tos.rtd",,$A$2,"."&amp;S$43&amp;S$1&amp;"P"&amp;$A73)="N/A",0,RTD("tos.rtd",,$A$2,"."&amp;S$43&amp;S$1&amp;"P"&amp;$A73))</f>
        <v>0</v>
      </c>
      <c r="T73" s="91">
        <f ca="1">IF(RTD("tos.rtd",,$A$2,"."&amp;T$43&amp;T$1&amp;"C"&amp;$A73)="N/A",0,RTD("tos.rtd",,$A$2,"."&amp;T$43&amp;T$1&amp;"C"&amp;$A73))-IF(RTD("tos.rtd",,$A$2,"."&amp;T$43&amp;T$1&amp;"P"&amp;$A73)="N/A",0,RTD("tos.rtd",,$A$2,"."&amp;T$43&amp;T$1&amp;"P"&amp;$A73))</f>
        <v>0</v>
      </c>
      <c r="U73" s="91">
        <f ca="1">IF(RTD("tos.rtd",,$A$2,"."&amp;U$43&amp;U$1&amp;"C"&amp;$A73)="N/A",0,RTD("tos.rtd",,$A$2,"."&amp;U$43&amp;U$1&amp;"C"&amp;$A73))-IF(RTD("tos.rtd",,$A$2,"."&amp;U$43&amp;U$1&amp;"P"&amp;$A73)="N/A",0,RTD("tos.rtd",,$A$2,"."&amp;U$43&amp;U$1&amp;"P"&amp;$A73))</f>
        <v>-96</v>
      </c>
      <c r="V73" s="91">
        <f ca="1">IF(RTD("tos.rtd",,$A$2,"."&amp;V$43&amp;V$1&amp;"C"&amp;$A73)="N/A",0,RTD("tos.rtd",,$A$2,"."&amp;V$43&amp;V$1&amp;"C"&amp;$A73))-IF(RTD("tos.rtd",,$A$2,"."&amp;V$43&amp;V$1&amp;"P"&amp;$A73)="N/A",0,RTD("tos.rtd",,$A$2,"."&amp;V$43&amp;V$1&amp;"P"&amp;$A73))</f>
        <v>0</v>
      </c>
      <c r="W73" s="91">
        <f ca="1">IF(RTD("tos.rtd",,$A$2,"."&amp;W$43&amp;W$1&amp;"C"&amp;$A73)="N/A",0,RTD("tos.rtd",,$A$2,"."&amp;W$43&amp;W$1&amp;"C"&amp;$A73))-IF(RTD("tos.rtd",,$A$2,"."&amp;W$43&amp;W$1&amp;"P"&amp;$A73)="N/A",0,RTD("tos.rtd",,$A$2,"."&amp;W$43&amp;W$1&amp;"P"&amp;$A73))</f>
        <v>0</v>
      </c>
      <c r="X73" s="91">
        <f ca="1">IF(RTD("tos.rtd",,$A$2,"."&amp;X$43&amp;X$1&amp;"C"&amp;$A73)="N/A",0,RTD("tos.rtd",,$A$2,"."&amp;X$43&amp;X$1&amp;"C"&amp;$A73))-IF(RTD("tos.rtd",,$A$2,"."&amp;X$43&amp;X$1&amp;"P"&amp;$A73)="N/A",0,RTD("tos.rtd",,$A$2,"."&amp;X$43&amp;X$1&amp;"P"&amp;$A73))</f>
        <v>-2</v>
      </c>
      <c r="Y73" s="98">
        <f t="shared" ca="1" si="7"/>
        <v>-6741</v>
      </c>
    </row>
    <row r="74" spans="1:25" x14ac:dyDescent="0.25">
      <c r="A74" s="93">
        <f>+Hoja1!A73</f>
        <v>474</v>
      </c>
      <c r="B74" s="91">
        <f ca="1">IF(RTD("tos.rtd",,$A$2,"."&amp;B$43&amp;B$1&amp;"C"&amp;$A74)="N/A",0,RTD("tos.rtd",,$A$2,"."&amp;B$43&amp;B$1&amp;"C"&amp;$A74))-IF(RTD("tos.rtd",,$A$2,"."&amp;B$43&amp;B$1&amp;"P"&amp;$A74)="N/A",0,RTD("tos.rtd",,$A$2,"."&amp;B$43&amp;B$1&amp;"P"&amp;$A74))</f>
        <v>0</v>
      </c>
      <c r="C74" s="91">
        <f ca="1">IF(RTD("tos.rtd",,$A$2,"."&amp;C$43&amp;C$1&amp;"C"&amp;$A74)="N/A",0,RTD("tos.rtd",,$A$2,"."&amp;C$43&amp;C$1&amp;"C"&amp;$A74))-IF(RTD("tos.rtd",,$A$2,"."&amp;C$43&amp;C$1&amp;"P"&amp;$A74)="N/A",0,RTD("tos.rtd",,$A$2,"."&amp;C$43&amp;C$1&amp;"P"&amp;$A74))</f>
        <v>0</v>
      </c>
      <c r="D74" s="91">
        <f ca="1">IF(RTD("tos.rtd",,$A$2,"."&amp;D$43&amp;D$1&amp;"C"&amp;$A74)="N/A",0,RTD("tos.rtd",,$A$2,"."&amp;D$43&amp;D$1&amp;"C"&amp;$A74))-IF(RTD("tos.rtd",,$A$2,"."&amp;D$43&amp;D$1&amp;"P"&amp;$A74)="N/A",0,RTD("tos.rtd",,$A$2,"."&amp;D$43&amp;D$1&amp;"P"&amp;$A74))</f>
        <v>0</v>
      </c>
      <c r="E74" s="91">
        <f ca="1">IF(RTD("tos.rtd",,$A$2,"."&amp;E$43&amp;E$1&amp;"C"&amp;$A74)="N/A",0,RTD("tos.rtd",,$A$2,"."&amp;E$43&amp;E$1&amp;"C"&amp;$A74))-IF(RTD("tos.rtd",,$A$2,"."&amp;E$43&amp;E$1&amp;"P"&amp;$A74)="N/A",0,RTD("tos.rtd",,$A$2,"."&amp;E$43&amp;E$1&amp;"P"&amp;$A74))</f>
        <v>0</v>
      </c>
      <c r="F74" s="91">
        <f ca="1">IF(RTD("tos.rtd",,$A$2,"."&amp;F$43&amp;F$1&amp;"C"&amp;$A74)="N/A",0,RTD("tos.rtd",,$A$2,"."&amp;F$43&amp;F$1&amp;"C"&amp;$A74))-IF(RTD("tos.rtd",,$A$2,"."&amp;F$43&amp;F$1&amp;"P"&amp;$A74)="N/A",0,RTD("tos.rtd",,$A$2,"."&amp;F$43&amp;F$1&amp;"P"&amp;$A74))</f>
        <v>0</v>
      </c>
      <c r="G74" s="91">
        <f ca="1">IF(RTD("tos.rtd",,$A$2,"."&amp;G$43&amp;G$1&amp;"C"&amp;$A74)="N/A",0,RTD("tos.rtd",,$A$2,"."&amp;G$43&amp;G$1&amp;"C"&amp;$A74))-IF(RTD("tos.rtd",,$A$2,"."&amp;G$43&amp;G$1&amp;"P"&amp;$A74)="N/A",0,RTD("tos.rtd",,$A$2,"."&amp;G$43&amp;G$1&amp;"P"&amp;$A74))</f>
        <v>0</v>
      </c>
      <c r="H74" s="91">
        <f ca="1">IF(RTD("tos.rtd",,$A$2,"."&amp;H$43&amp;H$1&amp;"C"&amp;$A74)="N/A",0,RTD("tos.rtd",,$A$2,"."&amp;H$43&amp;H$1&amp;"C"&amp;$A74))-IF(RTD("tos.rtd",,$A$2,"."&amp;H$43&amp;H$1&amp;"P"&amp;$A74)="N/A",0,RTD("tos.rtd",,$A$2,"."&amp;H$43&amp;H$1&amp;"P"&amp;$A74))</f>
        <v>37</v>
      </c>
      <c r="I74" s="91">
        <f ca="1">IF(RTD("tos.rtd",,$A$2,"."&amp;I$43&amp;I$1&amp;"C"&amp;$A74)="N/A",0,RTD("tos.rtd",,$A$2,"."&amp;I$43&amp;I$1&amp;"C"&amp;$A74))-IF(RTD("tos.rtd",,$A$2,"."&amp;I$43&amp;I$1&amp;"P"&amp;$A74)="N/A",0,RTD("tos.rtd",,$A$2,"."&amp;I$43&amp;I$1&amp;"P"&amp;$A74))</f>
        <v>-1066</v>
      </c>
      <c r="J74" s="91">
        <f ca="1">IF(RTD("tos.rtd",,$A$2,"."&amp;J$43&amp;J$1&amp;"C"&amp;$A74)="N/A",0,RTD("tos.rtd",,$A$2,"."&amp;J$43&amp;J$1&amp;"C"&amp;$A74))-IF(RTD("tos.rtd",,$A$2,"."&amp;J$43&amp;J$1&amp;"P"&amp;$A74)="N/A",0,RTD("tos.rtd",,$A$2,"."&amp;J$43&amp;J$1&amp;"P"&amp;$A74))</f>
        <v>-13</v>
      </c>
      <c r="K74" s="91">
        <f ca="1">IF(RTD("tos.rtd",,$A$2,"."&amp;K$43&amp;K$1&amp;"C"&amp;$A74)="N/A",0,RTD("tos.rtd",,$A$2,"."&amp;K$43&amp;K$1&amp;"C"&amp;$A74))-IF(RTD("tos.rtd",,$A$2,"."&amp;K$43&amp;K$1&amp;"P"&amp;$A74)="N/A",0,RTD("tos.rtd",,$A$2,"."&amp;K$43&amp;K$1&amp;"P"&amp;$A74))</f>
        <v>0</v>
      </c>
      <c r="L74" s="91">
        <f ca="1">IF(RTD("tos.rtd",,$A$2,"."&amp;L$43&amp;L$1&amp;"C"&amp;$A74)="N/A",0,RTD("tos.rtd",,$A$2,"."&amp;L$43&amp;L$1&amp;"C"&amp;$A74))-IF(RTD("tos.rtd",,$A$2,"."&amp;L$43&amp;L$1&amp;"P"&amp;$A74)="N/A",0,RTD("tos.rtd",,$A$2,"."&amp;L$43&amp;L$1&amp;"P"&amp;$A74))</f>
        <v>-21</v>
      </c>
      <c r="M74" s="91">
        <f ca="1">IF(RTD("tos.rtd",,$A$2,"."&amp;M$43&amp;M$1&amp;"C"&amp;$A74)="N/A",0,RTD("tos.rtd",,$A$2,"."&amp;M$43&amp;M$1&amp;"C"&amp;$A74))-IF(RTD("tos.rtd",,$A$2,"."&amp;M$43&amp;M$1&amp;"P"&amp;$A74)="N/A",0,RTD("tos.rtd",,$A$2,"."&amp;M$43&amp;M$1&amp;"P"&amp;$A74))</f>
        <v>0</v>
      </c>
      <c r="N74" s="91">
        <f ca="1">IF(RTD("tos.rtd",,$A$2,"."&amp;N$43&amp;N$1&amp;"C"&amp;$A74)="N/A",0,RTD("tos.rtd",,$A$2,"."&amp;N$43&amp;N$1&amp;"C"&amp;$A74))-IF(RTD("tos.rtd",,$A$2,"."&amp;N$43&amp;N$1&amp;"P"&amp;$A74)="N/A",0,RTD("tos.rtd",,$A$2,"."&amp;N$43&amp;N$1&amp;"P"&amp;$A74))</f>
        <v>1</v>
      </c>
      <c r="O74" s="91">
        <f ca="1">IF(RTD("tos.rtd",,$A$2,"."&amp;O$43&amp;O$1&amp;"C"&amp;$A74)="N/A",0,RTD("tos.rtd",,$A$2,"."&amp;O$43&amp;O$1&amp;"C"&amp;$A74))-IF(RTD("tos.rtd",,$A$2,"."&amp;O$43&amp;O$1&amp;"P"&amp;$A74)="N/A",0,RTD("tos.rtd",,$A$2,"."&amp;O$43&amp;O$1&amp;"P"&amp;$A74))</f>
        <v>0</v>
      </c>
      <c r="P74" s="91">
        <f ca="1">IF(RTD("tos.rtd",,$A$2,"."&amp;P$43&amp;P$1&amp;"C"&amp;$A74)="N/A",0,RTD("tos.rtd",,$A$2,"."&amp;P$43&amp;P$1&amp;"C"&amp;$A74))-IF(RTD("tos.rtd",,$A$2,"."&amp;P$43&amp;P$1&amp;"P"&amp;$A74)="N/A",0,RTD("tos.rtd",,$A$2,"."&amp;P$43&amp;P$1&amp;"P"&amp;$A74))</f>
        <v>0</v>
      </c>
      <c r="Q74" s="91">
        <f ca="1">IF(RTD("tos.rtd",,$A$2,"."&amp;Q$43&amp;Q$1&amp;"C"&amp;$A74)="N/A",0,RTD("tos.rtd",,$A$2,"."&amp;Q$43&amp;Q$1&amp;"C"&amp;$A74))-IF(RTD("tos.rtd",,$A$2,"."&amp;Q$43&amp;Q$1&amp;"P"&amp;$A74)="N/A",0,RTD("tos.rtd",,$A$2,"."&amp;Q$43&amp;Q$1&amp;"P"&amp;$A74))</f>
        <v>0</v>
      </c>
      <c r="R74" s="91">
        <f ca="1">IF(RTD("tos.rtd",,$A$2,"."&amp;R$43&amp;R$1&amp;"C"&amp;$A74)="N/A",0,RTD("tos.rtd",,$A$2,"."&amp;R$43&amp;R$1&amp;"C"&amp;$A74))-IF(RTD("tos.rtd",,$A$2,"."&amp;R$43&amp;R$1&amp;"P"&amp;$A74)="N/A",0,RTD("tos.rtd",,$A$2,"."&amp;R$43&amp;R$1&amp;"P"&amp;$A74))</f>
        <v>0</v>
      </c>
      <c r="S74" s="91">
        <f ca="1">IF(RTD("tos.rtd",,$A$2,"."&amp;S$43&amp;S$1&amp;"C"&amp;$A74)="N/A",0,RTD("tos.rtd",,$A$2,"."&amp;S$43&amp;S$1&amp;"C"&amp;$A74))-IF(RTD("tos.rtd",,$A$2,"."&amp;S$43&amp;S$1&amp;"P"&amp;$A74)="N/A",0,RTD("tos.rtd",,$A$2,"."&amp;S$43&amp;S$1&amp;"P"&amp;$A74))</f>
        <v>0</v>
      </c>
      <c r="T74" s="91">
        <f ca="1">IF(RTD("tos.rtd",,$A$2,"."&amp;T$43&amp;T$1&amp;"C"&amp;$A74)="N/A",0,RTD("tos.rtd",,$A$2,"."&amp;T$43&amp;T$1&amp;"C"&amp;$A74))-IF(RTD("tos.rtd",,$A$2,"."&amp;T$43&amp;T$1&amp;"P"&amp;$A74)="N/A",0,RTD("tos.rtd",,$A$2,"."&amp;T$43&amp;T$1&amp;"P"&amp;$A74))</f>
        <v>0</v>
      </c>
      <c r="U74" s="91">
        <f ca="1">IF(RTD("tos.rtd",,$A$2,"."&amp;U$43&amp;U$1&amp;"C"&amp;$A74)="N/A",0,RTD("tos.rtd",,$A$2,"."&amp;U$43&amp;U$1&amp;"C"&amp;$A74))-IF(RTD("tos.rtd",,$A$2,"."&amp;U$43&amp;U$1&amp;"P"&amp;$A74)="N/A",0,RTD("tos.rtd",,$A$2,"."&amp;U$43&amp;U$1&amp;"P"&amp;$A74))</f>
        <v>0</v>
      </c>
      <c r="V74" s="91">
        <f ca="1">IF(RTD("tos.rtd",,$A$2,"."&amp;V$43&amp;V$1&amp;"C"&amp;$A74)="N/A",0,RTD("tos.rtd",,$A$2,"."&amp;V$43&amp;V$1&amp;"C"&amp;$A74))-IF(RTD("tos.rtd",,$A$2,"."&amp;V$43&amp;V$1&amp;"P"&amp;$A74)="N/A",0,RTD("tos.rtd",,$A$2,"."&amp;V$43&amp;V$1&amp;"P"&amp;$A74))</f>
        <v>0</v>
      </c>
      <c r="W74" s="91">
        <f ca="1">IF(RTD("tos.rtd",,$A$2,"."&amp;W$43&amp;W$1&amp;"C"&amp;$A74)="N/A",0,RTD("tos.rtd",,$A$2,"."&amp;W$43&amp;W$1&amp;"C"&amp;$A74))-IF(RTD("tos.rtd",,$A$2,"."&amp;W$43&amp;W$1&amp;"P"&amp;$A74)="N/A",0,RTD("tos.rtd",,$A$2,"."&amp;W$43&amp;W$1&amp;"P"&amp;$A74))</f>
        <v>0</v>
      </c>
      <c r="X74" s="91">
        <f ca="1">IF(RTD("tos.rtd",,$A$2,"."&amp;X$43&amp;X$1&amp;"C"&amp;$A74)="N/A",0,RTD("tos.rtd",,$A$2,"."&amp;X$43&amp;X$1&amp;"C"&amp;$A74))-IF(RTD("tos.rtd",,$A$2,"."&amp;X$43&amp;X$1&amp;"P"&amp;$A74)="N/A",0,RTD("tos.rtd",,$A$2,"."&amp;X$43&amp;X$1&amp;"P"&amp;$A74))</f>
        <v>0</v>
      </c>
      <c r="Y74" s="98">
        <f t="shared" ca="1" si="7"/>
        <v>-1062</v>
      </c>
    </row>
    <row r="75" spans="1:25" x14ac:dyDescent="0.25">
      <c r="A75" s="93">
        <f>+Hoja1!A74</f>
        <v>473</v>
      </c>
      <c r="B75" s="91">
        <f ca="1">IF(RTD("tos.rtd",,$A$2,"."&amp;B$43&amp;B$1&amp;"C"&amp;$A75)="N/A",0,RTD("tos.rtd",,$A$2,"."&amp;B$43&amp;B$1&amp;"C"&amp;$A75))-IF(RTD("tos.rtd",,$A$2,"."&amp;B$43&amp;B$1&amp;"P"&amp;$A75)="N/A",0,RTD("tos.rtd",,$A$2,"."&amp;B$43&amp;B$1&amp;"P"&amp;$A75))</f>
        <v>0</v>
      </c>
      <c r="C75" s="91">
        <f ca="1">IF(RTD("tos.rtd",,$A$2,"."&amp;C$43&amp;C$1&amp;"C"&amp;$A75)="N/A",0,RTD("tos.rtd",,$A$2,"."&amp;C$43&amp;C$1&amp;"C"&amp;$A75))-IF(RTD("tos.rtd",,$A$2,"."&amp;C$43&amp;C$1&amp;"P"&amp;$A75)="N/A",0,RTD("tos.rtd",,$A$2,"."&amp;C$43&amp;C$1&amp;"P"&amp;$A75))</f>
        <v>0</v>
      </c>
      <c r="D75" s="91">
        <f ca="1">IF(RTD("tos.rtd",,$A$2,"."&amp;D$43&amp;D$1&amp;"C"&amp;$A75)="N/A",0,RTD("tos.rtd",,$A$2,"."&amp;D$43&amp;D$1&amp;"C"&amp;$A75))-IF(RTD("tos.rtd",,$A$2,"."&amp;D$43&amp;D$1&amp;"P"&amp;$A75)="N/A",0,RTD("tos.rtd",,$A$2,"."&amp;D$43&amp;D$1&amp;"P"&amp;$A75))</f>
        <v>0</v>
      </c>
      <c r="E75" s="91">
        <f ca="1">IF(RTD("tos.rtd",,$A$2,"."&amp;E$43&amp;E$1&amp;"C"&amp;$A75)="N/A",0,RTD("tos.rtd",,$A$2,"."&amp;E$43&amp;E$1&amp;"C"&amp;$A75))-IF(RTD("tos.rtd",,$A$2,"."&amp;E$43&amp;E$1&amp;"P"&amp;$A75)="N/A",0,RTD("tos.rtd",,$A$2,"."&amp;E$43&amp;E$1&amp;"P"&amp;$A75))</f>
        <v>0</v>
      </c>
      <c r="F75" s="91">
        <f ca="1">IF(RTD("tos.rtd",,$A$2,"."&amp;F$43&amp;F$1&amp;"C"&amp;$A75)="N/A",0,RTD("tos.rtd",,$A$2,"."&amp;F$43&amp;F$1&amp;"C"&amp;$A75))-IF(RTD("tos.rtd",,$A$2,"."&amp;F$43&amp;F$1&amp;"P"&amp;$A75)="N/A",0,RTD("tos.rtd",,$A$2,"."&amp;F$43&amp;F$1&amp;"P"&amp;$A75))</f>
        <v>0</v>
      </c>
      <c r="G75" s="91">
        <f ca="1">IF(RTD("tos.rtd",,$A$2,"."&amp;G$43&amp;G$1&amp;"C"&amp;$A75)="N/A",0,RTD("tos.rtd",,$A$2,"."&amp;G$43&amp;G$1&amp;"C"&amp;$A75))-IF(RTD("tos.rtd",,$A$2,"."&amp;G$43&amp;G$1&amp;"P"&amp;$A75)="N/A",0,RTD("tos.rtd",,$A$2,"."&amp;G$43&amp;G$1&amp;"P"&amp;$A75))</f>
        <v>0</v>
      </c>
      <c r="H75" s="91">
        <f ca="1">IF(RTD("tos.rtd",,$A$2,"."&amp;H$43&amp;H$1&amp;"C"&amp;$A75)="N/A",0,RTD("tos.rtd",,$A$2,"."&amp;H$43&amp;H$1&amp;"C"&amp;$A75))-IF(RTD("tos.rtd",,$A$2,"."&amp;H$43&amp;H$1&amp;"P"&amp;$A75)="N/A",0,RTD("tos.rtd",,$A$2,"."&amp;H$43&amp;H$1&amp;"P"&amp;$A75))</f>
        <v>505</v>
      </c>
      <c r="I75" s="91">
        <f ca="1">IF(RTD("tos.rtd",,$A$2,"."&amp;I$43&amp;I$1&amp;"C"&amp;$A75)="N/A",0,RTD("tos.rtd",,$A$2,"."&amp;I$43&amp;I$1&amp;"C"&amp;$A75))-IF(RTD("tos.rtd",,$A$2,"."&amp;I$43&amp;I$1&amp;"P"&amp;$A75)="N/A",0,RTD("tos.rtd",,$A$2,"."&amp;I$43&amp;I$1&amp;"P"&amp;$A75))</f>
        <v>-35</v>
      </c>
      <c r="J75" s="91">
        <f ca="1">IF(RTD("tos.rtd",,$A$2,"."&amp;J$43&amp;J$1&amp;"C"&amp;$A75)="N/A",0,RTD("tos.rtd",,$A$2,"."&amp;J$43&amp;J$1&amp;"C"&amp;$A75))-IF(RTD("tos.rtd",,$A$2,"."&amp;J$43&amp;J$1&amp;"P"&amp;$A75)="N/A",0,RTD("tos.rtd",,$A$2,"."&amp;J$43&amp;J$1&amp;"P"&amp;$A75))</f>
        <v>-12</v>
      </c>
      <c r="K75" s="91">
        <f ca="1">IF(RTD("tos.rtd",,$A$2,"."&amp;K$43&amp;K$1&amp;"C"&amp;$A75)="N/A",0,RTD("tos.rtd",,$A$2,"."&amp;K$43&amp;K$1&amp;"C"&amp;$A75))-IF(RTD("tos.rtd",,$A$2,"."&amp;K$43&amp;K$1&amp;"P"&amp;$A75)="N/A",0,RTD("tos.rtd",,$A$2,"."&amp;K$43&amp;K$1&amp;"P"&amp;$A75))</f>
        <v>0</v>
      </c>
      <c r="L75" s="91">
        <f ca="1">IF(RTD("tos.rtd",,$A$2,"."&amp;L$43&amp;L$1&amp;"C"&amp;$A75)="N/A",0,RTD("tos.rtd",,$A$2,"."&amp;L$43&amp;L$1&amp;"C"&amp;$A75))-IF(RTD("tos.rtd",,$A$2,"."&amp;L$43&amp;L$1&amp;"P"&amp;$A75)="N/A",0,RTD("tos.rtd",,$A$2,"."&amp;L$43&amp;L$1&amp;"P"&amp;$A75))</f>
        <v>-12</v>
      </c>
      <c r="M75" s="91">
        <f ca="1">IF(RTD("tos.rtd",,$A$2,"."&amp;M$43&amp;M$1&amp;"C"&amp;$A75)="N/A",0,RTD("tos.rtd",,$A$2,"."&amp;M$43&amp;M$1&amp;"C"&amp;$A75))-IF(RTD("tos.rtd",,$A$2,"."&amp;M$43&amp;M$1&amp;"P"&amp;$A75)="N/A",0,RTD("tos.rtd",,$A$2,"."&amp;M$43&amp;M$1&amp;"P"&amp;$A75))</f>
        <v>0</v>
      </c>
      <c r="N75" s="91">
        <f ca="1">IF(RTD("tos.rtd",,$A$2,"."&amp;N$43&amp;N$1&amp;"C"&amp;$A75)="N/A",0,RTD("tos.rtd",,$A$2,"."&amp;N$43&amp;N$1&amp;"C"&amp;$A75))-IF(RTD("tos.rtd",,$A$2,"."&amp;N$43&amp;N$1&amp;"P"&amp;$A75)="N/A",0,RTD("tos.rtd",,$A$2,"."&amp;N$43&amp;N$1&amp;"P"&amp;$A75))</f>
        <v>0</v>
      </c>
      <c r="O75" s="91">
        <f ca="1">IF(RTD("tos.rtd",,$A$2,"."&amp;O$43&amp;O$1&amp;"C"&amp;$A75)="N/A",0,RTD("tos.rtd",,$A$2,"."&amp;O$43&amp;O$1&amp;"C"&amp;$A75))-IF(RTD("tos.rtd",,$A$2,"."&amp;O$43&amp;O$1&amp;"P"&amp;$A75)="N/A",0,RTD("tos.rtd",,$A$2,"."&amp;O$43&amp;O$1&amp;"P"&amp;$A75))</f>
        <v>0</v>
      </c>
      <c r="P75" s="91">
        <f ca="1">IF(RTD("tos.rtd",,$A$2,"."&amp;P$43&amp;P$1&amp;"C"&amp;$A75)="N/A",0,RTD("tos.rtd",,$A$2,"."&amp;P$43&amp;P$1&amp;"C"&amp;$A75))-IF(RTD("tos.rtd",,$A$2,"."&amp;P$43&amp;P$1&amp;"P"&amp;$A75)="N/A",0,RTD("tos.rtd",,$A$2,"."&amp;P$43&amp;P$1&amp;"P"&amp;$A75))</f>
        <v>0</v>
      </c>
      <c r="Q75" s="91">
        <f ca="1">IF(RTD("tos.rtd",,$A$2,"."&amp;Q$43&amp;Q$1&amp;"C"&amp;$A75)="N/A",0,RTD("tos.rtd",,$A$2,"."&amp;Q$43&amp;Q$1&amp;"C"&amp;$A75))-IF(RTD("tos.rtd",,$A$2,"."&amp;Q$43&amp;Q$1&amp;"P"&amp;$A75)="N/A",0,RTD("tos.rtd",,$A$2,"."&amp;Q$43&amp;Q$1&amp;"P"&amp;$A75))</f>
        <v>0</v>
      </c>
      <c r="R75" s="91">
        <f ca="1">IF(RTD("tos.rtd",,$A$2,"."&amp;R$43&amp;R$1&amp;"C"&amp;$A75)="N/A",0,RTD("tos.rtd",,$A$2,"."&amp;R$43&amp;R$1&amp;"C"&amp;$A75))-IF(RTD("tos.rtd",,$A$2,"."&amp;R$43&amp;R$1&amp;"P"&amp;$A75)="N/A",0,RTD("tos.rtd",,$A$2,"."&amp;R$43&amp;R$1&amp;"P"&amp;$A75))</f>
        <v>0</v>
      </c>
      <c r="S75" s="91">
        <f ca="1">IF(RTD("tos.rtd",,$A$2,"."&amp;S$43&amp;S$1&amp;"C"&amp;$A75)="N/A",0,RTD("tos.rtd",,$A$2,"."&amp;S$43&amp;S$1&amp;"C"&amp;$A75))-IF(RTD("tos.rtd",,$A$2,"."&amp;S$43&amp;S$1&amp;"P"&amp;$A75)="N/A",0,RTD("tos.rtd",,$A$2,"."&amp;S$43&amp;S$1&amp;"P"&amp;$A75))</f>
        <v>0</v>
      </c>
      <c r="T75" s="91">
        <f ca="1">IF(RTD("tos.rtd",,$A$2,"."&amp;T$43&amp;T$1&amp;"C"&amp;$A75)="N/A",0,RTD("tos.rtd",,$A$2,"."&amp;T$43&amp;T$1&amp;"C"&amp;$A75))-IF(RTD("tos.rtd",,$A$2,"."&amp;T$43&amp;T$1&amp;"P"&amp;$A75)="N/A",0,RTD("tos.rtd",,$A$2,"."&amp;T$43&amp;T$1&amp;"P"&amp;$A75))</f>
        <v>0</v>
      </c>
      <c r="U75" s="91">
        <f ca="1">IF(RTD("tos.rtd",,$A$2,"."&amp;U$43&amp;U$1&amp;"C"&amp;$A75)="N/A",0,RTD("tos.rtd",,$A$2,"."&amp;U$43&amp;U$1&amp;"C"&amp;$A75))-IF(RTD("tos.rtd",,$A$2,"."&amp;U$43&amp;U$1&amp;"P"&amp;$A75)="N/A",0,RTD("tos.rtd",,$A$2,"."&amp;U$43&amp;U$1&amp;"P"&amp;$A75))</f>
        <v>0</v>
      </c>
      <c r="V75" s="91">
        <f ca="1">IF(RTD("tos.rtd",,$A$2,"."&amp;V$43&amp;V$1&amp;"C"&amp;$A75)="N/A",0,RTD("tos.rtd",,$A$2,"."&amp;V$43&amp;V$1&amp;"C"&amp;$A75))-IF(RTD("tos.rtd",,$A$2,"."&amp;V$43&amp;V$1&amp;"P"&amp;$A75)="N/A",0,RTD("tos.rtd",,$A$2,"."&amp;V$43&amp;V$1&amp;"P"&amp;$A75))</f>
        <v>0</v>
      </c>
      <c r="W75" s="91">
        <f ca="1">IF(RTD("tos.rtd",,$A$2,"."&amp;W$43&amp;W$1&amp;"C"&amp;$A75)="N/A",0,RTD("tos.rtd",,$A$2,"."&amp;W$43&amp;W$1&amp;"C"&amp;$A75))-IF(RTD("tos.rtd",,$A$2,"."&amp;W$43&amp;W$1&amp;"P"&amp;$A75)="N/A",0,RTD("tos.rtd",,$A$2,"."&amp;W$43&amp;W$1&amp;"P"&amp;$A75))</f>
        <v>0</v>
      </c>
      <c r="X75" s="91">
        <f ca="1">IF(RTD("tos.rtd",,$A$2,"."&amp;X$43&amp;X$1&amp;"C"&amp;$A75)="N/A",0,RTD("tos.rtd",,$A$2,"."&amp;X$43&amp;X$1&amp;"C"&amp;$A75))-IF(RTD("tos.rtd",,$A$2,"."&amp;X$43&amp;X$1&amp;"P"&amp;$A75)="N/A",0,RTD("tos.rtd",,$A$2,"."&amp;X$43&amp;X$1&amp;"P"&amp;$A75))</f>
        <v>0</v>
      </c>
      <c r="Y75" s="98">
        <f t="shared" ca="1" si="7"/>
        <v>446</v>
      </c>
    </row>
    <row r="76" spans="1:25" x14ac:dyDescent="0.25">
      <c r="A76" s="93">
        <f>+Hoja1!A75</f>
        <v>472</v>
      </c>
      <c r="B76" s="91">
        <f ca="1">IF(RTD("tos.rtd",,$A$2,"."&amp;B$43&amp;B$1&amp;"C"&amp;$A76)="N/A",0,RTD("tos.rtd",,$A$2,"."&amp;B$43&amp;B$1&amp;"C"&amp;$A76))-IF(RTD("tos.rtd",,$A$2,"."&amp;B$43&amp;B$1&amp;"P"&amp;$A76)="N/A",0,RTD("tos.rtd",,$A$2,"."&amp;B$43&amp;B$1&amp;"P"&amp;$A76))</f>
        <v>0</v>
      </c>
      <c r="C76" s="91">
        <f ca="1">IF(RTD("tos.rtd",,$A$2,"."&amp;C$43&amp;C$1&amp;"C"&amp;$A76)="N/A",0,RTD("tos.rtd",,$A$2,"."&amp;C$43&amp;C$1&amp;"C"&amp;$A76))-IF(RTD("tos.rtd",,$A$2,"."&amp;C$43&amp;C$1&amp;"P"&amp;$A76)="N/A",0,RTD("tos.rtd",,$A$2,"."&amp;C$43&amp;C$1&amp;"P"&amp;$A76))</f>
        <v>0</v>
      </c>
      <c r="D76" s="91">
        <f ca="1">IF(RTD("tos.rtd",,$A$2,"."&amp;D$43&amp;D$1&amp;"C"&amp;$A76)="N/A",0,RTD("tos.rtd",,$A$2,"."&amp;D$43&amp;D$1&amp;"C"&amp;$A76))-IF(RTD("tos.rtd",,$A$2,"."&amp;D$43&amp;D$1&amp;"P"&amp;$A76)="N/A",0,RTD("tos.rtd",,$A$2,"."&amp;D$43&amp;D$1&amp;"P"&amp;$A76))</f>
        <v>0</v>
      </c>
      <c r="E76" s="91">
        <f ca="1">IF(RTD("tos.rtd",,$A$2,"."&amp;E$43&amp;E$1&amp;"C"&amp;$A76)="N/A",0,RTD("tos.rtd",,$A$2,"."&amp;E$43&amp;E$1&amp;"C"&amp;$A76))-IF(RTD("tos.rtd",,$A$2,"."&amp;E$43&amp;E$1&amp;"P"&amp;$A76)="N/A",0,RTD("tos.rtd",,$A$2,"."&amp;E$43&amp;E$1&amp;"P"&amp;$A76))</f>
        <v>0</v>
      </c>
      <c r="F76" s="91">
        <f ca="1">IF(RTD("tos.rtd",,$A$2,"."&amp;F$43&amp;F$1&amp;"C"&amp;$A76)="N/A",0,RTD("tos.rtd",,$A$2,"."&amp;F$43&amp;F$1&amp;"C"&amp;$A76))-IF(RTD("tos.rtd",,$A$2,"."&amp;F$43&amp;F$1&amp;"P"&amp;$A76)="N/A",0,RTD("tos.rtd",,$A$2,"."&amp;F$43&amp;F$1&amp;"P"&amp;$A76))</f>
        <v>0</v>
      </c>
      <c r="G76" s="91">
        <f ca="1">IF(RTD("tos.rtd",,$A$2,"."&amp;G$43&amp;G$1&amp;"C"&amp;$A76)="N/A",0,RTD("tos.rtd",,$A$2,"."&amp;G$43&amp;G$1&amp;"C"&amp;$A76))-IF(RTD("tos.rtd",,$A$2,"."&amp;G$43&amp;G$1&amp;"P"&amp;$A76)="N/A",0,RTD("tos.rtd",,$A$2,"."&amp;G$43&amp;G$1&amp;"P"&amp;$A76))</f>
        <v>0</v>
      </c>
      <c r="H76" s="91">
        <f ca="1">IF(RTD("tos.rtd",,$A$2,"."&amp;H$43&amp;H$1&amp;"C"&amp;$A76)="N/A",0,RTD("tos.rtd",,$A$2,"."&amp;H$43&amp;H$1&amp;"C"&amp;$A76))-IF(RTD("tos.rtd",,$A$2,"."&amp;H$43&amp;H$1&amp;"P"&amp;$A76)="N/A",0,RTD("tos.rtd",,$A$2,"."&amp;H$43&amp;H$1&amp;"P"&amp;$A76))</f>
        <v>-67</v>
      </c>
      <c r="I76" s="91">
        <f ca="1">IF(RTD("tos.rtd",,$A$2,"."&amp;I$43&amp;I$1&amp;"C"&amp;$A76)="N/A",0,RTD("tos.rtd",,$A$2,"."&amp;I$43&amp;I$1&amp;"C"&amp;$A76))-IF(RTD("tos.rtd",,$A$2,"."&amp;I$43&amp;I$1&amp;"P"&amp;$A76)="N/A",0,RTD("tos.rtd",,$A$2,"."&amp;I$43&amp;I$1&amp;"P"&amp;$A76))</f>
        <v>-298</v>
      </c>
      <c r="J76" s="91">
        <f ca="1">IF(RTD("tos.rtd",,$A$2,"."&amp;J$43&amp;J$1&amp;"C"&amp;$A76)="N/A",0,RTD("tos.rtd",,$A$2,"."&amp;J$43&amp;J$1&amp;"C"&amp;$A76))-IF(RTD("tos.rtd",,$A$2,"."&amp;J$43&amp;J$1&amp;"P"&amp;$A76)="N/A",0,RTD("tos.rtd",,$A$2,"."&amp;J$43&amp;J$1&amp;"P"&amp;$A76))</f>
        <v>-10</v>
      </c>
      <c r="K76" s="91">
        <f ca="1">IF(RTD("tos.rtd",,$A$2,"."&amp;K$43&amp;K$1&amp;"C"&amp;$A76)="N/A",0,RTD("tos.rtd",,$A$2,"."&amp;K$43&amp;K$1&amp;"C"&amp;$A76))-IF(RTD("tos.rtd",,$A$2,"."&amp;K$43&amp;K$1&amp;"P"&amp;$A76)="N/A",0,RTD("tos.rtd",,$A$2,"."&amp;K$43&amp;K$1&amp;"P"&amp;$A76))</f>
        <v>0</v>
      </c>
      <c r="L76" s="91">
        <f ca="1">IF(RTD("tos.rtd",,$A$2,"."&amp;L$43&amp;L$1&amp;"C"&amp;$A76)="N/A",0,RTD("tos.rtd",,$A$2,"."&amp;L$43&amp;L$1&amp;"C"&amp;$A76))-IF(RTD("tos.rtd",,$A$2,"."&amp;L$43&amp;L$1&amp;"P"&amp;$A76)="N/A",0,RTD("tos.rtd",,$A$2,"."&amp;L$43&amp;L$1&amp;"P"&amp;$A76))</f>
        <v>-51</v>
      </c>
      <c r="M76" s="91">
        <f ca="1">IF(RTD("tos.rtd",,$A$2,"."&amp;M$43&amp;M$1&amp;"C"&amp;$A76)="N/A",0,RTD("tos.rtd",,$A$2,"."&amp;M$43&amp;M$1&amp;"C"&amp;$A76))-IF(RTD("tos.rtd",,$A$2,"."&amp;M$43&amp;M$1&amp;"P"&amp;$A76)="N/A",0,RTD("tos.rtd",,$A$2,"."&amp;M$43&amp;M$1&amp;"P"&amp;$A76))</f>
        <v>0</v>
      </c>
      <c r="N76" s="91">
        <f ca="1">IF(RTD("tos.rtd",,$A$2,"."&amp;N$43&amp;N$1&amp;"C"&amp;$A76)="N/A",0,RTD("tos.rtd",,$A$2,"."&amp;N$43&amp;N$1&amp;"C"&amp;$A76))-IF(RTD("tos.rtd",,$A$2,"."&amp;N$43&amp;N$1&amp;"P"&amp;$A76)="N/A",0,RTD("tos.rtd",,$A$2,"."&amp;N$43&amp;N$1&amp;"P"&amp;$A76))</f>
        <v>-6</v>
      </c>
      <c r="O76" s="91">
        <f ca="1">IF(RTD("tos.rtd",,$A$2,"."&amp;O$43&amp;O$1&amp;"C"&amp;$A76)="N/A",0,RTD("tos.rtd",,$A$2,"."&amp;O$43&amp;O$1&amp;"C"&amp;$A76))-IF(RTD("tos.rtd",,$A$2,"."&amp;O$43&amp;O$1&amp;"P"&amp;$A76)="N/A",0,RTD("tos.rtd",,$A$2,"."&amp;O$43&amp;O$1&amp;"P"&amp;$A76))</f>
        <v>0</v>
      </c>
      <c r="P76" s="91">
        <f ca="1">IF(RTD("tos.rtd",,$A$2,"."&amp;P$43&amp;P$1&amp;"C"&amp;$A76)="N/A",0,RTD("tos.rtd",,$A$2,"."&amp;P$43&amp;P$1&amp;"C"&amp;$A76))-IF(RTD("tos.rtd",,$A$2,"."&amp;P$43&amp;P$1&amp;"P"&amp;$A76)="N/A",0,RTD("tos.rtd",,$A$2,"."&amp;P$43&amp;P$1&amp;"P"&amp;$A76))</f>
        <v>0</v>
      </c>
      <c r="Q76" s="91">
        <f ca="1">IF(RTD("tos.rtd",,$A$2,"."&amp;Q$43&amp;Q$1&amp;"C"&amp;$A76)="N/A",0,RTD("tos.rtd",,$A$2,"."&amp;Q$43&amp;Q$1&amp;"C"&amp;$A76))-IF(RTD("tos.rtd",,$A$2,"."&amp;Q$43&amp;Q$1&amp;"P"&amp;$A76)="N/A",0,RTD("tos.rtd",,$A$2,"."&amp;Q$43&amp;Q$1&amp;"P"&amp;$A76))</f>
        <v>0</v>
      </c>
      <c r="R76" s="91">
        <f ca="1">IF(RTD("tos.rtd",,$A$2,"."&amp;R$43&amp;R$1&amp;"C"&amp;$A76)="N/A",0,RTD("tos.rtd",,$A$2,"."&amp;R$43&amp;R$1&amp;"C"&amp;$A76))-IF(RTD("tos.rtd",,$A$2,"."&amp;R$43&amp;R$1&amp;"P"&amp;$A76)="N/A",0,RTD("tos.rtd",,$A$2,"."&amp;R$43&amp;R$1&amp;"P"&amp;$A76))</f>
        <v>-5</v>
      </c>
      <c r="S76" s="91">
        <f ca="1">IF(RTD("tos.rtd",,$A$2,"."&amp;S$43&amp;S$1&amp;"C"&amp;$A76)="N/A",0,RTD("tos.rtd",,$A$2,"."&amp;S$43&amp;S$1&amp;"C"&amp;$A76))-IF(RTD("tos.rtd",,$A$2,"."&amp;S$43&amp;S$1&amp;"P"&amp;$A76)="N/A",0,RTD("tos.rtd",,$A$2,"."&amp;S$43&amp;S$1&amp;"P"&amp;$A76))</f>
        <v>0</v>
      </c>
      <c r="T76" s="91">
        <f ca="1">IF(RTD("tos.rtd",,$A$2,"."&amp;T$43&amp;T$1&amp;"C"&amp;$A76)="N/A",0,RTD("tos.rtd",,$A$2,"."&amp;T$43&amp;T$1&amp;"C"&amp;$A76))-IF(RTD("tos.rtd",,$A$2,"."&amp;T$43&amp;T$1&amp;"P"&amp;$A76)="N/A",0,RTD("tos.rtd",,$A$2,"."&amp;T$43&amp;T$1&amp;"P"&amp;$A76))</f>
        <v>0</v>
      </c>
      <c r="U76" s="91">
        <f ca="1">IF(RTD("tos.rtd",,$A$2,"."&amp;U$43&amp;U$1&amp;"C"&amp;$A76)="N/A",0,RTD("tos.rtd",,$A$2,"."&amp;U$43&amp;U$1&amp;"C"&amp;$A76))-IF(RTD("tos.rtd",,$A$2,"."&amp;U$43&amp;U$1&amp;"P"&amp;$A76)="N/A",0,RTD("tos.rtd",,$A$2,"."&amp;U$43&amp;U$1&amp;"P"&amp;$A76))</f>
        <v>0</v>
      </c>
      <c r="V76" s="91">
        <f ca="1">IF(RTD("tos.rtd",,$A$2,"."&amp;V$43&amp;V$1&amp;"C"&amp;$A76)="N/A",0,RTD("tos.rtd",,$A$2,"."&amp;V$43&amp;V$1&amp;"C"&amp;$A76))-IF(RTD("tos.rtd",,$A$2,"."&amp;V$43&amp;V$1&amp;"P"&amp;$A76)="N/A",0,RTD("tos.rtd",,$A$2,"."&amp;V$43&amp;V$1&amp;"P"&amp;$A76))</f>
        <v>0</v>
      </c>
      <c r="W76" s="91">
        <f ca="1">IF(RTD("tos.rtd",,$A$2,"."&amp;W$43&amp;W$1&amp;"C"&amp;$A76)="N/A",0,RTD("tos.rtd",,$A$2,"."&amp;W$43&amp;W$1&amp;"C"&amp;$A76))-IF(RTD("tos.rtd",,$A$2,"."&amp;W$43&amp;W$1&amp;"P"&amp;$A76)="N/A",0,RTD("tos.rtd",,$A$2,"."&amp;W$43&amp;W$1&amp;"P"&amp;$A76))</f>
        <v>0</v>
      </c>
      <c r="X76" s="91">
        <f ca="1">IF(RTD("tos.rtd",,$A$2,"."&amp;X$43&amp;X$1&amp;"C"&amp;$A76)="N/A",0,RTD("tos.rtd",,$A$2,"."&amp;X$43&amp;X$1&amp;"C"&amp;$A76))-IF(RTD("tos.rtd",,$A$2,"."&amp;X$43&amp;X$1&amp;"P"&amp;$A76)="N/A",0,RTD("tos.rtd",,$A$2,"."&amp;X$43&amp;X$1&amp;"P"&amp;$A76))</f>
        <v>0</v>
      </c>
      <c r="Y76" s="98">
        <f t="shared" ca="1" si="7"/>
        <v>-437</v>
      </c>
    </row>
    <row r="77" spans="1:25" x14ac:dyDescent="0.25">
      <c r="A77" s="93">
        <f>+Hoja1!A76</f>
        <v>471</v>
      </c>
      <c r="B77" s="91">
        <f ca="1">IF(RTD("tos.rtd",,$A$2,"."&amp;B$43&amp;B$1&amp;"C"&amp;$A77)="N/A",0,RTD("tos.rtd",,$A$2,"."&amp;B$43&amp;B$1&amp;"C"&amp;$A77))-IF(RTD("tos.rtd",,$A$2,"."&amp;B$43&amp;B$1&amp;"P"&amp;$A77)="N/A",0,RTD("tos.rtd",,$A$2,"."&amp;B$43&amp;B$1&amp;"P"&amp;$A77))</f>
        <v>0</v>
      </c>
      <c r="C77" s="91">
        <f ca="1">IF(RTD("tos.rtd",,$A$2,"."&amp;C$43&amp;C$1&amp;"C"&amp;$A77)="N/A",0,RTD("tos.rtd",,$A$2,"."&amp;C$43&amp;C$1&amp;"C"&amp;$A77))-IF(RTD("tos.rtd",,$A$2,"."&amp;C$43&amp;C$1&amp;"P"&amp;$A77)="N/A",0,RTD("tos.rtd",,$A$2,"."&amp;C$43&amp;C$1&amp;"P"&amp;$A77))</f>
        <v>0</v>
      </c>
      <c r="D77" s="91">
        <f ca="1">IF(RTD("tos.rtd",,$A$2,"."&amp;D$43&amp;D$1&amp;"C"&amp;$A77)="N/A",0,RTD("tos.rtd",,$A$2,"."&amp;D$43&amp;D$1&amp;"C"&amp;$A77))-IF(RTD("tos.rtd",,$A$2,"."&amp;D$43&amp;D$1&amp;"P"&amp;$A77)="N/A",0,RTD("tos.rtd",,$A$2,"."&amp;D$43&amp;D$1&amp;"P"&amp;$A77))</f>
        <v>0</v>
      </c>
      <c r="E77" s="91">
        <f ca="1">IF(RTD("tos.rtd",,$A$2,"."&amp;E$43&amp;E$1&amp;"C"&amp;$A77)="N/A",0,RTD("tos.rtd",,$A$2,"."&amp;E$43&amp;E$1&amp;"C"&amp;$A77))-IF(RTD("tos.rtd",,$A$2,"."&amp;E$43&amp;E$1&amp;"P"&amp;$A77)="N/A",0,RTD("tos.rtd",,$A$2,"."&amp;E$43&amp;E$1&amp;"P"&amp;$A77))</f>
        <v>0</v>
      </c>
      <c r="F77" s="91">
        <f ca="1">IF(RTD("tos.rtd",,$A$2,"."&amp;F$43&amp;F$1&amp;"C"&amp;$A77)="N/A",0,RTD("tos.rtd",,$A$2,"."&amp;F$43&amp;F$1&amp;"C"&amp;$A77))-IF(RTD("tos.rtd",,$A$2,"."&amp;F$43&amp;F$1&amp;"P"&amp;$A77)="N/A",0,RTD("tos.rtd",,$A$2,"."&amp;F$43&amp;F$1&amp;"P"&amp;$A77))</f>
        <v>0</v>
      </c>
      <c r="G77" s="91">
        <f ca="1">IF(RTD("tos.rtd",,$A$2,"."&amp;G$43&amp;G$1&amp;"C"&amp;$A77)="N/A",0,RTD("tos.rtd",,$A$2,"."&amp;G$43&amp;G$1&amp;"C"&amp;$A77))-IF(RTD("tos.rtd",,$A$2,"."&amp;G$43&amp;G$1&amp;"P"&amp;$A77)="N/A",0,RTD("tos.rtd",,$A$2,"."&amp;G$43&amp;G$1&amp;"P"&amp;$A77))</f>
        <v>0</v>
      </c>
      <c r="H77" s="91">
        <f ca="1">IF(RTD("tos.rtd",,$A$2,"."&amp;H$43&amp;H$1&amp;"C"&amp;$A77)="N/A",0,RTD("tos.rtd",,$A$2,"."&amp;H$43&amp;H$1&amp;"C"&amp;$A77))-IF(RTD("tos.rtd",,$A$2,"."&amp;H$43&amp;H$1&amp;"P"&amp;$A77)="N/A",0,RTD("tos.rtd",,$A$2,"."&amp;H$43&amp;H$1&amp;"P"&amp;$A77))</f>
        <v>-50</v>
      </c>
      <c r="I77" s="91">
        <f ca="1">IF(RTD("tos.rtd",,$A$2,"."&amp;I$43&amp;I$1&amp;"C"&amp;$A77)="N/A",0,RTD("tos.rtd",,$A$2,"."&amp;I$43&amp;I$1&amp;"C"&amp;$A77))-IF(RTD("tos.rtd",,$A$2,"."&amp;I$43&amp;I$1&amp;"P"&amp;$A77)="N/A",0,RTD("tos.rtd",,$A$2,"."&amp;I$43&amp;I$1&amp;"P"&amp;$A77))</f>
        <v>29</v>
      </c>
      <c r="J77" s="91">
        <f ca="1">IF(RTD("tos.rtd",,$A$2,"."&amp;J$43&amp;J$1&amp;"C"&amp;$A77)="N/A",0,RTD("tos.rtd",,$A$2,"."&amp;J$43&amp;J$1&amp;"C"&amp;$A77))-IF(RTD("tos.rtd",,$A$2,"."&amp;J$43&amp;J$1&amp;"P"&amp;$A77)="N/A",0,RTD("tos.rtd",,$A$2,"."&amp;J$43&amp;J$1&amp;"P"&amp;$A77))</f>
        <v>-22</v>
      </c>
      <c r="K77" s="91">
        <f ca="1">IF(RTD("tos.rtd",,$A$2,"."&amp;K$43&amp;K$1&amp;"C"&amp;$A77)="N/A",0,RTD("tos.rtd",,$A$2,"."&amp;K$43&amp;K$1&amp;"C"&amp;$A77))-IF(RTD("tos.rtd",,$A$2,"."&amp;K$43&amp;K$1&amp;"P"&amp;$A77)="N/A",0,RTD("tos.rtd",,$A$2,"."&amp;K$43&amp;K$1&amp;"P"&amp;$A77))</f>
        <v>0</v>
      </c>
      <c r="L77" s="91">
        <f ca="1">IF(RTD("tos.rtd",,$A$2,"."&amp;L$43&amp;L$1&amp;"C"&amp;$A77)="N/A",0,RTD("tos.rtd",,$A$2,"."&amp;L$43&amp;L$1&amp;"C"&amp;$A77))-IF(RTD("tos.rtd",,$A$2,"."&amp;L$43&amp;L$1&amp;"P"&amp;$A77)="N/A",0,RTD("tos.rtd",,$A$2,"."&amp;L$43&amp;L$1&amp;"P"&amp;$A77))</f>
        <v>-12</v>
      </c>
      <c r="M77" s="91">
        <f ca="1">IF(RTD("tos.rtd",,$A$2,"."&amp;M$43&amp;M$1&amp;"C"&amp;$A77)="N/A",0,RTD("tos.rtd",,$A$2,"."&amp;M$43&amp;M$1&amp;"C"&amp;$A77))-IF(RTD("tos.rtd",,$A$2,"."&amp;M$43&amp;M$1&amp;"P"&amp;$A77)="N/A",0,RTD("tos.rtd",,$A$2,"."&amp;M$43&amp;M$1&amp;"P"&amp;$A77))</f>
        <v>0</v>
      </c>
      <c r="N77" s="91">
        <f ca="1">IF(RTD("tos.rtd",,$A$2,"."&amp;N$43&amp;N$1&amp;"C"&amp;$A77)="N/A",0,RTD("tos.rtd",,$A$2,"."&amp;N$43&amp;N$1&amp;"C"&amp;$A77))-IF(RTD("tos.rtd",,$A$2,"."&amp;N$43&amp;N$1&amp;"P"&amp;$A77)="N/A",0,RTD("tos.rtd",,$A$2,"."&amp;N$43&amp;N$1&amp;"P"&amp;$A77))</f>
        <v>0</v>
      </c>
      <c r="O77" s="91">
        <f ca="1">IF(RTD("tos.rtd",,$A$2,"."&amp;O$43&amp;O$1&amp;"C"&amp;$A77)="N/A",0,RTD("tos.rtd",,$A$2,"."&amp;O$43&amp;O$1&amp;"C"&amp;$A77))-IF(RTD("tos.rtd",,$A$2,"."&amp;O$43&amp;O$1&amp;"P"&amp;$A77)="N/A",0,RTD("tos.rtd",,$A$2,"."&amp;O$43&amp;O$1&amp;"P"&amp;$A77))</f>
        <v>0</v>
      </c>
      <c r="P77" s="91">
        <f ca="1">IF(RTD("tos.rtd",,$A$2,"."&amp;P$43&amp;P$1&amp;"C"&amp;$A77)="N/A",0,RTD("tos.rtd",,$A$2,"."&amp;P$43&amp;P$1&amp;"C"&amp;$A77))-IF(RTD("tos.rtd",,$A$2,"."&amp;P$43&amp;P$1&amp;"P"&amp;$A77)="N/A",0,RTD("tos.rtd",,$A$2,"."&amp;P$43&amp;P$1&amp;"P"&amp;$A77))</f>
        <v>0</v>
      </c>
      <c r="Q77" s="91">
        <f ca="1">IF(RTD("tos.rtd",,$A$2,"."&amp;Q$43&amp;Q$1&amp;"C"&amp;$A77)="N/A",0,RTD("tos.rtd",,$A$2,"."&amp;Q$43&amp;Q$1&amp;"C"&amp;$A77))-IF(RTD("tos.rtd",,$A$2,"."&amp;Q$43&amp;Q$1&amp;"P"&amp;$A77)="N/A",0,RTD("tos.rtd",,$A$2,"."&amp;Q$43&amp;Q$1&amp;"P"&amp;$A77))</f>
        <v>0</v>
      </c>
      <c r="R77" s="91">
        <f ca="1">IF(RTD("tos.rtd",,$A$2,"."&amp;R$43&amp;R$1&amp;"C"&amp;$A77)="N/A",0,RTD("tos.rtd",,$A$2,"."&amp;R$43&amp;R$1&amp;"C"&amp;$A77))-IF(RTD("tos.rtd",,$A$2,"."&amp;R$43&amp;R$1&amp;"P"&amp;$A77)="N/A",0,RTD("tos.rtd",,$A$2,"."&amp;R$43&amp;R$1&amp;"P"&amp;$A77))</f>
        <v>-13</v>
      </c>
      <c r="S77" s="91">
        <f ca="1">IF(RTD("tos.rtd",,$A$2,"."&amp;S$43&amp;S$1&amp;"C"&amp;$A77)="N/A",0,RTD("tos.rtd",,$A$2,"."&amp;S$43&amp;S$1&amp;"C"&amp;$A77))-IF(RTD("tos.rtd",,$A$2,"."&amp;S$43&amp;S$1&amp;"P"&amp;$A77)="N/A",0,RTD("tos.rtd",,$A$2,"."&amp;S$43&amp;S$1&amp;"P"&amp;$A77))</f>
        <v>0</v>
      </c>
      <c r="T77" s="91">
        <f ca="1">IF(RTD("tos.rtd",,$A$2,"."&amp;T$43&amp;T$1&amp;"C"&amp;$A77)="N/A",0,RTD("tos.rtd",,$A$2,"."&amp;T$43&amp;T$1&amp;"C"&amp;$A77))-IF(RTD("tos.rtd",,$A$2,"."&amp;T$43&amp;T$1&amp;"P"&amp;$A77)="N/A",0,RTD("tos.rtd",,$A$2,"."&amp;T$43&amp;T$1&amp;"P"&amp;$A77))</f>
        <v>0</v>
      </c>
      <c r="U77" s="91">
        <f ca="1">IF(RTD("tos.rtd",,$A$2,"."&amp;U$43&amp;U$1&amp;"C"&amp;$A77)="N/A",0,RTD("tos.rtd",,$A$2,"."&amp;U$43&amp;U$1&amp;"C"&amp;$A77))-IF(RTD("tos.rtd",,$A$2,"."&amp;U$43&amp;U$1&amp;"P"&amp;$A77)="N/A",0,RTD("tos.rtd",,$A$2,"."&amp;U$43&amp;U$1&amp;"P"&amp;$A77))</f>
        <v>0</v>
      </c>
      <c r="V77" s="91">
        <f ca="1">IF(RTD("tos.rtd",,$A$2,"."&amp;V$43&amp;V$1&amp;"C"&amp;$A77)="N/A",0,RTD("tos.rtd",,$A$2,"."&amp;V$43&amp;V$1&amp;"C"&amp;$A77))-IF(RTD("tos.rtd",,$A$2,"."&amp;V$43&amp;V$1&amp;"P"&amp;$A77)="N/A",0,RTD("tos.rtd",,$A$2,"."&amp;V$43&amp;V$1&amp;"P"&amp;$A77))</f>
        <v>0</v>
      </c>
      <c r="W77" s="91">
        <f ca="1">IF(RTD("tos.rtd",,$A$2,"."&amp;W$43&amp;W$1&amp;"C"&amp;$A77)="N/A",0,RTD("tos.rtd",,$A$2,"."&amp;W$43&amp;W$1&amp;"C"&amp;$A77))-IF(RTD("tos.rtd",,$A$2,"."&amp;W$43&amp;W$1&amp;"P"&amp;$A77)="N/A",0,RTD("tos.rtd",,$A$2,"."&amp;W$43&amp;W$1&amp;"P"&amp;$A77))</f>
        <v>0</v>
      </c>
      <c r="X77" s="91">
        <f ca="1">IF(RTD("tos.rtd",,$A$2,"."&amp;X$43&amp;X$1&amp;"C"&amp;$A77)="N/A",0,RTD("tos.rtd",,$A$2,"."&amp;X$43&amp;X$1&amp;"C"&amp;$A77))-IF(RTD("tos.rtd",,$A$2,"."&amp;X$43&amp;X$1&amp;"P"&amp;$A77)="N/A",0,RTD("tos.rtd",,$A$2,"."&amp;X$43&amp;X$1&amp;"P"&amp;$A77))</f>
        <v>0</v>
      </c>
      <c r="Y77" s="98">
        <f t="shared" ca="1" si="7"/>
        <v>-68</v>
      </c>
    </row>
    <row r="78" spans="1:25" x14ac:dyDescent="0.25">
      <c r="A78" s="93">
        <f>+Hoja1!A77</f>
        <v>470</v>
      </c>
      <c r="B78" s="91">
        <f ca="1">IF(RTD("tos.rtd",,$A$2,"."&amp;B$43&amp;B$1&amp;"C"&amp;$A78)="N/A",0,RTD("tos.rtd",,$A$2,"."&amp;B$43&amp;B$1&amp;"C"&amp;$A78))-IF(RTD("tos.rtd",,$A$2,"."&amp;B$43&amp;B$1&amp;"P"&amp;$A78)="N/A",0,RTD("tos.rtd",,$A$2,"."&amp;B$43&amp;B$1&amp;"P"&amp;$A78))</f>
        <v>0</v>
      </c>
      <c r="C78" s="91">
        <f ca="1">IF(RTD("tos.rtd",,$A$2,"."&amp;C$43&amp;C$1&amp;"C"&amp;$A78)="N/A",0,RTD("tos.rtd",,$A$2,"."&amp;C$43&amp;C$1&amp;"C"&amp;$A78))-IF(RTD("tos.rtd",,$A$2,"."&amp;C$43&amp;C$1&amp;"P"&amp;$A78)="N/A",0,RTD("tos.rtd",,$A$2,"."&amp;C$43&amp;C$1&amp;"P"&amp;$A78))</f>
        <v>0</v>
      </c>
      <c r="D78" s="91">
        <f ca="1">IF(RTD("tos.rtd",,$A$2,"."&amp;D$43&amp;D$1&amp;"C"&amp;$A78)="N/A",0,RTD("tos.rtd",,$A$2,"."&amp;D$43&amp;D$1&amp;"C"&amp;$A78))-IF(RTD("tos.rtd",,$A$2,"."&amp;D$43&amp;D$1&amp;"P"&amp;$A78)="N/A",0,RTD("tos.rtd",,$A$2,"."&amp;D$43&amp;D$1&amp;"P"&amp;$A78))</f>
        <v>0</v>
      </c>
      <c r="E78" s="91">
        <f ca="1">IF(RTD("tos.rtd",,$A$2,"."&amp;E$43&amp;E$1&amp;"C"&amp;$A78)="N/A",0,RTD("tos.rtd",,$A$2,"."&amp;E$43&amp;E$1&amp;"C"&amp;$A78))-IF(RTD("tos.rtd",,$A$2,"."&amp;E$43&amp;E$1&amp;"P"&amp;$A78)="N/A",0,RTD("tos.rtd",,$A$2,"."&amp;E$43&amp;E$1&amp;"P"&amp;$A78))</f>
        <v>0</v>
      </c>
      <c r="F78" s="91">
        <f ca="1">IF(RTD("tos.rtd",,$A$2,"."&amp;F$43&amp;F$1&amp;"C"&amp;$A78)="N/A",0,RTD("tos.rtd",,$A$2,"."&amp;F$43&amp;F$1&amp;"C"&amp;$A78))-IF(RTD("tos.rtd",,$A$2,"."&amp;F$43&amp;F$1&amp;"P"&amp;$A78)="N/A",0,RTD("tos.rtd",,$A$2,"."&amp;F$43&amp;F$1&amp;"P"&amp;$A78))</f>
        <v>0</v>
      </c>
      <c r="G78" s="91">
        <f ca="1">IF(RTD("tos.rtd",,$A$2,"."&amp;G$43&amp;G$1&amp;"C"&amp;$A78)="N/A",0,RTD("tos.rtd",,$A$2,"."&amp;G$43&amp;G$1&amp;"C"&amp;$A78))-IF(RTD("tos.rtd",,$A$2,"."&amp;G$43&amp;G$1&amp;"P"&amp;$A78)="N/A",0,RTD("tos.rtd",,$A$2,"."&amp;G$43&amp;G$1&amp;"P"&amp;$A78))</f>
        <v>0</v>
      </c>
      <c r="H78" s="91">
        <f ca="1">IF(RTD("tos.rtd",,$A$2,"."&amp;H$43&amp;H$1&amp;"C"&amp;$A78)="N/A",0,RTD("tos.rtd",,$A$2,"."&amp;H$43&amp;H$1&amp;"C"&amp;$A78))-IF(RTD("tos.rtd",,$A$2,"."&amp;H$43&amp;H$1&amp;"P"&amp;$A78)="N/A",0,RTD("tos.rtd",,$A$2,"."&amp;H$43&amp;H$1&amp;"P"&amp;$A78))</f>
        <v>-342</v>
      </c>
      <c r="I78" s="91">
        <f ca="1">IF(RTD("tos.rtd",,$A$2,"."&amp;I$43&amp;I$1&amp;"C"&amp;$A78)="N/A",0,RTD("tos.rtd",,$A$2,"."&amp;I$43&amp;I$1&amp;"C"&amp;$A78))-IF(RTD("tos.rtd",,$A$2,"."&amp;I$43&amp;I$1&amp;"P"&amp;$A78)="N/A",0,RTD("tos.rtd",,$A$2,"."&amp;I$43&amp;I$1&amp;"P"&amp;$A78))</f>
        <v>-1238</v>
      </c>
      <c r="J78" s="91">
        <f ca="1">IF(RTD("tos.rtd",,$A$2,"."&amp;J$43&amp;J$1&amp;"C"&amp;$A78)="N/A",0,RTD("tos.rtd",,$A$2,"."&amp;J$43&amp;J$1&amp;"C"&amp;$A78))-IF(RTD("tos.rtd",,$A$2,"."&amp;J$43&amp;J$1&amp;"P"&amp;$A78)="N/A",0,RTD("tos.rtd",,$A$2,"."&amp;J$43&amp;J$1&amp;"P"&amp;$A78))</f>
        <v>-746</v>
      </c>
      <c r="K78" s="91">
        <f ca="1">IF(RTD("tos.rtd",,$A$2,"."&amp;K$43&amp;K$1&amp;"C"&amp;$A78)="N/A",0,RTD("tos.rtd",,$A$2,"."&amp;K$43&amp;K$1&amp;"C"&amp;$A78))-IF(RTD("tos.rtd",,$A$2,"."&amp;K$43&amp;K$1&amp;"P"&amp;$A78)="N/A",0,RTD("tos.rtd",,$A$2,"."&amp;K$43&amp;K$1&amp;"P"&amp;$A78))</f>
        <v>-3238</v>
      </c>
      <c r="L78" s="91">
        <f ca="1">IF(RTD("tos.rtd",,$A$2,"."&amp;L$43&amp;L$1&amp;"C"&amp;$A78)="N/A",0,RTD("tos.rtd",,$A$2,"."&amp;L$43&amp;L$1&amp;"C"&amp;$A78))-IF(RTD("tos.rtd",,$A$2,"."&amp;L$43&amp;L$1&amp;"P"&amp;$A78)="N/A",0,RTD("tos.rtd",,$A$2,"."&amp;L$43&amp;L$1&amp;"P"&amp;$A78))</f>
        <v>-269</v>
      </c>
      <c r="M78" s="91">
        <f ca="1">IF(RTD("tos.rtd",,$A$2,"."&amp;M$43&amp;M$1&amp;"C"&amp;$A78)="N/A",0,RTD("tos.rtd",,$A$2,"."&amp;M$43&amp;M$1&amp;"C"&amp;$A78))-IF(RTD("tos.rtd",,$A$2,"."&amp;M$43&amp;M$1&amp;"P"&amp;$A78)="N/A",0,RTD("tos.rtd",,$A$2,"."&amp;M$43&amp;M$1&amp;"P"&amp;$A78))</f>
        <v>-7782</v>
      </c>
      <c r="N78" s="91">
        <f ca="1">IF(RTD("tos.rtd",,$A$2,"."&amp;N$43&amp;N$1&amp;"C"&amp;$A78)="N/A",0,RTD("tos.rtd",,$A$2,"."&amp;N$43&amp;N$1&amp;"C"&amp;$A78))-IF(RTD("tos.rtd",,$A$2,"."&amp;N$43&amp;N$1&amp;"P"&amp;$A78)="N/A",0,RTD("tos.rtd",,$A$2,"."&amp;N$43&amp;N$1&amp;"P"&amp;$A78))</f>
        <v>-6</v>
      </c>
      <c r="O78" s="91">
        <f ca="1">IF(RTD("tos.rtd",,$A$2,"."&amp;O$43&amp;O$1&amp;"C"&amp;$A78)="N/A",0,RTD("tos.rtd",,$A$2,"."&amp;O$43&amp;O$1&amp;"C"&amp;$A78))-IF(RTD("tos.rtd",,$A$2,"."&amp;O$43&amp;O$1&amp;"P"&amp;$A78)="N/A",0,RTD("tos.rtd",,$A$2,"."&amp;O$43&amp;O$1&amp;"P"&amp;$A78))</f>
        <v>-157</v>
      </c>
      <c r="P78" s="91">
        <f ca="1">IF(RTD("tos.rtd",,$A$2,"."&amp;P$43&amp;P$1&amp;"C"&amp;$A78)="N/A",0,RTD("tos.rtd",,$A$2,"."&amp;P$43&amp;P$1&amp;"C"&amp;$A78))-IF(RTD("tos.rtd",,$A$2,"."&amp;P$43&amp;P$1&amp;"P"&amp;$A78)="N/A",0,RTD("tos.rtd",,$A$2,"."&amp;P$43&amp;P$1&amp;"P"&amp;$A78))</f>
        <v>-43</v>
      </c>
      <c r="Q78" s="91">
        <f ca="1">IF(RTD("tos.rtd",,$A$2,"."&amp;Q$43&amp;Q$1&amp;"C"&amp;$A78)="N/A",0,RTD("tos.rtd",,$A$2,"."&amp;Q$43&amp;Q$1&amp;"C"&amp;$A78))-IF(RTD("tos.rtd",,$A$2,"."&amp;Q$43&amp;Q$1&amp;"P"&amp;$A78)="N/A",0,RTD("tos.rtd",,$A$2,"."&amp;Q$43&amp;Q$1&amp;"P"&amp;$A78))</f>
        <v>-98</v>
      </c>
      <c r="R78" s="91">
        <f ca="1">IF(RTD("tos.rtd",,$A$2,"."&amp;R$43&amp;R$1&amp;"C"&amp;$A78)="N/A",0,RTD("tos.rtd",,$A$2,"."&amp;R$43&amp;R$1&amp;"C"&amp;$A78))-IF(RTD("tos.rtd",,$A$2,"."&amp;R$43&amp;R$1&amp;"P"&amp;$A78)="N/A",0,RTD("tos.rtd",,$A$2,"."&amp;R$43&amp;R$1&amp;"P"&amp;$A78))</f>
        <v>2</v>
      </c>
      <c r="S78" s="91">
        <f ca="1">IF(RTD("tos.rtd",,$A$2,"."&amp;S$43&amp;S$1&amp;"C"&amp;$A78)="N/A",0,RTD("tos.rtd",,$A$2,"."&amp;S$43&amp;S$1&amp;"C"&amp;$A78))-IF(RTD("tos.rtd",,$A$2,"."&amp;S$43&amp;S$1&amp;"P"&amp;$A78)="N/A",0,RTD("tos.rtd",,$A$2,"."&amp;S$43&amp;S$1&amp;"P"&amp;$A78))</f>
        <v>0</v>
      </c>
      <c r="T78" s="91">
        <f ca="1">IF(RTD("tos.rtd",,$A$2,"."&amp;T$43&amp;T$1&amp;"C"&amp;$A78)="N/A",0,RTD("tos.rtd",,$A$2,"."&amp;T$43&amp;T$1&amp;"C"&amp;$A78))-IF(RTD("tos.rtd",,$A$2,"."&amp;T$43&amp;T$1&amp;"P"&amp;$A78)="N/A",0,RTD("tos.rtd",,$A$2,"."&amp;T$43&amp;T$1&amp;"P"&amp;$A78))</f>
        <v>0</v>
      </c>
      <c r="U78" s="91">
        <f ca="1">IF(RTD("tos.rtd",,$A$2,"."&amp;U$43&amp;U$1&amp;"C"&amp;$A78)="N/A",0,RTD("tos.rtd",,$A$2,"."&amp;U$43&amp;U$1&amp;"C"&amp;$A78))-IF(RTD("tos.rtd",,$A$2,"."&amp;U$43&amp;U$1&amp;"P"&amp;$A78)="N/A",0,RTD("tos.rtd",,$A$2,"."&amp;U$43&amp;U$1&amp;"P"&amp;$A78))</f>
        <v>-43</v>
      </c>
      <c r="V78" s="91">
        <f ca="1">IF(RTD("tos.rtd",,$A$2,"."&amp;V$43&amp;V$1&amp;"C"&amp;$A78)="N/A",0,RTD("tos.rtd",,$A$2,"."&amp;V$43&amp;V$1&amp;"C"&amp;$A78))-IF(RTD("tos.rtd",,$A$2,"."&amp;V$43&amp;V$1&amp;"P"&amp;$A78)="N/A",0,RTD("tos.rtd",,$A$2,"."&amp;V$43&amp;V$1&amp;"P"&amp;$A78))</f>
        <v>0</v>
      </c>
      <c r="W78" s="91">
        <f ca="1">IF(RTD("tos.rtd",,$A$2,"."&amp;W$43&amp;W$1&amp;"C"&amp;$A78)="N/A",0,RTD("tos.rtd",,$A$2,"."&amp;W$43&amp;W$1&amp;"C"&amp;$A78))-IF(RTD("tos.rtd",,$A$2,"."&amp;W$43&amp;W$1&amp;"P"&amp;$A78)="N/A",0,RTD("tos.rtd",,$A$2,"."&amp;W$43&amp;W$1&amp;"P"&amp;$A78))</f>
        <v>-31</v>
      </c>
      <c r="X78" s="91">
        <f ca="1">IF(RTD("tos.rtd",,$A$2,"."&amp;X$43&amp;X$1&amp;"C"&amp;$A78)="N/A",0,RTD("tos.rtd",,$A$2,"."&amp;X$43&amp;X$1&amp;"C"&amp;$A78))-IF(RTD("tos.rtd",,$A$2,"."&amp;X$43&amp;X$1&amp;"P"&amp;$A78)="N/A",0,RTD("tos.rtd",,$A$2,"."&amp;X$43&amp;X$1&amp;"P"&amp;$A78))</f>
        <v>3</v>
      </c>
      <c r="Y78" s="98">
        <f t="shared" ca="1" si="7"/>
        <v>-13988</v>
      </c>
    </row>
    <row r="79" spans="1:25" x14ac:dyDescent="0.25">
      <c r="A79" s="93">
        <f>+Hoja1!A78</f>
        <v>469</v>
      </c>
      <c r="B79" s="91">
        <f ca="1">IF(RTD("tos.rtd",,$A$2,"."&amp;B$43&amp;B$1&amp;"C"&amp;$A79)="N/A",0,RTD("tos.rtd",,$A$2,"."&amp;B$43&amp;B$1&amp;"C"&amp;$A79))-IF(RTD("tos.rtd",,$A$2,"."&amp;B$43&amp;B$1&amp;"P"&amp;$A79)="N/A",0,RTD("tos.rtd",,$A$2,"."&amp;B$43&amp;B$1&amp;"P"&amp;$A79))</f>
        <v>0</v>
      </c>
      <c r="C79" s="91">
        <f ca="1">IF(RTD("tos.rtd",,$A$2,"."&amp;C$43&amp;C$1&amp;"C"&amp;$A79)="N/A",0,RTD("tos.rtd",,$A$2,"."&amp;C$43&amp;C$1&amp;"C"&amp;$A79))-IF(RTD("tos.rtd",,$A$2,"."&amp;C$43&amp;C$1&amp;"P"&amp;$A79)="N/A",0,RTD("tos.rtd",,$A$2,"."&amp;C$43&amp;C$1&amp;"P"&amp;$A79))</f>
        <v>0</v>
      </c>
      <c r="D79" s="91">
        <f ca="1">IF(RTD("tos.rtd",,$A$2,"."&amp;D$43&amp;D$1&amp;"C"&amp;$A79)="N/A",0,RTD("tos.rtd",,$A$2,"."&amp;D$43&amp;D$1&amp;"C"&amp;$A79))-IF(RTD("tos.rtd",,$A$2,"."&amp;D$43&amp;D$1&amp;"P"&amp;$A79)="N/A",0,RTD("tos.rtd",,$A$2,"."&amp;D$43&amp;D$1&amp;"P"&amp;$A79))</f>
        <v>0</v>
      </c>
      <c r="E79" s="91">
        <f ca="1">IF(RTD("tos.rtd",,$A$2,"."&amp;E$43&amp;E$1&amp;"C"&amp;$A79)="N/A",0,RTD("tos.rtd",,$A$2,"."&amp;E$43&amp;E$1&amp;"C"&amp;$A79))-IF(RTD("tos.rtd",,$A$2,"."&amp;E$43&amp;E$1&amp;"P"&amp;$A79)="N/A",0,RTD("tos.rtd",,$A$2,"."&amp;E$43&amp;E$1&amp;"P"&amp;$A79))</f>
        <v>0</v>
      </c>
      <c r="F79" s="91">
        <f ca="1">IF(RTD("tos.rtd",,$A$2,"."&amp;F$43&amp;F$1&amp;"C"&amp;$A79)="N/A",0,RTD("tos.rtd",,$A$2,"."&amp;F$43&amp;F$1&amp;"C"&amp;$A79))-IF(RTD("tos.rtd",,$A$2,"."&amp;F$43&amp;F$1&amp;"P"&amp;$A79)="N/A",0,RTD("tos.rtd",,$A$2,"."&amp;F$43&amp;F$1&amp;"P"&amp;$A79))</f>
        <v>0</v>
      </c>
      <c r="G79" s="91">
        <f ca="1">IF(RTD("tos.rtd",,$A$2,"."&amp;G$43&amp;G$1&amp;"C"&amp;$A79)="N/A",0,RTD("tos.rtd",,$A$2,"."&amp;G$43&amp;G$1&amp;"C"&amp;$A79))-IF(RTD("tos.rtd",,$A$2,"."&amp;G$43&amp;G$1&amp;"P"&amp;$A79)="N/A",0,RTD("tos.rtd",,$A$2,"."&amp;G$43&amp;G$1&amp;"P"&amp;$A79))</f>
        <v>0</v>
      </c>
      <c r="H79" s="91">
        <f ca="1">IF(RTD("tos.rtd",,$A$2,"."&amp;H$43&amp;H$1&amp;"C"&amp;$A79)="N/A",0,RTD("tos.rtd",,$A$2,"."&amp;H$43&amp;H$1&amp;"C"&amp;$A79))-IF(RTD("tos.rtd",,$A$2,"."&amp;H$43&amp;H$1&amp;"P"&amp;$A79)="N/A",0,RTD("tos.rtd",,$A$2,"."&amp;H$43&amp;H$1&amp;"P"&amp;$A79))</f>
        <v>-39</v>
      </c>
      <c r="I79" s="91">
        <f ca="1">IF(RTD("tos.rtd",,$A$2,"."&amp;I$43&amp;I$1&amp;"C"&amp;$A79)="N/A",0,RTD("tos.rtd",,$A$2,"."&amp;I$43&amp;I$1&amp;"C"&amp;$A79))-IF(RTD("tos.rtd",,$A$2,"."&amp;I$43&amp;I$1&amp;"P"&amp;$A79)="N/A",0,RTD("tos.rtd",,$A$2,"."&amp;I$43&amp;I$1&amp;"P"&amp;$A79))</f>
        <v>-23</v>
      </c>
      <c r="J79" s="91">
        <f ca="1">IF(RTD("tos.rtd",,$A$2,"."&amp;J$43&amp;J$1&amp;"C"&amp;$A79)="N/A",0,RTD("tos.rtd",,$A$2,"."&amp;J$43&amp;J$1&amp;"C"&amp;$A79))-IF(RTD("tos.rtd",,$A$2,"."&amp;J$43&amp;J$1&amp;"P"&amp;$A79)="N/A",0,RTD("tos.rtd",,$A$2,"."&amp;J$43&amp;J$1&amp;"P"&amp;$A79))</f>
        <v>-28</v>
      </c>
      <c r="K79" s="91">
        <f ca="1">IF(RTD("tos.rtd",,$A$2,"."&amp;K$43&amp;K$1&amp;"C"&amp;$A79)="N/A",0,RTD("tos.rtd",,$A$2,"."&amp;K$43&amp;K$1&amp;"C"&amp;$A79))-IF(RTD("tos.rtd",,$A$2,"."&amp;K$43&amp;K$1&amp;"P"&amp;$A79)="N/A",0,RTD("tos.rtd",,$A$2,"."&amp;K$43&amp;K$1&amp;"P"&amp;$A79))</f>
        <v>0</v>
      </c>
      <c r="L79" s="91">
        <f ca="1">IF(RTD("tos.rtd",,$A$2,"."&amp;L$43&amp;L$1&amp;"C"&amp;$A79)="N/A",0,RTD("tos.rtd",,$A$2,"."&amp;L$43&amp;L$1&amp;"C"&amp;$A79))-IF(RTD("tos.rtd",,$A$2,"."&amp;L$43&amp;L$1&amp;"P"&amp;$A79)="N/A",0,RTD("tos.rtd",,$A$2,"."&amp;L$43&amp;L$1&amp;"P"&amp;$A79))</f>
        <v>-67</v>
      </c>
      <c r="M79" s="91">
        <f ca="1">IF(RTD("tos.rtd",,$A$2,"."&amp;M$43&amp;M$1&amp;"C"&amp;$A79)="N/A",0,RTD("tos.rtd",,$A$2,"."&amp;M$43&amp;M$1&amp;"C"&amp;$A79))-IF(RTD("tos.rtd",,$A$2,"."&amp;M$43&amp;M$1&amp;"P"&amp;$A79)="N/A",0,RTD("tos.rtd",,$A$2,"."&amp;M$43&amp;M$1&amp;"P"&amp;$A79))</f>
        <v>0</v>
      </c>
      <c r="N79" s="91">
        <f ca="1">IF(RTD("tos.rtd",,$A$2,"."&amp;N$43&amp;N$1&amp;"C"&amp;$A79)="N/A",0,RTD("tos.rtd",,$A$2,"."&amp;N$43&amp;N$1&amp;"C"&amp;$A79))-IF(RTD("tos.rtd",,$A$2,"."&amp;N$43&amp;N$1&amp;"P"&amp;$A79)="N/A",0,RTD("tos.rtd",,$A$2,"."&amp;N$43&amp;N$1&amp;"P"&amp;$A79))</f>
        <v>-1</v>
      </c>
      <c r="O79" s="91">
        <f ca="1">IF(RTD("tos.rtd",,$A$2,"."&amp;O$43&amp;O$1&amp;"C"&amp;$A79)="N/A",0,RTD("tos.rtd",,$A$2,"."&amp;O$43&amp;O$1&amp;"C"&amp;$A79))-IF(RTD("tos.rtd",,$A$2,"."&amp;O$43&amp;O$1&amp;"P"&amp;$A79)="N/A",0,RTD("tos.rtd",,$A$2,"."&amp;O$43&amp;O$1&amp;"P"&amp;$A79))</f>
        <v>0</v>
      </c>
      <c r="P79" s="91">
        <f ca="1">IF(RTD("tos.rtd",,$A$2,"."&amp;P$43&amp;P$1&amp;"C"&amp;$A79)="N/A",0,RTD("tos.rtd",,$A$2,"."&amp;P$43&amp;P$1&amp;"C"&amp;$A79))-IF(RTD("tos.rtd",,$A$2,"."&amp;P$43&amp;P$1&amp;"P"&amp;$A79)="N/A",0,RTD("tos.rtd",,$A$2,"."&amp;P$43&amp;P$1&amp;"P"&amp;$A79))</f>
        <v>0</v>
      </c>
      <c r="Q79" s="91">
        <f ca="1">IF(RTD("tos.rtd",,$A$2,"."&amp;Q$43&amp;Q$1&amp;"C"&amp;$A79)="N/A",0,RTD("tos.rtd",,$A$2,"."&amp;Q$43&amp;Q$1&amp;"C"&amp;$A79))-IF(RTD("tos.rtd",,$A$2,"."&amp;Q$43&amp;Q$1&amp;"P"&amp;$A79)="N/A",0,RTD("tos.rtd",,$A$2,"."&amp;Q$43&amp;Q$1&amp;"P"&amp;$A79))</f>
        <v>0</v>
      </c>
      <c r="R79" s="91">
        <f ca="1">IF(RTD("tos.rtd",,$A$2,"."&amp;R$43&amp;R$1&amp;"C"&amp;$A79)="N/A",0,RTD("tos.rtd",,$A$2,"."&amp;R$43&amp;R$1&amp;"C"&amp;$A79))-IF(RTD("tos.rtd",,$A$2,"."&amp;R$43&amp;R$1&amp;"P"&amp;$A79)="N/A",0,RTD("tos.rtd",,$A$2,"."&amp;R$43&amp;R$1&amp;"P"&amp;$A79))</f>
        <v>0</v>
      </c>
      <c r="S79" s="91">
        <f ca="1">IF(RTD("tos.rtd",,$A$2,"."&amp;S$43&amp;S$1&amp;"C"&amp;$A79)="N/A",0,RTD("tos.rtd",,$A$2,"."&amp;S$43&amp;S$1&amp;"C"&amp;$A79))-IF(RTD("tos.rtd",,$A$2,"."&amp;S$43&amp;S$1&amp;"P"&amp;$A79)="N/A",0,RTD("tos.rtd",,$A$2,"."&amp;S$43&amp;S$1&amp;"P"&amp;$A79))</f>
        <v>0</v>
      </c>
      <c r="T79" s="91">
        <f ca="1">IF(RTD("tos.rtd",,$A$2,"."&amp;T$43&amp;T$1&amp;"C"&amp;$A79)="N/A",0,RTD("tos.rtd",,$A$2,"."&amp;T$43&amp;T$1&amp;"C"&amp;$A79))-IF(RTD("tos.rtd",,$A$2,"."&amp;T$43&amp;T$1&amp;"P"&amp;$A79)="N/A",0,RTD("tos.rtd",,$A$2,"."&amp;T$43&amp;T$1&amp;"P"&amp;$A79))</f>
        <v>0</v>
      </c>
      <c r="U79" s="91">
        <f ca="1">IF(RTD("tos.rtd",,$A$2,"."&amp;U$43&amp;U$1&amp;"C"&amp;$A79)="N/A",0,RTD("tos.rtd",,$A$2,"."&amp;U$43&amp;U$1&amp;"C"&amp;$A79))-IF(RTD("tos.rtd",,$A$2,"."&amp;U$43&amp;U$1&amp;"P"&amp;$A79)="N/A",0,RTD("tos.rtd",,$A$2,"."&amp;U$43&amp;U$1&amp;"P"&amp;$A79))</f>
        <v>0</v>
      </c>
      <c r="V79" s="91">
        <f ca="1">IF(RTD("tos.rtd",,$A$2,"."&amp;V$43&amp;V$1&amp;"C"&amp;$A79)="N/A",0,RTD("tos.rtd",,$A$2,"."&amp;V$43&amp;V$1&amp;"C"&amp;$A79))-IF(RTD("tos.rtd",,$A$2,"."&amp;V$43&amp;V$1&amp;"P"&amp;$A79)="N/A",0,RTD("tos.rtd",,$A$2,"."&amp;V$43&amp;V$1&amp;"P"&amp;$A79))</f>
        <v>0</v>
      </c>
      <c r="W79" s="91">
        <f ca="1">IF(RTD("tos.rtd",,$A$2,"."&amp;W$43&amp;W$1&amp;"C"&amp;$A79)="N/A",0,RTD("tos.rtd",,$A$2,"."&amp;W$43&amp;W$1&amp;"C"&amp;$A79))-IF(RTD("tos.rtd",,$A$2,"."&amp;W$43&amp;W$1&amp;"P"&amp;$A79)="N/A",0,RTD("tos.rtd",,$A$2,"."&amp;W$43&amp;W$1&amp;"P"&amp;$A79))</f>
        <v>0</v>
      </c>
      <c r="X79" s="91">
        <f ca="1">IF(RTD("tos.rtd",,$A$2,"."&amp;X$43&amp;X$1&amp;"C"&amp;$A79)="N/A",0,RTD("tos.rtd",,$A$2,"."&amp;X$43&amp;X$1&amp;"C"&amp;$A79))-IF(RTD("tos.rtd",,$A$2,"."&amp;X$43&amp;X$1&amp;"P"&amp;$A79)="N/A",0,RTD("tos.rtd",,$A$2,"."&amp;X$43&amp;X$1&amp;"P"&amp;$A79))</f>
        <v>0</v>
      </c>
      <c r="Y79" s="98">
        <f t="shared" ca="1" si="7"/>
        <v>-158</v>
      </c>
    </row>
    <row r="80" spans="1:25" x14ac:dyDescent="0.25">
      <c r="A80" s="93">
        <f>+Hoja1!A79</f>
        <v>468</v>
      </c>
      <c r="B80" s="91">
        <f ca="1">IF(RTD("tos.rtd",,$A$2,"."&amp;B$43&amp;B$1&amp;"C"&amp;$A80)="N/A",0,RTD("tos.rtd",,$A$2,"."&amp;B$43&amp;B$1&amp;"C"&amp;$A80))-IF(RTD("tos.rtd",,$A$2,"."&amp;B$43&amp;B$1&amp;"P"&amp;$A80)="N/A",0,RTD("tos.rtd",,$A$2,"."&amp;B$43&amp;B$1&amp;"P"&amp;$A80))</f>
        <v>0</v>
      </c>
      <c r="C80" s="91">
        <f ca="1">IF(RTD("tos.rtd",,$A$2,"."&amp;C$43&amp;C$1&amp;"C"&amp;$A80)="N/A",0,RTD("tos.rtd",,$A$2,"."&amp;C$43&amp;C$1&amp;"C"&amp;$A80))-IF(RTD("tos.rtd",,$A$2,"."&amp;C$43&amp;C$1&amp;"P"&amp;$A80)="N/A",0,RTD("tos.rtd",,$A$2,"."&amp;C$43&amp;C$1&amp;"P"&amp;$A80))</f>
        <v>0</v>
      </c>
      <c r="D80" s="91">
        <f ca="1">IF(RTD("tos.rtd",,$A$2,"."&amp;D$43&amp;D$1&amp;"C"&amp;$A80)="N/A",0,RTD("tos.rtd",,$A$2,"."&amp;D$43&amp;D$1&amp;"C"&amp;$A80))-IF(RTD("tos.rtd",,$A$2,"."&amp;D$43&amp;D$1&amp;"P"&amp;$A80)="N/A",0,RTD("tos.rtd",,$A$2,"."&amp;D$43&amp;D$1&amp;"P"&amp;$A80))</f>
        <v>0</v>
      </c>
      <c r="E80" s="91">
        <f ca="1">IF(RTD("tos.rtd",,$A$2,"."&amp;E$43&amp;E$1&amp;"C"&amp;$A80)="N/A",0,RTD("tos.rtd",,$A$2,"."&amp;E$43&amp;E$1&amp;"C"&amp;$A80))-IF(RTD("tos.rtd",,$A$2,"."&amp;E$43&amp;E$1&amp;"P"&amp;$A80)="N/A",0,RTD("tos.rtd",,$A$2,"."&amp;E$43&amp;E$1&amp;"P"&amp;$A80))</f>
        <v>0</v>
      </c>
      <c r="F80" s="91">
        <f ca="1">IF(RTD("tos.rtd",,$A$2,"."&amp;F$43&amp;F$1&amp;"C"&amp;$A80)="N/A",0,RTD("tos.rtd",,$A$2,"."&amp;F$43&amp;F$1&amp;"C"&amp;$A80))-IF(RTD("tos.rtd",,$A$2,"."&amp;F$43&amp;F$1&amp;"P"&amp;$A80)="N/A",0,RTD("tos.rtd",,$A$2,"."&amp;F$43&amp;F$1&amp;"P"&amp;$A80))</f>
        <v>0</v>
      </c>
      <c r="G80" s="91">
        <f ca="1">IF(RTD("tos.rtd",,$A$2,"."&amp;G$43&amp;G$1&amp;"C"&amp;$A80)="N/A",0,RTD("tos.rtd",,$A$2,"."&amp;G$43&amp;G$1&amp;"C"&amp;$A80))-IF(RTD("tos.rtd",,$A$2,"."&amp;G$43&amp;G$1&amp;"P"&amp;$A80)="N/A",0,RTD("tos.rtd",,$A$2,"."&amp;G$43&amp;G$1&amp;"P"&amp;$A80))</f>
        <v>0</v>
      </c>
      <c r="H80" s="91">
        <f ca="1">IF(RTD("tos.rtd",,$A$2,"."&amp;H$43&amp;H$1&amp;"C"&amp;$A80)="N/A",0,RTD("tos.rtd",,$A$2,"."&amp;H$43&amp;H$1&amp;"C"&amp;$A80))-IF(RTD("tos.rtd",,$A$2,"."&amp;H$43&amp;H$1&amp;"P"&amp;$A80)="N/A",0,RTD("tos.rtd",,$A$2,"."&amp;H$43&amp;H$1&amp;"P"&amp;$A80))</f>
        <v>47</v>
      </c>
      <c r="I80" s="91">
        <f ca="1">IF(RTD("tos.rtd",,$A$2,"."&amp;I$43&amp;I$1&amp;"C"&amp;$A80)="N/A",0,RTD("tos.rtd",,$A$2,"."&amp;I$43&amp;I$1&amp;"C"&amp;$A80))-IF(RTD("tos.rtd",,$A$2,"."&amp;I$43&amp;I$1&amp;"P"&amp;$A80)="N/A",0,RTD("tos.rtd",,$A$2,"."&amp;I$43&amp;I$1&amp;"P"&amp;$A80))</f>
        <v>-78</v>
      </c>
      <c r="J80" s="91">
        <f ca="1">IF(RTD("tos.rtd",,$A$2,"."&amp;J$43&amp;J$1&amp;"C"&amp;$A80)="N/A",0,RTD("tos.rtd",,$A$2,"."&amp;J$43&amp;J$1&amp;"C"&amp;$A80))-IF(RTD("tos.rtd",,$A$2,"."&amp;J$43&amp;J$1&amp;"P"&amp;$A80)="N/A",0,RTD("tos.rtd",,$A$2,"."&amp;J$43&amp;J$1&amp;"P"&amp;$A80))</f>
        <v>-25</v>
      </c>
      <c r="K80" s="91">
        <f ca="1">IF(RTD("tos.rtd",,$A$2,"."&amp;K$43&amp;K$1&amp;"C"&amp;$A80)="N/A",0,RTD("tos.rtd",,$A$2,"."&amp;K$43&amp;K$1&amp;"C"&amp;$A80))-IF(RTD("tos.rtd",,$A$2,"."&amp;K$43&amp;K$1&amp;"P"&amp;$A80)="N/A",0,RTD("tos.rtd",,$A$2,"."&amp;K$43&amp;K$1&amp;"P"&amp;$A80))</f>
        <v>0</v>
      </c>
      <c r="L80" s="91">
        <f ca="1">IF(RTD("tos.rtd",,$A$2,"."&amp;L$43&amp;L$1&amp;"C"&amp;$A80)="N/A",0,RTD("tos.rtd",,$A$2,"."&amp;L$43&amp;L$1&amp;"C"&amp;$A80))-IF(RTD("tos.rtd",,$A$2,"."&amp;L$43&amp;L$1&amp;"P"&amp;$A80)="N/A",0,RTD("tos.rtd",,$A$2,"."&amp;L$43&amp;L$1&amp;"P"&amp;$A80))</f>
        <v>-11</v>
      </c>
      <c r="M80" s="91">
        <f ca="1">IF(RTD("tos.rtd",,$A$2,"."&amp;M$43&amp;M$1&amp;"C"&amp;$A80)="N/A",0,RTD("tos.rtd",,$A$2,"."&amp;M$43&amp;M$1&amp;"C"&amp;$A80))-IF(RTD("tos.rtd",,$A$2,"."&amp;M$43&amp;M$1&amp;"P"&amp;$A80)="N/A",0,RTD("tos.rtd",,$A$2,"."&amp;M$43&amp;M$1&amp;"P"&amp;$A80))</f>
        <v>0</v>
      </c>
      <c r="N80" s="91">
        <f ca="1">IF(RTD("tos.rtd",,$A$2,"."&amp;N$43&amp;N$1&amp;"C"&amp;$A80)="N/A",0,RTD("tos.rtd",,$A$2,"."&amp;N$43&amp;N$1&amp;"C"&amp;$A80))-IF(RTD("tos.rtd",,$A$2,"."&amp;N$43&amp;N$1&amp;"P"&amp;$A80)="N/A",0,RTD("tos.rtd",,$A$2,"."&amp;N$43&amp;N$1&amp;"P"&amp;$A80))</f>
        <v>-9</v>
      </c>
      <c r="O80" s="91">
        <f ca="1">IF(RTD("tos.rtd",,$A$2,"."&amp;O$43&amp;O$1&amp;"C"&amp;$A80)="N/A",0,RTD("tos.rtd",,$A$2,"."&amp;O$43&amp;O$1&amp;"C"&amp;$A80))-IF(RTD("tos.rtd",,$A$2,"."&amp;O$43&amp;O$1&amp;"P"&amp;$A80)="N/A",0,RTD("tos.rtd",,$A$2,"."&amp;O$43&amp;O$1&amp;"P"&amp;$A80))</f>
        <v>0</v>
      </c>
      <c r="P80" s="91">
        <f ca="1">IF(RTD("tos.rtd",,$A$2,"."&amp;P$43&amp;P$1&amp;"C"&amp;$A80)="N/A",0,RTD("tos.rtd",,$A$2,"."&amp;P$43&amp;P$1&amp;"C"&amp;$A80))-IF(RTD("tos.rtd",,$A$2,"."&amp;P$43&amp;P$1&amp;"P"&amp;$A80)="N/A",0,RTD("tos.rtd",,$A$2,"."&amp;P$43&amp;P$1&amp;"P"&amp;$A80))</f>
        <v>0</v>
      </c>
      <c r="Q80" s="91">
        <f ca="1">IF(RTD("tos.rtd",,$A$2,"."&amp;Q$43&amp;Q$1&amp;"C"&amp;$A80)="N/A",0,RTD("tos.rtd",,$A$2,"."&amp;Q$43&amp;Q$1&amp;"C"&amp;$A80))-IF(RTD("tos.rtd",,$A$2,"."&amp;Q$43&amp;Q$1&amp;"P"&amp;$A80)="N/A",0,RTD("tos.rtd",,$A$2,"."&amp;Q$43&amp;Q$1&amp;"P"&amp;$A80))</f>
        <v>0</v>
      </c>
      <c r="R80" s="91">
        <f ca="1">IF(RTD("tos.rtd",,$A$2,"."&amp;R$43&amp;R$1&amp;"C"&amp;$A80)="N/A",0,RTD("tos.rtd",,$A$2,"."&amp;R$43&amp;R$1&amp;"C"&amp;$A80))-IF(RTD("tos.rtd",,$A$2,"."&amp;R$43&amp;R$1&amp;"P"&amp;$A80)="N/A",0,RTD("tos.rtd",,$A$2,"."&amp;R$43&amp;R$1&amp;"P"&amp;$A80))</f>
        <v>0</v>
      </c>
      <c r="S80" s="91">
        <f ca="1">IF(RTD("tos.rtd",,$A$2,"."&amp;S$43&amp;S$1&amp;"C"&amp;$A80)="N/A",0,RTD("tos.rtd",,$A$2,"."&amp;S$43&amp;S$1&amp;"C"&amp;$A80))-IF(RTD("tos.rtd",,$A$2,"."&amp;S$43&amp;S$1&amp;"P"&amp;$A80)="N/A",0,RTD("tos.rtd",,$A$2,"."&amp;S$43&amp;S$1&amp;"P"&amp;$A80))</f>
        <v>0</v>
      </c>
      <c r="T80" s="91">
        <f ca="1">IF(RTD("tos.rtd",,$A$2,"."&amp;T$43&amp;T$1&amp;"C"&amp;$A80)="N/A",0,RTD("tos.rtd",,$A$2,"."&amp;T$43&amp;T$1&amp;"C"&amp;$A80))-IF(RTD("tos.rtd",,$A$2,"."&amp;T$43&amp;T$1&amp;"P"&amp;$A80)="N/A",0,RTD("tos.rtd",,$A$2,"."&amp;T$43&amp;T$1&amp;"P"&amp;$A80))</f>
        <v>0</v>
      </c>
      <c r="U80" s="91">
        <f ca="1">IF(RTD("tos.rtd",,$A$2,"."&amp;U$43&amp;U$1&amp;"C"&amp;$A80)="N/A",0,RTD("tos.rtd",,$A$2,"."&amp;U$43&amp;U$1&amp;"C"&amp;$A80))-IF(RTD("tos.rtd",,$A$2,"."&amp;U$43&amp;U$1&amp;"P"&amp;$A80)="N/A",0,RTD("tos.rtd",,$A$2,"."&amp;U$43&amp;U$1&amp;"P"&amp;$A80))</f>
        <v>0</v>
      </c>
      <c r="V80" s="91">
        <f ca="1">IF(RTD("tos.rtd",,$A$2,"."&amp;V$43&amp;V$1&amp;"C"&amp;$A80)="N/A",0,RTD("tos.rtd",,$A$2,"."&amp;V$43&amp;V$1&amp;"C"&amp;$A80))-IF(RTD("tos.rtd",,$A$2,"."&amp;V$43&amp;V$1&amp;"P"&amp;$A80)="N/A",0,RTD("tos.rtd",,$A$2,"."&amp;V$43&amp;V$1&amp;"P"&amp;$A80))</f>
        <v>0</v>
      </c>
      <c r="W80" s="91">
        <f ca="1">IF(RTD("tos.rtd",,$A$2,"."&amp;W$43&amp;W$1&amp;"C"&amp;$A80)="N/A",0,RTD("tos.rtd",,$A$2,"."&amp;W$43&amp;W$1&amp;"C"&amp;$A80))-IF(RTD("tos.rtd",,$A$2,"."&amp;W$43&amp;W$1&amp;"P"&amp;$A80)="N/A",0,RTD("tos.rtd",,$A$2,"."&amp;W$43&amp;W$1&amp;"P"&amp;$A80))</f>
        <v>0</v>
      </c>
      <c r="X80" s="91">
        <f ca="1">IF(RTD("tos.rtd",,$A$2,"."&amp;X$43&amp;X$1&amp;"C"&amp;$A80)="N/A",0,RTD("tos.rtd",,$A$2,"."&amp;X$43&amp;X$1&amp;"C"&amp;$A80))-IF(RTD("tos.rtd",,$A$2,"."&amp;X$43&amp;X$1&amp;"P"&amp;$A80)="N/A",0,RTD("tos.rtd",,$A$2,"."&amp;X$43&amp;X$1&amp;"P"&amp;$A80))</f>
        <v>0</v>
      </c>
      <c r="Y80" s="98">
        <f t="shared" ca="1" si="7"/>
        <v>-76</v>
      </c>
    </row>
    <row r="81" spans="1:25" x14ac:dyDescent="0.25">
      <c r="A81" s="93">
        <f>+Hoja1!A80</f>
        <v>0</v>
      </c>
    </row>
    <row r="82" spans="1:25" x14ac:dyDescent="0.25">
      <c r="A82" s="93">
        <f>+Hoja1!A81</f>
        <v>10</v>
      </c>
      <c r="B82" s="92" t="str">
        <f ca="1">+B42</f>
        <v/>
      </c>
      <c r="C82" s="92" t="str">
        <f t="shared" ref="C82:X82" ca="1" si="8">+C42</f>
        <v/>
      </c>
      <c r="D82" s="92" t="str">
        <f t="shared" ca="1" si="8"/>
        <v/>
      </c>
      <c r="E82" s="92" t="str">
        <f t="shared" ca="1" si="8"/>
        <v/>
      </c>
      <c r="F82" s="92" t="str">
        <f t="shared" ca="1" si="8"/>
        <v/>
      </c>
      <c r="G82" s="92" t="str">
        <f t="shared" ca="1" si="8"/>
        <v/>
      </c>
      <c r="H82" s="92" t="str">
        <f t="shared" ca="1" si="8"/>
        <v>250523</v>
      </c>
      <c r="I82" s="92" t="str">
        <f t="shared" ca="1" si="8"/>
        <v>250530</v>
      </c>
      <c r="J82" s="92" t="str">
        <f t="shared" ca="1" si="8"/>
        <v>250606</v>
      </c>
      <c r="K82" s="92" t="str">
        <f t="shared" ca="1" si="8"/>
        <v>250620</v>
      </c>
      <c r="L82" s="92" t="str">
        <f t="shared" ca="1" si="8"/>
        <v>250630</v>
      </c>
      <c r="M82" s="92" t="str">
        <f t="shared" ca="1" si="8"/>
        <v>250718</v>
      </c>
      <c r="N82" s="92" t="str">
        <f t="shared" ca="1" si="8"/>
        <v>250731</v>
      </c>
      <c r="O82" s="92" t="str">
        <f t="shared" ca="1" si="8"/>
        <v>250815</v>
      </c>
      <c r="P82" s="92" t="str">
        <f t="shared" ca="1" si="8"/>
        <v>250829</v>
      </c>
      <c r="Q82" s="92" t="str">
        <f t="shared" ca="1" si="8"/>
        <v>250919</v>
      </c>
      <c r="R82" s="92" t="str">
        <f t="shared" ca="1" si="8"/>
        <v>250930</v>
      </c>
      <c r="S82" s="92" t="str">
        <f t="shared" ca="1" si="8"/>
        <v>251017</v>
      </c>
      <c r="T82" s="92" t="str">
        <f t="shared" ca="1" si="8"/>
        <v>251031</v>
      </c>
      <c r="U82" s="92" t="str">
        <f t="shared" ca="1" si="8"/>
        <v>251121</v>
      </c>
      <c r="V82" s="92" t="str">
        <f t="shared" ca="1" si="8"/>
        <v>251128</v>
      </c>
      <c r="W82" s="92" t="str">
        <f t="shared" ca="1" si="8"/>
        <v>251219</v>
      </c>
      <c r="X82" s="92" t="str">
        <f t="shared" ca="1" si="8"/>
        <v>251231</v>
      </c>
    </row>
    <row r="83" spans="1:25" x14ac:dyDescent="0.25">
      <c r="A83" s="93" t="str">
        <f>+Hoja1!A82</f>
        <v>SPX</v>
      </c>
      <c r="B83" s="92" t="s">
        <v>10</v>
      </c>
      <c r="C83" s="92" t="s">
        <v>10</v>
      </c>
      <c r="D83" s="92" t="s">
        <v>10</v>
      </c>
      <c r="E83" s="92" t="s">
        <v>10</v>
      </c>
      <c r="F83" s="92" t="s">
        <v>10</v>
      </c>
      <c r="G83" s="92" t="s">
        <v>10</v>
      </c>
      <c r="H83" s="92" t="s">
        <v>9</v>
      </c>
      <c r="I83" s="92" t="s">
        <v>10</v>
      </c>
      <c r="J83" s="92" t="s">
        <v>10</v>
      </c>
      <c r="K83" s="92" t="s">
        <v>9</v>
      </c>
      <c r="L83" s="92" t="s">
        <v>10</v>
      </c>
      <c r="M83" s="92" t="s">
        <v>9</v>
      </c>
      <c r="N83" s="92" t="s">
        <v>10</v>
      </c>
      <c r="O83" s="92" t="s">
        <v>9</v>
      </c>
      <c r="P83" s="92" t="s">
        <v>10</v>
      </c>
      <c r="Q83" s="92" t="s">
        <v>9</v>
      </c>
      <c r="R83" s="92" t="s">
        <v>10</v>
      </c>
      <c r="S83" s="92" t="s">
        <v>9</v>
      </c>
      <c r="T83" s="92" t="s">
        <v>10</v>
      </c>
      <c r="U83" s="92" t="s">
        <v>9</v>
      </c>
      <c r="V83" s="92" t="s">
        <v>10</v>
      </c>
      <c r="W83" s="92" t="s">
        <v>9</v>
      </c>
      <c r="X83" s="92" t="s">
        <v>10</v>
      </c>
    </row>
    <row r="84" spans="1:25" x14ac:dyDescent="0.25">
      <c r="A84" s="93" t="str">
        <f>+Hoja1!A83</f>
        <v>SPX</v>
      </c>
      <c r="B84" s="94">
        <f>+B44</f>
        <v>45782</v>
      </c>
      <c r="C84" s="94">
        <f t="shared" ref="C84:X84" si="9">+C44</f>
        <v>45783</v>
      </c>
      <c r="D84" s="94">
        <f t="shared" si="9"/>
        <v>45784</v>
      </c>
      <c r="E84" s="94">
        <f t="shared" si="9"/>
        <v>45785</v>
      </c>
      <c r="F84" s="94">
        <f t="shared" si="9"/>
        <v>45786</v>
      </c>
      <c r="G84" s="94">
        <f t="shared" si="9"/>
        <v>45793</v>
      </c>
      <c r="H84" s="94">
        <f t="shared" si="9"/>
        <v>45800</v>
      </c>
      <c r="I84" s="94">
        <f t="shared" si="9"/>
        <v>45807</v>
      </c>
      <c r="J84" s="94">
        <f t="shared" si="9"/>
        <v>45814</v>
      </c>
      <c r="K84" s="94">
        <f t="shared" si="9"/>
        <v>45828</v>
      </c>
      <c r="L84" s="94">
        <f t="shared" si="9"/>
        <v>45838</v>
      </c>
      <c r="M84" s="94">
        <f t="shared" si="9"/>
        <v>45856</v>
      </c>
      <c r="N84" s="94">
        <f t="shared" si="9"/>
        <v>45869</v>
      </c>
      <c r="O84" s="94">
        <f t="shared" si="9"/>
        <v>45884</v>
      </c>
      <c r="P84" s="94">
        <f t="shared" si="9"/>
        <v>45898</v>
      </c>
      <c r="Q84" s="94">
        <f t="shared" si="9"/>
        <v>45919</v>
      </c>
      <c r="R84" s="94">
        <f t="shared" si="9"/>
        <v>45930</v>
      </c>
      <c r="S84" s="94">
        <f t="shared" si="9"/>
        <v>45947</v>
      </c>
      <c r="T84" s="94">
        <f t="shared" si="9"/>
        <v>45961</v>
      </c>
      <c r="U84" s="94">
        <f t="shared" si="9"/>
        <v>45982</v>
      </c>
      <c r="V84" s="94">
        <f t="shared" si="9"/>
        <v>45989</v>
      </c>
      <c r="W84" s="94">
        <f t="shared" si="9"/>
        <v>46010</v>
      </c>
      <c r="X84" s="94">
        <f t="shared" si="9"/>
        <v>46022</v>
      </c>
    </row>
    <row r="85" spans="1:25" x14ac:dyDescent="0.25">
      <c r="A85" s="93">
        <f>+Hoja1!A84</f>
        <v>5631.28</v>
      </c>
      <c r="B85" s="92"/>
    </row>
    <row r="86" spans="1:25" x14ac:dyDescent="0.25">
      <c r="A86" s="93">
        <f>+Hoja1!A85</f>
        <v>5870</v>
      </c>
      <c r="B86" s="91">
        <f ca="1">IF(RTD("tos.rtd",,$A$2,"."&amp;B$83&amp;B$1&amp;"C"&amp;$A86)="N/A",0,RTD("tos.rtd",,$A$2,"."&amp;B$83&amp;B$1&amp;"C"&amp;$A86))-IF(RTD("tos.rtd",,$A$2,"."&amp;B$83&amp;B$1&amp;"P"&amp;$A86)="N/A",0,RTD("tos.rtd",,$A$2,"."&amp;B$83&amp;B$1&amp;"P"&amp;$A86))</f>
        <v>0</v>
      </c>
      <c r="C86" s="91">
        <f ca="1">IF(RTD("tos.rtd",,$A$2,"."&amp;C$83&amp;C$1&amp;"C"&amp;$A86)="N/A",0,RTD("tos.rtd",,$A$2,"."&amp;C$83&amp;C$1&amp;"C"&amp;$A86))-IF(RTD("tos.rtd",,$A$2,"."&amp;C$83&amp;C$1&amp;"P"&amp;$A86)="N/A",0,RTD("tos.rtd",,$A$2,"."&amp;C$83&amp;C$1&amp;"P"&amp;$A86))</f>
        <v>0</v>
      </c>
      <c r="D86" s="91">
        <f ca="1">IF(RTD("tos.rtd",,$A$2,"."&amp;D$83&amp;D$1&amp;"C"&amp;$A86)="N/A",0,RTD("tos.rtd",,$A$2,"."&amp;D$83&amp;D$1&amp;"C"&amp;$A86))-IF(RTD("tos.rtd",,$A$2,"."&amp;D$83&amp;D$1&amp;"P"&amp;$A86)="N/A",0,RTD("tos.rtd",,$A$2,"."&amp;D$83&amp;D$1&amp;"P"&amp;$A86))</f>
        <v>0</v>
      </c>
      <c r="E86" s="91">
        <f ca="1">IF(RTD("tos.rtd",,$A$2,"."&amp;E$83&amp;E$1&amp;"C"&amp;$A86)="N/A",0,RTD("tos.rtd",,$A$2,"."&amp;E$83&amp;E$1&amp;"C"&amp;$A86))-IF(RTD("tos.rtd",,$A$2,"."&amp;E$83&amp;E$1&amp;"P"&amp;$A86)="N/A",0,RTD("tos.rtd",,$A$2,"."&amp;E$83&amp;E$1&amp;"P"&amp;$A86))</f>
        <v>0</v>
      </c>
      <c r="F86" s="91">
        <f ca="1">IF(RTD("tos.rtd",,$A$2,"."&amp;F$83&amp;F$1&amp;"C"&amp;$A86)="N/A",0,RTD("tos.rtd",,$A$2,"."&amp;F$83&amp;F$1&amp;"C"&amp;$A86))-IF(RTD("tos.rtd",,$A$2,"."&amp;F$83&amp;F$1&amp;"P"&amp;$A86)="N/A",0,RTD("tos.rtd",,$A$2,"."&amp;F$83&amp;F$1&amp;"P"&amp;$A86))</f>
        <v>0</v>
      </c>
      <c r="G86" s="91">
        <f ca="1">IF(RTD("tos.rtd",,$A$2,"."&amp;G$83&amp;G$1&amp;"C"&amp;$A86)="N/A",0,RTD("tos.rtd",,$A$2,"."&amp;G$83&amp;G$1&amp;"C"&amp;$A86))-IF(RTD("tos.rtd",,$A$2,"."&amp;G$83&amp;G$1&amp;"P"&amp;$A86)="N/A",0,RTD("tos.rtd",,$A$2,"."&amp;G$83&amp;G$1&amp;"P"&amp;$A86))</f>
        <v>0</v>
      </c>
      <c r="H86" s="91">
        <f ca="1">IF(RTD("tos.rtd",,$A$2,"."&amp;H$83&amp;H$1&amp;"C"&amp;$A86)="N/A",0,RTD("tos.rtd",,$A$2,"."&amp;H$83&amp;H$1&amp;"C"&amp;$A86))-IF(RTD("tos.rtd",,$A$2,"."&amp;H$83&amp;H$1&amp;"P"&amp;$A86)="N/A",0,RTD("tos.rtd",,$A$2,"."&amp;H$83&amp;H$1&amp;"P"&amp;$A86))</f>
        <v>0</v>
      </c>
      <c r="I86" s="91">
        <f ca="1">IF(RTD("tos.rtd",,$A$2,"."&amp;I$83&amp;I$1&amp;"C"&amp;$A86)="N/A",0,RTD("tos.rtd",,$A$2,"."&amp;I$83&amp;I$1&amp;"C"&amp;$A86))-IF(RTD("tos.rtd",,$A$2,"."&amp;I$83&amp;I$1&amp;"P"&amp;$A86)="N/A",0,RTD("tos.rtd",,$A$2,"."&amp;I$83&amp;I$1&amp;"P"&amp;$A86))</f>
        <v>0</v>
      </c>
      <c r="J86" s="91">
        <f ca="1">IF(RTD("tos.rtd",,$A$2,"."&amp;J$83&amp;J$1&amp;"C"&amp;$A86)="N/A",0,RTD("tos.rtd",,$A$2,"."&amp;J$83&amp;J$1&amp;"C"&amp;$A86))-IF(RTD("tos.rtd",,$A$2,"."&amp;J$83&amp;J$1&amp;"P"&amp;$A86)="N/A",0,RTD("tos.rtd",,$A$2,"."&amp;J$83&amp;J$1&amp;"P"&amp;$A86))</f>
        <v>0</v>
      </c>
      <c r="K86" s="91">
        <f ca="1">IF(RTD("tos.rtd",,$A$2,"."&amp;K$83&amp;K$1&amp;"C"&amp;$A86)="N/A",0,RTD("tos.rtd",,$A$2,"."&amp;K$83&amp;K$1&amp;"C"&amp;$A86))-IF(RTD("tos.rtd",,$A$2,"."&amp;K$83&amp;K$1&amp;"P"&amp;$A86)="N/A",0,RTD("tos.rtd",,$A$2,"."&amp;K$83&amp;K$1&amp;"P"&amp;$A86))</f>
        <v>0</v>
      </c>
      <c r="L86" s="91">
        <f ca="1">IF(RTD("tos.rtd",,$A$2,"."&amp;L$83&amp;L$1&amp;"C"&amp;$A86)="N/A",0,RTD("tos.rtd",,$A$2,"."&amp;L$83&amp;L$1&amp;"C"&amp;$A86))-IF(RTD("tos.rtd",,$A$2,"."&amp;L$83&amp;L$1&amp;"P"&amp;$A86)="N/A",0,RTD("tos.rtd",,$A$2,"."&amp;L$83&amp;L$1&amp;"P"&amp;$A86))</f>
        <v>0</v>
      </c>
      <c r="M86" s="91">
        <f ca="1">IF(RTD("tos.rtd",,$A$2,"."&amp;M$83&amp;M$1&amp;"C"&amp;$A86)="N/A",0,RTD("tos.rtd",,$A$2,"."&amp;M$83&amp;M$1&amp;"C"&amp;$A86))-IF(RTD("tos.rtd",,$A$2,"."&amp;M$83&amp;M$1&amp;"P"&amp;$A86)="N/A",0,RTD("tos.rtd",,$A$2,"."&amp;M$83&amp;M$1&amp;"P"&amp;$A86))</f>
        <v>0</v>
      </c>
      <c r="N86" s="91">
        <f ca="1">IF(RTD("tos.rtd",,$A$2,"."&amp;N$83&amp;N$1&amp;"C"&amp;$A86)="N/A",0,RTD("tos.rtd",,$A$2,"."&amp;N$83&amp;N$1&amp;"C"&amp;$A86))-IF(RTD("tos.rtd",,$A$2,"."&amp;N$83&amp;N$1&amp;"P"&amp;$A86)="N/A",0,RTD("tos.rtd",,$A$2,"."&amp;N$83&amp;N$1&amp;"P"&amp;$A86))</f>
        <v>0</v>
      </c>
      <c r="O86" s="91">
        <f ca="1">IF(RTD("tos.rtd",,$A$2,"."&amp;O$83&amp;O$1&amp;"C"&amp;$A86)="N/A",0,RTD("tos.rtd",,$A$2,"."&amp;O$83&amp;O$1&amp;"C"&amp;$A86))-IF(RTD("tos.rtd",,$A$2,"."&amp;O$83&amp;O$1&amp;"P"&amp;$A86)="N/A",0,RTD("tos.rtd",,$A$2,"."&amp;O$83&amp;O$1&amp;"P"&amp;$A86))</f>
        <v>0</v>
      </c>
      <c r="P86" s="91">
        <f ca="1">IF(RTD("tos.rtd",,$A$2,"."&amp;P$83&amp;P$1&amp;"C"&amp;$A86)="N/A",0,RTD("tos.rtd",,$A$2,"."&amp;P$83&amp;P$1&amp;"C"&amp;$A86))-IF(RTD("tos.rtd",,$A$2,"."&amp;P$83&amp;P$1&amp;"P"&amp;$A86)="N/A",0,RTD("tos.rtd",,$A$2,"."&amp;P$83&amp;P$1&amp;"P"&amp;$A86))</f>
        <v>0</v>
      </c>
      <c r="Q86" s="91">
        <f ca="1">IF(RTD("tos.rtd",,$A$2,"."&amp;Q$83&amp;Q$1&amp;"C"&amp;$A86)="N/A",0,RTD("tos.rtd",,$A$2,"."&amp;Q$83&amp;Q$1&amp;"C"&amp;$A86))-IF(RTD("tos.rtd",,$A$2,"."&amp;Q$83&amp;Q$1&amp;"P"&amp;$A86)="N/A",0,RTD("tos.rtd",,$A$2,"."&amp;Q$83&amp;Q$1&amp;"P"&amp;$A86))</f>
        <v>0</v>
      </c>
      <c r="R86" s="91">
        <f ca="1">IF(RTD("tos.rtd",,$A$2,"."&amp;R$83&amp;R$1&amp;"C"&amp;$A86)="N/A",0,RTD("tos.rtd",,$A$2,"."&amp;R$83&amp;R$1&amp;"C"&amp;$A86))-IF(RTD("tos.rtd",,$A$2,"."&amp;R$83&amp;R$1&amp;"P"&amp;$A86)="N/A",0,RTD("tos.rtd",,$A$2,"."&amp;R$83&amp;R$1&amp;"P"&amp;$A86))</f>
        <v>0</v>
      </c>
      <c r="S86" s="91">
        <f ca="1">IF(RTD("tos.rtd",,$A$2,"."&amp;S$83&amp;S$1&amp;"C"&amp;$A86)="N/A",0,RTD("tos.rtd",,$A$2,"."&amp;S$83&amp;S$1&amp;"C"&amp;$A86))-IF(RTD("tos.rtd",,$A$2,"."&amp;S$83&amp;S$1&amp;"P"&amp;$A86)="N/A",0,RTD("tos.rtd",,$A$2,"."&amp;S$83&amp;S$1&amp;"P"&amp;$A86))</f>
        <v>0</v>
      </c>
      <c r="T86" s="91">
        <f ca="1">IF(RTD("tos.rtd",,$A$2,"."&amp;T$83&amp;T$1&amp;"C"&amp;$A86)="N/A",0,RTD("tos.rtd",,$A$2,"."&amp;T$83&amp;T$1&amp;"C"&amp;$A86))-IF(RTD("tos.rtd",,$A$2,"."&amp;T$83&amp;T$1&amp;"P"&amp;$A86)="N/A",0,RTD("tos.rtd",,$A$2,"."&amp;T$83&amp;T$1&amp;"P"&amp;$A86))</f>
        <v>0</v>
      </c>
      <c r="U86" s="91">
        <f ca="1">IF(RTD("tos.rtd",,$A$2,"."&amp;U$83&amp;U$1&amp;"C"&amp;$A86)="N/A",0,RTD("tos.rtd",,$A$2,"."&amp;U$83&amp;U$1&amp;"C"&amp;$A86))-IF(RTD("tos.rtd",,$A$2,"."&amp;U$83&amp;U$1&amp;"P"&amp;$A86)="N/A",0,RTD("tos.rtd",,$A$2,"."&amp;U$83&amp;U$1&amp;"P"&amp;$A86))</f>
        <v>0</v>
      </c>
      <c r="V86" s="91">
        <f ca="1">IF(RTD("tos.rtd",,$A$2,"."&amp;V$83&amp;V$1&amp;"C"&amp;$A86)="N/A",0,RTD("tos.rtd",,$A$2,"."&amp;V$83&amp;V$1&amp;"C"&amp;$A86))-IF(RTD("tos.rtd",,$A$2,"."&amp;V$83&amp;V$1&amp;"P"&amp;$A86)="N/A",0,RTD("tos.rtd",,$A$2,"."&amp;V$83&amp;V$1&amp;"P"&amp;$A86))</f>
        <v>0</v>
      </c>
      <c r="W86" s="91">
        <f ca="1">IF(RTD("tos.rtd",,$A$2,"."&amp;W$83&amp;W$1&amp;"C"&amp;$A86)="N/A",0,RTD("tos.rtd",,$A$2,"."&amp;W$83&amp;W$1&amp;"C"&amp;$A86))-IF(RTD("tos.rtd",,$A$2,"."&amp;W$83&amp;W$1&amp;"P"&amp;$A86)="N/A",0,RTD("tos.rtd",,$A$2,"."&amp;W$83&amp;W$1&amp;"P"&amp;$A86))</f>
        <v>0</v>
      </c>
      <c r="X86" s="91">
        <f ca="1">IF(RTD("tos.rtd",,$A$2,"."&amp;X$83&amp;X$1&amp;"C"&amp;$A86)="N/A",0,RTD("tos.rtd",,$A$2,"."&amp;X$83&amp;X$1&amp;"C"&amp;$A86))-IF(RTD("tos.rtd",,$A$2,"."&amp;X$83&amp;X$1&amp;"P"&amp;$A86)="N/A",0,RTD("tos.rtd",,$A$2,"."&amp;X$83&amp;X$1&amp;"P"&amp;$A86))</f>
        <v>0</v>
      </c>
      <c r="Y86" s="98">
        <f ca="1">SUM(B86:X86)</f>
        <v>0</v>
      </c>
    </row>
    <row r="87" spans="1:25" x14ac:dyDescent="0.25">
      <c r="A87" s="93">
        <f>+Hoja1!A86</f>
        <v>5860</v>
      </c>
      <c r="B87" s="91">
        <f ca="1">IF(RTD("tos.rtd",,$A$2,"."&amp;B$83&amp;B$1&amp;"C"&amp;$A87)="N/A",0,RTD("tos.rtd",,$A$2,"."&amp;B$83&amp;B$1&amp;"C"&amp;$A87))-IF(RTD("tos.rtd",,$A$2,"."&amp;B$83&amp;B$1&amp;"P"&amp;$A87)="N/A",0,RTD("tos.rtd",,$A$2,"."&amp;B$83&amp;B$1&amp;"P"&amp;$A87))</f>
        <v>0</v>
      </c>
      <c r="C87" s="91">
        <f ca="1">IF(RTD("tos.rtd",,$A$2,"."&amp;C$83&amp;C$1&amp;"C"&amp;$A87)="N/A",0,RTD("tos.rtd",,$A$2,"."&amp;C$83&amp;C$1&amp;"C"&amp;$A87))-IF(RTD("tos.rtd",,$A$2,"."&amp;C$83&amp;C$1&amp;"P"&amp;$A87)="N/A",0,RTD("tos.rtd",,$A$2,"."&amp;C$83&amp;C$1&amp;"P"&amp;$A87))</f>
        <v>0</v>
      </c>
      <c r="D87" s="91">
        <f ca="1">IF(RTD("tos.rtd",,$A$2,"."&amp;D$83&amp;D$1&amp;"C"&amp;$A87)="N/A",0,RTD("tos.rtd",,$A$2,"."&amp;D$83&amp;D$1&amp;"C"&amp;$A87))-IF(RTD("tos.rtd",,$A$2,"."&amp;D$83&amp;D$1&amp;"P"&amp;$A87)="N/A",0,RTD("tos.rtd",,$A$2,"."&amp;D$83&amp;D$1&amp;"P"&amp;$A87))</f>
        <v>0</v>
      </c>
      <c r="E87" s="91">
        <f ca="1">IF(RTD("tos.rtd",,$A$2,"."&amp;E$83&amp;E$1&amp;"C"&amp;$A87)="N/A",0,RTD("tos.rtd",,$A$2,"."&amp;E$83&amp;E$1&amp;"C"&amp;$A87))-IF(RTD("tos.rtd",,$A$2,"."&amp;E$83&amp;E$1&amp;"P"&amp;$A87)="N/A",0,RTD("tos.rtd",,$A$2,"."&amp;E$83&amp;E$1&amp;"P"&amp;$A87))</f>
        <v>0</v>
      </c>
      <c r="F87" s="91">
        <f ca="1">IF(RTD("tos.rtd",,$A$2,"."&amp;F$83&amp;F$1&amp;"C"&amp;$A87)="N/A",0,RTD("tos.rtd",,$A$2,"."&amp;F$83&amp;F$1&amp;"C"&amp;$A87))-IF(RTD("tos.rtd",,$A$2,"."&amp;F$83&amp;F$1&amp;"P"&amp;$A87)="N/A",0,RTD("tos.rtd",,$A$2,"."&amp;F$83&amp;F$1&amp;"P"&amp;$A87))</f>
        <v>0</v>
      </c>
      <c r="G87" s="91">
        <f ca="1">IF(RTD("tos.rtd",,$A$2,"."&amp;G$83&amp;G$1&amp;"C"&amp;$A87)="N/A",0,RTD("tos.rtd",,$A$2,"."&amp;G$83&amp;G$1&amp;"C"&amp;$A87))-IF(RTD("tos.rtd",,$A$2,"."&amp;G$83&amp;G$1&amp;"P"&amp;$A87)="N/A",0,RTD("tos.rtd",,$A$2,"."&amp;G$83&amp;G$1&amp;"P"&amp;$A87))</f>
        <v>0</v>
      </c>
      <c r="H87" s="91">
        <f ca="1">IF(RTD("tos.rtd",,$A$2,"."&amp;H$83&amp;H$1&amp;"C"&amp;$A87)="N/A",0,RTD("tos.rtd",,$A$2,"."&amp;H$83&amp;H$1&amp;"C"&amp;$A87))-IF(RTD("tos.rtd",,$A$2,"."&amp;H$83&amp;H$1&amp;"P"&amp;$A87)="N/A",0,RTD("tos.rtd",,$A$2,"."&amp;H$83&amp;H$1&amp;"P"&amp;$A87))</f>
        <v>0</v>
      </c>
      <c r="I87" s="91">
        <f ca="1">IF(RTD("tos.rtd",,$A$2,"."&amp;I$83&amp;I$1&amp;"C"&amp;$A87)="N/A",0,RTD("tos.rtd",,$A$2,"."&amp;I$83&amp;I$1&amp;"C"&amp;$A87))-IF(RTD("tos.rtd",,$A$2,"."&amp;I$83&amp;I$1&amp;"P"&amp;$A87)="N/A",0,RTD("tos.rtd",,$A$2,"."&amp;I$83&amp;I$1&amp;"P"&amp;$A87))</f>
        <v>0</v>
      </c>
      <c r="J87" s="91">
        <f ca="1">IF(RTD("tos.rtd",,$A$2,"."&amp;J$83&amp;J$1&amp;"C"&amp;$A87)="N/A",0,RTD("tos.rtd",,$A$2,"."&amp;J$83&amp;J$1&amp;"C"&amp;$A87))-IF(RTD("tos.rtd",,$A$2,"."&amp;J$83&amp;J$1&amp;"P"&amp;$A87)="N/A",0,RTD("tos.rtd",,$A$2,"."&amp;J$83&amp;J$1&amp;"P"&amp;$A87))</f>
        <v>0</v>
      </c>
      <c r="K87" s="91">
        <f ca="1">IF(RTD("tos.rtd",,$A$2,"."&amp;K$83&amp;K$1&amp;"C"&amp;$A87)="N/A",0,RTD("tos.rtd",,$A$2,"."&amp;K$83&amp;K$1&amp;"C"&amp;$A87))-IF(RTD("tos.rtd",,$A$2,"."&amp;K$83&amp;K$1&amp;"P"&amp;$A87)="N/A",0,RTD("tos.rtd",,$A$2,"."&amp;K$83&amp;K$1&amp;"P"&amp;$A87))</f>
        <v>0</v>
      </c>
      <c r="L87" s="91">
        <f ca="1">IF(RTD("tos.rtd",,$A$2,"."&amp;L$83&amp;L$1&amp;"C"&amp;$A87)="N/A",0,RTD("tos.rtd",,$A$2,"."&amp;L$83&amp;L$1&amp;"C"&amp;$A87))-IF(RTD("tos.rtd",,$A$2,"."&amp;L$83&amp;L$1&amp;"P"&amp;$A87)="N/A",0,RTD("tos.rtd",,$A$2,"."&amp;L$83&amp;L$1&amp;"P"&amp;$A87))</f>
        <v>0</v>
      </c>
      <c r="M87" s="91">
        <f ca="1">IF(RTD("tos.rtd",,$A$2,"."&amp;M$83&amp;M$1&amp;"C"&amp;$A87)="N/A",0,RTD("tos.rtd",,$A$2,"."&amp;M$83&amp;M$1&amp;"C"&amp;$A87))-IF(RTD("tos.rtd",,$A$2,"."&amp;M$83&amp;M$1&amp;"P"&amp;$A87)="N/A",0,RTD("tos.rtd",,$A$2,"."&amp;M$83&amp;M$1&amp;"P"&amp;$A87))</f>
        <v>0</v>
      </c>
      <c r="N87" s="91">
        <f ca="1">IF(RTD("tos.rtd",,$A$2,"."&amp;N$83&amp;N$1&amp;"C"&amp;$A87)="N/A",0,RTD("tos.rtd",,$A$2,"."&amp;N$83&amp;N$1&amp;"C"&amp;$A87))-IF(RTD("tos.rtd",,$A$2,"."&amp;N$83&amp;N$1&amp;"P"&amp;$A87)="N/A",0,RTD("tos.rtd",,$A$2,"."&amp;N$83&amp;N$1&amp;"P"&amp;$A87))</f>
        <v>0</v>
      </c>
      <c r="O87" s="91">
        <f ca="1">IF(RTD("tos.rtd",,$A$2,"."&amp;O$83&amp;O$1&amp;"C"&amp;$A87)="N/A",0,RTD("tos.rtd",,$A$2,"."&amp;O$83&amp;O$1&amp;"C"&amp;$A87))-IF(RTD("tos.rtd",,$A$2,"."&amp;O$83&amp;O$1&amp;"P"&amp;$A87)="N/A",0,RTD("tos.rtd",,$A$2,"."&amp;O$83&amp;O$1&amp;"P"&amp;$A87))</f>
        <v>0</v>
      </c>
      <c r="P87" s="91">
        <f ca="1">IF(RTD("tos.rtd",,$A$2,"."&amp;P$83&amp;P$1&amp;"C"&amp;$A87)="N/A",0,RTD("tos.rtd",,$A$2,"."&amp;P$83&amp;P$1&amp;"C"&amp;$A87))-IF(RTD("tos.rtd",,$A$2,"."&amp;P$83&amp;P$1&amp;"P"&amp;$A87)="N/A",0,RTD("tos.rtd",,$A$2,"."&amp;P$83&amp;P$1&amp;"P"&amp;$A87))</f>
        <v>0</v>
      </c>
      <c r="Q87" s="91">
        <f ca="1">IF(RTD("tos.rtd",,$A$2,"."&amp;Q$83&amp;Q$1&amp;"C"&amp;$A87)="N/A",0,RTD("tos.rtd",,$A$2,"."&amp;Q$83&amp;Q$1&amp;"C"&amp;$A87))-IF(RTD("tos.rtd",,$A$2,"."&amp;Q$83&amp;Q$1&amp;"P"&amp;$A87)="N/A",0,RTD("tos.rtd",,$A$2,"."&amp;Q$83&amp;Q$1&amp;"P"&amp;$A87))</f>
        <v>0</v>
      </c>
      <c r="R87" s="91">
        <f ca="1">IF(RTD("tos.rtd",,$A$2,"."&amp;R$83&amp;R$1&amp;"C"&amp;$A87)="N/A",0,RTD("tos.rtd",,$A$2,"."&amp;R$83&amp;R$1&amp;"C"&amp;$A87))-IF(RTD("tos.rtd",,$A$2,"."&amp;R$83&amp;R$1&amp;"P"&amp;$A87)="N/A",0,RTD("tos.rtd",,$A$2,"."&amp;R$83&amp;R$1&amp;"P"&amp;$A87))</f>
        <v>0</v>
      </c>
      <c r="S87" s="91">
        <f ca="1">IF(RTD("tos.rtd",,$A$2,"."&amp;S$83&amp;S$1&amp;"C"&amp;$A87)="N/A",0,RTD("tos.rtd",,$A$2,"."&amp;S$83&amp;S$1&amp;"C"&amp;$A87))-IF(RTD("tos.rtd",,$A$2,"."&amp;S$83&amp;S$1&amp;"P"&amp;$A87)="N/A",0,RTD("tos.rtd",,$A$2,"."&amp;S$83&amp;S$1&amp;"P"&amp;$A87))</f>
        <v>0</v>
      </c>
      <c r="T87" s="91">
        <f ca="1">IF(RTD("tos.rtd",,$A$2,"."&amp;T$83&amp;T$1&amp;"C"&amp;$A87)="N/A",0,RTD("tos.rtd",,$A$2,"."&amp;T$83&amp;T$1&amp;"C"&amp;$A87))-IF(RTD("tos.rtd",,$A$2,"."&amp;T$83&amp;T$1&amp;"P"&amp;$A87)="N/A",0,RTD("tos.rtd",,$A$2,"."&amp;T$83&amp;T$1&amp;"P"&amp;$A87))</f>
        <v>0</v>
      </c>
      <c r="U87" s="91">
        <f ca="1">IF(RTD("tos.rtd",,$A$2,"."&amp;U$83&amp;U$1&amp;"C"&amp;$A87)="N/A",0,RTD("tos.rtd",,$A$2,"."&amp;U$83&amp;U$1&amp;"C"&amp;$A87))-IF(RTD("tos.rtd",,$A$2,"."&amp;U$83&amp;U$1&amp;"P"&amp;$A87)="N/A",0,RTD("tos.rtd",,$A$2,"."&amp;U$83&amp;U$1&amp;"P"&amp;$A87))</f>
        <v>0</v>
      </c>
      <c r="V87" s="91">
        <f ca="1">IF(RTD("tos.rtd",,$A$2,"."&amp;V$83&amp;V$1&amp;"C"&amp;$A87)="N/A",0,RTD("tos.rtd",,$A$2,"."&amp;V$83&amp;V$1&amp;"C"&amp;$A87))-IF(RTD("tos.rtd",,$A$2,"."&amp;V$83&amp;V$1&amp;"P"&amp;$A87)="N/A",0,RTD("tos.rtd",,$A$2,"."&amp;V$83&amp;V$1&amp;"P"&amp;$A87))</f>
        <v>0</v>
      </c>
      <c r="W87" s="91">
        <f ca="1">IF(RTD("tos.rtd",,$A$2,"."&amp;W$83&amp;W$1&amp;"C"&amp;$A87)="N/A",0,RTD("tos.rtd",,$A$2,"."&amp;W$83&amp;W$1&amp;"C"&amp;$A87))-IF(RTD("tos.rtd",,$A$2,"."&amp;W$83&amp;W$1&amp;"P"&amp;$A87)="N/A",0,RTD("tos.rtd",,$A$2,"."&amp;W$83&amp;W$1&amp;"P"&amp;$A87))</f>
        <v>0</v>
      </c>
      <c r="X87" s="91">
        <f ca="1">IF(RTD("tos.rtd",,$A$2,"."&amp;X$83&amp;X$1&amp;"C"&amp;$A87)="N/A",0,RTD("tos.rtd",,$A$2,"."&amp;X$83&amp;X$1&amp;"C"&amp;$A87))-IF(RTD("tos.rtd",,$A$2,"."&amp;X$83&amp;X$1&amp;"P"&amp;$A87)="N/A",0,RTD("tos.rtd",,$A$2,"."&amp;X$83&amp;X$1&amp;"P"&amp;$A87))</f>
        <v>0</v>
      </c>
      <c r="Y87" s="98">
        <f t="shared" ref="Y87:Y131" ca="1" si="10">SUM(B87:X87)</f>
        <v>0</v>
      </c>
    </row>
    <row r="88" spans="1:25" x14ac:dyDescent="0.25">
      <c r="A88" s="93">
        <f>+Hoja1!A87</f>
        <v>5850</v>
      </c>
      <c r="B88" s="91">
        <f ca="1">IF(RTD("tos.rtd",,$A$2,"."&amp;B$83&amp;B$1&amp;"C"&amp;$A88)="N/A",0,RTD("tos.rtd",,$A$2,"."&amp;B$83&amp;B$1&amp;"C"&amp;$A88))-IF(RTD("tos.rtd",,$A$2,"."&amp;B$83&amp;B$1&amp;"P"&amp;$A88)="N/A",0,RTD("tos.rtd",,$A$2,"."&amp;B$83&amp;B$1&amp;"P"&amp;$A88))</f>
        <v>0</v>
      </c>
      <c r="C88" s="91">
        <f ca="1">IF(RTD("tos.rtd",,$A$2,"."&amp;C$83&amp;C$1&amp;"C"&amp;$A88)="N/A",0,RTD("tos.rtd",,$A$2,"."&amp;C$83&amp;C$1&amp;"C"&amp;$A88))-IF(RTD("tos.rtd",,$A$2,"."&amp;C$83&amp;C$1&amp;"P"&amp;$A88)="N/A",0,RTD("tos.rtd",,$A$2,"."&amp;C$83&amp;C$1&amp;"P"&amp;$A88))</f>
        <v>0</v>
      </c>
      <c r="D88" s="91">
        <f ca="1">IF(RTD("tos.rtd",,$A$2,"."&amp;D$83&amp;D$1&amp;"C"&amp;$A88)="N/A",0,RTD("tos.rtd",,$A$2,"."&amp;D$83&amp;D$1&amp;"C"&amp;$A88))-IF(RTD("tos.rtd",,$A$2,"."&amp;D$83&amp;D$1&amp;"P"&amp;$A88)="N/A",0,RTD("tos.rtd",,$A$2,"."&amp;D$83&amp;D$1&amp;"P"&amp;$A88))</f>
        <v>0</v>
      </c>
      <c r="E88" s="91">
        <f ca="1">IF(RTD("tos.rtd",,$A$2,"."&amp;E$83&amp;E$1&amp;"C"&amp;$A88)="N/A",0,RTD("tos.rtd",,$A$2,"."&amp;E$83&amp;E$1&amp;"C"&amp;$A88))-IF(RTD("tos.rtd",,$A$2,"."&amp;E$83&amp;E$1&amp;"P"&amp;$A88)="N/A",0,RTD("tos.rtd",,$A$2,"."&amp;E$83&amp;E$1&amp;"P"&amp;$A88))</f>
        <v>0</v>
      </c>
      <c r="F88" s="91">
        <f ca="1">IF(RTD("tos.rtd",,$A$2,"."&amp;F$83&amp;F$1&amp;"C"&amp;$A88)="N/A",0,RTD("tos.rtd",,$A$2,"."&amp;F$83&amp;F$1&amp;"C"&amp;$A88))-IF(RTD("tos.rtd",,$A$2,"."&amp;F$83&amp;F$1&amp;"P"&amp;$A88)="N/A",0,RTD("tos.rtd",,$A$2,"."&amp;F$83&amp;F$1&amp;"P"&amp;$A88))</f>
        <v>0</v>
      </c>
      <c r="G88" s="91">
        <f ca="1">IF(RTD("tos.rtd",,$A$2,"."&amp;G$83&amp;G$1&amp;"C"&amp;$A88)="N/A",0,RTD("tos.rtd",,$A$2,"."&amp;G$83&amp;G$1&amp;"C"&amp;$A88))-IF(RTD("tos.rtd",,$A$2,"."&amp;G$83&amp;G$1&amp;"P"&amp;$A88)="N/A",0,RTD("tos.rtd",,$A$2,"."&amp;G$83&amp;G$1&amp;"P"&amp;$A88))</f>
        <v>0</v>
      </c>
      <c r="H88" s="91">
        <f ca="1">IF(RTD("tos.rtd",,$A$2,"."&amp;H$83&amp;H$1&amp;"C"&amp;$A88)="N/A",0,RTD("tos.rtd",,$A$2,"."&amp;H$83&amp;H$1&amp;"C"&amp;$A88))-IF(RTD("tos.rtd",,$A$2,"."&amp;H$83&amp;H$1&amp;"P"&amp;$A88)="N/A",0,RTD("tos.rtd",,$A$2,"."&amp;H$83&amp;H$1&amp;"P"&amp;$A88))</f>
        <v>0</v>
      </c>
      <c r="I88" s="91">
        <f ca="1">IF(RTD("tos.rtd",,$A$2,"."&amp;I$83&amp;I$1&amp;"C"&amp;$A88)="N/A",0,RTD("tos.rtd",,$A$2,"."&amp;I$83&amp;I$1&amp;"C"&amp;$A88))-IF(RTD("tos.rtd",,$A$2,"."&amp;I$83&amp;I$1&amp;"P"&amp;$A88)="N/A",0,RTD("tos.rtd",,$A$2,"."&amp;I$83&amp;I$1&amp;"P"&amp;$A88))</f>
        <v>0</v>
      </c>
      <c r="J88" s="91">
        <f ca="1">IF(RTD("tos.rtd",,$A$2,"."&amp;J$83&amp;J$1&amp;"C"&amp;$A88)="N/A",0,RTD("tos.rtd",,$A$2,"."&amp;J$83&amp;J$1&amp;"C"&amp;$A88))-IF(RTD("tos.rtd",,$A$2,"."&amp;J$83&amp;J$1&amp;"P"&amp;$A88)="N/A",0,RTD("tos.rtd",,$A$2,"."&amp;J$83&amp;J$1&amp;"P"&amp;$A88))</f>
        <v>0</v>
      </c>
      <c r="K88" s="91">
        <f ca="1">IF(RTD("tos.rtd",,$A$2,"."&amp;K$83&amp;K$1&amp;"C"&amp;$A88)="N/A",0,RTD("tos.rtd",,$A$2,"."&amp;K$83&amp;K$1&amp;"C"&amp;$A88))-IF(RTD("tos.rtd",,$A$2,"."&amp;K$83&amp;K$1&amp;"P"&amp;$A88)="N/A",0,RTD("tos.rtd",,$A$2,"."&amp;K$83&amp;K$1&amp;"P"&amp;$A88))</f>
        <v>0</v>
      </c>
      <c r="L88" s="91">
        <f ca="1">IF(RTD("tos.rtd",,$A$2,"."&amp;L$83&amp;L$1&amp;"C"&amp;$A88)="N/A",0,RTD("tos.rtd",,$A$2,"."&amp;L$83&amp;L$1&amp;"C"&amp;$A88))-IF(RTD("tos.rtd",,$A$2,"."&amp;L$83&amp;L$1&amp;"P"&amp;$A88)="N/A",0,RTD("tos.rtd",,$A$2,"."&amp;L$83&amp;L$1&amp;"P"&amp;$A88))</f>
        <v>0</v>
      </c>
      <c r="M88" s="91">
        <f ca="1">IF(RTD("tos.rtd",,$A$2,"."&amp;M$83&amp;M$1&amp;"C"&amp;$A88)="N/A",0,RTD("tos.rtd",,$A$2,"."&amp;M$83&amp;M$1&amp;"C"&amp;$A88))-IF(RTD("tos.rtd",,$A$2,"."&amp;M$83&amp;M$1&amp;"P"&amp;$A88)="N/A",0,RTD("tos.rtd",,$A$2,"."&amp;M$83&amp;M$1&amp;"P"&amp;$A88))</f>
        <v>0</v>
      </c>
      <c r="N88" s="91">
        <f ca="1">IF(RTD("tos.rtd",,$A$2,"."&amp;N$83&amp;N$1&amp;"C"&amp;$A88)="N/A",0,RTD("tos.rtd",,$A$2,"."&amp;N$83&amp;N$1&amp;"C"&amp;$A88))-IF(RTD("tos.rtd",,$A$2,"."&amp;N$83&amp;N$1&amp;"P"&amp;$A88)="N/A",0,RTD("tos.rtd",,$A$2,"."&amp;N$83&amp;N$1&amp;"P"&amp;$A88))</f>
        <v>0</v>
      </c>
      <c r="O88" s="91">
        <f ca="1">IF(RTD("tos.rtd",,$A$2,"."&amp;O$83&amp;O$1&amp;"C"&amp;$A88)="N/A",0,RTD("tos.rtd",,$A$2,"."&amp;O$83&amp;O$1&amp;"C"&amp;$A88))-IF(RTD("tos.rtd",,$A$2,"."&amp;O$83&amp;O$1&amp;"P"&amp;$A88)="N/A",0,RTD("tos.rtd",,$A$2,"."&amp;O$83&amp;O$1&amp;"P"&amp;$A88))</f>
        <v>0</v>
      </c>
      <c r="P88" s="91">
        <f ca="1">IF(RTD("tos.rtd",,$A$2,"."&amp;P$83&amp;P$1&amp;"C"&amp;$A88)="N/A",0,RTD("tos.rtd",,$A$2,"."&amp;P$83&amp;P$1&amp;"C"&amp;$A88))-IF(RTD("tos.rtd",,$A$2,"."&amp;P$83&amp;P$1&amp;"P"&amp;$A88)="N/A",0,RTD("tos.rtd",,$A$2,"."&amp;P$83&amp;P$1&amp;"P"&amp;$A88))</f>
        <v>0</v>
      </c>
      <c r="Q88" s="91">
        <f ca="1">IF(RTD("tos.rtd",,$A$2,"."&amp;Q$83&amp;Q$1&amp;"C"&amp;$A88)="N/A",0,RTD("tos.rtd",,$A$2,"."&amp;Q$83&amp;Q$1&amp;"C"&amp;$A88))-IF(RTD("tos.rtd",,$A$2,"."&amp;Q$83&amp;Q$1&amp;"P"&amp;$A88)="N/A",0,RTD("tos.rtd",,$A$2,"."&amp;Q$83&amp;Q$1&amp;"P"&amp;$A88))</f>
        <v>0</v>
      </c>
      <c r="R88" s="91">
        <f ca="1">IF(RTD("tos.rtd",,$A$2,"."&amp;R$83&amp;R$1&amp;"C"&amp;$A88)="N/A",0,RTD("tos.rtd",,$A$2,"."&amp;R$83&amp;R$1&amp;"C"&amp;$A88))-IF(RTD("tos.rtd",,$A$2,"."&amp;R$83&amp;R$1&amp;"P"&amp;$A88)="N/A",0,RTD("tos.rtd",,$A$2,"."&amp;R$83&amp;R$1&amp;"P"&amp;$A88))</f>
        <v>0</v>
      </c>
      <c r="S88" s="91">
        <f ca="1">IF(RTD("tos.rtd",,$A$2,"."&amp;S$83&amp;S$1&amp;"C"&amp;$A88)="N/A",0,RTD("tos.rtd",,$A$2,"."&amp;S$83&amp;S$1&amp;"C"&amp;$A88))-IF(RTD("tos.rtd",,$A$2,"."&amp;S$83&amp;S$1&amp;"P"&amp;$A88)="N/A",0,RTD("tos.rtd",,$A$2,"."&amp;S$83&amp;S$1&amp;"P"&amp;$A88))</f>
        <v>0</v>
      </c>
      <c r="T88" s="91">
        <f ca="1">IF(RTD("tos.rtd",,$A$2,"."&amp;T$83&amp;T$1&amp;"C"&amp;$A88)="N/A",0,RTD("tos.rtd",,$A$2,"."&amp;T$83&amp;T$1&amp;"C"&amp;$A88))-IF(RTD("tos.rtd",,$A$2,"."&amp;T$83&amp;T$1&amp;"P"&amp;$A88)="N/A",0,RTD("tos.rtd",,$A$2,"."&amp;T$83&amp;T$1&amp;"P"&amp;$A88))</f>
        <v>0</v>
      </c>
      <c r="U88" s="91">
        <f ca="1">IF(RTD("tos.rtd",,$A$2,"."&amp;U$83&amp;U$1&amp;"C"&amp;$A88)="N/A",0,RTD("tos.rtd",,$A$2,"."&amp;U$83&amp;U$1&amp;"C"&amp;$A88))-IF(RTD("tos.rtd",,$A$2,"."&amp;U$83&amp;U$1&amp;"P"&amp;$A88)="N/A",0,RTD("tos.rtd",,$A$2,"."&amp;U$83&amp;U$1&amp;"P"&amp;$A88))</f>
        <v>0</v>
      </c>
      <c r="V88" s="91">
        <f ca="1">IF(RTD("tos.rtd",,$A$2,"."&amp;V$83&amp;V$1&amp;"C"&amp;$A88)="N/A",0,RTD("tos.rtd",,$A$2,"."&amp;V$83&amp;V$1&amp;"C"&amp;$A88))-IF(RTD("tos.rtd",,$A$2,"."&amp;V$83&amp;V$1&amp;"P"&amp;$A88)="N/A",0,RTD("tos.rtd",,$A$2,"."&amp;V$83&amp;V$1&amp;"P"&amp;$A88))</f>
        <v>0</v>
      </c>
      <c r="W88" s="91">
        <f ca="1">IF(RTD("tos.rtd",,$A$2,"."&amp;W$83&amp;W$1&amp;"C"&amp;$A88)="N/A",0,RTD("tos.rtd",,$A$2,"."&amp;W$83&amp;W$1&amp;"C"&amp;$A88))-IF(RTD("tos.rtd",,$A$2,"."&amp;W$83&amp;W$1&amp;"P"&amp;$A88)="N/A",0,RTD("tos.rtd",,$A$2,"."&amp;W$83&amp;W$1&amp;"P"&amp;$A88))</f>
        <v>0</v>
      </c>
      <c r="X88" s="91">
        <f ca="1">IF(RTD("tos.rtd",,$A$2,"."&amp;X$83&amp;X$1&amp;"C"&amp;$A88)="N/A",0,RTD("tos.rtd",,$A$2,"."&amp;X$83&amp;X$1&amp;"C"&amp;$A88))-IF(RTD("tos.rtd",,$A$2,"."&amp;X$83&amp;X$1&amp;"P"&amp;$A88)="N/A",0,RTD("tos.rtd",,$A$2,"."&amp;X$83&amp;X$1&amp;"P"&amp;$A88))</f>
        <v>0</v>
      </c>
      <c r="Y88" s="98">
        <f t="shared" ca="1" si="10"/>
        <v>0</v>
      </c>
    </row>
    <row r="89" spans="1:25" x14ac:dyDescent="0.25">
      <c r="A89" s="93">
        <f>+Hoja1!A88</f>
        <v>5840</v>
      </c>
      <c r="B89" s="91">
        <f ca="1">IF(RTD("tos.rtd",,$A$2,"."&amp;B$83&amp;B$1&amp;"C"&amp;$A89)="N/A",0,RTD("tos.rtd",,$A$2,"."&amp;B$83&amp;B$1&amp;"C"&amp;$A89))-IF(RTD("tos.rtd",,$A$2,"."&amp;B$83&amp;B$1&amp;"P"&amp;$A89)="N/A",0,RTD("tos.rtd",,$A$2,"."&amp;B$83&amp;B$1&amp;"P"&amp;$A89))</f>
        <v>0</v>
      </c>
      <c r="C89" s="91">
        <f ca="1">IF(RTD("tos.rtd",,$A$2,"."&amp;C$83&amp;C$1&amp;"C"&amp;$A89)="N/A",0,RTD("tos.rtd",,$A$2,"."&amp;C$83&amp;C$1&amp;"C"&amp;$A89))-IF(RTD("tos.rtd",,$A$2,"."&amp;C$83&amp;C$1&amp;"P"&amp;$A89)="N/A",0,RTD("tos.rtd",,$A$2,"."&amp;C$83&amp;C$1&amp;"P"&amp;$A89))</f>
        <v>0</v>
      </c>
      <c r="D89" s="91">
        <f ca="1">IF(RTD("tos.rtd",,$A$2,"."&amp;D$83&amp;D$1&amp;"C"&amp;$A89)="N/A",0,RTD("tos.rtd",,$A$2,"."&amp;D$83&amp;D$1&amp;"C"&amp;$A89))-IF(RTD("tos.rtd",,$A$2,"."&amp;D$83&amp;D$1&amp;"P"&amp;$A89)="N/A",0,RTD("tos.rtd",,$A$2,"."&amp;D$83&amp;D$1&amp;"P"&amp;$A89))</f>
        <v>0</v>
      </c>
      <c r="E89" s="91">
        <f ca="1">IF(RTD("tos.rtd",,$A$2,"."&amp;E$83&amp;E$1&amp;"C"&amp;$A89)="N/A",0,RTD("tos.rtd",,$A$2,"."&amp;E$83&amp;E$1&amp;"C"&amp;$A89))-IF(RTD("tos.rtd",,$A$2,"."&amp;E$83&amp;E$1&amp;"P"&amp;$A89)="N/A",0,RTD("tos.rtd",,$A$2,"."&amp;E$83&amp;E$1&amp;"P"&amp;$A89))</f>
        <v>0</v>
      </c>
      <c r="F89" s="91">
        <f ca="1">IF(RTD("tos.rtd",,$A$2,"."&amp;F$83&amp;F$1&amp;"C"&amp;$A89)="N/A",0,RTD("tos.rtd",,$A$2,"."&amp;F$83&amp;F$1&amp;"C"&amp;$A89))-IF(RTD("tos.rtd",,$A$2,"."&amp;F$83&amp;F$1&amp;"P"&amp;$A89)="N/A",0,RTD("tos.rtd",,$A$2,"."&amp;F$83&amp;F$1&amp;"P"&amp;$A89))</f>
        <v>0</v>
      </c>
      <c r="G89" s="91">
        <f ca="1">IF(RTD("tos.rtd",,$A$2,"."&amp;G$83&amp;G$1&amp;"C"&amp;$A89)="N/A",0,RTD("tos.rtd",,$A$2,"."&amp;G$83&amp;G$1&amp;"C"&amp;$A89))-IF(RTD("tos.rtd",,$A$2,"."&amp;G$83&amp;G$1&amp;"P"&amp;$A89)="N/A",0,RTD("tos.rtd",,$A$2,"."&amp;G$83&amp;G$1&amp;"P"&amp;$A89))</f>
        <v>0</v>
      </c>
      <c r="H89" s="91">
        <f ca="1">IF(RTD("tos.rtd",,$A$2,"."&amp;H$83&amp;H$1&amp;"C"&amp;$A89)="N/A",0,RTD("tos.rtd",,$A$2,"."&amp;H$83&amp;H$1&amp;"C"&amp;$A89))-IF(RTD("tos.rtd",,$A$2,"."&amp;H$83&amp;H$1&amp;"P"&amp;$A89)="N/A",0,RTD("tos.rtd",,$A$2,"."&amp;H$83&amp;H$1&amp;"P"&amp;$A89))</f>
        <v>0</v>
      </c>
      <c r="I89" s="91">
        <f ca="1">IF(RTD("tos.rtd",,$A$2,"."&amp;I$83&amp;I$1&amp;"C"&amp;$A89)="N/A",0,RTD("tos.rtd",,$A$2,"."&amp;I$83&amp;I$1&amp;"C"&amp;$A89))-IF(RTD("tos.rtd",,$A$2,"."&amp;I$83&amp;I$1&amp;"P"&amp;$A89)="N/A",0,RTD("tos.rtd",,$A$2,"."&amp;I$83&amp;I$1&amp;"P"&amp;$A89))</f>
        <v>0</v>
      </c>
      <c r="J89" s="91">
        <f ca="1">IF(RTD("tos.rtd",,$A$2,"."&amp;J$83&amp;J$1&amp;"C"&amp;$A89)="N/A",0,RTD("tos.rtd",,$A$2,"."&amp;J$83&amp;J$1&amp;"C"&amp;$A89))-IF(RTD("tos.rtd",,$A$2,"."&amp;J$83&amp;J$1&amp;"P"&amp;$A89)="N/A",0,RTD("tos.rtd",,$A$2,"."&amp;J$83&amp;J$1&amp;"P"&amp;$A89))</f>
        <v>0</v>
      </c>
      <c r="K89" s="91">
        <f ca="1">IF(RTD("tos.rtd",,$A$2,"."&amp;K$83&amp;K$1&amp;"C"&amp;$A89)="N/A",0,RTD("tos.rtd",,$A$2,"."&amp;K$83&amp;K$1&amp;"C"&amp;$A89))-IF(RTD("tos.rtd",,$A$2,"."&amp;K$83&amp;K$1&amp;"P"&amp;$A89)="N/A",0,RTD("tos.rtd",,$A$2,"."&amp;K$83&amp;K$1&amp;"P"&amp;$A89))</f>
        <v>0</v>
      </c>
      <c r="L89" s="91">
        <f ca="1">IF(RTD("tos.rtd",,$A$2,"."&amp;L$83&amp;L$1&amp;"C"&amp;$A89)="N/A",0,RTD("tos.rtd",,$A$2,"."&amp;L$83&amp;L$1&amp;"C"&amp;$A89))-IF(RTD("tos.rtd",,$A$2,"."&amp;L$83&amp;L$1&amp;"P"&amp;$A89)="N/A",0,RTD("tos.rtd",,$A$2,"."&amp;L$83&amp;L$1&amp;"P"&amp;$A89))</f>
        <v>0</v>
      </c>
      <c r="M89" s="91">
        <f ca="1">IF(RTD("tos.rtd",,$A$2,"."&amp;M$83&amp;M$1&amp;"C"&amp;$A89)="N/A",0,RTD("tos.rtd",,$A$2,"."&amp;M$83&amp;M$1&amp;"C"&amp;$A89))-IF(RTD("tos.rtd",,$A$2,"."&amp;M$83&amp;M$1&amp;"P"&amp;$A89)="N/A",0,RTD("tos.rtd",,$A$2,"."&amp;M$83&amp;M$1&amp;"P"&amp;$A89))</f>
        <v>0</v>
      </c>
      <c r="N89" s="91">
        <f ca="1">IF(RTD("tos.rtd",,$A$2,"."&amp;N$83&amp;N$1&amp;"C"&amp;$A89)="N/A",0,RTD("tos.rtd",,$A$2,"."&amp;N$83&amp;N$1&amp;"C"&amp;$A89))-IF(RTD("tos.rtd",,$A$2,"."&amp;N$83&amp;N$1&amp;"P"&amp;$A89)="N/A",0,RTD("tos.rtd",,$A$2,"."&amp;N$83&amp;N$1&amp;"P"&amp;$A89))</f>
        <v>0</v>
      </c>
      <c r="O89" s="91">
        <f ca="1">IF(RTD("tos.rtd",,$A$2,"."&amp;O$83&amp;O$1&amp;"C"&amp;$A89)="N/A",0,RTD("tos.rtd",,$A$2,"."&amp;O$83&amp;O$1&amp;"C"&amp;$A89))-IF(RTD("tos.rtd",,$A$2,"."&amp;O$83&amp;O$1&amp;"P"&amp;$A89)="N/A",0,RTD("tos.rtd",,$A$2,"."&amp;O$83&amp;O$1&amp;"P"&amp;$A89))</f>
        <v>0</v>
      </c>
      <c r="P89" s="91">
        <f ca="1">IF(RTD("tos.rtd",,$A$2,"."&amp;P$83&amp;P$1&amp;"C"&amp;$A89)="N/A",0,RTD("tos.rtd",,$A$2,"."&amp;P$83&amp;P$1&amp;"C"&amp;$A89))-IF(RTD("tos.rtd",,$A$2,"."&amp;P$83&amp;P$1&amp;"P"&amp;$A89)="N/A",0,RTD("tos.rtd",,$A$2,"."&amp;P$83&amp;P$1&amp;"P"&amp;$A89))</f>
        <v>0</v>
      </c>
      <c r="Q89" s="91">
        <f ca="1">IF(RTD("tos.rtd",,$A$2,"."&amp;Q$83&amp;Q$1&amp;"C"&amp;$A89)="N/A",0,RTD("tos.rtd",,$A$2,"."&amp;Q$83&amp;Q$1&amp;"C"&amp;$A89))-IF(RTD("tos.rtd",,$A$2,"."&amp;Q$83&amp;Q$1&amp;"P"&amp;$A89)="N/A",0,RTD("tos.rtd",,$A$2,"."&amp;Q$83&amp;Q$1&amp;"P"&amp;$A89))</f>
        <v>0</v>
      </c>
      <c r="R89" s="91">
        <f ca="1">IF(RTD("tos.rtd",,$A$2,"."&amp;R$83&amp;R$1&amp;"C"&amp;$A89)="N/A",0,RTD("tos.rtd",,$A$2,"."&amp;R$83&amp;R$1&amp;"C"&amp;$A89))-IF(RTD("tos.rtd",,$A$2,"."&amp;R$83&amp;R$1&amp;"P"&amp;$A89)="N/A",0,RTD("tos.rtd",,$A$2,"."&amp;R$83&amp;R$1&amp;"P"&amp;$A89))</f>
        <v>0</v>
      </c>
      <c r="S89" s="91">
        <f ca="1">IF(RTD("tos.rtd",,$A$2,"."&amp;S$83&amp;S$1&amp;"C"&amp;$A89)="N/A",0,RTD("tos.rtd",,$A$2,"."&amp;S$83&amp;S$1&amp;"C"&amp;$A89))-IF(RTD("tos.rtd",,$A$2,"."&amp;S$83&amp;S$1&amp;"P"&amp;$A89)="N/A",0,RTD("tos.rtd",,$A$2,"."&amp;S$83&amp;S$1&amp;"P"&amp;$A89))</f>
        <v>0</v>
      </c>
      <c r="T89" s="91">
        <f ca="1">IF(RTD("tos.rtd",,$A$2,"."&amp;T$83&amp;T$1&amp;"C"&amp;$A89)="N/A",0,RTD("tos.rtd",,$A$2,"."&amp;T$83&amp;T$1&amp;"C"&amp;$A89))-IF(RTD("tos.rtd",,$A$2,"."&amp;T$83&amp;T$1&amp;"P"&amp;$A89)="N/A",0,RTD("tos.rtd",,$A$2,"."&amp;T$83&amp;T$1&amp;"P"&amp;$A89))</f>
        <v>0</v>
      </c>
      <c r="U89" s="91">
        <f ca="1">IF(RTD("tos.rtd",,$A$2,"."&amp;U$83&amp;U$1&amp;"C"&amp;$A89)="N/A",0,RTD("tos.rtd",,$A$2,"."&amp;U$83&amp;U$1&amp;"C"&amp;$A89))-IF(RTD("tos.rtd",,$A$2,"."&amp;U$83&amp;U$1&amp;"P"&amp;$A89)="N/A",0,RTD("tos.rtd",,$A$2,"."&amp;U$83&amp;U$1&amp;"P"&amp;$A89))</f>
        <v>0</v>
      </c>
      <c r="V89" s="91">
        <f ca="1">IF(RTD("tos.rtd",,$A$2,"."&amp;V$83&amp;V$1&amp;"C"&amp;$A89)="N/A",0,RTD("tos.rtd",,$A$2,"."&amp;V$83&amp;V$1&amp;"C"&amp;$A89))-IF(RTD("tos.rtd",,$A$2,"."&amp;V$83&amp;V$1&amp;"P"&amp;$A89)="N/A",0,RTD("tos.rtd",,$A$2,"."&amp;V$83&amp;V$1&amp;"P"&amp;$A89))</f>
        <v>0</v>
      </c>
      <c r="W89" s="91">
        <f ca="1">IF(RTD("tos.rtd",,$A$2,"."&amp;W$83&amp;W$1&amp;"C"&amp;$A89)="N/A",0,RTD("tos.rtd",,$A$2,"."&amp;W$83&amp;W$1&amp;"C"&amp;$A89))-IF(RTD("tos.rtd",,$A$2,"."&amp;W$83&amp;W$1&amp;"P"&amp;$A89)="N/A",0,RTD("tos.rtd",,$A$2,"."&amp;W$83&amp;W$1&amp;"P"&amp;$A89))</f>
        <v>0</v>
      </c>
      <c r="X89" s="91">
        <f ca="1">IF(RTD("tos.rtd",,$A$2,"."&amp;X$83&amp;X$1&amp;"C"&amp;$A89)="N/A",0,RTD("tos.rtd",,$A$2,"."&amp;X$83&amp;X$1&amp;"C"&amp;$A89))-IF(RTD("tos.rtd",,$A$2,"."&amp;X$83&amp;X$1&amp;"P"&amp;$A89)="N/A",0,RTD("tos.rtd",,$A$2,"."&amp;X$83&amp;X$1&amp;"P"&amp;$A89))</f>
        <v>0</v>
      </c>
      <c r="Y89" s="98">
        <f t="shared" ca="1" si="10"/>
        <v>0</v>
      </c>
    </row>
    <row r="90" spans="1:25" x14ac:dyDescent="0.25">
      <c r="A90" s="93">
        <f>+Hoja1!A89</f>
        <v>5830</v>
      </c>
      <c r="B90" s="91">
        <f ca="1">IF(RTD("tos.rtd",,$A$2,"."&amp;B$83&amp;B$1&amp;"C"&amp;$A90)="N/A",0,RTD("tos.rtd",,$A$2,"."&amp;B$83&amp;B$1&amp;"C"&amp;$A90))-IF(RTD("tos.rtd",,$A$2,"."&amp;B$83&amp;B$1&amp;"P"&amp;$A90)="N/A",0,RTD("tos.rtd",,$A$2,"."&amp;B$83&amp;B$1&amp;"P"&amp;$A90))</f>
        <v>0</v>
      </c>
      <c r="C90" s="91">
        <f ca="1">IF(RTD("tos.rtd",,$A$2,"."&amp;C$83&amp;C$1&amp;"C"&amp;$A90)="N/A",0,RTD("tos.rtd",,$A$2,"."&amp;C$83&amp;C$1&amp;"C"&amp;$A90))-IF(RTD("tos.rtd",,$A$2,"."&amp;C$83&amp;C$1&amp;"P"&amp;$A90)="N/A",0,RTD("tos.rtd",,$A$2,"."&amp;C$83&amp;C$1&amp;"P"&amp;$A90))</f>
        <v>0</v>
      </c>
      <c r="D90" s="91">
        <f ca="1">IF(RTD("tos.rtd",,$A$2,"."&amp;D$83&amp;D$1&amp;"C"&amp;$A90)="N/A",0,RTD("tos.rtd",,$A$2,"."&amp;D$83&amp;D$1&amp;"C"&amp;$A90))-IF(RTD("tos.rtd",,$A$2,"."&amp;D$83&amp;D$1&amp;"P"&amp;$A90)="N/A",0,RTD("tos.rtd",,$A$2,"."&amp;D$83&amp;D$1&amp;"P"&amp;$A90))</f>
        <v>0</v>
      </c>
      <c r="E90" s="91">
        <f ca="1">IF(RTD("tos.rtd",,$A$2,"."&amp;E$83&amp;E$1&amp;"C"&amp;$A90)="N/A",0,RTD("tos.rtd",,$A$2,"."&amp;E$83&amp;E$1&amp;"C"&amp;$A90))-IF(RTD("tos.rtd",,$A$2,"."&amp;E$83&amp;E$1&amp;"P"&amp;$A90)="N/A",0,RTD("tos.rtd",,$A$2,"."&amp;E$83&amp;E$1&amp;"P"&amp;$A90))</f>
        <v>0</v>
      </c>
      <c r="F90" s="91">
        <f ca="1">IF(RTD("tos.rtd",,$A$2,"."&amp;F$83&amp;F$1&amp;"C"&amp;$A90)="N/A",0,RTD("tos.rtd",,$A$2,"."&amp;F$83&amp;F$1&amp;"C"&amp;$A90))-IF(RTD("tos.rtd",,$A$2,"."&amp;F$83&amp;F$1&amp;"P"&amp;$A90)="N/A",0,RTD("tos.rtd",,$A$2,"."&amp;F$83&amp;F$1&amp;"P"&amp;$A90))</f>
        <v>0</v>
      </c>
      <c r="G90" s="91">
        <f ca="1">IF(RTD("tos.rtd",,$A$2,"."&amp;G$83&amp;G$1&amp;"C"&amp;$A90)="N/A",0,RTD("tos.rtd",,$A$2,"."&amp;G$83&amp;G$1&amp;"C"&amp;$A90))-IF(RTD("tos.rtd",,$A$2,"."&amp;G$83&amp;G$1&amp;"P"&amp;$A90)="N/A",0,RTD("tos.rtd",,$A$2,"."&amp;G$83&amp;G$1&amp;"P"&amp;$A90))</f>
        <v>0</v>
      </c>
      <c r="H90" s="91">
        <f ca="1">IF(RTD("tos.rtd",,$A$2,"."&amp;H$83&amp;H$1&amp;"C"&amp;$A90)="N/A",0,RTD("tos.rtd",,$A$2,"."&amp;H$83&amp;H$1&amp;"C"&amp;$A90))-IF(RTD("tos.rtd",,$A$2,"."&amp;H$83&amp;H$1&amp;"P"&amp;$A90)="N/A",0,RTD("tos.rtd",,$A$2,"."&amp;H$83&amp;H$1&amp;"P"&amp;$A90))</f>
        <v>0</v>
      </c>
      <c r="I90" s="91">
        <f ca="1">IF(RTD("tos.rtd",,$A$2,"."&amp;I$83&amp;I$1&amp;"C"&amp;$A90)="N/A",0,RTD("tos.rtd",,$A$2,"."&amp;I$83&amp;I$1&amp;"C"&amp;$A90))-IF(RTD("tos.rtd",,$A$2,"."&amp;I$83&amp;I$1&amp;"P"&amp;$A90)="N/A",0,RTD("tos.rtd",,$A$2,"."&amp;I$83&amp;I$1&amp;"P"&amp;$A90))</f>
        <v>0</v>
      </c>
      <c r="J90" s="91">
        <f ca="1">IF(RTD("tos.rtd",,$A$2,"."&amp;J$83&amp;J$1&amp;"C"&amp;$A90)="N/A",0,RTD("tos.rtd",,$A$2,"."&amp;J$83&amp;J$1&amp;"C"&amp;$A90))-IF(RTD("tos.rtd",,$A$2,"."&amp;J$83&amp;J$1&amp;"P"&amp;$A90)="N/A",0,RTD("tos.rtd",,$A$2,"."&amp;J$83&amp;J$1&amp;"P"&amp;$A90))</f>
        <v>0</v>
      </c>
      <c r="K90" s="91">
        <f ca="1">IF(RTD("tos.rtd",,$A$2,"."&amp;K$83&amp;K$1&amp;"C"&amp;$A90)="N/A",0,RTD("tos.rtd",,$A$2,"."&amp;K$83&amp;K$1&amp;"C"&amp;$A90))-IF(RTD("tos.rtd",,$A$2,"."&amp;K$83&amp;K$1&amp;"P"&amp;$A90)="N/A",0,RTD("tos.rtd",,$A$2,"."&amp;K$83&amp;K$1&amp;"P"&amp;$A90))</f>
        <v>0</v>
      </c>
      <c r="L90" s="91">
        <f ca="1">IF(RTD("tos.rtd",,$A$2,"."&amp;L$83&amp;L$1&amp;"C"&amp;$A90)="N/A",0,RTD("tos.rtd",,$A$2,"."&amp;L$83&amp;L$1&amp;"C"&amp;$A90))-IF(RTD("tos.rtd",,$A$2,"."&amp;L$83&amp;L$1&amp;"P"&amp;$A90)="N/A",0,RTD("tos.rtd",,$A$2,"."&amp;L$83&amp;L$1&amp;"P"&amp;$A90))</f>
        <v>0</v>
      </c>
      <c r="M90" s="91">
        <f ca="1">IF(RTD("tos.rtd",,$A$2,"."&amp;M$83&amp;M$1&amp;"C"&amp;$A90)="N/A",0,RTD("tos.rtd",,$A$2,"."&amp;M$83&amp;M$1&amp;"C"&amp;$A90))-IF(RTD("tos.rtd",,$A$2,"."&amp;M$83&amp;M$1&amp;"P"&amp;$A90)="N/A",0,RTD("tos.rtd",,$A$2,"."&amp;M$83&amp;M$1&amp;"P"&amp;$A90))</f>
        <v>0</v>
      </c>
      <c r="N90" s="91">
        <f ca="1">IF(RTD("tos.rtd",,$A$2,"."&amp;N$83&amp;N$1&amp;"C"&amp;$A90)="N/A",0,RTD("tos.rtd",,$A$2,"."&amp;N$83&amp;N$1&amp;"C"&amp;$A90))-IF(RTD("tos.rtd",,$A$2,"."&amp;N$83&amp;N$1&amp;"P"&amp;$A90)="N/A",0,RTD("tos.rtd",,$A$2,"."&amp;N$83&amp;N$1&amp;"P"&amp;$A90))</f>
        <v>0</v>
      </c>
      <c r="O90" s="91">
        <f ca="1">IF(RTD("tos.rtd",,$A$2,"."&amp;O$83&amp;O$1&amp;"C"&amp;$A90)="N/A",0,RTD("tos.rtd",,$A$2,"."&amp;O$83&amp;O$1&amp;"C"&amp;$A90))-IF(RTD("tos.rtd",,$A$2,"."&amp;O$83&amp;O$1&amp;"P"&amp;$A90)="N/A",0,RTD("tos.rtd",,$A$2,"."&amp;O$83&amp;O$1&amp;"P"&amp;$A90))</f>
        <v>0</v>
      </c>
      <c r="P90" s="91">
        <f ca="1">IF(RTD("tos.rtd",,$A$2,"."&amp;P$83&amp;P$1&amp;"C"&amp;$A90)="N/A",0,RTD("tos.rtd",,$A$2,"."&amp;P$83&amp;P$1&amp;"C"&amp;$A90))-IF(RTD("tos.rtd",,$A$2,"."&amp;P$83&amp;P$1&amp;"P"&amp;$A90)="N/A",0,RTD("tos.rtd",,$A$2,"."&amp;P$83&amp;P$1&amp;"P"&amp;$A90))</f>
        <v>0</v>
      </c>
      <c r="Q90" s="91">
        <f ca="1">IF(RTD("tos.rtd",,$A$2,"."&amp;Q$83&amp;Q$1&amp;"C"&amp;$A90)="N/A",0,RTD("tos.rtd",,$A$2,"."&amp;Q$83&amp;Q$1&amp;"C"&amp;$A90))-IF(RTD("tos.rtd",,$A$2,"."&amp;Q$83&amp;Q$1&amp;"P"&amp;$A90)="N/A",0,RTD("tos.rtd",,$A$2,"."&amp;Q$83&amp;Q$1&amp;"P"&amp;$A90))</f>
        <v>0</v>
      </c>
      <c r="R90" s="91">
        <f ca="1">IF(RTD("tos.rtd",,$A$2,"."&amp;R$83&amp;R$1&amp;"C"&amp;$A90)="N/A",0,RTD("tos.rtd",,$A$2,"."&amp;R$83&amp;R$1&amp;"C"&amp;$A90))-IF(RTD("tos.rtd",,$A$2,"."&amp;R$83&amp;R$1&amp;"P"&amp;$A90)="N/A",0,RTD("tos.rtd",,$A$2,"."&amp;R$83&amp;R$1&amp;"P"&amp;$A90))</f>
        <v>0</v>
      </c>
      <c r="S90" s="91">
        <f ca="1">IF(RTD("tos.rtd",,$A$2,"."&amp;S$83&amp;S$1&amp;"C"&amp;$A90)="N/A",0,RTD("tos.rtd",,$A$2,"."&amp;S$83&amp;S$1&amp;"C"&amp;$A90))-IF(RTD("tos.rtd",,$A$2,"."&amp;S$83&amp;S$1&amp;"P"&amp;$A90)="N/A",0,RTD("tos.rtd",,$A$2,"."&amp;S$83&amp;S$1&amp;"P"&amp;$A90))</f>
        <v>0</v>
      </c>
      <c r="T90" s="91">
        <f ca="1">IF(RTD("tos.rtd",,$A$2,"."&amp;T$83&amp;T$1&amp;"C"&amp;$A90)="N/A",0,RTD("tos.rtd",,$A$2,"."&amp;T$83&amp;T$1&amp;"C"&amp;$A90))-IF(RTD("tos.rtd",,$A$2,"."&amp;T$83&amp;T$1&amp;"P"&amp;$A90)="N/A",0,RTD("tos.rtd",,$A$2,"."&amp;T$83&amp;T$1&amp;"P"&amp;$A90))</f>
        <v>0</v>
      </c>
      <c r="U90" s="91">
        <f ca="1">IF(RTD("tos.rtd",,$A$2,"."&amp;U$83&amp;U$1&amp;"C"&amp;$A90)="N/A",0,RTD("tos.rtd",,$A$2,"."&amp;U$83&amp;U$1&amp;"C"&amp;$A90))-IF(RTD("tos.rtd",,$A$2,"."&amp;U$83&amp;U$1&amp;"P"&amp;$A90)="N/A",0,RTD("tos.rtd",,$A$2,"."&amp;U$83&amp;U$1&amp;"P"&amp;$A90))</f>
        <v>0</v>
      </c>
      <c r="V90" s="91">
        <f ca="1">IF(RTD("tos.rtd",,$A$2,"."&amp;V$83&amp;V$1&amp;"C"&amp;$A90)="N/A",0,RTD("tos.rtd",,$A$2,"."&amp;V$83&amp;V$1&amp;"C"&amp;$A90))-IF(RTD("tos.rtd",,$A$2,"."&amp;V$83&amp;V$1&amp;"P"&amp;$A90)="N/A",0,RTD("tos.rtd",,$A$2,"."&amp;V$83&amp;V$1&amp;"P"&amp;$A90))</f>
        <v>0</v>
      </c>
      <c r="W90" s="91">
        <f ca="1">IF(RTD("tos.rtd",,$A$2,"."&amp;W$83&amp;W$1&amp;"C"&amp;$A90)="N/A",0,RTD("tos.rtd",,$A$2,"."&amp;W$83&amp;W$1&amp;"C"&amp;$A90))-IF(RTD("tos.rtd",,$A$2,"."&amp;W$83&amp;W$1&amp;"P"&amp;$A90)="N/A",0,RTD("tos.rtd",,$A$2,"."&amp;W$83&amp;W$1&amp;"P"&amp;$A90))</f>
        <v>0</v>
      </c>
      <c r="X90" s="91">
        <f ca="1">IF(RTD("tos.rtd",,$A$2,"."&amp;X$83&amp;X$1&amp;"C"&amp;$A90)="N/A",0,RTD("tos.rtd",,$A$2,"."&amp;X$83&amp;X$1&amp;"C"&amp;$A90))-IF(RTD("tos.rtd",,$A$2,"."&amp;X$83&amp;X$1&amp;"P"&amp;$A90)="N/A",0,RTD("tos.rtd",,$A$2,"."&amp;X$83&amp;X$1&amp;"P"&amp;$A90))</f>
        <v>0</v>
      </c>
      <c r="Y90" s="98">
        <f t="shared" ca="1" si="10"/>
        <v>0</v>
      </c>
    </row>
    <row r="91" spans="1:25" x14ac:dyDescent="0.25">
      <c r="A91" s="93">
        <f>+Hoja1!A90</f>
        <v>5820</v>
      </c>
      <c r="B91" s="91">
        <f ca="1">IF(RTD("tos.rtd",,$A$2,"."&amp;B$83&amp;B$1&amp;"C"&amp;$A91)="N/A",0,RTD("tos.rtd",,$A$2,"."&amp;B$83&amp;B$1&amp;"C"&amp;$A91))-IF(RTD("tos.rtd",,$A$2,"."&amp;B$83&amp;B$1&amp;"P"&amp;$A91)="N/A",0,RTD("tos.rtd",,$A$2,"."&amp;B$83&amp;B$1&amp;"P"&amp;$A91))</f>
        <v>0</v>
      </c>
      <c r="C91" s="91">
        <f ca="1">IF(RTD("tos.rtd",,$A$2,"."&amp;C$83&amp;C$1&amp;"C"&amp;$A91)="N/A",0,RTD("tos.rtd",,$A$2,"."&amp;C$83&amp;C$1&amp;"C"&amp;$A91))-IF(RTD("tos.rtd",,$A$2,"."&amp;C$83&amp;C$1&amp;"P"&amp;$A91)="N/A",0,RTD("tos.rtd",,$A$2,"."&amp;C$83&amp;C$1&amp;"P"&amp;$A91))</f>
        <v>0</v>
      </c>
      <c r="D91" s="91">
        <f ca="1">IF(RTD("tos.rtd",,$A$2,"."&amp;D$83&amp;D$1&amp;"C"&amp;$A91)="N/A",0,RTD("tos.rtd",,$A$2,"."&amp;D$83&amp;D$1&amp;"C"&amp;$A91))-IF(RTD("tos.rtd",,$A$2,"."&amp;D$83&amp;D$1&amp;"P"&amp;$A91)="N/A",0,RTD("tos.rtd",,$A$2,"."&amp;D$83&amp;D$1&amp;"P"&amp;$A91))</f>
        <v>0</v>
      </c>
      <c r="E91" s="91">
        <f ca="1">IF(RTD("tos.rtd",,$A$2,"."&amp;E$83&amp;E$1&amp;"C"&amp;$A91)="N/A",0,RTD("tos.rtd",,$A$2,"."&amp;E$83&amp;E$1&amp;"C"&amp;$A91))-IF(RTD("tos.rtd",,$A$2,"."&amp;E$83&amp;E$1&amp;"P"&amp;$A91)="N/A",0,RTD("tos.rtd",,$A$2,"."&amp;E$83&amp;E$1&amp;"P"&amp;$A91))</f>
        <v>0</v>
      </c>
      <c r="F91" s="91">
        <f ca="1">IF(RTD("tos.rtd",,$A$2,"."&amp;F$83&amp;F$1&amp;"C"&amp;$A91)="N/A",0,RTD("tos.rtd",,$A$2,"."&amp;F$83&amp;F$1&amp;"C"&amp;$A91))-IF(RTD("tos.rtd",,$A$2,"."&amp;F$83&amp;F$1&amp;"P"&amp;$A91)="N/A",0,RTD("tos.rtd",,$A$2,"."&amp;F$83&amp;F$1&amp;"P"&amp;$A91))</f>
        <v>0</v>
      </c>
      <c r="G91" s="91">
        <f ca="1">IF(RTD("tos.rtd",,$A$2,"."&amp;G$83&amp;G$1&amp;"C"&amp;$A91)="N/A",0,RTD("tos.rtd",,$A$2,"."&amp;G$83&amp;G$1&amp;"C"&amp;$A91))-IF(RTD("tos.rtd",,$A$2,"."&amp;G$83&amp;G$1&amp;"P"&amp;$A91)="N/A",0,RTD("tos.rtd",,$A$2,"."&amp;G$83&amp;G$1&amp;"P"&amp;$A91))</f>
        <v>0</v>
      </c>
      <c r="H91" s="91">
        <f ca="1">IF(RTD("tos.rtd",,$A$2,"."&amp;H$83&amp;H$1&amp;"C"&amp;$A91)="N/A",0,RTD("tos.rtd",,$A$2,"."&amp;H$83&amp;H$1&amp;"C"&amp;$A91))-IF(RTD("tos.rtd",,$A$2,"."&amp;H$83&amp;H$1&amp;"P"&amp;$A91)="N/A",0,RTD("tos.rtd",,$A$2,"."&amp;H$83&amp;H$1&amp;"P"&amp;$A91))</f>
        <v>0</v>
      </c>
      <c r="I91" s="91">
        <f ca="1">IF(RTD("tos.rtd",,$A$2,"."&amp;I$83&amp;I$1&amp;"C"&amp;$A91)="N/A",0,RTD("tos.rtd",,$A$2,"."&amp;I$83&amp;I$1&amp;"C"&amp;$A91))-IF(RTD("tos.rtd",,$A$2,"."&amp;I$83&amp;I$1&amp;"P"&amp;$A91)="N/A",0,RTD("tos.rtd",,$A$2,"."&amp;I$83&amp;I$1&amp;"P"&amp;$A91))</f>
        <v>0</v>
      </c>
      <c r="J91" s="91">
        <f ca="1">IF(RTD("tos.rtd",,$A$2,"."&amp;J$83&amp;J$1&amp;"C"&amp;$A91)="N/A",0,RTD("tos.rtd",,$A$2,"."&amp;J$83&amp;J$1&amp;"C"&amp;$A91))-IF(RTD("tos.rtd",,$A$2,"."&amp;J$83&amp;J$1&amp;"P"&amp;$A91)="N/A",0,RTD("tos.rtd",,$A$2,"."&amp;J$83&amp;J$1&amp;"P"&amp;$A91))</f>
        <v>0</v>
      </c>
      <c r="K91" s="91">
        <f ca="1">IF(RTD("tos.rtd",,$A$2,"."&amp;K$83&amp;K$1&amp;"C"&amp;$A91)="N/A",0,RTD("tos.rtd",,$A$2,"."&amp;K$83&amp;K$1&amp;"C"&amp;$A91))-IF(RTD("tos.rtd",,$A$2,"."&amp;K$83&amp;K$1&amp;"P"&amp;$A91)="N/A",0,RTD("tos.rtd",,$A$2,"."&amp;K$83&amp;K$1&amp;"P"&amp;$A91))</f>
        <v>0</v>
      </c>
      <c r="L91" s="91">
        <f ca="1">IF(RTD("tos.rtd",,$A$2,"."&amp;L$83&amp;L$1&amp;"C"&amp;$A91)="N/A",0,RTD("tos.rtd",,$A$2,"."&amp;L$83&amp;L$1&amp;"C"&amp;$A91))-IF(RTD("tos.rtd",,$A$2,"."&amp;L$83&amp;L$1&amp;"P"&amp;$A91)="N/A",0,RTD("tos.rtd",,$A$2,"."&amp;L$83&amp;L$1&amp;"P"&amp;$A91))</f>
        <v>0</v>
      </c>
      <c r="M91" s="91">
        <f ca="1">IF(RTD("tos.rtd",,$A$2,"."&amp;M$83&amp;M$1&amp;"C"&amp;$A91)="N/A",0,RTD("tos.rtd",,$A$2,"."&amp;M$83&amp;M$1&amp;"C"&amp;$A91))-IF(RTD("tos.rtd",,$A$2,"."&amp;M$83&amp;M$1&amp;"P"&amp;$A91)="N/A",0,RTD("tos.rtd",,$A$2,"."&amp;M$83&amp;M$1&amp;"P"&amp;$A91))</f>
        <v>0</v>
      </c>
      <c r="N91" s="91">
        <f ca="1">IF(RTD("tos.rtd",,$A$2,"."&amp;N$83&amp;N$1&amp;"C"&amp;$A91)="N/A",0,RTD("tos.rtd",,$A$2,"."&amp;N$83&amp;N$1&amp;"C"&amp;$A91))-IF(RTD("tos.rtd",,$A$2,"."&amp;N$83&amp;N$1&amp;"P"&amp;$A91)="N/A",0,RTD("tos.rtd",,$A$2,"."&amp;N$83&amp;N$1&amp;"P"&amp;$A91))</f>
        <v>0</v>
      </c>
      <c r="O91" s="91">
        <f ca="1">IF(RTD("tos.rtd",,$A$2,"."&amp;O$83&amp;O$1&amp;"C"&amp;$A91)="N/A",0,RTD("tos.rtd",,$A$2,"."&amp;O$83&amp;O$1&amp;"C"&amp;$A91))-IF(RTD("tos.rtd",,$A$2,"."&amp;O$83&amp;O$1&amp;"P"&amp;$A91)="N/A",0,RTD("tos.rtd",,$A$2,"."&amp;O$83&amp;O$1&amp;"P"&amp;$A91))</f>
        <v>0</v>
      </c>
      <c r="P91" s="91">
        <f ca="1">IF(RTD("tos.rtd",,$A$2,"."&amp;P$83&amp;P$1&amp;"C"&amp;$A91)="N/A",0,RTD("tos.rtd",,$A$2,"."&amp;P$83&amp;P$1&amp;"C"&amp;$A91))-IF(RTD("tos.rtd",,$A$2,"."&amp;P$83&amp;P$1&amp;"P"&amp;$A91)="N/A",0,RTD("tos.rtd",,$A$2,"."&amp;P$83&amp;P$1&amp;"P"&amp;$A91))</f>
        <v>0</v>
      </c>
      <c r="Q91" s="91">
        <f ca="1">IF(RTD("tos.rtd",,$A$2,"."&amp;Q$83&amp;Q$1&amp;"C"&amp;$A91)="N/A",0,RTD("tos.rtd",,$A$2,"."&amp;Q$83&amp;Q$1&amp;"C"&amp;$A91))-IF(RTD("tos.rtd",,$A$2,"."&amp;Q$83&amp;Q$1&amp;"P"&amp;$A91)="N/A",0,RTD("tos.rtd",,$A$2,"."&amp;Q$83&amp;Q$1&amp;"P"&amp;$A91))</f>
        <v>0</v>
      </c>
      <c r="R91" s="91">
        <f ca="1">IF(RTD("tos.rtd",,$A$2,"."&amp;R$83&amp;R$1&amp;"C"&amp;$A91)="N/A",0,RTD("tos.rtd",,$A$2,"."&amp;R$83&amp;R$1&amp;"C"&amp;$A91))-IF(RTD("tos.rtd",,$A$2,"."&amp;R$83&amp;R$1&amp;"P"&amp;$A91)="N/A",0,RTD("tos.rtd",,$A$2,"."&amp;R$83&amp;R$1&amp;"P"&amp;$A91))</f>
        <v>0</v>
      </c>
      <c r="S91" s="91">
        <f ca="1">IF(RTD("tos.rtd",,$A$2,"."&amp;S$83&amp;S$1&amp;"C"&amp;$A91)="N/A",0,RTD("tos.rtd",,$A$2,"."&amp;S$83&amp;S$1&amp;"C"&amp;$A91))-IF(RTD("tos.rtd",,$A$2,"."&amp;S$83&amp;S$1&amp;"P"&amp;$A91)="N/A",0,RTD("tos.rtd",,$A$2,"."&amp;S$83&amp;S$1&amp;"P"&amp;$A91))</f>
        <v>0</v>
      </c>
      <c r="T91" s="91">
        <f ca="1">IF(RTD("tos.rtd",,$A$2,"."&amp;T$83&amp;T$1&amp;"C"&amp;$A91)="N/A",0,RTD("tos.rtd",,$A$2,"."&amp;T$83&amp;T$1&amp;"C"&amp;$A91))-IF(RTD("tos.rtd",,$A$2,"."&amp;T$83&amp;T$1&amp;"P"&amp;$A91)="N/A",0,RTD("tos.rtd",,$A$2,"."&amp;T$83&amp;T$1&amp;"P"&amp;$A91))</f>
        <v>0</v>
      </c>
      <c r="U91" s="91">
        <f ca="1">IF(RTD("tos.rtd",,$A$2,"."&amp;U$83&amp;U$1&amp;"C"&amp;$A91)="N/A",0,RTD("tos.rtd",,$A$2,"."&amp;U$83&amp;U$1&amp;"C"&amp;$A91))-IF(RTD("tos.rtd",,$A$2,"."&amp;U$83&amp;U$1&amp;"P"&amp;$A91)="N/A",0,RTD("tos.rtd",,$A$2,"."&amp;U$83&amp;U$1&amp;"P"&amp;$A91))</f>
        <v>0</v>
      </c>
      <c r="V91" s="91">
        <f ca="1">IF(RTD("tos.rtd",,$A$2,"."&amp;V$83&amp;V$1&amp;"C"&amp;$A91)="N/A",0,RTD("tos.rtd",,$A$2,"."&amp;V$83&amp;V$1&amp;"C"&amp;$A91))-IF(RTD("tos.rtd",,$A$2,"."&amp;V$83&amp;V$1&amp;"P"&amp;$A91)="N/A",0,RTD("tos.rtd",,$A$2,"."&amp;V$83&amp;V$1&amp;"P"&amp;$A91))</f>
        <v>0</v>
      </c>
      <c r="W91" s="91">
        <f ca="1">IF(RTD("tos.rtd",,$A$2,"."&amp;W$83&amp;W$1&amp;"C"&amp;$A91)="N/A",0,RTD("tos.rtd",,$A$2,"."&amp;W$83&amp;W$1&amp;"C"&amp;$A91))-IF(RTD("tos.rtd",,$A$2,"."&amp;W$83&amp;W$1&amp;"P"&amp;$A91)="N/A",0,RTD("tos.rtd",,$A$2,"."&amp;W$83&amp;W$1&amp;"P"&amp;$A91))</f>
        <v>0</v>
      </c>
      <c r="X91" s="91">
        <f ca="1">IF(RTD("tos.rtd",,$A$2,"."&amp;X$83&amp;X$1&amp;"C"&amp;$A91)="N/A",0,RTD("tos.rtd",,$A$2,"."&amp;X$83&amp;X$1&amp;"C"&amp;$A91))-IF(RTD("tos.rtd",,$A$2,"."&amp;X$83&amp;X$1&amp;"P"&amp;$A91)="N/A",0,RTD("tos.rtd",,$A$2,"."&amp;X$83&amp;X$1&amp;"P"&amp;$A91))</f>
        <v>0</v>
      </c>
      <c r="Y91" s="98">
        <f t="shared" ca="1" si="10"/>
        <v>0</v>
      </c>
    </row>
    <row r="92" spans="1:25" x14ac:dyDescent="0.25">
      <c r="A92" s="93">
        <f>+Hoja1!A91</f>
        <v>5810</v>
      </c>
      <c r="B92" s="91">
        <f ca="1">IF(RTD("tos.rtd",,$A$2,"."&amp;B$83&amp;B$1&amp;"C"&amp;$A92)="N/A",0,RTD("tos.rtd",,$A$2,"."&amp;B$83&amp;B$1&amp;"C"&amp;$A92))-IF(RTD("tos.rtd",,$A$2,"."&amp;B$83&amp;B$1&amp;"P"&amp;$A92)="N/A",0,RTD("tos.rtd",,$A$2,"."&amp;B$83&amp;B$1&amp;"P"&amp;$A92))</f>
        <v>0</v>
      </c>
      <c r="C92" s="91">
        <f ca="1">IF(RTD("tos.rtd",,$A$2,"."&amp;C$83&amp;C$1&amp;"C"&amp;$A92)="N/A",0,RTD("tos.rtd",,$A$2,"."&amp;C$83&amp;C$1&amp;"C"&amp;$A92))-IF(RTD("tos.rtd",,$A$2,"."&amp;C$83&amp;C$1&amp;"P"&amp;$A92)="N/A",0,RTD("tos.rtd",,$A$2,"."&amp;C$83&amp;C$1&amp;"P"&amp;$A92))</f>
        <v>0</v>
      </c>
      <c r="D92" s="91">
        <f ca="1">IF(RTD("tos.rtd",,$A$2,"."&amp;D$83&amp;D$1&amp;"C"&amp;$A92)="N/A",0,RTD("tos.rtd",,$A$2,"."&amp;D$83&amp;D$1&amp;"C"&amp;$A92))-IF(RTD("tos.rtd",,$A$2,"."&amp;D$83&amp;D$1&amp;"P"&amp;$A92)="N/A",0,RTD("tos.rtd",,$A$2,"."&amp;D$83&amp;D$1&amp;"P"&amp;$A92))</f>
        <v>0</v>
      </c>
      <c r="E92" s="91">
        <f ca="1">IF(RTD("tos.rtd",,$A$2,"."&amp;E$83&amp;E$1&amp;"C"&amp;$A92)="N/A",0,RTD("tos.rtd",,$A$2,"."&amp;E$83&amp;E$1&amp;"C"&amp;$A92))-IF(RTD("tos.rtd",,$A$2,"."&amp;E$83&amp;E$1&amp;"P"&amp;$A92)="N/A",0,RTD("tos.rtd",,$A$2,"."&amp;E$83&amp;E$1&amp;"P"&amp;$A92))</f>
        <v>0</v>
      </c>
      <c r="F92" s="91">
        <f ca="1">IF(RTD("tos.rtd",,$A$2,"."&amp;F$83&amp;F$1&amp;"C"&amp;$A92)="N/A",0,RTD("tos.rtd",,$A$2,"."&amp;F$83&amp;F$1&amp;"C"&amp;$A92))-IF(RTD("tos.rtd",,$A$2,"."&amp;F$83&amp;F$1&amp;"P"&amp;$A92)="N/A",0,RTD("tos.rtd",,$A$2,"."&amp;F$83&amp;F$1&amp;"P"&amp;$A92))</f>
        <v>0</v>
      </c>
      <c r="G92" s="91">
        <f ca="1">IF(RTD("tos.rtd",,$A$2,"."&amp;G$83&amp;G$1&amp;"C"&amp;$A92)="N/A",0,RTD("tos.rtd",,$A$2,"."&amp;G$83&amp;G$1&amp;"C"&amp;$A92))-IF(RTD("tos.rtd",,$A$2,"."&amp;G$83&amp;G$1&amp;"P"&amp;$A92)="N/A",0,RTD("tos.rtd",,$A$2,"."&amp;G$83&amp;G$1&amp;"P"&amp;$A92))</f>
        <v>0</v>
      </c>
      <c r="H92" s="91">
        <f ca="1">IF(RTD("tos.rtd",,$A$2,"."&amp;H$83&amp;H$1&amp;"C"&amp;$A92)="N/A",0,RTD("tos.rtd",,$A$2,"."&amp;H$83&amp;H$1&amp;"C"&amp;$A92))-IF(RTD("tos.rtd",,$A$2,"."&amp;H$83&amp;H$1&amp;"P"&amp;$A92)="N/A",0,RTD("tos.rtd",,$A$2,"."&amp;H$83&amp;H$1&amp;"P"&amp;$A92))</f>
        <v>0</v>
      </c>
      <c r="I92" s="91">
        <f ca="1">IF(RTD("tos.rtd",,$A$2,"."&amp;I$83&amp;I$1&amp;"C"&amp;$A92)="N/A",0,RTD("tos.rtd",,$A$2,"."&amp;I$83&amp;I$1&amp;"C"&amp;$A92))-IF(RTD("tos.rtd",,$A$2,"."&amp;I$83&amp;I$1&amp;"P"&amp;$A92)="N/A",0,RTD("tos.rtd",,$A$2,"."&amp;I$83&amp;I$1&amp;"P"&amp;$A92))</f>
        <v>0</v>
      </c>
      <c r="J92" s="91">
        <f ca="1">IF(RTD("tos.rtd",,$A$2,"."&amp;J$83&amp;J$1&amp;"C"&amp;$A92)="N/A",0,RTD("tos.rtd",,$A$2,"."&amp;J$83&amp;J$1&amp;"C"&amp;$A92))-IF(RTD("tos.rtd",,$A$2,"."&amp;J$83&amp;J$1&amp;"P"&amp;$A92)="N/A",0,RTD("tos.rtd",,$A$2,"."&amp;J$83&amp;J$1&amp;"P"&amp;$A92))</f>
        <v>0</v>
      </c>
      <c r="K92" s="91">
        <f ca="1">IF(RTD("tos.rtd",,$A$2,"."&amp;K$83&amp;K$1&amp;"C"&amp;$A92)="N/A",0,RTD("tos.rtd",,$A$2,"."&amp;K$83&amp;K$1&amp;"C"&amp;$A92))-IF(RTD("tos.rtd",,$A$2,"."&amp;K$83&amp;K$1&amp;"P"&amp;$A92)="N/A",0,RTD("tos.rtd",,$A$2,"."&amp;K$83&amp;K$1&amp;"P"&amp;$A92))</f>
        <v>0</v>
      </c>
      <c r="L92" s="91">
        <f ca="1">IF(RTD("tos.rtd",,$A$2,"."&amp;L$83&amp;L$1&amp;"C"&amp;$A92)="N/A",0,RTD("tos.rtd",,$A$2,"."&amp;L$83&amp;L$1&amp;"C"&amp;$A92))-IF(RTD("tos.rtd",,$A$2,"."&amp;L$83&amp;L$1&amp;"P"&amp;$A92)="N/A",0,RTD("tos.rtd",,$A$2,"."&amp;L$83&amp;L$1&amp;"P"&amp;$A92))</f>
        <v>0</v>
      </c>
      <c r="M92" s="91">
        <f ca="1">IF(RTD("tos.rtd",,$A$2,"."&amp;M$83&amp;M$1&amp;"C"&amp;$A92)="N/A",0,RTD("tos.rtd",,$A$2,"."&amp;M$83&amp;M$1&amp;"C"&amp;$A92))-IF(RTD("tos.rtd",,$A$2,"."&amp;M$83&amp;M$1&amp;"P"&amp;$A92)="N/A",0,RTD("tos.rtd",,$A$2,"."&amp;M$83&amp;M$1&amp;"P"&amp;$A92))</f>
        <v>0</v>
      </c>
      <c r="N92" s="91">
        <f ca="1">IF(RTD("tos.rtd",,$A$2,"."&amp;N$83&amp;N$1&amp;"C"&amp;$A92)="N/A",0,RTD("tos.rtd",,$A$2,"."&amp;N$83&amp;N$1&amp;"C"&amp;$A92))-IF(RTD("tos.rtd",,$A$2,"."&amp;N$83&amp;N$1&amp;"P"&amp;$A92)="N/A",0,RTD("tos.rtd",,$A$2,"."&amp;N$83&amp;N$1&amp;"P"&amp;$A92))</f>
        <v>0</v>
      </c>
      <c r="O92" s="91">
        <f ca="1">IF(RTD("tos.rtd",,$A$2,"."&amp;O$83&amp;O$1&amp;"C"&amp;$A92)="N/A",0,RTD("tos.rtd",,$A$2,"."&amp;O$83&amp;O$1&amp;"C"&amp;$A92))-IF(RTD("tos.rtd",,$A$2,"."&amp;O$83&amp;O$1&amp;"P"&amp;$A92)="N/A",0,RTD("tos.rtd",,$A$2,"."&amp;O$83&amp;O$1&amp;"P"&amp;$A92))</f>
        <v>0</v>
      </c>
      <c r="P92" s="91">
        <f ca="1">IF(RTD("tos.rtd",,$A$2,"."&amp;P$83&amp;P$1&amp;"C"&amp;$A92)="N/A",0,RTD("tos.rtd",,$A$2,"."&amp;P$83&amp;P$1&amp;"C"&amp;$A92))-IF(RTD("tos.rtd",,$A$2,"."&amp;P$83&amp;P$1&amp;"P"&amp;$A92)="N/A",0,RTD("tos.rtd",,$A$2,"."&amp;P$83&amp;P$1&amp;"P"&amp;$A92))</f>
        <v>0</v>
      </c>
      <c r="Q92" s="91">
        <f ca="1">IF(RTD("tos.rtd",,$A$2,"."&amp;Q$83&amp;Q$1&amp;"C"&amp;$A92)="N/A",0,RTD("tos.rtd",,$A$2,"."&amp;Q$83&amp;Q$1&amp;"C"&amp;$A92))-IF(RTD("tos.rtd",,$A$2,"."&amp;Q$83&amp;Q$1&amp;"P"&amp;$A92)="N/A",0,RTD("tos.rtd",,$A$2,"."&amp;Q$83&amp;Q$1&amp;"P"&amp;$A92))</f>
        <v>0</v>
      </c>
      <c r="R92" s="91">
        <f ca="1">IF(RTD("tos.rtd",,$A$2,"."&amp;R$83&amp;R$1&amp;"C"&amp;$A92)="N/A",0,RTD("tos.rtd",,$A$2,"."&amp;R$83&amp;R$1&amp;"C"&amp;$A92))-IF(RTD("tos.rtd",,$A$2,"."&amp;R$83&amp;R$1&amp;"P"&amp;$A92)="N/A",0,RTD("tos.rtd",,$A$2,"."&amp;R$83&amp;R$1&amp;"P"&amp;$A92))</f>
        <v>0</v>
      </c>
      <c r="S92" s="91">
        <f ca="1">IF(RTD("tos.rtd",,$A$2,"."&amp;S$83&amp;S$1&amp;"C"&amp;$A92)="N/A",0,RTD("tos.rtd",,$A$2,"."&amp;S$83&amp;S$1&amp;"C"&amp;$A92))-IF(RTD("tos.rtd",,$A$2,"."&amp;S$83&amp;S$1&amp;"P"&amp;$A92)="N/A",0,RTD("tos.rtd",,$A$2,"."&amp;S$83&amp;S$1&amp;"P"&amp;$A92))</f>
        <v>0</v>
      </c>
      <c r="T92" s="91">
        <f ca="1">IF(RTD("tos.rtd",,$A$2,"."&amp;T$83&amp;T$1&amp;"C"&amp;$A92)="N/A",0,RTD("tos.rtd",,$A$2,"."&amp;T$83&amp;T$1&amp;"C"&amp;$A92))-IF(RTD("tos.rtd",,$A$2,"."&amp;T$83&amp;T$1&amp;"P"&amp;$A92)="N/A",0,RTD("tos.rtd",,$A$2,"."&amp;T$83&amp;T$1&amp;"P"&amp;$A92))</f>
        <v>0</v>
      </c>
      <c r="U92" s="91">
        <f ca="1">IF(RTD("tos.rtd",,$A$2,"."&amp;U$83&amp;U$1&amp;"C"&amp;$A92)="N/A",0,RTD("tos.rtd",,$A$2,"."&amp;U$83&amp;U$1&amp;"C"&amp;$A92))-IF(RTD("tos.rtd",,$A$2,"."&amp;U$83&amp;U$1&amp;"P"&amp;$A92)="N/A",0,RTD("tos.rtd",,$A$2,"."&amp;U$83&amp;U$1&amp;"P"&amp;$A92))</f>
        <v>0</v>
      </c>
      <c r="V92" s="91">
        <f ca="1">IF(RTD("tos.rtd",,$A$2,"."&amp;V$83&amp;V$1&amp;"C"&amp;$A92)="N/A",0,RTD("tos.rtd",,$A$2,"."&amp;V$83&amp;V$1&amp;"C"&amp;$A92))-IF(RTD("tos.rtd",,$A$2,"."&amp;V$83&amp;V$1&amp;"P"&amp;$A92)="N/A",0,RTD("tos.rtd",,$A$2,"."&amp;V$83&amp;V$1&amp;"P"&amp;$A92))</f>
        <v>0</v>
      </c>
      <c r="W92" s="91">
        <f ca="1">IF(RTD("tos.rtd",,$A$2,"."&amp;W$83&amp;W$1&amp;"C"&amp;$A92)="N/A",0,RTD("tos.rtd",,$A$2,"."&amp;W$83&amp;W$1&amp;"C"&amp;$A92))-IF(RTD("tos.rtd",,$A$2,"."&amp;W$83&amp;W$1&amp;"P"&amp;$A92)="N/A",0,RTD("tos.rtd",,$A$2,"."&amp;W$83&amp;W$1&amp;"P"&amp;$A92))</f>
        <v>0</v>
      </c>
      <c r="X92" s="91">
        <f ca="1">IF(RTD("tos.rtd",,$A$2,"."&amp;X$83&amp;X$1&amp;"C"&amp;$A92)="N/A",0,RTD("tos.rtd",,$A$2,"."&amp;X$83&amp;X$1&amp;"C"&amp;$A92))-IF(RTD("tos.rtd",,$A$2,"."&amp;X$83&amp;X$1&amp;"P"&amp;$A92)="N/A",0,RTD("tos.rtd",,$A$2,"."&amp;X$83&amp;X$1&amp;"P"&amp;$A92))</f>
        <v>0</v>
      </c>
      <c r="Y92" s="98">
        <f t="shared" ca="1" si="10"/>
        <v>0</v>
      </c>
    </row>
    <row r="93" spans="1:25" x14ac:dyDescent="0.25">
      <c r="A93" s="93">
        <f>+Hoja1!A92</f>
        <v>5800</v>
      </c>
      <c r="B93" s="91">
        <f ca="1">IF(RTD("tos.rtd",,$A$2,"."&amp;B$83&amp;B$1&amp;"C"&amp;$A93)="N/A",0,RTD("tos.rtd",,$A$2,"."&amp;B$83&amp;B$1&amp;"C"&amp;$A93))-IF(RTD("tos.rtd",,$A$2,"."&amp;B$83&amp;B$1&amp;"P"&amp;$A93)="N/A",0,RTD("tos.rtd",,$A$2,"."&amp;B$83&amp;B$1&amp;"P"&amp;$A93))</f>
        <v>0</v>
      </c>
      <c r="C93" s="91">
        <f ca="1">IF(RTD("tos.rtd",,$A$2,"."&amp;C$83&amp;C$1&amp;"C"&amp;$A93)="N/A",0,RTD("tos.rtd",,$A$2,"."&amp;C$83&amp;C$1&amp;"C"&amp;$A93))-IF(RTD("tos.rtd",,$A$2,"."&amp;C$83&amp;C$1&amp;"P"&amp;$A93)="N/A",0,RTD("tos.rtd",,$A$2,"."&amp;C$83&amp;C$1&amp;"P"&amp;$A93))</f>
        <v>0</v>
      </c>
      <c r="D93" s="91">
        <f ca="1">IF(RTD("tos.rtd",,$A$2,"."&amp;D$83&amp;D$1&amp;"C"&amp;$A93)="N/A",0,RTD("tos.rtd",,$A$2,"."&amp;D$83&amp;D$1&amp;"C"&amp;$A93))-IF(RTD("tos.rtd",,$A$2,"."&amp;D$83&amp;D$1&amp;"P"&amp;$A93)="N/A",0,RTD("tos.rtd",,$A$2,"."&amp;D$83&amp;D$1&amp;"P"&amp;$A93))</f>
        <v>0</v>
      </c>
      <c r="E93" s="91">
        <f ca="1">IF(RTD("tos.rtd",,$A$2,"."&amp;E$83&amp;E$1&amp;"C"&amp;$A93)="N/A",0,RTD("tos.rtd",,$A$2,"."&amp;E$83&amp;E$1&amp;"C"&amp;$A93))-IF(RTD("tos.rtd",,$A$2,"."&amp;E$83&amp;E$1&amp;"P"&amp;$A93)="N/A",0,RTD("tos.rtd",,$A$2,"."&amp;E$83&amp;E$1&amp;"P"&amp;$A93))</f>
        <v>0</v>
      </c>
      <c r="F93" s="91">
        <f ca="1">IF(RTD("tos.rtd",,$A$2,"."&amp;F$83&amp;F$1&amp;"C"&amp;$A93)="N/A",0,RTD("tos.rtd",,$A$2,"."&amp;F$83&amp;F$1&amp;"C"&amp;$A93))-IF(RTD("tos.rtd",,$A$2,"."&amp;F$83&amp;F$1&amp;"P"&amp;$A93)="N/A",0,RTD("tos.rtd",,$A$2,"."&amp;F$83&amp;F$1&amp;"P"&amp;$A93))</f>
        <v>0</v>
      </c>
      <c r="G93" s="91">
        <f ca="1">IF(RTD("tos.rtd",,$A$2,"."&amp;G$83&amp;G$1&amp;"C"&amp;$A93)="N/A",0,RTD("tos.rtd",,$A$2,"."&amp;G$83&amp;G$1&amp;"C"&amp;$A93))-IF(RTD("tos.rtd",,$A$2,"."&amp;G$83&amp;G$1&amp;"P"&amp;$A93)="N/A",0,RTD("tos.rtd",,$A$2,"."&amp;G$83&amp;G$1&amp;"P"&amp;$A93))</f>
        <v>0</v>
      </c>
      <c r="H93" s="91">
        <f ca="1">IF(RTD("tos.rtd",,$A$2,"."&amp;H$83&amp;H$1&amp;"C"&amp;$A93)="N/A",0,RTD("tos.rtd",,$A$2,"."&amp;H$83&amp;H$1&amp;"C"&amp;$A93))-IF(RTD("tos.rtd",,$A$2,"."&amp;H$83&amp;H$1&amp;"P"&amp;$A93)="N/A",0,RTD("tos.rtd",,$A$2,"."&amp;H$83&amp;H$1&amp;"P"&amp;$A93))</f>
        <v>0</v>
      </c>
      <c r="I93" s="91">
        <f ca="1">IF(RTD("tos.rtd",,$A$2,"."&amp;I$83&amp;I$1&amp;"C"&amp;$A93)="N/A",0,RTD("tos.rtd",,$A$2,"."&amp;I$83&amp;I$1&amp;"C"&amp;$A93))-IF(RTD("tos.rtd",,$A$2,"."&amp;I$83&amp;I$1&amp;"P"&amp;$A93)="N/A",0,RTD("tos.rtd",,$A$2,"."&amp;I$83&amp;I$1&amp;"P"&amp;$A93))</f>
        <v>0</v>
      </c>
      <c r="J93" s="91">
        <f ca="1">IF(RTD("tos.rtd",,$A$2,"."&amp;J$83&amp;J$1&amp;"C"&amp;$A93)="N/A",0,RTD("tos.rtd",,$A$2,"."&amp;J$83&amp;J$1&amp;"C"&amp;$A93))-IF(RTD("tos.rtd",,$A$2,"."&amp;J$83&amp;J$1&amp;"P"&amp;$A93)="N/A",0,RTD("tos.rtd",,$A$2,"."&amp;J$83&amp;J$1&amp;"P"&amp;$A93))</f>
        <v>0</v>
      </c>
      <c r="K93" s="91">
        <f ca="1">IF(RTD("tos.rtd",,$A$2,"."&amp;K$83&amp;K$1&amp;"C"&amp;$A93)="N/A",0,RTD("tos.rtd",,$A$2,"."&amp;K$83&amp;K$1&amp;"C"&amp;$A93))-IF(RTD("tos.rtd",,$A$2,"."&amp;K$83&amp;K$1&amp;"P"&amp;$A93)="N/A",0,RTD("tos.rtd",,$A$2,"."&amp;K$83&amp;K$1&amp;"P"&amp;$A93))</f>
        <v>0</v>
      </c>
      <c r="L93" s="91">
        <f ca="1">IF(RTD("tos.rtd",,$A$2,"."&amp;L$83&amp;L$1&amp;"C"&amp;$A93)="N/A",0,RTD("tos.rtd",,$A$2,"."&amp;L$83&amp;L$1&amp;"C"&amp;$A93))-IF(RTD("tos.rtd",,$A$2,"."&amp;L$83&amp;L$1&amp;"P"&amp;$A93)="N/A",0,RTD("tos.rtd",,$A$2,"."&amp;L$83&amp;L$1&amp;"P"&amp;$A93))</f>
        <v>0</v>
      </c>
      <c r="M93" s="91">
        <f ca="1">IF(RTD("tos.rtd",,$A$2,"."&amp;M$83&amp;M$1&amp;"C"&amp;$A93)="N/A",0,RTD("tos.rtd",,$A$2,"."&amp;M$83&amp;M$1&amp;"C"&amp;$A93))-IF(RTD("tos.rtd",,$A$2,"."&amp;M$83&amp;M$1&amp;"P"&amp;$A93)="N/A",0,RTD("tos.rtd",,$A$2,"."&amp;M$83&amp;M$1&amp;"P"&amp;$A93))</f>
        <v>0</v>
      </c>
      <c r="N93" s="91">
        <f ca="1">IF(RTD("tos.rtd",,$A$2,"."&amp;N$83&amp;N$1&amp;"C"&amp;$A93)="N/A",0,RTD("tos.rtd",,$A$2,"."&amp;N$83&amp;N$1&amp;"C"&amp;$A93))-IF(RTD("tos.rtd",,$A$2,"."&amp;N$83&amp;N$1&amp;"P"&amp;$A93)="N/A",0,RTD("tos.rtd",,$A$2,"."&amp;N$83&amp;N$1&amp;"P"&amp;$A93))</f>
        <v>0</v>
      </c>
      <c r="O93" s="91">
        <f ca="1">IF(RTD("tos.rtd",,$A$2,"."&amp;O$83&amp;O$1&amp;"C"&amp;$A93)="N/A",0,RTD("tos.rtd",,$A$2,"."&amp;O$83&amp;O$1&amp;"C"&amp;$A93))-IF(RTD("tos.rtd",,$A$2,"."&amp;O$83&amp;O$1&amp;"P"&amp;$A93)="N/A",0,RTD("tos.rtd",,$A$2,"."&amp;O$83&amp;O$1&amp;"P"&amp;$A93))</f>
        <v>0</v>
      </c>
      <c r="P93" s="91">
        <f ca="1">IF(RTD("tos.rtd",,$A$2,"."&amp;P$83&amp;P$1&amp;"C"&amp;$A93)="N/A",0,RTD("tos.rtd",,$A$2,"."&amp;P$83&amp;P$1&amp;"C"&amp;$A93))-IF(RTD("tos.rtd",,$A$2,"."&amp;P$83&amp;P$1&amp;"P"&amp;$A93)="N/A",0,RTD("tos.rtd",,$A$2,"."&amp;P$83&amp;P$1&amp;"P"&amp;$A93))</f>
        <v>0</v>
      </c>
      <c r="Q93" s="91">
        <f ca="1">IF(RTD("tos.rtd",,$A$2,"."&amp;Q$83&amp;Q$1&amp;"C"&amp;$A93)="N/A",0,RTD("tos.rtd",,$A$2,"."&amp;Q$83&amp;Q$1&amp;"C"&amp;$A93))-IF(RTD("tos.rtd",,$A$2,"."&amp;Q$83&amp;Q$1&amp;"P"&amp;$A93)="N/A",0,RTD("tos.rtd",,$A$2,"."&amp;Q$83&amp;Q$1&amp;"P"&amp;$A93))</f>
        <v>0</v>
      </c>
      <c r="R93" s="91">
        <f ca="1">IF(RTD("tos.rtd",,$A$2,"."&amp;R$83&amp;R$1&amp;"C"&amp;$A93)="N/A",0,RTD("tos.rtd",,$A$2,"."&amp;R$83&amp;R$1&amp;"C"&amp;$A93))-IF(RTD("tos.rtd",,$A$2,"."&amp;R$83&amp;R$1&amp;"P"&amp;$A93)="N/A",0,RTD("tos.rtd",,$A$2,"."&amp;R$83&amp;R$1&amp;"P"&amp;$A93))</f>
        <v>0</v>
      </c>
      <c r="S93" s="91">
        <f ca="1">IF(RTD("tos.rtd",,$A$2,"."&amp;S$83&amp;S$1&amp;"C"&amp;$A93)="N/A",0,RTD("tos.rtd",,$A$2,"."&amp;S$83&amp;S$1&amp;"C"&amp;$A93))-IF(RTD("tos.rtd",,$A$2,"."&amp;S$83&amp;S$1&amp;"P"&amp;$A93)="N/A",0,RTD("tos.rtd",,$A$2,"."&amp;S$83&amp;S$1&amp;"P"&amp;$A93))</f>
        <v>0</v>
      </c>
      <c r="T93" s="91">
        <f ca="1">IF(RTD("tos.rtd",,$A$2,"."&amp;T$83&amp;T$1&amp;"C"&amp;$A93)="N/A",0,RTD("tos.rtd",,$A$2,"."&amp;T$83&amp;T$1&amp;"C"&amp;$A93))-IF(RTD("tos.rtd",,$A$2,"."&amp;T$83&amp;T$1&amp;"P"&amp;$A93)="N/A",0,RTD("tos.rtd",,$A$2,"."&amp;T$83&amp;T$1&amp;"P"&amp;$A93))</f>
        <v>0</v>
      </c>
      <c r="U93" s="91">
        <f ca="1">IF(RTD("tos.rtd",,$A$2,"."&amp;U$83&amp;U$1&amp;"C"&amp;$A93)="N/A",0,RTD("tos.rtd",,$A$2,"."&amp;U$83&amp;U$1&amp;"C"&amp;$A93))-IF(RTD("tos.rtd",,$A$2,"."&amp;U$83&amp;U$1&amp;"P"&amp;$A93)="N/A",0,RTD("tos.rtd",,$A$2,"."&amp;U$83&amp;U$1&amp;"P"&amp;$A93))</f>
        <v>0</v>
      </c>
      <c r="V93" s="91">
        <f ca="1">IF(RTD("tos.rtd",,$A$2,"."&amp;V$83&amp;V$1&amp;"C"&amp;$A93)="N/A",0,RTD("tos.rtd",,$A$2,"."&amp;V$83&amp;V$1&amp;"C"&amp;$A93))-IF(RTD("tos.rtd",,$A$2,"."&amp;V$83&amp;V$1&amp;"P"&amp;$A93)="N/A",0,RTD("tos.rtd",,$A$2,"."&amp;V$83&amp;V$1&amp;"P"&amp;$A93))</f>
        <v>0</v>
      </c>
      <c r="W93" s="91">
        <f ca="1">IF(RTD("tos.rtd",,$A$2,"."&amp;W$83&amp;W$1&amp;"C"&amp;$A93)="N/A",0,RTD("tos.rtd",,$A$2,"."&amp;W$83&amp;W$1&amp;"C"&amp;$A93))-IF(RTD("tos.rtd",,$A$2,"."&amp;W$83&amp;W$1&amp;"P"&amp;$A93)="N/A",0,RTD("tos.rtd",,$A$2,"."&amp;W$83&amp;W$1&amp;"P"&amp;$A93))</f>
        <v>0</v>
      </c>
      <c r="X93" s="91">
        <f ca="1">IF(RTD("tos.rtd",,$A$2,"."&amp;X$83&amp;X$1&amp;"C"&amp;$A93)="N/A",0,RTD("tos.rtd",,$A$2,"."&amp;X$83&amp;X$1&amp;"C"&amp;$A93))-IF(RTD("tos.rtd",,$A$2,"."&amp;X$83&amp;X$1&amp;"P"&amp;$A93)="N/A",0,RTD("tos.rtd",,$A$2,"."&amp;X$83&amp;X$1&amp;"P"&amp;$A93))</f>
        <v>0</v>
      </c>
      <c r="Y93" s="98">
        <f t="shared" ca="1" si="10"/>
        <v>0</v>
      </c>
    </row>
    <row r="94" spans="1:25" x14ac:dyDescent="0.25">
      <c r="A94" s="93">
        <f>+Hoja1!A93</f>
        <v>5790</v>
      </c>
      <c r="B94" s="91">
        <f ca="1">IF(RTD("tos.rtd",,$A$2,"."&amp;B$83&amp;B$1&amp;"C"&amp;$A94)="N/A",0,RTD("tos.rtd",,$A$2,"."&amp;B$83&amp;B$1&amp;"C"&amp;$A94))-IF(RTD("tos.rtd",,$A$2,"."&amp;B$83&amp;B$1&amp;"P"&amp;$A94)="N/A",0,RTD("tos.rtd",,$A$2,"."&amp;B$83&amp;B$1&amp;"P"&amp;$A94))</f>
        <v>0</v>
      </c>
      <c r="C94" s="91">
        <f ca="1">IF(RTD("tos.rtd",,$A$2,"."&amp;C$83&amp;C$1&amp;"C"&amp;$A94)="N/A",0,RTD("tos.rtd",,$A$2,"."&amp;C$83&amp;C$1&amp;"C"&amp;$A94))-IF(RTD("tos.rtd",,$A$2,"."&amp;C$83&amp;C$1&amp;"P"&amp;$A94)="N/A",0,RTD("tos.rtd",,$A$2,"."&amp;C$83&amp;C$1&amp;"P"&amp;$A94))</f>
        <v>0</v>
      </c>
      <c r="D94" s="91">
        <f ca="1">IF(RTD("tos.rtd",,$A$2,"."&amp;D$83&amp;D$1&amp;"C"&amp;$A94)="N/A",0,RTD("tos.rtd",,$A$2,"."&amp;D$83&amp;D$1&amp;"C"&amp;$A94))-IF(RTD("tos.rtd",,$A$2,"."&amp;D$83&amp;D$1&amp;"P"&amp;$A94)="N/A",0,RTD("tos.rtd",,$A$2,"."&amp;D$83&amp;D$1&amp;"P"&amp;$A94))</f>
        <v>0</v>
      </c>
      <c r="E94" s="91">
        <f ca="1">IF(RTD("tos.rtd",,$A$2,"."&amp;E$83&amp;E$1&amp;"C"&amp;$A94)="N/A",0,RTD("tos.rtd",,$A$2,"."&amp;E$83&amp;E$1&amp;"C"&amp;$A94))-IF(RTD("tos.rtd",,$A$2,"."&amp;E$83&amp;E$1&amp;"P"&amp;$A94)="N/A",0,RTD("tos.rtd",,$A$2,"."&amp;E$83&amp;E$1&amp;"P"&amp;$A94))</f>
        <v>0</v>
      </c>
      <c r="F94" s="91">
        <f ca="1">IF(RTD("tos.rtd",,$A$2,"."&amp;F$83&amp;F$1&amp;"C"&amp;$A94)="N/A",0,RTD("tos.rtd",,$A$2,"."&amp;F$83&amp;F$1&amp;"C"&amp;$A94))-IF(RTD("tos.rtd",,$A$2,"."&amp;F$83&amp;F$1&amp;"P"&amp;$A94)="N/A",0,RTD("tos.rtd",,$A$2,"."&amp;F$83&amp;F$1&amp;"P"&amp;$A94))</f>
        <v>0</v>
      </c>
      <c r="G94" s="91">
        <f ca="1">IF(RTD("tos.rtd",,$A$2,"."&amp;G$83&amp;G$1&amp;"C"&amp;$A94)="N/A",0,RTD("tos.rtd",,$A$2,"."&amp;G$83&amp;G$1&amp;"C"&amp;$A94))-IF(RTD("tos.rtd",,$A$2,"."&amp;G$83&amp;G$1&amp;"P"&amp;$A94)="N/A",0,RTD("tos.rtd",,$A$2,"."&amp;G$83&amp;G$1&amp;"P"&amp;$A94))</f>
        <v>0</v>
      </c>
      <c r="H94" s="91">
        <f ca="1">IF(RTD("tos.rtd",,$A$2,"."&amp;H$83&amp;H$1&amp;"C"&amp;$A94)="N/A",0,RTD("tos.rtd",,$A$2,"."&amp;H$83&amp;H$1&amp;"C"&amp;$A94))-IF(RTD("tos.rtd",,$A$2,"."&amp;H$83&amp;H$1&amp;"P"&amp;$A94)="N/A",0,RTD("tos.rtd",,$A$2,"."&amp;H$83&amp;H$1&amp;"P"&amp;$A94))</f>
        <v>0</v>
      </c>
      <c r="I94" s="91">
        <f ca="1">IF(RTD("tos.rtd",,$A$2,"."&amp;I$83&amp;I$1&amp;"C"&amp;$A94)="N/A",0,RTD("tos.rtd",,$A$2,"."&amp;I$83&amp;I$1&amp;"C"&amp;$A94))-IF(RTD("tos.rtd",,$A$2,"."&amp;I$83&amp;I$1&amp;"P"&amp;$A94)="N/A",0,RTD("tos.rtd",,$A$2,"."&amp;I$83&amp;I$1&amp;"P"&amp;$A94))</f>
        <v>0</v>
      </c>
      <c r="J94" s="91">
        <f ca="1">IF(RTD("tos.rtd",,$A$2,"."&amp;J$83&amp;J$1&amp;"C"&amp;$A94)="N/A",0,RTD("tos.rtd",,$A$2,"."&amp;J$83&amp;J$1&amp;"C"&amp;$A94))-IF(RTD("tos.rtd",,$A$2,"."&amp;J$83&amp;J$1&amp;"P"&amp;$A94)="N/A",0,RTD("tos.rtd",,$A$2,"."&amp;J$83&amp;J$1&amp;"P"&amp;$A94))</f>
        <v>0</v>
      </c>
      <c r="K94" s="91">
        <f ca="1">IF(RTD("tos.rtd",,$A$2,"."&amp;K$83&amp;K$1&amp;"C"&amp;$A94)="N/A",0,RTD("tos.rtd",,$A$2,"."&amp;K$83&amp;K$1&amp;"C"&amp;$A94))-IF(RTD("tos.rtd",,$A$2,"."&amp;K$83&amp;K$1&amp;"P"&amp;$A94)="N/A",0,RTD("tos.rtd",,$A$2,"."&amp;K$83&amp;K$1&amp;"P"&amp;$A94))</f>
        <v>0</v>
      </c>
      <c r="L94" s="91">
        <f ca="1">IF(RTD("tos.rtd",,$A$2,"."&amp;L$83&amp;L$1&amp;"C"&amp;$A94)="N/A",0,RTD("tos.rtd",,$A$2,"."&amp;L$83&amp;L$1&amp;"C"&amp;$A94))-IF(RTD("tos.rtd",,$A$2,"."&amp;L$83&amp;L$1&amp;"P"&amp;$A94)="N/A",0,RTD("tos.rtd",,$A$2,"."&amp;L$83&amp;L$1&amp;"P"&amp;$A94))</f>
        <v>0</v>
      </c>
      <c r="M94" s="91">
        <f ca="1">IF(RTD("tos.rtd",,$A$2,"."&amp;M$83&amp;M$1&amp;"C"&amp;$A94)="N/A",0,RTD("tos.rtd",,$A$2,"."&amp;M$83&amp;M$1&amp;"C"&amp;$A94))-IF(RTD("tos.rtd",,$A$2,"."&amp;M$83&amp;M$1&amp;"P"&amp;$A94)="N/A",0,RTD("tos.rtd",,$A$2,"."&amp;M$83&amp;M$1&amp;"P"&amp;$A94))</f>
        <v>0</v>
      </c>
      <c r="N94" s="91">
        <f ca="1">IF(RTD("tos.rtd",,$A$2,"."&amp;N$83&amp;N$1&amp;"C"&amp;$A94)="N/A",0,RTD("tos.rtd",,$A$2,"."&amp;N$83&amp;N$1&amp;"C"&amp;$A94))-IF(RTD("tos.rtd",,$A$2,"."&amp;N$83&amp;N$1&amp;"P"&amp;$A94)="N/A",0,RTD("tos.rtd",,$A$2,"."&amp;N$83&amp;N$1&amp;"P"&amp;$A94))</f>
        <v>0</v>
      </c>
      <c r="O94" s="91">
        <f ca="1">IF(RTD("tos.rtd",,$A$2,"."&amp;O$83&amp;O$1&amp;"C"&amp;$A94)="N/A",0,RTD("tos.rtd",,$A$2,"."&amp;O$83&amp;O$1&amp;"C"&amp;$A94))-IF(RTD("tos.rtd",,$A$2,"."&amp;O$83&amp;O$1&amp;"P"&amp;$A94)="N/A",0,RTD("tos.rtd",,$A$2,"."&amp;O$83&amp;O$1&amp;"P"&amp;$A94))</f>
        <v>0</v>
      </c>
      <c r="P94" s="91">
        <f ca="1">IF(RTD("tos.rtd",,$A$2,"."&amp;P$83&amp;P$1&amp;"C"&amp;$A94)="N/A",0,RTD("tos.rtd",,$A$2,"."&amp;P$83&amp;P$1&amp;"C"&amp;$A94))-IF(RTD("tos.rtd",,$A$2,"."&amp;P$83&amp;P$1&amp;"P"&amp;$A94)="N/A",0,RTD("tos.rtd",,$A$2,"."&amp;P$83&amp;P$1&amp;"P"&amp;$A94))</f>
        <v>0</v>
      </c>
      <c r="Q94" s="91">
        <f ca="1">IF(RTD("tos.rtd",,$A$2,"."&amp;Q$83&amp;Q$1&amp;"C"&amp;$A94)="N/A",0,RTD("tos.rtd",,$A$2,"."&amp;Q$83&amp;Q$1&amp;"C"&amp;$A94))-IF(RTD("tos.rtd",,$A$2,"."&amp;Q$83&amp;Q$1&amp;"P"&amp;$A94)="N/A",0,RTD("tos.rtd",,$A$2,"."&amp;Q$83&amp;Q$1&amp;"P"&amp;$A94))</f>
        <v>0</v>
      </c>
      <c r="R94" s="91">
        <f ca="1">IF(RTD("tos.rtd",,$A$2,"."&amp;R$83&amp;R$1&amp;"C"&amp;$A94)="N/A",0,RTD("tos.rtd",,$A$2,"."&amp;R$83&amp;R$1&amp;"C"&amp;$A94))-IF(RTD("tos.rtd",,$A$2,"."&amp;R$83&amp;R$1&amp;"P"&amp;$A94)="N/A",0,RTD("tos.rtd",,$A$2,"."&amp;R$83&amp;R$1&amp;"P"&amp;$A94))</f>
        <v>0</v>
      </c>
      <c r="S94" s="91">
        <f ca="1">IF(RTD("tos.rtd",,$A$2,"."&amp;S$83&amp;S$1&amp;"C"&amp;$A94)="N/A",0,RTD("tos.rtd",,$A$2,"."&amp;S$83&amp;S$1&amp;"C"&amp;$A94))-IF(RTD("tos.rtd",,$A$2,"."&amp;S$83&amp;S$1&amp;"P"&amp;$A94)="N/A",0,RTD("tos.rtd",,$A$2,"."&amp;S$83&amp;S$1&amp;"P"&amp;$A94))</f>
        <v>0</v>
      </c>
      <c r="T94" s="91">
        <f ca="1">IF(RTD("tos.rtd",,$A$2,"."&amp;T$83&amp;T$1&amp;"C"&amp;$A94)="N/A",0,RTD("tos.rtd",,$A$2,"."&amp;T$83&amp;T$1&amp;"C"&amp;$A94))-IF(RTD("tos.rtd",,$A$2,"."&amp;T$83&amp;T$1&amp;"P"&amp;$A94)="N/A",0,RTD("tos.rtd",,$A$2,"."&amp;T$83&amp;T$1&amp;"P"&amp;$A94))</f>
        <v>0</v>
      </c>
      <c r="U94" s="91">
        <f ca="1">IF(RTD("tos.rtd",,$A$2,"."&amp;U$83&amp;U$1&amp;"C"&amp;$A94)="N/A",0,RTD("tos.rtd",,$A$2,"."&amp;U$83&amp;U$1&amp;"C"&amp;$A94))-IF(RTD("tos.rtd",,$A$2,"."&amp;U$83&amp;U$1&amp;"P"&amp;$A94)="N/A",0,RTD("tos.rtd",,$A$2,"."&amp;U$83&amp;U$1&amp;"P"&amp;$A94))</f>
        <v>0</v>
      </c>
      <c r="V94" s="91">
        <f ca="1">IF(RTD("tos.rtd",,$A$2,"."&amp;V$83&amp;V$1&amp;"C"&amp;$A94)="N/A",0,RTD("tos.rtd",,$A$2,"."&amp;V$83&amp;V$1&amp;"C"&amp;$A94))-IF(RTD("tos.rtd",,$A$2,"."&amp;V$83&amp;V$1&amp;"P"&amp;$A94)="N/A",0,RTD("tos.rtd",,$A$2,"."&amp;V$83&amp;V$1&amp;"P"&amp;$A94))</f>
        <v>0</v>
      </c>
      <c r="W94" s="91">
        <f ca="1">IF(RTD("tos.rtd",,$A$2,"."&amp;W$83&amp;W$1&amp;"C"&amp;$A94)="N/A",0,RTD("tos.rtd",,$A$2,"."&amp;W$83&amp;W$1&amp;"C"&amp;$A94))-IF(RTD("tos.rtd",,$A$2,"."&amp;W$83&amp;W$1&amp;"P"&amp;$A94)="N/A",0,RTD("tos.rtd",,$A$2,"."&amp;W$83&amp;W$1&amp;"P"&amp;$A94))</f>
        <v>0</v>
      </c>
      <c r="X94" s="91">
        <f ca="1">IF(RTD("tos.rtd",,$A$2,"."&amp;X$83&amp;X$1&amp;"C"&amp;$A94)="N/A",0,RTD("tos.rtd",,$A$2,"."&amp;X$83&amp;X$1&amp;"C"&amp;$A94))-IF(RTD("tos.rtd",,$A$2,"."&amp;X$83&amp;X$1&amp;"P"&amp;$A94)="N/A",0,RTD("tos.rtd",,$A$2,"."&amp;X$83&amp;X$1&amp;"P"&amp;$A94))</f>
        <v>0</v>
      </c>
      <c r="Y94" s="98">
        <f t="shared" ca="1" si="10"/>
        <v>0</v>
      </c>
    </row>
    <row r="95" spans="1:25" x14ac:dyDescent="0.25">
      <c r="A95" s="93">
        <f>+Hoja1!A94</f>
        <v>5780</v>
      </c>
      <c r="B95" s="91">
        <f ca="1">IF(RTD("tos.rtd",,$A$2,"."&amp;B$83&amp;B$1&amp;"C"&amp;$A95)="N/A",0,RTD("tos.rtd",,$A$2,"."&amp;B$83&amp;B$1&amp;"C"&amp;$A95))-IF(RTD("tos.rtd",,$A$2,"."&amp;B$83&amp;B$1&amp;"P"&amp;$A95)="N/A",0,RTD("tos.rtd",,$A$2,"."&amp;B$83&amp;B$1&amp;"P"&amp;$A95))</f>
        <v>0</v>
      </c>
      <c r="C95" s="91">
        <f ca="1">IF(RTD("tos.rtd",,$A$2,"."&amp;C$83&amp;C$1&amp;"C"&amp;$A95)="N/A",0,RTD("tos.rtd",,$A$2,"."&amp;C$83&amp;C$1&amp;"C"&amp;$A95))-IF(RTD("tos.rtd",,$A$2,"."&amp;C$83&amp;C$1&amp;"P"&amp;$A95)="N/A",0,RTD("tos.rtd",,$A$2,"."&amp;C$83&amp;C$1&amp;"P"&amp;$A95))</f>
        <v>0</v>
      </c>
      <c r="D95" s="91">
        <f ca="1">IF(RTD("tos.rtd",,$A$2,"."&amp;D$83&amp;D$1&amp;"C"&amp;$A95)="N/A",0,RTD("tos.rtd",,$A$2,"."&amp;D$83&amp;D$1&amp;"C"&amp;$A95))-IF(RTD("tos.rtd",,$A$2,"."&amp;D$83&amp;D$1&amp;"P"&amp;$A95)="N/A",0,RTD("tos.rtd",,$A$2,"."&amp;D$83&amp;D$1&amp;"P"&amp;$A95))</f>
        <v>0</v>
      </c>
      <c r="E95" s="91">
        <f ca="1">IF(RTD("tos.rtd",,$A$2,"."&amp;E$83&amp;E$1&amp;"C"&amp;$A95)="N/A",0,RTD("tos.rtd",,$A$2,"."&amp;E$83&amp;E$1&amp;"C"&amp;$A95))-IF(RTD("tos.rtd",,$A$2,"."&amp;E$83&amp;E$1&amp;"P"&amp;$A95)="N/A",0,RTD("tos.rtd",,$A$2,"."&amp;E$83&amp;E$1&amp;"P"&amp;$A95))</f>
        <v>0</v>
      </c>
      <c r="F95" s="91">
        <f ca="1">IF(RTD("tos.rtd",,$A$2,"."&amp;F$83&amp;F$1&amp;"C"&amp;$A95)="N/A",0,RTD("tos.rtd",,$A$2,"."&amp;F$83&amp;F$1&amp;"C"&amp;$A95))-IF(RTD("tos.rtd",,$A$2,"."&amp;F$83&amp;F$1&amp;"P"&amp;$A95)="N/A",0,RTD("tos.rtd",,$A$2,"."&amp;F$83&amp;F$1&amp;"P"&amp;$A95))</f>
        <v>0</v>
      </c>
      <c r="G95" s="91">
        <f ca="1">IF(RTD("tos.rtd",,$A$2,"."&amp;G$83&amp;G$1&amp;"C"&amp;$A95)="N/A",0,RTD("tos.rtd",,$A$2,"."&amp;G$83&amp;G$1&amp;"C"&amp;$A95))-IF(RTD("tos.rtd",,$A$2,"."&amp;G$83&amp;G$1&amp;"P"&amp;$A95)="N/A",0,RTD("tos.rtd",,$A$2,"."&amp;G$83&amp;G$1&amp;"P"&amp;$A95))</f>
        <v>0</v>
      </c>
      <c r="H95" s="91">
        <f ca="1">IF(RTD("tos.rtd",,$A$2,"."&amp;H$83&amp;H$1&amp;"C"&amp;$A95)="N/A",0,RTD("tos.rtd",,$A$2,"."&amp;H$83&amp;H$1&amp;"C"&amp;$A95))-IF(RTD("tos.rtd",,$A$2,"."&amp;H$83&amp;H$1&amp;"P"&amp;$A95)="N/A",0,RTD("tos.rtd",,$A$2,"."&amp;H$83&amp;H$1&amp;"P"&amp;$A95))</f>
        <v>0</v>
      </c>
      <c r="I95" s="91">
        <f ca="1">IF(RTD("tos.rtd",,$A$2,"."&amp;I$83&amp;I$1&amp;"C"&amp;$A95)="N/A",0,RTD("tos.rtd",,$A$2,"."&amp;I$83&amp;I$1&amp;"C"&amp;$A95))-IF(RTD("tos.rtd",,$A$2,"."&amp;I$83&amp;I$1&amp;"P"&amp;$A95)="N/A",0,RTD("tos.rtd",,$A$2,"."&amp;I$83&amp;I$1&amp;"P"&amp;$A95))</f>
        <v>0</v>
      </c>
      <c r="J95" s="91">
        <f ca="1">IF(RTD("tos.rtd",,$A$2,"."&amp;J$83&amp;J$1&amp;"C"&amp;$A95)="N/A",0,RTD("tos.rtd",,$A$2,"."&amp;J$83&amp;J$1&amp;"C"&amp;$A95))-IF(RTD("tos.rtd",,$A$2,"."&amp;J$83&amp;J$1&amp;"P"&amp;$A95)="N/A",0,RTD("tos.rtd",,$A$2,"."&amp;J$83&amp;J$1&amp;"P"&amp;$A95))</f>
        <v>0</v>
      </c>
      <c r="K95" s="91">
        <f ca="1">IF(RTD("tos.rtd",,$A$2,"."&amp;K$83&amp;K$1&amp;"C"&amp;$A95)="N/A",0,RTD("tos.rtd",,$A$2,"."&amp;K$83&amp;K$1&amp;"C"&amp;$A95))-IF(RTD("tos.rtd",,$A$2,"."&amp;K$83&amp;K$1&amp;"P"&amp;$A95)="N/A",0,RTD("tos.rtd",,$A$2,"."&amp;K$83&amp;K$1&amp;"P"&amp;$A95))</f>
        <v>0</v>
      </c>
      <c r="L95" s="91">
        <f ca="1">IF(RTD("tos.rtd",,$A$2,"."&amp;L$83&amp;L$1&amp;"C"&amp;$A95)="N/A",0,RTD("tos.rtd",,$A$2,"."&amp;L$83&amp;L$1&amp;"C"&amp;$A95))-IF(RTD("tos.rtd",,$A$2,"."&amp;L$83&amp;L$1&amp;"P"&amp;$A95)="N/A",0,RTD("tos.rtd",,$A$2,"."&amp;L$83&amp;L$1&amp;"P"&amp;$A95))</f>
        <v>0</v>
      </c>
      <c r="M95" s="91">
        <f ca="1">IF(RTD("tos.rtd",,$A$2,"."&amp;M$83&amp;M$1&amp;"C"&amp;$A95)="N/A",0,RTD("tos.rtd",,$A$2,"."&amp;M$83&amp;M$1&amp;"C"&amp;$A95))-IF(RTD("tos.rtd",,$A$2,"."&amp;M$83&amp;M$1&amp;"P"&amp;$A95)="N/A",0,RTD("tos.rtd",,$A$2,"."&amp;M$83&amp;M$1&amp;"P"&amp;$A95))</f>
        <v>0</v>
      </c>
      <c r="N95" s="91">
        <f ca="1">IF(RTD("tos.rtd",,$A$2,"."&amp;N$83&amp;N$1&amp;"C"&amp;$A95)="N/A",0,RTD("tos.rtd",,$A$2,"."&amp;N$83&amp;N$1&amp;"C"&amp;$A95))-IF(RTD("tos.rtd",,$A$2,"."&amp;N$83&amp;N$1&amp;"P"&amp;$A95)="N/A",0,RTD("tos.rtd",,$A$2,"."&amp;N$83&amp;N$1&amp;"P"&amp;$A95))</f>
        <v>0</v>
      </c>
      <c r="O95" s="91">
        <f ca="1">IF(RTD("tos.rtd",,$A$2,"."&amp;O$83&amp;O$1&amp;"C"&amp;$A95)="N/A",0,RTD("tos.rtd",,$A$2,"."&amp;O$83&amp;O$1&amp;"C"&amp;$A95))-IF(RTD("tos.rtd",,$A$2,"."&amp;O$83&amp;O$1&amp;"P"&amp;$A95)="N/A",0,RTD("tos.rtd",,$A$2,"."&amp;O$83&amp;O$1&amp;"P"&amp;$A95))</f>
        <v>0</v>
      </c>
      <c r="P95" s="91">
        <f ca="1">IF(RTD("tos.rtd",,$A$2,"."&amp;P$83&amp;P$1&amp;"C"&amp;$A95)="N/A",0,RTD("tos.rtd",,$A$2,"."&amp;P$83&amp;P$1&amp;"C"&amp;$A95))-IF(RTD("tos.rtd",,$A$2,"."&amp;P$83&amp;P$1&amp;"P"&amp;$A95)="N/A",0,RTD("tos.rtd",,$A$2,"."&amp;P$83&amp;P$1&amp;"P"&amp;$A95))</f>
        <v>0</v>
      </c>
      <c r="Q95" s="91">
        <f ca="1">IF(RTD("tos.rtd",,$A$2,"."&amp;Q$83&amp;Q$1&amp;"C"&amp;$A95)="N/A",0,RTD("tos.rtd",,$A$2,"."&amp;Q$83&amp;Q$1&amp;"C"&amp;$A95))-IF(RTD("tos.rtd",,$A$2,"."&amp;Q$83&amp;Q$1&amp;"P"&amp;$A95)="N/A",0,RTD("tos.rtd",,$A$2,"."&amp;Q$83&amp;Q$1&amp;"P"&amp;$A95))</f>
        <v>0</v>
      </c>
      <c r="R95" s="91">
        <f ca="1">IF(RTD("tos.rtd",,$A$2,"."&amp;R$83&amp;R$1&amp;"C"&amp;$A95)="N/A",0,RTD("tos.rtd",,$A$2,"."&amp;R$83&amp;R$1&amp;"C"&amp;$A95))-IF(RTD("tos.rtd",,$A$2,"."&amp;R$83&amp;R$1&amp;"P"&amp;$A95)="N/A",0,RTD("tos.rtd",,$A$2,"."&amp;R$83&amp;R$1&amp;"P"&amp;$A95))</f>
        <v>0</v>
      </c>
      <c r="S95" s="91">
        <f ca="1">IF(RTD("tos.rtd",,$A$2,"."&amp;S$83&amp;S$1&amp;"C"&amp;$A95)="N/A",0,RTD("tos.rtd",,$A$2,"."&amp;S$83&amp;S$1&amp;"C"&amp;$A95))-IF(RTD("tos.rtd",,$A$2,"."&amp;S$83&amp;S$1&amp;"P"&amp;$A95)="N/A",0,RTD("tos.rtd",,$A$2,"."&amp;S$83&amp;S$1&amp;"P"&amp;$A95))</f>
        <v>0</v>
      </c>
      <c r="T95" s="91">
        <f ca="1">IF(RTD("tos.rtd",,$A$2,"."&amp;T$83&amp;T$1&amp;"C"&amp;$A95)="N/A",0,RTD("tos.rtd",,$A$2,"."&amp;T$83&amp;T$1&amp;"C"&amp;$A95))-IF(RTD("tos.rtd",,$A$2,"."&amp;T$83&amp;T$1&amp;"P"&amp;$A95)="N/A",0,RTD("tos.rtd",,$A$2,"."&amp;T$83&amp;T$1&amp;"P"&amp;$A95))</f>
        <v>0</v>
      </c>
      <c r="U95" s="91">
        <f ca="1">IF(RTD("tos.rtd",,$A$2,"."&amp;U$83&amp;U$1&amp;"C"&amp;$A95)="N/A",0,RTD("tos.rtd",,$A$2,"."&amp;U$83&amp;U$1&amp;"C"&amp;$A95))-IF(RTD("tos.rtd",,$A$2,"."&amp;U$83&amp;U$1&amp;"P"&amp;$A95)="N/A",0,RTD("tos.rtd",,$A$2,"."&amp;U$83&amp;U$1&amp;"P"&amp;$A95))</f>
        <v>0</v>
      </c>
      <c r="V95" s="91">
        <f ca="1">IF(RTD("tos.rtd",,$A$2,"."&amp;V$83&amp;V$1&amp;"C"&amp;$A95)="N/A",0,RTD("tos.rtd",,$A$2,"."&amp;V$83&amp;V$1&amp;"C"&amp;$A95))-IF(RTD("tos.rtd",,$A$2,"."&amp;V$83&amp;V$1&amp;"P"&amp;$A95)="N/A",0,RTD("tos.rtd",,$A$2,"."&amp;V$83&amp;V$1&amp;"P"&amp;$A95))</f>
        <v>0</v>
      </c>
      <c r="W95" s="91">
        <f ca="1">IF(RTD("tos.rtd",,$A$2,"."&amp;W$83&amp;W$1&amp;"C"&amp;$A95)="N/A",0,RTD("tos.rtd",,$A$2,"."&amp;W$83&amp;W$1&amp;"C"&amp;$A95))-IF(RTD("tos.rtd",,$A$2,"."&amp;W$83&amp;W$1&amp;"P"&amp;$A95)="N/A",0,RTD("tos.rtd",,$A$2,"."&amp;W$83&amp;W$1&amp;"P"&amp;$A95))</f>
        <v>0</v>
      </c>
      <c r="X95" s="91">
        <f ca="1">IF(RTD("tos.rtd",,$A$2,"."&amp;X$83&amp;X$1&amp;"C"&amp;$A95)="N/A",0,RTD("tos.rtd",,$A$2,"."&amp;X$83&amp;X$1&amp;"C"&amp;$A95))-IF(RTD("tos.rtd",,$A$2,"."&amp;X$83&amp;X$1&amp;"P"&amp;$A95)="N/A",0,RTD("tos.rtd",,$A$2,"."&amp;X$83&amp;X$1&amp;"P"&amp;$A95))</f>
        <v>0</v>
      </c>
      <c r="Y95" s="98">
        <f t="shared" ca="1" si="10"/>
        <v>0</v>
      </c>
    </row>
    <row r="96" spans="1:25" x14ac:dyDescent="0.25">
      <c r="A96" s="93">
        <f>+Hoja1!A95</f>
        <v>5770</v>
      </c>
      <c r="B96" s="91">
        <f ca="1">IF(RTD("tos.rtd",,$A$2,"."&amp;B$83&amp;B$1&amp;"C"&amp;$A96)="N/A",0,RTD("tos.rtd",,$A$2,"."&amp;B$83&amp;B$1&amp;"C"&amp;$A96))-IF(RTD("tos.rtd",,$A$2,"."&amp;B$83&amp;B$1&amp;"P"&amp;$A96)="N/A",0,RTD("tos.rtd",,$A$2,"."&amp;B$83&amp;B$1&amp;"P"&amp;$A96))</f>
        <v>0</v>
      </c>
      <c r="C96" s="91">
        <f ca="1">IF(RTD("tos.rtd",,$A$2,"."&amp;C$83&amp;C$1&amp;"C"&amp;$A96)="N/A",0,RTD("tos.rtd",,$A$2,"."&amp;C$83&amp;C$1&amp;"C"&amp;$A96))-IF(RTD("tos.rtd",,$A$2,"."&amp;C$83&amp;C$1&amp;"P"&amp;$A96)="N/A",0,RTD("tos.rtd",,$A$2,"."&amp;C$83&amp;C$1&amp;"P"&amp;$A96))</f>
        <v>0</v>
      </c>
      <c r="D96" s="91">
        <f ca="1">IF(RTD("tos.rtd",,$A$2,"."&amp;D$83&amp;D$1&amp;"C"&amp;$A96)="N/A",0,RTD("tos.rtd",,$A$2,"."&amp;D$83&amp;D$1&amp;"C"&amp;$A96))-IF(RTD("tos.rtd",,$A$2,"."&amp;D$83&amp;D$1&amp;"P"&amp;$A96)="N/A",0,RTD("tos.rtd",,$A$2,"."&amp;D$83&amp;D$1&amp;"P"&amp;$A96))</f>
        <v>0</v>
      </c>
      <c r="E96" s="91">
        <f ca="1">IF(RTD("tos.rtd",,$A$2,"."&amp;E$83&amp;E$1&amp;"C"&amp;$A96)="N/A",0,RTD("tos.rtd",,$A$2,"."&amp;E$83&amp;E$1&amp;"C"&amp;$A96))-IF(RTD("tos.rtd",,$A$2,"."&amp;E$83&amp;E$1&amp;"P"&amp;$A96)="N/A",0,RTD("tos.rtd",,$A$2,"."&amp;E$83&amp;E$1&amp;"P"&amp;$A96))</f>
        <v>0</v>
      </c>
      <c r="F96" s="91">
        <f ca="1">IF(RTD("tos.rtd",,$A$2,"."&amp;F$83&amp;F$1&amp;"C"&amp;$A96)="N/A",0,RTD("tos.rtd",,$A$2,"."&amp;F$83&amp;F$1&amp;"C"&amp;$A96))-IF(RTD("tos.rtd",,$A$2,"."&amp;F$83&amp;F$1&amp;"P"&amp;$A96)="N/A",0,RTD("tos.rtd",,$A$2,"."&amp;F$83&amp;F$1&amp;"P"&amp;$A96))</f>
        <v>0</v>
      </c>
      <c r="G96" s="91">
        <f ca="1">IF(RTD("tos.rtd",,$A$2,"."&amp;G$83&amp;G$1&amp;"C"&amp;$A96)="N/A",0,RTD("tos.rtd",,$A$2,"."&amp;G$83&amp;G$1&amp;"C"&amp;$A96))-IF(RTD("tos.rtd",,$A$2,"."&amp;G$83&amp;G$1&amp;"P"&amp;$A96)="N/A",0,RTD("tos.rtd",,$A$2,"."&amp;G$83&amp;G$1&amp;"P"&amp;$A96))</f>
        <v>0</v>
      </c>
      <c r="H96" s="91">
        <f ca="1">IF(RTD("tos.rtd",,$A$2,"."&amp;H$83&amp;H$1&amp;"C"&amp;$A96)="N/A",0,RTD("tos.rtd",,$A$2,"."&amp;H$83&amp;H$1&amp;"C"&amp;$A96))-IF(RTD("tos.rtd",,$A$2,"."&amp;H$83&amp;H$1&amp;"P"&amp;$A96)="N/A",0,RTD("tos.rtd",,$A$2,"."&amp;H$83&amp;H$1&amp;"P"&amp;$A96))</f>
        <v>0</v>
      </c>
      <c r="I96" s="91">
        <f ca="1">IF(RTD("tos.rtd",,$A$2,"."&amp;I$83&amp;I$1&amp;"C"&amp;$A96)="N/A",0,RTD("tos.rtd",,$A$2,"."&amp;I$83&amp;I$1&amp;"C"&amp;$A96))-IF(RTD("tos.rtd",,$A$2,"."&amp;I$83&amp;I$1&amp;"P"&amp;$A96)="N/A",0,RTD("tos.rtd",,$A$2,"."&amp;I$83&amp;I$1&amp;"P"&amp;$A96))</f>
        <v>0</v>
      </c>
      <c r="J96" s="91">
        <f ca="1">IF(RTD("tos.rtd",,$A$2,"."&amp;J$83&amp;J$1&amp;"C"&amp;$A96)="N/A",0,RTD("tos.rtd",,$A$2,"."&amp;J$83&amp;J$1&amp;"C"&amp;$A96))-IF(RTD("tos.rtd",,$A$2,"."&amp;J$83&amp;J$1&amp;"P"&amp;$A96)="N/A",0,RTD("tos.rtd",,$A$2,"."&amp;J$83&amp;J$1&amp;"P"&amp;$A96))</f>
        <v>0</v>
      </c>
      <c r="K96" s="91">
        <f ca="1">IF(RTD("tos.rtd",,$A$2,"."&amp;K$83&amp;K$1&amp;"C"&amp;$A96)="N/A",0,RTD("tos.rtd",,$A$2,"."&amp;K$83&amp;K$1&amp;"C"&amp;$A96))-IF(RTD("tos.rtd",,$A$2,"."&amp;K$83&amp;K$1&amp;"P"&amp;$A96)="N/A",0,RTD("tos.rtd",,$A$2,"."&amp;K$83&amp;K$1&amp;"P"&amp;$A96))</f>
        <v>0</v>
      </c>
      <c r="L96" s="91">
        <f ca="1">IF(RTD("tos.rtd",,$A$2,"."&amp;L$83&amp;L$1&amp;"C"&amp;$A96)="N/A",0,RTD("tos.rtd",,$A$2,"."&amp;L$83&amp;L$1&amp;"C"&amp;$A96))-IF(RTD("tos.rtd",,$A$2,"."&amp;L$83&amp;L$1&amp;"P"&amp;$A96)="N/A",0,RTD("tos.rtd",,$A$2,"."&amp;L$83&amp;L$1&amp;"P"&amp;$A96))</f>
        <v>1</v>
      </c>
      <c r="M96" s="91">
        <f ca="1">IF(RTD("tos.rtd",,$A$2,"."&amp;M$83&amp;M$1&amp;"C"&amp;$A96)="N/A",0,RTD("tos.rtd",,$A$2,"."&amp;M$83&amp;M$1&amp;"C"&amp;$A96))-IF(RTD("tos.rtd",,$A$2,"."&amp;M$83&amp;M$1&amp;"P"&amp;$A96)="N/A",0,RTD("tos.rtd",,$A$2,"."&amp;M$83&amp;M$1&amp;"P"&amp;$A96))</f>
        <v>0</v>
      </c>
      <c r="N96" s="91">
        <f ca="1">IF(RTD("tos.rtd",,$A$2,"."&amp;N$83&amp;N$1&amp;"C"&amp;$A96)="N/A",0,RTD("tos.rtd",,$A$2,"."&amp;N$83&amp;N$1&amp;"C"&amp;$A96))-IF(RTD("tos.rtd",,$A$2,"."&amp;N$83&amp;N$1&amp;"P"&amp;$A96)="N/A",0,RTD("tos.rtd",,$A$2,"."&amp;N$83&amp;N$1&amp;"P"&amp;$A96))</f>
        <v>0</v>
      </c>
      <c r="O96" s="91">
        <f ca="1">IF(RTD("tos.rtd",,$A$2,"."&amp;O$83&amp;O$1&amp;"C"&amp;$A96)="N/A",0,RTD("tos.rtd",,$A$2,"."&amp;O$83&amp;O$1&amp;"C"&amp;$A96))-IF(RTD("tos.rtd",,$A$2,"."&amp;O$83&amp;O$1&amp;"P"&amp;$A96)="N/A",0,RTD("tos.rtd",,$A$2,"."&amp;O$83&amp;O$1&amp;"P"&amp;$A96))</f>
        <v>0</v>
      </c>
      <c r="P96" s="91">
        <f ca="1">IF(RTD("tos.rtd",,$A$2,"."&amp;P$83&amp;P$1&amp;"C"&amp;$A96)="N/A",0,RTD("tos.rtd",,$A$2,"."&amp;P$83&amp;P$1&amp;"C"&amp;$A96))-IF(RTD("tos.rtd",,$A$2,"."&amp;P$83&amp;P$1&amp;"P"&amp;$A96)="N/A",0,RTD("tos.rtd",,$A$2,"."&amp;P$83&amp;P$1&amp;"P"&amp;$A96))</f>
        <v>0</v>
      </c>
      <c r="Q96" s="91">
        <f ca="1">IF(RTD("tos.rtd",,$A$2,"."&amp;Q$83&amp;Q$1&amp;"C"&amp;$A96)="N/A",0,RTD("tos.rtd",,$A$2,"."&amp;Q$83&amp;Q$1&amp;"C"&amp;$A96))-IF(RTD("tos.rtd",,$A$2,"."&amp;Q$83&amp;Q$1&amp;"P"&amp;$A96)="N/A",0,RTD("tos.rtd",,$A$2,"."&amp;Q$83&amp;Q$1&amp;"P"&amp;$A96))</f>
        <v>0</v>
      </c>
      <c r="R96" s="91">
        <f ca="1">IF(RTD("tos.rtd",,$A$2,"."&amp;R$83&amp;R$1&amp;"C"&amp;$A96)="N/A",0,RTD("tos.rtd",,$A$2,"."&amp;R$83&amp;R$1&amp;"C"&amp;$A96))-IF(RTD("tos.rtd",,$A$2,"."&amp;R$83&amp;R$1&amp;"P"&amp;$A96)="N/A",0,RTD("tos.rtd",,$A$2,"."&amp;R$83&amp;R$1&amp;"P"&amp;$A96))</f>
        <v>0</v>
      </c>
      <c r="S96" s="91">
        <f ca="1">IF(RTD("tos.rtd",,$A$2,"."&amp;S$83&amp;S$1&amp;"C"&amp;$A96)="N/A",0,RTD("tos.rtd",,$A$2,"."&amp;S$83&amp;S$1&amp;"C"&amp;$A96))-IF(RTD("tos.rtd",,$A$2,"."&amp;S$83&amp;S$1&amp;"P"&amp;$A96)="N/A",0,RTD("tos.rtd",,$A$2,"."&amp;S$83&amp;S$1&amp;"P"&amp;$A96))</f>
        <v>0</v>
      </c>
      <c r="T96" s="91">
        <f ca="1">IF(RTD("tos.rtd",,$A$2,"."&amp;T$83&amp;T$1&amp;"C"&amp;$A96)="N/A",0,RTD("tos.rtd",,$A$2,"."&amp;T$83&amp;T$1&amp;"C"&amp;$A96))-IF(RTD("tos.rtd",,$A$2,"."&amp;T$83&amp;T$1&amp;"P"&amp;$A96)="N/A",0,RTD("tos.rtd",,$A$2,"."&amp;T$83&amp;T$1&amp;"P"&amp;$A96))</f>
        <v>0</v>
      </c>
      <c r="U96" s="91">
        <f ca="1">IF(RTD("tos.rtd",,$A$2,"."&amp;U$83&amp;U$1&amp;"C"&amp;$A96)="N/A",0,RTD("tos.rtd",,$A$2,"."&amp;U$83&amp;U$1&amp;"C"&amp;$A96))-IF(RTD("tos.rtd",,$A$2,"."&amp;U$83&amp;U$1&amp;"P"&amp;$A96)="N/A",0,RTD("tos.rtd",,$A$2,"."&amp;U$83&amp;U$1&amp;"P"&amp;$A96))</f>
        <v>0</v>
      </c>
      <c r="V96" s="91">
        <f ca="1">IF(RTD("tos.rtd",,$A$2,"."&amp;V$83&amp;V$1&amp;"C"&amp;$A96)="N/A",0,RTD("tos.rtd",,$A$2,"."&amp;V$83&amp;V$1&amp;"C"&amp;$A96))-IF(RTD("tos.rtd",,$A$2,"."&amp;V$83&amp;V$1&amp;"P"&amp;$A96)="N/A",0,RTD("tos.rtd",,$A$2,"."&amp;V$83&amp;V$1&amp;"P"&amp;$A96))</f>
        <v>0</v>
      </c>
      <c r="W96" s="91">
        <f ca="1">IF(RTD("tos.rtd",,$A$2,"."&amp;W$83&amp;W$1&amp;"C"&amp;$A96)="N/A",0,RTD("tos.rtd",,$A$2,"."&amp;W$83&amp;W$1&amp;"C"&amp;$A96))-IF(RTD("tos.rtd",,$A$2,"."&amp;W$83&amp;W$1&amp;"P"&amp;$A96)="N/A",0,RTD("tos.rtd",,$A$2,"."&amp;W$83&amp;W$1&amp;"P"&amp;$A96))</f>
        <v>0</v>
      </c>
      <c r="X96" s="91">
        <f ca="1">IF(RTD("tos.rtd",,$A$2,"."&amp;X$83&amp;X$1&amp;"C"&amp;$A96)="N/A",0,RTD("tos.rtd",,$A$2,"."&amp;X$83&amp;X$1&amp;"C"&amp;$A96))-IF(RTD("tos.rtd",,$A$2,"."&amp;X$83&amp;X$1&amp;"P"&amp;$A96)="N/A",0,RTD("tos.rtd",,$A$2,"."&amp;X$83&amp;X$1&amp;"P"&amp;$A96))</f>
        <v>0</v>
      </c>
      <c r="Y96" s="98">
        <f t="shared" ca="1" si="10"/>
        <v>1</v>
      </c>
    </row>
    <row r="97" spans="1:25" x14ac:dyDescent="0.25">
      <c r="A97" s="93">
        <f>+Hoja1!A96</f>
        <v>5760</v>
      </c>
      <c r="B97" s="91">
        <f ca="1">IF(RTD("tos.rtd",,$A$2,"."&amp;B$83&amp;B$1&amp;"C"&amp;$A97)="N/A",0,RTD("tos.rtd",,$A$2,"."&amp;B$83&amp;B$1&amp;"C"&amp;$A97))-IF(RTD("tos.rtd",,$A$2,"."&amp;B$83&amp;B$1&amp;"P"&amp;$A97)="N/A",0,RTD("tos.rtd",,$A$2,"."&amp;B$83&amp;B$1&amp;"P"&amp;$A97))</f>
        <v>0</v>
      </c>
      <c r="C97" s="91">
        <f ca="1">IF(RTD("tos.rtd",,$A$2,"."&amp;C$83&amp;C$1&amp;"C"&amp;$A97)="N/A",0,RTD("tos.rtd",,$A$2,"."&amp;C$83&amp;C$1&amp;"C"&amp;$A97))-IF(RTD("tos.rtd",,$A$2,"."&amp;C$83&amp;C$1&amp;"P"&amp;$A97)="N/A",0,RTD("tos.rtd",,$A$2,"."&amp;C$83&amp;C$1&amp;"P"&amp;$A97))</f>
        <v>0</v>
      </c>
      <c r="D97" s="91">
        <f ca="1">IF(RTD("tos.rtd",,$A$2,"."&amp;D$83&amp;D$1&amp;"C"&amp;$A97)="N/A",0,RTD("tos.rtd",,$A$2,"."&amp;D$83&amp;D$1&amp;"C"&amp;$A97))-IF(RTD("tos.rtd",,$A$2,"."&amp;D$83&amp;D$1&amp;"P"&amp;$A97)="N/A",0,RTD("tos.rtd",,$A$2,"."&amp;D$83&amp;D$1&amp;"P"&amp;$A97))</f>
        <v>0</v>
      </c>
      <c r="E97" s="91">
        <f ca="1">IF(RTD("tos.rtd",,$A$2,"."&amp;E$83&amp;E$1&amp;"C"&amp;$A97)="N/A",0,RTD("tos.rtd",,$A$2,"."&amp;E$83&amp;E$1&amp;"C"&amp;$A97))-IF(RTD("tos.rtd",,$A$2,"."&amp;E$83&amp;E$1&amp;"P"&amp;$A97)="N/A",0,RTD("tos.rtd",,$A$2,"."&amp;E$83&amp;E$1&amp;"P"&amp;$A97))</f>
        <v>0</v>
      </c>
      <c r="F97" s="91">
        <f ca="1">IF(RTD("tos.rtd",,$A$2,"."&amp;F$83&amp;F$1&amp;"C"&amp;$A97)="N/A",0,RTD("tos.rtd",,$A$2,"."&amp;F$83&amp;F$1&amp;"C"&amp;$A97))-IF(RTD("tos.rtd",,$A$2,"."&amp;F$83&amp;F$1&amp;"P"&amp;$A97)="N/A",0,RTD("tos.rtd",,$A$2,"."&amp;F$83&amp;F$1&amp;"P"&amp;$A97))</f>
        <v>0</v>
      </c>
      <c r="G97" s="91">
        <f ca="1">IF(RTD("tos.rtd",,$A$2,"."&amp;G$83&amp;G$1&amp;"C"&amp;$A97)="N/A",0,RTD("tos.rtd",,$A$2,"."&amp;G$83&amp;G$1&amp;"C"&amp;$A97))-IF(RTD("tos.rtd",,$A$2,"."&amp;G$83&amp;G$1&amp;"P"&amp;$A97)="N/A",0,RTD("tos.rtd",,$A$2,"."&amp;G$83&amp;G$1&amp;"P"&amp;$A97))</f>
        <v>0</v>
      </c>
      <c r="H97" s="91">
        <f ca="1">IF(RTD("tos.rtd",,$A$2,"."&amp;H$83&amp;H$1&amp;"C"&amp;$A97)="N/A",0,RTD("tos.rtd",,$A$2,"."&amp;H$83&amp;H$1&amp;"C"&amp;$A97))-IF(RTD("tos.rtd",,$A$2,"."&amp;H$83&amp;H$1&amp;"P"&amp;$A97)="N/A",0,RTD("tos.rtd",,$A$2,"."&amp;H$83&amp;H$1&amp;"P"&amp;$A97))</f>
        <v>0</v>
      </c>
      <c r="I97" s="91">
        <f ca="1">IF(RTD("tos.rtd",,$A$2,"."&amp;I$83&amp;I$1&amp;"C"&amp;$A97)="N/A",0,RTD("tos.rtd",,$A$2,"."&amp;I$83&amp;I$1&amp;"C"&amp;$A97))-IF(RTD("tos.rtd",,$A$2,"."&amp;I$83&amp;I$1&amp;"P"&amp;$A97)="N/A",0,RTD("tos.rtd",,$A$2,"."&amp;I$83&amp;I$1&amp;"P"&amp;$A97))</f>
        <v>0</v>
      </c>
      <c r="J97" s="91">
        <f ca="1">IF(RTD("tos.rtd",,$A$2,"."&amp;J$83&amp;J$1&amp;"C"&amp;$A97)="N/A",0,RTD("tos.rtd",,$A$2,"."&amp;J$83&amp;J$1&amp;"C"&amp;$A97))-IF(RTD("tos.rtd",,$A$2,"."&amp;J$83&amp;J$1&amp;"P"&amp;$A97)="N/A",0,RTD("tos.rtd",,$A$2,"."&amp;J$83&amp;J$1&amp;"P"&amp;$A97))</f>
        <v>0</v>
      </c>
      <c r="K97" s="91">
        <f ca="1">IF(RTD("tos.rtd",,$A$2,"."&amp;K$83&amp;K$1&amp;"C"&amp;$A97)="N/A",0,RTD("tos.rtd",,$A$2,"."&amp;K$83&amp;K$1&amp;"C"&amp;$A97))-IF(RTD("tos.rtd",,$A$2,"."&amp;K$83&amp;K$1&amp;"P"&amp;$A97)="N/A",0,RTD("tos.rtd",,$A$2,"."&amp;K$83&amp;K$1&amp;"P"&amp;$A97))</f>
        <v>0</v>
      </c>
      <c r="L97" s="91">
        <f ca="1">IF(RTD("tos.rtd",,$A$2,"."&amp;L$83&amp;L$1&amp;"C"&amp;$A97)="N/A",0,RTD("tos.rtd",,$A$2,"."&amp;L$83&amp;L$1&amp;"C"&amp;$A97))-IF(RTD("tos.rtd",,$A$2,"."&amp;L$83&amp;L$1&amp;"P"&amp;$A97)="N/A",0,RTD("tos.rtd",,$A$2,"."&amp;L$83&amp;L$1&amp;"P"&amp;$A97))</f>
        <v>0</v>
      </c>
      <c r="M97" s="91">
        <f ca="1">IF(RTD("tos.rtd",,$A$2,"."&amp;M$83&amp;M$1&amp;"C"&amp;$A97)="N/A",0,RTD("tos.rtd",,$A$2,"."&amp;M$83&amp;M$1&amp;"C"&amp;$A97))-IF(RTD("tos.rtd",,$A$2,"."&amp;M$83&amp;M$1&amp;"P"&amp;$A97)="N/A",0,RTD("tos.rtd",,$A$2,"."&amp;M$83&amp;M$1&amp;"P"&amp;$A97))</f>
        <v>0</v>
      </c>
      <c r="N97" s="91">
        <f ca="1">IF(RTD("tos.rtd",,$A$2,"."&amp;N$83&amp;N$1&amp;"C"&amp;$A97)="N/A",0,RTD("tos.rtd",,$A$2,"."&amp;N$83&amp;N$1&amp;"C"&amp;$A97))-IF(RTD("tos.rtd",,$A$2,"."&amp;N$83&amp;N$1&amp;"P"&amp;$A97)="N/A",0,RTD("tos.rtd",,$A$2,"."&amp;N$83&amp;N$1&amp;"P"&amp;$A97))</f>
        <v>0</v>
      </c>
      <c r="O97" s="91">
        <f ca="1">IF(RTD("tos.rtd",,$A$2,"."&amp;O$83&amp;O$1&amp;"C"&amp;$A97)="N/A",0,RTD("tos.rtd",,$A$2,"."&amp;O$83&amp;O$1&amp;"C"&amp;$A97))-IF(RTD("tos.rtd",,$A$2,"."&amp;O$83&amp;O$1&amp;"P"&amp;$A97)="N/A",0,RTD("tos.rtd",,$A$2,"."&amp;O$83&amp;O$1&amp;"P"&amp;$A97))</f>
        <v>0</v>
      </c>
      <c r="P97" s="91">
        <f ca="1">IF(RTD("tos.rtd",,$A$2,"."&amp;P$83&amp;P$1&amp;"C"&amp;$A97)="N/A",0,RTD("tos.rtd",,$A$2,"."&amp;P$83&amp;P$1&amp;"C"&amp;$A97))-IF(RTD("tos.rtd",,$A$2,"."&amp;P$83&amp;P$1&amp;"P"&amp;$A97)="N/A",0,RTD("tos.rtd",,$A$2,"."&amp;P$83&amp;P$1&amp;"P"&amp;$A97))</f>
        <v>0</v>
      </c>
      <c r="Q97" s="91">
        <f ca="1">IF(RTD("tos.rtd",,$A$2,"."&amp;Q$83&amp;Q$1&amp;"C"&amp;$A97)="N/A",0,RTD("tos.rtd",,$A$2,"."&amp;Q$83&amp;Q$1&amp;"C"&amp;$A97))-IF(RTD("tos.rtd",,$A$2,"."&amp;Q$83&amp;Q$1&amp;"P"&amp;$A97)="N/A",0,RTD("tos.rtd",,$A$2,"."&amp;Q$83&amp;Q$1&amp;"P"&amp;$A97))</f>
        <v>0</v>
      </c>
      <c r="R97" s="91">
        <f ca="1">IF(RTD("tos.rtd",,$A$2,"."&amp;R$83&amp;R$1&amp;"C"&amp;$A97)="N/A",0,RTD("tos.rtd",,$A$2,"."&amp;R$83&amp;R$1&amp;"C"&amp;$A97))-IF(RTD("tos.rtd",,$A$2,"."&amp;R$83&amp;R$1&amp;"P"&amp;$A97)="N/A",0,RTD("tos.rtd",,$A$2,"."&amp;R$83&amp;R$1&amp;"P"&amp;$A97))</f>
        <v>0</v>
      </c>
      <c r="S97" s="91">
        <f ca="1">IF(RTD("tos.rtd",,$A$2,"."&amp;S$83&amp;S$1&amp;"C"&amp;$A97)="N/A",0,RTD("tos.rtd",,$A$2,"."&amp;S$83&amp;S$1&amp;"C"&amp;$A97))-IF(RTD("tos.rtd",,$A$2,"."&amp;S$83&amp;S$1&amp;"P"&amp;$A97)="N/A",0,RTD("tos.rtd",,$A$2,"."&amp;S$83&amp;S$1&amp;"P"&amp;$A97))</f>
        <v>0</v>
      </c>
      <c r="T97" s="91">
        <f ca="1">IF(RTD("tos.rtd",,$A$2,"."&amp;T$83&amp;T$1&amp;"C"&amp;$A97)="N/A",0,RTD("tos.rtd",,$A$2,"."&amp;T$83&amp;T$1&amp;"C"&amp;$A97))-IF(RTD("tos.rtd",,$A$2,"."&amp;T$83&amp;T$1&amp;"P"&amp;$A97)="N/A",0,RTD("tos.rtd",,$A$2,"."&amp;T$83&amp;T$1&amp;"P"&amp;$A97))</f>
        <v>0</v>
      </c>
      <c r="U97" s="91">
        <f ca="1">IF(RTD("tos.rtd",,$A$2,"."&amp;U$83&amp;U$1&amp;"C"&amp;$A97)="N/A",0,RTD("tos.rtd",,$A$2,"."&amp;U$83&amp;U$1&amp;"C"&amp;$A97))-IF(RTD("tos.rtd",,$A$2,"."&amp;U$83&amp;U$1&amp;"P"&amp;$A97)="N/A",0,RTD("tos.rtd",,$A$2,"."&amp;U$83&amp;U$1&amp;"P"&amp;$A97))</f>
        <v>0</v>
      </c>
      <c r="V97" s="91">
        <f ca="1">IF(RTD("tos.rtd",,$A$2,"."&amp;V$83&amp;V$1&amp;"C"&amp;$A97)="N/A",0,RTD("tos.rtd",,$A$2,"."&amp;V$83&amp;V$1&amp;"C"&amp;$A97))-IF(RTD("tos.rtd",,$A$2,"."&amp;V$83&amp;V$1&amp;"P"&amp;$A97)="N/A",0,RTD("tos.rtd",,$A$2,"."&amp;V$83&amp;V$1&amp;"P"&amp;$A97))</f>
        <v>0</v>
      </c>
      <c r="W97" s="91">
        <f ca="1">IF(RTD("tos.rtd",,$A$2,"."&amp;W$83&amp;W$1&amp;"C"&amp;$A97)="N/A",0,RTD("tos.rtd",,$A$2,"."&amp;W$83&amp;W$1&amp;"C"&amp;$A97))-IF(RTD("tos.rtd",,$A$2,"."&amp;W$83&amp;W$1&amp;"P"&amp;$A97)="N/A",0,RTD("tos.rtd",,$A$2,"."&amp;W$83&amp;W$1&amp;"P"&amp;$A97))</f>
        <v>0</v>
      </c>
      <c r="X97" s="91">
        <f ca="1">IF(RTD("tos.rtd",,$A$2,"."&amp;X$83&amp;X$1&amp;"C"&amp;$A97)="N/A",0,RTD("tos.rtd",,$A$2,"."&amp;X$83&amp;X$1&amp;"C"&amp;$A97))-IF(RTD("tos.rtd",,$A$2,"."&amp;X$83&amp;X$1&amp;"P"&amp;$A97)="N/A",0,RTD("tos.rtd",,$A$2,"."&amp;X$83&amp;X$1&amp;"P"&amp;$A97))</f>
        <v>0</v>
      </c>
      <c r="Y97" s="98">
        <f t="shared" ca="1" si="10"/>
        <v>0</v>
      </c>
    </row>
    <row r="98" spans="1:25" x14ac:dyDescent="0.25">
      <c r="A98" s="93">
        <f>+Hoja1!A97</f>
        <v>5750</v>
      </c>
      <c r="B98" s="91">
        <f ca="1">IF(RTD("tos.rtd",,$A$2,"."&amp;B$83&amp;B$1&amp;"C"&amp;$A98)="N/A",0,RTD("tos.rtd",,$A$2,"."&amp;B$83&amp;B$1&amp;"C"&amp;$A98))-IF(RTD("tos.rtd",,$A$2,"."&amp;B$83&amp;B$1&amp;"P"&amp;$A98)="N/A",0,RTD("tos.rtd",,$A$2,"."&amp;B$83&amp;B$1&amp;"P"&amp;$A98))</f>
        <v>0</v>
      </c>
      <c r="C98" s="91">
        <f ca="1">IF(RTD("tos.rtd",,$A$2,"."&amp;C$83&amp;C$1&amp;"C"&amp;$A98)="N/A",0,RTD("tos.rtd",,$A$2,"."&amp;C$83&amp;C$1&amp;"C"&amp;$A98))-IF(RTD("tos.rtd",,$A$2,"."&amp;C$83&amp;C$1&amp;"P"&amp;$A98)="N/A",0,RTD("tos.rtd",,$A$2,"."&amp;C$83&amp;C$1&amp;"P"&amp;$A98))</f>
        <v>0</v>
      </c>
      <c r="D98" s="91">
        <f ca="1">IF(RTD("tos.rtd",,$A$2,"."&amp;D$83&amp;D$1&amp;"C"&amp;$A98)="N/A",0,RTD("tos.rtd",,$A$2,"."&amp;D$83&amp;D$1&amp;"C"&amp;$A98))-IF(RTD("tos.rtd",,$A$2,"."&amp;D$83&amp;D$1&amp;"P"&amp;$A98)="N/A",0,RTD("tos.rtd",,$A$2,"."&amp;D$83&amp;D$1&amp;"P"&amp;$A98))</f>
        <v>0</v>
      </c>
      <c r="E98" s="91">
        <f ca="1">IF(RTD("tos.rtd",,$A$2,"."&amp;E$83&amp;E$1&amp;"C"&amp;$A98)="N/A",0,RTD("tos.rtd",,$A$2,"."&amp;E$83&amp;E$1&amp;"C"&amp;$A98))-IF(RTD("tos.rtd",,$A$2,"."&amp;E$83&amp;E$1&amp;"P"&amp;$A98)="N/A",0,RTD("tos.rtd",,$A$2,"."&amp;E$83&amp;E$1&amp;"P"&amp;$A98))</f>
        <v>0</v>
      </c>
      <c r="F98" s="91">
        <f ca="1">IF(RTD("tos.rtd",,$A$2,"."&amp;F$83&amp;F$1&amp;"C"&amp;$A98)="N/A",0,RTD("tos.rtd",,$A$2,"."&amp;F$83&amp;F$1&amp;"C"&amp;$A98))-IF(RTD("tos.rtd",,$A$2,"."&amp;F$83&amp;F$1&amp;"P"&amp;$A98)="N/A",0,RTD("tos.rtd",,$A$2,"."&amp;F$83&amp;F$1&amp;"P"&amp;$A98))</f>
        <v>0</v>
      </c>
      <c r="G98" s="91">
        <f ca="1">IF(RTD("tos.rtd",,$A$2,"."&amp;G$83&amp;G$1&amp;"C"&amp;$A98)="N/A",0,RTD("tos.rtd",,$A$2,"."&amp;G$83&amp;G$1&amp;"C"&amp;$A98))-IF(RTD("tos.rtd",,$A$2,"."&amp;G$83&amp;G$1&amp;"P"&amp;$A98)="N/A",0,RTD("tos.rtd",,$A$2,"."&amp;G$83&amp;G$1&amp;"P"&amp;$A98))</f>
        <v>0</v>
      </c>
      <c r="H98" s="91">
        <f ca="1">IF(RTD("tos.rtd",,$A$2,"."&amp;H$83&amp;H$1&amp;"C"&amp;$A98)="N/A",0,RTD("tos.rtd",,$A$2,"."&amp;H$83&amp;H$1&amp;"C"&amp;$A98))-IF(RTD("tos.rtd",,$A$2,"."&amp;H$83&amp;H$1&amp;"P"&amp;$A98)="N/A",0,RTD("tos.rtd",,$A$2,"."&amp;H$83&amp;H$1&amp;"P"&amp;$A98))</f>
        <v>0</v>
      </c>
      <c r="I98" s="91">
        <f ca="1">IF(RTD("tos.rtd",,$A$2,"."&amp;I$83&amp;I$1&amp;"C"&amp;$A98)="N/A",0,RTD("tos.rtd",,$A$2,"."&amp;I$83&amp;I$1&amp;"C"&amp;$A98))-IF(RTD("tos.rtd",,$A$2,"."&amp;I$83&amp;I$1&amp;"P"&amp;$A98)="N/A",0,RTD("tos.rtd",,$A$2,"."&amp;I$83&amp;I$1&amp;"P"&amp;$A98))</f>
        <v>0</v>
      </c>
      <c r="J98" s="91">
        <f ca="1">IF(RTD("tos.rtd",,$A$2,"."&amp;J$83&amp;J$1&amp;"C"&amp;$A98)="N/A",0,RTD("tos.rtd",,$A$2,"."&amp;J$83&amp;J$1&amp;"C"&amp;$A98))-IF(RTD("tos.rtd",,$A$2,"."&amp;J$83&amp;J$1&amp;"P"&amp;$A98)="N/A",0,RTD("tos.rtd",,$A$2,"."&amp;J$83&amp;J$1&amp;"P"&amp;$A98))</f>
        <v>0</v>
      </c>
      <c r="K98" s="91">
        <f ca="1">IF(RTD("tos.rtd",,$A$2,"."&amp;K$83&amp;K$1&amp;"C"&amp;$A98)="N/A",0,RTD("tos.rtd",,$A$2,"."&amp;K$83&amp;K$1&amp;"C"&amp;$A98))-IF(RTD("tos.rtd",,$A$2,"."&amp;K$83&amp;K$1&amp;"P"&amp;$A98)="N/A",0,RTD("tos.rtd",,$A$2,"."&amp;K$83&amp;K$1&amp;"P"&amp;$A98))</f>
        <v>0</v>
      </c>
      <c r="L98" s="91">
        <f ca="1">IF(RTD("tos.rtd",,$A$2,"."&amp;L$83&amp;L$1&amp;"C"&amp;$A98)="N/A",0,RTD("tos.rtd",,$A$2,"."&amp;L$83&amp;L$1&amp;"C"&amp;$A98))-IF(RTD("tos.rtd",,$A$2,"."&amp;L$83&amp;L$1&amp;"P"&amp;$A98)="N/A",0,RTD("tos.rtd",,$A$2,"."&amp;L$83&amp;L$1&amp;"P"&amp;$A98))</f>
        <v>0</v>
      </c>
      <c r="M98" s="91">
        <f ca="1">IF(RTD("tos.rtd",,$A$2,"."&amp;M$83&amp;M$1&amp;"C"&amp;$A98)="N/A",0,RTD("tos.rtd",,$A$2,"."&amp;M$83&amp;M$1&amp;"C"&amp;$A98))-IF(RTD("tos.rtd",,$A$2,"."&amp;M$83&amp;M$1&amp;"P"&amp;$A98)="N/A",0,RTD("tos.rtd",,$A$2,"."&amp;M$83&amp;M$1&amp;"P"&amp;$A98))</f>
        <v>0</v>
      </c>
      <c r="N98" s="91">
        <f ca="1">IF(RTD("tos.rtd",,$A$2,"."&amp;N$83&amp;N$1&amp;"C"&amp;$A98)="N/A",0,RTD("tos.rtd",,$A$2,"."&amp;N$83&amp;N$1&amp;"C"&amp;$A98))-IF(RTD("tos.rtd",,$A$2,"."&amp;N$83&amp;N$1&amp;"P"&amp;$A98)="N/A",0,RTD("tos.rtd",,$A$2,"."&amp;N$83&amp;N$1&amp;"P"&amp;$A98))</f>
        <v>0</v>
      </c>
      <c r="O98" s="91">
        <f ca="1">IF(RTD("tos.rtd",,$A$2,"."&amp;O$83&amp;O$1&amp;"C"&amp;$A98)="N/A",0,RTD("tos.rtd",,$A$2,"."&amp;O$83&amp;O$1&amp;"C"&amp;$A98))-IF(RTD("tos.rtd",,$A$2,"."&amp;O$83&amp;O$1&amp;"P"&amp;$A98)="N/A",0,RTD("tos.rtd",,$A$2,"."&amp;O$83&amp;O$1&amp;"P"&amp;$A98))</f>
        <v>0</v>
      </c>
      <c r="P98" s="91">
        <f ca="1">IF(RTD("tos.rtd",,$A$2,"."&amp;P$83&amp;P$1&amp;"C"&amp;$A98)="N/A",0,RTD("tos.rtd",,$A$2,"."&amp;P$83&amp;P$1&amp;"C"&amp;$A98))-IF(RTD("tos.rtd",,$A$2,"."&amp;P$83&amp;P$1&amp;"P"&amp;$A98)="N/A",0,RTD("tos.rtd",,$A$2,"."&amp;P$83&amp;P$1&amp;"P"&amp;$A98))</f>
        <v>0</v>
      </c>
      <c r="Q98" s="91">
        <f ca="1">IF(RTD("tos.rtd",,$A$2,"."&amp;Q$83&amp;Q$1&amp;"C"&amp;$A98)="N/A",0,RTD("tos.rtd",,$A$2,"."&amp;Q$83&amp;Q$1&amp;"C"&amp;$A98))-IF(RTD("tos.rtd",,$A$2,"."&amp;Q$83&amp;Q$1&amp;"P"&amp;$A98)="N/A",0,RTD("tos.rtd",,$A$2,"."&amp;Q$83&amp;Q$1&amp;"P"&amp;$A98))</f>
        <v>0</v>
      </c>
      <c r="R98" s="91">
        <f ca="1">IF(RTD("tos.rtd",,$A$2,"."&amp;R$83&amp;R$1&amp;"C"&amp;$A98)="N/A",0,RTD("tos.rtd",,$A$2,"."&amp;R$83&amp;R$1&amp;"C"&amp;$A98))-IF(RTD("tos.rtd",,$A$2,"."&amp;R$83&amp;R$1&amp;"P"&amp;$A98)="N/A",0,RTD("tos.rtd",,$A$2,"."&amp;R$83&amp;R$1&amp;"P"&amp;$A98))</f>
        <v>0</v>
      </c>
      <c r="S98" s="91">
        <f ca="1">IF(RTD("tos.rtd",,$A$2,"."&amp;S$83&amp;S$1&amp;"C"&amp;$A98)="N/A",0,RTD("tos.rtd",,$A$2,"."&amp;S$83&amp;S$1&amp;"C"&amp;$A98))-IF(RTD("tos.rtd",,$A$2,"."&amp;S$83&amp;S$1&amp;"P"&amp;$A98)="N/A",0,RTD("tos.rtd",,$A$2,"."&amp;S$83&amp;S$1&amp;"P"&amp;$A98))</f>
        <v>0</v>
      </c>
      <c r="T98" s="91">
        <f ca="1">IF(RTD("tos.rtd",,$A$2,"."&amp;T$83&amp;T$1&amp;"C"&amp;$A98)="N/A",0,RTD("tos.rtd",,$A$2,"."&amp;T$83&amp;T$1&amp;"C"&amp;$A98))-IF(RTD("tos.rtd",,$A$2,"."&amp;T$83&amp;T$1&amp;"P"&amp;$A98)="N/A",0,RTD("tos.rtd",,$A$2,"."&amp;T$83&amp;T$1&amp;"P"&amp;$A98))</f>
        <v>0</v>
      </c>
      <c r="U98" s="91">
        <f ca="1">IF(RTD("tos.rtd",,$A$2,"."&amp;U$83&amp;U$1&amp;"C"&amp;$A98)="N/A",0,RTD("tos.rtd",,$A$2,"."&amp;U$83&amp;U$1&amp;"C"&amp;$A98))-IF(RTD("tos.rtd",,$A$2,"."&amp;U$83&amp;U$1&amp;"P"&amp;$A98)="N/A",0,RTD("tos.rtd",,$A$2,"."&amp;U$83&amp;U$1&amp;"P"&amp;$A98))</f>
        <v>2</v>
      </c>
      <c r="V98" s="91">
        <f ca="1">IF(RTD("tos.rtd",,$A$2,"."&amp;V$83&amp;V$1&amp;"C"&amp;$A98)="N/A",0,RTD("tos.rtd",,$A$2,"."&amp;V$83&amp;V$1&amp;"C"&amp;$A98))-IF(RTD("tos.rtd",,$A$2,"."&amp;V$83&amp;V$1&amp;"P"&amp;$A98)="N/A",0,RTD("tos.rtd",,$A$2,"."&amp;V$83&amp;V$1&amp;"P"&amp;$A98))</f>
        <v>0</v>
      </c>
      <c r="W98" s="91">
        <f ca="1">IF(RTD("tos.rtd",,$A$2,"."&amp;W$83&amp;W$1&amp;"C"&amp;$A98)="N/A",0,RTD("tos.rtd",,$A$2,"."&amp;W$83&amp;W$1&amp;"C"&amp;$A98))-IF(RTD("tos.rtd",,$A$2,"."&amp;W$83&amp;W$1&amp;"P"&amp;$A98)="N/A",0,RTD("tos.rtd",,$A$2,"."&amp;W$83&amp;W$1&amp;"P"&amp;$A98))</f>
        <v>0</v>
      </c>
      <c r="X98" s="91">
        <f ca="1">IF(RTD("tos.rtd",,$A$2,"."&amp;X$83&amp;X$1&amp;"C"&amp;$A98)="N/A",0,RTD("tos.rtd",,$A$2,"."&amp;X$83&amp;X$1&amp;"C"&amp;$A98))-IF(RTD("tos.rtd",,$A$2,"."&amp;X$83&amp;X$1&amp;"P"&amp;$A98)="N/A",0,RTD("tos.rtd",,$A$2,"."&amp;X$83&amp;X$1&amp;"P"&amp;$A98))</f>
        <v>0</v>
      </c>
      <c r="Y98" s="98">
        <f t="shared" ca="1" si="10"/>
        <v>2</v>
      </c>
    </row>
    <row r="99" spans="1:25" x14ac:dyDescent="0.25">
      <c r="A99" s="93">
        <f>+Hoja1!A98</f>
        <v>5740</v>
      </c>
      <c r="B99" s="91">
        <f ca="1">IF(RTD("tos.rtd",,$A$2,"."&amp;B$83&amp;B$1&amp;"C"&amp;$A99)="N/A",0,RTD("tos.rtd",,$A$2,"."&amp;B$83&amp;B$1&amp;"C"&amp;$A99))-IF(RTD("tos.rtd",,$A$2,"."&amp;B$83&amp;B$1&amp;"P"&amp;$A99)="N/A",0,RTD("tos.rtd",,$A$2,"."&amp;B$83&amp;B$1&amp;"P"&amp;$A99))</f>
        <v>0</v>
      </c>
      <c r="C99" s="91">
        <f ca="1">IF(RTD("tos.rtd",,$A$2,"."&amp;C$83&amp;C$1&amp;"C"&amp;$A99)="N/A",0,RTD("tos.rtd",,$A$2,"."&amp;C$83&amp;C$1&amp;"C"&amp;$A99))-IF(RTD("tos.rtd",,$A$2,"."&amp;C$83&amp;C$1&amp;"P"&amp;$A99)="N/A",0,RTD("tos.rtd",,$A$2,"."&amp;C$83&amp;C$1&amp;"P"&amp;$A99))</f>
        <v>0</v>
      </c>
      <c r="D99" s="91">
        <f ca="1">IF(RTD("tos.rtd",,$A$2,"."&amp;D$83&amp;D$1&amp;"C"&amp;$A99)="N/A",0,RTD("tos.rtd",,$A$2,"."&amp;D$83&amp;D$1&amp;"C"&amp;$A99))-IF(RTD("tos.rtd",,$A$2,"."&amp;D$83&amp;D$1&amp;"P"&amp;$A99)="N/A",0,RTD("tos.rtd",,$A$2,"."&amp;D$83&amp;D$1&amp;"P"&amp;$A99))</f>
        <v>0</v>
      </c>
      <c r="E99" s="91">
        <f ca="1">IF(RTD("tos.rtd",,$A$2,"."&amp;E$83&amp;E$1&amp;"C"&amp;$A99)="N/A",0,RTD("tos.rtd",,$A$2,"."&amp;E$83&amp;E$1&amp;"C"&amp;$A99))-IF(RTD("tos.rtd",,$A$2,"."&amp;E$83&amp;E$1&amp;"P"&amp;$A99)="N/A",0,RTD("tos.rtd",,$A$2,"."&amp;E$83&amp;E$1&amp;"P"&amp;$A99))</f>
        <v>0</v>
      </c>
      <c r="F99" s="91">
        <f ca="1">IF(RTD("tos.rtd",,$A$2,"."&amp;F$83&amp;F$1&amp;"C"&amp;$A99)="N/A",0,RTD("tos.rtd",,$A$2,"."&amp;F$83&amp;F$1&amp;"C"&amp;$A99))-IF(RTD("tos.rtd",,$A$2,"."&amp;F$83&amp;F$1&amp;"P"&amp;$A99)="N/A",0,RTD("tos.rtd",,$A$2,"."&amp;F$83&amp;F$1&amp;"P"&amp;$A99))</f>
        <v>0</v>
      </c>
      <c r="G99" s="91">
        <f ca="1">IF(RTD("tos.rtd",,$A$2,"."&amp;G$83&amp;G$1&amp;"C"&amp;$A99)="N/A",0,RTD("tos.rtd",,$A$2,"."&amp;G$83&amp;G$1&amp;"C"&amp;$A99))-IF(RTD("tos.rtd",,$A$2,"."&amp;G$83&amp;G$1&amp;"P"&amp;$A99)="N/A",0,RTD("tos.rtd",,$A$2,"."&amp;G$83&amp;G$1&amp;"P"&amp;$A99))</f>
        <v>0</v>
      </c>
      <c r="H99" s="91">
        <f ca="1">IF(RTD("tos.rtd",,$A$2,"."&amp;H$83&amp;H$1&amp;"C"&amp;$A99)="N/A",0,RTD("tos.rtd",,$A$2,"."&amp;H$83&amp;H$1&amp;"C"&amp;$A99))-IF(RTD("tos.rtd",,$A$2,"."&amp;H$83&amp;H$1&amp;"P"&amp;$A99)="N/A",0,RTD("tos.rtd",,$A$2,"."&amp;H$83&amp;H$1&amp;"P"&amp;$A99))</f>
        <v>0</v>
      </c>
      <c r="I99" s="91">
        <f ca="1">IF(RTD("tos.rtd",,$A$2,"."&amp;I$83&amp;I$1&amp;"C"&amp;$A99)="N/A",0,RTD("tos.rtd",,$A$2,"."&amp;I$83&amp;I$1&amp;"C"&amp;$A99))-IF(RTD("tos.rtd",,$A$2,"."&amp;I$83&amp;I$1&amp;"P"&amp;$A99)="N/A",0,RTD("tos.rtd",,$A$2,"."&amp;I$83&amp;I$1&amp;"P"&amp;$A99))</f>
        <v>0</v>
      </c>
      <c r="J99" s="91">
        <f ca="1">IF(RTD("tos.rtd",,$A$2,"."&amp;J$83&amp;J$1&amp;"C"&amp;$A99)="N/A",0,RTD("tos.rtd",,$A$2,"."&amp;J$83&amp;J$1&amp;"C"&amp;$A99))-IF(RTD("tos.rtd",,$A$2,"."&amp;J$83&amp;J$1&amp;"P"&amp;$A99)="N/A",0,RTD("tos.rtd",,$A$2,"."&amp;J$83&amp;J$1&amp;"P"&amp;$A99))</f>
        <v>0</v>
      </c>
      <c r="K99" s="91">
        <f ca="1">IF(RTD("tos.rtd",,$A$2,"."&amp;K$83&amp;K$1&amp;"C"&amp;$A99)="N/A",0,RTD("tos.rtd",,$A$2,"."&amp;K$83&amp;K$1&amp;"C"&amp;$A99))-IF(RTD("tos.rtd",,$A$2,"."&amp;K$83&amp;K$1&amp;"P"&amp;$A99)="N/A",0,RTD("tos.rtd",,$A$2,"."&amp;K$83&amp;K$1&amp;"P"&amp;$A99))</f>
        <v>0</v>
      </c>
      <c r="L99" s="91">
        <f ca="1">IF(RTD("tos.rtd",,$A$2,"."&amp;L$83&amp;L$1&amp;"C"&amp;$A99)="N/A",0,RTD("tos.rtd",,$A$2,"."&amp;L$83&amp;L$1&amp;"C"&amp;$A99))-IF(RTD("tos.rtd",,$A$2,"."&amp;L$83&amp;L$1&amp;"P"&amp;$A99)="N/A",0,RTD("tos.rtd",,$A$2,"."&amp;L$83&amp;L$1&amp;"P"&amp;$A99))</f>
        <v>0</v>
      </c>
      <c r="M99" s="91">
        <f ca="1">IF(RTD("tos.rtd",,$A$2,"."&amp;M$83&amp;M$1&amp;"C"&amp;$A99)="N/A",0,RTD("tos.rtd",,$A$2,"."&amp;M$83&amp;M$1&amp;"C"&amp;$A99))-IF(RTD("tos.rtd",,$A$2,"."&amp;M$83&amp;M$1&amp;"P"&amp;$A99)="N/A",0,RTD("tos.rtd",,$A$2,"."&amp;M$83&amp;M$1&amp;"P"&amp;$A99))</f>
        <v>0</v>
      </c>
      <c r="N99" s="91">
        <f ca="1">IF(RTD("tos.rtd",,$A$2,"."&amp;N$83&amp;N$1&amp;"C"&amp;$A99)="N/A",0,RTD("tos.rtd",,$A$2,"."&amp;N$83&amp;N$1&amp;"C"&amp;$A99))-IF(RTD("tos.rtd",,$A$2,"."&amp;N$83&amp;N$1&amp;"P"&amp;$A99)="N/A",0,RTD("tos.rtd",,$A$2,"."&amp;N$83&amp;N$1&amp;"P"&amp;$A99))</f>
        <v>0</v>
      </c>
      <c r="O99" s="91">
        <f ca="1">IF(RTD("tos.rtd",,$A$2,"."&amp;O$83&amp;O$1&amp;"C"&amp;$A99)="N/A",0,RTD("tos.rtd",,$A$2,"."&amp;O$83&amp;O$1&amp;"C"&amp;$A99))-IF(RTD("tos.rtd",,$A$2,"."&amp;O$83&amp;O$1&amp;"P"&amp;$A99)="N/A",0,RTD("tos.rtd",,$A$2,"."&amp;O$83&amp;O$1&amp;"P"&amp;$A99))</f>
        <v>0</v>
      </c>
      <c r="P99" s="91">
        <f ca="1">IF(RTD("tos.rtd",,$A$2,"."&amp;P$83&amp;P$1&amp;"C"&amp;$A99)="N/A",0,RTD("tos.rtd",,$A$2,"."&amp;P$83&amp;P$1&amp;"C"&amp;$A99))-IF(RTD("tos.rtd",,$A$2,"."&amp;P$83&amp;P$1&amp;"P"&amp;$A99)="N/A",0,RTD("tos.rtd",,$A$2,"."&amp;P$83&amp;P$1&amp;"P"&amp;$A99))</f>
        <v>0</v>
      </c>
      <c r="Q99" s="91">
        <f ca="1">IF(RTD("tos.rtd",,$A$2,"."&amp;Q$83&amp;Q$1&amp;"C"&amp;$A99)="N/A",0,RTD("tos.rtd",,$A$2,"."&amp;Q$83&amp;Q$1&amp;"C"&amp;$A99))-IF(RTD("tos.rtd",,$A$2,"."&amp;Q$83&amp;Q$1&amp;"P"&amp;$A99)="N/A",0,RTD("tos.rtd",,$A$2,"."&amp;Q$83&amp;Q$1&amp;"P"&amp;$A99))</f>
        <v>0</v>
      </c>
      <c r="R99" s="91">
        <f ca="1">IF(RTD("tos.rtd",,$A$2,"."&amp;R$83&amp;R$1&amp;"C"&amp;$A99)="N/A",0,RTD("tos.rtd",,$A$2,"."&amp;R$83&amp;R$1&amp;"C"&amp;$A99))-IF(RTD("tos.rtd",,$A$2,"."&amp;R$83&amp;R$1&amp;"P"&amp;$A99)="N/A",0,RTD("tos.rtd",,$A$2,"."&amp;R$83&amp;R$1&amp;"P"&amp;$A99))</f>
        <v>0</v>
      </c>
      <c r="S99" s="91">
        <f ca="1">IF(RTD("tos.rtd",,$A$2,"."&amp;S$83&amp;S$1&amp;"C"&amp;$A99)="N/A",0,RTD("tos.rtd",,$A$2,"."&amp;S$83&amp;S$1&amp;"C"&amp;$A99))-IF(RTD("tos.rtd",,$A$2,"."&amp;S$83&amp;S$1&amp;"P"&amp;$A99)="N/A",0,RTD("tos.rtd",,$A$2,"."&amp;S$83&amp;S$1&amp;"P"&amp;$A99))</f>
        <v>0</v>
      </c>
      <c r="T99" s="91">
        <f ca="1">IF(RTD("tos.rtd",,$A$2,"."&amp;T$83&amp;T$1&amp;"C"&amp;$A99)="N/A",0,RTD("tos.rtd",,$A$2,"."&amp;T$83&amp;T$1&amp;"C"&amp;$A99))-IF(RTD("tos.rtd",,$A$2,"."&amp;T$83&amp;T$1&amp;"P"&amp;$A99)="N/A",0,RTD("tos.rtd",,$A$2,"."&amp;T$83&amp;T$1&amp;"P"&amp;$A99))</f>
        <v>0</v>
      </c>
      <c r="U99" s="91">
        <f ca="1">IF(RTD("tos.rtd",,$A$2,"."&amp;U$83&amp;U$1&amp;"C"&amp;$A99)="N/A",0,RTD("tos.rtd",,$A$2,"."&amp;U$83&amp;U$1&amp;"C"&amp;$A99))-IF(RTD("tos.rtd",,$A$2,"."&amp;U$83&amp;U$1&amp;"P"&amp;$A99)="N/A",0,RTD("tos.rtd",,$A$2,"."&amp;U$83&amp;U$1&amp;"P"&amp;$A99))</f>
        <v>0</v>
      </c>
      <c r="V99" s="91">
        <f ca="1">IF(RTD("tos.rtd",,$A$2,"."&amp;V$83&amp;V$1&amp;"C"&amp;$A99)="N/A",0,RTD("tos.rtd",,$A$2,"."&amp;V$83&amp;V$1&amp;"C"&amp;$A99))-IF(RTD("tos.rtd",,$A$2,"."&amp;V$83&amp;V$1&amp;"P"&amp;$A99)="N/A",0,RTD("tos.rtd",,$A$2,"."&amp;V$83&amp;V$1&amp;"P"&amp;$A99))</f>
        <v>0</v>
      </c>
      <c r="W99" s="91">
        <f ca="1">IF(RTD("tos.rtd",,$A$2,"."&amp;W$83&amp;W$1&amp;"C"&amp;$A99)="N/A",0,RTD("tos.rtd",,$A$2,"."&amp;W$83&amp;W$1&amp;"C"&amp;$A99))-IF(RTD("tos.rtd",,$A$2,"."&amp;W$83&amp;W$1&amp;"P"&amp;$A99)="N/A",0,RTD("tos.rtd",,$A$2,"."&amp;W$83&amp;W$1&amp;"P"&amp;$A99))</f>
        <v>0</v>
      </c>
      <c r="X99" s="91">
        <f ca="1">IF(RTD("tos.rtd",,$A$2,"."&amp;X$83&amp;X$1&amp;"C"&amp;$A99)="N/A",0,RTD("tos.rtd",,$A$2,"."&amp;X$83&amp;X$1&amp;"C"&amp;$A99))-IF(RTD("tos.rtd",,$A$2,"."&amp;X$83&amp;X$1&amp;"P"&amp;$A99)="N/A",0,RTD("tos.rtd",,$A$2,"."&amp;X$83&amp;X$1&amp;"P"&amp;$A99))</f>
        <v>0</v>
      </c>
      <c r="Y99" s="98">
        <f t="shared" ca="1" si="10"/>
        <v>0</v>
      </c>
    </row>
    <row r="100" spans="1:25" x14ac:dyDescent="0.25">
      <c r="A100" s="93">
        <f>+Hoja1!A99</f>
        <v>5730</v>
      </c>
      <c r="B100" s="91">
        <f ca="1">IF(RTD("tos.rtd",,$A$2,"."&amp;B$83&amp;B$1&amp;"C"&amp;$A100)="N/A",0,RTD("tos.rtd",,$A$2,"."&amp;B$83&amp;B$1&amp;"C"&amp;$A100))-IF(RTD("tos.rtd",,$A$2,"."&amp;B$83&amp;B$1&amp;"P"&amp;$A100)="N/A",0,RTD("tos.rtd",,$A$2,"."&amp;B$83&amp;B$1&amp;"P"&amp;$A100))</f>
        <v>0</v>
      </c>
      <c r="C100" s="91">
        <f ca="1">IF(RTD("tos.rtd",,$A$2,"."&amp;C$83&amp;C$1&amp;"C"&amp;$A100)="N/A",0,RTD("tos.rtd",,$A$2,"."&amp;C$83&amp;C$1&amp;"C"&amp;$A100))-IF(RTD("tos.rtd",,$A$2,"."&amp;C$83&amp;C$1&amp;"P"&amp;$A100)="N/A",0,RTD("tos.rtd",,$A$2,"."&amp;C$83&amp;C$1&amp;"P"&amp;$A100))</f>
        <v>0</v>
      </c>
      <c r="D100" s="91">
        <f ca="1">IF(RTD("tos.rtd",,$A$2,"."&amp;D$83&amp;D$1&amp;"C"&amp;$A100)="N/A",0,RTD("tos.rtd",,$A$2,"."&amp;D$83&amp;D$1&amp;"C"&amp;$A100))-IF(RTD("tos.rtd",,$A$2,"."&amp;D$83&amp;D$1&amp;"P"&amp;$A100)="N/A",0,RTD("tos.rtd",,$A$2,"."&amp;D$83&amp;D$1&amp;"P"&amp;$A100))</f>
        <v>0</v>
      </c>
      <c r="E100" s="91">
        <f ca="1">IF(RTD("tos.rtd",,$A$2,"."&amp;E$83&amp;E$1&amp;"C"&amp;$A100)="N/A",0,RTD("tos.rtd",,$A$2,"."&amp;E$83&amp;E$1&amp;"C"&amp;$A100))-IF(RTD("tos.rtd",,$A$2,"."&amp;E$83&amp;E$1&amp;"P"&amp;$A100)="N/A",0,RTD("tos.rtd",,$A$2,"."&amp;E$83&amp;E$1&amp;"P"&amp;$A100))</f>
        <v>0</v>
      </c>
      <c r="F100" s="91">
        <f ca="1">IF(RTD("tos.rtd",,$A$2,"."&amp;F$83&amp;F$1&amp;"C"&amp;$A100)="N/A",0,RTD("tos.rtd",,$A$2,"."&amp;F$83&amp;F$1&amp;"C"&amp;$A100))-IF(RTD("tos.rtd",,$A$2,"."&amp;F$83&amp;F$1&amp;"P"&amp;$A100)="N/A",0,RTD("tos.rtd",,$A$2,"."&amp;F$83&amp;F$1&amp;"P"&amp;$A100))</f>
        <v>0</v>
      </c>
      <c r="G100" s="91">
        <f ca="1">IF(RTD("tos.rtd",,$A$2,"."&amp;G$83&amp;G$1&amp;"C"&amp;$A100)="N/A",0,RTD("tos.rtd",,$A$2,"."&amp;G$83&amp;G$1&amp;"C"&amp;$A100))-IF(RTD("tos.rtd",,$A$2,"."&amp;G$83&amp;G$1&amp;"P"&amp;$A100)="N/A",0,RTD("tos.rtd",,$A$2,"."&amp;G$83&amp;G$1&amp;"P"&amp;$A100))</f>
        <v>0</v>
      </c>
      <c r="H100" s="91">
        <f ca="1">IF(RTD("tos.rtd",,$A$2,"."&amp;H$83&amp;H$1&amp;"C"&amp;$A100)="N/A",0,RTD("tos.rtd",,$A$2,"."&amp;H$83&amp;H$1&amp;"C"&amp;$A100))-IF(RTD("tos.rtd",,$A$2,"."&amp;H$83&amp;H$1&amp;"P"&amp;$A100)="N/A",0,RTD("tos.rtd",,$A$2,"."&amp;H$83&amp;H$1&amp;"P"&amp;$A100))</f>
        <v>0</v>
      </c>
      <c r="I100" s="91">
        <f ca="1">IF(RTD("tos.rtd",,$A$2,"."&amp;I$83&amp;I$1&amp;"C"&amp;$A100)="N/A",0,RTD("tos.rtd",,$A$2,"."&amp;I$83&amp;I$1&amp;"C"&amp;$A100))-IF(RTD("tos.rtd",,$A$2,"."&amp;I$83&amp;I$1&amp;"P"&amp;$A100)="N/A",0,RTD("tos.rtd",,$A$2,"."&amp;I$83&amp;I$1&amp;"P"&amp;$A100))</f>
        <v>0</v>
      </c>
      <c r="J100" s="91">
        <f ca="1">IF(RTD("tos.rtd",,$A$2,"."&amp;J$83&amp;J$1&amp;"C"&amp;$A100)="N/A",0,RTD("tos.rtd",,$A$2,"."&amp;J$83&amp;J$1&amp;"C"&amp;$A100))-IF(RTD("tos.rtd",,$A$2,"."&amp;J$83&amp;J$1&amp;"P"&amp;$A100)="N/A",0,RTD("tos.rtd",,$A$2,"."&amp;J$83&amp;J$1&amp;"P"&amp;$A100))</f>
        <v>0</v>
      </c>
      <c r="K100" s="91">
        <f ca="1">IF(RTD("tos.rtd",,$A$2,"."&amp;K$83&amp;K$1&amp;"C"&amp;$A100)="N/A",0,RTD("tos.rtd",,$A$2,"."&amp;K$83&amp;K$1&amp;"C"&amp;$A100))-IF(RTD("tos.rtd",,$A$2,"."&amp;K$83&amp;K$1&amp;"P"&amp;$A100)="N/A",0,RTD("tos.rtd",,$A$2,"."&amp;K$83&amp;K$1&amp;"P"&amp;$A100))</f>
        <v>0</v>
      </c>
      <c r="L100" s="91">
        <f ca="1">IF(RTD("tos.rtd",,$A$2,"."&amp;L$83&amp;L$1&amp;"C"&amp;$A100)="N/A",0,RTD("tos.rtd",,$A$2,"."&amp;L$83&amp;L$1&amp;"C"&amp;$A100))-IF(RTD("tos.rtd",,$A$2,"."&amp;L$83&amp;L$1&amp;"P"&amp;$A100)="N/A",0,RTD("tos.rtd",,$A$2,"."&amp;L$83&amp;L$1&amp;"P"&amp;$A100))</f>
        <v>0</v>
      </c>
      <c r="M100" s="91">
        <f ca="1">IF(RTD("tos.rtd",,$A$2,"."&amp;M$83&amp;M$1&amp;"C"&amp;$A100)="N/A",0,RTD("tos.rtd",,$A$2,"."&amp;M$83&amp;M$1&amp;"C"&amp;$A100))-IF(RTD("tos.rtd",,$A$2,"."&amp;M$83&amp;M$1&amp;"P"&amp;$A100)="N/A",0,RTD("tos.rtd",,$A$2,"."&amp;M$83&amp;M$1&amp;"P"&amp;$A100))</f>
        <v>0</v>
      </c>
      <c r="N100" s="91">
        <f ca="1">IF(RTD("tos.rtd",,$A$2,"."&amp;N$83&amp;N$1&amp;"C"&amp;$A100)="N/A",0,RTD("tos.rtd",,$A$2,"."&amp;N$83&amp;N$1&amp;"C"&amp;$A100))-IF(RTD("tos.rtd",,$A$2,"."&amp;N$83&amp;N$1&amp;"P"&amp;$A100)="N/A",0,RTD("tos.rtd",,$A$2,"."&amp;N$83&amp;N$1&amp;"P"&amp;$A100))</f>
        <v>0</v>
      </c>
      <c r="O100" s="91">
        <f ca="1">IF(RTD("tos.rtd",,$A$2,"."&amp;O$83&amp;O$1&amp;"C"&amp;$A100)="N/A",0,RTD("tos.rtd",,$A$2,"."&amp;O$83&amp;O$1&amp;"C"&amp;$A100))-IF(RTD("tos.rtd",,$A$2,"."&amp;O$83&amp;O$1&amp;"P"&amp;$A100)="N/A",0,RTD("tos.rtd",,$A$2,"."&amp;O$83&amp;O$1&amp;"P"&amp;$A100))</f>
        <v>0</v>
      </c>
      <c r="P100" s="91">
        <f ca="1">IF(RTD("tos.rtd",,$A$2,"."&amp;P$83&amp;P$1&amp;"C"&amp;$A100)="N/A",0,RTD("tos.rtd",,$A$2,"."&amp;P$83&amp;P$1&amp;"C"&amp;$A100))-IF(RTD("tos.rtd",,$A$2,"."&amp;P$83&amp;P$1&amp;"P"&amp;$A100)="N/A",0,RTD("tos.rtd",,$A$2,"."&amp;P$83&amp;P$1&amp;"P"&amp;$A100))</f>
        <v>0</v>
      </c>
      <c r="Q100" s="91">
        <f ca="1">IF(RTD("tos.rtd",,$A$2,"."&amp;Q$83&amp;Q$1&amp;"C"&amp;$A100)="N/A",0,RTD("tos.rtd",,$A$2,"."&amp;Q$83&amp;Q$1&amp;"C"&amp;$A100))-IF(RTD("tos.rtd",,$A$2,"."&amp;Q$83&amp;Q$1&amp;"P"&amp;$A100)="N/A",0,RTD("tos.rtd",,$A$2,"."&amp;Q$83&amp;Q$1&amp;"P"&amp;$A100))</f>
        <v>0</v>
      </c>
      <c r="R100" s="91">
        <f ca="1">IF(RTD("tos.rtd",,$A$2,"."&amp;R$83&amp;R$1&amp;"C"&amp;$A100)="N/A",0,RTD("tos.rtd",,$A$2,"."&amp;R$83&amp;R$1&amp;"C"&amp;$A100))-IF(RTD("tos.rtd",,$A$2,"."&amp;R$83&amp;R$1&amp;"P"&amp;$A100)="N/A",0,RTD("tos.rtd",,$A$2,"."&amp;R$83&amp;R$1&amp;"P"&amp;$A100))</f>
        <v>0</v>
      </c>
      <c r="S100" s="91">
        <f ca="1">IF(RTD("tos.rtd",,$A$2,"."&amp;S$83&amp;S$1&amp;"C"&amp;$A100)="N/A",0,RTD("tos.rtd",,$A$2,"."&amp;S$83&amp;S$1&amp;"C"&amp;$A100))-IF(RTD("tos.rtd",,$A$2,"."&amp;S$83&amp;S$1&amp;"P"&amp;$A100)="N/A",0,RTD("tos.rtd",,$A$2,"."&amp;S$83&amp;S$1&amp;"P"&amp;$A100))</f>
        <v>0</v>
      </c>
      <c r="T100" s="91">
        <f ca="1">IF(RTD("tos.rtd",,$A$2,"."&amp;T$83&amp;T$1&amp;"C"&amp;$A100)="N/A",0,RTD("tos.rtd",,$A$2,"."&amp;T$83&amp;T$1&amp;"C"&amp;$A100))-IF(RTD("tos.rtd",,$A$2,"."&amp;T$83&amp;T$1&amp;"P"&amp;$A100)="N/A",0,RTD("tos.rtd",,$A$2,"."&amp;T$83&amp;T$1&amp;"P"&amp;$A100))</f>
        <v>0</v>
      </c>
      <c r="U100" s="91">
        <f ca="1">IF(RTD("tos.rtd",,$A$2,"."&amp;U$83&amp;U$1&amp;"C"&amp;$A100)="N/A",0,RTD("tos.rtd",,$A$2,"."&amp;U$83&amp;U$1&amp;"C"&amp;$A100))-IF(RTD("tos.rtd",,$A$2,"."&amp;U$83&amp;U$1&amp;"P"&amp;$A100)="N/A",0,RTD("tos.rtd",,$A$2,"."&amp;U$83&amp;U$1&amp;"P"&amp;$A100))</f>
        <v>0</v>
      </c>
      <c r="V100" s="91">
        <f ca="1">IF(RTD("tos.rtd",,$A$2,"."&amp;V$83&amp;V$1&amp;"C"&amp;$A100)="N/A",0,RTD("tos.rtd",,$A$2,"."&amp;V$83&amp;V$1&amp;"C"&amp;$A100))-IF(RTD("tos.rtd",,$A$2,"."&amp;V$83&amp;V$1&amp;"P"&amp;$A100)="N/A",0,RTD("tos.rtd",,$A$2,"."&amp;V$83&amp;V$1&amp;"P"&amp;$A100))</f>
        <v>0</v>
      </c>
      <c r="W100" s="91">
        <f ca="1">IF(RTD("tos.rtd",,$A$2,"."&amp;W$83&amp;W$1&amp;"C"&amp;$A100)="N/A",0,RTD("tos.rtd",,$A$2,"."&amp;W$83&amp;W$1&amp;"C"&amp;$A100))-IF(RTD("tos.rtd",,$A$2,"."&amp;W$83&amp;W$1&amp;"P"&amp;$A100)="N/A",0,RTD("tos.rtd",,$A$2,"."&amp;W$83&amp;W$1&amp;"P"&amp;$A100))</f>
        <v>0</v>
      </c>
      <c r="X100" s="91">
        <f ca="1">IF(RTD("tos.rtd",,$A$2,"."&amp;X$83&amp;X$1&amp;"C"&amp;$A100)="N/A",0,RTD("tos.rtd",,$A$2,"."&amp;X$83&amp;X$1&amp;"C"&amp;$A100))-IF(RTD("tos.rtd",,$A$2,"."&amp;X$83&amp;X$1&amp;"P"&amp;$A100)="N/A",0,RTD("tos.rtd",,$A$2,"."&amp;X$83&amp;X$1&amp;"P"&amp;$A100))</f>
        <v>0</v>
      </c>
      <c r="Y100" s="98">
        <f t="shared" ca="1" si="10"/>
        <v>0</v>
      </c>
    </row>
    <row r="101" spans="1:25" x14ac:dyDescent="0.25">
      <c r="A101" s="93">
        <f>+Hoja1!A100</f>
        <v>5720</v>
      </c>
      <c r="B101" s="91">
        <f ca="1">IF(RTD("tos.rtd",,$A$2,"."&amp;B$83&amp;B$1&amp;"C"&amp;$A101)="N/A",0,RTD("tos.rtd",,$A$2,"."&amp;B$83&amp;B$1&amp;"C"&amp;$A101))-IF(RTD("tos.rtd",,$A$2,"."&amp;B$83&amp;B$1&amp;"P"&amp;$A101)="N/A",0,RTD("tos.rtd",,$A$2,"."&amp;B$83&amp;B$1&amp;"P"&amp;$A101))</f>
        <v>0</v>
      </c>
      <c r="C101" s="91">
        <f ca="1">IF(RTD("tos.rtd",,$A$2,"."&amp;C$83&amp;C$1&amp;"C"&amp;$A101)="N/A",0,RTD("tos.rtd",,$A$2,"."&amp;C$83&amp;C$1&amp;"C"&amp;$A101))-IF(RTD("tos.rtd",,$A$2,"."&amp;C$83&amp;C$1&amp;"P"&amp;$A101)="N/A",0,RTD("tos.rtd",,$A$2,"."&amp;C$83&amp;C$1&amp;"P"&amp;$A101))</f>
        <v>0</v>
      </c>
      <c r="D101" s="91">
        <f ca="1">IF(RTD("tos.rtd",,$A$2,"."&amp;D$83&amp;D$1&amp;"C"&amp;$A101)="N/A",0,RTD("tos.rtd",,$A$2,"."&amp;D$83&amp;D$1&amp;"C"&amp;$A101))-IF(RTD("tos.rtd",,$A$2,"."&amp;D$83&amp;D$1&amp;"P"&amp;$A101)="N/A",0,RTD("tos.rtd",,$A$2,"."&amp;D$83&amp;D$1&amp;"P"&amp;$A101))</f>
        <v>0</v>
      </c>
      <c r="E101" s="91">
        <f ca="1">IF(RTD("tos.rtd",,$A$2,"."&amp;E$83&amp;E$1&amp;"C"&amp;$A101)="N/A",0,RTD("tos.rtd",,$A$2,"."&amp;E$83&amp;E$1&amp;"C"&amp;$A101))-IF(RTD("tos.rtd",,$A$2,"."&amp;E$83&amp;E$1&amp;"P"&amp;$A101)="N/A",0,RTD("tos.rtd",,$A$2,"."&amp;E$83&amp;E$1&amp;"P"&amp;$A101))</f>
        <v>0</v>
      </c>
      <c r="F101" s="91">
        <f ca="1">IF(RTD("tos.rtd",,$A$2,"."&amp;F$83&amp;F$1&amp;"C"&amp;$A101)="N/A",0,RTD("tos.rtd",,$A$2,"."&amp;F$83&amp;F$1&amp;"C"&amp;$A101))-IF(RTD("tos.rtd",,$A$2,"."&amp;F$83&amp;F$1&amp;"P"&amp;$A101)="N/A",0,RTD("tos.rtd",,$A$2,"."&amp;F$83&amp;F$1&amp;"P"&amp;$A101))</f>
        <v>0</v>
      </c>
      <c r="G101" s="91">
        <f ca="1">IF(RTD("tos.rtd",,$A$2,"."&amp;G$83&amp;G$1&amp;"C"&amp;$A101)="N/A",0,RTD("tos.rtd",,$A$2,"."&amp;G$83&amp;G$1&amp;"C"&amp;$A101))-IF(RTD("tos.rtd",,$A$2,"."&amp;G$83&amp;G$1&amp;"P"&amp;$A101)="N/A",0,RTD("tos.rtd",,$A$2,"."&amp;G$83&amp;G$1&amp;"P"&amp;$A101))</f>
        <v>0</v>
      </c>
      <c r="H101" s="91">
        <f ca="1">IF(RTD("tos.rtd",,$A$2,"."&amp;H$83&amp;H$1&amp;"C"&amp;$A101)="N/A",0,RTD("tos.rtd",,$A$2,"."&amp;H$83&amp;H$1&amp;"C"&amp;$A101))-IF(RTD("tos.rtd",,$A$2,"."&amp;H$83&amp;H$1&amp;"P"&amp;$A101)="N/A",0,RTD("tos.rtd",,$A$2,"."&amp;H$83&amp;H$1&amp;"P"&amp;$A101))</f>
        <v>0</v>
      </c>
      <c r="I101" s="91">
        <f ca="1">IF(RTD("tos.rtd",,$A$2,"."&amp;I$83&amp;I$1&amp;"C"&amp;$A101)="N/A",0,RTD("tos.rtd",,$A$2,"."&amp;I$83&amp;I$1&amp;"C"&amp;$A101))-IF(RTD("tos.rtd",,$A$2,"."&amp;I$83&amp;I$1&amp;"P"&amp;$A101)="N/A",0,RTD("tos.rtd",,$A$2,"."&amp;I$83&amp;I$1&amp;"P"&amp;$A101))</f>
        <v>0</v>
      </c>
      <c r="J101" s="91">
        <f ca="1">IF(RTD("tos.rtd",,$A$2,"."&amp;J$83&amp;J$1&amp;"C"&amp;$A101)="N/A",0,RTD("tos.rtd",,$A$2,"."&amp;J$83&amp;J$1&amp;"C"&amp;$A101))-IF(RTD("tos.rtd",,$A$2,"."&amp;J$83&amp;J$1&amp;"P"&amp;$A101)="N/A",0,RTD("tos.rtd",,$A$2,"."&amp;J$83&amp;J$1&amp;"P"&amp;$A101))</f>
        <v>0</v>
      </c>
      <c r="K101" s="91">
        <f ca="1">IF(RTD("tos.rtd",,$A$2,"."&amp;K$83&amp;K$1&amp;"C"&amp;$A101)="N/A",0,RTD("tos.rtd",,$A$2,"."&amp;K$83&amp;K$1&amp;"C"&amp;$A101))-IF(RTD("tos.rtd",,$A$2,"."&amp;K$83&amp;K$1&amp;"P"&amp;$A101)="N/A",0,RTD("tos.rtd",,$A$2,"."&amp;K$83&amp;K$1&amp;"P"&amp;$A101))</f>
        <v>0</v>
      </c>
      <c r="L101" s="91">
        <f ca="1">IF(RTD("tos.rtd",,$A$2,"."&amp;L$83&amp;L$1&amp;"C"&amp;$A101)="N/A",0,RTD("tos.rtd",,$A$2,"."&amp;L$83&amp;L$1&amp;"C"&amp;$A101))-IF(RTD("tos.rtd",,$A$2,"."&amp;L$83&amp;L$1&amp;"P"&amp;$A101)="N/A",0,RTD("tos.rtd",,$A$2,"."&amp;L$83&amp;L$1&amp;"P"&amp;$A101))</f>
        <v>0</v>
      </c>
      <c r="M101" s="91">
        <f ca="1">IF(RTD("tos.rtd",,$A$2,"."&amp;M$83&amp;M$1&amp;"C"&amp;$A101)="N/A",0,RTD("tos.rtd",,$A$2,"."&amp;M$83&amp;M$1&amp;"C"&amp;$A101))-IF(RTD("tos.rtd",,$A$2,"."&amp;M$83&amp;M$1&amp;"P"&amp;$A101)="N/A",0,RTD("tos.rtd",,$A$2,"."&amp;M$83&amp;M$1&amp;"P"&amp;$A101))</f>
        <v>0</v>
      </c>
      <c r="N101" s="91">
        <f ca="1">IF(RTD("tos.rtd",,$A$2,"."&amp;N$83&amp;N$1&amp;"C"&amp;$A101)="N/A",0,RTD("tos.rtd",,$A$2,"."&amp;N$83&amp;N$1&amp;"C"&amp;$A101))-IF(RTD("tos.rtd",,$A$2,"."&amp;N$83&amp;N$1&amp;"P"&amp;$A101)="N/A",0,RTD("tos.rtd",,$A$2,"."&amp;N$83&amp;N$1&amp;"P"&amp;$A101))</f>
        <v>0</v>
      </c>
      <c r="O101" s="91">
        <f ca="1">IF(RTD("tos.rtd",,$A$2,"."&amp;O$83&amp;O$1&amp;"C"&amp;$A101)="N/A",0,RTD("tos.rtd",,$A$2,"."&amp;O$83&amp;O$1&amp;"C"&amp;$A101))-IF(RTD("tos.rtd",,$A$2,"."&amp;O$83&amp;O$1&amp;"P"&amp;$A101)="N/A",0,RTD("tos.rtd",,$A$2,"."&amp;O$83&amp;O$1&amp;"P"&amp;$A101))</f>
        <v>0</v>
      </c>
      <c r="P101" s="91">
        <f ca="1">IF(RTD("tos.rtd",,$A$2,"."&amp;P$83&amp;P$1&amp;"C"&amp;$A101)="N/A",0,RTD("tos.rtd",,$A$2,"."&amp;P$83&amp;P$1&amp;"C"&amp;$A101))-IF(RTD("tos.rtd",,$A$2,"."&amp;P$83&amp;P$1&amp;"P"&amp;$A101)="N/A",0,RTD("tos.rtd",,$A$2,"."&amp;P$83&amp;P$1&amp;"P"&amp;$A101))</f>
        <v>0</v>
      </c>
      <c r="Q101" s="91">
        <f ca="1">IF(RTD("tos.rtd",,$A$2,"."&amp;Q$83&amp;Q$1&amp;"C"&amp;$A101)="N/A",0,RTD("tos.rtd",,$A$2,"."&amp;Q$83&amp;Q$1&amp;"C"&amp;$A101))-IF(RTD("tos.rtd",,$A$2,"."&amp;Q$83&amp;Q$1&amp;"P"&amp;$A101)="N/A",0,RTD("tos.rtd",,$A$2,"."&amp;Q$83&amp;Q$1&amp;"P"&amp;$A101))</f>
        <v>0</v>
      </c>
      <c r="R101" s="91">
        <f ca="1">IF(RTD("tos.rtd",,$A$2,"."&amp;R$83&amp;R$1&amp;"C"&amp;$A101)="N/A",0,RTD("tos.rtd",,$A$2,"."&amp;R$83&amp;R$1&amp;"C"&amp;$A101))-IF(RTD("tos.rtd",,$A$2,"."&amp;R$83&amp;R$1&amp;"P"&amp;$A101)="N/A",0,RTD("tos.rtd",,$A$2,"."&amp;R$83&amp;R$1&amp;"P"&amp;$A101))</f>
        <v>0</v>
      </c>
      <c r="S101" s="91">
        <f ca="1">IF(RTD("tos.rtd",,$A$2,"."&amp;S$83&amp;S$1&amp;"C"&amp;$A101)="N/A",0,RTD("tos.rtd",,$A$2,"."&amp;S$83&amp;S$1&amp;"C"&amp;$A101))-IF(RTD("tos.rtd",,$A$2,"."&amp;S$83&amp;S$1&amp;"P"&amp;$A101)="N/A",0,RTD("tos.rtd",,$A$2,"."&amp;S$83&amp;S$1&amp;"P"&amp;$A101))</f>
        <v>0</v>
      </c>
      <c r="T101" s="91">
        <f ca="1">IF(RTD("tos.rtd",,$A$2,"."&amp;T$83&amp;T$1&amp;"C"&amp;$A101)="N/A",0,RTD("tos.rtd",,$A$2,"."&amp;T$83&amp;T$1&amp;"C"&amp;$A101))-IF(RTD("tos.rtd",,$A$2,"."&amp;T$83&amp;T$1&amp;"P"&amp;$A101)="N/A",0,RTD("tos.rtd",,$A$2,"."&amp;T$83&amp;T$1&amp;"P"&amp;$A101))</f>
        <v>0</v>
      </c>
      <c r="U101" s="91">
        <f ca="1">IF(RTD("tos.rtd",,$A$2,"."&amp;U$83&amp;U$1&amp;"C"&amp;$A101)="N/A",0,RTD("tos.rtd",,$A$2,"."&amp;U$83&amp;U$1&amp;"C"&amp;$A101))-IF(RTD("tos.rtd",,$A$2,"."&amp;U$83&amp;U$1&amp;"P"&amp;$A101)="N/A",0,RTD("tos.rtd",,$A$2,"."&amp;U$83&amp;U$1&amp;"P"&amp;$A101))</f>
        <v>0</v>
      </c>
      <c r="V101" s="91">
        <f ca="1">IF(RTD("tos.rtd",,$A$2,"."&amp;V$83&amp;V$1&amp;"C"&amp;$A101)="N/A",0,RTD("tos.rtd",,$A$2,"."&amp;V$83&amp;V$1&amp;"C"&amp;$A101))-IF(RTD("tos.rtd",,$A$2,"."&amp;V$83&amp;V$1&amp;"P"&amp;$A101)="N/A",0,RTD("tos.rtd",,$A$2,"."&amp;V$83&amp;V$1&amp;"P"&amp;$A101))</f>
        <v>0</v>
      </c>
      <c r="W101" s="91">
        <f ca="1">IF(RTD("tos.rtd",,$A$2,"."&amp;W$83&amp;W$1&amp;"C"&amp;$A101)="N/A",0,RTD("tos.rtd",,$A$2,"."&amp;W$83&amp;W$1&amp;"C"&amp;$A101))-IF(RTD("tos.rtd",,$A$2,"."&amp;W$83&amp;W$1&amp;"P"&amp;$A101)="N/A",0,RTD("tos.rtd",,$A$2,"."&amp;W$83&amp;W$1&amp;"P"&amp;$A101))</f>
        <v>0</v>
      </c>
      <c r="X101" s="91">
        <f ca="1">IF(RTD("tos.rtd",,$A$2,"."&amp;X$83&amp;X$1&amp;"C"&amp;$A101)="N/A",0,RTD("tos.rtd",,$A$2,"."&amp;X$83&amp;X$1&amp;"C"&amp;$A101))-IF(RTD("tos.rtd",,$A$2,"."&amp;X$83&amp;X$1&amp;"P"&amp;$A101)="N/A",0,RTD("tos.rtd",,$A$2,"."&amp;X$83&amp;X$1&amp;"P"&amp;$A101))</f>
        <v>0</v>
      </c>
      <c r="Y101" s="98">
        <f t="shared" ca="1" si="10"/>
        <v>0</v>
      </c>
    </row>
    <row r="102" spans="1:25" x14ac:dyDescent="0.25">
      <c r="A102" s="93">
        <f>+Hoja1!A101</f>
        <v>5710</v>
      </c>
      <c r="B102" s="91">
        <f ca="1">IF(RTD("tos.rtd",,$A$2,"."&amp;B$83&amp;B$1&amp;"C"&amp;$A102)="N/A",0,RTD("tos.rtd",,$A$2,"."&amp;B$83&amp;B$1&amp;"C"&amp;$A102))-IF(RTD("tos.rtd",,$A$2,"."&amp;B$83&amp;B$1&amp;"P"&amp;$A102)="N/A",0,RTD("tos.rtd",,$A$2,"."&amp;B$83&amp;B$1&amp;"P"&amp;$A102))</f>
        <v>0</v>
      </c>
      <c r="C102" s="91">
        <f ca="1">IF(RTD("tos.rtd",,$A$2,"."&amp;C$83&amp;C$1&amp;"C"&amp;$A102)="N/A",0,RTD("tos.rtd",,$A$2,"."&amp;C$83&amp;C$1&amp;"C"&amp;$A102))-IF(RTD("tos.rtd",,$A$2,"."&amp;C$83&amp;C$1&amp;"P"&amp;$A102)="N/A",0,RTD("tos.rtd",,$A$2,"."&amp;C$83&amp;C$1&amp;"P"&amp;$A102))</f>
        <v>0</v>
      </c>
      <c r="D102" s="91">
        <f ca="1">IF(RTD("tos.rtd",,$A$2,"."&amp;D$83&amp;D$1&amp;"C"&amp;$A102)="N/A",0,RTD("tos.rtd",,$A$2,"."&amp;D$83&amp;D$1&amp;"C"&amp;$A102))-IF(RTD("tos.rtd",,$A$2,"."&amp;D$83&amp;D$1&amp;"P"&amp;$A102)="N/A",0,RTD("tos.rtd",,$A$2,"."&amp;D$83&amp;D$1&amp;"P"&amp;$A102))</f>
        <v>0</v>
      </c>
      <c r="E102" s="91">
        <f ca="1">IF(RTD("tos.rtd",,$A$2,"."&amp;E$83&amp;E$1&amp;"C"&amp;$A102)="N/A",0,RTD("tos.rtd",,$A$2,"."&amp;E$83&amp;E$1&amp;"C"&amp;$A102))-IF(RTD("tos.rtd",,$A$2,"."&amp;E$83&amp;E$1&amp;"P"&amp;$A102)="N/A",0,RTD("tos.rtd",,$A$2,"."&amp;E$83&amp;E$1&amp;"P"&amp;$A102))</f>
        <v>0</v>
      </c>
      <c r="F102" s="91">
        <f ca="1">IF(RTD("tos.rtd",,$A$2,"."&amp;F$83&amp;F$1&amp;"C"&amp;$A102)="N/A",0,RTD("tos.rtd",,$A$2,"."&amp;F$83&amp;F$1&amp;"C"&amp;$A102))-IF(RTD("tos.rtd",,$A$2,"."&amp;F$83&amp;F$1&amp;"P"&amp;$A102)="N/A",0,RTD("tos.rtd",,$A$2,"."&amp;F$83&amp;F$1&amp;"P"&amp;$A102))</f>
        <v>0</v>
      </c>
      <c r="G102" s="91">
        <f ca="1">IF(RTD("tos.rtd",,$A$2,"."&amp;G$83&amp;G$1&amp;"C"&amp;$A102)="N/A",0,RTD("tos.rtd",,$A$2,"."&amp;G$83&amp;G$1&amp;"C"&amp;$A102))-IF(RTD("tos.rtd",,$A$2,"."&amp;G$83&amp;G$1&amp;"P"&amp;$A102)="N/A",0,RTD("tos.rtd",,$A$2,"."&amp;G$83&amp;G$1&amp;"P"&amp;$A102))</f>
        <v>0</v>
      </c>
      <c r="H102" s="91">
        <f ca="1">IF(RTD("tos.rtd",,$A$2,"."&amp;H$83&amp;H$1&amp;"C"&amp;$A102)="N/A",0,RTD("tos.rtd",,$A$2,"."&amp;H$83&amp;H$1&amp;"C"&amp;$A102))-IF(RTD("tos.rtd",,$A$2,"."&amp;H$83&amp;H$1&amp;"P"&amp;$A102)="N/A",0,RTD("tos.rtd",,$A$2,"."&amp;H$83&amp;H$1&amp;"P"&amp;$A102))</f>
        <v>0</v>
      </c>
      <c r="I102" s="91">
        <f ca="1">IF(RTD("tos.rtd",,$A$2,"."&amp;I$83&amp;I$1&amp;"C"&amp;$A102)="N/A",0,RTD("tos.rtd",,$A$2,"."&amp;I$83&amp;I$1&amp;"C"&amp;$A102))-IF(RTD("tos.rtd",,$A$2,"."&amp;I$83&amp;I$1&amp;"P"&amp;$A102)="N/A",0,RTD("tos.rtd",,$A$2,"."&amp;I$83&amp;I$1&amp;"P"&amp;$A102))</f>
        <v>0</v>
      </c>
      <c r="J102" s="91">
        <f ca="1">IF(RTD("tos.rtd",,$A$2,"."&amp;J$83&amp;J$1&amp;"C"&amp;$A102)="N/A",0,RTD("tos.rtd",,$A$2,"."&amp;J$83&amp;J$1&amp;"C"&amp;$A102))-IF(RTD("tos.rtd",,$A$2,"."&amp;J$83&amp;J$1&amp;"P"&amp;$A102)="N/A",0,RTD("tos.rtd",,$A$2,"."&amp;J$83&amp;J$1&amp;"P"&amp;$A102))</f>
        <v>0</v>
      </c>
      <c r="K102" s="91">
        <f ca="1">IF(RTD("tos.rtd",,$A$2,"."&amp;K$83&amp;K$1&amp;"C"&amp;$A102)="N/A",0,RTD("tos.rtd",,$A$2,"."&amp;K$83&amp;K$1&amp;"C"&amp;$A102))-IF(RTD("tos.rtd",,$A$2,"."&amp;K$83&amp;K$1&amp;"P"&amp;$A102)="N/A",0,RTD("tos.rtd",,$A$2,"."&amp;K$83&amp;K$1&amp;"P"&amp;$A102))</f>
        <v>0</v>
      </c>
      <c r="L102" s="91">
        <f ca="1">IF(RTD("tos.rtd",,$A$2,"."&amp;L$83&amp;L$1&amp;"C"&amp;$A102)="N/A",0,RTD("tos.rtd",,$A$2,"."&amp;L$83&amp;L$1&amp;"C"&amp;$A102))-IF(RTD("tos.rtd",,$A$2,"."&amp;L$83&amp;L$1&amp;"P"&amp;$A102)="N/A",0,RTD("tos.rtd",,$A$2,"."&amp;L$83&amp;L$1&amp;"P"&amp;$A102))</f>
        <v>0</v>
      </c>
      <c r="M102" s="91">
        <f ca="1">IF(RTD("tos.rtd",,$A$2,"."&amp;M$83&amp;M$1&amp;"C"&amp;$A102)="N/A",0,RTD("tos.rtd",,$A$2,"."&amp;M$83&amp;M$1&amp;"C"&amp;$A102))-IF(RTD("tos.rtd",,$A$2,"."&amp;M$83&amp;M$1&amp;"P"&amp;$A102)="N/A",0,RTD("tos.rtd",,$A$2,"."&amp;M$83&amp;M$1&amp;"P"&amp;$A102))</f>
        <v>0</v>
      </c>
      <c r="N102" s="91">
        <f ca="1">IF(RTD("tos.rtd",,$A$2,"."&amp;N$83&amp;N$1&amp;"C"&amp;$A102)="N/A",0,RTD("tos.rtd",,$A$2,"."&amp;N$83&amp;N$1&amp;"C"&amp;$A102))-IF(RTD("tos.rtd",,$A$2,"."&amp;N$83&amp;N$1&amp;"P"&amp;$A102)="N/A",0,RTD("tos.rtd",,$A$2,"."&amp;N$83&amp;N$1&amp;"P"&amp;$A102))</f>
        <v>0</v>
      </c>
      <c r="O102" s="91">
        <f ca="1">IF(RTD("tos.rtd",,$A$2,"."&amp;O$83&amp;O$1&amp;"C"&amp;$A102)="N/A",0,RTD("tos.rtd",,$A$2,"."&amp;O$83&amp;O$1&amp;"C"&amp;$A102))-IF(RTD("tos.rtd",,$A$2,"."&amp;O$83&amp;O$1&amp;"P"&amp;$A102)="N/A",0,RTD("tos.rtd",,$A$2,"."&amp;O$83&amp;O$1&amp;"P"&amp;$A102))</f>
        <v>0</v>
      </c>
      <c r="P102" s="91">
        <f ca="1">IF(RTD("tos.rtd",,$A$2,"."&amp;P$83&amp;P$1&amp;"C"&amp;$A102)="N/A",0,RTD("tos.rtd",,$A$2,"."&amp;P$83&amp;P$1&amp;"C"&amp;$A102))-IF(RTD("tos.rtd",,$A$2,"."&amp;P$83&amp;P$1&amp;"P"&amp;$A102)="N/A",0,RTD("tos.rtd",,$A$2,"."&amp;P$83&amp;P$1&amp;"P"&amp;$A102))</f>
        <v>0</v>
      </c>
      <c r="Q102" s="91">
        <f ca="1">IF(RTD("tos.rtd",,$A$2,"."&amp;Q$83&amp;Q$1&amp;"C"&amp;$A102)="N/A",0,RTD("tos.rtd",,$A$2,"."&amp;Q$83&amp;Q$1&amp;"C"&amp;$A102))-IF(RTD("tos.rtd",,$A$2,"."&amp;Q$83&amp;Q$1&amp;"P"&amp;$A102)="N/A",0,RTD("tos.rtd",,$A$2,"."&amp;Q$83&amp;Q$1&amp;"P"&amp;$A102))</f>
        <v>0</v>
      </c>
      <c r="R102" s="91">
        <f ca="1">IF(RTD("tos.rtd",,$A$2,"."&amp;R$83&amp;R$1&amp;"C"&amp;$A102)="N/A",0,RTD("tos.rtd",,$A$2,"."&amp;R$83&amp;R$1&amp;"C"&amp;$A102))-IF(RTD("tos.rtd",,$A$2,"."&amp;R$83&amp;R$1&amp;"P"&amp;$A102)="N/A",0,RTD("tos.rtd",,$A$2,"."&amp;R$83&amp;R$1&amp;"P"&amp;$A102))</f>
        <v>0</v>
      </c>
      <c r="S102" s="91">
        <f ca="1">IF(RTD("tos.rtd",,$A$2,"."&amp;S$83&amp;S$1&amp;"C"&amp;$A102)="N/A",0,RTD("tos.rtd",,$A$2,"."&amp;S$83&amp;S$1&amp;"C"&amp;$A102))-IF(RTD("tos.rtd",,$A$2,"."&amp;S$83&amp;S$1&amp;"P"&amp;$A102)="N/A",0,RTD("tos.rtd",,$A$2,"."&amp;S$83&amp;S$1&amp;"P"&amp;$A102))</f>
        <v>0</v>
      </c>
      <c r="T102" s="91">
        <f ca="1">IF(RTD("tos.rtd",,$A$2,"."&amp;T$83&amp;T$1&amp;"C"&amp;$A102)="N/A",0,RTD("tos.rtd",,$A$2,"."&amp;T$83&amp;T$1&amp;"C"&amp;$A102))-IF(RTD("tos.rtd",,$A$2,"."&amp;T$83&amp;T$1&amp;"P"&amp;$A102)="N/A",0,RTD("tos.rtd",,$A$2,"."&amp;T$83&amp;T$1&amp;"P"&amp;$A102))</f>
        <v>0</v>
      </c>
      <c r="U102" s="91">
        <f ca="1">IF(RTD("tos.rtd",,$A$2,"."&amp;U$83&amp;U$1&amp;"C"&amp;$A102)="N/A",0,RTD("tos.rtd",,$A$2,"."&amp;U$83&amp;U$1&amp;"C"&amp;$A102))-IF(RTD("tos.rtd",,$A$2,"."&amp;U$83&amp;U$1&amp;"P"&amp;$A102)="N/A",0,RTD("tos.rtd",,$A$2,"."&amp;U$83&amp;U$1&amp;"P"&amp;$A102))</f>
        <v>0</v>
      </c>
      <c r="V102" s="91">
        <f ca="1">IF(RTD("tos.rtd",,$A$2,"."&amp;V$83&amp;V$1&amp;"C"&amp;$A102)="N/A",0,RTD("tos.rtd",,$A$2,"."&amp;V$83&amp;V$1&amp;"C"&amp;$A102))-IF(RTD("tos.rtd",,$A$2,"."&amp;V$83&amp;V$1&amp;"P"&amp;$A102)="N/A",0,RTD("tos.rtd",,$A$2,"."&amp;V$83&amp;V$1&amp;"P"&amp;$A102))</f>
        <v>0</v>
      </c>
      <c r="W102" s="91">
        <f ca="1">IF(RTD("tos.rtd",,$A$2,"."&amp;W$83&amp;W$1&amp;"C"&amp;$A102)="N/A",0,RTD("tos.rtd",,$A$2,"."&amp;W$83&amp;W$1&amp;"C"&amp;$A102))-IF(RTD("tos.rtd",,$A$2,"."&amp;W$83&amp;W$1&amp;"P"&amp;$A102)="N/A",0,RTD("tos.rtd",,$A$2,"."&amp;W$83&amp;W$1&amp;"P"&amp;$A102))</f>
        <v>0</v>
      </c>
      <c r="X102" s="91">
        <f ca="1">IF(RTD("tos.rtd",,$A$2,"."&amp;X$83&amp;X$1&amp;"C"&amp;$A102)="N/A",0,RTD("tos.rtd",,$A$2,"."&amp;X$83&amp;X$1&amp;"C"&amp;$A102))-IF(RTD("tos.rtd",,$A$2,"."&amp;X$83&amp;X$1&amp;"P"&amp;$A102)="N/A",0,RTD("tos.rtd",,$A$2,"."&amp;X$83&amp;X$1&amp;"P"&amp;$A102))</f>
        <v>0</v>
      </c>
      <c r="Y102" s="98">
        <f t="shared" ca="1" si="10"/>
        <v>0</v>
      </c>
    </row>
    <row r="103" spans="1:25" x14ac:dyDescent="0.25">
      <c r="A103" s="93">
        <f>+Hoja1!A102</f>
        <v>5700</v>
      </c>
      <c r="B103" s="91">
        <f ca="1">IF(RTD("tos.rtd",,$A$2,"."&amp;B$83&amp;B$1&amp;"C"&amp;$A103)="N/A",0,RTD("tos.rtd",,$A$2,"."&amp;B$83&amp;B$1&amp;"C"&amp;$A103))-IF(RTD("tos.rtd",,$A$2,"."&amp;B$83&amp;B$1&amp;"P"&amp;$A103)="N/A",0,RTD("tos.rtd",,$A$2,"."&amp;B$83&amp;B$1&amp;"P"&amp;$A103))</f>
        <v>0</v>
      </c>
      <c r="C103" s="91">
        <f ca="1">IF(RTD("tos.rtd",,$A$2,"."&amp;C$83&amp;C$1&amp;"C"&amp;$A103)="N/A",0,RTD("tos.rtd",,$A$2,"."&amp;C$83&amp;C$1&amp;"C"&amp;$A103))-IF(RTD("tos.rtd",,$A$2,"."&amp;C$83&amp;C$1&amp;"P"&amp;$A103)="N/A",0,RTD("tos.rtd",,$A$2,"."&amp;C$83&amp;C$1&amp;"P"&amp;$A103))</f>
        <v>0</v>
      </c>
      <c r="D103" s="91">
        <f ca="1">IF(RTD("tos.rtd",,$A$2,"."&amp;D$83&amp;D$1&amp;"C"&amp;$A103)="N/A",0,RTD("tos.rtd",,$A$2,"."&amp;D$83&amp;D$1&amp;"C"&amp;$A103))-IF(RTD("tos.rtd",,$A$2,"."&amp;D$83&amp;D$1&amp;"P"&amp;$A103)="N/A",0,RTD("tos.rtd",,$A$2,"."&amp;D$83&amp;D$1&amp;"P"&amp;$A103))</f>
        <v>0</v>
      </c>
      <c r="E103" s="91">
        <f ca="1">IF(RTD("tos.rtd",,$A$2,"."&amp;E$83&amp;E$1&amp;"C"&amp;$A103)="N/A",0,RTD("tos.rtd",,$A$2,"."&amp;E$83&amp;E$1&amp;"C"&amp;$A103))-IF(RTD("tos.rtd",,$A$2,"."&amp;E$83&amp;E$1&amp;"P"&amp;$A103)="N/A",0,RTD("tos.rtd",,$A$2,"."&amp;E$83&amp;E$1&amp;"P"&amp;$A103))</f>
        <v>0</v>
      </c>
      <c r="F103" s="91">
        <f ca="1">IF(RTD("tos.rtd",,$A$2,"."&amp;F$83&amp;F$1&amp;"C"&amp;$A103)="N/A",0,RTD("tos.rtd",,$A$2,"."&amp;F$83&amp;F$1&amp;"C"&amp;$A103))-IF(RTD("tos.rtd",,$A$2,"."&amp;F$83&amp;F$1&amp;"P"&amp;$A103)="N/A",0,RTD("tos.rtd",,$A$2,"."&amp;F$83&amp;F$1&amp;"P"&amp;$A103))</f>
        <v>0</v>
      </c>
      <c r="G103" s="91">
        <f ca="1">IF(RTD("tos.rtd",,$A$2,"."&amp;G$83&amp;G$1&amp;"C"&amp;$A103)="N/A",0,RTD("tos.rtd",,$A$2,"."&amp;G$83&amp;G$1&amp;"C"&amp;$A103))-IF(RTD("tos.rtd",,$A$2,"."&amp;G$83&amp;G$1&amp;"P"&amp;$A103)="N/A",0,RTD("tos.rtd",,$A$2,"."&amp;G$83&amp;G$1&amp;"P"&amp;$A103))</f>
        <v>0</v>
      </c>
      <c r="H103" s="91">
        <f ca="1">IF(RTD("tos.rtd",,$A$2,"."&amp;H$83&amp;H$1&amp;"C"&amp;$A103)="N/A",0,RTD("tos.rtd",,$A$2,"."&amp;H$83&amp;H$1&amp;"C"&amp;$A103))-IF(RTD("tos.rtd",,$A$2,"."&amp;H$83&amp;H$1&amp;"P"&amp;$A103)="N/A",0,RTD("tos.rtd",,$A$2,"."&amp;H$83&amp;H$1&amp;"P"&amp;$A103))</f>
        <v>0</v>
      </c>
      <c r="I103" s="91">
        <f ca="1">IF(RTD("tos.rtd",,$A$2,"."&amp;I$83&amp;I$1&amp;"C"&amp;$A103)="N/A",0,RTD("tos.rtd",,$A$2,"."&amp;I$83&amp;I$1&amp;"C"&amp;$A103))-IF(RTD("tos.rtd",,$A$2,"."&amp;I$83&amp;I$1&amp;"P"&amp;$A103)="N/A",0,RTD("tos.rtd",,$A$2,"."&amp;I$83&amp;I$1&amp;"P"&amp;$A103))</f>
        <v>0</v>
      </c>
      <c r="J103" s="91">
        <f ca="1">IF(RTD("tos.rtd",,$A$2,"."&amp;J$83&amp;J$1&amp;"C"&amp;$A103)="N/A",0,RTD("tos.rtd",,$A$2,"."&amp;J$83&amp;J$1&amp;"C"&amp;$A103))-IF(RTD("tos.rtd",,$A$2,"."&amp;J$83&amp;J$1&amp;"P"&amp;$A103)="N/A",0,RTD("tos.rtd",,$A$2,"."&amp;J$83&amp;J$1&amp;"P"&amp;$A103))</f>
        <v>0</v>
      </c>
      <c r="K103" s="91">
        <f ca="1">IF(RTD("tos.rtd",,$A$2,"."&amp;K$83&amp;K$1&amp;"C"&amp;$A103)="N/A",0,RTD("tos.rtd",,$A$2,"."&amp;K$83&amp;K$1&amp;"C"&amp;$A103))-IF(RTD("tos.rtd",,$A$2,"."&amp;K$83&amp;K$1&amp;"P"&amp;$A103)="N/A",0,RTD("tos.rtd",,$A$2,"."&amp;K$83&amp;K$1&amp;"P"&amp;$A103))</f>
        <v>0</v>
      </c>
      <c r="L103" s="91">
        <f ca="1">IF(RTD("tos.rtd",,$A$2,"."&amp;L$83&amp;L$1&amp;"C"&amp;$A103)="N/A",0,RTD("tos.rtd",,$A$2,"."&amp;L$83&amp;L$1&amp;"C"&amp;$A103))-IF(RTD("tos.rtd",,$A$2,"."&amp;L$83&amp;L$1&amp;"P"&amp;$A103)="N/A",0,RTD("tos.rtd",,$A$2,"."&amp;L$83&amp;L$1&amp;"P"&amp;$A103))</f>
        <v>0</v>
      </c>
      <c r="M103" s="91">
        <f ca="1">IF(RTD("tos.rtd",,$A$2,"."&amp;M$83&amp;M$1&amp;"C"&amp;$A103)="N/A",0,RTD("tos.rtd",,$A$2,"."&amp;M$83&amp;M$1&amp;"C"&amp;$A103))-IF(RTD("tos.rtd",,$A$2,"."&amp;M$83&amp;M$1&amp;"P"&amp;$A103)="N/A",0,RTD("tos.rtd",,$A$2,"."&amp;M$83&amp;M$1&amp;"P"&amp;$A103))</f>
        <v>0</v>
      </c>
      <c r="N103" s="91">
        <f ca="1">IF(RTD("tos.rtd",,$A$2,"."&amp;N$83&amp;N$1&amp;"C"&amp;$A103)="N/A",0,RTD("tos.rtd",,$A$2,"."&amp;N$83&amp;N$1&amp;"C"&amp;$A103))-IF(RTD("tos.rtd",,$A$2,"."&amp;N$83&amp;N$1&amp;"P"&amp;$A103)="N/A",0,RTD("tos.rtd",,$A$2,"."&amp;N$83&amp;N$1&amp;"P"&amp;$A103))</f>
        <v>0</v>
      </c>
      <c r="O103" s="91">
        <f ca="1">IF(RTD("tos.rtd",,$A$2,"."&amp;O$83&amp;O$1&amp;"C"&amp;$A103)="N/A",0,RTD("tos.rtd",,$A$2,"."&amp;O$83&amp;O$1&amp;"C"&amp;$A103))-IF(RTD("tos.rtd",,$A$2,"."&amp;O$83&amp;O$1&amp;"P"&amp;$A103)="N/A",0,RTD("tos.rtd",,$A$2,"."&amp;O$83&amp;O$1&amp;"P"&amp;$A103))</f>
        <v>0</v>
      </c>
      <c r="P103" s="91">
        <f ca="1">IF(RTD("tos.rtd",,$A$2,"."&amp;P$83&amp;P$1&amp;"C"&amp;$A103)="N/A",0,RTD("tos.rtd",,$A$2,"."&amp;P$83&amp;P$1&amp;"C"&amp;$A103))-IF(RTD("tos.rtd",,$A$2,"."&amp;P$83&amp;P$1&amp;"P"&amp;$A103)="N/A",0,RTD("tos.rtd",,$A$2,"."&amp;P$83&amp;P$1&amp;"P"&amp;$A103))</f>
        <v>0</v>
      </c>
      <c r="Q103" s="91">
        <f ca="1">IF(RTD("tos.rtd",,$A$2,"."&amp;Q$83&amp;Q$1&amp;"C"&amp;$A103)="N/A",0,RTD("tos.rtd",,$A$2,"."&amp;Q$83&amp;Q$1&amp;"C"&amp;$A103))-IF(RTD("tos.rtd",,$A$2,"."&amp;Q$83&amp;Q$1&amp;"P"&amp;$A103)="N/A",0,RTD("tos.rtd",,$A$2,"."&amp;Q$83&amp;Q$1&amp;"P"&amp;$A103))</f>
        <v>0</v>
      </c>
      <c r="R103" s="91">
        <f ca="1">IF(RTD("tos.rtd",,$A$2,"."&amp;R$83&amp;R$1&amp;"C"&amp;$A103)="N/A",0,RTD("tos.rtd",,$A$2,"."&amp;R$83&amp;R$1&amp;"C"&amp;$A103))-IF(RTD("tos.rtd",,$A$2,"."&amp;R$83&amp;R$1&amp;"P"&amp;$A103)="N/A",0,RTD("tos.rtd",,$A$2,"."&amp;R$83&amp;R$1&amp;"P"&amp;$A103))</f>
        <v>0</v>
      </c>
      <c r="S103" s="91">
        <f ca="1">IF(RTD("tos.rtd",,$A$2,"."&amp;S$83&amp;S$1&amp;"C"&amp;$A103)="N/A",0,RTD("tos.rtd",,$A$2,"."&amp;S$83&amp;S$1&amp;"C"&amp;$A103))-IF(RTD("tos.rtd",,$A$2,"."&amp;S$83&amp;S$1&amp;"P"&amp;$A103)="N/A",0,RTD("tos.rtd",,$A$2,"."&amp;S$83&amp;S$1&amp;"P"&amp;$A103))</f>
        <v>0</v>
      </c>
      <c r="T103" s="91">
        <f ca="1">IF(RTD("tos.rtd",,$A$2,"."&amp;T$83&amp;T$1&amp;"C"&amp;$A103)="N/A",0,RTD("tos.rtd",,$A$2,"."&amp;T$83&amp;T$1&amp;"C"&amp;$A103))-IF(RTD("tos.rtd",,$A$2,"."&amp;T$83&amp;T$1&amp;"P"&amp;$A103)="N/A",0,RTD("tos.rtd",,$A$2,"."&amp;T$83&amp;T$1&amp;"P"&amp;$A103))</f>
        <v>0</v>
      </c>
      <c r="U103" s="91">
        <f ca="1">IF(RTD("tos.rtd",,$A$2,"."&amp;U$83&amp;U$1&amp;"C"&amp;$A103)="N/A",0,RTD("tos.rtd",,$A$2,"."&amp;U$83&amp;U$1&amp;"C"&amp;$A103))-IF(RTD("tos.rtd",,$A$2,"."&amp;U$83&amp;U$1&amp;"P"&amp;$A103)="N/A",0,RTD("tos.rtd",,$A$2,"."&amp;U$83&amp;U$1&amp;"P"&amp;$A103))</f>
        <v>0</v>
      </c>
      <c r="V103" s="91">
        <f ca="1">IF(RTD("tos.rtd",,$A$2,"."&amp;V$83&amp;V$1&amp;"C"&amp;$A103)="N/A",0,RTD("tos.rtd",,$A$2,"."&amp;V$83&amp;V$1&amp;"C"&amp;$A103))-IF(RTD("tos.rtd",,$A$2,"."&amp;V$83&amp;V$1&amp;"P"&amp;$A103)="N/A",0,RTD("tos.rtd",,$A$2,"."&amp;V$83&amp;V$1&amp;"P"&amp;$A103))</f>
        <v>0</v>
      </c>
      <c r="W103" s="91">
        <f ca="1">IF(RTD("tos.rtd",,$A$2,"."&amp;W$83&amp;W$1&amp;"C"&amp;$A103)="N/A",0,RTD("tos.rtd",,$A$2,"."&amp;W$83&amp;W$1&amp;"C"&amp;$A103))-IF(RTD("tos.rtd",,$A$2,"."&amp;W$83&amp;W$1&amp;"P"&amp;$A103)="N/A",0,RTD("tos.rtd",,$A$2,"."&amp;W$83&amp;W$1&amp;"P"&amp;$A103))</f>
        <v>0</v>
      </c>
      <c r="X103" s="91">
        <f ca="1">IF(RTD("tos.rtd",,$A$2,"."&amp;X$83&amp;X$1&amp;"C"&amp;$A103)="N/A",0,RTD("tos.rtd",,$A$2,"."&amp;X$83&amp;X$1&amp;"C"&amp;$A103))-IF(RTD("tos.rtd",,$A$2,"."&amp;X$83&amp;X$1&amp;"P"&amp;$A103)="N/A",0,RTD("tos.rtd",,$A$2,"."&amp;X$83&amp;X$1&amp;"P"&amp;$A103))</f>
        <v>0</v>
      </c>
      <c r="Y103" s="98">
        <f t="shared" ca="1" si="10"/>
        <v>0</v>
      </c>
    </row>
    <row r="104" spans="1:25" x14ac:dyDescent="0.25">
      <c r="A104" s="93">
        <f>+Hoja1!A103</f>
        <v>5690</v>
      </c>
      <c r="B104" s="91">
        <f ca="1">IF(RTD("tos.rtd",,$A$2,"."&amp;B$83&amp;B$1&amp;"C"&amp;$A104)="N/A",0,RTD("tos.rtd",,$A$2,"."&amp;B$83&amp;B$1&amp;"C"&amp;$A104))-IF(RTD("tos.rtd",,$A$2,"."&amp;B$83&amp;B$1&amp;"P"&amp;$A104)="N/A",0,RTD("tos.rtd",,$A$2,"."&amp;B$83&amp;B$1&amp;"P"&amp;$A104))</f>
        <v>0</v>
      </c>
      <c r="C104" s="91">
        <f ca="1">IF(RTD("tos.rtd",,$A$2,"."&amp;C$83&amp;C$1&amp;"C"&amp;$A104)="N/A",0,RTD("tos.rtd",,$A$2,"."&amp;C$83&amp;C$1&amp;"C"&amp;$A104))-IF(RTD("tos.rtd",,$A$2,"."&amp;C$83&amp;C$1&amp;"P"&amp;$A104)="N/A",0,RTD("tos.rtd",,$A$2,"."&amp;C$83&amp;C$1&amp;"P"&amp;$A104))</f>
        <v>0</v>
      </c>
      <c r="D104" s="91">
        <f ca="1">IF(RTD("tos.rtd",,$A$2,"."&amp;D$83&amp;D$1&amp;"C"&amp;$A104)="N/A",0,RTD("tos.rtd",,$A$2,"."&amp;D$83&amp;D$1&amp;"C"&amp;$A104))-IF(RTD("tos.rtd",,$A$2,"."&amp;D$83&amp;D$1&amp;"P"&amp;$A104)="N/A",0,RTD("tos.rtd",,$A$2,"."&amp;D$83&amp;D$1&amp;"P"&amp;$A104))</f>
        <v>0</v>
      </c>
      <c r="E104" s="91">
        <f ca="1">IF(RTD("tos.rtd",,$A$2,"."&amp;E$83&amp;E$1&amp;"C"&amp;$A104)="N/A",0,RTD("tos.rtd",,$A$2,"."&amp;E$83&amp;E$1&amp;"C"&amp;$A104))-IF(RTD("tos.rtd",,$A$2,"."&amp;E$83&amp;E$1&amp;"P"&amp;$A104)="N/A",0,RTD("tos.rtd",,$A$2,"."&amp;E$83&amp;E$1&amp;"P"&amp;$A104))</f>
        <v>0</v>
      </c>
      <c r="F104" s="91">
        <f ca="1">IF(RTD("tos.rtd",,$A$2,"."&amp;F$83&amp;F$1&amp;"C"&amp;$A104)="N/A",0,RTD("tos.rtd",,$A$2,"."&amp;F$83&amp;F$1&amp;"C"&amp;$A104))-IF(RTD("tos.rtd",,$A$2,"."&amp;F$83&amp;F$1&amp;"P"&amp;$A104)="N/A",0,RTD("tos.rtd",,$A$2,"."&amp;F$83&amp;F$1&amp;"P"&amp;$A104))</f>
        <v>0</v>
      </c>
      <c r="G104" s="91">
        <f ca="1">IF(RTD("tos.rtd",,$A$2,"."&amp;G$83&amp;G$1&amp;"C"&amp;$A104)="N/A",0,RTD("tos.rtd",,$A$2,"."&amp;G$83&amp;G$1&amp;"C"&amp;$A104))-IF(RTD("tos.rtd",,$A$2,"."&amp;G$83&amp;G$1&amp;"P"&amp;$A104)="N/A",0,RTD("tos.rtd",,$A$2,"."&amp;G$83&amp;G$1&amp;"P"&amp;$A104))</f>
        <v>0</v>
      </c>
      <c r="H104" s="91">
        <f ca="1">IF(RTD("tos.rtd",,$A$2,"."&amp;H$83&amp;H$1&amp;"C"&amp;$A104)="N/A",0,RTD("tos.rtd",,$A$2,"."&amp;H$83&amp;H$1&amp;"C"&amp;$A104))-IF(RTD("tos.rtd",,$A$2,"."&amp;H$83&amp;H$1&amp;"P"&amp;$A104)="N/A",0,RTD("tos.rtd",,$A$2,"."&amp;H$83&amp;H$1&amp;"P"&amp;$A104))</f>
        <v>0</v>
      </c>
      <c r="I104" s="91">
        <f ca="1">IF(RTD("tos.rtd",,$A$2,"."&amp;I$83&amp;I$1&amp;"C"&amp;$A104)="N/A",0,RTD("tos.rtd",,$A$2,"."&amp;I$83&amp;I$1&amp;"C"&amp;$A104))-IF(RTD("tos.rtd",,$A$2,"."&amp;I$83&amp;I$1&amp;"P"&amp;$A104)="N/A",0,RTD("tos.rtd",,$A$2,"."&amp;I$83&amp;I$1&amp;"P"&amp;$A104))</f>
        <v>0</v>
      </c>
      <c r="J104" s="91">
        <f ca="1">IF(RTD("tos.rtd",,$A$2,"."&amp;J$83&amp;J$1&amp;"C"&amp;$A104)="N/A",0,RTD("tos.rtd",,$A$2,"."&amp;J$83&amp;J$1&amp;"C"&amp;$A104))-IF(RTD("tos.rtd",,$A$2,"."&amp;J$83&amp;J$1&amp;"P"&amp;$A104)="N/A",0,RTD("tos.rtd",,$A$2,"."&amp;J$83&amp;J$1&amp;"P"&amp;$A104))</f>
        <v>0</v>
      </c>
      <c r="K104" s="91">
        <f ca="1">IF(RTD("tos.rtd",,$A$2,"."&amp;K$83&amp;K$1&amp;"C"&amp;$A104)="N/A",0,RTD("tos.rtd",,$A$2,"."&amp;K$83&amp;K$1&amp;"C"&amp;$A104))-IF(RTD("tos.rtd",,$A$2,"."&amp;K$83&amp;K$1&amp;"P"&amp;$A104)="N/A",0,RTD("tos.rtd",,$A$2,"."&amp;K$83&amp;K$1&amp;"P"&amp;$A104))</f>
        <v>0</v>
      </c>
      <c r="L104" s="91">
        <f ca="1">IF(RTD("tos.rtd",,$A$2,"."&amp;L$83&amp;L$1&amp;"C"&amp;$A104)="N/A",0,RTD("tos.rtd",,$A$2,"."&amp;L$83&amp;L$1&amp;"C"&amp;$A104))-IF(RTD("tos.rtd",,$A$2,"."&amp;L$83&amp;L$1&amp;"P"&amp;$A104)="N/A",0,RTD("tos.rtd",,$A$2,"."&amp;L$83&amp;L$1&amp;"P"&amp;$A104))</f>
        <v>0</v>
      </c>
      <c r="M104" s="91">
        <f ca="1">IF(RTD("tos.rtd",,$A$2,"."&amp;M$83&amp;M$1&amp;"C"&amp;$A104)="N/A",0,RTD("tos.rtd",,$A$2,"."&amp;M$83&amp;M$1&amp;"C"&amp;$A104))-IF(RTD("tos.rtd",,$A$2,"."&amp;M$83&amp;M$1&amp;"P"&amp;$A104)="N/A",0,RTD("tos.rtd",,$A$2,"."&amp;M$83&amp;M$1&amp;"P"&amp;$A104))</f>
        <v>0</v>
      </c>
      <c r="N104" s="91">
        <f ca="1">IF(RTD("tos.rtd",,$A$2,"."&amp;N$83&amp;N$1&amp;"C"&amp;$A104)="N/A",0,RTD("tos.rtd",,$A$2,"."&amp;N$83&amp;N$1&amp;"C"&amp;$A104))-IF(RTD("tos.rtd",,$A$2,"."&amp;N$83&amp;N$1&amp;"P"&amp;$A104)="N/A",0,RTD("tos.rtd",,$A$2,"."&amp;N$83&amp;N$1&amp;"P"&amp;$A104))</f>
        <v>0</v>
      </c>
      <c r="O104" s="91">
        <f ca="1">IF(RTD("tos.rtd",,$A$2,"."&amp;O$83&amp;O$1&amp;"C"&amp;$A104)="N/A",0,RTD("tos.rtd",,$A$2,"."&amp;O$83&amp;O$1&amp;"C"&amp;$A104))-IF(RTD("tos.rtd",,$A$2,"."&amp;O$83&amp;O$1&amp;"P"&amp;$A104)="N/A",0,RTD("tos.rtd",,$A$2,"."&amp;O$83&amp;O$1&amp;"P"&amp;$A104))</f>
        <v>0</v>
      </c>
      <c r="P104" s="91">
        <f ca="1">IF(RTD("tos.rtd",,$A$2,"."&amp;P$83&amp;P$1&amp;"C"&amp;$A104)="N/A",0,RTD("tos.rtd",,$A$2,"."&amp;P$83&amp;P$1&amp;"C"&amp;$A104))-IF(RTD("tos.rtd",,$A$2,"."&amp;P$83&amp;P$1&amp;"P"&amp;$A104)="N/A",0,RTD("tos.rtd",,$A$2,"."&amp;P$83&amp;P$1&amp;"P"&amp;$A104))</f>
        <v>0</v>
      </c>
      <c r="Q104" s="91">
        <f ca="1">IF(RTD("tos.rtd",,$A$2,"."&amp;Q$83&amp;Q$1&amp;"C"&amp;$A104)="N/A",0,RTD("tos.rtd",,$A$2,"."&amp;Q$83&amp;Q$1&amp;"C"&amp;$A104))-IF(RTD("tos.rtd",,$A$2,"."&amp;Q$83&amp;Q$1&amp;"P"&amp;$A104)="N/A",0,RTD("tos.rtd",,$A$2,"."&amp;Q$83&amp;Q$1&amp;"P"&amp;$A104))</f>
        <v>0</v>
      </c>
      <c r="R104" s="91">
        <f ca="1">IF(RTD("tos.rtd",,$A$2,"."&amp;R$83&amp;R$1&amp;"C"&amp;$A104)="N/A",0,RTD("tos.rtd",,$A$2,"."&amp;R$83&amp;R$1&amp;"C"&amp;$A104))-IF(RTD("tos.rtd",,$A$2,"."&amp;R$83&amp;R$1&amp;"P"&amp;$A104)="N/A",0,RTD("tos.rtd",,$A$2,"."&amp;R$83&amp;R$1&amp;"P"&amp;$A104))</f>
        <v>0</v>
      </c>
      <c r="S104" s="91">
        <f ca="1">IF(RTD("tos.rtd",,$A$2,"."&amp;S$83&amp;S$1&amp;"C"&amp;$A104)="N/A",0,RTD("tos.rtd",,$A$2,"."&amp;S$83&amp;S$1&amp;"C"&amp;$A104))-IF(RTD("tos.rtd",,$A$2,"."&amp;S$83&amp;S$1&amp;"P"&amp;$A104)="N/A",0,RTD("tos.rtd",,$A$2,"."&amp;S$83&amp;S$1&amp;"P"&amp;$A104))</f>
        <v>0</v>
      </c>
      <c r="T104" s="91">
        <f ca="1">IF(RTD("tos.rtd",,$A$2,"."&amp;T$83&amp;T$1&amp;"C"&amp;$A104)="N/A",0,RTD("tos.rtd",,$A$2,"."&amp;T$83&amp;T$1&amp;"C"&amp;$A104))-IF(RTD("tos.rtd",,$A$2,"."&amp;T$83&amp;T$1&amp;"P"&amp;$A104)="N/A",0,RTD("tos.rtd",,$A$2,"."&amp;T$83&amp;T$1&amp;"P"&amp;$A104))</f>
        <v>0</v>
      </c>
      <c r="U104" s="91">
        <f ca="1">IF(RTD("tos.rtd",,$A$2,"."&amp;U$83&amp;U$1&amp;"C"&amp;$A104)="N/A",0,RTD("tos.rtd",,$A$2,"."&amp;U$83&amp;U$1&amp;"C"&amp;$A104))-IF(RTD("tos.rtd",,$A$2,"."&amp;U$83&amp;U$1&amp;"P"&amp;$A104)="N/A",0,RTD("tos.rtd",,$A$2,"."&amp;U$83&amp;U$1&amp;"P"&amp;$A104))</f>
        <v>0</v>
      </c>
      <c r="V104" s="91">
        <f ca="1">IF(RTD("tos.rtd",,$A$2,"."&amp;V$83&amp;V$1&amp;"C"&amp;$A104)="N/A",0,RTD("tos.rtd",,$A$2,"."&amp;V$83&amp;V$1&amp;"C"&amp;$A104))-IF(RTD("tos.rtd",,$A$2,"."&amp;V$83&amp;V$1&amp;"P"&amp;$A104)="N/A",0,RTD("tos.rtd",,$A$2,"."&amp;V$83&amp;V$1&amp;"P"&amp;$A104))</f>
        <v>0</v>
      </c>
      <c r="W104" s="91">
        <f ca="1">IF(RTD("tos.rtd",,$A$2,"."&amp;W$83&amp;W$1&amp;"C"&amp;$A104)="N/A",0,RTD("tos.rtd",,$A$2,"."&amp;W$83&amp;W$1&amp;"C"&amp;$A104))-IF(RTD("tos.rtd",,$A$2,"."&amp;W$83&amp;W$1&amp;"P"&amp;$A104)="N/A",0,RTD("tos.rtd",,$A$2,"."&amp;W$83&amp;W$1&amp;"P"&amp;$A104))</f>
        <v>0</v>
      </c>
      <c r="X104" s="91">
        <f ca="1">IF(RTD("tos.rtd",,$A$2,"."&amp;X$83&amp;X$1&amp;"C"&amp;$A104)="N/A",0,RTD("tos.rtd",,$A$2,"."&amp;X$83&amp;X$1&amp;"C"&amp;$A104))-IF(RTD("tos.rtd",,$A$2,"."&amp;X$83&amp;X$1&amp;"P"&amp;$A104)="N/A",0,RTD("tos.rtd",,$A$2,"."&amp;X$83&amp;X$1&amp;"P"&amp;$A104))</f>
        <v>0</v>
      </c>
      <c r="Y104" s="98">
        <f t="shared" ca="1" si="10"/>
        <v>0</v>
      </c>
    </row>
    <row r="105" spans="1:25" x14ac:dyDescent="0.25">
      <c r="A105" s="93">
        <f>+Hoja1!A104</f>
        <v>5680</v>
      </c>
      <c r="B105" s="91">
        <f ca="1">IF(RTD("tos.rtd",,$A$2,"."&amp;B$83&amp;B$1&amp;"C"&amp;$A105)="N/A",0,RTD("tos.rtd",,$A$2,"."&amp;B$83&amp;B$1&amp;"C"&amp;$A105))-IF(RTD("tos.rtd",,$A$2,"."&amp;B$83&amp;B$1&amp;"P"&amp;$A105)="N/A",0,RTD("tos.rtd",,$A$2,"."&amp;B$83&amp;B$1&amp;"P"&amp;$A105))</f>
        <v>0</v>
      </c>
      <c r="C105" s="91">
        <f ca="1">IF(RTD("tos.rtd",,$A$2,"."&amp;C$83&amp;C$1&amp;"C"&amp;$A105)="N/A",0,RTD("tos.rtd",,$A$2,"."&amp;C$83&amp;C$1&amp;"C"&amp;$A105))-IF(RTD("tos.rtd",,$A$2,"."&amp;C$83&amp;C$1&amp;"P"&amp;$A105)="N/A",0,RTD("tos.rtd",,$A$2,"."&amp;C$83&amp;C$1&amp;"P"&amp;$A105))</f>
        <v>0</v>
      </c>
      <c r="D105" s="91">
        <f ca="1">IF(RTD("tos.rtd",,$A$2,"."&amp;D$83&amp;D$1&amp;"C"&amp;$A105)="N/A",0,RTD("tos.rtd",,$A$2,"."&amp;D$83&amp;D$1&amp;"C"&amp;$A105))-IF(RTD("tos.rtd",,$A$2,"."&amp;D$83&amp;D$1&amp;"P"&amp;$A105)="N/A",0,RTD("tos.rtd",,$A$2,"."&amp;D$83&amp;D$1&amp;"P"&amp;$A105))</f>
        <v>0</v>
      </c>
      <c r="E105" s="91">
        <f ca="1">IF(RTD("tos.rtd",,$A$2,"."&amp;E$83&amp;E$1&amp;"C"&amp;$A105)="N/A",0,RTD("tos.rtd",,$A$2,"."&amp;E$83&amp;E$1&amp;"C"&amp;$A105))-IF(RTD("tos.rtd",,$A$2,"."&amp;E$83&amp;E$1&amp;"P"&amp;$A105)="N/A",0,RTD("tos.rtd",,$A$2,"."&amp;E$83&amp;E$1&amp;"P"&amp;$A105))</f>
        <v>0</v>
      </c>
      <c r="F105" s="91">
        <f ca="1">IF(RTD("tos.rtd",,$A$2,"."&amp;F$83&amp;F$1&amp;"C"&amp;$A105)="N/A",0,RTD("tos.rtd",,$A$2,"."&amp;F$83&amp;F$1&amp;"C"&amp;$A105))-IF(RTD("tos.rtd",,$A$2,"."&amp;F$83&amp;F$1&amp;"P"&amp;$A105)="N/A",0,RTD("tos.rtd",,$A$2,"."&amp;F$83&amp;F$1&amp;"P"&amp;$A105))</f>
        <v>0</v>
      </c>
      <c r="G105" s="91">
        <f ca="1">IF(RTD("tos.rtd",,$A$2,"."&amp;G$83&amp;G$1&amp;"C"&amp;$A105)="N/A",0,RTD("tos.rtd",,$A$2,"."&amp;G$83&amp;G$1&amp;"C"&amp;$A105))-IF(RTD("tos.rtd",,$A$2,"."&amp;G$83&amp;G$1&amp;"P"&amp;$A105)="N/A",0,RTD("tos.rtd",,$A$2,"."&amp;G$83&amp;G$1&amp;"P"&amp;$A105))</f>
        <v>0</v>
      </c>
      <c r="H105" s="91">
        <f ca="1">IF(RTD("tos.rtd",,$A$2,"."&amp;H$83&amp;H$1&amp;"C"&amp;$A105)="N/A",0,RTD("tos.rtd",,$A$2,"."&amp;H$83&amp;H$1&amp;"C"&amp;$A105))-IF(RTD("tos.rtd",,$A$2,"."&amp;H$83&amp;H$1&amp;"P"&amp;$A105)="N/A",0,RTD("tos.rtd",,$A$2,"."&amp;H$83&amp;H$1&amp;"P"&amp;$A105))</f>
        <v>0</v>
      </c>
      <c r="I105" s="91">
        <f ca="1">IF(RTD("tos.rtd",,$A$2,"."&amp;I$83&amp;I$1&amp;"C"&amp;$A105)="N/A",0,RTD("tos.rtd",,$A$2,"."&amp;I$83&amp;I$1&amp;"C"&amp;$A105))-IF(RTD("tos.rtd",,$A$2,"."&amp;I$83&amp;I$1&amp;"P"&amp;$A105)="N/A",0,RTD("tos.rtd",,$A$2,"."&amp;I$83&amp;I$1&amp;"P"&amp;$A105))</f>
        <v>0</v>
      </c>
      <c r="J105" s="91">
        <f ca="1">IF(RTD("tos.rtd",,$A$2,"."&amp;J$83&amp;J$1&amp;"C"&amp;$A105)="N/A",0,RTD("tos.rtd",,$A$2,"."&amp;J$83&amp;J$1&amp;"C"&amp;$A105))-IF(RTD("tos.rtd",,$A$2,"."&amp;J$83&amp;J$1&amp;"P"&amp;$A105)="N/A",0,RTD("tos.rtd",,$A$2,"."&amp;J$83&amp;J$1&amp;"P"&amp;$A105))</f>
        <v>0</v>
      </c>
      <c r="K105" s="91">
        <f ca="1">IF(RTD("tos.rtd",,$A$2,"."&amp;K$83&amp;K$1&amp;"C"&amp;$A105)="N/A",0,RTD("tos.rtd",,$A$2,"."&amp;K$83&amp;K$1&amp;"C"&amp;$A105))-IF(RTD("tos.rtd",,$A$2,"."&amp;K$83&amp;K$1&amp;"P"&amp;$A105)="N/A",0,RTD("tos.rtd",,$A$2,"."&amp;K$83&amp;K$1&amp;"P"&amp;$A105))</f>
        <v>0</v>
      </c>
      <c r="L105" s="91">
        <f ca="1">IF(RTD("tos.rtd",,$A$2,"."&amp;L$83&amp;L$1&amp;"C"&amp;$A105)="N/A",0,RTD("tos.rtd",,$A$2,"."&amp;L$83&amp;L$1&amp;"C"&amp;$A105))-IF(RTD("tos.rtd",,$A$2,"."&amp;L$83&amp;L$1&amp;"P"&amp;$A105)="N/A",0,RTD("tos.rtd",,$A$2,"."&amp;L$83&amp;L$1&amp;"P"&amp;$A105))</f>
        <v>0</v>
      </c>
      <c r="M105" s="91">
        <f ca="1">IF(RTD("tos.rtd",,$A$2,"."&amp;M$83&amp;M$1&amp;"C"&amp;$A105)="N/A",0,RTD("tos.rtd",,$A$2,"."&amp;M$83&amp;M$1&amp;"C"&amp;$A105))-IF(RTD("tos.rtd",,$A$2,"."&amp;M$83&amp;M$1&amp;"P"&amp;$A105)="N/A",0,RTD("tos.rtd",,$A$2,"."&amp;M$83&amp;M$1&amp;"P"&amp;$A105))</f>
        <v>0</v>
      </c>
      <c r="N105" s="91">
        <f ca="1">IF(RTD("tos.rtd",,$A$2,"."&amp;N$83&amp;N$1&amp;"C"&amp;$A105)="N/A",0,RTD("tos.rtd",,$A$2,"."&amp;N$83&amp;N$1&amp;"C"&amp;$A105))-IF(RTD("tos.rtd",,$A$2,"."&amp;N$83&amp;N$1&amp;"P"&amp;$A105)="N/A",0,RTD("tos.rtd",,$A$2,"."&amp;N$83&amp;N$1&amp;"P"&amp;$A105))</f>
        <v>0</v>
      </c>
      <c r="O105" s="91">
        <f ca="1">IF(RTD("tos.rtd",,$A$2,"."&amp;O$83&amp;O$1&amp;"C"&amp;$A105)="N/A",0,RTD("tos.rtd",,$A$2,"."&amp;O$83&amp;O$1&amp;"C"&amp;$A105))-IF(RTD("tos.rtd",,$A$2,"."&amp;O$83&amp;O$1&amp;"P"&amp;$A105)="N/A",0,RTD("tos.rtd",,$A$2,"."&amp;O$83&amp;O$1&amp;"P"&amp;$A105))</f>
        <v>0</v>
      </c>
      <c r="P105" s="91">
        <f ca="1">IF(RTD("tos.rtd",,$A$2,"."&amp;P$83&amp;P$1&amp;"C"&amp;$A105)="N/A",0,RTD("tos.rtd",,$A$2,"."&amp;P$83&amp;P$1&amp;"C"&amp;$A105))-IF(RTD("tos.rtd",,$A$2,"."&amp;P$83&amp;P$1&amp;"P"&amp;$A105)="N/A",0,RTD("tos.rtd",,$A$2,"."&amp;P$83&amp;P$1&amp;"P"&amp;$A105))</f>
        <v>0</v>
      </c>
      <c r="Q105" s="91">
        <f ca="1">IF(RTD("tos.rtd",,$A$2,"."&amp;Q$83&amp;Q$1&amp;"C"&amp;$A105)="N/A",0,RTD("tos.rtd",,$A$2,"."&amp;Q$83&amp;Q$1&amp;"C"&amp;$A105))-IF(RTD("tos.rtd",,$A$2,"."&amp;Q$83&amp;Q$1&amp;"P"&amp;$A105)="N/A",0,RTD("tos.rtd",,$A$2,"."&amp;Q$83&amp;Q$1&amp;"P"&amp;$A105))</f>
        <v>0</v>
      </c>
      <c r="R105" s="91">
        <f ca="1">IF(RTD("tos.rtd",,$A$2,"."&amp;R$83&amp;R$1&amp;"C"&amp;$A105)="N/A",0,RTD("tos.rtd",,$A$2,"."&amp;R$83&amp;R$1&amp;"C"&amp;$A105))-IF(RTD("tos.rtd",,$A$2,"."&amp;R$83&amp;R$1&amp;"P"&amp;$A105)="N/A",0,RTD("tos.rtd",,$A$2,"."&amp;R$83&amp;R$1&amp;"P"&amp;$A105))</f>
        <v>0</v>
      </c>
      <c r="S105" s="91">
        <f ca="1">IF(RTD("tos.rtd",,$A$2,"."&amp;S$83&amp;S$1&amp;"C"&amp;$A105)="N/A",0,RTD("tos.rtd",,$A$2,"."&amp;S$83&amp;S$1&amp;"C"&amp;$A105))-IF(RTD("tos.rtd",,$A$2,"."&amp;S$83&amp;S$1&amp;"P"&amp;$A105)="N/A",0,RTD("tos.rtd",,$A$2,"."&amp;S$83&amp;S$1&amp;"P"&amp;$A105))</f>
        <v>0</v>
      </c>
      <c r="T105" s="91">
        <f ca="1">IF(RTD("tos.rtd",,$A$2,"."&amp;T$83&amp;T$1&amp;"C"&amp;$A105)="N/A",0,RTD("tos.rtd",,$A$2,"."&amp;T$83&amp;T$1&amp;"C"&amp;$A105))-IF(RTD("tos.rtd",,$A$2,"."&amp;T$83&amp;T$1&amp;"P"&amp;$A105)="N/A",0,RTD("tos.rtd",,$A$2,"."&amp;T$83&amp;T$1&amp;"P"&amp;$A105))</f>
        <v>0</v>
      </c>
      <c r="U105" s="91">
        <f ca="1">IF(RTD("tos.rtd",,$A$2,"."&amp;U$83&amp;U$1&amp;"C"&amp;$A105)="N/A",0,RTD("tos.rtd",,$A$2,"."&amp;U$83&amp;U$1&amp;"C"&amp;$A105))-IF(RTD("tos.rtd",,$A$2,"."&amp;U$83&amp;U$1&amp;"P"&amp;$A105)="N/A",0,RTD("tos.rtd",,$A$2,"."&amp;U$83&amp;U$1&amp;"P"&amp;$A105))</f>
        <v>0</v>
      </c>
      <c r="V105" s="91">
        <f ca="1">IF(RTD("tos.rtd",,$A$2,"."&amp;V$83&amp;V$1&amp;"C"&amp;$A105)="N/A",0,RTD("tos.rtd",,$A$2,"."&amp;V$83&amp;V$1&amp;"C"&amp;$A105))-IF(RTD("tos.rtd",,$A$2,"."&amp;V$83&amp;V$1&amp;"P"&amp;$A105)="N/A",0,RTD("tos.rtd",,$A$2,"."&amp;V$83&amp;V$1&amp;"P"&amp;$A105))</f>
        <v>0</v>
      </c>
      <c r="W105" s="91">
        <f ca="1">IF(RTD("tos.rtd",,$A$2,"."&amp;W$83&amp;W$1&amp;"C"&amp;$A105)="N/A",0,RTD("tos.rtd",,$A$2,"."&amp;W$83&amp;W$1&amp;"C"&amp;$A105))-IF(RTD("tos.rtd",,$A$2,"."&amp;W$83&amp;W$1&amp;"P"&amp;$A105)="N/A",0,RTD("tos.rtd",,$A$2,"."&amp;W$83&amp;W$1&amp;"P"&amp;$A105))</f>
        <v>0</v>
      </c>
      <c r="X105" s="91">
        <f ca="1">IF(RTD("tos.rtd",,$A$2,"."&amp;X$83&amp;X$1&amp;"C"&amp;$A105)="N/A",0,RTD("tos.rtd",,$A$2,"."&amp;X$83&amp;X$1&amp;"C"&amp;$A105))-IF(RTD("tos.rtd",,$A$2,"."&amp;X$83&amp;X$1&amp;"P"&amp;$A105)="N/A",0,RTD("tos.rtd",,$A$2,"."&amp;X$83&amp;X$1&amp;"P"&amp;$A105))</f>
        <v>0</v>
      </c>
      <c r="Y105" s="98">
        <f t="shared" ca="1" si="10"/>
        <v>0</v>
      </c>
    </row>
    <row r="106" spans="1:25" x14ac:dyDescent="0.25">
      <c r="A106" s="93">
        <f>+Hoja1!A105</f>
        <v>5670</v>
      </c>
      <c r="B106" s="91">
        <f ca="1">IF(RTD("tos.rtd",,$A$2,"."&amp;B$83&amp;B$1&amp;"C"&amp;$A106)="N/A",0,RTD("tos.rtd",,$A$2,"."&amp;B$83&amp;B$1&amp;"C"&amp;$A106))-IF(RTD("tos.rtd",,$A$2,"."&amp;B$83&amp;B$1&amp;"P"&amp;$A106)="N/A",0,RTD("tos.rtd",,$A$2,"."&amp;B$83&amp;B$1&amp;"P"&amp;$A106))</f>
        <v>0</v>
      </c>
      <c r="C106" s="91">
        <f ca="1">IF(RTD("tos.rtd",,$A$2,"."&amp;C$83&amp;C$1&amp;"C"&amp;$A106)="N/A",0,RTD("tos.rtd",,$A$2,"."&amp;C$83&amp;C$1&amp;"C"&amp;$A106))-IF(RTD("tos.rtd",,$A$2,"."&amp;C$83&amp;C$1&amp;"P"&amp;$A106)="N/A",0,RTD("tos.rtd",,$A$2,"."&amp;C$83&amp;C$1&amp;"P"&amp;$A106))</f>
        <v>0</v>
      </c>
      <c r="D106" s="91">
        <f ca="1">IF(RTD("tos.rtd",,$A$2,"."&amp;D$83&amp;D$1&amp;"C"&amp;$A106)="N/A",0,RTD("tos.rtd",,$A$2,"."&amp;D$83&amp;D$1&amp;"C"&amp;$A106))-IF(RTD("tos.rtd",,$A$2,"."&amp;D$83&amp;D$1&amp;"P"&amp;$A106)="N/A",0,RTD("tos.rtd",,$A$2,"."&amp;D$83&amp;D$1&amp;"P"&amp;$A106))</f>
        <v>0</v>
      </c>
      <c r="E106" s="91">
        <f ca="1">IF(RTD("tos.rtd",,$A$2,"."&amp;E$83&amp;E$1&amp;"C"&amp;$A106)="N/A",0,RTD("tos.rtd",,$A$2,"."&amp;E$83&amp;E$1&amp;"C"&amp;$A106))-IF(RTD("tos.rtd",,$A$2,"."&amp;E$83&amp;E$1&amp;"P"&amp;$A106)="N/A",0,RTD("tos.rtd",,$A$2,"."&amp;E$83&amp;E$1&amp;"P"&amp;$A106))</f>
        <v>0</v>
      </c>
      <c r="F106" s="91">
        <f ca="1">IF(RTD("tos.rtd",,$A$2,"."&amp;F$83&amp;F$1&amp;"C"&amp;$A106)="N/A",0,RTD("tos.rtd",,$A$2,"."&amp;F$83&amp;F$1&amp;"C"&amp;$A106))-IF(RTD("tos.rtd",,$A$2,"."&amp;F$83&amp;F$1&amp;"P"&amp;$A106)="N/A",0,RTD("tos.rtd",,$A$2,"."&amp;F$83&amp;F$1&amp;"P"&amp;$A106))</f>
        <v>0</v>
      </c>
      <c r="G106" s="91">
        <f ca="1">IF(RTD("tos.rtd",,$A$2,"."&amp;G$83&amp;G$1&amp;"C"&amp;$A106)="N/A",0,RTD("tos.rtd",,$A$2,"."&amp;G$83&amp;G$1&amp;"C"&amp;$A106))-IF(RTD("tos.rtd",,$A$2,"."&amp;G$83&amp;G$1&amp;"P"&amp;$A106)="N/A",0,RTD("tos.rtd",,$A$2,"."&amp;G$83&amp;G$1&amp;"P"&amp;$A106))</f>
        <v>0</v>
      </c>
      <c r="H106" s="91">
        <f ca="1">IF(RTD("tos.rtd",,$A$2,"."&amp;H$83&amp;H$1&amp;"C"&amp;$A106)="N/A",0,RTD("tos.rtd",,$A$2,"."&amp;H$83&amp;H$1&amp;"C"&amp;$A106))-IF(RTD("tos.rtd",,$A$2,"."&amp;H$83&amp;H$1&amp;"P"&amp;$A106)="N/A",0,RTD("tos.rtd",,$A$2,"."&amp;H$83&amp;H$1&amp;"P"&amp;$A106))</f>
        <v>0</v>
      </c>
      <c r="I106" s="91">
        <f ca="1">IF(RTD("tos.rtd",,$A$2,"."&amp;I$83&amp;I$1&amp;"C"&amp;$A106)="N/A",0,RTD("tos.rtd",,$A$2,"."&amp;I$83&amp;I$1&amp;"C"&amp;$A106))-IF(RTD("tos.rtd",,$A$2,"."&amp;I$83&amp;I$1&amp;"P"&amp;$A106)="N/A",0,RTD("tos.rtd",,$A$2,"."&amp;I$83&amp;I$1&amp;"P"&amp;$A106))</f>
        <v>0</v>
      </c>
      <c r="J106" s="91">
        <f ca="1">IF(RTD("tos.rtd",,$A$2,"."&amp;J$83&amp;J$1&amp;"C"&amp;$A106)="N/A",0,RTD("tos.rtd",,$A$2,"."&amp;J$83&amp;J$1&amp;"C"&amp;$A106))-IF(RTD("tos.rtd",,$A$2,"."&amp;J$83&amp;J$1&amp;"P"&amp;$A106)="N/A",0,RTD("tos.rtd",,$A$2,"."&amp;J$83&amp;J$1&amp;"P"&amp;$A106))</f>
        <v>0</v>
      </c>
      <c r="K106" s="91">
        <f ca="1">IF(RTD("tos.rtd",,$A$2,"."&amp;K$83&amp;K$1&amp;"C"&amp;$A106)="N/A",0,RTD("tos.rtd",,$A$2,"."&amp;K$83&amp;K$1&amp;"C"&amp;$A106))-IF(RTD("tos.rtd",,$A$2,"."&amp;K$83&amp;K$1&amp;"P"&amp;$A106)="N/A",0,RTD("tos.rtd",,$A$2,"."&amp;K$83&amp;K$1&amp;"P"&amp;$A106))</f>
        <v>0</v>
      </c>
      <c r="L106" s="91">
        <f ca="1">IF(RTD("tos.rtd",,$A$2,"."&amp;L$83&amp;L$1&amp;"C"&amp;$A106)="N/A",0,RTD("tos.rtd",,$A$2,"."&amp;L$83&amp;L$1&amp;"C"&amp;$A106))-IF(RTD("tos.rtd",,$A$2,"."&amp;L$83&amp;L$1&amp;"P"&amp;$A106)="N/A",0,RTD("tos.rtd",,$A$2,"."&amp;L$83&amp;L$1&amp;"P"&amp;$A106))</f>
        <v>0</v>
      </c>
      <c r="M106" s="91">
        <f ca="1">IF(RTD("tos.rtd",,$A$2,"."&amp;M$83&amp;M$1&amp;"C"&amp;$A106)="N/A",0,RTD("tos.rtd",,$A$2,"."&amp;M$83&amp;M$1&amp;"C"&amp;$A106))-IF(RTD("tos.rtd",,$A$2,"."&amp;M$83&amp;M$1&amp;"P"&amp;$A106)="N/A",0,RTD("tos.rtd",,$A$2,"."&amp;M$83&amp;M$1&amp;"P"&amp;$A106))</f>
        <v>0</v>
      </c>
      <c r="N106" s="91">
        <f ca="1">IF(RTD("tos.rtd",,$A$2,"."&amp;N$83&amp;N$1&amp;"C"&amp;$A106)="N/A",0,RTD("tos.rtd",,$A$2,"."&amp;N$83&amp;N$1&amp;"C"&amp;$A106))-IF(RTD("tos.rtd",,$A$2,"."&amp;N$83&amp;N$1&amp;"P"&amp;$A106)="N/A",0,RTD("tos.rtd",,$A$2,"."&amp;N$83&amp;N$1&amp;"P"&amp;$A106))</f>
        <v>0</v>
      </c>
      <c r="O106" s="91">
        <f ca="1">IF(RTD("tos.rtd",,$A$2,"."&amp;O$83&amp;O$1&amp;"C"&amp;$A106)="N/A",0,RTD("tos.rtd",,$A$2,"."&amp;O$83&amp;O$1&amp;"C"&amp;$A106))-IF(RTD("tos.rtd",,$A$2,"."&amp;O$83&amp;O$1&amp;"P"&amp;$A106)="N/A",0,RTD("tos.rtd",,$A$2,"."&amp;O$83&amp;O$1&amp;"P"&amp;$A106))</f>
        <v>0</v>
      </c>
      <c r="P106" s="91">
        <f ca="1">IF(RTD("tos.rtd",,$A$2,"."&amp;P$83&amp;P$1&amp;"C"&amp;$A106)="N/A",0,RTD("tos.rtd",,$A$2,"."&amp;P$83&amp;P$1&amp;"C"&amp;$A106))-IF(RTD("tos.rtd",,$A$2,"."&amp;P$83&amp;P$1&amp;"P"&amp;$A106)="N/A",0,RTD("tos.rtd",,$A$2,"."&amp;P$83&amp;P$1&amp;"P"&amp;$A106))</f>
        <v>0</v>
      </c>
      <c r="Q106" s="91">
        <f ca="1">IF(RTD("tos.rtd",,$A$2,"."&amp;Q$83&amp;Q$1&amp;"C"&amp;$A106)="N/A",0,RTD("tos.rtd",,$A$2,"."&amp;Q$83&amp;Q$1&amp;"C"&amp;$A106))-IF(RTD("tos.rtd",,$A$2,"."&amp;Q$83&amp;Q$1&amp;"P"&amp;$A106)="N/A",0,RTD("tos.rtd",,$A$2,"."&amp;Q$83&amp;Q$1&amp;"P"&amp;$A106))</f>
        <v>0</v>
      </c>
      <c r="R106" s="91">
        <f ca="1">IF(RTD("tos.rtd",,$A$2,"."&amp;R$83&amp;R$1&amp;"C"&amp;$A106)="N/A",0,RTD("tos.rtd",,$A$2,"."&amp;R$83&amp;R$1&amp;"C"&amp;$A106))-IF(RTD("tos.rtd",,$A$2,"."&amp;R$83&amp;R$1&amp;"P"&amp;$A106)="N/A",0,RTD("tos.rtd",,$A$2,"."&amp;R$83&amp;R$1&amp;"P"&amp;$A106))</f>
        <v>0</v>
      </c>
      <c r="S106" s="91">
        <f ca="1">IF(RTD("tos.rtd",,$A$2,"."&amp;S$83&amp;S$1&amp;"C"&amp;$A106)="N/A",0,RTD("tos.rtd",,$A$2,"."&amp;S$83&amp;S$1&amp;"C"&amp;$A106))-IF(RTD("tos.rtd",,$A$2,"."&amp;S$83&amp;S$1&amp;"P"&amp;$A106)="N/A",0,RTD("tos.rtd",,$A$2,"."&amp;S$83&amp;S$1&amp;"P"&amp;$A106))</f>
        <v>0</v>
      </c>
      <c r="T106" s="91">
        <f ca="1">IF(RTD("tos.rtd",,$A$2,"."&amp;T$83&amp;T$1&amp;"C"&amp;$A106)="N/A",0,RTD("tos.rtd",,$A$2,"."&amp;T$83&amp;T$1&amp;"C"&amp;$A106))-IF(RTD("tos.rtd",,$A$2,"."&amp;T$83&amp;T$1&amp;"P"&amp;$A106)="N/A",0,RTD("tos.rtd",,$A$2,"."&amp;T$83&amp;T$1&amp;"P"&amp;$A106))</f>
        <v>0</v>
      </c>
      <c r="U106" s="91">
        <f ca="1">IF(RTD("tos.rtd",,$A$2,"."&amp;U$83&amp;U$1&amp;"C"&amp;$A106)="N/A",0,RTD("tos.rtd",,$A$2,"."&amp;U$83&amp;U$1&amp;"C"&amp;$A106))-IF(RTD("tos.rtd",,$A$2,"."&amp;U$83&amp;U$1&amp;"P"&amp;$A106)="N/A",0,RTD("tos.rtd",,$A$2,"."&amp;U$83&amp;U$1&amp;"P"&amp;$A106))</f>
        <v>0</v>
      </c>
      <c r="V106" s="91">
        <f ca="1">IF(RTD("tos.rtd",,$A$2,"."&amp;V$83&amp;V$1&amp;"C"&amp;$A106)="N/A",0,RTD("tos.rtd",,$A$2,"."&amp;V$83&amp;V$1&amp;"C"&amp;$A106))-IF(RTD("tos.rtd",,$A$2,"."&amp;V$83&amp;V$1&amp;"P"&amp;$A106)="N/A",0,RTD("tos.rtd",,$A$2,"."&amp;V$83&amp;V$1&amp;"P"&amp;$A106))</f>
        <v>0</v>
      </c>
      <c r="W106" s="91">
        <f ca="1">IF(RTD("tos.rtd",,$A$2,"."&amp;W$83&amp;W$1&amp;"C"&amp;$A106)="N/A",0,RTD("tos.rtd",,$A$2,"."&amp;W$83&amp;W$1&amp;"C"&amp;$A106))-IF(RTD("tos.rtd",,$A$2,"."&amp;W$83&amp;W$1&amp;"P"&amp;$A106)="N/A",0,RTD("tos.rtd",,$A$2,"."&amp;W$83&amp;W$1&amp;"P"&amp;$A106))</f>
        <v>0</v>
      </c>
      <c r="X106" s="91">
        <f ca="1">IF(RTD("tos.rtd",,$A$2,"."&amp;X$83&amp;X$1&amp;"C"&amp;$A106)="N/A",0,RTD("tos.rtd",,$A$2,"."&amp;X$83&amp;X$1&amp;"C"&amp;$A106))-IF(RTD("tos.rtd",,$A$2,"."&amp;X$83&amp;X$1&amp;"P"&amp;$A106)="N/A",0,RTD("tos.rtd",,$A$2,"."&amp;X$83&amp;X$1&amp;"P"&amp;$A106))</f>
        <v>0</v>
      </c>
      <c r="Y106" s="98">
        <f t="shared" ca="1" si="10"/>
        <v>0</v>
      </c>
    </row>
    <row r="107" spans="1:25" x14ac:dyDescent="0.25">
      <c r="A107" s="93">
        <f>+Hoja1!A106</f>
        <v>5660</v>
      </c>
      <c r="B107" s="91">
        <f ca="1">IF(RTD("tos.rtd",,$A$2,"."&amp;B$83&amp;B$1&amp;"C"&amp;$A107)="N/A",0,RTD("tos.rtd",,$A$2,"."&amp;B$83&amp;B$1&amp;"C"&amp;$A107))-IF(RTD("tos.rtd",,$A$2,"."&amp;B$83&amp;B$1&amp;"P"&amp;$A107)="N/A",0,RTD("tos.rtd",,$A$2,"."&amp;B$83&amp;B$1&amp;"P"&amp;$A107))</f>
        <v>0</v>
      </c>
      <c r="C107" s="91">
        <f ca="1">IF(RTD("tos.rtd",,$A$2,"."&amp;C$83&amp;C$1&amp;"C"&amp;$A107)="N/A",0,RTD("tos.rtd",,$A$2,"."&amp;C$83&amp;C$1&amp;"C"&amp;$A107))-IF(RTD("tos.rtd",,$A$2,"."&amp;C$83&amp;C$1&amp;"P"&amp;$A107)="N/A",0,RTD("tos.rtd",,$A$2,"."&amp;C$83&amp;C$1&amp;"P"&amp;$A107))</f>
        <v>0</v>
      </c>
      <c r="D107" s="91">
        <f ca="1">IF(RTD("tos.rtd",,$A$2,"."&amp;D$83&amp;D$1&amp;"C"&amp;$A107)="N/A",0,RTD("tos.rtd",,$A$2,"."&amp;D$83&amp;D$1&amp;"C"&amp;$A107))-IF(RTD("tos.rtd",,$A$2,"."&amp;D$83&amp;D$1&amp;"P"&amp;$A107)="N/A",0,RTD("tos.rtd",,$A$2,"."&amp;D$83&amp;D$1&amp;"P"&amp;$A107))</f>
        <v>0</v>
      </c>
      <c r="E107" s="91">
        <f ca="1">IF(RTD("tos.rtd",,$A$2,"."&amp;E$83&amp;E$1&amp;"C"&amp;$A107)="N/A",0,RTD("tos.rtd",,$A$2,"."&amp;E$83&amp;E$1&amp;"C"&amp;$A107))-IF(RTD("tos.rtd",,$A$2,"."&amp;E$83&amp;E$1&amp;"P"&amp;$A107)="N/A",0,RTD("tos.rtd",,$A$2,"."&amp;E$83&amp;E$1&amp;"P"&amp;$A107))</f>
        <v>0</v>
      </c>
      <c r="F107" s="91">
        <f ca="1">IF(RTD("tos.rtd",,$A$2,"."&amp;F$83&amp;F$1&amp;"C"&amp;$A107)="N/A",0,RTD("tos.rtd",,$A$2,"."&amp;F$83&amp;F$1&amp;"C"&amp;$A107))-IF(RTD("tos.rtd",,$A$2,"."&amp;F$83&amp;F$1&amp;"P"&amp;$A107)="N/A",0,RTD("tos.rtd",,$A$2,"."&amp;F$83&amp;F$1&amp;"P"&amp;$A107))</f>
        <v>0</v>
      </c>
      <c r="G107" s="91">
        <f ca="1">IF(RTD("tos.rtd",,$A$2,"."&amp;G$83&amp;G$1&amp;"C"&amp;$A107)="N/A",0,RTD("tos.rtd",,$A$2,"."&amp;G$83&amp;G$1&amp;"C"&amp;$A107))-IF(RTD("tos.rtd",,$A$2,"."&amp;G$83&amp;G$1&amp;"P"&amp;$A107)="N/A",0,RTD("tos.rtd",,$A$2,"."&amp;G$83&amp;G$1&amp;"P"&amp;$A107))</f>
        <v>0</v>
      </c>
      <c r="H107" s="91">
        <f ca="1">IF(RTD("tos.rtd",,$A$2,"."&amp;H$83&amp;H$1&amp;"C"&amp;$A107)="N/A",0,RTD("tos.rtd",,$A$2,"."&amp;H$83&amp;H$1&amp;"C"&amp;$A107))-IF(RTD("tos.rtd",,$A$2,"."&amp;H$83&amp;H$1&amp;"P"&amp;$A107)="N/A",0,RTD("tos.rtd",,$A$2,"."&amp;H$83&amp;H$1&amp;"P"&amp;$A107))</f>
        <v>0</v>
      </c>
      <c r="I107" s="91">
        <f ca="1">IF(RTD("tos.rtd",,$A$2,"."&amp;I$83&amp;I$1&amp;"C"&amp;$A107)="N/A",0,RTD("tos.rtd",,$A$2,"."&amp;I$83&amp;I$1&amp;"C"&amp;$A107))-IF(RTD("tos.rtd",,$A$2,"."&amp;I$83&amp;I$1&amp;"P"&amp;$A107)="N/A",0,RTD("tos.rtd",,$A$2,"."&amp;I$83&amp;I$1&amp;"P"&amp;$A107))</f>
        <v>0</v>
      </c>
      <c r="J107" s="91">
        <f ca="1">IF(RTD("tos.rtd",,$A$2,"."&amp;J$83&amp;J$1&amp;"C"&amp;$A107)="N/A",0,RTD("tos.rtd",,$A$2,"."&amp;J$83&amp;J$1&amp;"C"&amp;$A107))-IF(RTD("tos.rtd",,$A$2,"."&amp;J$83&amp;J$1&amp;"P"&amp;$A107)="N/A",0,RTD("tos.rtd",,$A$2,"."&amp;J$83&amp;J$1&amp;"P"&amp;$A107))</f>
        <v>0</v>
      </c>
      <c r="K107" s="91">
        <f ca="1">IF(RTD("tos.rtd",,$A$2,"."&amp;K$83&amp;K$1&amp;"C"&amp;$A107)="N/A",0,RTD("tos.rtd",,$A$2,"."&amp;K$83&amp;K$1&amp;"C"&amp;$A107))-IF(RTD("tos.rtd",,$A$2,"."&amp;K$83&amp;K$1&amp;"P"&amp;$A107)="N/A",0,RTD("tos.rtd",,$A$2,"."&amp;K$83&amp;K$1&amp;"P"&amp;$A107))</f>
        <v>0</v>
      </c>
      <c r="L107" s="91">
        <f ca="1">IF(RTD("tos.rtd",,$A$2,"."&amp;L$83&amp;L$1&amp;"C"&amp;$A107)="N/A",0,RTD("tos.rtd",,$A$2,"."&amp;L$83&amp;L$1&amp;"C"&amp;$A107))-IF(RTD("tos.rtd",,$A$2,"."&amp;L$83&amp;L$1&amp;"P"&amp;$A107)="N/A",0,RTD("tos.rtd",,$A$2,"."&amp;L$83&amp;L$1&amp;"P"&amp;$A107))</f>
        <v>0</v>
      </c>
      <c r="M107" s="91">
        <f ca="1">IF(RTD("tos.rtd",,$A$2,"."&amp;M$83&amp;M$1&amp;"C"&amp;$A107)="N/A",0,RTD("tos.rtd",,$A$2,"."&amp;M$83&amp;M$1&amp;"C"&amp;$A107))-IF(RTD("tos.rtd",,$A$2,"."&amp;M$83&amp;M$1&amp;"P"&amp;$A107)="N/A",0,RTD("tos.rtd",,$A$2,"."&amp;M$83&amp;M$1&amp;"P"&amp;$A107))</f>
        <v>0</v>
      </c>
      <c r="N107" s="91">
        <f ca="1">IF(RTD("tos.rtd",,$A$2,"."&amp;N$83&amp;N$1&amp;"C"&amp;$A107)="N/A",0,RTD("tos.rtd",,$A$2,"."&amp;N$83&amp;N$1&amp;"C"&amp;$A107))-IF(RTD("tos.rtd",,$A$2,"."&amp;N$83&amp;N$1&amp;"P"&amp;$A107)="N/A",0,RTD("tos.rtd",,$A$2,"."&amp;N$83&amp;N$1&amp;"P"&amp;$A107))</f>
        <v>0</v>
      </c>
      <c r="O107" s="91">
        <f ca="1">IF(RTD("tos.rtd",,$A$2,"."&amp;O$83&amp;O$1&amp;"C"&amp;$A107)="N/A",0,RTD("tos.rtd",,$A$2,"."&amp;O$83&amp;O$1&amp;"C"&amp;$A107))-IF(RTD("tos.rtd",,$A$2,"."&amp;O$83&amp;O$1&amp;"P"&amp;$A107)="N/A",0,RTD("tos.rtd",,$A$2,"."&amp;O$83&amp;O$1&amp;"P"&amp;$A107))</f>
        <v>0</v>
      </c>
      <c r="P107" s="91">
        <f ca="1">IF(RTD("tos.rtd",,$A$2,"."&amp;P$83&amp;P$1&amp;"C"&amp;$A107)="N/A",0,RTD("tos.rtd",,$A$2,"."&amp;P$83&amp;P$1&amp;"C"&amp;$A107))-IF(RTD("tos.rtd",,$A$2,"."&amp;P$83&amp;P$1&amp;"P"&amp;$A107)="N/A",0,RTD("tos.rtd",,$A$2,"."&amp;P$83&amp;P$1&amp;"P"&amp;$A107))</f>
        <v>0</v>
      </c>
      <c r="Q107" s="91">
        <f ca="1">IF(RTD("tos.rtd",,$A$2,"."&amp;Q$83&amp;Q$1&amp;"C"&amp;$A107)="N/A",0,RTD("tos.rtd",,$A$2,"."&amp;Q$83&amp;Q$1&amp;"C"&amp;$A107))-IF(RTD("tos.rtd",,$A$2,"."&amp;Q$83&amp;Q$1&amp;"P"&amp;$A107)="N/A",0,RTD("tos.rtd",,$A$2,"."&amp;Q$83&amp;Q$1&amp;"P"&amp;$A107))</f>
        <v>0</v>
      </c>
      <c r="R107" s="91">
        <f ca="1">IF(RTD("tos.rtd",,$A$2,"."&amp;R$83&amp;R$1&amp;"C"&amp;$A107)="N/A",0,RTD("tos.rtd",,$A$2,"."&amp;R$83&amp;R$1&amp;"C"&amp;$A107))-IF(RTD("tos.rtd",,$A$2,"."&amp;R$83&amp;R$1&amp;"P"&amp;$A107)="N/A",0,RTD("tos.rtd",,$A$2,"."&amp;R$83&amp;R$1&amp;"P"&amp;$A107))</f>
        <v>0</v>
      </c>
      <c r="S107" s="91">
        <f ca="1">IF(RTD("tos.rtd",,$A$2,"."&amp;S$83&amp;S$1&amp;"C"&amp;$A107)="N/A",0,RTD("tos.rtd",,$A$2,"."&amp;S$83&amp;S$1&amp;"C"&amp;$A107))-IF(RTD("tos.rtd",,$A$2,"."&amp;S$83&amp;S$1&amp;"P"&amp;$A107)="N/A",0,RTD("tos.rtd",,$A$2,"."&amp;S$83&amp;S$1&amp;"P"&amp;$A107))</f>
        <v>0</v>
      </c>
      <c r="T107" s="91">
        <f ca="1">IF(RTD("tos.rtd",,$A$2,"."&amp;T$83&amp;T$1&amp;"C"&amp;$A107)="N/A",0,RTD("tos.rtd",,$A$2,"."&amp;T$83&amp;T$1&amp;"C"&amp;$A107))-IF(RTD("tos.rtd",,$A$2,"."&amp;T$83&amp;T$1&amp;"P"&amp;$A107)="N/A",0,RTD("tos.rtd",,$A$2,"."&amp;T$83&amp;T$1&amp;"P"&amp;$A107))</f>
        <v>0</v>
      </c>
      <c r="U107" s="91">
        <f ca="1">IF(RTD("tos.rtd",,$A$2,"."&amp;U$83&amp;U$1&amp;"C"&amp;$A107)="N/A",0,RTD("tos.rtd",,$A$2,"."&amp;U$83&amp;U$1&amp;"C"&amp;$A107))-IF(RTD("tos.rtd",,$A$2,"."&amp;U$83&amp;U$1&amp;"P"&amp;$A107)="N/A",0,RTD("tos.rtd",,$A$2,"."&amp;U$83&amp;U$1&amp;"P"&amp;$A107))</f>
        <v>0</v>
      </c>
      <c r="V107" s="91">
        <f ca="1">IF(RTD("tos.rtd",,$A$2,"."&amp;V$83&amp;V$1&amp;"C"&amp;$A107)="N/A",0,RTD("tos.rtd",,$A$2,"."&amp;V$83&amp;V$1&amp;"C"&amp;$A107))-IF(RTD("tos.rtd",,$A$2,"."&amp;V$83&amp;V$1&amp;"P"&amp;$A107)="N/A",0,RTD("tos.rtd",,$A$2,"."&amp;V$83&amp;V$1&amp;"P"&amp;$A107))</f>
        <v>0</v>
      </c>
      <c r="W107" s="91">
        <f ca="1">IF(RTD("tos.rtd",,$A$2,"."&amp;W$83&amp;W$1&amp;"C"&amp;$A107)="N/A",0,RTD("tos.rtd",,$A$2,"."&amp;W$83&amp;W$1&amp;"C"&amp;$A107))-IF(RTD("tos.rtd",,$A$2,"."&amp;W$83&amp;W$1&amp;"P"&amp;$A107)="N/A",0,RTD("tos.rtd",,$A$2,"."&amp;W$83&amp;W$1&amp;"P"&amp;$A107))</f>
        <v>0</v>
      </c>
      <c r="X107" s="91">
        <f ca="1">IF(RTD("tos.rtd",,$A$2,"."&amp;X$83&amp;X$1&amp;"C"&amp;$A107)="N/A",0,RTD("tos.rtd",,$A$2,"."&amp;X$83&amp;X$1&amp;"C"&amp;$A107))-IF(RTD("tos.rtd",,$A$2,"."&amp;X$83&amp;X$1&amp;"P"&amp;$A107)="N/A",0,RTD("tos.rtd",,$A$2,"."&amp;X$83&amp;X$1&amp;"P"&amp;$A107))</f>
        <v>0</v>
      </c>
      <c r="Y107" s="98">
        <f t="shared" ca="1" si="10"/>
        <v>0</v>
      </c>
    </row>
    <row r="108" spans="1:25" x14ac:dyDescent="0.25">
      <c r="A108" s="93">
        <f>+Hoja1!A107</f>
        <v>5650</v>
      </c>
      <c r="B108" s="91">
        <f ca="1">IF(RTD("tos.rtd",,$A$2,"."&amp;B$83&amp;B$1&amp;"C"&amp;$A108)="N/A",0,RTD("tos.rtd",,$A$2,"."&amp;B$83&amp;B$1&amp;"C"&amp;$A108))-IF(RTD("tos.rtd",,$A$2,"."&amp;B$83&amp;B$1&amp;"P"&amp;$A108)="N/A",0,RTD("tos.rtd",,$A$2,"."&amp;B$83&amp;B$1&amp;"P"&amp;$A108))</f>
        <v>0</v>
      </c>
      <c r="C108" s="91">
        <f ca="1">IF(RTD("tos.rtd",,$A$2,"."&amp;C$83&amp;C$1&amp;"C"&amp;$A108)="N/A",0,RTD("tos.rtd",,$A$2,"."&amp;C$83&amp;C$1&amp;"C"&amp;$A108))-IF(RTD("tos.rtd",,$A$2,"."&amp;C$83&amp;C$1&amp;"P"&amp;$A108)="N/A",0,RTD("tos.rtd",,$A$2,"."&amp;C$83&amp;C$1&amp;"P"&amp;$A108))</f>
        <v>0</v>
      </c>
      <c r="D108" s="91">
        <f ca="1">IF(RTD("tos.rtd",,$A$2,"."&amp;D$83&amp;D$1&amp;"C"&amp;$A108)="N/A",0,RTD("tos.rtd",,$A$2,"."&amp;D$83&amp;D$1&amp;"C"&amp;$A108))-IF(RTD("tos.rtd",,$A$2,"."&amp;D$83&amp;D$1&amp;"P"&amp;$A108)="N/A",0,RTD("tos.rtd",,$A$2,"."&amp;D$83&amp;D$1&amp;"P"&amp;$A108))</f>
        <v>0</v>
      </c>
      <c r="E108" s="91">
        <f ca="1">IF(RTD("tos.rtd",,$A$2,"."&amp;E$83&amp;E$1&amp;"C"&amp;$A108)="N/A",0,RTD("tos.rtd",,$A$2,"."&amp;E$83&amp;E$1&amp;"C"&amp;$A108))-IF(RTD("tos.rtd",,$A$2,"."&amp;E$83&amp;E$1&amp;"P"&amp;$A108)="N/A",0,RTD("tos.rtd",,$A$2,"."&amp;E$83&amp;E$1&amp;"P"&amp;$A108))</f>
        <v>0</v>
      </c>
      <c r="F108" s="91">
        <f ca="1">IF(RTD("tos.rtd",,$A$2,"."&amp;F$83&amp;F$1&amp;"C"&amp;$A108)="N/A",0,RTD("tos.rtd",,$A$2,"."&amp;F$83&amp;F$1&amp;"C"&amp;$A108))-IF(RTD("tos.rtd",,$A$2,"."&amp;F$83&amp;F$1&amp;"P"&amp;$A108)="N/A",0,RTD("tos.rtd",,$A$2,"."&amp;F$83&amp;F$1&amp;"P"&amp;$A108))</f>
        <v>0</v>
      </c>
      <c r="G108" s="91">
        <f ca="1">IF(RTD("tos.rtd",,$A$2,"."&amp;G$83&amp;G$1&amp;"C"&amp;$A108)="N/A",0,RTD("tos.rtd",,$A$2,"."&amp;G$83&amp;G$1&amp;"C"&amp;$A108))-IF(RTD("tos.rtd",,$A$2,"."&amp;G$83&amp;G$1&amp;"P"&amp;$A108)="N/A",0,RTD("tos.rtd",,$A$2,"."&amp;G$83&amp;G$1&amp;"P"&amp;$A108))</f>
        <v>0</v>
      </c>
      <c r="H108" s="91">
        <f ca="1">IF(RTD("tos.rtd",,$A$2,"."&amp;H$83&amp;H$1&amp;"C"&amp;$A108)="N/A",0,RTD("tos.rtd",,$A$2,"."&amp;H$83&amp;H$1&amp;"C"&amp;$A108))-IF(RTD("tos.rtd",,$A$2,"."&amp;H$83&amp;H$1&amp;"P"&amp;$A108)="N/A",0,RTD("tos.rtd",,$A$2,"."&amp;H$83&amp;H$1&amp;"P"&amp;$A108))</f>
        <v>0</v>
      </c>
      <c r="I108" s="91">
        <f ca="1">IF(RTD("tos.rtd",,$A$2,"."&amp;I$83&amp;I$1&amp;"C"&amp;$A108)="N/A",0,RTD("tos.rtd",,$A$2,"."&amp;I$83&amp;I$1&amp;"C"&amp;$A108))-IF(RTD("tos.rtd",,$A$2,"."&amp;I$83&amp;I$1&amp;"P"&amp;$A108)="N/A",0,RTD("tos.rtd",,$A$2,"."&amp;I$83&amp;I$1&amp;"P"&amp;$A108))</f>
        <v>0</v>
      </c>
      <c r="J108" s="91">
        <f ca="1">IF(RTD("tos.rtd",,$A$2,"."&amp;J$83&amp;J$1&amp;"C"&amp;$A108)="N/A",0,RTD("tos.rtd",,$A$2,"."&amp;J$83&amp;J$1&amp;"C"&amp;$A108))-IF(RTD("tos.rtd",,$A$2,"."&amp;J$83&amp;J$1&amp;"P"&amp;$A108)="N/A",0,RTD("tos.rtd",,$A$2,"."&amp;J$83&amp;J$1&amp;"P"&amp;$A108))</f>
        <v>0</v>
      </c>
      <c r="K108" s="91">
        <f ca="1">IF(RTD("tos.rtd",,$A$2,"."&amp;K$83&amp;K$1&amp;"C"&amp;$A108)="N/A",0,RTD("tos.rtd",,$A$2,"."&amp;K$83&amp;K$1&amp;"C"&amp;$A108))-IF(RTD("tos.rtd",,$A$2,"."&amp;K$83&amp;K$1&amp;"P"&amp;$A108)="N/A",0,RTD("tos.rtd",,$A$2,"."&amp;K$83&amp;K$1&amp;"P"&amp;$A108))</f>
        <v>0</v>
      </c>
      <c r="L108" s="91">
        <f ca="1">IF(RTD("tos.rtd",,$A$2,"."&amp;L$83&amp;L$1&amp;"C"&amp;$A108)="N/A",0,RTD("tos.rtd",,$A$2,"."&amp;L$83&amp;L$1&amp;"C"&amp;$A108))-IF(RTD("tos.rtd",,$A$2,"."&amp;L$83&amp;L$1&amp;"P"&amp;$A108)="N/A",0,RTD("tos.rtd",,$A$2,"."&amp;L$83&amp;L$1&amp;"P"&amp;$A108))</f>
        <v>0</v>
      </c>
      <c r="M108" s="91">
        <f ca="1">IF(RTD("tos.rtd",,$A$2,"."&amp;M$83&amp;M$1&amp;"C"&amp;$A108)="N/A",0,RTD("tos.rtd",,$A$2,"."&amp;M$83&amp;M$1&amp;"C"&amp;$A108))-IF(RTD("tos.rtd",,$A$2,"."&amp;M$83&amp;M$1&amp;"P"&amp;$A108)="N/A",0,RTD("tos.rtd",,$A$2,"."&amp;M$83&amp;M$1&amp;"P"&amp;$A108))</f>
        <v>0</v>
      </c>
      <c r="N108" s="91">
        <f ca="1">IF(RTD("tos.rtd",,$A$2,"."&amp;N$83&amp;N$1&amp;"C"&amp;$A108)="N/A",0,RTD("tos.rtd",,$A$2,"."&amp;N$83&amp;N$1&amp;"C"&amp;$A108))-IF(RTD("tos.rtd",,$A$2,"."&amp;N$83&amp;N$1&amp;"P"&amp;$A108)="N/A",0,RTD("tos.rtd",,$A$2,"."&amp;N$83&amp;N$1&amp;"P"&amp;$A108))</f>
        <v>0</v>
      </c>
      <c r="O108" s="91">
        <f ca="1">IF(RTD("tos.rtd",,$A$2,"."&amp;O$83&amp;O$1&amp;"C"&amp;$A108)="N/A",0,RTD("tos.rtd",,$A$2,"."&amp;O$83&amp;O$1&amp;"C"&amp;$A108))-IF(RTD("tos.rtd",,$A$2,"."&amp;O$83&amp;O$1&amp;"P"&amp;$A108)="N/A",0,RTD("tos.rtd",,$A$2,"."&amp;O$83&amp;O$1&amp;"P"&amp;$A108))</f>
        <v>0</v>
      </c>
      <c r="P108" s="91">
        <f ca="1">IF(RTD("tos.rtd",,$A$2,"."&amp;P$83&amp;P$1&amp;"C"&amp;$A108)="N/A",0,RTD("tos.rtd",,$A$2,"."&amp;P$83&amp;P$1&amp;"C"&amp;$A108))-IF(RTD("tos.rtd",,$A$2,"."&amp;P$83&amp;P$1&amp;"P"&amp;$A108)="N/A",0,RTD("tos.rtd",,$A$2,"."&amp;P$83&amp;P$1&amp;"P"&amp;$A108))</f>
        <v>0</v>
      </c>
      <c r="Q108" s="91">
        <f ca="1">IF(RTD("tos.rtd",,$A$2,"."&amp;Q$83&amp;Q$1&amp;"C"&amp;$A108)="N/A",0,RTD("tos.rtd",,$A$2,"."&amp;Q$83&amp;Q$1&amp;"C"&amp;$A108))-IF(RTD("tos.rtd",,$A$2,"."&amp;Q$83&amp;Q$1&amp;"P"&amp;$A108)="N/A",0,RTD("tos.rtd",,$A$2,"."&amp;Q$83&amp;Q$1&amp;"P"&amp;$A108))</f>
        <v>0</v>
      </c>
      <c r="R108" s="91">
        <f ca="1">IF(RTD("tos.rtd",,$A$2,"."&amp;R$83&amp;R$1&amp;"C"&amp;$A108)="N/A",0,RTD("tos.rtd",,$A$2,"."&amp;R$83&amp;R$1&amp;"C"&amp;$A108))-IF(RTD("tos.rtd",,$A$2,"."&amp;R$83&amp;R$1&amp;"P"&amp;$A108)="N/A",0,RTD("tos.rtd",,$A$2,"."&amp;R$83&amp;R$1&amp;"P"&amp;$A108))</f>
        <v>0</v>
      </c>
      <c r="S108" s="91">
        <f ca="1">IF(RTD("tos.rtd",,$A$2,"."&amp;S$83&amp;S$1&amp;"C"&amp;$A108)="N/A",0,RTD("tos.rtd",,$A$2,"."&amp;S$83&amp;S$1&amp;"C"&amp;$A108))-IF(RTD("tos.rtd",,$A$2,"."&amp;S$83&amp;S$1&amp;"P"&amp;$A108)="N/A",0,RTD("tos.rtd",,$A$2,"."&amp;S$83&amp;S$1&amp;"P"&amp;$A108))</f>
        <v>0</v>
      </c>
      <c r="T108" s="91">
        <f ca="1">IF(RTD("tos.rtd",,$A$2,"."&amp;T$83&amp;T$1&amp;"C"&amp;$A108)="N/A",0,RTD("tos.rtd",,$A$2,"."&amp;T$83&amp;T$1&amp;"C"&amp;$A108))-IF(RTD("tos.rtd",,$A$2,"."&amp;T$83&amp;T$1&amp;"P"&amp;$A108)="N/A",0,RTD("tos.rtd",,$A$2,"."&amp;T$83&amp;T$1&amp;"P"&amp;$A108))</f>
        <v>0</v>
      </c>
      <c r="U108" s="91">
        <f ca="1">IF(RTD("tos.rtd",,$A$2,"."&amp;U$83&amp;U$1&amp;"C"&amp;$A108)="N/A",0,RTD("tos.rtd",,$A$2,"."&amp;U$83&amp;U$1&amp;"C"&amp;$A108))-IF(RTD("tos.rtd",,$A$2,"."&amp;U$83&amp;U$1&amp;"P"&amp;$A108)="N/A",0,RTD("tos.rtd",,$A$2,"."&amp;U$83&amp;U$1&amp;"P"&amp;$A108))</f>
        <v>0</v>
      </c>
      <c r="V108" s="91">
        <f ca="1">IF(RTD("tos.rtd",,$A$2,"."&amp;V$83&amp;V$1&amp;"C"&amp;$A108)="N/A",0,RTD("tos.rtd",,$A$2,"."&amp;V$83&amp;V$1&amp;"C"&amp;$A108))-IF(RTD("tos.rtd",,$A$2,"."&amp;V$83&amp;V$1&amp;"P"&amp;$A108)="N/A",0,RTD("tos.rtd",,$A$2,"."&amp;V$83&amp;V$1&amp;"P"&amp;$A108))</f>
        <v>0</v>
      </c>
      <c r="W108" s="91">
        <f ca="1">IF(RTD("tos.rtd",,$A$2,"."&amp;W$83&amp;W$1&amp;"C"&amp;$A108)="N/A",0,RTD("tos.rtd",,$A$2,"."&amp;W$83&amp;W$1&amp;"C"&amp;$A108))-IF(RTD("tos.rtd",,$A$2,"."&amp;W$83&amp;W$1&amp;"P"&amp;$A108)="N/A",0,RTD("tos.rtd",,$A$2,"."&amp;W$83&amp;W$1&amp;"P"&amp;$A108))</f>
        <v>0</v>
      </c>
      <c r="X108" s="91">
        <f ca="1">IF(RTD("tos.rtd",,$A$2,"."&amp;X$83&amp;X$1&amp;"C"&amp;$A108)="N/A",0,RTD("tos.rtd",,$A$2,"."&amp;X$83&amp;X$1&amp;"C"&amp;$A108))-IF(RTD("tos.rtd",,$A$2,"."&amp;X$83&amp;X$1&amp;"P"&amp;$A108)="N/A",0,RTD("tos.rtd",,$A$2,"."&amp;X$83&amp;X$1&amp;"P"&amp;$A108))</f>
        <v>0</v>
      </c>
      <c r="Y108" s="98">
        <f t="shared" ca="1" si="10"/>
        <v>0</v>
      </c>
    </row>
    <row r="109" spans="1:25" x14ac:dyDescent="0.25">
      <c r="A109" s="93">
        <f>+Hoja1!A108</f>
        <v>5640</v>
      </c>
      <c r="B109" s="91">
        <f ca="1">IF(RTD("tos.rtd",,$A$2,"."&amp;B$83&amp;B$1&amp;"C"&amp;$A109)="N/A",0,RTD("tos.rtd",,$A$2,"."&amp;B$83&amp;B$1&amp;"C"&amp;$A109))-IF(RTD("tos.rtd",,$A$2,"."&amp;B$83&amp;B$1&amp;"P"&amp;$A109)="N/A",0,RTD("tos.rtd",,$A$2,"."&amp;B$83&amp;B$1&amp;"P"&amp;$A109))</f>
        <v>0</v>
      </c>
      <c r="C109" s="91">
        <f ca="1">IF(RTD("tos.rtd",,$A$2,"."&amp;C$83&amp;C$1&amp;"C"&amp;$A109)="N/A",0,RTD("tos.rtd",,$A$2,"."&amp;C$83&amp;C$1&amp;"C"&amp;$A109))-IF(RTD("tos.rtd",,$A$2,"."&amp;C$83&amp;C$1&amp;"P"&amp;$A109)="N/A",0,RTD("tos.rtd",,$A$2,"."&amp;C$83&amp;C$1&amp;"P"&amp;$A109))</f>
        <v>0</v>
      </c>
      <c r="D109" s="91">
        <f ca="1">IF(RTD("tos.rtd",,$A$2,"."&amp;D$83&amp;D$1&amp;"C"&amp;$A109)="N/A",0,RTD("tos.rtd",,$A$2,"."&amp;D$83&amp;D$1&amp;"C"&amp;$A109))-IF(RTD("tos.rtd",,$A$2,"."&amp;D$83&amp;D$1&amp;"P"&amp;$A109)="N/A",0,RTD("tos.rtd",,$A$2,"."&amp;D$83&amp;D$1&amp;"P"&amp;$A109))</f>
        <v>0</v>
      </c>
      <c r="E109" s="91">
        <f ca="1">IF(RTD("tos.rtd",,$A$2,"."&amp;E$83&amp;E$1&amp;"C"&amp;$A109)="N/A",0,RTD("tos.rtd",,$A$2,"."&amp;E$83&amp;E$1&amp;"C"&amp;$A109))-IF(RTD("tos.rtd",,$A$2,"."&amp;E$83&amp;E$1&amp;"P"&amp;$A109)="N/A",0,RTD("tos.rtd",,$A$2,"."&amp;E$83&amp;E$1&amp;"P"&amp;$A109))</f>
        <v>0</v>
      </c>
      <c r="F109" s="91">
        <f ca="1">IF(RTD("tos.rtd",,$A$2,"."&amp;F$83&amp;F$1&amp;"C"&amp;$A109)="N/A",0,RTD("tos.rtd",,$A$2,"."&amp;F$83&amp;F$1&amp;"C"&amp;$A109))-IF(RTD("tos.rtd",,$A$2,"."&amp;F$83&amp;F$1&amp;"P"&amp;$A109)="N/A",0,RTD("tos.rtd",,$A$2,"."&amp;F$83&amp;F$1&amp;"P"&amp;$A109))</f>
        <v>0</v>
      </c>
      <c r="G109" s="91">
        <f ca="1">IF(RTD("tos.rtd",,$A$2,"."&amp;G$83&amp;G$1&amp;"C"&amp;$A109)="N/A",0,RTD("tos.rtd",,$A$2,"."&amp;G$83&amp;G$1&amp;"C"&amp;$A109))-IF(RTD("tos.rtd",,$A$2,"."&amp;G$83&amp;G$1&amp;"P"&amp;$A109)="N/A",0,RTD("tos.rtd",,$A$2,"."&amp;G$83&amp;G$1&amp;"P"&amp;$A109))</f>
        <v>0</v>
      </c>
      <c r="H109" s="91">
        <f ca="1">IF(RTD("tos.rtd",,$A$2,"."&amp;H$83&amp;H$1&amp;"C"&amp;$A109)="N/A",0,RTD("tos.rtd",,$A$2,"."&amp;H$83&amp;H$1&amp;"C"&amp;$A109))-IF(RTD("tos.rtd",,$A$2,"."&amp;H$83&amp;H$1&amp;"P"&amp;$A109)="N/A",0,RTD("tos.rtd",,$A$2,"."&amp;H$83&amp;H$1&amp;"P"&amp;$A109))</f>
        <v>0</v>
      </c>
      <c r="I109" s="91">
        <f ca="1">IF(RTD("tos.rtd",,$A$2,"."&amp;I$83&amp;I$1&amp;"C"&amp;$A109)="N/A",0,RTD("tos.rtd",,$A$2,"."&amp;I$83&amp;I$1&amp;"C"&amp;$A109))-IF(RTD("tos.rtd",,$A$2,"."&amp;I$83&amp;I$1&amp;"P"&amp;$A109)="N/A",0,RTD("tos.rtd",,$A$2,"."&amp;I$83&amp;I$1&amp;"P"&amp;$A109))</f>
        <v>0</v>
      </c>
      <c r="J109" s="91">
        <f ca="1">IF(RTD("tos.rtd",,$A$2,"."&amp;J$83&amp;J$1&amp;"C"&amp;$A109)="N/A",0,RTD("tos.rtd",,$A$2,"."&amp;J$83&amp;J$1&amp;"C"&amp;$A109))-IF(RTD("tos.rtd",,$A$2,"."&amp;J$83&amp;J$1&amp;"P"&amp;$A109)="N/A",0,RTD("tos.rtd",,$A$2,"."&amp;J$83&amp;J$1&amp;"P"&amp;$A109))</f>
        <v>0</v>
      </c>
      <c r="K109" s="91">
        <f ca="1">IF(RTD("tos.rtd",,$A$2,"."&amp;K$83&amp;K$1&amp;"C"&amp;$A109)="N/A",0,RTD("tos.rtd",,$A$2,"."&amp;K$83&amp;K$1&amp;"C"&amp;$A109))-IF(RTD("tos.rtd",,$A$2,"."&amp;K$83&amp;K$1&amp;"P"&amp;$A109)="N/A",0,RTD("tos.rtd",,$A$2,"."&amp;K$83&amp;K$1&amp;"P"&amp;$A109))</f>
        <v>0</v>
      </c>
      <c r="L109" s="91">
        <f ca="1">IF(RTD("tos.rtd",,$A$2,"."&amp;L$83&amp;L$1&amp;"C"&amp;$A109)="N/A",0,RTD("tos.rtd",,$A$2,"."&amp;L$83&amp;L$1&amp;"C"&amp;$A109))-IF(RTD("tos.rtd",,$A$2,"."&amp;L$83&amp;L$1&amp;"P"&amp;$A109)="N/A",0,RTD("tos.rtd",,$A$2,"."&amp;L$83&amp;L$1&amp;"P"&amp;$A109))</f>
        <v>0</v>
      </c>
      <c r="M109" s="91">
        <f ca="1">IF(RTD("tos.rtd",,$A$2,"."&amp;M$83&amp;M$1&amp;"C"&amp;$A109)="N/A",0,RTD("tos.rtd",,$A$2,"."&amp;M$83&amp;M$1&amp;"C"&amp;$A109))-IF(RTD("tos.rtd",,$A$2,"."&amp;M$83&amp;M$1&amp;"P"&amp;$A109)="N/A",0,RTD("tos.rtd",,$A$2,"."&amp;M$83&amp;M$1&amp;"P"&amp;$A109))</f>
        <v>0</v>
      </c>
      <c r="N109" s="91">
        <f ca="1">IF(RTD("tos.rtd",,$A$2,"."&amp;N$83&amp;N$1&amp;"C"&amp;$A109)="N/A",0,RTD("tos.rtd",,$A$2,"."&amp;N$83&amp;N$1&amp;"C"&amp;$A109))-IF(RTD("tos.rtd",,$A$2,"."&amp;N$83&amp;N$1&amp;"P"&amp;$A109)="N/A",0,RTD("tos.rtd",,$A$2,"."&amp;N$83&amp;N$1&amp;"P"&amp;$A109))</f>
        <v>0</v>
      </c>
      <c r="O109" s="91">
        <f ca="1">IF(RTD("tos.rtd",,$A$2,"."&amp;O$83&amp;O$1&amp;"C"&amp;$A109)="N/A",0,RTD("tos.rtd",,$A$2,"."&amp;O$83&amp;O$1&amp;"C"&amp;$A109))-IF(RTD("tos.rtd",,$A$2,"."&amp;O$83&amp;O$1&amp;"P"&amp;$A109)="N/A",0,RTD("tos.rtd",,$A$2,"."&amp;O$83&amp;O$1&amp;"P"&amp;$A109))</f>
        <v>0</v>
      </c>
      <c r="P109" s="91">
        <f ca="1">IF(RTD("tos.rtd",,$A$2,"."&amp;P$83&amp;P$1&amp;"C"&amp;$A109)="N/A",0,RTD("tos.rtd",,$A$2,"."&amp;P$83&amp;P$1&amp;"C"&amp;$A109))-IF(RTD("tos.rtd",,$A$2,"."&amp;P$83&amp;P$1&amp;"P"&amp;$A109)="N/A",0,RTD("tos.rtd",,$A$2,"."&amp;P$83&amp;P$1&amp;"P"&amp;$A109))</f>
        <v>0</v>
      </c>
      <c r="Q109" s="91">
        <f ca="1">IF(RTD("tos.rtd",,$A$2,"."&amp;Q$83&amp;Q$1&amp;"C"&amp;$A109)="N/A",0,RTD("tos.rtd",,$A$2,"."&amp;Q$83&amp;Q$1&amp;"C"&amp;$A109))-IF(RTD("tos.rtd",,$A$2,"."&amp;Q$83&amp;Q$1&amp;"P"&amp;$A109)="N/A",0,RTD("tos.rtd",,$A$2,"."&amp;Q$83&amp;Q$1&amp;"P"&amp;$A109))</f>
        <v>0</v>
      </c>
      <c r="R109" s="91">
        <f ca="1">IF(RTD("tos.rtd",,$A$2,"."&amp;R$83&amp;R$1&amp;"C"&amp;$A109)="N/A",0,RTD("tos.rtd",,$A$2,"."&amp;R$83&amp;R$1&amp;"C"&amp;$A109))-IF(RTD("tos.rtd",,$A$2,"."&amp;R$83&amp;R$1&amp;"P"&amp;$A109)="N/A",0,RTD("tos.rtd",,$A$2,"."&amp;R$83&amp;R$1&amp;"P"&amp;$A109))</f>
        <v>0</v>
      </c>
      <c r="S109" s="91">
        <f ca="1">IF(RTD("tos.rtd",,$A$2,"."&amp;S$83&amp;S$1&amp;"C"&amp;$A109)="N/A",0,RTD("tos.rtd",,$A$2,"."&amp;S$83&amp;S$1&amp;"C"&amp;$A109))-IF(RTD("tos.rtd",,$A$2,"."&amp;S$83&amp;S$1&amp;"P"&amp;$A109)="N/A",0,RTD("tos.rtd",,$A$2,"."&amp;S$83&amp;S$1&amp;"P"&amp;$A109))</f>
        <v>0</v>
      </c>
      <c r="T109" s="91">
        <f ca="1">IF(RTD("tos.rtd",,$A$2,"."&amp;T$83&amp;T$1&amp;"C"&amp;$A109)="N/A",0,RTD("tos.rtd",,$A$2,"."&amp;T$83&amp;T$1&amp;"C"&amp;$A109))-IF(RTD("tos.rtd",,$A$2,"."&amp;T$83&amp;T$1&amp;"P"&amp;$A109)="N/A",0,RTD("tos.rtd",,$A$2,"."&amp;T$83&amp;T$1&amp;"P"&amp;$A109))</f>
        <v>0</v>
      </c>
      <c r="U109" s="91">
        <f ca="1">IF(RTD("tos.rtd",,$A$2,"."&amp;U$83&amp;U$1&amp;"C"&amp;$A109)="N/A",0,RTD("tos.rtd",,$A$2,"."&amp;U$83&amp;U$1&amp;"C"&amp;$A109))-IF(RTD("tos.rtd",,$A$2,"."&amp;U$83&amp;U$1&amp;"P"&amp;$A109)="N/A",0,RTD("tos.rtd",,$A$2,"."&amp;U$83&amp;U$1&amp;"P"&amp;$A109))</f>
        <v>0</v>
      </c>
      <c r="V109" s="91">
        <f ca="1">IF(RTD("tos.rtd",,$A$2,"."&amp;V$83&amp;V$1&amp;"C"&amp;$A109)="N/A",0,RTD("tos.rtd",,$A$2,"."&amp;V$83&amp;V$1&amp;"C"&amp;$A109))-IF(RTD("tos.rtd",,$A$2,"."&amp;V$83&amp;V$1&amp;"P"&amp;$A109)="N/A",0,RTD("tos.rtd",,$A$2,"."&amp;V$83&amp;V$1&amp;"P"&amp;$A109))</f>
        <v>0</v>
      </c>
      <c r="W109" s="91">
        <f ca="1">IF(RTD("tos.rtd",,$A$2,"."&amp;W$83&amp;W$1&amp;"C"&amp;$A109)="N/A",0,RTD("tos.rtd",,$A$2,"."&amp;W$83&amp;W$1&amp;"C"&amp;$A109))-IF(RTD("tos.rtd",,$A$2,"."&amp;W$83&amp;W$1&amp;"P"&amp;$A109)="N/A",0,RTD("tos.rtd",,$A$2,"."&amp;W$83&amp;W$1&amp;"P"&amp;$A109))</f>
        <v>0</v>
      </c>
      <c r="X109" s="91">
        <f ca="1">IF(RTD("tos.rtd",,$A$2,"."&amp;X$83&amp;X$1&amp;"C"&amp;$A109)="N/A",0,RTD("tos.rtd",,$A$2,"."&amp;X$83&amp;X$1&amp;"C"&amp;$A109))-IF(RTD("tos.rtd",,$A$2,"."&amp;X$83&amp;X$1&amp;"P"&amp;$A109)="N/A",0,RTD("tos.rtd",,$A$2,"."&amp;X$83&amp;X$1&amp;"P"&amp;$A109))</f>
        <v>0</v>
      </c>
      <c r="Y109" s="98">
        <f t="shared" ca="1" si="10"/>
        <v>0</v>
      </c>
    </row>
    <row r="110" spans="1:25" x14ac:dyDescent="0.25">
      <c r="A110" s="93">
        <f>+Hoja1!A109</f>
        <v>5630</v>
      </c>
      <c r="B110" s="91">
        <f ca="1">IF(RTD("tos.rtd",,$A$2,"."&amp;B$83&amp;B$1&amp;"C"&amp;$A110)="N/A",0,RTD("tos.rtd",,$A$2,"."&amp;B$83&amp;B$1&amp;"C"&amp;$A110))-IF(RTD("tos.rtd",,$A$2,"."&amp;B$83&amp;B$1&amp;"P"&amp;$A110)="N/A",0,RTD("tos.rtd",,$A$2,"."&amp;B$83&amp;B$1&amp;"P"&amp;$A110))</f>
        <v>0</v>
      </c>
      <c r="C110" s="91">
        <f ca="1">IF(RTD("tos.rtd",,$A$2,"."&amp;C$83&amp;C$1&amp;"C"&amp;$A110)="N/A",0,RTD("tos.rtd",,$A$2,"."&amp;C$83&amp;C$1&amp;"C"&amp;$A110))-IF(RTD("tos.rtd",,$A$2,"."&amp;C$83&amp;C$1&amp;"P"&amp;$A110)="N/A",0,RTD("tos.rtd",,$A$2,"."&amp;C$83&amp;C$1&amp;"P"&amp;$A110))</f>
        <v>0</v>
      </c>
      <c r="D110" s="91">
        <f ca="1">IF(RTD("tos.rtd",,$A$2,"."&amp;D$83&amp;D$1&amp;"C"&amp;$A110)="N/A",0,RTD("tos.rtd",,$A$2,"."&amp;D$83&amp;D$1&amp;"C"&amp;$A110))-IF(RTD("tos.rtd",,$A$2,"."&amp;D$83&amp;D$1&amp;"P"&amp;$A110)="N/A",0,RTD("tos.rtd",,$A$2,"."&amp;D$83&amp;D$1&amp;"P"&amp;$A110))</f>
        <v>0</v>
      </c>
      <c r="E110" s="91">
        <f ca="1">IF(RTD("tos.rtd",,$A$2,"."&amp;E$83&amp;E$1&amp;"C"&amp;$A110)="N/A",0,RTD("tos.rtd",,$A$2,"."&amp;E$83&amp;E$1&amp;"C"&amp;$A110))-IF(RTD("tos.rtd",,$A$2,"."&amp;E$83&amp;E$1&amp;"P"&amp;$A110)="N/A",0,RTD("tos.rtd",,$A$2,"."&amp;E$83&amp;E$1&amp;"P"&amp;$A110))</f>
        <v>0</v>
      </c>
      <c r="F110" s="91">
        <f ca="1">IF(RTD("tos.rtd",,$A$2,"."&amp;F$83&amp;F$1&amp;"C"&amp;$A110)="N/A",0,RTD("tos.rtd",,$A$2,"."&amp;F$83&amp;F$1&amp;"C"&amp;$A110))-IF(RTD("tos.rtd",,$A$2,"."&amp;F$83&amp;F$1&amp;"P"&amp;$A110)="N/A",0,RTD("tos.rtd",,$A$2,"."&amp;F$83&amp;F$1&amp;"P"&amp;$A110))</f>
        <v>0</v>
      </c>
      <c r="G110" s="91">
        <f ca="1">IF(RTD("tos.rtd",,$A$2,"."&amp;G$83&amp;G$1&amp;"C"&amp;$A110)="N/A",0,RTD("tos.rtd",,$A$2,"."&amp;G$83&amp;G$1&amp;"C"&amp;$A110))-IF(RTD("tos.rtd",,$A$2,"."&amp;G$83&amp;G$1&amp;"P"&amp;$A110)="N/A",0,RTD("tos.rtd",,$A$2,"."&amp;G$83&amp;G$1&amp;"P"&amp;$A110))</f>
        <v>0</v>
      </c>
      <c r="H110" s="91">
        <f ca="1">IF(RTD("tos.rtd",,$A$2,"."&amp;H$83&amp;H$1&amp;"C"&amp;$A110)="N/A",0,RTD("tos.rtd",,$A$2,"."&amp;H$83&amp;H$1&amp;"C"&amp;$A110))-IF(RTD("tos.rtd",,$A$2,"."&amp;H$83&amp;H$1&amp;"P"&amp;$A110)="N/A",0,RTD("tos.rtd",,$A$2,"."&amp;H$83&amp;H$1&amp;"P"&amp;$A110))</f>
        <v>0</v>
      </c>
      <c r="I110" s="91">
        <f ca="1">IF(RTD("tos.rtd",,$A$2,"."&amp;I$83&amp;I$1&amp;"C"&amp;$A110)="N/A",0,RTD("tos.rtd",,$A$2,"."&amp;I$83&amp;I$1&amp;"C"&amp;$A110))-IF(RTD("tos.rtd",,$A$2,"."&amp;I$83&amp;I$1&amp;"P"&amp;$A110)="N/A",0,RTD("tos.rtd",,$A$2,"."&amp;I$83&amp;I$1&amp;"P"&amp;$A110))</f>
        <v>0</v>
      </c>
      <c r="J110" s="91">
        <f ca="1">IF(RTD("tos.rtd",,$A$2,"."&amp;J$83&amp;J$1&amp;"C"&amp;$A110)="N/A",0,RTD("tos.rtd",,$A$2,"."&amp;J$83&amp;J$1&amp;"C"&amp;$A110))-IF(RTD("tos.rtd",,$A$2,"."&amp;J$83&amp;J$1&amp;"P"&amp;$A110)="N/A",0,RTD("tos.rtd",,$A$2,"."&amp;J$83&amp;J$1&amp;"P"&amp;$A110))</f>
        <v>0</v>
      </c>
      <c r="K110" s="91">
        <f ca="1">IF(RTD("tos.rtd",,$A$2,"."&amp;K$83&amp;K$1&amp;"C"&amp;$A110)="N/A",0,RTD("tos.rtd",,$A$2,"."&amp;K$83&amp;K$1&amp;"C"&amp;$A110))-IF(RTD("tos.rtd",,$A$2,"."&amp;K$83&amp;K$1&amp;"P"&amp;$A110)="N/A",0,RTD("tos.rtd",,$A$2,"."&amp;K$83&amp;K$1&amp;"P"&amp;$A110))</f>
        <v>0</v>
      </c>
      <c r="L110" s="91">
        <f ca="1">IF(RTD("tos.rtd",,$A$2,"."&amp;L$83&amp;L$1&amp;"C"&amp;$A110)="N/A",0,RTD("tos.rtd",,$A$2,"."&amp;L$83&amp;L$1&amp;"C"&amp;$A110))-IF(RTD("tos.rtd",,$A$2,"."&amp;L$83&amp;L$1&amp;"P"&amp;$A110)="N/A",0,RTD("tos.rtd",,$A$2,"."&amp;L$83&amp;L$1&amp;"P"&amp;$A110))</f>
        <v>0</v>
      </c>
      <c r="M110" s="91">
        <f ca="1">IF(RTD("tos.rtd",,$A$2,"."&amp;M$83&amp;M$1&amp;"C"&amp;$A110)="N/A",0,RTD("tos.rtd",,$A$2,"."&amp;M$83&amp;M$1&amp;"C"&amp;$A110))-IF(RTD("tos.rtd",,$A$2,"."&amp;M$83&amp;M$1&amp;"P"&amp;$A110)="N/A",0,RTD("tos.rtd",,$A$2,"."&amp;M$83&amp;M$1&amp;"P"&amp;$A110))</f>
        <v>0</v>
      </c>
      <c r="N110" s="91">
        <f ca="1">IF(RTD("tos.rtd",,$A$2,"."&amp;N$83&amp;N$1&amp;"C"&amp;$A110)="N/A",0,RTD("tos.rtd",,$A$2,"."&amp;N$83&amp;N$1&amp;"C"&amp;$A110))-IF(RTD("tos.rtd",,$A$2,"."&amp;N$83&amp;N$1&amp;"P"&amp;$A110)="N/A",0,RTD("tos.rtd",,$A$2,"."&amp;N$83&amp;N$1&amp;"P"&amp;$A110))</f>
        <v>0</v>
      </c>
      <c r="O110" s="91">
        <f ca="1">IF(RTD("tos.rtd",,$A$2,"."&amp;O$83&amp;O$1&amp;"C"&amp;$A110)="N/A",0,RTD("tos.rtd",,$A$2,"."&amp;O$83&amp;O$1&amp;"C"&amp;$A110))-IF(RTD("tos.rtd",,$A$2,"."&amp;O$83&amp;O$1&amp;"P"&amp;$A110)="N/A",0,RTD("tos.rtd",,$A$2,"."&amp;O$83&amp;O$1&amp;"P"&amp;$A110))</f>
        <v>0</v>
      </c>
      <c r="P110" s="91">
        <f ca="1">IF(RTD("tos.rtd",,$A$2,"."&amp;P$83&amp;P$1&amp;"C"&amp;$A110)="N/A",0,RTD("tos.rtd",,$A$2,"."&amp;P$83&amp;P$1&amp;"C"&amp;$A110))-IF(RTD("tos.rtd",,$A$2,"."&amp;P$83&amp;P$1&amp;"P"&amp;$A110)="N/A",0,RTD("tos.rtd",,$A$2,"."&amp;P$83&amp;P$1&amp;"P"&amp;$A110))</f>
        <v>0</v>
      </c>
      <c r="Q110" s="91">
        <f ca="1">IF(RTD("tos.rtd",,$A$2,"."&amp;Q$83&amp;Q$1&amp;"C"&amp;$A110)="N/A",0,RTD("tos.rtd",,$A$2,"."&amp;Q$83&amp;Q$1&amp;"C"&amp;$A110))-IF(RTD("tos.rtd",,$A$2,"."&amp;Q$83&amp;Q$1&amp;"P"&amp;$A110)="N/A",0,RTD("tos.rtd",,$A$2,"."&amp;Q$83&amp;Q$1&amp;"P"&amp;$A110))</f>
        <v>0</v>
      </c>
      <c r="R110" s="91">
        <f ca="1">IF(RTD("tos.rtd",,$A$2,"."&amp;R$83&amp;R$1&amp;"C"&amp;$A110)="N/A",0,RTD("tos.rtd",,$A$2,"."&amp;R$83&amp;R$1&amp;"C"&amp;$A110))-IF(RTD("tos.rtd",,$A$2,"."&amp;R$83&amp;R$1&amp;"P"&amp;$A110)="N/A",0,RTD("tos.rtd",,$A$2,"."&amp;R$83&amp;R$1&amp;"P"&amp;$A110))</f>
        <v>0</v>
      </c>
      <c r="S110" s="91">
        <f ca="1">IF(RTD("tos.rtd",,$A$2,"."&amp;S$83&amp;S$1&amp;"C"&amp;$A110)="N/A",0,RTD("tos.rtd",,$A$2,"."&amp;S$83&amp;S$1&amp;"C"&amp;$A110))-IF(RTD("tos.rtd",,$A$2,"."&amp;S$83&amp;S$1&amp;"P"&amp;$A110)="N/A",0,RTD("tos.rtd",,$A$2,"."&amp;S$83&amp;S$1&amp;"P"&amp;$A110))</f>
        <v>0</v>
      </c>
      <c r="T110" s="91">
        <f ca="1">IF(RTD("tos.rtd",,$A$2,"."&amp;T$83&amp;T$1&amp;"C"&amp;$A110)="N/A",0,RTD("tos.rtd",,$A$2,"."&amp;T$83&amp;T$1&amp;"C"&amp;$A110))-IF(RTD("tos.rtd",,$A$2,"."&amp;T$83&amp;T$1&amp;"P"&amp;$A110)="N/A",0,RTD("tos.rtd",,$A$2,"."&amp;T$83&amp;T$1&amp;"P"&amp;$A110))</f>
        <v>0</v>
      </c>
      <c r="U110" s="91">
        <f ca="1">IF(RTD("tos.rtd",,$A$2,"."&amp;U$83&amp;U$1&amp;"C"&amp;$A110)="N/A",0,RTD("tos.rtd",,$A$2,"."&amp;U$83&amp;U$1&amp;"C"&amp;$A110))-IF(RTD("tos.rtd",,$A$2,"."&amp;U$83&amp;U$1&amp;"P"&amp;$A110)="N/A",0,RTD("tos.rtd",,$A$2,"."&amp;U$83&amp;U$1&amp;"P"&amp;$A110))</f>
        <v>0</v>
      </c>
      <c r="V110" s="91">
        <f ca="1">IF(RTD("tos.rtd",,$A$2,"."&amp;V$83&amp;V$1&amp;"C"&amp;$A110)="N/A",0,RTD("tos.rtd",,$A$2,"."&amp;V$83&amp;V$1&amp;"C"&amp;$A110))-IF(RTD("tos.rtd",,$A$2,"."&amp;V$83&amp;V$1&amp;"P"&amp;$A110)="N/A",0,RTD("tos.rtd",,$A$2,"."&amp;V$83&amp;V$1&amp;"P"&amp;$A110))</f>
        <v>0</v>
      </c>
      <c r="W110" s="91">
        <f ca="1">IF(RTD("tos.rtd",,$A$2,"."&amp;W$83&amp;W$1&amp;"C"&amp;$A110)="N/A",0,RTD("tos.rtd",,$A$2,"."&amp;W$83&amp;W$1&amp;"C"&amp;$A110))-IF(RTD("tos.rtd",,$A$2,"."&amp;W$83&amp;W$1&amp;"P"&amp;$A110)="N/A",0,RTD("tos.rtd",,$A$2,"."&amp;W$83&amp;W$1&amp;"P"&amp;$A110))</f>
        <v>0</v>
      </c>
      <c r="X110" s="91">
        <f ca="1">IF(RTD("tos.rtd",,$A$2,"."&amp;X$83&amp;X$1&amp;"C"&amp;$A110)="N/A",0,RTD("tos.rtd",,$A$2,"."&amp;X$83&amp;X$1&amp;"C"&amp;$A110))-IF(RTD("tos.rtd",,$A$2,"."&amp;X$83&amp;X$1&amp;"P"&amp;$A110)="N/A",0,RTD("tos.rtd",,$A$2,"."&amp;X$83&amp;X$1&amp;"P"&amp;$A110))</f>
        <v>0</v>
      </c>
      <c r="Y110" s="98">
        <f t="shared" ca="1" si="10"/>
        <v>0</v>
      </c>
    </row>
    <row r="111" spans="1:25" x14ac:dyDescent="0.25">
      <c r="A111" s="93">
        <f>+Hoja1!A110</f>
        <v>5620</v>
      </c>
      <c r="B111" s="91">
        <f ca="1">IF(RTD("tos.rtd",,$A$2,"."&amp;B$83&amp;B$1&amp;"C"&amp;$A111)="N/A",0,RTD("tos.rtd",,$A$2,"."&amp;B$83&amp;B$1&amp;"C"&amp;$A111))-IF(RTD("tos.rtd",,$A$2,"."&amp;B$83&amp;B$1&amp;"P"&amp;$A111)="N/A",0,RTD("tos.rtd",,$A$2,"."&amp;B$83&amp;B$1&amp;"P"&amp;$A111))</f>
        <v>0</v>
      </c>
      <c r="C111" s="91">
        <f ca="1">IF(RTD("tos.rtd",,$A$2,"."&amp;C$83&amp;C$1&amp;"C"&amp;$A111)="N/A",0,RTD("tos.rtd",,$A$2,"."&amp;C$83&amp;C$1&amp;"C"&amp;$A111))-IF(RTD("tos.rtd",,$A$2,"."&amp;C$83&amp;C$1&amp;"P"&amp;$A111)="N/A",0,RTD("tos.rtd",,$A$2,"."&amp;C$83&amp;C$1&amp;"P"&amp;$A111))</f>
        <v>0</v>
      </c>
      <c r="D111" s="91">
        <f ca="1">IF(RTD("tos.rtd",,$A$2,"."&amp;D$83&amp;D$1&amp;"C"&amp;$A111)="N/A",0,RTD("tos.rtd",,$A$2,"."&amp;D$83&amp;D$1&amp;"C"&amp;$A111))-IF(RTD("tos.rtd",,$A$2,"."&amp;D$83&amp;D$1&amp;"P"&amp;$A111)="N/A",0,RTD("tos.rtd",,$A$2,"."&amp;D$83&amp;D$1&amp;"P"&amp;$A111))</f>
        <v>0</v>
      </c>
      <c r="E111" s="91">
        <f ca="1">IF(RTD("tos.rtd",,$A$2,"."&amp;E$83&amp;E$1&amp;"C"&amp;$A111)="N/A",0,RTD("tos.rtd",,$A$2,"."&amp;E$83&amp;E$1&amp;"C"&amp;$A111))-IF(RTD("tos.rtd",,$A$2,"."&amp;E$83&amp;E$1&amp;"P"&amp;$A111)="N/A",0,RTD("tos.rtd",,$A$2,"."&amp;E$83&amp;E$1&amp;"P"&amp;$A111))</f>
        <v>0</v>
      </c>
      <c r="F111" s="91">
        <f ca="1">IF(RTD("tos.rtd",,$A$2,"."&amp;F$83&amp;F$1&amp;"C"&amp;$A111)="N/A",0,RTD("tos.rtd",,$A$2,"."&amp;F$83&amp;F$1&amp;"C"&amp;$A111))-IF(RTD("tos.rtd",,$A$2,"."&amp;F$83&amp;F$1&amp;"P"&amp;$A111)="N/A",0,RTD("tos.rtd",,$A$2,"."&amp;F$83&amp;F$1&amp;"P"&amp;$A111))</f>
        <v>0</v>
      </c>
      <c r="G111" s="91">
        <f ca="1">IF(RTD("tos.rtd",,$A$2,"."&amp;G$83&amp;G$1&amp;"C"&amp;$A111)="N/A",0,RTD("tos.rtd",,$A$2,"."&amp;G$83&amp;G$1&amp;"C"&amp;$A111))-IF(RTD("tos.rtd",,$A$2,"."&amp;G$83&amp;G$1&amp;"P"&amp;$A111)="N/A",0,RTD("tos.rtd",,$A$2,"."&amp;G$83&amp;G$1&amp;"P"&amp;$A111))</f>
        <v>0</v>
      </c>
      <c r="H111" s="91">
        <f ca="1">IF(RTD("tos.rtd",,$A$2,"."&amp;H$83&amp;H$1&amp;"C"&amp;$A111)="N/A",0,RTD("tos.rtd",,$A$2,"."&amp;H$83&amp;H$1&amp;"C"&amp;$A111))-IF(RTD("tos.rtd",,$A$2,"."&amp;H$83&amp;H$1&amp;"P"&amp;$A111)="N/A",0,RTD("tos.rtd",,$A$2,"."&amp;H$83&amp;H$1&amp;"P"&amp;$A111))</f>
        <v>0</v>
      </c>
      <c r="I111" s="91">
        <f ca="1">IF(RTD("tos.rtd",,$A$2,"."&amp;I$83&amp;I$1&amp;"C"&amp;$A111)="N/A",0,RTD("tos.rtd",,$A$2,"."&amp;I$83&amp;I$1&amp;"C"&amp;$A111))-IF(RTD("tos.rtd",,$A$2,"."&amp;I$83&amp;I$1&amp;"P"&amp;$A111)="N/A",0,RTD("tos.rtd",,$A$2,"."&amp;I$83&amp;I$1&amp;"P"&amp;$A111))</f>
        <v>0</v>
      </c>
      <c r="J111" s="91">
        <f ca="1">IF(RTD("tos.rtd",,$A$2,"."&amp;J$83&amp;J$1&amp;"C"&amp;$A111)="N/A",0,RTD("tos.rtd",,$A$2,"."&amp;J$83&amp;J$1&amp;"C"&amp;$A111))-IF(RTD("tos.rtd",,$A$2,"."&amp;J$83&amp;J$1&amp;"P"&amp;$A111)="N/A",0,RTD("tos.rtd",,$A$2,"."&amp;J$83&amp;J$1&amp;"P"&amp;$A111))</f>
        <v>0</v>
      </c>
      <c r="K111" s="91">
        <f ca="1">IF(RTD("tos.rtd",,$A$2,"."&amp;K$83&amp;K$1&amp;"C"&amp;$A111)="N/A",0,RTD("tos.rtd",,$A$2,"."&amp;K$83&amp;K$1&amp;"C"&amp;$A111))-IF(RTD("tos.rtd",,$A$2,"."&amp;K$83&amp;K$1&amp;"P"&amp;$A111)="N/A",0,RTD("tos.rtd",,$A$2,"."&amp;K$83&amp;K$1&amp;"P"&amp;$A111))</f>
        <v>0</v>
      </c>
      <c r="L111" s="91">
        <f ca="1">IF(RTD("tos.rtd",,$A$2,"."&amp;L$83&amp;L$1&amp;"C"&amp;$A111)="N/A",0,RTD("tos.rtd",,$A$2,"."&amp;L$83&amp;L$1&amp;"C"&amp;$A111))-IF(RTD("tos.rtd",,$A$2,"."&amp;L$83&amp;L$1&amp;"P"&amp;$A111)="N/A",0,RTD("tos.rtd",,$A$2,"."&amp;L$83&amp;L$1&amp;"P"&amp;$A111))</f>
        <v>0</v>
      </c>
      <c r="M111" s="91">
        <f ca="1">IF(RTD("tos.rtd",,$A$2,"."&amp;M$83&amp;M$1&amp;"C"&amp;$A111)="N/A",0,RTD("tos.rtd",,$A$2,"."&amp;M$83&amp;M$1&amp;"C"&amp;$A111))-IF(RTD("tos.rtd",,$A$2,"."&amp;M$83&amp;M$1&amp;"P"&amp;$A111)="N/A",0,RTD("tos.rtd",,$A$2,"."&amp;M$83&amp;M$1&amp;"P"&amp;$A111))</f>
        <v>0</v>
      </c>
      <c r="N111" s="91">
        <f ca="1">IF(RTD("tos.rtd",,$A$2,"."&amp;N$83&amp;N$1&amp;"C"&amp;$A111)="N/A",0,RTD("tos.rtd",,$A$2,"."&amp;N$83&amp;N$1&amp;"C"&amp;$A111))-IF(RTD("tos.rtd",,$A$2,"."&amp;N$83&amp;N$1&amp;"P"&amp;$A111)="N/A",0,RTD("tos.rtd",,$A$2,"."&amp;N$83&amp;N$1&amp;"P"&amp;$A111))</f>
        <v>0</v>
      </c>
      <c r="O111" s="91">
        <f ca="1">IF(RTD("tos.rtd",,$A$2,"."&amp;O$83&amp;O$1&amp;"C"&amp;$A111)="N/A",0,RTD("tos.rtd",,$A$2,"."&amp;O$83&amp;O$1&amp;"C"&amp;$A111))-IF(RTD("tos.rtd",,$A$2,"."&amp;O$83&amp;O$1&amp;"P"&amp;$A111)="N/A",0,RTD("tos.rtd",,$A$2,"."&amp;O$83&amp;O$1&amp;"P"&amp;$A111))</f>
        <v>0</v>
      </c>
      <c r="P111" s="91">
        <f ca="1">IF(RTD("tos.rtd",,$A$2,"."&amp;P$83&amp;P$1&amp;"C"&amp;$A111)="N/A",0,RTD("tos.rtd",,$A$2,"."&amp;P$83&amp;P$1&amp;"C"&amp;$A111))-IF(RTD("tos.rtd",,$A$2,"."&amp;P$83&amp;P$1&amp;"P"&amp;$A111)="N/A",0,RTD("tos.rtd",,$A$2,"."&amp;P$83&amp;P$1&amp;"P"&amp;$A111))</f>
        <v>0</v>
      </c>
      <c r="Q111" s="91">
        <f ca="1">IF(RTD("tos.rtd",,$A$2,"."&amp;Q$83&amp;Q$1&amp;"C"&amp;$A111)="N/A",0,RTD("tos.rtd",,$A$2,"."&amp;Q$83&amp;Q$1&amp;"C"&amp;$A111))-IF(RTD("tos.rtd",,$A$2,"."&amp;Q$83&amp;Q$1&amp;"P"&amp;$A111)="N/A",0,RTD("tos.rtd",,$A$2,"."&amp;Q$83&amp;Q$1&amp;"P"&amp;$A111))</f>
        <v>0</v>
      </c>
      <c r="R111" s="91">
        <f ca="1">IF(RTD("tos.rtd",,$A$2,"."&amp;R$83&amp;R$1&amp;"C"&amp;$A111)="N/A",0,RTD("tos.rtd",,$A$2,"."&amp;R$83&amp;R$1&amp;"C"&amp;$A111))-IF(RTD("tos.rtd",,$A$2,"."&amp;R$83&amp;R$1&amp;"P"&amp;$A111)="N/A",0,RTD("tos.rtd",,$A$2,"."&amp;R$83&amp;R$1&amp;"P"&amp;$A111))</f>
        <v>0</v>
      </c>
      <c r="S111" s="91">
        <f ca="1">IF(RTD("tos.rtd",,$A$2,"."&amp;S$83&amp;S$1&amp;"C"&amp;$A111)="N/A",0,RTD("tos.rtd",,$A$2,"."&amp;S$83&amp;S$1&amp;"C"&amp;$A111))-IF(RTD("tos.rtd",,$A$2,"."&amp;S$83&amp;S$1&amp;"P"&amp;$A111)="N/A",0,RTD("tos.rtd",,$A$2,"."&amp;S$83&amp;S$1&amp;"P"&amp;$A111))</f>
        <v>0</v>
      </c>
      <c r="T111" s="91">
        <f ca="1">IF(RTD("tos.rtd",,$A$2,"."&amp;T$83&amp;T$1&amp;"C"&amp;$A111)="N/A",0,RTD("tos.rtd",,$A$2,"."&amp;T$83&amp;T$1&amp;"C"&amp;$A111))-IF(RTD("tos.rtd",,$A$2,"."&amp;T$83&amp;T$1&amp;"P"&amp;$A111)="N/A",0,RTD("tos.rtd",,$A$2,"."&amp;T$83&amp;T$1&amp;"P"&amp;$A111))</f>
        <v>0</v>
      </c>
      <c r="U111" s="91">
        <f ca="1">IF(RTD("tos.rtd",,$A$2,"."&amp;U$83&amp;U$1&amp;"C"&amp;$A111)="N/A",0,RTD("tos.rtd",,$A$2,"."&amp;U$83&amp;U$1&amp;"C"&amp;$A111))-IF(RTD("tos.rtd",,$A$2,"."&amp;U$83&amp;U$1&amp;"P"&amp;$A111)="N/A",0,RTD("tos.rtd",,$A$2,"."&amp;U$83&amp;U$1&amp;"P"&amp;$A111))</f>
        <v>0</v>
      </c>
      <c r="V111" s="91">
        <f ca="1">IF(RTD("tos.rtd",,$A$2,"."&amp;V$83&amp;V$1&amp;"C"&amp;$A111)="N/A",0,RTD("tos.rtd",,$A$2,"."&amp;V$83&amp;V$1&amp;"C"&amp;$A111))-IF(RTD("tos.rtd",,$A$2,"."&amp;V$83&amp;V$1&amp;"P"&amp;$A111)="N/A",0,RTD("tos.rtd",,$A$2,"."&amp;V$83&amp;V$1&amp;"P"&amp;$A111))</f>
        <v>0</v>
      </c>
      <c r="W111" s="91">
        <f ca="1">IF(RTD("tos.rtd",,$A$2,"."&amp;W$83&amp;W$1&amp;"C"&amp;$A111)="N/A",0,RTD("tos.rtd",,$A$2,"."&amp;W$83&amp;W$1&amp;"C"&amp;$A111))-IF(RTD("tos.rtd",,$A$2,"."&amp;W$83&amp;W$1&amp;"P"&amp;$A111)="N/A",0,RTD("tos.rtd",,$A$2,"."&amp;W$83&amp;W$1&amp;"P"&amp;$A111))</f>
        <v>0</v>
      </c>
      <c r="X111" s="91">
        <f ca="1">IF(RTD("tos.rtd",,$A$2,"."&amp;X$83&amp;X$1&amp;"C"&amp;$A111)="N/A",0,RTD("tos.rtd",,$A$2,"."&amp;X$83&amp;X$1&amp;"C"&amp;$A111))-IF(RTD("tos.rtd",,$A$2,"."&amp;X$83&amp;X$1&amp;"P"&amp;$A111)="N/A",0,RTD("tos.rtd",,$A$2,"."&amp;X$83&amp;X$1&amp;"P"&amp;$A111))</f>
        <v>0</v>
      </c>
      <c r="Y111" s="98">
        <f t="shared" ca="1" si="10"/>
        <v>0</v>
      </c>
    </row>
    <row r="112" spans="1:25" x14ac:dyDescent="0.25">
      <c r="A112" s="93">
        <f>+Hoja1!A111</f>
        <v>5610</v>
      </c>
      <c r="B112" s="91">
        <f ca="1">IF(RTD("tos.rtd",,$A$2,"."&amp;B$83&amp;B$1&amp;"C"&amp;$A112)="N/A",0,RTD("tos.rtd",,$A$2,"."&amp;B$83&amp;B$1&amp;"C"&amp;$A112))-IF(RTD("tos.rtd",,$A$2,"."&amp;B$83&amp;B$1&amp;"P"&amp;$A112)="N/A",0,RTD("tos.rtd",,$A$2,"."&amp;B$83&amp;B$1&amp;"P"&amp;$A112))</f>
        <v>0</v>
      </c>
      <c r="C112" s="91">
        <f ca="1">IF(RTD("tos.rtd",,$A$2,"."&amp;C$83&amp;C$1&amp;"C"&amp;$A112)="N/A",0,RTD("tos.rtd",,$A$2,"."&amp;C$83&amp;C$1&amp;"C"&amp;$A112))-IF(RTD("tos.rtd",,$A$2,"."&amp;C$83&amp;C$1&amp;"P"&amp;$A112)="N/A",0,RTD("tos.rtd",,$A$2,"."&amp;C$83&amp;C$1&amp;"P"&amp;$A112))</f>
        <v>0</v>
      </c>
      <c r="D112" s="91">
        <f ca="1">IF(RTD("tos.rtd",,$A$2,"."&amp;D$83&amp;D$1&amp;"C"&amp;$A112)="N/A",0,RTD("tos.rtd",,$A$2,"."&amp;D$83&amp;D$1&amp;"C"&amp;$A112))-IF(RTD("tos.rtd",,$A$2,"."&amp;D$83&amp;D$1&amp;"P"&amp;$A112)="N/A",0,RTD("tos.rtd",,$A$2,"."&amp;D$83&amp;D$1&amp;"P"&amp;$A112))</f>
        <v>0</v>
      </c>
      <c r="E112" s="91">
        <f ca="1">IF(RTD("tos.rtd",,$A$2,"."&amp;E$83&amp;E$1&amp;"C"&amp;$A112)="N/A",0,RTD("tos.rtd",,$A$2,"."&amp;E$83&amp;E$1&amp;"C"&amp;$A112))-IF(RTD("tos.rtd",,$A$2,"."&amp;E$83&amp;E$1&amp;"P"&amp;$A112)="N/A",0,RTD("tos.rtd",,$A$2,"."&amp;E$83&amp;E$1&amp;"P"&amp;$A112))</f>
        <v>0</v>
      </c>
      <c r="F112" s="91">
        <f ca="1">IF(RTD("tos.rtd",,$A$2,"."&amp;F$83&amp;F$1&amp;"C"&amp;$A112)="N/A",0,RTD("tos.rtd",,$A$2,"."&amp;F$83&amp;F$1&amp;"C"&amp;$A112))-IF(RTD("tos.rtd",,$A$2,"."&amp;F$83&amp;F$1&amp;"P"&amp;$A112)="N/A",0,RTD("tos.rtd",,$A$2,"."&amp;F$83&amp;F$1&amp;"P"&amp;$A112))</f>
        <v>0</v>
      </c>
      <c r="G112" s="91">
        <f ca="1">IF(RTD("tos.rtd",,$A$2,"."&amp;G$83&amp;G$1&amp;"C"&amp;$A112)="N/A",0,RTD("tos.rtd",,$A$2,"."&amp;G$83&amp;G$1&amp;"C"&amp;$A112))-IF(RTD("tos.rtd",,$A$2,"."&amp;G$83&amp;G$1&amp;"P"&amp;$A112)="N/A",0,RTD("tos.rtd",,$A$2,"."&amp;G$83&amp;G$1&amp;"P"&amp;$A112))</f>
        <v>0</v>
      </c>
      <c r="H112" s="91">
        <f ca="1">IF(RTD("tos.rtd",,$A$2,"."&amp;H$83&amp;H$1&amp;"C"&amp;$A112)="N/A",0,RTD("tos.rtd",,$A$2,"."&amp;H$83&amp;H$1&amp;"C"&amp;$A112))-IF(RTD("tos.rtd",,$A$2,"."&amp;H$83&amp;H$1&amp;"P"&amp;$A112)="N/A",0,RTD("tos.rtd",,$A$2,"."&amp;H$83&amp;H$1&amp;"P"&amp;$A112))</f>
        <v>0</v>
      </c>
      <c r="I112" s="91">
        <f ca="1">IF(RTD("tos.rtd",,$A$2,"."&amp;I$83&amp;I$1&amp;"C"&amp;$A112)="N/A",0,RTD("tos.rtd",,$A$2,"."&amp;I$83&amp;I$1&amp;"C"&amp;$A112))-IF(RTD("tos.rtd",,$A$2,"."&amp;I$83&amp;I$1&amp;"P"&amp;$A112)="N/A",0,RTD("tos.rtd",,$A$2,"."&amp;I$83&amp;I$1&amp;"P"&amp;$A112))</f>
        <v>0</v>
      </c>
      <c r="J112" s="91">
        <f ca="1">IF(RTD("tos.rtd",,$A$2,"."&amp;J$83&amp;J$1&amp;"C"&amp;$A112)="N/A",0,RTD("tos.rtd",,$A$2,"."&amp;J$83&amp;J$1&amp;"C"&amp;$A112))-IF(RTD("tos.rtd",,$A$2,"."&amp;J$83&amp;J$1&amp;"P"&amp;$A112)="N/A",0,RTD("tos.rtd",,$A$2,"."&amp;J$83&amp;J$1&amp;"P"&amp;$A112))</f>
        <v>0</v>
      </c>
      <c r="K112" s="91">
        <f ca="1">IF(RTD("tos.rtd",,$A$2,"."&amp;K$83&amp;K$1&amp;"C"&amp;$A112)="N/A",0,RTD("tos.rtd",,$A$2,"."&amp;K$83&amp;K$1&amp;"C"&amp;$A112))-IF(RTD("tos.rtd",,$A$2,"."&amp;K$83&amp;K$1&amp;"P"&amp;$A112)="N/A",0,RTD("tos.rtd",,$A$2,"."&amp;K$83&amp;K$1&amp;"P"&amp;$A112))</f>
        <v>0</v>
      </c>
      <c r="L112" s="91">
        <f ca="1">IF(RTD("tos.rtd",,$A$2,"."&amp;L$83&amp;L$1&amp;"C"&amp;$A112)="N/A",0,RTD("tos.rtd",,$A$2,"."&amp;L$83&amp;L$1&amp;"C"&amp;$A112))-IF(RTD("tos.rtd",,$A$2,"."&amp;L$83&amp;L$1&amp;"P"&amp;$A112)="N/A",0,RTD("tos.rtd",,$A$2,"."&amp;L$83&amp;L$1&amp;"P"&amp;$A112))</f>
        <v>0</v>
      </c>
      <c r="M112" s="91">
        <f ca="1">IF(RTD("tos.rtd",,$A$2,"."&amp;M$83&amp;M$1&amp;"C"&amp;$A112)="N/A",0,RTD("tos.rtd",,$A$2,"."&amp;M$83&amp;M$1&amp;"C"&amp;$A112))-IF(RTD("tos.rtd",,$A$2,"."&amp;M$83&amp;M$1&amp;"P"&amp;$A112)="N/A",0,RTD("tos.rtd",,$A$2,"."&amp;M$83&amp;M$1&amp;"P"&amp;$A112))</f>
        <v>0</v>
      </c>
      <c r="N112" s="91">
        <f ca="1">IF(RTD("tos.rtd",,$A$2,"."&amp;N$83&amp;N$1&amp;"C"&amp;$A112)="N/A",0,RTD("tos.rtd",,$A$2,"."&amp;N$83&amp;N$1&amp;"C"&amp;$A112))-IF(RTD("tos.rtd",,$A$2,"."&amp;N$83&amp;N$1&amp;"P"&amp;$A112)="N/A",0,RTD("tos.rtd",,$A$2,"."&amp;N$83&amp;N$1&amp;"P"&amp;$A112))</f>
        <v>0</v>
      </c>
      <c r="O112" s="91">
        <f ca="1">IF(RTD("tos.rtd",,$A$2,"."&amp;O$83&amp;O$1&amp;"C"&amp;$A112)="N/A",0,RTD("tos.rtd",,$A$2,"."&amp;O$83&amp;O$1&amp;"C"&amp;$A112))-IF(RTD("tos.rtd",,$A$2,"."&amp;O$83&amp;O$1&amp;"P"&amp;$A112)="N/A",0,RTD("tos.rtd",,$A$2,"."&amp;O$83&amp;O$1&amp;"P"&amp;$A112))</f>
        <v>0</v>
      </c>
      <c r="P112" s="91">
        <f ca="1">IF(RTD("tos.rtd",,$A$2,"."&amp;P$83&amp;P$1&amp;"C"&amp;$A112)="N/A",0,RTD("tos.rtd",,$A$2,"."&amp;P$83&amp;P$1&amp;"C"&amp;$A112))-IF(RTD("tos.rtd",,$A$2,"."&amp;P$83&amp;P$1&amp;"P"&amp;$A112)="N/A",0,RTD("tos.rtd",,$A$2,"."&amp;P$83&amp;P$1&amp;"P"&amp;$A112))</f>
        <v>0</v>
      </c>
      <c r="Q112" s="91">
        <f ca="1">IF(RTD("tos.rtd",,$A$2,"."&amp;Q$83&amp;Q$1&amp;"C"&amp;$A112)="N/A",0,RTD("tos.rtd",,$A$2,"."&amp;Q$83&amp;Q$1&amp;"C"&amp;$A112))-IF(RTD("tos.rtd",,$A$2,"."&amp;Q$83&amp;Q$1&amp;"P"&amp;$A112)="N/A",0,RTD("tos.rtd",,$A$2,"."&amp;Q$83&amp;Q$1&amp;"P"&amp;$A112))</f>
        <v>0</v>
      </c>
      <c r="R112" s="91">
        <f ca="1">IF(RTD("tos.rtd",,$A$2,"."&amp;R$83&amp;R$1&amp;"C"&amp;$A112)="N/A",0,RTD("tos.rtd",,$A$2,"."&amp;R$83&amp;R$1&amp;"C"&amp;$A112))-IF(RTD("tos.rtd",,$A$2,"."&amp;R$83&amp;R$1&amp;"P"&amp;$A112)="N/A",0,RTD("tos.rtd",,$A$2,"."&amp;R$83&amp;R$1&amp;"P"&amp;$A112))</f>
        <v>0</v>
      </c>
      <c r="S112" s="91">
        <f ca="1">IF(RTD("tos.rtd",,$A$2,"."&amp;S$83&amp;S$1&amp;"C"&amp;$A112)="N/A",0,RTD("tos.rtd",,$A$2,"."&amp;S$83&amp;S$1&amp;"C"&amp;$A112))-IF(RTD("tos.rtd",,$A$2,"."&amp;S$83&amp;S$1&amp;"P"&amp;$A112)="N/A",0,RTD("tos.rtd",,$A$2,"."&amp;S$83&amp;S$1&amp;"P"&amp;$A112))</f>
        <v>0</v>
      </c>
      <c r="T112" s="91">
        <f ca="1">IF(RTD("tos.rtd",,$A$2,"."&amp;T$83&amp;T$1&amp;"C"&amp;$A112)="N/A",0,RTD("tos.rtd",,$A$2,"."&amp;T$83&amp;T$1&amp;"C"&amp;$A112))-IF(RTD("tos.rtd",,$A$2,"."&amp;T$83&amp;T$1&amp;"P"&amp;$A112)="N/A",0,RTD("tos.rtd",,$A$2,"."&amp;T$83&amp;T$1&amp;"P"&amp;$A112))</f>
        <v>0</v>
      </c>
      <c r="U112" s="91">
        <f ca="1">IF(RTD("tos.rtd",,$A$2,"."&amp;U$83&amp;U$1&amp;"C"&amp;$A112)="N/A",0,RTD("tos.rtd",,$A$2,"."&amp;U$83&amp;U$1&amp;"C"&amp;$A112))-IF(RTD("tos.rtd",,$A$2,"."&amp;U$83&amp;U$1&amp;"P"&amp;$A112)="N/A",0,RTD("tos.rtd",,$A$2,"."&amp;U$83&amp;U$1&amp;"P"&amp;$A112))</f>
        <v>0</v>
      </c>
      <c r="V112" s="91">
        <f ca="1">IF(RTD("tos.rtd",,$A$2,"."&amp;V$83&amp;V$1&amp;"C"&amp;$A112)="N/A",0,RTD("tos.rtd",,$A$2,"."&amp;V$83&amp;V$1&amp;"C"&amp;$A112))-IF(RTD("tos.rtd",,$A$2,"."&amp;V$83&amp;V$1&amp;"P"&amp;$A112)="N/A",0,RTD("tos.rtd",,$A$2,"."&amp;V$83&amp;V$1&amp;"P"&amp;$A112))</f>
        <v>0</v>
      </c>
      <c r="W112" s="91">
        <f ca="1">IF(RTD("tos.rtd",,$A$2,"."&amp;W$83&amp;W$1&amp;"C"&amp;$A112)="N/A",0,RTD("tos.rtd",,$A$2,"."&amp;W$83&amp;W$1&amp;"C"&amp;$A112))-IF(RTD("tos.rtd",,$A$2,"."&amp;W$83&amp;W$1&amp;"P"&amp;$A112)="N/A",0,RTD("tos.rtd",,$A$2,"."&amp;W$83&amp;W$1&amp;"P"&amp;$A112))</f>
        <v>0</v>
      </c>
      <c r="X112" s="91">
        <f ca="1">IF(RTD("tos.rtd",,$A$2,"."&amp;X$83&amp;X$1&amp;"C"&amp;$A112)="N/A",0,RTD("tos.rtd",,$A$2,"."&amp;X$83&amp;X$1&amp;"C"&amp;$A112))-IF(RTD("tos.rtd",,$A$2,"."&amp;X$83&amp;X$1&amp;"P"&amp;$A112)="N/A",0,RTD("tos.rtd",,$A$2,"."&amp;X$83&amp;X$1&amp;"P"&amp;$A112))</f>
        <v>0</v>
      </c>
      <c r="Y112" s="98">
        <f t="shared" ca="1" si="10"/>
        <v>0</v>
      </c>
    </row>
    <row r="113" spans="1:25" x14ac:dyDescent="0.25">
      <c r="A113" s="93">
        <f>+Hoja1!A112</f>
        <v>5600</v>
      </c>
      <c r="B113" s="91">
        <f ca="1">IF(RTD("tos.rtd",,$A$2,"."&amp;B$83&amp;B$1&amp;"C"&amp;$A113)="N/A",0,RTD("tos.rtd",,$A$2,"."&amp;B$83&amp;B$1&amp;"C"&amp;$A113))-IF(RTD("tos.rtd",,$A$2,"."&amp;B$83&amp;B$1&amp;"P"&amp;$A113)="N/A",0,RTD("tos.rtd",,$A$2,"."&amp;B$83&amp;B$1&amp;"P"&amp;$A113))</f>
        <v>0</v>
      </c>
      <c r="C113" s="91">
        <f ca="1">IF(RTD("tos.rtd",,$A$2,"."&amp;C$83&amp;C$1&amp;"C"&amp;$A113)="N/A",0,RTD("tos.rtd",,$A$2,"."&amp;C$83&amp;C$1&amp;"C"&amp;$A113))-IF(RTD("tos.rtd",,$A$2,"."&amp;C$83&amp;C$1&amp;"P"&amp;$A113)="N/A",0,RTD("tos.rtd",,$A$2,"."&amp;C$83&amp;C$1&amp;"P"&amp;$A113))</f>
        <v>0</v>
      </c>
      <c r="D113" s="91">
        <f ca="1">IF(RTD("tos.rtd",,$A$2,"."&amp;D$83&amp;D$1&amp;"C"&amp;$A113)="N/A",0,RTD("tos.rtd",,$A$2,"."&amp;D$83&amp;D$1&amp;"C"&amp;$A113))-IF(RTD("tos.rtd",,$A$2,"."&amp;D$83&amp;D$1&amp;"P"&amp;$A113)="N/A",0,RTD("tos.rtd",,$A$2,"."&amp;D$83&amp;D$1&amp;"P"&amp;$A113))</f>
        <v>0</v>
      </c>
      <c r="E113" s="91">
        <f ca="1">IF(RTD("tos.rtd",,$A$2,"."&amp;E$83&amp;E$1&amp;"C"&amp;$A113)="N/A",0,RTD("tos.rtd",,$A$2,"."&amp;E$83&amp;E$1&amp;"C"&amp;$A113))-IF(RTD("tos.rtd",,$A$2,"."&amp;E$83&amp;E$1&amp;"P"&amp;$A113)="N/A",0,RTD("tos.rtd",,$A$2,"."&amp;E$83&amp;E$1&amp;"P"&amp;$A113))</f>
        <v>0</v>
      </c>
      <c r="F113" s="91">
        <f ca="1">IF(RTD("tos.rtd",,$A$2,"."&amp;F$83&amp;F$1&amp;"C"&amp;$A113)="N/A",0,RTD("tos.rtd",,$A$2,"."&amp;F$83&amp;F$1&amp;"C"&amp;$A113))-IF(RTD("tos.rtd",,$A$2,"."&amp;F$83&amp;F$1&amp;"P"&amp;$A113)="N/A",0,RTD("tos.rtd",,$A$2,"."&amp;F$83&amp;F$1&amp;"P"&amp;$A113))</f>
        <v>0</v>
      </c>
      <c r="G113" s="91">
        <f ca="1">IF(RTD("tos.rtd",,$A$2,"."&amp;G$83&amp;G$1&amp;"C"&amp;$A113)="N/A",0,RTD("tos.rtd",,$A$2,"."&amp;G$83&amp;G$1&amp;"C"&amp;$A113))-IF(RTD("tos.rtd",,$A$2,"."&amp;G$83&amp;G$1&amp;"P"&amp;$A113)="N/A",0,RTD("tos.rtd",,$A$2,"."&amp;G$83&amp;G$1&amp;"P"&amp;$A113))</f>
        <v>0</v>
      </c>
      <c r="H113" s="91">
        <f ca="1">IF(RTD("tos.rtd",,$A$2,"."&amp;H$83&amp;H$1&amp;"C"&amp;$A113)="N/A",0,RTD("tos.rtd",,$A$2,"."&amp;H$83&amp;H$1&amp;"C"&amp;$A113))-IF(RTD("tos.rtd",,$A$2,"."&amp;H$83&amp;H$1&amp;"P"&amp;$A113)="N/A",0,RTD("tos.rtd",,$A$2,"."&amp;H$83&amp;H$1&amp;"P"&amp;$A113))</f>
        <v>0</v>
      </c>
      <c r="I113" s="91">
        <f ca="1">IF(RTD("tos.rtd",,$A$2,"."&amp;I$83&amp;I$1&amp;"C"&amp;$A113)="N/A",0,RTD("tos.rtd",,$A$2,"."&amp;I$83&amp;I$1&amp;"C"&amp;$A113))-IF(RTD("tos.rtd",,$A$2,"."&amp;I$83&amp;I$1&amp;"P"&amp;$A113)="N/A",0,RTD("tos.rtd",,$A$2,"."&amp;I$83&amp;I$1&amp;"P"&amp;$A113))</f>
        <v>0</v>
      </c>
      <c r="J113" s="91">
        <f ca="1">IF(RTD("tos.rtd",,$A$2,"."&amp;J$83&amp;J$1&amp;"C"&amp;$A113)="N/A",0,RTD("tos.rtd",,$A$2,"."&amp;J$83&amp;J$1&amp;"C"&amp;$A113))-IF(RTD("tos.rtd",,$A$2,"."&amp;J$83&amp;J$1&amp;"P"&amp;$A113)="N/A",0,RTD("tos.rtd",,$A$2,"."&amp;J$83&amp;J$1&amp;"P"&amp;$A113))</f>
        <v>0</v>
      </c>
      <c r="K113" s="91">
        <f ca="1">IF(RTD("tos.rtd",,$A$2,"."&amp;K$83&amp;K$1&amp;"C"&amp;$A113)="N/A",0,RTD("tos.rtd",,$A$2,"."&amp;K$83&amp;K$1&amp;"C"&amp;$A113))-IF(RTD("tos.rtd",,$A$2,"."&amp;K$83&amp;K$1&amp;"P"&amp;$A113)="N/A",0,RTD("tos.rtd",,$A$2,"."&amp;K$83&amp;K$1&amp;"P"&amp;$A113))</f>
        <v>-1</v>
      </c>
      <c r="L113" s="91">
        <f ca="1">IF(RTD("tos.rtd",,$A$2,"."&amp;L$83&amp;L$1&amp;"C"&amp;$A113)="N/A",0,RTD("tos.rtd",,$A$2,"."&amp;L$83&amp;L$1&amp;"C"&amp;$A113))-IF(RTD("tos.rtd",,$A$2,"."&amp;L$83&amp;L$1&amp;"P"&amp;$A113)="N/A",0,RTD("tos.rtd",,$A$2,"."&amp;L$83&amp;L$1&amp;"P"&amp;$A113))</f>
        <v>0</v>
      </c>
      <c r="M113" s="91">
        <f ca="1">IF(RTD("tos.rtd",,$A$2,"."&amp;M$83&amp;M$1&amp;"C"&amp;$A113)="N/A",0,RTD("tos.rtd",,$A$2,"."&amp;M$83&amp;M$1&amp;"C"&amp;$A113))-IF(RTD("tos.rtd",,$A$2,"."&amp;M$83&amp;M$1&amp;"P"&amp;$A113)="N/A",0,RTD("tos.rtd",,$A$2,"."&amp;M$83&amp;M$1&amp;"P"&amp;$A113))</f>
        <v>0</v>
      </c>
      <c r="N113" s="91">
        <f ca="1">IF(RTD("tos.rtd",,$A$2,"."&amp;N$83&amp;N$1&amp;"C"&amp;$A113)="N/A",0,RTD("tos.rtd",,$A$2,"."&amp;N$83&amp;N$1&amp;"C"&amp;$A113))-IF(RTD("tos.rtd",,$A$2,"."&amp;N$83&amp;N$1&amp;"P"&amp;$A113)="N/A",0,RTD("tos.rtd",,$A$2,"."&amp;N$83&amp;N$1&amp;"P"&amp;$A113))</f>
        <v>0</v>
      </c>
      <c r="O113" s="91">
        <f ca="1">IF(RTD("tos.rtd",,$A$2,"."&amp;O$83&amp;O$1&amp;"C"&amp;$A113)="N/A",0,RTD("tos.rtd",,$A$2,"."&amp;O$83&amp;O$1&amp;"C"&amp;$A113))-IF(RTD("tos.rtd",,$A$2,"."&amp;O$83&amp;O$1&amp;"P"&amp;$A113)="N/A",0,RTD("tos.rtd",,$A$2,"."&amp;O$83&amp;O$1&amp;"P"&amp;$A113))</f>
        <v>0</v>
      </c>
      <c r="P113" s="91">
        <f ca="1">IF(RTD("tos.rtd",,$A$2,"."&amp;P$83&amp;P$1&amp;"C"&amp;$A113)="N/A",0,RTD("tos.rtd",,$A$2,"."&amp;P$83&amp;P$1&amp;"C"&amp;$A113))-IF(RTD("tos.rtd",,$A$2,"."&amp;P$83&amp;P$1&amp;"P"&amp;$A113)="N/A",0,RTD("tos.rtd",,$A$2,"."&amp;P$83&amp;P$1&amp;"P"&amp;$A113))</f>
        <v>0</v>
      </c>
      <c r="Q113" s="91">
        <f ca="1">IF(RTD("tos.rtd",,$A$2,"."&amp;Q$83&amp;Q$1&amp;"C"&amp;$A113)="N/A",0,RTD("tos.rtd",,$A$2,"."&amp;Q$83&amp;Q$1&amp;"C"&amp;$A113))-IF(RTD("tos.rtd",,$A$2,"."&amp;Q$83&amp;Q$1&amp;"P"&amp;$A113)="N/A",0,RTD("tos.rtd",,$A$2,"."&amp;Q$83&amp;Q$1&amp;"P"&amp;$A113))</f>
        <v>0</v>
      </c>
      <c r="R113" s="91">
        <f ca="1">IF(RTD("tos.rtd",,$A$2,"."&amp;R$83&amp;R$1&amp;"C"&amp;$A113)="N/A",0,RTD("tos.rtd",,$A$2,"."&amp;R$83&amp;R$1&amp;"C"&amp;$A113))-IF(RTD("tos.rtd",,$A$2,"."&amp;R$83&amp;R$1&amp;"P"&amp;$A113)="N/A",0,RTD("tos.rtd",,$A$2,"."&amp;R$83&amp;R$1&amp;"P"&amp;$A113))</f>
        <v>0</v>
      </c>
      <c r="S113" s="91">
        <f ca="1">IF(RTD("tos.rtd",,$A$2,"."&amp;S$83&amp;S$1&amp;"C"&amp;$A113)="N/A",0,RTD("tos.rtd",,$A$2,"."&amp;S$83&amp;S$1&amp;"C"&amp;$A113))-IF(RTD("tos.rtd",,$A$2,"."&amp;S$83&amp;S$1&amp;"P"&amp;$A113)="N/A",0,RTD("tos.rtd",,$A$2,"."&amp;S$83&amp;S$1&amp;"P"&amp;$A113))</f>
        <v>0</v>
      </c>
      <c r="T113" s="91">
        <f ca="1">IF(RTD("tos.rtd",,$A$2,"."&amp;T$83&amp;T$1&amp;"C"&amp;$A113)="N/A",0,RTD("tos.rtd",,$A$2,"."&amp;T$83&amp;T$1&amp;"C"&amp;$A113))-IF(RTD("tos.rtd",,$A$2,"."&amp;T$83&amp;T$1&amp;"P"&amp;$A113)="N/A",0,RTD("tos.rtd",,$A$2,"."&amp;T$83&amp;T$1&amp;"P"&amp;$A113))</f>
        <v>0</v>
      </c>
      <c r="U113" s="91">
        <f ca="1">IF(RTD("tos.rtd",,$A$2,"."&amp;U$83&amp;U$1&amp;"C"&amp;$A113)="N/A",0,RTD("tos.rtd",,$A$2,"."&amp;U$83&amp;U$1&amp;"C"&amp;$A113))-IF(RTD("tos.rtd",,$A$2,"."&amp;U$83&amp;U$1&amp;"P"&amp;$A113)="N/A",0,RTD("tos.rtd",,$A$2,"."&amp;U$83&amp;U$1&amp;"P"&amp;$A113))</f>
        <v>0</v>
      </c>
      <c r="V113" s="91">
        <f ca="1">IF(RTD("tos.rtd",,$A$2,"."&amp;V$83&amp;V$1&amp;"C"&amp;$A113)="N/A",0,RTD("tos.rtd",,$A$2,"."&amp;V$83&amp;V$1&amp;"C"&amp;$A113))-IF(RTD("tos.rtd",,$A$2,"."&amp;V$83&amp;V$1&amp;"P"&amp;$A113)="N/A",0,RTD("tos.rtd",,$A$2,"."&amp;V$83&amp;V$1&amp;"P"&amp;$A113))</f>
        <v>0</v>
      </c>
      <c r="W113" s="91">
        <f ca="1">IF(RTD("tos.rtd",,$A$2,"."&amp;W$83&amp;W$1&amp;"C"&amp;$A113)="N/A",0,RTD("tos.rtd",,$A$2,"."&amp;W$83&amp;W$1&amp;"C"&amp;$A113))-IF(RTD("tos.rtd",,$A$2,"."&amp;W$83&amp;W$1&amp;"P"&amp;$A113)="N/A",0,RTD("tos.rtd",,$A$2,"."&amp;W$83&amp;W$1&amp;"P"&amp;$A113))</f>
        <v>0</v>
      </c>
      <c r="X113" s="91">
        <f ca="1">IF(RTD("tos.rtd",,$A$2,"."&amp;X$83&amp;X$1&amp;"C"&amp;$A113)="N/A",0,RTD("tos.rtd",,$A$2,"."&amp;X$83&amp;X$1&amp;"C"&amp;$A113))-IF(RTD("tos.rtd",,$A$2,"."&amp;X$83&amp;X$1&amp;"P"&amp;$A113)="N/A",0,RTD("tos.rtd",,$A$2,"."&amp;X$83&amp;X$1&amp;"P"&amp;$A113))</f>
        <v>0</v>
      </c>
      <c r="Y113" s="98">
        <f t="shared" ca="1" si="10"/>
        <v>-1</v>
      </c>
    </row>
    <row r="114" spans="1:25" x14ac:dyDescent="0.25">
      <c r="A114" s="93">
        <f>+Hoja1!A113</f>
        <v>5590</v>
      </c>
      <c r="B114" s="91">
        <f ca="1">IF(RTD("tos.rtd",,$A$2,"."&amp;B$83&amp;B$1&amp;"C"&amp;$A114)="N/A",0,RTD("tos.rtd",,$A$2,"."&amp;B$83&amp;B$1&amp;"C"&amp;$A114))-IF(RTD("tos.rtd",,$A$2,"."&amp;B$83&amp;B$1&amp;"P"&amp;$A114)="N/A",0,RTD("tos.rtd",,$A$2,"."&amp;B$83&amp;B$1&amp;"P"&amp;$A114))</f>
        <v>0</v>
      </c>
      <c r="C114" s="91">
        <f ca="1">IF(RTD("tos.rtd",,$A$2,"."&amp;C$83&amp;C$1&amp;"C"&amp;$A114)="N/A",0,RTD("tos.rtd",,$A$2,"."&amp;C$83&amp;C$1&amp;"C"&amp;$A114))-IF(RTD("tos.rtd",,$A$2,"."&amp;C$83&amp;C$1&amp;"P"&amp;$A114)="N/A",0,RTD("tos.rtd",,$A$2,"."&amp;C$83&amp;C$1&amp;"P"&amp;$A114))</f>
        <v>0</v>
      </c>
      <c r="D114" s="91">
        <f ca="1">IF(RTD("tos.rtd",,$A$2,"."&amp;D$83&amp;D$1&amp;"C"&amp;$A114)="N/A",0,RTD("tos.rtd",,$A$2,"."&amp;D$83&amp;D$1&amp;"C"&amp;$A114))-IF(RTD("tos.rtd",,$A$2,"."&amp;D$83&amp;D$1&amp;"P"&amp;$A114)="N/A",0,RTD("tos.rtd",,$A$2,"."&amp;D$83&amp;D$1&amp;"P"&amp;$A114))</f>
        <v>0</v>
      </c>
      <c r="E114" s="91">
        <f ca="1">IF(RTD("tos.rtd",,$A$2,"."&amp;E$83&amp;E$1&amp;"C"&amp;$A114)="N/A",0,RTD("tos.rtd",,$A$2,"."&amp;E$83&amp;E$1&amp;"C"&amp;$A114))-IF(RTD("tos.rtd",,$A$2,"."&amp;E$83&amp;E$1&amp;"P"&amp;$A114)="N/A",0,RTD("tos.rtd",,$A$2,"."&amp;E$83&amp;E$1&amp;"P"&amp;$A114))</f>
        <v>0</v>
      </c>
      <c r="F114" s="91">
        <f ca="1">IF(RTD("tos.rtd",,$A$2,"."&amp;F$83&amp;F$1&amp;"C"&amp;$A114)="N/A",0,RTD("tos.rtd",,$A$2,"."&amp;F$83&amp;F$1&amp;"C"&amp;$A114))-IF(RTD("tos.rtd",,$A$2,"."&amp;F$83&amp;F$1&amp;"P"&amp;$A114)="N/A",0,RTD("tos.rtd",,$A$2,"."&amp;F$83&amp;F$1&amp;"P"&amp;$A114))</f>
        <v>0</v>
      </c>
      <c r="G114" s="91">
        <f ca="1">IF(RTD("tos.rtd",,$A$2,"."&amp;G$83&amp;G$1&amp;"C"&amp;$A114)="N/A",0,RTD("tos.rtd",,$A$2,"."&amp;G$83&amp;G$1&amp;"C"&amp;$A114))-IF(RTD("tos.rtd",,$A$2,"."&amp;G$83&amp;G$1&amp;"P"&amp;$A114)="N/A",0,RTD("tos.rtd",,$A$2,"."&amp;G$83&amp;G$1&amp;"P"&amp;$A114))</f>
        <v>0</v>
      </c>
      <c r="H114" s="91">
        <f ca="1">IF(RTD("tos.rtd",,$A$2,"."&amp;H$83&amp;H$1&amp;"C"&amp;$A114)="N/A",0,RTD("tos.rtd",,$A$2,"."&amp;H$83&amp;H$1&amp;"C"&amp;$A114))-IF(RTD("tos.rtd",,$A$2,"."&amp;H$83&amp;H$1&amp;"P"&amp;$A114)="N/A",0,RTD("tos.rtd",,$A$2,"."&amp;H$83&amp;H$1&amp;"P"&amp;$A114))</f>
        <v>0</v>
      </c>
      <c r="I114" s="91">
        <f ca="1">IF(RTD("tos.rtd",,$A$2,"."&amp;I$83&amp;I$1&amp;"C"&amp;$A114)="N/A",0,RTD("tos.rtd",,$A$2,"."&amp;I$83&amp;I$1&amp;"C"&amp;$A114))-IF(RTD("tos.rtd",,$A$2,"."&amp;I$83&amp;I$1&amp;"P"&amp;$A114)="N/A",0,RTD("tos.rtd",,$A$2,"."&amp;I$83&amp;I$1&amp;"P"&amp;$A114))</f>
        <v>0</v>
      </c>
      <c r="J114" s="91">
        <f ca="1">IF(RTD("tos.rtd",,$A$2,"."&amp;J$83&amp;J$1&amp;"C"&amp;$A114)="N/A",0,RTD("tos.rtd",,$A$2,"."&amp;J$83&amp;J$1&amp;"C"&amp;$A114))-IF(RTD("tos.rtd",,$A$2,"."&amp;J$83&amp;J$1&amp;"P"&amp;$A114)="N/A",0,RTD("tos.rtd",,$A$2,"."&amp;J$83&amp;J$1&amp;"P"&amp;$A114))</f>
        <v>0</v>
      </c>
      <c r="K114" s="91">
        <f ca="1">IF(RTD("tos.rtd",,$A$2,"."&amp;K$83&amp;K$1&amp;"C"&amp;$A114)="N/A",0,RTD("tos.rtd",,$A$2,"."&amp;K$83&amp;K$1&amp;"C"&amp;$A114))-IF(RTD("tos.rtd",,$A$2,"."&amp;K$83&amp;K$1&amp;"P"&amp;$A114)="N/A",0,RTD("tos.rtd",,$A$2,"."&amp;K$83&amp;K$1&amp;"P"&amp;$A114))</f>
        <v>0</v>
      </c>
      <c r="L114" s="91">
        <f ca="1">IF(RTD("tos.rtd",,$A$2,"."&amp;L$83&amp;L$1&amp;"C"&amp;$A114)="N/A",0,RTD("tos.rtd",,$A$2,"."&amp;L$83&amp;L$1&amp;"C"&amp;$A114))-IF(RTD("tos.rtd",,$A$2,"."&amp;L$83&amp;L$1&amp;"P"&amp;$A114)="N/A",0,RTD("tos.rtd",,$A$2,"."&amp;L$83&amp;L$1&amp;"P"&amp;$A114))</f>
        <v>0</v>
      </c>
      <c r="M114" s="91">
        <f ca="1">IF(RTD("tos.rtd",,$A$2,"."&amp;M$83&amp;M$1&amp;"C"&amp;$A114)="N/A",0,RTD("tos.rtd",,$A$2,"."&amp;M$83&amp;M$1&amp;"C"&amp;$A114))-IF(RTD("tos.rtd",,$A$2,"."&amp;M$83&amp;M$1&amp;"P"&amp;$A114)="N/A",0,RTD("tos.rtd",,$A$2,"."&amp;M$83&amp;M$1&amp;"P"&amp;$A114))</f>
        <v>0</v>
      </c>
      <c r="N114" s="91">
        <f ca="1">IF(RTD("tos.rtd",,$A$2,"."&amp;N$83&amp;N$1&amp;"C"&amp;$A114)="N/A",0,RTD("tos.rtd",,$A$2,"."&amp;N$83&amp;N$1&amp;"C"&amp;$A114))-IF(RTD("tos.rtd",,$A$2,"."&amp;N$83&amp;N$1&amp;"P"&amp;$A114)="N/A",0,RTD("tos.rtd",,$A$2,"."&amp;N$83&amp;N$1&amp;"P"&amp;$A114))</f>
        <v>0</v>
      </c>
      <c r="O114" s="91">
        <f ca="1">IF(RTD("tos.rtd",,$A$2,"."&amp;O$83&amp;O$1&amp;"C"&amp;$A114)="N/A",0,RTD("tos.rtd",,$A$2,"."&amp;O$83&amp;O$1&amp;"C"&amp;$A114))-IF(RTD("tos.rtd",,$A$2,"."&amp;O$83&amp;O$1&amp;"P"&amp;$A114)="N/A",0,RTD("tos.rtd",,$A$2,"."&amp;O$83&amp;O$1&amp;"P"&amp;$A114))</f>
        <v>0</v>
      </c>
      <c r="P114" s="91">
        <f ca="1">IF(RTD("tos.rtd",,$A$2,"."&amp;P$83&amp;P$1&amp;"C"&amp;$A114)="N/A",0,RTD("tos.rtd",,$A$2,"."&amp;P$83&amp;P$1&amp;"C"&amp;$A114))-IF(RTD("tos.rtd",,$A$2,"."&amp;P$83&amp;P$1&amp;"P"&amp;$A114)="N/A",0,RTD("tos.rtd",,$A$2,"."&amp;P$83&amp;P$1&amp;"P"&amp;$A114))</f>
        <v>0</v>
      </c>
      <c r="Q114" s="91">
        <f ca="1">IF(RTD("tos.rtd",,$A$2,"."&amp;Q$83&amp;Q$1&amp;"C"&amp;$A114)="N/A",0,RTD("tos.rtd",,$A$2,"."&amp;Q$83&amp;Q$1&amp;"C"&amp;$A114))-IF(RTD("tos.rtd",,$A$2,"."&amp;Q$83&amp;Q$1&amp;"P"&amp;$A114)="N/A",0,RTD("tos.rtd",,$A$2,"."&amp;Q$83&amp;Q$1&amp;"P"&amp;$A114))</f>
        <v>0</v>
      </c>
      <c r="R114" s="91">
        <f ca="1">IF(RTD("tos.rtd",,$A$2,"."&amp;R$83&amp;R$1&amp;"C"&amp;$A114)="N/A",0,RTD("tos.rtd",,$A$2,"."&amp;R$83&amp;R$1&amp;"C"&amp;$A114))-IF(RTD("tos.rtd",,$A$2,"."&amp;R$83&amp;R$1&amp;"P"&amp;$A114)="N/A",0,RTD("tos.rtd",,$A$2,"."&amp;R$83&amp;R$1&amp;"P"&amp;$A114))</f>
        <v>0</v>
      </c>
      <c r="S114" s="91">
        <f ca="1">IF(RTD("tos.rtd",,$A$2,"."&amp;S$83&amp;S$1&amp;"C"&amp;$A114)="N/A",0,RTD("tos.rtd",,$A$2,"."&amp;S$83&amp;S$1&amp;"C"&amp;$A114))-IF(RTD("tos.rtd",,$A$2,"."&amp;S$83&amp;S$1&amp;"P"&amp;$A114)="N/A",0,RTD("tos.rtd",,$A$2,"."&amp;S$83&amp;S$1&amp;"P"&amp;$A114))</f>
        <v>0</v>
      </c>
      <c r="T114" s="91">
        <f ca="1">IF(RTD("tos.rtd",,$A$2,"."&amp;T$83&amp;T$1&amp;"C"&amp;$A114)="N/A",0,RTD("tos.rtd",,$A$2,"."&amp;T$83&amp;T$1&amp;"C"&amp;$A114))-IF(RTD("tos.rtd",,$A$2,"."&amp;T$83&amp;T$1&amp;"P"&amp;$A114)="N/A",0,RTD("tos.rtd",,$A$2,"."&amp;T$83&amp;T$1&amp;"P"&amp;$A114))</f>
        <v>0</v>
      </c>
      <c r="U114" s="91">
        <f ca="1">IF(RTD("tos.rtd",,$A$2,"."&amp;U$83&amp;U$1&amp;"C"&amp;$A114)="N/A",0,RTD("tos.rtd",,$A$2,"."&amp;U$83&amp;U$1&amp;"C"&amp;$A114))-IF(RTD("tos.rtd",,$A$2,"."&amp;U$83&amp;U$1&amp;"P"&amp;$A114)="N/A",0,RTD("tos.rtd",,$A$2,"."&amp;U$83&amp;U$1&amp;"P"&amp;$A114))</f>
        <v>0</v>
      </c>
      <c r="V114" s="91">
        <f ca="1">IF(RTD("tos.rtd",,$A$2,"."&amp;V$83&amp;V$1&amp;"C"&amp;$A114)="N/A",0,RTD("tos.rtd",,$A$2,"."&amp;V$83&amp;V$1&amp;"C"&amp;$A114))-IF(RTD("tos.rtd",,$A$2,"."&amp;V$83&amp;V$1&amp;"P"&amp;$A114)="N/A",0,RTD("tos.rtd",,$A$2,"."&amp;V$83&amp;V$1&amp;"P"&amp;$A114))</f>
        <v>0</v>
      </c>
      <c r="W114" s="91">
        <f ca="1">IF(RTD("tos.rtd",,$A$2,"."&amp;W$83&amp;W$1&amp;"C"&amp;$A114)="N/A",0,RTD("tos.rtd",,$A$2,"."&amp;W$83&amp;W$1&amp;"C"&amp;$A114))-IF(RTD("tos.rtd",,$A$2,"."&amp;W$83&amp;W$1&amp;"P"&amp;$A114)="N/A",0,RTD("tos.rtd",,$A$2,"."&amp;W$83&amp;W$1&amp;"P"&amp;$A114))</f>
        <v>0</v>
      </c>
      <c r="X114" s="91">
        <f ca="1">IF(RTD("tos.rtd",,$A$2,"."&amp;X$83&amp;X$1&amp;"C"&amp;$A114)="N/A",0,RTD("tos.rtd",,$A$2,"."&amp;X$83&amp;X$1&amp;"C"&amp;$A114))-IF(RTD("tos.rtd",,$A$2,"."&amp;X$83&amp;X$1&amp;"P"&amp;$A114)="N/A",0,RTD("tos.rtd",,$A$2,"."&amp;X$83&amp;X$1&amp;"P"&amp;$A114))</f>
        <v>0</v>
      </c>
      <c r="Y114" s="98">
        <f t="shared" ca="1" si="10"/>
        <v>0</v>
      </c>
    </row>
    <row r="115" spans="1:25" x14ac:dyDescent="0.25">
      <c r="A115" s="93">
        <f>+Hoja1!A114</f>
        <v>5580</v>
      </c>
      <c r="B115" s="91">
        <f ca="1">IF(RTD("tos.rtd",,$A$2,"."&amp;B$83&amp;B$1&amp;"C"&amp;$A115)="N/A",0,RTD("tos.rtd",,$A$2,"."&amp;B$83&amp;B$1&amp;"C"&amp;$A115))-IF(RTD("tos.rtd",,$A$2,"."&amp;B$83&amp;B$1&amp;"P"&amp;$A115)="N/A",0,RTD("tos.rtd",,$A$2,"."&amp;B$83&amp;B$1&amp;"P"&amp;$A115))</f>
        <v>0</v>
      </c>
      <c r="C115" s="91">
        <f ca="1">IF(RTD("tos.rtd",,$A$2,"."&amp;C$83&amp;C$1&amp;"C"&amp;$A115)="N/A",0,RTD("tos.rtd",,$A$2,"."&amp;C$83&amp;C$1&amp;"C"&amp;$A115))-IF(RTD("tos.rtd",,$A$2,"."&amp;C$83&amp;C$1&amp;"P"&amp;$A115)="N/A",0,RTD("tos.rtd",,$A$2,"."&amp;C$83&amp;C$1&amp;"P"&amp;$A115))</f>
        <v>0</v>
      </c>
      <c r="D115" s="91">
        <f ca="1">IF(RTD("tos.rtd",,$A$2,"."&amp;D$83&amp;D$1&amp;"C"&amp;$A115)="N/A",0,RTD("tos.rtd",,$A$2,"."&amp;D$83&amp;D$1&amp;"C"&amp;$A115))-IF(RTD("tos.rtd",,$A$2,"."&amp;D$83&amp;D$1&amp;"P"&amp;$A115)="N/A",0,RTD("tos.rtd",,$A$2,"."&amp;D$83&amp;D$1&amp;"P"&amp;$A115))</f>
        <v>0</v>
      </c>
      <c r="E115" s="91">
        <f ca="1">IF(RTD("tos.rtd",,$A$2,"."&amp;E$83&amp;E$1&amp;"C"&amp;$A115)="N/A",0,RTD("tos.rtd",,$A$2,"."&amp;E$83&amp;E$1&amp;"C"&amp;$A115))-IF(RTD("tos.rtd",,$A$2,"."&amp;E$83&amp;E$1&amp;"P"&amp;$A115)="N/A",0,RTD("tos.rtd",,$A$2,"."&amp;E$83&amp;E$1&amp;"P"&amp;$A115))</f>
        <v>0</v>
      </c>
      <c r="F115" s="91">
        <f ca="1">IF(RTD("tos.rtd",,$A$2,"."&amp;F$83&amp;F$1&amp;"C"&amp;$A115)="N/A",0,RTD("tos.rtd",,$A$2,"."&amp;F$83&amp;F$1&amp;"C"&amp;$A115))-IF(RTD("tos.rtd",,$A$2,"."&amp;F$83&amp;F$1&amp;"P"&amp;$A115)="N/A",0,RTD("tos.rtd",,$A$2,"."&amp;F$83&amp;F$1&amp;"P"&amp;$A115))</f>
        <v>0</v>
      </c>
      <c r="G115" s="91">
        <f ca="1">IF(RTD("tos.rtd",,$A$2,"."&amp;G$83&amp;G$1&amp;"C"&amp;$A115)="N/A",0,RTD("tos.rtd",,$A$2,"."&amp;G$83&amp;G$1&amp;"C"&amp;$A115))-IF(RTD("tos.rtd",,$A$2,"."&amp;G$83&amp;G$1&amp;"P"&amp;$A115)="N/A",0,RTD("tos.rtd",,$A$2,"."&amp;G$83&amp;G$1&amp;"P"&amp;$A115))</f>
        <v>0</v>
      </c>
      <c r="H115" s="91">
        <f ca="1">IF(RTD("tos.rtd",,$A$2,"."&amp;H$83&amp;H$1&amp;"C"&amp;$A115)="N/A",0,RTD("tos.rtd",,$A$2,"."&amp;H$83&amp;H$1&amp;"C"&amp;$A115))-IF(RTD("tos.rtd",,$A$2,"."&amp;H$83&amp;H$1&amp;"P"&amp;$A115)="N/A",0,RTD("tos.rtd",,$A$2,"."&amp;H$83&amp;H$1&amp;"P"&amp;$A115))</f>
        <v>0</v>
      </c>
      <c r="I115" s="91">
        <f ca="1">IF(RTD("tos.rtd",,$A$2,"."&amp;I$83&amp;I$1&amp;"C"&amp;$A115)="N/A",0,RTD("tos.rtd",,$A$2,"."&amp;I$83&amp;I$1&amp;"C"&amp;$A115))-IF(RTD("tos.rtd",,$A$2,"."&amp;I$83&amp;I$1&amp;"P"&amp;$A115)="N/A",0,RTD("tos.rtd",,$A$2,"."&amp;I$83&amp;I$1&amp;"P"&amp;$A115))</f>
        <v>0</v>
      </c>
      <c r="J115" s="91">
        <f ca="1">IF(RTD("tos.rtd",,$A$2,"."&amp;J$83&amp;J$1&amp;"C"&amp;$A115)="N/A",0,RTD("tos.rtd",,$A$2,"."&amp;J$83&amp;J$1&amp;"C"&amp;$A115))-IF(RTD("tos.rtd",,$A$2,"."&amp;J$83&amp;J$1&amp;"P"&amp;$A115)="N/A",0,RTD("tos.rtd",,$A$2,"."&amp;J$83&amp;J$1&amp;"P"&amp;$A115))</f>
        <v>0</v>
      </c>
      <c r="K115" s="91">
        <f ca="1">IF(RTD("tos.rtd",,$A$2,"."&amp;K$83&amp;K$1&amp;"C"&amp;$A115)="N/A",0,RTD("tos.rtd",,$A$2,"."&amp;K$83&amp;K$1&amp;"C"&amp;$A115))-IF(RTD("tos.rtd",,$A$2,"."&amp;K$83&amp;K$1&amp;"P"&amp;$A115)="N/A",0,RTD("tos.rtd",,$A$2,"."&amp;K$83&amp;K$1&amp;"P"&amp;$A115))</f>
        <v>0</v>
      </c>
      <c r="L115" s="91">
        <f ca="1">IF(RTD("tos.rtd",,$A$2,"."&amp;L$83&amp;L$1&amp;"C"&amp;$A115)="N/A",0,RTD("tos.rtd",,$A$2,"."&amp;L$83&amp;L$1&amp;"C"&amp;$A115))-IF(RTD("tos.rtd",,$A$2,"."&amp;L$83&amp;L$1&amp;"P"&amp;$A115)="N/A",0,RTD("tos.rtd",,$A$2,"."&amp;L$83&amp;L$1&amp;"P"&amp;$A115))</f>
        <v>0</v>
      </c>
      <c r="M115" s="91">
        <f ca="1">IF(RTD("tos.rtd",,$A$2,"."&amp;M$83&amp;M$1&amp;"C"&amp;$A115)="N/A",0,RTD("tos.rtd",,$A$2,"."&amp;M$83&amp;M$1&amp;"C"&amp;$A115))-IF(RTD("tos.rtd",,$A$2,"."&amp;M$83&amp;M$1&amp;"P"&amp;$A115)="N/A",0,RTD("tos.rtd",,$A$2,"."&amp;M$83&amp;M$1&amp;"P"&amp;$A115))</f>
        <v>0</v>
      </c>
      <c r="N115" s="91">
        <f ca="1">IF(RTD("tos.rtd",,$A$2,"."&amp;N$83&amp;N$1&amp;"C"&amp;$A115)="N/A",0,RTD("tos.rtd",,$A$2,"."&amp;N$83&amp;N$1&amp;"C"&amp;$A115))-IF(RTD("tos.rtd",,$A$2,"."&amp;N$83&amp;N$1&amp;"P"&amp;$A115)="N/A",0,RTD("tos.rtd",,$A$2,"."&amp;N$83&amp;N$1&amp;"P"&amp;$A115))</f>
        <v>0</v>
      </c>
      <c r="O115" s="91">
        <f ca="1">IF(RTD("tos.rtd",,$A$2,"."&amp;O$83&amp;O$1&amp;"C"&amp;$A115)="N/A",0,RTD("tos.rtd",,$A$2,"."&amp;O$83&amp;O$1&amp;"C"&amp;$A115))-IF(RTD("tos.rtd",,$A$2,"."&amp;O$83&amp;O$1&amp;"P"&amp;$A115)="N/A",0,RTD("tos.rtd",,$A$2,"."&amp;O$83&amp;O$1&amp;"P"&amp;$A115))</f>
        <v>0</v>
      </c>
      <c r="P115" s="91">
        <f ca="1">IF(RTD("tos.rtd",,$A$2,"."&amp;P$83&amp;P$1&amp;"C"&amp;$A115)="N/A",0,RTD("tos.rtd",,$A$2,"."&amp;P$83&amp;P$1&amp;"C"&amp;$A115))-IF(RTD("tos.rtd",,$A$2,"."&amp;P$83&amp;P$1&amp;"P"&amp;$A115)="N/A",0,RTD("tos.rtd",,$A$2,"."&amp;P$83&amp;P$1&amp;"P"&amp;$A115))</f>
        <v>0</v>
      </c>
      <c r="Q115" s="91">
        <f ca="1">IF(RTD("tos.rtd",,$A$2,"."&amp;Q$83&amp;Q$1&amp;"C"&amp;$A115)="N/A",0,RTD("tos.rtd",,$A$2,"."&amp;Q$83&amp;Q$1&amp;"C"&amp;$A115))-IF(RTD("tos.rtd",,$A$2,"."&amp;Q$83&amp;Q$1&amp;"P"&amp;$A115)="N/A",0,RTD("tos.rtd",,$A$2,"."&amp;Q$83&amp;Q$1&amp;"P"&amp;$A115))</f>
        <v>0</v>
      </c>
      <c r="R115" s="91">
        <f ca="1">IF(RTD("tos.rtd",,$A$2,"."&amp;R$83&amp;R$1&amp;"C"&amp;$A115)="N/A",0,RTD("tos.rtd",,$A$2,"."&amp;R$83&amp;R$1&amp;"C"&amp;$A115))-IF(RTD("tos.rtd",,$A$2,"."&amp;R$83&amp;R$1&amp;"P"&amp;$A115)="N/A",0,RTD("tos.rtd",,$A$2,"."&amp;R$83&amp;R$1&amp;"P"&amp;$A115))</f>
        <v>0</v>
      </c>
      <c r="S115" s="91">
        <f ca="1">IF(RTD("tos.rtd",,$A$2,"."&amp;S$83&amp;S$1&amp;"C"&amp;$A115)="N/A",0,RTD("tos.rtd",,$A$2,"."&amp;S$83&amp;S$1&amp;"C"&amp;$A115))-IF(RTD("tos.rtd",,$A$2,"."&amp;S$83&amp;S$1&amp;"P"&amp;$A115)="N/A",0,RTD("tos.rtd",,$A$2,"."&amp;S$83&amp;S$1&amp;"P"&amp;$A115))</f>
        <v>0</v>
      </c>
      <c r="T115" s="91">
        <f ca="1">IF(RTD("tos.rtd",,$A$2,"."&amp;T$83&amp;T$1&amp;"C"&amp;$A115)="N/A",0,RTD("tos.rtd",,$A$2,"."&amp;T$83&amp;T$1&amp;"C"&amp;$A115))-IF(RTD("tos.rtd",,$A$2,"."&amp;T$83&amp;T$1&amp;"P"&amp;$A115)="N/A",0,RTD("tos.rtd",,$A$2,"."&amp;T$83&amp;T$1&amp;"P"&amp;$A115))</f>
        <v>0</v>
      </c>
      <c r="U115" s="91">
        <f ca="1">IF(RTD("tos.rtd",,$A$2,"."&amp;U$83&amp;U$1&amp;"C"&amp;$A115)="N/A",0,RTD("tos.rtd",,$A$2,"."&amp;U$83&amp;U$1&amp;"C"&amp;$A115))-IF(RTD("tos.rtd",,$A$2,"."&amp;U$83&amp;U$1&amp;"P"&amp;$A115)="N/A",0,RTD("tos.rtd",,$A$2,"."&amp;U$83&amp;U$1&amp;"P"&amp;$A115))</f>
        <v>0</v>
      </c>
      <c r="V115" s="91">
        <f ca="1">IF(RTD("tos.rtd",,$A$2,"."&amp;V$83&amp;V$1&amp;"C"&amp;$A115)="N/A",0,RTD("tos.rtd",,$A$2,"."&amp;V$83&amp;V$1&amp;"C"&amp;$A115))-IF(RTD("tos.rtd",,$A$2,"."&amp;V$83&amp;V$1&amp;"P"&amp;$A115)="N/A",0,RTD("tos.rtd",,$A$2,"."&amp;V$83&amp;V$1&amp;"P"&amp;$A115))</f>
        <v>0</v>
      </c>
      <c r="W115" s="91">
        <f ca="1">IF(RTD("tos.rtd",,$A$2,"."&amp;W$83&amp;W$1&amp;"C"&amp;$A115)="N/A",0,RTD("tos.rtd",,$A$2,"."&amp;W$83&amp;W$1&amp;"C"&amp;$A115))-IF(RTD("tos.rtd",,$A$2,"."&amp;W$83&amp;W$1&amp;"P"&amp;$A115)="N/A",0,RTD("tos.rtd",,$A$2,"."&amp;W$83&amp;W$1&amp;"P"&amp;$A115))</f>
        <v>0</v>
      </c>
      <c r="X115" s="91">
        <f ca="1">IF(RTD("tos.rtd",,$A$2,"."&amp;X$83&amp;X$1&amp;"C"&amp;$A115)="N/A",0,RTD("tos.rtd",,$A$2,"."&amp;X$83&amp;X$1&amp;"C"&amp;$A115))-IF(RTD("tos.rtd",,$A$2,"."&amp;X$83&amp;X$1&amp;"P"&amp;$A115)="N/A",0,RTD("tos.rtd",,$A$2,"."&amp;X$83&amp;X$1&amp;"P"&amp;$A115))</f>
        <v>0</v>
      </c>
      <c r="Y115" s="98">
        <f t="shared" ca="1" si="10"/>
        <v>0</v>
      </c>
    </row>
    <row r="116" spans="1:25" x14ac:dyDescent="0.25">
      <c r="A116" s="93">
        <f>+Hoja1!A115</f>
        <v>5570</v>
      </c>
      <c r="B116" s="91">
        <f ca="1">IF(RTD("tos.rtd",,$A$2,"."&amp;B$83&amp;B$1&amp;"C"&amp;$A116)="N/A",0,RTD("tos.rtd",,$A$2,"."&amp;B$83&amp;B$1&amp;"C"&amp;$A116))-IF(RTD("tos.rtd",,$A$2,"."&amp;B$83&amp;B$1&amp;"P"&amp;$A116)="N/A",0,RTD("tos.rtd",,$A$2,"."&amp;B$83&amp;B$1&amp;"P"&amp;$A116))</f>
        <v>0</v>
      </c>
      <c r="C116" s="91">
        <f ca="1">IF(RTD("tos.rtd",,$A$2,"."&amp;C$83&amp;C$1&amp;"C"&amp;$A116)="N/A",0,RTD("tos.rtd",,$A$2,"."&amp;C$83&amp;C$1&amp;"C"&amp;$A116))-IF(RTD("tos.rtd",,$A$2,"."&amp;C$83&amp;C$1&amp;"P"&amp;$A116)="N/A",0,RTD("tos.rtd",,$A$2,"."&amp;C$83&amp;C$1&amp;"P"&amp;$A116))</f>
        <v>0</v>
      </c>
      <c r="D116" s="91">
        <f ca="1">IF(RTD("tos.rtd",,$A$2,"."&amp;D$83&amp;D$1&amp;"C"&amp;$A116)="N/A",0,RTD("tos.rtd",,$A$2,"."&amp;D$83&amp;D$1&amp;"C"&amp;$A116))-IF(RTD("tos.rtd",,$A$2,"."&amp;D$83&amp;D$1&amp;"P"&amp;$A116)="N/A",0,RTD("tos.rtd",,$A$2,"."&amp;D$83&amp;D$1&amp;"P"&amp;$A116))</f>
        <v>0</v>
      </c>
      <c r="E116" s="91">
        <f ca="1">IF(RTD("tos.rtd",,$A$2,"."&amp;E$83&amp;E$1&amp;"C"&amp;$A116)="N/A",0,RTD("tos.rtd",,$A$2,"."&amp;E$83&amp;E$1&amp;"C"&amp;$A116))-IF(RTD("tos.rtd",,$A$2,"."&amp;E$83&amp;E$1&amp;"P"&amp;$A116)="N/A",0,RTD("tos.rtd",,$A$2,"."&amp;E$83&amp;E$1&amp;"P"&amp;$A116))</f>
        <v>0</v>
      </c>
      <c r="F116" s="91">
        <f ca="1">IF(RTD("tos.rtd",,$A$2,"."&amp;F$83&amp;F$1&amp;"C"&amp;$A116)="N/A",0,RTD("tos.rtd",,$A$2,"."&amp;F$83&amp;F$1&amp;"C"&amp;$A116))-IF(RTD("tos.rtd",,$A$2,"."&amp;F$83&amp;F$1&amp;"P"&amp;$A116)="N/A",0,RTD("tos.rtd",,$A$2,"."&amp;F$83&amp;F$1&amp;"P"&amp;$A116))</f>
        <v>0</v>
      </c>
      <c r="G116" s="91">
        <f ca="1">IF(RTD("tos.rtd",,$A$2,"."&amp;G$83&amp;G$1&amp;"C"&amp;$A116)="N/A",0,RTD("tos.rtd",,$A$2,"."&amp;G$83&amp;G$1&amp;"C"&amp;$A116))-IF(RTD("tos.rtd",,$A$2,"."&amp;G$83&amp;G$1&amp;"P"&amp;$A116)="N/A",0,RTD("tos.rtd",,$A$2,"."&amp;G$83&amp;G$1&amp;"P"&amp;$A116))</f>
        <v>0</v>
      </c>
      <c r="H116" s="91">
        <f ca="1">IF(RTD("tos.rtd",,$A$2,"."&amp;H$83&amp;H$1&amp;"C"&amp;$A116)="N/A",0,RTD("tos.rtd",,$A$2,"."&amp;H$83&amp;H$1&amp;"C"&amp;$A116))-IF(RTD("tos.rtd",,$A$2,"."&amp;H$83&amp;H$1&amp;"P"&amp;$A116)="N/A",0,RTD("tos.rtd",,$A$2,"."&amp;H$83&amp;H$1&amp;"P"&amp;$A116))</f>
        <v>0</v>
      </c>
      <c r="I116" s="91">
        <f ca="1">IF(RTD("tos.rtd",,$A$2,"."&amp;I$83&amp;I$1&amp;"C"&amp;$A116)="N/A",0,RTD("tos.rtd",,$A$2,"."&amp;I$83&amp;I$1&amp;"C"&amp;$A116))-IF(RTD("tos.rtd",,$A$2,"."&amp;I$83&amp;I$1&amp;"P"&amp;$A116)="N/A",0,RTD("tos.rtd",,$A$2,"."&amp;I$83&amp;I$1&amp;"P"&amp;$A116))</f>
        <v>0</v>
      </c>
      <c r="J116" s="91">
        <f ca="1">IF(RTD("tos.rtd",,$A$2,"."&amp;J$83&amp;J$1&amp;"C"&amp;$A116)="N/A",0,RTD("tos.rtd",,$A$2,"."&amp;J$83&amp;J$1&amp;"C"&amp;$A116))-IF(RTD("tos.rtd",,$A$2,"."&amp;J$83&amp;J$1&amp;"P"&amp;$A116)="N/A",0,RTD("tos.rtd",,$A$2,"."&amp;J$83&amp;J$1&amp;"P"&amp;$A116))</f>
        <v>0</v>
      </c>
      <c r="K116" s="91">
        <f ca="1">IF(RTD("tos.rtd",,$A$2,"."&amp;K$83&amp;K$1&amp;"C"&amp;$A116)="N/A",0,RTD("tos.rtd",,$A$2,"."&amp;K$83&amp;K$1&amp;"C"&amp;$A116))-IF(RTD("tos.rtd",,$A$2,"."&amp;K$83&amp;K$1&amp;"P"&amp;$A116)="N/A",0,RTD("tos.rtd",,$A$2,"."&amp;K$83&amp;K$1&amp;"P"&amp;$A116))</f>
        <v>0</v>
      </c>
      <c r="L116" s="91">
        <f ca="1">IF(RTD("tos.rtd",,$A$2,"."&amp;L$83&amp;L$1&amp;"C"&amp;$A116)="N/A",0,RTD("tos.rtd",,$A$2,"."&amp;L$83&amp;L$1&amp;"C"&amp;$A116))-IF(RTD("tos.rtd",,$A$2,"."&amp;L$83&amp;L$1&amp;"P"&amp;$A116)="N/A",0,RTD("tos.rtd",,$A$2,"."&amp;L$83&amp;L$1&amp;"P"&amp;$A116))</f>
        <v>-1</v>
      </c>
      <c r="M116" s="91">
        <f ca="1">IF(RTD("tos.rtd",,$A$2,"."&amp;M$83&amp;M$1&amp;"C"&amp;$A116)="N/A",0,RTD("tos.rtd",,$A$2,"."&amp;M$83&amp;M$1&amp;"C"&amp;$A116))-IF(RTD("tos.rtd",,$A$2,"."&amp;M$83&amp;M$1&amp;"P"&amp;$A116)="N/A",0,RTD("tos.rtd",,$A$2,"."&amp;M$83&amp;M$1&amp;"P"&amp;$A116))</f>
        <v>0</v>
      </c>
      <c r="N116" s="91">
        <f ca="1">IF(RTD("tos.rtd",,$A$2,"."&amp;N$83&amp;N$1&amp;"C"&amp;$A116)="N/A",0,RTD("tos.rtd",,$A$2,"."&amp;N$83&amp;N$1&amp;"C"&amp;$A116))-IF(RTD("tos.rtd",,$A$2,"."&amp;N$83&amp;N$1&amp;"P"&amp;$A116)="N/A",0,RTD("tos.rtd",,$A$2,"."&amp;N$83&amp;N$1&amp;"P"&amp;$A116))</f>
        <v>0</v>
      </c>
      <c r="O116" s="91">
        <f ca="1">IF(RTD("tos.rtd",,$A$2,"."&amp;O$83&amp;O$1&amp;"C"&amp;$A116)="N/A",0,RTD("tos.rtd",,$A$2,"."&amp;O$83&amp;O$1&amp;"C"&amp;$A116))-IF(RTD("tos.rtd",,$A$2,"."&amp;O$83&amp;O$1&amp;"P"&amp;$A116)="N/A",0,RTD("tos.rtd",,$A$2,"."&amp;O$83&amp;O$1&amp;"P"&amp;$A116))</f>
        <v>0</v>
      </c>
      <c r="P116" s="91">
        <f ca="1">IF(RTD("tos.rtd",,$A$2,"."&amp;P$83&amp;P$1&amp;"C"&amp;$A116)="N/A",0,RTD("tos.rtd",,$A$2,"."&amp;P$83&amp;P$1&amp;"C"&amp;$A116))-IF(RTD("tos.rtd",,$A$2,"."&amp;P$83&amp;P$1&amp;"P"&amp;$A116)="N/A",0,RTD("tos.rtd",,$A$2,"."&amp;P$83&amp;P$1&amp;"P"&amp;$A116))</f>
        <v>0</v>
      </c>
      <c r="Q116" s="91">
        <f ca="1">IF(RTD("tos.rtd",,$A$2,"."&amp;Q$83&amp;Q$1&amp;"C"&amp;$A116)="N/A",0,RTD("tos.rtd",,$A$2,"."&amp;Q$83&amp;Q$1&amp;"C"&amp;$A116))-IF(RTD("tos.rtd",,$A$2,"."&amp;Q$83&amp;Q$1&amp;"P"&amp;$A116)="N/A",0,RTD("tos.rtd",,$A$2,"."&amp;Q$83&amp;Q$1&amp;"P"&amp;$A116))</f>
        <v>0</v>
      </c>
      <c r="R116" s="91">
        <f ca="1">IF(RTD("tos.rtd",,$A$2,"."&amp;R$83&amp;R$1&amp;"C"&amp;$A116)="N/A",0,RTD("tos.rtd",,$A$2,"."&amp;R$83&amp;R$1&amp;"C"&amp;$A116))-IF(RTD("tos.rtd",,$A$2,"."&amp;R$83&amp;R$1&amp;"P"&amp;$A116)="N/A",0,RTD("tos.rtd",,$A$2,"."&amp;R$83&amp;R$1&amp;"P"&amp;$A116))</f>
        <v>0</v>
      </c>
      <c r="S116" s="91">
        <f ca="1">IF(RTD("tos.rtd",,$A$2,"."&amp;S$83&amp;S$1&amp;"C"&amp;$A116)="N/A",0,RTD("tos.rtd",,$A$2,"."&amp;S$83&amp;S$1&amp;"C"&amp;$A116))-IF(RTD("tos.rtd",,$A$2,"."&amp;S$83&amp;S$1&amp;"P"&amp;$A116)="N/A",0,RTD("tos.rtd",,$A$2,"."&amp;S$83&amp;S$1&amp;"P"&amp;$A116))</f>
        <v>0</v>
      </c>
      <c r="T116" s="91">
        <f ca="1">IF(RTD("tos.rtd",,$A$2,"."&amp;T$83&amp;T$1&amp;"C"&amp;$A116)="N/A",0,RTD("tos.rtd",,$A$2,"."&amp;T$83&amp;T$1&amp;"C"&amp;$A116))-IF(RTD("tos.rtd",,$A$2,"."&amp;T$83&amp;T$1&amp;"P"&amp;$A116)="N/A",0,RTD("tos.rtd",,$A$2,"."&amp;T$83&amp;T$1&amp;"P"&amp;$A116))</f>
        <v>0</v>
      </c>
      <c r="U116" s="91">
        <f ca="1">IF(RTD("tos.rtd",,$A$2,"."&amp;U$83&amp;U$1&amp;"C"&amp;$A116)="N/A",0,RTD("tos.rtd",,$A$2,"."&amp;U$83&amp;U$1&amp;"C"&amp;$A116))-IF(RTD("tos.rtd",,$A$2,"."&amp;U$83&amp;U$1&amp;"P"&amp;$A116)="N/A",0,RTD("tos.rtd",,$A$2,"."&amp;U$83&amp;U$1&amp;"P"&amp;$A116))</f>
        <v>0</v>
      </c>
      <c r="V116" s="91">
        <f ca="1">IF(RTD("tos.rtd",,$A$2,"."&amp;V$83&amp;V$1&amp;"C"&amp;$A116)="N/A",0,RTD("tos.rtd",,$A$2,"."&amp;V$83&amp;V$1&amp;"C"&amp;$A116))-IF(RTD("tos.rtd",,$A$2,"."&amp;V$83&amp;V$1&amp;"P"&amp;$A116)="N/A",0,RTD("tos.rtd",,$A$2,"."&amp;V$83&amp;V$1&amp;"P"&amp;$A116))</f>
        <v>0</v>
      </c>
      <c r="W116" s="91">
        <f ca="1">IF(RTD("tos.rtd",,$A$2,"."&amp;W$83&amp;W$1&amp;"C"&amp;$A116)="N/A",0,RTD("tos.rtd",,$A$2,"."&amp;W$83&amp;W$1&amp;"C"&amp;$A116))-IF(RTD("tos.rtd",,$A$2,"."&amp;W$83&amp;W$1&amp;"P"&amp;$A116)="N/A",0,RTD("tos.rtd",,$A$2,"."&amp;W$83&amp;W$1&amp;"P"&amp;$A116))</f>
        <v>0</v>
      </c>
      <c r="X116" s="91">
        <f ca="1">IF(RTD("tos.rtd",,$A$2,"."&amp;X$83&amp;X$1&amp;"C"&amp;$A116)="N/A",0,RTD("tos.rtd",,$A$2,"."&amp;X$83&amp;X$1&amp;"C"&amp;$A116))-IF(RTD("tos.rtd",,$A$2,"."&amp;X$83&amp;X$1&amp;"P"&amp;$A116)="N/A",0,RTD("tos.rtd",,$A$2,"."&amp;X$83&amp;X$1&amp;"P"&amp;$A116))</f>
        <v>0</v>
      </c>
      <c r="Y116" s="98">
        <f t="shared" ca="1" si="10"/>
        <v>-1</v>
      </c>
    </row>
    <row r="117" spans="1:25" x14ac:dyDescent="0.25">
      <c r="A117" s="93">
        <f>+Hoja1!A116</f>
        <v>5560</v>
      </c>
      <c r="B117" s="91">
        <f ca="1">IF(RTD("tos.rtd",,$A$2,"."&amp;B$83&amp;B$1&amp;"C"&amp;$A117)="N/A",0,RTD("tos.rtd",,$A$2,"."&amp;B$83&amp;B$1&amp;"C"&amp;$A117))-IF(RTD("tos.rtd",,$A$2,"."&amp;B$83&amp;B$1&amp;"P"&amp;$A117)="N/A",0,RTD("tos.rtd",,$A$2,"."&amp;B$83&amp;B$1&amp;"P"&amp;$A117))</f>
        <v>0</v>
      </c>
      <c r="C117" s="91">
        <f ca="1">IF(RTD("tos.rtd",,$A$2,"."&amp;C$83&amp;C$1&amp;"C"&amp;$A117)="N/A",0,RTD("tos.rtd",,$A$2,"."&amp;C$83&amp;C$1&amp;"C"&amp;$A117))-IF(RTD("tos.rtd",,$A$2,"."&amp;C$83&amp;C$1&amp;"P"&amp;$A117)="N/A",0,RTD("tos.rtd",,$A$2,"."&amp;C$83&amp;C$1&amp;"P"&amp;$A117))</f>
        <v>0</v>
      </c>
      <c r="D117" s="91">
        <f ca="1">IF(RTD("tos.rtd",,$A$2,"."&amp;D$83&amp;D$1&amp;"C"&amp;$A117)="N/A",0,RTD("tos.rtd",,$A$2,"."&amp;D$83&amp;D$1&amp;"C"&amp;$A117))-IF(RTD("tos.rtd",,$A$2,"."&amp;D$83&amp;D$1&amp;"P"&amp;$A117)="N/A",0,RTD("tos.rtd",,$A$2,"."&amp;D$83&amp;D$1&amp;"P"&amp;$A117))</f>
        <v>0</v>
      </c>
      <c r="E117" s="91">
        <f ca="1">IF(RTD("tos.rtd",,$A$2,"."&amp;E$83&amp;E$1&amp;"C"&amp;$A117)="N/A",0,RTD("tos.rtd",,$A$2,"."&amp;E$83&amp;E$1&amp;"C"&amp;$A117))-IF(RTD("tos.rtd",,$A$2,"."&amp;E$83&amp;E$1&amp;"P"&amp;$A117)="N/A",0,RTD("tos.rtd",,$A$2,"."&amp;E$83&amp;E$1&amp;"P"&amp;$A117))</f>
        <v>0</v>
      </c>
      <c r="F117" s="91">
        <f ca="1">IF(RTD("tos.rtd",,$A$2,"."&amp;F$83&amp;F$1&amp;"C"&amp;$A117)="N/A",0,RTD("tos.rtd",,$A$2,"."&amp;F$83&amp;F$1&amp;"C"&amp;$A117))-IF(RTD("tos.rtd",,$A$2,"."&amp;F$83&amp;F$1&amp;"P"&amp;$A117)="N/A",0,RTD("tos.rtd",,$A$2,"."&amp;F$83&amp;F$1&amp;"P"&amp;$A117))</f>
        <v>0</v>
      </c>
      <c r="G117" s="91">
        <f ca="1">IF(RTD("tos.rtd",,$A$2,"."&amp;G$83&amp;G$1&amp;"C"&amp;$A117)="N/A",0,RTD("tos.rtd",,$A$2,"."&amp;G$83&amp;G$1&amp;"C"&amp;$A117))-IF(RTD("tos.rtd",,$A$2,"."&amp;G$83&amp;G$1&amp;"P"&amp;$A117)="N/A",0,RTD("tos.rtd",,$A$2,"."&amp;G$83&amp;G$1&amp;"P"&amp;$A117))</f>
        <v>0</v>
      </c>
      <c r="H117" s="91">
        <f ca="1">IF(RTD("tos.rtd",,$A$2,"."&amp;H$83&amp;H$1&amp;"C"&amp;$A117)="N/A",0,RTD("tos.rtd",,$A$2,"."&amp;H$83&amp;H$1&amp;"C"&amp;$A117))-IF(RTD("tos.rtd",,$A$2,"."&amp;H$83&amp;H$1&amp;"P"&amp;$A117)="N/A",0,RTD("tos.rtd",,$A$2,"."&amp;H$83&amp;H$1&amp;"P"&amp;$A117))</f>
        <v>0</v>
      </c>
      <c r="I117" s="91">
        <f ca="1">IF(RTD("tos.rtd",,$A$2,"."&amp;I$83&amp;I$1&amp;"C"&amp;$A117)="N/A",0,RTD("tos.rtd",,$A$2,"."&amp;I$83&amp;I$1&amp;"C"&amp;$A117))-IF(RTD("tos.rtd",,$A$2,"."&amp;I$83&amp;I$1&amp;"P"&amp;$A117)="N/A",0,RTD("tos.rtd",,$A$2,"."&amp;I$83&amp;I$1&amp;"P"&amp;$A117))</f>
        <v>0</v>
      </c>
      <c r="J117" s="91">
        <f ca="1">IF(RTD("tos.rtd",,$A$2,"."&amp;J$83&amp;J$1&amp;"C"&amp;$A117)="N/A",0,RTD("tos.rtd",,$A$2,"."&amp;J$83&amp;J$1&amp;"C"&amp;$A117))-IF(RTD("tos.rtd",,$A$2,"."&amp;J$83&amp;J$1&amp;"P"&amp;$A117)="N/A",0,RTD("tos.rtd",,$A$2,"."&amp;J$83&amp;J$1&amp;"P"&amp;$A117))</f>
        <v>0</v>
      </c>
      <c r="K117" s="91">
        <f ca="1">IF(RTD("tos.rtd",,$A$2,"."&amp;K$83&amp;K$1&amp;"C"&amp;$A117)="N/A",0,RTD("tos.rtd",,$A$2,"."&amp;K$83&amp;K$1&amp;"C"&amp;$A117))-IF(RTD("tos.rtd",,$A$2,"."&amp;K$83&amp;K$1&amp;"P"&amp;$A117)="N/A",0,RTD("tos.rtd",,$A$2,"."&amp;K$83&amp;K$1&amp;"P"&amp;$A117))</f>
        <v>0</v>
      </c>
      <c r="L117" s="91">
        <f ca="1">IF(RTD("tos.rtd",,$A$2,"."&amp;L$83&amp;L$1&amp;"C"&amp;$A117)="N/A",0,RTD("tos.rtd",,$A$2,"."&amp;L$83&amp;L$1&amp;"C"&amp;$A117))-IF(RTD("tos.rtd",,$A$2,"."&amp;L$83&amp;L$1&amp;"P"&amp;$A117)="N/A",0,RTD("tos.rtd",,$A$2,"."&amp;L$83&amp;L$1&amp;"P"&amp;$A117))</f>
        <v>0</v>
      </c>
      <c r="M117" s="91">
        <f ca="1">IF(RTD("tos.rtd",,$A$2,"."&amp;M$83&amp;M$1&amp;"C"&amp;$A117)="N/A",0,RTD("tos.rtd",,$A$2,"."&amp;M$83&amp;M$1&amp;"C"&amp;$A117))-IF(RTD("tos.rtd",,$A$2,"."&amp;M$83&amp;M$1&amp;"P"&amp;$A117)="N/A",0,RTD("tos.rtd",,$A$2,"."&amp;M$83&amp;M$1&amp;"P"&amp;$A117))</f>
        <v>0</v>
      </c>
      <c r="N117" s="91">
        <f ca="1">IF(RTD("tos.rtd",,$A$2,"."&amp;N$83&amp;N$1&amp;"C"&amp;$A117)="N/A",0,RTD("tos.rtd",,$A$2,"."&amp;N$83&amp;N$1&amp;"C"&amp;$A117))-IF(RTD("tos.rtd",,$A$2,"."&amp;N$83&amp;N$1&amp;"P"&amp;$A117)="N/A",0,RTD("tos.rtd",,$A$2,"."&amp;N$83&amp;N$1&amp;"P"&amp;$A117))</f>
        <v>0</v>
      </c>
      <c r="O117" s="91">
        <f ca="1">IF(RTD("tos.rtd",,$A$2,"."&amp;O$83&amp;O$1&amp;"C"&amp;$A117)="N/A",0,RTD("tos.rtd",,$A$2,"."&amp;O$83&amp;O$1&amp;"C"&amp;$A117))-IF(RTD("tos.rtd",,$A$2,"."&amp;O$83&amp;O$1&amp;"P"&amp;$A117)="N/A",0,RTD("tos.rtd",,$A$2,"."&amp;O$83&amp;O$1&amp;"P"&amp;$A117))</f>
        <v>0</v>
      </c>
      <c r="P117" s="91">
        <f ca="1">IF(RTD("tos.rtd",,$A$2,"."&amp;P$83&amp;P$1&amp;"C"&amp;$A117)="N/A",0,RTD("tos.rtd",,$A$2,"."&amp;P$83&amp;P$1&amp;"C"&amp;$A117))-IF(RTD("tos.rtd",,$A$2,"."&amp;P$83&amp;P$1&amp;"P"&amp;$A117)="N/A",0,RTD("tos.rtd",,$A$2,"."&amp;P$83&amp;P$1&amp;"P"&amp;$A117))</f>
        <v>0</v>
      </c>
      <c r="Q117" s="91">
        <f ca="1">IF(RTD("tos.rtd",,$A$2,"."&amp;Q$83&amp;Q$1&amp;"C"&amp;$A117)="N/A",0,RTD("tos.rtd",,$A$2,"."&amp;Q$83&amp;Q$1&amp;"C"&amp;$A117))-IF(RTD("tos.rtd",,$A$2,"."&amp;Q$83&amp;Q$1&amp;"P"&amp;$A117)="N/A",0,RTD("tos.rtd",,$A$2,"."&amp;Q$83&amp;Q$1&amp;"P"&amp;$A117))</f>
        <v>0</v>
      </c>
      <c r="R117" s="91">
        <f ca="1">IF(RTD("tos.rtd",,$A$2,"."&amp;R$83&amp;R$1&amp;"C"&amp;$A117)="N/A",0,RTD("tos.rtd",,$A$2,"."&amp;R$83&amp;R$1&amp;"C"&amp;$A117))-IF(RTD("tos.rtd",,$A$2,"."&amp;R$83&amp;R$1&amp;"P"&amp;$A117)="N/A",0,RTD("tos.rtd",,$A$2,"."&amp;R$83&amp;R$1&amp;"P"&amp;$A117))</f>
        <v>0</v>
      </c>
      <c r="S117" s="91">
        <f ca="1">IF(RTD("tos.rtd",,$A$2,"."&amp;S$83&amp;S$1&amp;"C"&amp;$A117)="N/A",0,RTD("tos.rtd",,$A$2,"."&amp;S$83&amp;S$1&amp;"C"&amp;$A117))-IF(RTD("tos.rtd",,$A$2,"."&amp;S$83&amp;S$1&amp;"P"&amp;$A117)="N/A",0,RTD("tos.rtd",,$A$2,"."&amp;S$83&amp;S$1&amp;"P"&amp;$A117))</f>
        <v>0</v>
      </c>
      <c r="T117" s="91">
        <f ca="1">IF(RTD("tos.rtd",,$A$2,"."&amp;T$83&amp;T$1&amp;"C"&amp;$A117)="N/A",0,RTD("tos.rtd",,$A$2,"."&amp;T$83&amp;T$1&amp;"C"&amp;$A117))-IF(RTD("tos.rtd",,$A$2,"."&amp;T$83&amp;T$1&amp;"P"&amp;$A117)="N/A",0,RTD("tos.rtd",,$A$2,"."&amp;T$83&amp;T$1&amp;"P"&amp;$A117))</f>
        <v>0</v>
      </c>
      <c r="U117" s="91">
        <f ca="1">IF(RTD("tos.rtd",,$A$2,"."&amp;U$83&amp;U$1&amp;"C"&amp;$A117)="N/A",0,RTD("tos.rtd",,$A$2,"."&amp;U$83&amp;U$1&amp;"C"&amp;$A117))-IF(RTD("tos.rtd",,$A$2,"."&amp;U$83&amp;U$1&amp;"P"&amp;$A117)="N/A",0,RTD("tos.rtd",,$A$2,"."&amp;U$83&amp;U$1&amp;"P"&amp;$A117))</f>
        <v>0</v>
      </c>
      <c r="V117" s="91">
        <f ca="1">IF(RTD("tos.rtd",,$A$2,"."&amp;V$83&amp;V$1&amp;"C"&amp;$A117)="N/A",0,RTD("tos.rtd",,$A$2,"."&amp;V$83&amp;V$1&amp;"C"&amp;$A117))-IF(RTD("tos.rtd",,$A$2,"."&amp;V$83&amp;V$1&amp;"P"&amp;$A117)="N/A",0,RTD("tos.rtd",,$A$2,"."&amp;V$83&amp;V$1&amp;"P"&amp;$A117))</f>
        <v>0</v>
      </c>
      <c r="W117" s="91">
        <f ca="1">IF(RTD("tos.rtd",,$A$2,"."&amp;W$83&amp;W$1&amp;"C"&amp;$A117)="N/A",0,RTD("tos.rtd",,$A$2,"."&amp;W$83&amp;W$1&amp;"C"&amp;$A117))-IF(RTD("tos.rtd",,$A$2,"."&amp;W$83&amp;W$1&amp;"P"&amp;$A117)="N/A",0,RTD("tos.rtd",,$A$2,"."&amp;W$83&amp;W$1&amp;"P"&amp;$A117))</f>
        <v>0</v>
      </c>
      <c r="X117" s="91">
        <f ca="1">IF(RTD("tos.rtd",,$A$2,"."&amp;X$83&amp;X$1&amp;"C"&amp;$A117)="N/A",0,RTD("tos.rtd",,$A$2,"."&amp;X$83&amp;X$1&amp;"C"&amp;$A117))-IF(RTD("tos.rtd",,$A$2,"."&amp;X$83&amp;X$1&amp;"P"&amp;$A117)="N/A",0,RTD("tos.rtd",,$A$2,"."&amp;X$83&amp;X$1&amp;"P"&amp;$A117))</f>
        <v>0</v>
      </c>
      <c r="Y117" s="98">
        <f t="shared" ca="1" si="10"/>
        <v>0</v>
      </c>
    </row>
    <row r="118" spans="1:25" x14ac:dyDescent="0.25">
      <c r="A118" s="93">
        <f>+Hoja1!A117</f>
        <v>5550</v>
      </c>
      <c r="B118" s="91">
        <f ca="1">IF(RTD("tos.rtd",,$A$2,"."&amp;B$83&amp;B$1&amp;"C"&amp;$A118)="N/A",0,RTD("tos.rtd",,$A$2,"."&amp;B$83&amp;B$1&amp;"C"&amp;$A118))-IF(RTD("tos.rtd",,$A$2,"."&amp;B$83&amp;B$1&amp;"P"&amp;$A118)="N/A",0,RTD("tos.rtd",,$A$2,"."&amp;B$83&amp;B$1&amp;"P"&amp;$A118))</f>
        <v>0</v>
      </c>
      <c r="C118" s="91">
        <f ca="1">IF(RTD("tos.rtd",,$A$2,"."&amp;C$83&amp;C$1&amp;"C"&amp;$A118)="N/A",0,RTD("tos.rtd",,$A$2,"."&amp;C$83&amp;C$1&amp;"C"&amp;$A118))-IF(RTD("tos.rtd",,$A$2,"."&amp;C$83&amp;C$1&amp;"P"&amp;$A118)="N/A",0,RTD("tos.rtd",,$A$2,"."&amp;C$83&amp;C$1&amp;"P"&amp;$A118))</f>
        <v>0</v>
      </c>
      <c r="D118" s="91">
        <f ca="1">IF(RTD("tos.rtd",,$A$2,"."&amp;D$83&amp;D$1&amp;"C"&amp;$A118)="N/A",0,RTD("tos.rtd",,$A$2,"."&amp;D$83&amp;D$1&amp;"C"&amp;$A118))-IF(RTD("tos.rtd",,$A$2,"."&amp;D$83&amp;D$1&amp;"P"&amp;$A118)="N/A",0,RTD("tos.rtd",,$A$2,"."&amp;D$83&amp;D$1&amp;"P"&amp;$A118))</f>
        <v>0</v>
      </c>
      <c r="E118" s="91">
        <f ca="1">IF(RTD("tos.rtd",,$A$2,"."&amp;E$83&amp;E$1&amp;"C"&amp;$A118)="N/A",0,RTD("tos.rtd",,$A$2,"."&amp;E$83&amp;E$1&amp;"C"&amp;$A118))-IF(RTD("tos.rtd",,$A$2,"."&amp;E$83&amp;E$1&amp;"P"&amp;$A118)="N/A",0,RTD("tos.rtd",,$A$2,"."&amp;E$83&amp;E$1&amp;"P"&amp;$A118))</f>
        <v>0</v>
      </c>
      <c r="F118" s="91">
        <f ca="1">IF(RTD("tos.rtd",,$A$2,"."&amp;F$83&amp;F$1&amp;"C"&amp;$A118)="N/A",0,RTD("tos.rtd",,$A$2,"."&amp;F$83&amp;F$1&amp;"C"&amp;$A118))-IF(RTD("tos.rtd",,$A$2,"."&amp;F$83&amp;F$1&amp;"P"&amp;$A118)="N/A",0,RTD("tos.rtd",,$A$2,"."&amp;F$83&amp;F$1&amp;"P"&amp;$A118))</f>
        <v>0</v>
      </c>
      <c r="G118" s="91">
        <f ca="1">IF(RTD("tos.rtd",,$A$2,"."&amp;G$83&amp;G$1&amp;"C"&amp;$A118)="N/A",0,RTD("tos.rtd",,$A$2,"."&amp;G$83&amp;G$1&amp;"C"&amp;$A118))-IF(RTD("tos.rtd",,$A$2,"."&amp;G$83&amp;G$1&amp;"P"&amp;$A118)="N/A",0,RTD("tos.rtd",,$A$2,"."&amp;G$83&amp;G$1&amp;"P"&amp;$A118))</f>
        <v>0</v>
      </c>
      <c r="H118" s="91">
        <f ca="1">IF(RTD("tos.rtd",,$A$2,"."&amp;H$83&amp;H$1&amp;"C"&amp;$A118)="N/A",0,RTD("tos.rtd",,$A$2,"."&amp;H$83&amp;H$1&amp;"C"&amp;$A118))-IF(RTD("tos.rtd",,$A$2,"."&amp;H$83&amp;H$1&amp;"P"&amp;$A118)="N/A",0,RTD("tos.rtd",,$A$2,"."&amp;H$83&amp;H$1&amp;"P"&amp;$A118))</f>
        <v>0</v>
      </c>
      <c r="I118" s="91">
        <f ca="1">IF(RTD("tos.rtd",,$A$2,"."&amp;I$83&amp;I$1&amp;"C"&amp;$A118)="N/A",0,RTD("tos.rtd",,$A$2,"."&amp;I$83&amp;I$1&amp;"C"&amp;$A118))-IF(RTD("tos.rtd",,$A$2,"."&amp;I$83&amp;I$1&amp;"P"&amp;$A118)="N/A",0,RTD("tos.rtd",,$A$2,"."&amp;I$83&amp;I$1&amp;"P"&amp;$A118))</f>
        <v>0</v>
      </c>
      <c r="J118" s="91">
        <f ca="1">IF(RTD("tos.rtd",,$A$2,"."&amp;J$83&amp;J$1&amp;"C"&amp;$A118)="N/A",0,RTD("tos.rtd",,$A$2,"."&amp;J$83&amp;J$1&amp;"C"&amp;$A118))-IF(RTD("tos.rtd",,$A$2,"."&amp;J$83&amp;J$1&amp;"P"&amp;$A118)="N/A",0,RTD("tos.rtd",,$A$2,"."&amp;J$83&amp;J$1&amp;"P"&amp;$A118))</f>
        <v>0</v>
      </c>
      <c r="K118" s="91">
        <f ca="1">IF(RTD("tos.rtd",,$A$2,"."&amp;K$83&amp;K$1&amp;"C"&amp;$A118)="N/A",0,RTD("tos.rtd",,$A$2,"."&amp;K$83&amp;K$1&amp;"C"&amp;$A118))-IF(RTD("tos.rtd",,$A$2,"."&amp;K$83&amp;K$1&amp;"P"&amp;$A118)="N/A",0,RTD("tos.rtd",,$A$2,"."&amp;K$83&amp;K$1&amp;"P"&amp;$A118))</f>
        <v>0</v>
      </c>
      <c r="L118" s="91">
        <f ca="1">IF(RTD("tos.rtd",,$A$2,"."&amp;L$83&amp;L$1&amp;"C"&amp;$A118)="N/A",0,RTD("tos.rtd",,$A$2,"."&amp;L$83&amp;L$1&amp;"C"&amp;$A118))-IF(RTD("tos.rtd",,$A$2,"."&amp;L$83&amp;L$1&amp;"P"&amp;$A118)="N/A",0,RTD("tos.rtd",,$A$2,"."&amp;L$83&amp;L$1&amp;"P"&amp;$A118))</f>
        <v>0</v>
      </c>
      <c r="M118" s="91">
        <f ca="1">IF(RTD("tos.rtd",,$A$2,"."&amp;M$83&amp;M$1&amp;"C"&amp;$A118)="N/A",0,RTD("tos.rtd",,$A$2,"."&amp;M$83&amp;M$1&amp;"C"&amp;$A118))-IF(RTD("tos.rtd",,$A$2,"."&amp;M$83&amp;M$1&amp;"P"&amp;$A118)="N/A",0,RTD("tos.rtd",,$A$2,"."&amp;M$83&amp;M$1&amp;"P"&amp;$A118))</f>
        <v>0</v>
      </c>
      <c r="N118" s="91">
        <f ca="1">IF(RTD("tos.rtd",,$A$2,"."&amp;N$83&amp;N$1&amp;"C"&amp;$A118)="N/A",0,RTD("tos.rtd",,$A$2,"."&amp;N$83&amp;N$1&amp;"C"&amp;$A118))-IF(RTD("tos.rtd",,$A$2,"."&amp;N$83&amp;N$1&amp;"P"&amp;$A118)="N/A",0,RTD("tos.rtd",,$A$2,"."&amp;N$83&amp;N$1&amp;"P"&amp;$A118))</f>
        <v>0</v>
      </c>
      <c r="O118" s="91">
        <f ca="1">IF(RTD("tos.rtd",,$A$2,"."&amp;O$83&amp;O$1&amp;"C"&amp;$A118)="N/A",0,RTD("tos.rtd",,$A$2,"."&amp;O$83&amp;O$1&amp;"C"&amp;$A118))-IF(RTD("tos.rtd",,$A$2,"."&amp;O$83&amp;O$1&amp;"P"&amp;$A118)="N/A",0,RTD("tos.rtd",,$A$2,"."&amp;O$83&amp;O$1&amp;"P"&amp;$A118))</f>
        <v>0</v>
      </c>
      <c r="P118" s="91">
        <f ca="1">IF(RTD("tos.rtd",,$A$2,"."&amp;P$83&amp;P$1&amp;"C"&amp;$A118)="N/A",0,RTD("tos.rtd",,$A$2,"."&amp;P$83&amp;P$1&amp;"C"&amp;$A118))-IF(RTD("tos.rtd",,$A$2,"."&amp;P$83&amp;P$1&amp;"P"&amp;$A118)="N/A",0,RTD("tos.rtd",,$A$2,"."&amp;P$83&amp;P$1&amp;"P"&amp;$A118))</f>
        <v>0</v>
      </c>
      <c r="Q118" s="91">
        <f ca="1">IF(RTD("tos.rtd",,$A$2,"."&amp;Q$83&amp;Q$1&amp;"C"&amp;$A118)="N/A",0,RTD("tos.rtd",,$A$2,"."&amp;Q$83&amp;Q$1&amp;"C"&amp;$A118))-IF(RTD("tos.rtd",,$A$2,"."&amp;Q$83&amp;Q$1&amp;"P"&amp;$A118)="N/A",0,RTD("tos.rtd",,$A$2,"."&amp;Q$83&amp;Q$1&amp;"P"&amp;$A118))</f>
        <v>0</v>
      </c>
      <c r="R118" s="91">
        <f ca="1">IF(RTD("tos.rtd",,$A$2,"."&amp;R$83&amp;R$1&amp;"C"&amp;$A118)="N/A",0,RTD("tos.rtd",,$A$2,"."&amp;R$83&amp;R$1&amp;"C"&amp;$A118))-IF(RTD("tos.rtd",,$A$2,"."&amp;R$83&amp;R$1&amp;"P"&amp;$A118)="N/A",0,RTD("tos.rtd",,$A$2,"."&amp;R$83&amp;R$1&amp;"P"&amp;$A118))</f>
        <v>0</v>
      </c>
      <c r="S118" s="91">
        <f ca="1">IF(RTD("tos.rtd",,$A$2,"."&amp;S$83&amp;S$1&amp;"C"&amp;$A118)="N/A",0,RTD("tos.rtd",,$A$2,"."&amp;S$83&amp;S$1&amp;"C"&amp;$A118))-IF(RTD("tos.rtd",,$A$2,"."&amp;S$83&amp;S$1&amp;"P"&amp;$A118)="N/A",0,RTD("tos.rtd",,$A$2,"."&amp;S$83&amp;S$1&amp;"P"&amp;$A118))</f>
        <v>0</v>
      </c>
      <c r="T118" s="91">
        <f ca="1">IF(RTD("tos.rtd",,$A$2,"."&amp;T$83&amp;T$1&amp;"C"&amp;$A118)="N/A",0,RTD("tos.rtd",,$A$2,"."&amp;T$83&amp;T$1&amp;"C"&amp;$A118))-IF(RTD("tos.rtd",,$A$2,"."&amp;T$83&amp;T$1&amp;"P"&amp;$A118)="N/A",0,RTD("tos.rtd",,$A$2,"."&amp;T$83&amp;T$1&amp;"P"&amp;$A118))</f>
        <v>0</v>
      </c>
      <c r="U118" s="91">
        <f ca="1">IF(RTD("tos.rtd",,$A$2,"."&amp;U$83&amp;U$1&amp;"C"&amp;$A118)="N/A",0,RTD("tos.rtd",,$A$2,"."&amp;U$83&amp;U$1&amp;"C"&amp;$A118))-IF(RTD("tos.rtd",,$A$2,"."&amp;U$83&amp;U$1&amp;"P"&amp;$A118)="N/A",0,RTD("tos.rtd",,$A$2,"."&amp;U$83&amp;U$1&amp;"P"&amp;$A118))</f>
        <v>0</v>
      </c>
      <c r="V118" s="91">
        <f ca="1">IF(RTD("tos.rtd",,$A$2,"."&amp;V$83&amp;V$1&amp;"C"&amp;$A118)="N/A",0,RTD("tos.rtd",,$A$2,"."&amp;V$83&amp;V$1&amp;"C"&amp;$A118))-IF(RTD("tos.rtd",,$A$2,"."&amp;V$83&amp;V$1&amp;"P"&amp;$A118)="N/A",0,RTD("tos.rtd",,$A$2,"."&amp;V$83&amp;V$1&amp;"P"&amp;$A118))</f>
        <v>0</v>
      </c>
      <c r="W118" s="91">
        <f ca="1">IF(RTD("tos.rtd",,$A$2,"."&amp;W$83&amp;W$1&amp;"C"&amp;$A118)="N/A",0,RTD("tos.rtd",,$A$2,"."&amp;W$83&amp;W$1&amp;"C"&amp;$A118))-IF(RTD("tos.rtd",,$A$2,"."&amp;W$83&amp;W$1&amp;"P"&amp;$A118)="N/A",0,RTD("tos.rtd",,$A$2,"."&amp;W$83&amp;W$1&amp;"P"&amp;$A118))</f>
        <v>0</v>
      </c>
      <c r="X118" s="91">
        <f ca="1">IF(RTD("tos.rtd",,$A$2,"."&amp;X$83&amp;X$1&amp;"C"&amp;$A118)="N/A",0,RTD("tos.rtd",,$A$2,"."&amp;X$83&amp;X$1&amp;"C"&amp;$A118))-IF(RTD("tos.rtd",,$A$2,"."&amp;X$83&amp;X$1&amp;"P"&amp;$A118)="N/A",0,RTD("tos.rtd",,$A$2,"."&amp;X$83&amp;X$1&amp;"P"&amp;$A118))</f>
        <v>0</v>
      </c>
      <c r="Y118" s="98">
        <f t="shared" ca="1" si="10"/>
        <v>0</v>
      </c>
    </row>
    <row r="119" spans="1:25" x14ac:dyDescent="0.25">
      <c r="A119" s="93">
        <f>+Hoja1!A118</f>
        <v>5540</v>
      </c>
      <c r="B119" s="91">
        <f ca="1">IF(RTD("tos.rtd",,$A$2,"."&amp;B$83&amp;B$1&amp;"C"&amp;$A119)="N/A",0,RTD("tos.rtd",,$A$2,"."&amp;B$83&amp;B$1&amp;"C"&amp;$A119))-IF(RTD("tos.rtd",,$A$2,"."&amp;B$83&amp;B$1&amp;"P"&amp;$A119)="N/A",0,RTD("tos.rtd",,$A$2,"."&amp;B$83&amp;B$1&amp;"P"&amp;$A119))</f>
        <v>0</v>
      </c>
      <c r="C119" s="91">
        <f ca="1">IF(RTD("tos.rtd",,$A$2,"."&amp;C$83&amp;C$1&amp;"C"&amp;$A119)="N/A",0,RTD("tos.rtd",,$A$2,"."&amp;C$83&amp;C$1&amp;"C"&amp;$A119))-IF(RTD("tos.rtd",,$A$2,"."&amp;C$83&amp;C$1&amp;"P"&amp;$A119)="N/A",0,RTD("tos.rtd",,$A$2,"."&amp;C$83&amp;C$1&amp;"P"&amp;$A119))</f>
        <v>0</v>
      </c>
      <c r="D119" s="91">
        <f ca="1">IF(RTD("tos.rtd",,$A$2,"."&amp;D$83&amp;D$1&amp;"C"&amp;$A119)="N/A",0,RTD("tos.rtd",,$A$2,"."&amp;D$83&amp;D$1&amp;"C"&amp;$A119))-IF(RTD("tos.rtd",,$A$2,"."&amp;D$83&amp;D$1&amp;"P"&amp;$A119)="N/A",0,RTD("tos.rtd",,$A$2,"."&amp;D$83&amp;D$1&amp;"P"&amp;$A119))</f>
        <v>0</v>
      </c>
      <c r="E119" s="91">
        <f ca="1">IF(RTD("tos.rtd",,$A$2,"."&amp;E$83&amp;E$1&amp;"C"&amp;$A119)="N/A",0,RTD("tos.rtd",,$A$2,"."&amp;E$83&amp;E$1&amp;"C"&amp;$A119))-IF(RTD("tos.rtd",,$A$2,"."&amp;E$83&amp;E$1&amp;"P"&amp;$A119)="N/A",0,RTD("tos.rtd",,$A$2,"."&amp;E$83&amp;E$1&amp;"P"&amp;$A119))</f>
        <v>0</v>
      </c>
      <c r="F119" s="91">
        <f ca="1">IF(RTD("tos.rtd",,$A$2,"."&amp;F$83&amp;F$1&amp;"C"&amp;$A119)="N/A",0,RTD("tos.rtd",,$A$2,"."&amp;F$83&amp;F$1&amp;"C"&amp;$A119))-IF(RTD("tos.rtd",,$A$2,"."&amp;F$83&amp;F$1&amp;"P"&amp;$A119)="N/A",0,RTD("tos.rtd",,$A$2,"."&amp;F$83&amp;F$1&amp;"P"&amp;$A119))</f>
        <v>0</v>
      </c>
      <c r="G119" s="91">
        <f ca="1">IF(RTD("tos.rtd",,$A$2,"."&amp;G$83&amp;G$1&amp;"C"&amp;$A119)="N/A",0,RTD("tos.rtd",,$A$2,"."&amp;G$83&amp;G$1&amp;"C"&amp;$A119))-IF(RTD("tos.rtd",,$A$2,"."&amp;G$83&amp;G$1&amp;"P"&amp;$A119)="N/A",0,RTD("tos.rtd",,$A$2,"."&amp;G$83&amp;G$1&amp;"P"&amp;$A119))</f>
        <v>0</v>
      </c>
      <c r="H119" s="91">
        <f ca="1">IF(RTD("tos.rtd",,$A$2,"."&amp;H$83&amp;H$1&amp;"C"&amp;$A119)="N/A",0,RTD("tos.rtd",,$A$2,"."&amp;H$83&amp;H$1&amp;"C"&amp;$A119))-IF(RTD("tos.rtd",,$A$2,"."&amp;H$83&amp;H$1&amp;"P"&amp;$A119)="N/A",0,RTD("tos.rtd",,$A$2,"."&amp;H$83&amp;H$1&amp;"P"&amp;$A119))</f>
        <v>0</v>
      </c>
      <c r="I119" s="91">
        <f ca="1">IF(RTD("tos.rtd",,$A$2,"."&amp;I$83&amp;I$1&amp;"C"&amp;$A119)="N/A",0,RTD("tos.rtd",,$A$2,"."&amp;I$83&amp;I$1&amp;"C"&amp;$A119))-IF(RTD("tos.rtd",,$A$2,"."&amp;I$83&amp;I$1&amp;"P"&amp;$A119)="N/A",0,RTD("tos.rtd",,$A$2,"."&amp;I$83&amp;I$1&amp;"P"&amp;$A119))</f>
        <v>1</v>
      </c>
      <c r="J119" s="91">
        <f ca="1">IF(RTD("tos.rtd",,$A$2,"."&amp;J$83&amp;J$1&amp;"C"&amp;$A119)="N/A",0,RTD("tos.rtd",,$A$2,"."&amp;J$83&amp;J$1&amp;"C"&amp;$A119))-IF(RTD("tos.rtd",,$A$2,"."&amp;J$83&amp;J$1&amp;"P"&amp;$A119)="N/A",0,RTD("tos.rtd",,$A$2,"."&amp;J$83&amp;J$1&amp;"P"&amp;$A119))</f>
        <v>0</v>
      </c>
      <c r="K119" s="91">
        <f ca="1">IF(RTD("tos.rtd",,$A$2,"."&amp;K$83&amp;K$1&amp;"C"&amp;$A119)="N/A",0,RTD("tos.rtd",,$A$2,"."&amp;K$83&amp;K$1&amp;"C"&amp;$A119))-IF(RTD("tos.rtd",,$A$2,"."&amp;K$83&amp;K$1&amp;"P"&amp;$A119)="N/A",0,RTD("tos.rtd",,$A$2,"."&amp;K$83&amp;K$1&amp;"P"&amp;$A119))</f>
        <v>0</v>
      </c>
      <c r="L119" s="91">
        <f ca="1">IF(RTD("tos.rtd",,$A$2,"."&amp;L$83&amp;L$1&amp;"C"&amp;$A119)="N/A",0,RTD("tos.rtd",,$A$2,"."&amp;L$83&amp;L$1&amp;"C"&amp;$A119))-IF(RTD("tos.rtd",,$A$2,"."&amp;L$83&amp;L$1&amp;"P"&amp;$A119)="N/A",0,RTD("tos.rtd",,$A$2,"."&amp;L$83&amp;L$1&amp;"P"&amp;$A119))</f>
        <v>0</v>
      </c>
      <c r="M119" s="91">
        <f ca="1">IF(RTD("tos.rtd",,$A$2,"."&amp;M$83&amp;M$1&amp;"C"&amp;$A119)="N/A",0,RTD("tos.rtd",,$A$2,"."&amp;M$83&amp;M$1&amp;"C"&amp;$A119))-IF(RTD("tos.rtd",,$A$2,"."&amp;M$83&amp;M$1&amp;"P"&amp;$A119)="N/A",0,RTD("tos.rtd",,$A$2,"."&amp;M$83&amp;M$1&amp;"P"&amp;$A119))</f>
        <v>0</v>
      </c>
      <c r="N119" s="91">
        <f ca="1">IF(RTD("tos.rtd",,$A$2,"."&amp;N$83&amp;N$1&amp;"C"&amp;$A119)="N/A",0,RTD("tos.rtd",,$A$2,"."&amp;N$83&amp;N$1&amp;"C"&amp;$A119))-IF(RTD("tos.rtd",,$A$2,"."&amp;N$83&amp;N$1&amp;"P"&amp;$A119)="N/A",0,RTD("tos.rtd",,$A$2,"."&amp;N$83&amp;N$1&amp;"P"&amp;$A119))</f>
        <v>0</v>
      </c>
      <c r="O119" s="91">
        <f ca="1">IF(RTD("tos.rtd",,$A$2,"."&amp;O$83&amp;O$1&amp;"C"&amp;$A119)="N/A",0,RTD("tos.rtd",,$A$2,"."&amp;O$83&amp;O$1&amp;"C"&amp;$A119))-IF(RTD("tos.rtd",,$A$2,"."&amp;O$83&amp;O$1&amp;"P"&amp;$A119)="N/A",0,RTD("tos.rtd",,$A$2,"."&amp;O$83&amp;O$1&amp;"P"&amp;$A119))</f>
        <v>0</v>
      </c>
      <c r="P119" s="91">
        <f ca="1">IF(RTD("tos.rtd",,$A$2,"."&amp;P$83&amp;P$1&amp;"C"&amp;$A119)="N/A",0,RTD("tos.rtd",,$A$2,"."&amp;P$83&amp;P$1&amp;"C"&amp;$A119))-IF(RTD("tos.rtd",,$A$2,"."&amp;P$83&amp;P$1&amp;"P"&amp;$A119)="N/A",0,RTD("tos.rtd",,$A$2,"."&amp;P$83&amp;P$1&amp;"P"&amp;$A119))</f>
        <v>0</v>
      </c>
      <c r="Q119" s="91">
        <f ca="1">IF(RTD("tos.rtd",,$A$2,"."&amp;Q$83&amp;Q$1&amp;"C"&amp;$A119)="N/A",0,RTD("tos.rtd",,$A$2,"."&amp;Q$83&amp;Q$1&amp;"C"&amp;$A119))-IF(RTD("tos.rtd",,$A$2,"."&amp;Q$83&amp;Q$1&amp;"P"&amp;$A119)="N/A",0,RTD("tos.rtd",,$A$2,"."&amp;Q$83&amp;Q$1&amp;"P"&amp;$A119))</f>
        <v>0</v>
      </c>
      <c r="R119" s="91">
        <f ca="1">IF(RTD("tos.rtd",,$A$2,"."&amp;R$83&amp;R$1&amp;"C"&amp;$A119)="N/A",0,RTD("tos.rtd",,$A$2,"."&amp;R$83&amp;R$1&amp;"C"&amp;$A119))-IF(RTD("tos.rtd",,$A$2,"."&amp;R$83&amp;R$1&amp;"P"&amp;$A119)="N/A",0,RTD("tos.rtd",,$A$2,"."&amp;R$83&amp;R$1&amp;"P"&amp;$A119))</f>
        <v>0</v>
      </c>
      <c r="S119" s="91">
        <f ca="1">IF(RTD("tos.rtd",,$A$2,"."&amp;S$83&amp;S$1&amp;"C"&amp;$A119)="N/A",0,RTD("tos.rtd",,$A$2,"."&amp;S$83&amp;S$1&amp;"C"&amp;$A119))-IF(RTD("tos.rtd",,$A$2,"."&amp;S$83&amp;S$1&amp;"P"&amp;$A119)="N/A",0,RTD("tos.rtd",,$A$2,"."&amp;S$83&amp;S$1&amp;"P"&amp;$A119))</f>
        <v>0</v>
      </c>
      <c r="T119" s="91">
        <f ca="1">IF(RTD("tos.rtd",,$A$2,"."&amp;T$83&amp;T$1&amp;"C"&amp;$A119)="N/A",0,RTD("tos.rtd",,$A$2,"."&amp;T$83&amp;T$1&amp;"C"&amp;$A119))-IF(RTD("tos.rtd",,$A$2,"."&amp;T$83&amp;T$1&amp;"P"&amp;$A119)="N/A",0,RTD("tos.rtd",,$A$2,"."&amp;T$83&amp;T$1&amp;"P"&amp;$A119))</f>
        <v>0</v>
      </c>
      <c r="U119" s="91">
        <f ca="1">IF(RTD("tos.rtd",,$A$2,"."&amp;U$83&amp;U$1&amp;"C"&amp;$A119)="N/A",0,RTD("tos.rtd",,$A$2,"."&amp;U$83&amp;U$1&amp;"C"&amp;$A119))-IF(RTD("tos.rtd",,$A$2,"."&amp;U$83&amp;U$1&amp;"P"&amp;$A119)="N/A",0,RTD("tos.rtd",,$A$2,"."&amp;U$83&amp;U$1&amp;"P"&amp;$A119))</f>
        <v>0</v>
      </c>
      <c r="V119" s="91">
        <f ca="1">IF(RTD("tos.rtd",,$A$2,"."&amp;V$83&amp;V$1&amp;"C"&amp;$A119)="N/A",0,RTD("tos.rtd",,$A$2,"."&amp;V$83&amp;V$1&amp;"C"&amp;$A119))-IF(RTD("tos.rtd",,$A$2,"."&amp;V$83&amp;V$1&amp;"P"&amp;$A119)="N/A",0,RTD("tos.rtd",,$A$2,"."&amp;V$83&amp;V$1&amp;"P"&amp;$A119))</f>
        <v>0</v>
      </c>
      <c r="W119" s="91">
        <f ca="1">IF(RTD("tos.rtd",,$A$2,"."&amp;W$83&amp;W$1&amp;"C"&amp;$A119)="N/A",0,RTD("tos.rtd",,$A$2,"."&amp;W$83&amp;W$1&amp;"C"&amp;$A119))-IF(RTD("tos.rtd",,$A$2,"."&amp;W$83&amp;W$1&amp;"P"&amp;$A119)="N/A",0,RTD("tos.rtd",,$A$2,"."&amp;W$83&amp;W$1&amp;"P"&amp;$A119))</f>
        <v>0</v>
      </c>
      <c r="X119" s="91">
        <f ca="1">IF(RTD("tos.rtd",,$A$2,"."&amp;X$83&amp;X$1&amp;"C"&amp;$A119)="N/A",0,RTD("tos.rtd",,$A$2,"."&amp;X$83&amp;X$1&amp;"C"&amp;$A119))-IF(RTD("tos.rtd",,$A$2,"."&amp;X$83&amp;X$1&amp;"P"&amp;$A119)="N/A",0,RTD("tos.rtd",,$A$2,"."&amp;X$83&amp;X$1&amp;"P"&amp;$A119))</f>
        <v>0</v>
      </c>
      <c r="Y119" s="98">
        <f t="shared" ca="1" si="10"/>
        <v>1</v>
      </c>
    </row>
    <row r="120" spans="1:25" x14ac:dyDescent="0.25">
      <c r="A120" s="93">
        <f>+Hoja1!A119</f>
        <v>5530</v>
      </c>
      <c r="B120" s="91">
        <f ca="1">IF(RTD("tos.rtd",,$A$2,"."&amp;B$83&amp;B$1&amp;"C"&amp;$A120)="N/A",0,RTD("tos.rtd",,$A$2,"."&amp;B$83&amp;B$1&amp;"C"&amp;$A120))-IF(RTD("tos.rtd",,$A$2,"."&amp;B$83&amp;B$1&amp;"P"&amp;$A120)="N/A",0,RTD("tos.rtd",,$A$2,"."&amp;B$83&amp;B$1&amp;"P"&amp;$A120))</f>
        <v>0</v>
      </c>
      <c r="C120" s="91">
        <f ca="1">IF(RTD("tos.rtd",,$A$2,"."&amp;C$83&amp;C$1&amp;"C"&amp;$A120)="N/A",0,RTD("tos.rtd",,$A$2,"."&amp;C$83&amp;C$1&amp;"C"&amp;$A120))-IF(RTD("tos.rtd",,$A$2,"."&amp;C$83&amp;C$1&amp;"P"&amp;$A120)="N/A",0,RTD("tos.rtd",,$A$2,"."&amp;C$83&amp;C$1&amp;"P"&amp;$A120))</f>
        <v>0</v>
      </c>
      <c r="D120" s="91">
        <f ca="1">IF(RTD("tos.rtd",,$A$2,"."&amp;D$83&amp;D$1&amp;"C"&amp;$A120)="N/A",0,RTD("tos.rtd",,$A$2,"."&amp;D$83&amp;D$1&amp;"C"&amp;$A120))-IF(RTD("tos.rtd",,$A$2,"."&amp;D$83&amp;D$1&amp;"P"&amp;$A120)="N/A",0,RTD("tos.rtd",,$A$2,"."&amp;D$83&amp;D$1&amp;"P"&amp;$A120))</f>
        <v>0</v>
      </c>
      <c r="E120" s="91">
        <f ca="1">IF(RTD("tos.rtd",,$A$2,"."&amp;E$83&amp;E$1&amp;"C"&amp;$A120)="N/A",0,RTD("tos.rtd",,$A$2,"."&amp;E$83&amp;E$1&amp;"C"&amp;$A120))-IF(RTD("tos.rtd",,$A$2,"."&amp;E$83&amp;E$1&amp;"P"&amp;$A120)="N/A",0,RTD("tos.rtd",,$A$2,"."&amp;E$83&amp;E$1&amp;"P"&amp;$A120))</f>
        <v>0</v>
      </c>
      <c r="F120" s="91">
        <f ca="1">IF(RTD("tos.rtd",,$A$2,"."&amp;F$83&amp;F$1&amp;"C"&amp;$A120)="N/A",0,RTD("tos.rtd",,$A$2,"."&amp;F$83&amp;F$1&amp;"C"&amp;$A120))-IF(RTD("tos.rtd",,$A$2,"."&amp;F$83&amp;F$1&amp;"P"&amp;$A120)="N/A",0,RTD("tos.rtd",,$A$2,"."&amp;F$83&amp;F$1&amp;"P"&amp;$A120))</f>
        <v>0</v>
      </c>
      <c r="G120" s="91">
        <f ca="1">IF(RTD("tos.rtd",,$A$2,"."&amp;G$83&amp;G$1&amp;"C"&amp;$A120)="N/A",0,RTD("tos.rtd",,$A$2,"."&amp;G$83&amp;G$1&amp;"C"&amp;$A120))-IF(RTD("tos.rtd",,$A$2,"."&amp;G$83&amp;G$1&amp;"P"&amp;$A120)="N/A",0,RTD("tos.rtd",,$A$2,"."&amp;G$83&amp;G$1&amp;"P"&amp;$A120))</f>
        <v>0</v>
      </c>
      <c r="H120" s="91">
        <f ca="1">IF(RTD("tos.rtd",,$A$2,"."&amp;H$83&amp;H$1&amp;"C"&amp;$A120)="N/A",0,RTD("tos.rtd",,$A$2,"."&amp;H$83&amp;H$1&amp;"C"&amp;$A120))-IF(RTD("tos.rtd",,$A$2,"."&amp;H$83&amp;H$1&amp;"P"&amp;$A120)="N/A",0,RTD("tos.rtd",,$A$2,"."&amp;H$83&amp;H$1&amp;"P"&amp;$A120))</f>
        <v>0</v>
      </c>
      <c r="I120" s="91">
        <f ca="1">IF(RTD("tos.rtd",,$A$2,"."&amp;I$83&amp;I$1&amp;"C"&amp;$A120)="N/A",0,RTD("tos.rtd",,$A$2,"."&amp;I$83&amp;I$1&amp;"C"&amp;$A120))-IF(RTD("tos.rtd",,$A$2,"."&amp;I$83&amp;I$1&amp;"P"&amp;$A120)="N/A",0,RTD("tos.rtd",,$A$2,"."&amp;I$83&amp;I$1&amp;"P"&amp;$A120))</f>
        <v>0</v>
      </c>
      <c r="J120" s="91">
        <f ca="1">IF(RTD("tos.rtd",,$A$2,"."&amp;J$83&amp;J$1&amp;"C"&amp;$A120)="N/A",0,RTD("tos.rtd",,$A$2,"."&amp;J$83&amp;J$1&amp;"C"&amp;$A120))-IF(RTD("tos.rtd",,$A$2,"."&amp;J$83&amp;J$1&amp;"P"&amp;$A120)="N/A",0,RTD("tos.rtd",,$A$2,"."&amp;J$83&amp;J$1&amp;"P"&amp;$A120))</f>
        <v>0</v>
      </c>
      <c r="K120" s="91">
        <f ca="1">IF(RTD("tos.rtd",,$A$2,"."&amp;K$83&amp;K$1&amp;"C"&amp;$A120)="N/A",0,RTD("tos.rtd",,$A$2,"."&amp;K$83&amp;K$1&amp;"C"&amp;$A120))-IF(RTD("tos.rtd",,$A$2,"."&amp;K$83&amp;K$1&amp;"P"&amp;$A120)="N/A",0,RTD("tos.rtd",,$A$2,"."&amp;K$83&amp;K$1&amp;"P"&amp;$A120))</f>
        <v>0</v>
      </c>
      <c r="L120" s="91">
        <f ca="1">IF(RTD("tos.rtd",,$A$2,"."&amp;L$83&amp;L$1&amp;"C"&amp;$A120)="N/A",0,RTD("tos.rtd",,$A$2,"."&amp;L$83&amp;L$1&amp;"C"&amp;$A120))-IF(RTD("tos.rtd",,$A$2,"."&amp;L$83&amp;L$1&amp;"P"&amp;$A120)="N/A",0,RTD("tos.rtd",,$A$2,"."&amp;L$83&amp;L$1&amp;"P"&amp;$A120))</f>
        <v>0</v>
      </c>
      <c r="M120" s="91">
        <f ca="1">IF(RTD("tos.rtd",,$A$2,"."&amp;M$83&amp;M$1&amp;"C"&amp;$A120)="N/A",0,RTD("tos.rtd",,$A$2,"."&amp;M$83&amp;M$1&amp;"C"&amp;$A120))-IF(RTD("tos.rtd",,$A$2,"."&amp;M$83&amp;M$1&amp;"P"&amp;$A120)="N/A",0,RTD("tos.rtd",,$A$2,"."&amp;M$83&amp;M$1&amp;"P"&amp;$A120))</f>
        <v>0</v>
      </c>
      <c r="N120" s="91">
        <f ca="1">IF(RTD("tos.rtd",,$A$2,"."&amp;N$83&amp;N$1&amp;"C"&amp;$A120)="N/A",0,RTD("tos.rtd",,$A$2,"."&amp;N$83&amp;N$1&amp;"C"&amp;$A120))-IF(RTD("tos.rtd",,$A$2,"."&amp;N$83&amp;N$1&amp;"P"&amp;$A120)="N/A",0,RTD("tos.rtd",,$A$2,"."&amp;N$83&amp;N$1&amp;"P"&amp;$A120))</f>
        <v>0</v>
      </c>
      <c r="O120" s="91">
        <f ca="1">IF(RTD("tos.rtd",,$A$2,"."&amp;O$83&amp;O$1&amp;"C"&amp;$A120)="N/A",0,RTD("tos.rtd",,$A$2,"."&amp;O$83&amp;O$1&amp;"C"&amp;$A120))-IF(RTD("tos.rtd",,$A$2,"."&amp;O$83&amp;O$1&amp;"P"&amp;$A120)="N/A",0,RTD("tos.rtd",,$A$2,"."&amp;O$83&amp;O$1&amp;"P"&amp;$A120))</f>
        <v>0</v>
      </c>
      <c r="P120" s="91">
        <f ca="1">IF(RTD("tos.rtd",,$A$2,"."&amp;P$83&amp;P$1&amp;"C"&amp;$A120)="N/A",0,RTD("tos.rtd",,$A$2,"."&amp;P$83&amp;P$1&amp;"C"&amp;$A120))-IF(RTD("tos.rtd",,$A$2,"."&amp;P$83&amp;P$1&amp;"P"&amp;$A120)="N/A",0,RTD("tos.rtd",,$A$2,"."&amp;P$83&amp;P$1&amp;"P"&amp;$A120))</f>
        <v>0</v>
      </c>
      <c r="Q120" s="91">
        <f ca="1">IF(RTD("tos.rtd",,$A$2,"."&amp;Q$83&amp;Q$1&amp;"C"&amp;$A120)="N/A",0,RTD("tos.rtd",,$A$2,"."&amp;Q$83&amp;Q$1&amp;"C"&amp;$A120))-IF(RTD("tos.rtd",,$A$2,"."&amp;Q$83&amp;Q$1&amp;"P"&amp;$A120)="N/A",0,RTD("tos.rtd",,$A$2,"."&amp;Q$83&amp;Q$1&amp;"P"&amp;$A120))</f>
        <v>0</v>
      </c>
      <c r="R120" s="91">
        <f ca="1">IF(RTD("tos.rtd",,$A$2,"."&amp;R$83&amp;R$1&amp;"C"&amp;$A120)="N/A",0,RTD("tos.rtd",,$A$2,"."&amp;R$83&amp;R$1&amp;"C"&amp;$A120))-IF(RTD("tos.rtd",,$A$2,"."&amp;R$83&amp;R$1&amp;"P"&amp;$A120)="N/A",0,RTD("tos.rtd",,$A$2,"."&amp;R$83&amp;R$1&amp;"P"&amp;$A120))</f>
        <v>0</v>
      </c>
      <c r="S120" s="91">
        <f ca="1">IF(RTD("tos.rtd",,$A$2,"."&amp;S$83&amp;S$1&amp;"C"&amp;$A120)="N/A",0,RTD("tos.rtd",,$A$2,"."&amp;S$83&amp;S$1&amp;"C"&amp;$A120))-IF(RTD("tos.rtd",,$A$2,"."&amp;S$83&amp;S$1&amp;"P"&amp;$A120)="N/A",0,RTD("tos.rtd",,$A$2,"."&amp;S$83&amp;S$1&amp;"P"&amp;$A120))</f>
        <v>0</v>
      </c>
      <c r="T120" s="91">
        <f ca="1">IF(RTD("tos.rtd",,$A$2,"."&amp;T$83&amp;T$1&amp;"C"&amp;$A120)="N/A",0,RTD("tos.rtd",,$A$2,"."&amp;T$83&amp;T$1&amp;"C"&amp;$A120))-IF(RTD("tos.rtd",,$A$2,"."&amp;T$83&amp;T$1&amp;"P"&amp;$A120)="N/A",0,RTD("tos.rtd",,$A$2,"."&amp;T$83&amp;T$1&amp;"P"&amp;$A120))</f>
        <v>0</v>
      </c>
      <c r="U120" s="91">
        <f ca="1">IF(RTD("tos.rtd",,$A$2,"."&amp;U$83&amp;U$1&amp;"C"&amp;$A120)="N/A",0,RTD("tos.rtd",,$A$2,"."&amp;U$83&amp;U$1&amp;"C"&amp;$A120))-IF(RTD("tos.rtd",,$A$2,"."&amp;U$83&amp;U$1&amp;"P"&amp;$A120)="N/A",0,RTD("tos.rtd",,$A$2,"."&amp;U$83&amp;U$1&amp;"P"&amp;$A120))</f>
        <v>0</v>
      </c>
      <c r="V120" s="91">
        <f ca="1">IF(RTD("tos.rtd",,$A$2,"."&amp;V$83&amp;V$1&amp;"C"&amp;$A120)="N/A",0,RTD("tos.rtd",,$A$2,"."&amp;V$83&amp;V$1&amp;"C"&amp;$A120))-IF(RTD("tos.rtd",,$A$2,"."&amp;V$83&amp;V$1&amp;"P"&amp;$A120)="N/A",0,RTD("tos.rtd",,$A$2,"."&amp;V$83&amp;V$1&amp;"P"&amp;$A120))</f>
        <v>0</v>
      </c>
      <c r="W120" s="91">
        <f ca="1">IF(RTD("tos.rtd",,$A$2,"."&amp;W$83&amp;W$1&amp;"C"&amp;$A120)="N/A",0,RTD("tos.rtd",,$A$2,"."&amp;W$83&amp;W$1&amp;"C"&amp;$A120))-IF(RTD("tos.rtd",,$A$2,"."&amp;W$83&amp;W$1&amp;"P"&amp;$A120)="N/A",0,RTD("tos.rtd",,$A$2,"."&amp;W$83&amp;W$1&amp;"P"&amp;$A120))</f>
        <v>0</v>
      </c>
      <c r="X120" s="91">
        <f ca="1">IF(RTD("tos.rtd",,$A$2,"."&amp;X$83&amp;X$1&amp;"C"&amp;$A120)="N/A",0,RTD("tos.rtd",,$A$2,"."&amp;X$83&amp;X$1&amp;"C"&amp;$A120))-IF(RTD("tos.rtd",,$A$2,"."&amp;X$83&amp;X$1&amp;"P"&amp;$A120)="N/A",0,RTD("tos.rtd",,$A$2,"."&amp;X$83&amp;X$1&amp;"P"&amp;$A120))</f>
        <v>0</v>
      </c>
      <c r="Y120" s="98">
        <f t="shared" ca="1" si="10"/>
        <v>0</v>
      </c>
    </row>
    <row r="121" spans="1:25" x14ac:dyDescent="0.25">
      <c r="A121" s="93">
        <f>+Hoja1!A120</f>
        <v>5520</v>
      </c>
      <c r="B121" s="91">
        <f ca="1">IF(RTD("tos.rtd",,$A$2,"."&amp;B$83&amp;B$1&amp;"C"&amp;$A121)="N/A",0,RTD("tos.rtd",,$A$2,"."&amp;B$83&amp;B$1&amp;"C"&amp;$A121))-IF(RTD("tos.rtd",,$A$2,"."&amp;B$83&amp;B$1&amp;"P"&amp;$A121)="N/A",0,RTD("tos.rtd",,$A$2,"."&amp;B$83&amp;B$1&amp;"P"&amp;$A121))</f>
        <v>0</v>
      </c>
      <c r="C121" s="91">
        <f ca="1">IF(RTD("tos.rtd",,$A$2,"."&amp;C$83&amp;C$1&amp;"C"&amp;$A121)="N/A",0,RTD("tos.rtd",,$A$2,"."&amp;C$83&amp;C$1&amp;"C"&amp;$A121))-IF(RTD("tos.rtd",,$A$2,"."&amp;C$83&amp;C$1&amp;"P"&amp;$A121)="N/A",0,RTD("tos.rtd",,$A$2,"."&amp;C$83&amp;C$1&amp;"P"&amp;$A121))</f>
        <v>0</v>
      </c>
      <c r="D121" s="91">
        <f ca="1">IF(RTD("tos.rtd",,$A$2,"."&amp;D$83&amp;D$1&amp;"C"&amp;$A121)="N/A",0,RTD("tos.rtd",,$A$2,"."&amp;D$83&amp;D$1&amp;"C"&amp;$A121))-IF(RTD("tos.rtd",,$A$2,"."&amp;D$83&amp;D$1&amp;"P"&amp;$A121)="N/A",0,RTD("tos.rtd",,$A$2,"."&amp;D$83&amp;D$1&amp;"P"&amp;$A121))</f>
        <v>0</v>
      </c>
      <c r="E121" s="91">
        <f ca="1">IF(RTD("tos.rtd",,$A$2,"."&amp;E$83&amp;E$1&amp;"C"&amp;$A121)="N/A",0,RTD("tos.rtd",,$A$2,"."&amp;E$83&amp;E$1&amp;"C"&amp;$A121))-IF(RTD("tos.rtd",,$A$2,"."&amp;E$83&amp;E$1&amp;"P"&amp;$A121)="N/A",0,RTD("tos.rtd",,$A$2,"."&amp;E$83&amp;E$1&amp;"P"&amp;$A121))</f>
        <v>0</v>
      </c>
      <c r="F121" s="91">
        <f ca="1">IF(RTD("tos.rtd",,$A$2,"."&amp;F$83&amp;F$1&amp;"C"&amp;$A121)="N/A",0,RTD("tos.rtd",,$A$2,"."&amp;F$83&amp;F$1&amp;"C"&amp;$A121))-IF(RTD("tos.rtd",,$A$2,"."&amp;F$83&amp;F$1&amp;"P"&amp;$A121)="N/A",0,RTD("tos.rtd",,$A$2,"."&amp;F$83&amp;F$1&amp;"P"&amp;$A121))</f>
        <v>0</v>
      </c>
      <c r="G121" s="91">
        <f ca="1">IF(RTD("tos.rtd",,$A$2,"."&amp;G$83&amp;G$1&amp;"C"&amp;$A121)="N/A",0,RTD("tos.rtd",,$A$2,"."&amp;G$83&amp;G$1&amp;"C"&amp;$A121))-IF(RTD("tos.rtd",,$A$2,"."&amp;G$83&amp;G$1&amp;"P"&amp;$A121)="N/A",0,RTD("tos.rtd",,$A$2,"."&amp;G$83&amp;G$1&amp;"P"&amp;$A121))</f>
        <v>0</v>
      </c>
      <c r="H121" s="91">
        <f ca="1">IF(RTD("tos.rtd",,$A$2,"."&amp;H$83&amp;H$1&amp;"C"&amp;$A121)="N/A",0,RTD("tos.rtd",,$A$2,"."&amp;H$83&amp;H$1&amp;"C"&amp;$A121))-IF(RTD("tos.rtd",,$A$2,"."&amp;H$83&amp;H$1&amp;"P"&amp;$A121)="N/A",0,RTD("tos.rtd",,$A$2,"."&amp;H$83&amp;H$1&amp;"P"&amp;$A121))</f>
        <v>0</v>
      </c>
      <c r="I121" s="91">
        <f ca="1">IF(RTD("tos.rtd",,$A$2,"."&amp;I$83&amp;I$1&amp;"C"&amp;$A121)="N/A",0,RTD("tos.rtd",,$A$2,"."&amp;I$83&amp;I$1&amp;"C"&amp;$A121))-IF(RTD("tos.rtd",,$A$2,"."&amp;I$83&amp;I$1&amp;"P"&amp;$A121)="N/A",0,RTD("tos.rtd",,$A$2,"."&amp;I$83&amp;I$1&amp;"P"&amp;$A121))</f>
        <v>0</v>
      </c>
      <c r="J121" s="91">
        <f ca="1">IF(RTD("tos.rtd",,$A$2,"."&amp;J$83&amp;J$1&amp;"C"&amp;$A121)="N/A",0,RTD("tos.rtd",,$A$2,"."&amp;J$83&amp;J$1&amp;"C"&amp;$A121))-IF(RTD("tos.rtd",,$A$2,"."&amp;J$83&amp;J$1&amp;"P"&amp;$A121)="N/A",0,RTD("tos.rtd",,$A$2,"."&amp;J$83&amp;J$1&amp;"P"&amp;$A121))</f>
        <v>0</v>
      </c>
      <c r="K121" s="91">
        <f ca="1">IF(RTD("tos.rtd",,$A$2,"."&amp;K$83&amp;K$1&amp;"C"&amp;$A121)="N/A",0,RTD("tos.rtd",,$A$2,"."&amp;K$83&amp;K$1&amp;"C"&amp;$A121))-IF(RTD("tos.rtd",,$A$2,"."&amp;K$83&amp;K$1&amp;"P"&amp;$A121)="N/A",0,RTD("tos.rtd",,$A$2,"."&amp;K$83&amp;K$1&amp;"P"&amp;$A121))</f>
        <v>0</v>
      </c>
      <c r="L121" s="91">
        <f ca="1">IF(RTD("tos.rtd",,$A$2,"."&amp;L$83&amp;L$1&amp;"C"&amp;$A121)="N/A",0,RTD("tos.rtd",,$A$2,"."&amp;L$83&amp;L$1&amp;"C"&amp;$A121))-IF(RTD("tos.rtd",,$A$2,"."&amp;L$83&amp;L$1&amp;"P"&amp;$A121)="N/A",0,RTD("tos.rtd",,$A$2,"."&amp;L$83&amp;L$1&amp;"P"&amp;$A121))</f>
        <v>0</v>
      </c>
      <c r="M121" s="91">
        <f ca="1">IF(RTD("tos.rtd",,$A$2,"."&amp;M$83&amp;M$1&amp;"C"&amp;$A121)="N/A",0,RTD("tos.rtd",,$A$2,"."&amp;M$83&amp;M$1&amp;"C"&amp;$A121))-IF(RTD("tos.rtd",,$A$2,"."&amp;M$83&amp;M$1&amp;"P"&amp;$A121)="N/A",0,RTD("tos.rtd",,$A$2,"."&amp;M$83&amp;M$1&amp;"P"&amp;$A121))</f>
        <v>0</v>
      </c>
      <c r="N121" s="91">
        <f ca="1">IF(RTD("tos.rtd",,$A$2,"."&amp;N$83&amp;N$1&amp;"C"&amp;$A121)="N/A",0,RTD("tos.rtd",,$A$2,"."&amp;N$83&amp;N$1&amp;"C"&amp;$A121))-IF(RTD("tos.rtd",,$A$2,"."&amp;N$83&amp;N$1&amp;"P"&amp;$A121)="N/A",0,RTD("tos.rtd",,$A$2,"."&amp;N$83&amp;N$1&amp;"P"&amp;$A121))</f>
        <v>0</v>
      </c>
      <c r="O121" s="91">
        <f ca="1">IF(RTD("tos.rtd",,$A$2,"."&amp;O$83&amp;O$1&amp;"C"&amp;$A121)="N/A",0,RTD("tos.rtd",,$A$2,"."&amp;O$83&amp;O$1&amp;"C"&amp;$A121))-IF(RTD("tos.rtd",,$A$2,"."&amp;O$83&amp;O$1&amp;"P"&amp;$A121)="N/A",0,RTD("tos.rtd",,$A$2,"."&amp;O$83&amp;O$1&amp;"P"&amp;$A121))</f>
        <v>0</v>
      </c>
      <c r="P121" s="91">
        <f ca="1">IF(RTD("tos.rtd",,$A$2,"."&amp;P$83&amp;P$1&amp;"C"&amp;$A121)="N/A",0,RTD("tos.rtd",,$A$2,"."&amp;P$83&amp;P$1&amp;"C"&amp;$A121))-IF(RTD("tos.rtd",,$A$2,"."&amp;P$83&amp;P$1&amp;"P"&amp;$A121)="N/A",0,RTD("tos.rtd",,$A$2,"."&amp;P$83&amp;P$1&amp;"P"&amp;$A121))</f>
        <v>0</v>
      </c>
      <c r="Q121" s="91">
        <f ca="1">IF(RTD("tos.rtd",,$A$2,"."&amp;Q$83&amp;Q$1&amp;"C"&amp;$A121)="N/A",0,RTD("tos.rtd",,$A$2,"."&amp;Q$83&amp;Q$1&amp;"C"&amp;$A121))-IF(RTD("tos.rtd",,$A$2,"."&amp;Q$83&amp;Q$1&amp;"P"&amp;$A121)="N/A",0,RTD("tos.rtd",,$A$2,"."&amp;Q$83&amp;Q$1&amp;"P"&amp;$A121))</f>
        <v>0</v>
      </c>
      <c r="R121" s="91">
        <f ca="1">IF(RTD("tos.rtd",,$A$2,"."&amp;R$83&amp;R$1&amp;"C"&amp;$A121)="N/A",0,RTD("tos.rtd",,$A$2,"."&amp;R$83&amp;R$1&amp;"C"&amp;$A121))-IF(RTD("tos.rtd",,$A$2,"."&amp;R$83&amp;R$1&amp;"P"&amp;$A121)="N/A",0,RTD("tos.rtd",,$A$2,"."&amp;R$83&amp;R$1&amp;"P"&amp;$A121))</f>
        <v>0</v>
      </c>
      <c r="S121" s="91">
        <f ca="1">IF(RTD("tos.rtd",,$A$2,"."&amp;S$83&amp;S$1&amp;"C"&amp;$A121)="N/A",0,RTD("tos.rtd",,$A$2,"."&amp;S$83&amp;S$1&amp;"C"&amp;$A121))-IF(RTD("tos.rtd",,$A$2,"."&amp;S$83&amp;S$1&amp;"P"&amp;$A121)="N/A",0,RTD("tos.rtd",,$A$2,"."&amp;S$83&amp;S$1&amp;"P"&amp;$A121))</f>
        <v>0</v>
      </c>
      <c r="T121" s="91">
        <f ca="1">IF(RTD("tos.rtd",,$A$2,"."&amp;T$83&amp;T$1&amp;"C"&amp;$A121)="N/A",0,RTD("tos.rtd",,$A$2,"."&amp;T$83&amp;T$1&amp;"C"&amp;$A121))-IF(RTD("tos.rtd",,$A$2,"."&amp;T$83&amp;T$1&amp;"P"&amp;$A121)="N/A",0,RTD("tos.rtd",,$A$2,"."&amp;T$83&amp;T$1&amp;"P"&amp;$A121))</f>
        <v>0</v>
      </c>
      <c r="U121" s="91">
        <f ca="1">IF(RTD("tos.rtd",,$A$2,"."&amp;U$83&amp;U$1&amp;"C"&amp;$A121)="N/A",0,RTD("tos.rtd",,$A$2,"."&amp;U$83&amp;U$1&amp;"C"&amp;$A121))-IF(RTD("tos.rtd",,$A$2,"."&amp;U$83&amp;U$1&amp;"P"&amp;$A121)="N/A",0,RTD("tos.rtd",,$A$2,"."&amp;U$83&amp;U$1&amp;"P"&amp;$A121))</f>
        <v>0</v>
      </c>
      <c r="V121" s="91">
        <f ca="1">IF(RTD("tos.rtd",,$A$2,"."&amp;V$83&amp;V$1&amp;"C"&amp;$A121)="N/A",0,RTD("tos.rtd",,$A$2,"."&amp;V$83&amp;V$1&amp;"C"&amp;$A121))-IF(RTD("tos.rtd",,$A$2,"."&amp;V$83&amp;V$1&amp;"P"&amp;$A121)="N/A",0,RTD("tos.rtd",,$A$2,"."&amp;V$83&amp;V$1&amp;"P"&amp;$A121))</f>
        <v>0</v>
      </c>
      <c r="W121" s="91">
        <f ca="1">IF(RTD("tos.rtd",,$A$2,"."&amp;W$83&amp;W$1&amp;"C"&amp;$A121)="N/A",0,RTD("tos.rtd",,$A$2,"."&amp;W$83&amp;W$1&amp;"C"&amp;$A121))-IF(RTD("tos.rtd",,$A$2,"."&amp;W$83&amp;W$1&amp;"P"&amp;$A121)="N/A",0,RTD("tos.rtd",,$A$2,"."&amp;W$83&amp;W$1&amp;"P"&amp;$A121))</f>
        <v>0</v>
      </c>
      <c r="X121" s="91">
        <f ca="1">IF(RTD("tos.rtd",,$A$2,"."&amp;X$83&amp;X$1&amp;"C"&amp;$A121)="N/A",0,RTD("tos.rtd",,$A$2,"."&amp;X$83&amp;X$1&amp;"C"&amp;$A121))-IF(RTD("tos.rtd",,$A$2,"."&amp;X$83&amp;X$1&amp;"P"&amp;$A121)="N/A",0,RTD("tos.rtd",,$A$2,"."&amp;X$83&amp;X$1&amp;"P"&amp;$A121))</f>
        <v>0</v>
      </c>
      <c r="Y121" s="98">
        <f t="shared" ca="1" si="10"/>
        <v>0</v>
      </c>
    </row>
    <row r="122" spans="1:25" x14ac:dyDescent="0.25">
      <c r="A122" s="93">
        <f>+Hoja1!A121</f>
        <v>5510</v>
      </c>
      <c r="B122" s="91">
        <f ca="1">IF(RTD("tos.rtd",,$A$2,"."&amp;B$83&amp;B$1&amp;"C"&amp;$A122)="N/A",0,RTD("tos.rtd",,$A$2,"."&amp;B$83&amp;B$1&amp;"C"&amp;$A122))-IF(RTD("tos.rtd",,$A$2,"."&amp;B$83&amp;B$1&amp;"P"&amp;$A122)="N/A",0,RTD("tos.rtd",,$A$2,"."&amp;B$83&amp;B$1&amp;"P"&amp;$A122))</f>
        <v>0</v>
      </c>
      <c r="C122" s="91">
        <f ca="1">IF(RTD("tos.rtd",,$A$2,"."&amp;C$83&amp;C$1&amp;"C"&amp;$A122)="N/A",0,RTD("tos.rtd",,$A$2,"."&amp;C$83&amp;C$1&amp;"C"&amp;$A122))-IF(RTD("tos.rtd",,$A$2,"."&amp;C$83&amp;C$1&amp;"P"&amp;$A122)="N/A",0,RTD("tos.rtd",,$A$2,"."&amp;C$83&amp;C$1&amp;"P"&amp;$A122))</f>
        <v>0</v>
      </c>
      <c r="D122" s="91">
        <f ca="1">IF(RTD("tos.rtd",,$A$2,"."&amp;D$83&amp;D$1&amp;"C"&amp;$A122)="N/A",0,RTD("tos.rtd",,$A$2,"."&amp;D$83&amp;D$1&amp;"C"&amp;$A122))-IF(RTD("tos.rtd",,$A$2,"."&amp;D$83&amp;D$1&amp;"P"&amp;$A122)="N/A",0,RTD("tos.rtd",,$A$2,"."&amp;D$83&amp;D$1&amp;"P"&amp;$A122))</f>
        <v>0</v>
      </c>
      <c r="E122" s="91">
        <f ca="1">IF(RTD("tos.rtd",,$A$2,"."&amp;E$83&amp;E$1&amp;"C"&amp;$A122)="N/A",0,RTD("tos.rtd",,$A$2,"."&amp;E$83&amp;E$1&amp;"C"&amp;$A122))-IF(RTD("tos.rtd",,$A$2,"."&amp;E$83&amp;E$1&amp;"P"&amp;$A122)="N/A",0,RTD("tos.rtd",,$A$2,"."&amp;E$83&amp;E$1&amp;"P"&amp;$A122))</f>
        <v>0</v>
      </c>
      <c r="F122" s="91">
        <f ca="1">IF(RTD("tos.rtd",,$A$2,"."&amp;F$83&amp;F$1&amp;"C"&amp;$A122)="N/A",0,RTD("tos.rtd",,$A$2,"."&amp;F$83&amp;F$1&amp;"C"&amp;$A122))-IF(RTD("tos.rtd",,$A$2,"."&amp;F$83&amp;F$1&amp;"P"&amp;$A122)="N/A",0,RTD("tos.rtd",,$A$2,"."&amp;F$83&amp;F$1&amp;"P"&amp;$A122))</f>
        <v>0</v>
      </c>
      <c r="G122" s="91">
        <f ca="1">IF(RTD("tos.rtd",,$A$2,"."&amp;G$83&amp;G$1&amp;"C"&amp;$A122)="N/A",0,RTD("tos.rtd",,$A$2,"."&amp;G$83&amp;G$1&amp;"C"&amp;$A122))-IF(RTD("tos.rtd",,$A$2,"."&amp;G$83&amp;G$1&amp;"P"&amp;$A122)="N/A",0,RTD("tos.rtd",,$A$2,"."&amp;G$83&amp;G$1&amp;"P"&amp;$A122))</f>
        <v>0</v>
      </c>
      <c r="H122" s="91">
        <f ca="1">IF(RTD("tos.rtd",,$A$2,"."&amp;H$83&amp;H$1&amp;"C"&amp;$A122)="N/A",0,RTD("tos.rtd",,$A$2,"."&amp;H$83&amp;H$1&amp;"C"&amp;$A122))-IF(RTD("tos.rtd",,$A$2,"."&amp;H$83&amp;H$1&amp;"P"&amp;$A122)="N/A",0,RTD("tos.rtd",,$A$2,"."&amp;H$83&amp;H$1&amp;"P"&amp;$A122))</f>
        <v>0</v>
      </c>
      <c r="I122" s="91">
        <f ca="1">IF(RTD("tos.rtd",,$A$2,"."&amp;I$83&amp;I$1&amp;"C"&amp;$A122)="N/A",0,RTD("tos.rtd",,$A$2,"."&amp;I$83&amp;I$1&amp;"C"&amp;$A122))-IF(RTD("tos.rtd",,$A$2,"."&amp;I$83&amp;I$1&amp;"P"&amp;$A122)="N/A",0,RTD("tos.rtd",,$A$2,"."&amp;I$83&amp;I$1&amp;"P"&amp;$A122))</f>
        <v>0</v>
      </c>
      <c r="J122" s="91">
        <f ca="1">IF(RTD("tos.rtd",,$A$2,"."&amp;J$83&amp;J$1&amp;"C"&amp;$A122)="N/A",0,RTD("tos.rtd",,$A$2,"."&amp;J$83&amp;J$1&amp;"C"&amp;$A122))-IF(RTD("tos.rtd",,$A$2,"."&amp;J$83&amp;J$1&amp;"P"&amp;$A122)="N/A",0,RTD("tos.rtd",,$A$2,"."&amp;J$83&amp;J$1&amp;"P"&amp;$A122))</f>
        <v>0</v>
      </c>
      <c r="K122" s="91">
        <f ca="1">IF(RTD("tos.rtd",,$A$2,"."&amp;K$83&amp;K$1&amp;"C"&amp;$A122)="N/A",0,RTD("tos.rtd",,$A$2,"."&amp;K$83&amp;K$1&amp;"C"&amp;$A122))-IF(RTD("tos.rtd",,$A$2,"."&amp;K$83&amp;K$1&amp;"P"&amp;$A122)="N/A",0,RTD("tos.rtd",,$A$2,"."&amp;K$83&amp;K$1&amp;"P"&amp;$A122))</f>
        <v>0</v>
      </c>
      <c r="L122" s="91">
        <f ca="1">IF(RTD("tos.rtd",,$A$2,"."&amp;L$83&amp;L$1&amp;"C"&amp;$A122)="N/A",0,RTD("tos.rtd",,$A$2,"."&amp;L$83&amp;L$1&amp;"C"&amp;$A122))-IF(RTD("tos.rtd",,$A$2,"."&amp;L$83&amp;L$1&amp;"P"&amp;$A122)="N/A",0,RTD("tos.rtd",,$A$2,"."&amp;L$83&amp;L$1&amp;"P"&amp;$A122))</f>
        <v>0</v>
      </c>
      <c r="M122" s="91">
        <f ca="1">IF(RTD("tos.rtd",,$A$2,"."&amp;M$83&amp;M$1&amp;"C"&amp;$A122)="N/A",0,RTD("tos.rtd",,$A$2,"."&amp;M$83&amp;M$1&amp;"C"&amp;$A122))-IF(RTD("tos.rtd",,$A$2,"."&amp;M$83&amp;M$1&amp;"P"&amp;$A122)="N/A",0,RTD("tos.rtd",,$A$2,"."&amp;M$83&amp;M$1&amp;"P"&amp;$A122))</f>
        <v>0</v>
      </c>
      <c r="N122" s="91">
        <f ca="1">IF(RTD("tos.rtd",,$A$2,"."&amp;N$83&amp;N$1&amp;"C"&amp;$A122)="N/A",0,RTD("tos.rtd",,$A$2,"."&amp;N$83&amp;N$1&amp;"C"&amp;$A122))-IF(RTD("tos.rtd",,$A$2,"."&amp;N$83&amp;N$1&amp;"P"&amp;$A122)="N/A",0,RTD("tos.rtd",,$A$2,"."&amp;N$83&amp;N$1&amp;"P"&amp;$A122))</f>
        <v>0</v>
      </c>
      <c r="O122" s="91">
        <f ca="1">IF(RTD("tos.rtd",,$A$2,"."&amp;O$83&amp;O$1&amp;"C"&amp;$A122)="N/A",0,RTD("tos.rtd",,$A$2,"."&amp;O$83&amp;O$1&amp;"C"&amp;$A122))-IF(RTD("tos.rtd",,$A$2,"."&amp;O$83&amp;O$1&amp;"P"&amp;$A122)="N/A",0,RTD("tos.rtd",,$A$2,"."&amp;O$83&amp;O$1&amp;"P"&amp;$A122))</f>
        <v>0</v>
      </c>
      <c r="P122" s="91">
        <f ca="1">IF(RTD("tos.rtd",,$A$2,"."&amp;P$83&amp;P$1&amp;"C"&amp;$A122)="N/A",0,RTD("tos.rtd",,$A$2,"."&amp;P$83&amp;P$1&amp;"C"&amp;$A122))-IF(RTD("tos.rtd",,$A$2,"."&amp;P$83&amp;P$1&amp;"P"&amp;$A122)="N/A",0,RTD("tos.rtd",,$A$2,"."&amp;P$83&amp;P$1&amp;"P"&amp;$A122))</f>
        <v>0</v>
      </c>
      <c r="Q122" s="91">
        <f ca="1">IF(RTD("tos.rtd",,$A$2,"."&amp;Q$83&amp;Q$1&amp;"C"&amp;$A122)="N/A",0,RTD("tos.rtd",,$A$2,"."&amp;Q$83&amp;Q$1&amp;"C"&amp;$A122))-IF(RTD("tos.rtd",,$A$2,"."&amp;Q$83&amp;Q$1&amp;"P"&amp;$A122)="N/A",0,RTD("tos.rtd",,$A$2,"."&amp;Q$83&amp;Q$1&amp;"P"&amp;$A122))</f>
        <v>0</v>
      </c>
      <c r="R122" s="91">
        <f ca="1">IF(RTD("tos.rtd",,$A$2,"."&amp;R$83&amp;R$1&amp;"C"&amp;$A122)="N/A",0,RTD("tos.rtd",,$A$2,"."&amp;R$83&amp;R$1&amp;"C"&amp;$A122))-IF(RTD("tos.rtd",,$A$2,"."&amp;R$83&amp;R$1&amp;"P"&amp;$A122)="N/A",0,RTD("tos.rtd",,$A$2,"."&amp;R$83&amp;R$1&amp;"P"&amp;$A122))</f>
        <v>0</v>
      </c>
      <c r="S122" s="91">
        <f ca="1">IF(RTD("tos.rtd",,$A$2,"."&amp;S$83&amp;S$1&amp;"C"&amp;$A122)="N/A",0,RTD("tos.rtd",,$A$2,"."&amp;S$83&amp;S$1&amp;"C"&amp;$A122))-IF(RTD("tos.rtd",,$A$2,"."&amp;S$83&amp;S$1&amp;"P"&amp;$A122)="N/A",0,RTD("tos.rtd",,$A$2,"."&amp;S$83&amp;S$1&amp;"P"&amp;$A122))</f>
        <v>0</v>
      </c>
      <c r="T122" s="91">
        <f ca="1">IF(RTD("tos.rtd",,$A$2,"."&amp;T$83&amp;T$1&amp;"C"&amp;$A122)="N/A",0,RTD("tos.rtd",,$A$2,"."&amp;T$83&amp;T$1&amp;"C"&amp;$A122))-IF(RTD("tos.rtd",,$A$2,"."&amp;T$83&amp;T$1&amp;"P"&amp;$A122)="N/A",0,RTD("tos.rtd",,$A$2,"."&amp;T$83&amp;T$1&amp;"P"&amp;$A122))</f>
        <v>0</v>
      </c>
      <c r="U122" s="91">
        <f ca="1">IF(RTD("tos.rtd",,$A$2,"."&amp;U$83&amp;U$1&amp;"C"&amp;$A122)="N/A",0,RTD("tos.rtd",,$A$2,"."&amp;U$83&amp;U$1&amp;"C"&amp;$A122))-IF(RTD("tos.rtd",,$A$2,"."&amp;U$83&amp;U$1&amp;"P"&amp;$A122)="N/A",0,RTD("tos.rtd",,$A$2,"."&amp;U$83&amp;U$1&amp;"P"&amp;$A122))</f>
        <v>0</v>
      </c>
      <c r="V122" s="91">
        <f ca="1">IF(RTD("tos.rtd",,$A$2,"."&amp;V$83&amp;V$1&amp;"C"&amp;$A122)="N/A",0,RTD("tos.rtd",,$A$2,"."&amp;V$83&amp;V$1&amp;"C"&amp;$A122))-IF(RTD("tos.rtd",,$A$2,"."&amp;V$83&amp;V$1&amp;"P"&amp;$A122)="N/A",0,RTD("tos.rtd",,$A$2,"."&amp;V$83&amp;V$1&amp;"P"&amp;$A122))</f>
        <v>0</v>
      </c>
      <c r="W122" s="91">
        <f ca="1">IF(RTD("tos.rtd",,$A$2,"."&amp;W$83&amp;W$1&amp;"C"&amp;$A122)="N/A",0,RTD("tos.rtd",,$A$2,"."&amp;W$83&amp;W$1&amp;"C"&amp;$A122))-IF(RTD("tos.rtd",,$A$2,"."&amp;W$83&amp;W$1&amp;"P"&amp;$A122)="N/A",0,RTD("tos.rtd",,$A$2,"."&amp;W$83&amp;W$1&amp;"P"&amp;$A122))</f>
        <v>0</v>
      </c>
      <c r="X122" s="91">
        <f ca="1">IF(RTD("tos.rtd",,$A$2,"."&amp;X$83&amp;X$1&amp;"C"&amp;$A122)="N/A",0,RTD("tos.rtd",,$A$2,"."&amp;X$83&amp;X$1&amp;"C"&amp;$A122))-IF(RTD("tos.rtd",,$A$2,"."&amp;X$83&amp;X$1&amp;"P"&amp;$A122)="N/A",0,RTD("tos.rtd",,$A$2,"."&amp;X$83&amp;X$1&amp;"P"&amp;$A122))</f>
        <v>0</v>
      </c>
      <c r="Y122" s="98">
        <f t="shared" ca="1" si="10"/>
        <v>0</v>
      </c>
    </row>
    <row r="123" spans="1:25" x14ac:dyDescent="0.25">
      <c r="A123" s="93">
        <f>+Hoja1!A122</f>
        <v>5500</v>
      </c>
      <c r="B123" s="91">
        <f ca="1">IF(RTD("tos.rtd",,$A$2,"."&amp;B$83&amp;B$1&amp;"C"&amp;$A123)="N/A",0,RTD("tos.rtd",,$A$2,"."&amp;B$83&amp;B$1&amp;"C"&amp;$A123))-IF(RTD("tos.rtd",,$A$2,"."&amp;B$83&amp;B$1&amp;"P"&amp;$A123)="N/A",0,RTD("tos.rtd",,$A$2,"."&amp;B$83&amp;B$1&amp;"P"&amp;$A123))</f>
        <v>0</v>
      </c>
      <c r="C123" s="91">
        <f ca="1">IF(RTD("tos.rtd",,$A$2,"."&amp;C$83&amp;C$1&amp;"C"&amp;$A123)="N/A",0,RTD("tos.rtd",,$A$2,"."&amp;C$83&amp;C$1&amp;"C"&amp;$A123))-IF(RTD("tos.rtd",,$A$2,"."&amp;C$83&amp;C$1&amp;"P"&amp;$A123)="N/A",0,RTD("tos.rtd",,$A$2,"."&amp;C$83&amp;C$1&amp;"P"&amp;$A123))</f>
        <v>0</v>
      </c>
      <c r="D123" s="91">
        <f ca="1">IF(RTD("tos.rtd",,$A$2,"."&amp;D$83&amp;D$1&amp;"C"&amp;$A123)="N/A",0,RTD("tos.rtd",,$A$2,"."&amp;D$83&amp;D$1&amp;"C"&amp;$A123))-IF(RTD("tos.rtd",,$A$2,"."&amp;D$83&amp;D$1&amp;"P"&amp;$A123)="N/A",0,RTD("tos.rtd",,$A$2,"."&amp;D$83&amp;D$1&amp;"P"&amp;$A123))</f>
        <v>0</v>
      </c>
      <c r="E123" s="91">
        <f ca="1">IF(RTD("tos.rtd",,$A$2,"."&amp;E$83&amp;E$1&amp;"C"&amp;$A123)="N/A",0,RTD("tos.rtd",,$A$2,"."&amp;E$83&amp;E$1&amp;"C"&amp;$A123))-IF(RTD("tos.rtd",,$A$2,"."&amp;E$83&amp;E$1&amp;"P"&amp;$A123)="N/A",0,RTD("tos.rtd",,$A$2,"."&amp;E$83&amp;E$1&amp;"P"&amp;$A123))</f>
        <v>0</v>
      </c>
      <c r="F123" s="91">
        <f ca="1">IF(RTD("tos.rtd",,$A$2,"."&amp;F$83&amp;F$1&amp;"C"&amp;$A123)="N/A",0,RTD("tos.rtd",,$A$2,"."&amp;F$83&amp;F$1&amp;"C"&amp;$A123))-IF(RTD("tos.rtd",,$A$2,"."&amp;F$83&amp;F$1&amp;"P"&amp;$A123)="N/A",0,RTD("tos.rtd",,$A$2,"."&amp;F$83&amp;F$1&amp;"P"&amp;$A123))</f>
        <v>0</v>
      </c>
      <c r="G123" s="91">
        <f ca="1">IF(RTD("tos.rtd",,$A$2,"."&amp;G$83&amp;G$1&amp;"C"&amp;$A123)="N/A",0,RTD("tos.rtd",,$A$2,"."&amp;G$83&amp;G$1&amp;"C"&amp;$A123))-IF(RTD("tos.rtd",,$A$2,"."&amp;G$83&amp;G$1&amp;"P"&amp;$A123)="N/A",0,RTD("tos.rtd",,$A$2,"."&amp;G$83&amp;G$1&amp;"P"&amp;$A123))</f>
        <v>0</v>
      </c>
      <c r="H123" s="91">
        <f ca="1">IF(RTD("tos.rtd",,$A$2,"."&amp;H$83&amp;H$1&amp;"C"&amp;$A123)="N/A",0,RTD("tos.rtd",,$A$2,"."&amp;H$83&amp;H$1&amp;"C"&amp;$A123))-IF(RTD("tos.rtd",,$A$2,"."&amp;H$83&amp;H$1&amp;"P"&amp;$A123)="N/A",0,RTD("tos.rtd",,$A$2,"."&amp;H$83&amp;H$1&amp;"P"&amp;$A123))</f>
        <v>0</v>
      </c>
      <c r="I123" s="91">
        <f ca="1">IF(RTD("tos.rtd",,$A$2,"."&amp;I$83&amp;I$1&amp;"C"&amp;$A123)="N/A",0,RTD("tos.rtd",,$A$2,"."&amp;I$83&amp;I$1&amp;"C"&amp;$A123))-IF(RTD("tos.rtd",,$A$2,"."&amp;I$83&amp;I$1&amp;"P"&amp;$A123)="N/A",0,RTD("tos.rtd",,$A$2,"."&amp;I$83&amp;I$1&amp;"P"&amp;$A123))</f>
        <v>0</v>
      </c>
      <c r="J123" s="91">
        <f ca="1">IF(RTD("tos.rtd",,$A$2,"."&amp;J$83&amp;J$1&amp;"C"&amp;$A123)="N/A",0,RTD("tos.rtd",,$A$2,"."&amp;J$83&amp;J$1&amp;"C"&amp;$A123))-IF(RTD("tos.rtd",,$A$2,"."&amp;J$83&amp;J$1&amp;"P"&amp;$A123)="N/A",0,RTD("tos.rtd",,$A$2,"."&amp;J$83&amp;J$1&amp;"P"&amp;$A123))</f>
        <v>0</v>
      </c>
      <c r="K123" s="91">
        <f ca="1">IF(RTD("tos.rtd",,$A$2,"."&amp;K$83&amp;K$1&amp;"C"&amp;$A123)="N/A",0,RTD("tos.rtd",,$A$2,"."&amp;K$83&amp;K$1&amp;"C"&amp;$A123))-IF(RTD("tos.rtd",,$A$2,"."&amp;K$83&amp;K$1&amp;"P"&amp;$A123)="N/A",0,RTD("tos.rtd",,$A$2,"."&amp;K$83&amp;K$1&amp;"P"&amp;$A123))</f>
        <v>-1</v>
      </c>
      <c r="L123" s="91">
        <f ca="1">IF(RTD("tos.rtd",,$A$2,"."&amp;L$83&amp;L$1&amp;"C"&amp;$A123)="N/A",0,RTD("tos.rtd",,$A$2,"."&amp;L$83&amp;L$1&amp;"C"&amp;$A123))-IF(RTD("tos.rtd",,$A$2,"."&amp;L$83&amp;L$1&amp;"P"&amp;$A123)="N/A",0,RTD("tos.rtd",,$A$2,"."&amp;L$83&amp;L$1&amp;"P"&amp;$A123))</f>
        <v>0</v>
      </c>
      <c r="M123" s="91">
        <f ca="1">IF(RTD("tos.rtd",,$A$2,"."&amp;M$83&amp;M$1&amp;"C"&amp;$A123)="N/A",0,RTD("tos.rtd",,$A$2,"."&amp;M$83&amp;M$1&amp;"C"&amp;$A123))-IF(RTD("tos.rtd",,$A$2,"."&amp;M$83&amp;M$1&amp;"P"&amp;$A123)="N/A",0,RTD("tos.rtd",,$A$2,"."&amp;M$83&amp;M$1&amp;"P"&amp;$A123))</f>
        <v>0</v>
      </c>
      <c r="N123" s="91">
        <f ca="1">IF(RTD("tos.rtd",,$A$2,"."&amp;N$83&amp;N$1&amp;"C"&amp;$A123)="N/A",0,RTD("tos.rtd",,$A$2,"."&amp;N$83&amp;N$1&amp;"C"&amp;$A123))-IF(RTD("tos.rtd",,$A$2,"."&amp;N$83&amp;N$1&amp;"P"&amp;$A123)="N/A",0,RTD("tos.rtd",,$A$2,"."&amp;N$83&amp;N$1&amp;"P"&amp;$A123))</f>
        <v>0</v>
      </c>
      <c r="O123" s="91">
        <f ca="1">IF(RTD("tos.rtd",,$A$2,"."&amp;O$83&amp;O$1&amp;"C"&amp;$A123)="N/A",0,RTD("tos.rtd",,$A$2,"."&amp;O$83&amp;O$1&amp;"C"&amp;$A123))-IF(RTD("tos.rtd",,$A$2,"."&amp;O$83&amp;O$1&amp;"P"&amp;$A123)="N/A",0,RTD("tos.rtd",,$A$2,"."&amp;O$83&amp;O$1&amp;"P"&amp;$A123))</f>
        <v>0</v>
      </c>
      <c r="P123" s="91">
        <f ca="1">IF(RTD("tos.rtd",,$A$2,"."&amp;P$83&amp;P$1&amp;"C"&amp;$A123)="N/A",0,RTD("tos.rtd",,$A$2,"."&amp;P$83&amp;P$1&amp;"C"&amp;$A123))-IF(RTD("tos.rtd",,$A$2,"."&amp;P$83&amp;P$1&amp;"P"&amp;$A123)="N/A",0,RTD("tos.rtd",,$A$2,"."&amp;P$83&amp;P$1&amp;"P"&amp;$A123))</f>
        <v>0</v>
      </c>
      <c r="Q123" s="91">
        <f ca="1">IF(RTD("tos.rtd",,$A$2,"."&amp;Q$83&amp;Q$1&amp;"C"&amp;$A123)="N/A",0,RTD("tos.rtd",,$A$2,"."&amp;Q$83&amp;Q$1&amp;"C"&amp;$A123))-IF(RTD("tos.rtd",,$A$2,"."&amp;Q$83&amp;Q$1&amp;"P"&amp;$A123)="N/A",0,RTD("tos.rtd",,$A$2,"."&amp;Q$83&amp;Q$1&amp;"P"&amp;$A123))</f>
        <v>0</v>
      </c>
      <c r="R123" s="91">
        <f ca="1">IF(RTD("tos.rtd",,$A$2,"."&amp;R$83&amp;R$1&amp;"C"&amp;$A123)="N/A",0,RTD("tos.rtd",,$A$2,"."&amp;R$83&amp;R$1&amp;"C"&amp;$A123))-IF(RTD("tos.rtd",,$A$2,"."&amp;R$83&amp;R$1&amp;"P"&amp;$A123)="N/A",0,RTD("tos.rtd",,$A$2,"."&amp;R$83&amp;R$1&amp;"P"&amp;$A123))</f>
        <v>0</v>
      </c>
      <c r="S123" s="91">
        <f ca="1">IF(RTD("tos.rtd",,$A$2,"."&amp;S$83&amp;S$1&amp;"C"&amp;$A123)="N/A",0,RTD("tos.rtd",,$A$2,"."&amp;S$83&amp;S$1&amp;"C"&amp;$A123))-IF(RTD("tos.rtd",,$A$2,"."&amp;S$83&amp;S$1&amp;"P"&amp;$A123)="N/A",0,RTD("tos.rtd",,$A$2,"."&amp;S$83&amp;S$1&amp;"P"&amp;$A123))</f>
        <v>0</v>
      </c>
      <c r="T123" s="91">
        <f ca="1">IF(RTD("tos.rtd",,$A$2,"."&amp;T$83&amp;T$1&amp;"C"&amp;$A123)="N/A",0,RTD("tos.rtd",,$A$2,"."&amp;T$83&amp;T$1&amp;"C"&amp;$A123))-IF(RTD("tos.rtd",,$A$2,"."&amp;T$83&amp;T$1&amp;"P"&amp;$A123)="N/A",0,RTD("tos.rtd",,$A$2,"."&amp;T$83&amp;T$1&amp;"P"&amp;$A123))</f>
        <v>0</v>
      </c>
      <c r="U123" s="91">
        <f ca="1">IF(RTD("tos.rtd",,$A$2,"."&amp;U$83&amp;U$1&amp;"C"&amp;$A123)="N/A",0,RTD("tos.rtd",,$A$2,"."&amp;U$83&amp;U$1&amp;"C"&amp;$A123))-IF(RTD("tos.rtd",,$A$2,"."&amp;U$83&amp;U$1&amp;"P"&amp;$A123)="N/A",0,RTD("tos.rtd",,$A$2,"."&amp;U$83&amp;U$1&amp;"P"&amp;$A123))</f>
        <v>0</v>
      </c>
      <c r="V123" s="91">
        <f ca="1">IF(RTD("tos.rtd",,$A$2,"."&amp;V$83&amp;V$1&amp;"C"&amp;$A123)="N/A",0,RTD("tos.rtd",,$A$2,"."&amp;V$83&amp;V$1&amp;"C"&amp;$A123))-IF(RTD("tos.rtd",,$A$2,"."&amp;V$83&amp;V$1&amp;"P"&amp;$A123)="N/A",0,RTD("tos.rtd",,$A$2,"."&amp;V$83&amp;V$1&amp;"P"&amp;$A123))</f>
        <v>0</v>
      </c>
      <c r="W123" s="91">
        <f ca="1">IF(RTD("tos.rtd",,$A$2,"."&amp;W$83&amp;W$1&amp;"C"&amp;$A123)="N/A",0,RTD("tos.rtd",,$A$2,"."&amp;W$83&amp;W$1&amp;"C"&amp;$A123))-IF(RTD("tos.rtd",,$A$2,"."&amp;W$83&amp;W$1&amp;"P"&amp;$A123)="N/A",0,RTD("tos.rtd",,$A$2,"."&amp;W$83&amp;W$1&amp;"P"&amp;$A123))</f>
        <v>0</v>
      </c>
      <c r="X123" s="91">
        <f ca="1">IF(RTD("tos.rtd",,$A$2,"."&amp;X$83&amp;X$1&amp;"C"&amp;$A123)="N/A",0,RTD("tos.rtd",,$A$2,"."&amp;X$83&amp;X$1&amp;"C"&amp;$A123))-IF(RTD("tos.rtd",,$A$2,"."&amp;X$83&amp;X$1&amp;"P"&amp;$A123)="N/A",0,RTD("tos.rtd",,$A$2,"."&amp;X$83&amp;X$1&amp;"P"&amp;$A123))</f>
        <v>0</v>
      </c>
      <c r="Y123" s="98">
        <f t="shared" ca="1" si="10"/>
        <v>-1</v>
      </c>
    </row>
    <row r="124" spans="1:25" x14ac:dyDescent="0.25">
      <c r="A124" s="93">
        <f>+Hoja1!A123</f>
        <v>5490</v>
      </c>
      <c r="B124" s="91">
        <f ca="1">IF(RTD("tos.rtd",,$A$2,"."&amp;B$83&amp;B$1&amp;"C"&amp;$A124)="N/A",0,RTD("tos.rtd",,$A$2,"."&amp;B$83&amp;B$1&amp;"C"&amp;$A124))-IF(RTD("tos.rtd",,$A$2,"."&amp;B$83&amp;B$1&amp;"P"&amp;$A124)="N/A",0,RTD("tos.rtd",,$A$2,"."&amp;B$83&amp;B$1&amp;"P"&amp;$A124))</f>
        <v>0</v>
      </c>
      <c r="C124" s="91">
        <f ca="1">IF(RTD("tos.rtd",,$A$2,"."&amp;C$83&amp;C$1&amp;"C"&amp;$A124)="N/A",0,RTD("tos.rtd",,$A$2,"."&amp;C$83&amp;C$1&amp;"C"&amp;$A124))-IF(RTD("tos.rtd",,$A$2,"."&amp;C$83&amp;C$1&amp;"P"&amp;$A124)="N/A",0,RTD("tos.rtd",,$A$2,"."&amp;C$83&amp;C$1&amp;"P"&amp;$A124))</f>
        <v>0</v>
      </c>
      <c r="D124" s="91">
        <f ca="1">IF(RTD("tos.rtd",,$A$2,"."&amp;D$83&amp;D$1&amp;"C"&amp;$A124)="N/A",0,RTD("tos.rtd",,$A$2,"."&amp;D$83&amp;D$1&amp;"C"&amp;$A124))-IF(RTD("tos.rtd",,$A$2,"."&amp;D$83&amp;D$1&amp;"P"&amp;$A124)="N/A",0,RTD("tos.rtd",,$A$2,"."&amp;D$83&amp;D$1&amp;"P"&amp;$A124))</f>
        <v>0</v>
      </c>
      <c r="E124" s="91">
        <f ca="1">IF(RTD("tos.rtd",,$A$2,"."&amp;E$83&amp;E$1&amp;"C"&amp;$A124)="N/A",0,RTD("tos.rtd",,$A$2,"."&amp;E$83&amp;E$1&amp;"C"&amp;$A124))-IF(RTD("tos.rtd",,$A$2,"."&amp;E$83&amp;E$1&amp;"P"&amp;$A124)="N/A",0,RTD("tos.rtd",,$A$2,"."&amp;E$83&amp;E$1&amp;"P"&amp;$A124))</f>
        <v>0</v>
      </c>
      <c r="F124" s="91">
        <f ca="1">IF(RTD("tos.rtd",,$A$2,"."&amp;F$83&amp;F$1&amp;"C"&amp;$A124)="N/A",0,RTD("tos.rtd",,$A$2,"."&amp;F$83&amp;F$1&amp;"C"&amp;$A124))-IF(RTD("tos.rtd",,$A$2,"."&amp;F$83&amp;F$1&amp;"P"&amp;$A124)="N/A",0,RTD("tos.rtd",,$A$2,"."&amp;F$83&amp;F$1&amp;"P"&amp;$A124))</f>
        <v>0</v>
      </c>
      <c r="G124" s="91">
        <f ca="1">IF(RTD("tos.rtd",,$A$2,"."&amp;G$83&amp;G$1&amp;"C"&amp;$A124)="N/A",0,RTD("tos.rtd",,$A$2,"."&amp;G$83&amp;G$1&amp;"C"&amp;$A124))-IF(RTD("tos.rtd",,$A$2,"."&amp;G$83&amp;G$1&amp;"P"&amp;$A124)="N/A",0,RTD("tos.rtd",,$A$2,"."&amp;G$83&amp;G$1&amp;"P"&amp;$A124))</f>
        <v>0</v>
      </c>
      <c r="H124" s="91">
        <f ca="1">IF(RTD("tos.rtd",,$A$2,"."&amp;H$83&amp;H$1&amp;"C"&amp;$A124)="N/A",0,RTD("tos.rtd",,$A$2,"."&amp;H$83&amp;H$1&amp;"C"&amp;$A124))-IF(RTD("tos.rtd",,$A$2,"."&amp;H$83&amp;H$1&amp;"P"&amp;$A124)="N/A",0,RTD("tos.rtd",,$A$2,"."&amp;H$83&amp;H$1&amp;"P"&amp;$A124))</f>
        <v>0</v>
      </c>
      <c r="I124" s="91">
        <f ca="1">IF(RTD("tos.rtd",,$A$2,"."&amp;I$83&amp;I$1&amp;"C"&amp;$A124)="N/A",0,RTD("tos.rtd",,$A$2,"."&amp;I$83&amp;I$1&amp;"C"&amp;$A124))-IF(RTD("tos.rtd",,$A$2,"."&amp;I$83&amp;I$1&amp;"P"&amp;$A124)="N/A",0,RTD("tos.rtd",,$A$2,"."&amp;I$83&amp;I$1&amp;"P"&amp;$A124))</f>
        <v>0</v>
      </c>
      <c r="J124" s="91">
        <f ca="1">IF(RTD("tos.rtd",,$A$2,"."&amp;J$83&amp;J$1&amp;"C"&amp;$A124)="N/A",0,RTD("tos.rtd",,$A$2,"."&amp;J$83&amp;J$1&amp;"C"&amp;$A124))-IF(RTD("tos.rtd",,$A$2,"."&amp;J$83&amp;J$1&amp;"P"&amp;$A124)="N/A",0,RTD("tos.rtd",,$A$2,"."&amp;J$83&amp;J$1&amp;"P"&amp;$A124))</f>
        <v>0</v>
      </c>
      <c r="K124" s="91">
        <f ca="1">IF(RTD("tos.rtd",,$A$2,"."&amp;K$83&amp;K$1&amp;"C"&amp;$A124)="N/A",0,RTD("tos.rtd",,$A$2,"."&amp;K$83&amp;K$1&amp;"C"&amp;$A124))-IF(RTD("tos.rtd",,$A$2,"."&amp;K$83&amp;K$1&amp;"P"&amp;$A124)="N/A",0,RTD("tos.rtd",,$A$2,"."&amp;K$83&amp;K$1&amp;"P"&amp;$A124))</f>
        <v>0</v>
      </c>
      <c r="L124" s="91">
        <f ca="1">IF(RTD("tos.rtd",,$A$2,"."&amp;L$83&amp;L$1&amp;"C"&amp;$A124)="N/A",0,RTD("tos.rtd",,$A$2,"."&amp;L$83&amp;L$1&amp;"C"&amp;$A124))-IF(RTD("tos.rtd",,$A$2,"."&amp;L$83&amp;L$1&amp;"P"&amp;$A124)="N/A",0,RTD("tos.rtd",,$A$2,"."&amp;L$83&amp;L$1&amp;"P"&amp;$A124))</f>
        <v>0</v>
      </c>
      <c r="M124" s="91">
        <f ca="1">IF(RTD("tos.rtd",,$A$2,"."&amp;M$83&amp;M$1&amp;"C"&amp;$A124)="N/A",0,RTD("tos.rtd",,$A$2,"."&amp;M$83&amp;M$1&amp;"C"&amp;$A124))-IF(RTD("tos.rtd",,$A$2,"."&amp;M$83&amp;M$1&amp;"P"&amp;$A124)="N/A",0,RTD("tos.rtd",,$A$2,"."&amp;M$83&amp;M$1&amp;"P"&amp;$A124))</f>
        <v>0</v>
      </c>
      <c r="N124" s="91">
        <f ca="1">IF(RTD("tos.rtd",,$A$2,"."&amp;N$83&amp;N$1&amp;"C"&amp;$A124)="N/A",0,RTD("tos.rtd",,$A$2,"."&amp;N$83&amp;N$1&amp;"C"&amp;$A124))-IF(RTD("tos.rtd",,$A$2,"."&amp;N$83&amp;N$1&amp;"P"&amp;$A124)="N/A",0,RTD("tos.rtd",,$A$2,"."&amp;N$83&amp;N$1&amp;"P"&amp;$A124))</f>
        <v>0</v>
      </c>
      <c r="O124" s="91">
        <f ca="1">IF(RTD("tos.rtd",,$A$2,"."&amp;O$83&amp;O$1&amp;"C"&amp;$A124)="N/A",0,RTD("tos.rtd",,$A$2,"."&amp;O$83&amp;O$1&amp;"C"&amp;$A124))-IF(RTD("tos.rtd",,$A$2,"."&amp;O$83&amp;O$1&amp;"P"&amp;$A124)="N/A",0,RTD("tos.rtd",,$A$2,"."&amp;O$83&amp;O$1&amp;"P"&amp;$A124))</f>
        <v>0</v>
      </c>
      <c r="P124" s="91">
        <f ca="1">IF(RTD("tos.rtd",,$A$2,"."&amp;P$83&amp;P$1&amp;"C"&amp;$A124)="N/A",0,RTD("tos.rtd",,$A$2,"."&amp;P$83&amp;P$1&amp;"C"&amp;$A124))-IF(RTD("tos.rtd",,$A$2,"."&amp;P$83&amp;P$1&amp;"P"&amp;$A124)="N/A",0,RTD("tos.rtd",,$A$2,"."&amp;P$83&amp;P$1&amp;"P"&amp;$A124))</f>
        <v>0</v>
      </c>
      <c r="Q124" s="91">
        <f ca="1">IF(RTD("tos.rtd",,$A$2,"."&amp;Q$83&amp;Q$1&amp;"C"&amp;$A124)="N/A",0,RTD("tos.rtd",,$A$2,"."&amp;Q$83&amp;Q$1&amp;"C"&amp;$A124))-IF(RTD("tos.rtd",,$A$2,"."&amp;Q$83&amp;Q$1&amp;"P"&amp;$A124)="N/A",0,RTD("tos.rtd",,$A$2,"."&amp;Q$83&amp;Q$1&amp;"P"&amp;$A124))</f>
        <v>0</v>
      </c>
      <c r="R124" s="91">
        <f ca="1">IF(RTD("tos.rtd",,$A$2,"."&amp;R$83&amp;R$1&amp;"C"&amp;$A124)="N/A",0,RTD("tos.rtd",,$A$2,"."&amp;R$83&amp;R$1&amp;"C"&amp;$A124))-IF(RTD("tos.rtd",,$A$2,"."&amp;R$83&amp;R$1&amp;"P"&amp;$A124)="N/A",0,RTD("tos.rtd",,$A$2,"."&amp;R$83&amp;R$1&amp;"P"&amp;$A124))</f>
        <v>0</v>
      </c>
      <c r="S124" s="91">
        <f ca="1">IF(RTD("tos.rtd",,$A$2,"."&amp;S$83&amp;S$1&amp;"C"&amp;$A124)="N/A",0,RTD("tos.rtd",,$A$2,"."&amp;S$83&amp;S$1&amp;"C"&amp;$A124))-IF(RTD("tos.rtd",,$A$2,"."&amp;S$83&amp;S$1&amp;"P"&amp;$A124)="N/A",0,RTD("tos.rtd",,$A$2,"."&amp;S$83&amp;S$1&amp;"P"&amp;$A124))</f>
        <v>0</v>
      </c>
      <c r="T124" s="91">
        <f ca="1">IF(RTD("tos.rtd",,$A$2,"."&amp;T$83&amp;T$1&amp;"C"&amp;$A124)="N/A",0,RTD("tos.rtd",,$A$2,"."&amp;T$83&amp;T$1&amp;"C"&amp;$A124))-IF(RTD("tos.rtd",,$A$2,"."&amp;T$83&amp;T$1&amp;"P"&amp;$A124)="N/A",0,RTD("tos.rtd",,$A$2,"."&amp;T$83&amp;T$1&amp;"P"&amp;$A124))</f>
        <v>0</v>
      </c>
      <c r="U124" s="91">
        <f ca="1">IF(RTD("tos.rtd",,$A$2,"."&amp;U$83&amp;U$1&amp;"C"&amp;$A124)="N/A",0,RTD("tos.rtd",,$A$2,"."&amp;U$83&amp;U$1&amp;"C"&amp;$A124))-IF(RTD("tos.rtd",,$A$2,"."&amp;U$83&amp;U$1&amp;"P"&amp;$A124)="N/A",0,RTD("tos.rtd",,$A$2,"."&amp;U$83&amp;U$1&amp;"P"&amp;$A124))</f>
        <v>0</v>
      </c>
      <c r="V124" s="91">
        <f ca="1">IF(RTD("tos.rtd",,$A$2,"."&amp;V$83&amp;V$1&amp;"C"&amp;$A124)="N/A",0,RTD("tos.rtd",,$A$2,"."&amp;V$83&amp;V$1&amp;"C"&amp;$A124))-IF(RTD("tos.rtd",,$A$2,"."&amp;V$83&amp;V$1&amp;"P"&amp;$A124)="N/A",0,RTD("tos.rtd",,$A$2,"."&amp;V$83&amp;V$1&amp;"P"&amp;$A124))</f>
        <v>0</v>
      </c>
      <c r="W124" s="91">
        <f ca="1">IF(RTD("tos.rtd",,$A$2,"."&amp;W$83&amp;W$1&amp;"C"&amp;$A124)="N/A",0,RTD("tos.rtd",,$A$2,"."&amp;W$83&amp;W$1&amp;"C"&amp;$A124))-IF(RTD("tos.rtd",,$A$2,"."&amp;W$83&amp;W$1&amp;"P"&amp;$A124)="N/A",0,RTD("tos.rtd",,$A$2,"."&amp;W$83&amp;W$1&amp;"P"&amp;$A124))</f>
        <v>0</v>
      </c>
      <c r="X124" s="91">
        <f ca="1">IF(RTD("tos.rtd",,$A$2,"."&amp;X$83&amp;X$1&amp;"C"&amp;$A124)="N/A",0,RTD("tos.rtd",,$A$2,"."&amp;X$83&amp;X$1&amp;"C"&amp;$A124))-IF(RTD("tos.rtd",,$A$2,"."&amp;X$83&amp;X$1&amp;"P"&amp;$A124)="N/A",0,RTD("tos.rtd",,$A$2,"."&amp;X$83&amp;X$1&amp;"P"&amp;$A124))</f>
        <v>0</v>
      </c>
      <c r="Y124" s="98">
        <f t="shared" ca="1" si="10"/>
        <v>0</v>
      </c>
    </row>
    <row r="125" spans="1:25" x14ac:dyDescent="0.25">
      <c r="A125" s="93">
        <f>+Hoja1!A124</f>
        <v>5480</v>
      </c>
      <c r="B125" s="91">
        <f ca="1">IF(RTD("tos.rtd",,$A$2,"."&amp;B$83&amp;B$1&amp;"C"&amp;$A125)="N/A",0,RTD("tos.rtd",,$A$2,"."&amp;B$83&amp;B$1&amp;"C"&amp;$A125))-IF(RTD("tos.rtd",,$A$2,"."&amp;B$83&amp;B$1&amp;"P"&amp;$A125)="N/A",0,RTD("tos.rtd",,$A$2,"."&amp;B$83&amp;B$1&amp;"P"&amp;$A125))</f>
        <v>0</v>
      </c>
      <c r="C125" s="91">
        <f ca="1">IF(RTD("tos.rtd",,$A$2,"."&amp;C$83&amp;C$1&amp;"C"&amp;$A125)="N/A",0,RTD("tos.rtd",,$A$2,"."&amp;C$83&amp;C$1&amp;"C"&amp;$A125))-IF(RTD("tos.rtd",,$A$2,"."&amp;C$83&amp;C$1&amp;"P"&amp;$A125)="N/A",0,RTD("tos.rtd",,$A$2,"."&amp;C$83&amp;C$1&amp;"P"&amp;$A125))</f>
        <v>0</v>
      </c>
      <c r="D125" s="91">
        <f ca="1">IF(RTD("tos.rtd",,$A$2,"."&amp;D$83&amp;D$1&amp;"C"&amp;$A125)="N/A",0,RTD("tos.rtd",,$A$2,"."&amp;D$83&amp;D$1&amp;"C"&amp;$A125))-IF(RTD("tos.rtd",,$A$2,"."&amp;D$83&amp;D$1&amp;"P"&amp;$A125)="N/A",0,RTD("tos.rtd",,$A$2,"."&amp;D$83&amp;D$1&amp;"P"&amp;$A125))</f>
        <v>0</v>
      </c>
      <c r="E125" s="91">
        <f ca="1">IF(RTD("tos.rtd",,$A$2,"."&amp;E$83&amp;E$1&amp;"C"&amp;$A125)="N/A",0,RTD("tos.rtd",,$A$2,"."&amp;E$83&amp;E$1&amp;"C"&amp;$A125))-IF(RTD("tos.rtd",,$A$2,"."&amp;E$83&amp;E$1&amp;"P"&amp;$A125)="N/A",0,RTD("tos.rtd",,$A$2,"."&amp;E$83&amp;E$1&amp;"P"&amp;$A125))</f>
        <v>0</v>
      </c>
      <c r="F125" s="91">
        <f ca="1">IF(RTD("tos.rtd",,$A$2,"."&amp;F$83&amp;F$1&amp;"C"&amp;$A125)="N/A",0,RTD("tos.rtd",,$A$2,"."&amp;F$83&amp;F$1&amp;"C"&amp;$A125))-IF(RTD("tos.rtd",,$A$2,"."&amp;F$83&amp;F$1&amp;"P"&amp;$A125)="N/A",0,RTD("tos.rtd",,$A$2,"."&amp;F$83&amp;F$1&amp;"P"&amp;$A125))</f>
        <v>0</v>
      </c>
      <c r="G125" s="91">
        <f ca="1">IF(RTD("tos.rtd",,$A$2,"."&amp;G$83&amp;G$1&amp;"C"&amp;$A125)="N/A",0,RTD("tos.rtd",,$A$2,"."&amp;G$83&amp;G$1&amp;"C"&amp;$A125))-IF(RTD("tos.rtd",,$A$2,"."&amp;G$83&amp;G$1&amp;"P"&amp;$A125)="N/A",0,RTD("tos.rtd",,$A$2,"."&amp;G$83&amp;G$1&amp;"P"&amp;$A125))</f>
        <v>0</v>
      </c>
      <c r="H125" s="91">
        <f ca="1">IF(RTD("tos.rtd",,$A$2,"."&amp;H$83&amp;H$1&amp;"C"&amp;$A125)="N/A",0,RTD("tos.rtd",,$A$2,"."&amp;H$83&amp;H$1&amp;"C"&amp;$A125))-IF(RTD("tos.rtd",,$A$2,"."&amp;H$83&amp;H$1&amp;"P"&amp;$A125)="N/A",0,RTD("tos.rtd",,$A$2,"."&amp;H$83&amp;H$1&amp;"P"&amp;$A125))</f>
        <v>0</v>
      </c>
      <c r="I125" s="91">
        <f ca="1">IF(RTD("tos.rtd",,$A$2,"."&amp;I$83&amp;I$1&amp;"C"&amp;$A125)="N/A",0,RTD("tos.rtd",,$A$2,"."&amp;I$83&amp;I$1&amp;"C"&amp;$A125))-IF(RTD("tos.rtd",,$A$2,"."&amp;I$83&amp;I$1&amp;"P"&amp;$A125)="N/A",0,RTD("tos.rtd",,$A$2,"."&amp;I$83&amp;I$1&amp;"P"&amp;$A125))</f>
        <v>0</v>
      </c>
      <c r="J125" s="91">
        <f ca="1">IF(RTD("tos.rtd",,$A$2,"."&amp;J$83&amp;J$1&amp;"C"&amp;$A125)="N/A",0,RTD("tos.rtd",,$A$2,"."&amp;J$83&amp;J$1&amp;"C"&amp;$A125))-IF(RTD("tos.rtd",,$A$2,"."&amp;J$83&amp;J$1&amp;"P"&amp;$A125)="N/A",0,RTD("tos.rtd",,$A$2,"."&amp;J$83&amp;J$1&amp;"P"&amp;$A125))</f>
        <v>0</v>
      </c>
      <c r="K125" s="91">
        <f ca="1">IF(RTD("tos.rtd",,$A$2,"."&amp;K$83&amp;K$1&amp;"C"&amp;$A125)="N/A",0,RTD("tos.rtd",,$A$2,"."&amp;K$83&amp;K$1&amp;"C"&amp;$A125))-IF(RTD("tos.rtd",,$A$2,"."&amp;K$83&amp;K$1&amp;"P"&amp;$A125)="N/A",0,RTD("tos.rtd",,$A$2,"."&amp;K$83&amp;K$1&amp;"P"&amp;$A125))</f>
        <v>0</v>
      </c>
      <c r="L125" s="91">
        <f ca="1">IF(RTD("tos.rtd",,$A$2,"."&amp;L$83&amp;L$1&amp;"C"&amp;$A125)="N/A",0,RTD("tos.rtd",,$A$2,"."&amp;L$83&amp;L$1&amp;"C"&amp;$A125))-IF(RTD("tos.rtd",,$A$2,"."&amp;L$83&amp;L$1&amp;"P"&amp;$A125)="N/A",0,RTD("tos.rtd",,$A$2,"."&amp;L$83&amp;L$1&amp;"P"&amp;$A125))</f>
        <v>0</v>
      </c>
      <c r="M125" s="91">
        <f ca="1">IF(RTD("tos.rtd",,$A$2,"."&amp;M$83&amp;M$1&amp;"C"&amp;$A125)="N/A",0,RTD("tos.rtd",,$A$2,"."&amp;M$83&amp;M$1&amp;"C"&amp;$A125))-IF(RTD("tos.rtd",,$A$2,"."&amp;M$83&amp;M$1&amp;"P"&amp;$A125)="N/A",0,RTD("tos.rtd",,$A$2,"."&amp;M$83&amp;M$1&amp;"P"&amp;$A125))</f>
        <v>0</v>
      </c>
      <c r="N125" s="91">
        <f ca="1">IF(RTD("tos.rtd",,$A$2,"."&amp;N$83&amp;N$1&amp;"C"&amp;$A125)="N/A",0,RTD("tos.rtd",,$A$2,"."&amp;N$83&amp;N$1&amp;"C"&amp;$A125))-IF(RTD("tos.rtd",,$A$2,"."&amp;N$83&amp;N$1&amp;"P"&amp;$A125)="N/A",0,RTD("tos.rtd",,$A$2,"."&amp;N$83&amp;N$1&amp;"P"&amp;$A125))</f>
        <v>0</v>
      </c>
      <c r="O125" s="91">
        <f ca="1">IF(RTD("tos.rtd",,$A$2,"."&amp;O$83&amp;O$1&amp;"C"&amp;$A125)="N/A",0,RTD("tos.rtd",,$A$2,"."&amp;O$83&amp;O$1&amp;"C"&amp;$A125))-IF(RTD("tos.rtd",,$A$2,"."&amp;O$83&amp;O$1&amp;"P"&amp;$A125)="N/A",0,RTD("tos.rtd",,$A$2,"."&amp;O$83&amp;O$1&amp;"P"&amp;$A125))</f>
        <v>0</v>
      </c>
      <c r="P125" s="91">
        <f ca="1">IF(RTD("tos.rtd",,$A$2,"."&amp;P$83&amp;P$1&amp;"C"&amp;$A125)="N/A",0,RTD("tos.rtd",,$A$2,"."&amp;P$83&amp;P$1&amp;"C"&amp;$A125))-IF(RTD("tos.rtd",,$A$2,"."&amp;P$83&amp;P$1&amp;"P"&amp;$A125)="N/A",0,RTD("tos.rtd",,$A$2,"."&amp;P$83&amp;P$1&amp;"P"&amp;$A125))</f>
        <v>0</v>
      </c>
      <c r="Q125" s="91">
        <f ca="1">IF(RTD("tos.rtd",,$A$2,"."&amp;Q$83&amp;Q$1&amp;"C"&amp;$A125)="N/A",0,RTD("tos.rtd",,$A$2,"."&amp;Q$83&amp;Q$1&amp;"C"&amp;$A125))-IF(RTD("tos.rtd",,$A$2,"."&amp;Q$83&amp;Q$1&amp;"P"&amp;$A125)="N/A",0,RTD("tos.rtd",,$A$2,"."&amp;Q$83&amp;Q$1&amp;"P"&amp;$A125))</f>
        <v>0</v>
      </c>
      <c r="R125" s="91">
        <f ca="1">IF(RTD("tos.rtd",,$A$2,"."&amp;R$83&amp;R$1&amp;"C"&amp;$A125)="N/A",0,RTD("tos.rtd",,$A$2,"."&amp;R$83&amp;R$1&amp;"C"&amp;$A125))-IF(RTD("tos.rtd",,$A$2,"."&amp;R$83&amp;R$1&amp;"P"&amp;$A125)="N/A",0,RTD("tos.rtd",,$A$2,"."&amp;R$83&amp;R$1&amp;"P"&amp;$A125))</f>
        <v>0</v>
      </c>
      <c r="S125" s="91">
        <f ca="1">IF(RTD("tos.rtd",,$A$2,"."&amp;S$83&amp;S$1&amp;"C"&amp;$A125)="N/A",0,RTD("tos.rtd",,$A$2,"."&amp;S$83&amp;S$1&amp;"C"&amp;$A125))-IF(RTD("tos.rtd",,$A$2,"."&amp;S$83&amp;S$1&amp;"P"&amp;$A125)="N/A",0,RTD("tos.rtd",,$A$2,"."&amp;S$83&amp;S$1&amp;"P"&amp;$A125))</f>
        <v>0</v>
      </c>
      <c r="T125" s="91">
        <f ca="1">IF(RTD("tos.rtd",,$A$2,"."&amp;T$83&amp;T$1&amp;"C"&amp;$A125)="N/A",0,RTD("tos.rtd",,$A$2,"."&amp;T$83&amp;T$1&amp;"C"&amp;$A125))-IF(RTD("tos.rtd",,$A$2,"."&amp;T$83&amp;T$1&amp;"P"&amp;$A125)="N/A",0,RTD("tos.rtd",,$A$2,"."&amp;T$83&amp;T$1&amp;"P"&amp;$A125))</f>
        <v>0</v>
      </c>
      <c r="U125" s="91">
        <f ca="1">IF(RTD("tos.rtd",,$A$2,"."&amp;U$83&amp;U$1&amp;"C"&amp;$A125)="N/A",0,RTD("tos.rtd",,$A$2,"."&amp;U$83&amp;U$1&amp;"C"&amp;$A125))-IF(RTD("tos.rtd",,$A$2,"."&amp;U$83&amp;U$1&amp;"P"&amp;$A125)="N/A",0,RTD("tos.rtd",,$A$2,"."&amp;U$83&amp;U$1&amp;"P"&amp;$A125))</f>
        <v>0</v>
      </c>
      <c r="V125" s="91">
        <f ca="1">IF(RTD("tos.rtd",,$A$2,"."&amp;V$83&amp;V$1&amp;"C"&amp;$A125)="N/A",0,RTD("tos.rtd",,$A$2,"."&amp;V$83&amp;V$1&amp;"C"&amp;$A125))-IF(RTD("tos.rtd",,$A$2,"."&amp;V$83&amp;V$1&amp;"P"&amp;$A125)="N/A",0,RTD("tos.rtd",,$A$2,"."&amp;V$83&amp;V$1&amp;"P"&amp;$A125))</f>
        <v>0</v>
      </c>
      <c r="W125" s="91">
        <f ca="1">IF(RTD("tos.rtd",,$A$2,"."&amp;W$83&amp;W$1&amp;"C"&amp;$A125)="N/A",0,RTD("tos.rtd",,$A$2,"."&amp;W$83&amp;W$1&amp;"C"&amp;$A125))-IF(RTD("tos.rtd",,$A$2,"."&amp;W$83&amp;W$1&amp;"P"&amp;$A125)="N/A",0,RTD("tos.rtd",,$A$2,"."&amp;W$83&amp;W$1&amp;"P"&amp;$A125))</f>
        <v>0</v>
      </c>
      <c r="X125" s="91">
        <f ca="1">IF(RTD("tos.rtd",,$A$2,"."&amp;X$83&amp;X$1&amp;"C"&amp;$A125)="N/A",0,RTD("tos.rtd",,$A$2,"."&amp;X$83&amp;X$1&amp;"C"&amp;$A125))-IF(RTD("tos.rtd",,$A$2,"."&amp;X$83&amp;X$1&amp;"P"&amp;$A125)="N/A",0,RTD("tos.rtd",,$A$2,"."&amp;X$83&amp;X$1&amp;"P"&amp;$A125))</f>
        <v>0</v>
      </c>
      <c r="Y125" s="98">
        <f t="shared" ca="1" si="10"/>
        <v>0</v>
      </c>
    </row>
    <row r="126" spans="1:25" x14ac:dyDescent="0.25">
      <c r="A126" s="93">
        <f>+Hoja1!A125</f>
        <v>5470</v>
      </c>
      <c r="B126" s="91">
        <f ca="1">IF(RTD("tos.rtd",,$A$2,"."&amp;B$83&amp;B$1&amp;"C"&amp;$A126)="N/A",0,RTD("tos.rtd",,$A$2,"."&amp;B$83&amp;B$1&amp;"C"&amp;$A126))-IF(RTD("tos.rtd",,$A$2,"."&amp;B$83&amp;B$1&amp;"P"&amp;$A126)="N/A",0,RTD("tos.rtd",,$A$2,"."&amp;B$83&amp;B$1&amp;"P"&amp;$A126))</f>
        <v>0</v>
      </c>
      <c r="C126" s="91">
        <f ca="1">IF(RTD("tos.rtd",,$A$2,"."&amp;C$83&amp;C$1&amp;"C"&amp;$A126)="N/A",0,RTD("tos.rtd",,$A$2,"."&amp;C$83&amp;C$1&amp;"C"&amp;$A126))-IF(RTD("tos.rtd",,$A$2,"."&amp;C$83&amp;C$1&amp;"P"&amp;$A126)="N/A",0,RTD("tos.rtd",,$A$2,"."&amp;C$83&amp;C$1&amp;"P"&amp;$A126))</f>
        <v>0</v>
      </c>
      <c r="D126" s="91">
        <f ca="1">IF(RTD("tos.rtd",,$A$2,"."&amp;D$83&amp;D$1&amp;"C"&amp;$A126)="N/A",0,RTD("tos.rtd",,$A$2,"."&amp;D$83&amp;D$1&amp;"C"&amp;$A126))-IF(RTD("tos.rtd",,$A$2,"."&amp;D$83&amp;D$1&amp;"P"&amp;$A126)="N/A",0,RTD("tos.rtd",,$A$2,"."&amp;D$83&amp;D$1&amp;"P"&amp;$A126))</f>
        <v>0</v>
      </c>
      <c r="E126" s="91">
        <f ca="1">IF(RTD("tos.rtd",,$A$2,"."&amp;E$83&amp;E$1&amp;"C"&amp;$A126)="N/A",0,RTD("tos.rtd",,$A$2,"."&amp;E$83&amp;E$1&amp;"C"&amp;$A126))-IF(RTD("tos.rtd",,$A$2,"."&amp;E$83&amp;E$1&amp;"P"&amp;$A126)="N/A",0,RTD("tos.rtd",,$A$2,"."&amp;E$83&amp;E$1&amp;"P"&amp;$A126))</f>
        <v>0</v>
      </c>
      <c r="F126" s="91">
        <f ca="1">IF(RTD("tos.rtd",,$A$2,"."&amp;F$83&amp;F$1&amp;"C"&amp;$A126)="N/A",0,RTD("tos.rtd",,$A$2,"."&amp;F$83&amp;F$1&amp;"C"&amp;$A126))-IF(RTD("tos.rtd",,$A$2,"."&amp;F$83&amp;F$1&amp;"P"&amp;$A126)="N/A",0,RTD("tos.rtd",,$A$2,"."&amp;F$83&amp;F$1&amp;"P"&amp;$A126))</f>
        <v>0</v>
      </c>
      <c r="G126" s="91">
        <f ca="1">IF(RTD("tos.rtd",,$A$2,"."&amp;G$83&amp;G$1&amp;"C"&amp;$A126)="N/A",0,RTD("tos.rtd",,$A$2,"."&amp;G$83&amp;G$1&amp;"C"&amp;$A126))-IF(RTD("tos.rtd",,$A$2,"."&amp;G$83&amp;G$1&amp;"P"&amp;$A126)="N/A",0,RTD("tos.rtd",,$A$2,"."&amp;G$83&amp;G$1&amp;"P"&amp;$A126))</f>
        <v>0</v>
      </c>
      <c r="H126" s="91">
        <f ca="1">IF(RTD("tos.rtd",,$A$2,"."&amp;H$83&amp;H$1&amp;"C"&amp;$A126)="N/A",0,RTD("tos.rtd",,$A$2,"."&amp;H$83&amp;H$1&amp;"C"&amp;$A126))-IF(RTD("tos.rtd",,$A$2,"."&amp;H$83&amp;H$1&amp;"P"&amp;$A126)="N/A",0,RTD("tos.rtd",,$A$2,"."&amp;H$83&amp;H$1&amp;"P"&amp;$A126))</f>
        <v>0</v>
      </c>
      <c r="I126" s="91">
        <f ca="1">IF(RTD("tos.rtd",,$A$2,"."&amp;I$83&amp;I$1&amp;"C"&amp;$A126)="N/A",0,RTD("tos.rtd",,$A$2,"."&amp;I$83&amp;I$1&amp;"C"&amp;$A126))-IF(RTD("tos.rtd",,$A$2,"."&amp;I$83&amp;I$1&amp;"P"&amp;$A126)="N/A",0,RTD("tos.rtd",,$A$2,"."&amp;I$83&amp;I$1&amp;"P"&amp;$A126))</f>
        <v>0</v>
      </c>
      <c r="J126" s="91">
        <f ca="1">IF(RTD("tos.rtd",,$A$2,"."&amp;J$83&amp;J$1&amp;"C"&amp;$A126)="N/A",0,RTD("tos.rtd",,$A$2,"."&amp;J$83&amp;J$1&amp;"C"&amp;$A126))-IF(RTD("tos.rtd",,$A$2,"."&amp;J$83&amp;J$1&amp;"P"&amp;$A126)="N/A",0,RTD("tos.rtd",,$A$2,"."&amp;J$83&amp;J$1&amp;"P"&amp;$A126))</f>
        <v>0</v>
      </c>
      <c r="K126" s="91">
        <f ca="1">IF(RTD("tos.rtd",,$A$2,"."&amp;K$83&amp;K$1&amp;"C"&amp;$A126)="N/A",0,RTD("tos.rtd",,$A$2,"."&amp;K$83&amp;K$1&amp;"C"&amp;$A126))-IF(RTD("tos.rtd",,$A$2,"."&amp;K$83&amp;K$1&amp;"P"&amp;$A126)="N/A",0,RTD("tos.rtd",,$A$2,"."&amp;K$83&amp;K$1&amp;"P"&amp;$A126))</f>
        <v>0</v>
      </c>
      <c r="L126" s="91">
        <f ca="1">IF(RTD("tos.rtd",,$A$2,"."&amp;L$83&amp;L$1&amp;"C"&amp;$A126)="N/A",0,RTD("tos.rtd",,$A$2,"."&amp;L$83&amp;L$1&amp;"C"&amp;$A126))-IF(RTD("tos.rtd",,$A$2,"."&amp;L$83&amp;L$1&amp;"P"&amp;$A126)="N/A",0,RTD("tos.rtd",,$A$2,"."&amp;L$83&amp;L$1&amp;"P"&amp;$A126))</f>
        <v>0</v>
      </c>
      <c r="M126" s="91">
        <f ca="1">IF(RTD("tos.rtd",,$A$2,"."&amp;M$83&amp;M$1&amp;"C"&amp;$A126)="N/A",0,RTD("tos.rtd",,$A$2,"."&amp;M$83&amp;M$1&amp;"C"&amp;$A126))-IF(RTD("tos.rtd",,$A$2,"."&amp;M$83&amp;M$1&amp;"P"&amp;$A126)="N/A",0,RTD("tos.rtd",,$A$2,"."&amp;M$83&amp;M$1&amp;"P"&amp;$A126))</f>
        <v>0</v>
      </c>
      <c r="N126" s="91">
        <f ca="1">IF(RTD("tos.rtd",,$A$2,"."&amp;N$83&amp;N$1&amp;"C"&amp;$A126)="N/A",0,RTD("tos.rtd",,$A$2,"."&amp;N$83&amp;N$1&amp;"C"&amp;$A126))-IF(RTD("tos.rtd",,$A$2,"."&amp;N$83&amp;N$1&amp;"P"&amp;$A126)="N/A",0,RTD("tos.rtd",,$A$2,"."&amp;N$83&amp;N$1&amp;"P"&amp;$A126))</f>
        <v>0</v>
      </c>
      <c r="O126" s="91">
        <f ca="1">IF(RTD("tos.rtd",,$A$2,"."&amp;O$83&amp;O$1&amp;"C"&amp;$A126)="N/A",0,RTD("tos.rtd",,$A$2,"."&amp;O$83&amp;O$1&amp;"C"&amp;$A126))-IF(RTD("tos.rtd",,$A$2,"."&amp;O$83&amp;O$1&amp;"P"&amp;$A126)="N/A",0,RTD("tos.rtd",,$A$2,"."&amp;O$83&amp;O$1&amp;"P"&amp;$A126))</f>
        <v>0</v>
      </c>
      <c r="P126" s="91">
        <f ca="1">IF(RTD("tos.rtd",,$A$2,"."&amp;P$83&amp;P$1&amp;"C"&amp;$A126)="N/A",0,RTD("tos.rtd",,$A$2,"."&amp;P$83&amp;P$1&amp;"C"&amp;$A126))-IF(RTD("tos.rtd",,$A$2,"."&amp;P$83&amp;P$1&amp;"P"&amp;$A126)="N/A",0,RTD("tos.rtd",,$A$2,"."&amp;P$83&amp;P$1&amp;"P"&amp;$A126))</f>
        <v>0</v>
      </c>
      <c r="Q126" s="91">
        <f ca="1">IF(RTD("tos.rtd",,$A$2,"."&amp;Q$83&amp;Q$1&amp;"C"&amp;$A126)="N/A",0,RTD("tos.rtd",,$A$2,"."&amp;Q$83&amp;Q$1&amp;"C"&amp;$A126))-IF(RTD("tos.rtd",,$A$2,"."&amp;Q$83&amp;Q$1&amp;"P"&amp;$A126)="N/A",0,RTD("tos.rtd",,$A$2,"."&amp;Q$83&amp;Q$1&amp;"P"&amp;$A126))</f>
        <v>0</v>
      </c>
      <c r="R126" s="91">
        <f ca="1">IF(RTD("tos.rtd",,$A$2,"."&amp;R$83&amp;R$1&amp;"C"&amp;$A126)="N/A",0,RTD("tos.rtd",,$A$2,"."&amp;R$83&amp;R$1&amp;"C"&amp;$A126))-IF(RTD("tos.rtd",,$A$2,"."&amp;R$83&amp;R$1&amp;"P"&amp;$A126)="N/A",0,RTD("tos.rtd",,$A$2,"."&amp;R$83&amp;R$1&amp;"P"&amp;$A126))</f>
        <v>0</v>
      </c>
      <c r="S126" s="91">
        <f ca="1">IF(RTD("tos.rtd",,$A$2,"."&amp;S$83&amp;S$1&amp;"C"&amp;$A126)="N/A",0,RTD("tos.rtd",,$A$2,"."&amp;S$83&amp;S$1&amp;"C"&amp;$A126))-IF(RTD("tos.rtd",,$A$2,"."&amp;S$83&amp;S$1&amp;"P"&amp;$A126)="N/A",0,RTD("tos.rtd",,$A$2,"."&amp;S$83&amp;S$1&amp;"P"&amp;$A126))</f>
        <v>0</v>
      </c>
      <c r="T126" s="91">
        <f ca="1">IF(RTD("tos.rtd",,$A$2,"."&amp;T$83&amp;T$1&amp;"C"&amp;$A126)="N/A",0,RTD("tos.rtd",,$A$2,"."&amp;T$83&amp;T$1&amp;"C"&amp;$A126))-IF(RTD("tos.rtd",,$A$2,"."&amp;T$83&amp;T$1&amp;"P"&amp;$A126)="N/A",0,RTD("tos.rtd",,$A$2,"."&amp;T$83&amp;T$1&amp;"P"&amp;$A126))</f>
        <v>0</v>
      </c>
      <c r="U126" s="91">
        <f ca="1">IF(RTD("tos.rtd",,$A$2,"."&amp;U$83&amp;U$1&amp;"C"&amp;$A126)="N/A",0,RTD("tos.rtd",,$A$2,"."&amp;U$83&amp;U$1&amp;"C"&amp;$A126))-IF(RTD("tos.rtd",,$A$2,"."&amp;U$83&amp;U$1&amp;"P"&amp;$A126)="N/A",0,RTD("tos.rtd",,$A$2,"."&amp;U$83&amp;U$1&amp;"P"&amp;$A126))</f>
        <v>0</v>
      </c>
      <c r="V126" s="91">
        <f ca="1">IF(RTD("tos.rtd",,$A$2,"."&amp;V$83&amp;V$1&amp;"C"&amp;$A126)="N/A",0,RTD("tos.rtd",,$A$2,"."&amp;V$83&amp;V$1&amp;"C"&amp;$A126))-IF(RTD("tos.rtd",,$A$2,"."&amp;V$83&amp;V$1&amp;"P"&amp;$A126)="N/A",0,RTD("tos.rtd",,$A$2,"."&amp;V$83&amp;V$1&amp;"P"&amp;$A126))</f>
        <v>0</v>
      </c>
      <c r="W126" s="91">
        <f ca="1">IF(RTD("tos.rtd",,$A$2,"."&amp;W$83&amp;W$1&amp;"C"&amp;$A126)="N/A",0,RTD("tos.rtd",,$A$2,"."&amp;W$83&amp;W$1&amp;"C"&amp;$A126))-IF(RTD("tos.rtd",,$A$2,"."&amp;W$83&amp;W$1&amp;"P"&amp;$A126)="N/A",0,RTD("tos.rtd",,$A$2,"."&amp;W$83&amp;W$1&amp;"P"&amp;$A126))</f>
        <v>0</v>
      </c>
      <c r="X126" s="91">
        <f ca="1">IF(RTD("tos.rtd",,$A$2,"."&amp;X$83&amp;X$1&amp;"C"&amp;$A126)="N/A",0,RTD("tos.rtd",,$A$2,"."&amp;X$83&amp;X$1&amp;"C"&amp;$A126))-IF(RTD("tos.rtd",,$A$2,"."&amp;X$83&amp;X$1&amp;"P"&amp;$A126)="N/A",0,RTD("tos.rtd",,$A$2,"."&amp;X$83&amp;X$1&amp;"P"&amp;$A126))</f>
        <v>0</v>
      </c>
      <c r="Y126" s="98">
        <f t="shared" ca="1" si="10"/>
        <v>0</v>
      </c>
    </row>
    <row r="127" spans="1:25" x14ac:dyDescent="0.25">
      <c r="A127" s="93">
        <f>+Hoja1!A126</f>
        <v>5460</v>
      </c>
      <c r="B127" s="91">
        <f ca="1">IF(RTD("tos.rtd",,$A$2,"."&amp;B$83&amp;B$1&amp;"C"&amp;$A127)="N/A",0,RTD("tos.rtd",,$A$2,"."&amp;B$83&amp;B$1&amp;"C"&amp;$A127))-IF(RTD("tos.rtd",,$A$2,"."&amp;B$83&amp;B$1&amp;"P"&amp;$A127)="N/A",0,RTD("tos.rtd",,$A$2,"."&amp;B$83&amp;B$1&amp;"P"&amp;$A127))</f>
        <v>0</v>
      </c>
      <c r="C127" s="91">
        <f ca="1">IF(RTD("tos.rtd",,$A$2,"."&amp;C$83&amp;C$1&amp;"C"&amp;$A127)="N/A",0,RTD("tos.rtd",,$A$2,"."&amp;C$83&amp;C$1&amp;"C"&amp;$A127))-IF(RTD("tos.rtd",,$A$2,"."&amp;C$83&amp;C$1&amp;"P"&amp;$A127)="N/A",0,RTD("tos.rtd",,$A$2,"."&amp;C$83&amp;C$1&amp;"P"&amp;$A127))</f>
        <v>0</v>
      </c>
      <c r="D127" s="91">
        <f ca="1">IF(RTD("tos.rtd",,$A$2,"."&amp;D$83&amp;D$1&amp;"C"&amp;$A127)="N/A",0,RTD("tos.rtd",,$A$2,"."&amp;D$83&amp;D$1&amp;"C"&amp;$A127))-IF(RTD("tos.rtd",,$A$2,"."&amp;D$83&amp;D$1&amp;"P"&amp;$A127)="N/A",0,RTD("tos.rtd",,$A$2,"."&amp;D$83&amp;D$1&amp;"P"&amp;$A127))</f>
        <v>0</v>
      </c>
      <c r="E127" s="91">
        <f ca="1">IF(RTD("tos.rtd",,$A$2,"."&amp;E$83&amp;E$1&amp;"C"&amp;$A127)="N/A",0,RTD("tos.rtd",,$A$2,"."&amp;E$83&amp;E$1&amp;"C"&amp;$A127))-IF(RTD("tos.rtd",,$A$2,"."&amp;E$83&amp;E$1&amp;"P"&amp;$A127)="N/A",0,RTD("tos.rtd",,$A$2,"."&amp;E$83&amp;E$1&amp;"P"&amp;$A127))</f>
        <v>0</v>
      </c>
      <c r="F127" s="91">
        <f ca="1">IF(RTD("tos.rtd",,$A$2,"."&amp;F$83&amp;F$1&amp;"C"&amp;$A127)="N/A",0,RTD("tos.rtd",,$A$2,"."&amp;F$83&amp;F$1&amp;"C"&amp;$A127))-IF(RTD("tos.rtd",,$A$2,"."&amp;F$83&amp;F$1&amp;"P"&amp;$A127)="N/A",0,RTD("tos.rtd",,$A$2,"."&amp;F$83&amp;F$1&amp;"P"&amp;$A127))</f>
        <v>0</v>
      </c>
      <c r="G127" s="91">
        <f ca="1">IF(RTD("tos.rtd",,$A$2,"."&amp;G$83&amp;G$1&amp;"C"&amp;$A127)="N/A",0,RTD("tos.rtd",,$A$2,"."&amp;G$83&amp;G$1&amp;"C"&amp;$A127))-IF(RTD("tos.rtd",,$A$2,"."&amp;G$83&amp;G$1&amp;"P"&amp;$A127)="N/A",0,RTD("tos.rtd",,$A$2,"."&amp;G$83&amp;G$1&amp;"P"&amp;$A127))</f>
        <v>0</v>
      </c>
      <c r="H127" s="91">
        <f ca="1">IF(RTD("tos.rtd",,$A$2,"."&amp;H$83&amp;H$1&amp;"C"&amp;$A127)="N/A",0,RTD("tos.rtd",,$A$2,"."&amp;H$83&amp;H$1&amp;"C"&amp;$A127))-IF(RTD("tos.rtd",,$A$2,"."&amp;H$83&amp;H$1&amp;"P"&amp;$A127)="N/A",0,RTD("tos.rtd",,$A$2,"."&amp;H$83&amp;H$1&amp;"P"&amp;$A127))</f>
        <v>0</v>
      </c>
      <c r="I127" s="91">
        <f ca="1">IF(RTD("tos.rtd",,$A$2,"."&amp;I$83&amp;I$1&amp;"C"&amp;$A127)="N/A",0,RTD("tos.rtd",,$A$2,"."&amp;I$83&amp;I$1&amp;"C"&amp;$A127))-IF(RTD("tos.rtd",,$A$2,"."&amp;I$83&amp;I$1&amp;"P"&amp;$A127)="N/A",0,RTD("tos.rtd",,$A$2,"."&amp;I$83&amp;I$1&amp;"P"&amp;$A127))</f>
        <v>0</v>
      </c>
      <c r="J127" s="91">
        <f ca="1">IF(RTD("tos.rtd",,$A$2,"."&amp;J$83&amp;J$1&amp;"C"&amp;$A127)="N/A",0,RTD("tos.rtd",,$A$2,"."&amp;J$83&amp;J$1&amp;"C"&amp;$A127))-IF(RTD("tos.rtd",,$A$2,"."&amp;J$83&amp;J$1&amp;"P"&amp;$A127)="N/A",0,RTD("tos.rtd",,$A$2,"."&amp;J$83&amp;J$1&amp;"P"&amp;$A127))</f>
        <v>0</v>
      </c>
      <c r="K127" s="91">
        <f ca="1">IF(RTD("tos.rtd",,$A$2,"."&amp;K$83&amp;K$1&amp;"C"&amp;$A127)="N/A",0,RTD("tos.rtd",,$A$2,"."&amp;K$83&amp;K$1&amp;"C"&amp;$A127))-IF(RTD("tos.rtd",,$A$2,"."&amp;K$83&amp;K$1&amp;"P"&amp;$A127)="N/A",0,RTD("tos.rtd",,$A$2,"."&amp;K$83&amp;K$1&amp;"P"&amp;$A127))</f>
        <v>0</v>
      </c>
      <c r="L127" s="91">
        <f ca="1">IF(RTD("tos.rtd",,$A$2,"."&amp;L$83&amp;L$1&amp;"C"&amp;$A127)="N/A",0,RTD("tos.rtd",,$A$2,"."&amp;L$83&amp;L$1&amp;"C"&amp;$A127))-IF(RTD("tos.rtd",,$A$2,"."&amp;L$83&amp;L$1&amp;"P"&amp;$A127)="N/A",0,RTD("tos.rtd",,$A$2,"."&amp;L$83&amp;L$1&amp;"P"&amp;$A127))</f>
        <v>0</v>
      </c>
      <c r="M127" s="91">
        <f ca="1">IF(RTD("tos.rtd",,$A$2,"."&amp;M$83&amp;M$1&amp;"C"&amp;$A127)="N/A",0,RTD("tos.rtd",,$A$2,"."&amp;M$83&amp;M$1&amp;"C"&amp;$A127))-IF(RTD("tos.rtd",,$A$2,"."&amp;M$83&amp;M$1&amp;"P"&amp;$A127)="N/A",0,RTD("tos.rtd",,$A$2,"."&amp;M$83&amp;M$1&amp;"P"&amp;$A127))</f>
        <v>0</v>
      </c>
      <c r="N127" s="91">
        <f ca="1">IF(RTD("tos.rtd",,$A$2,"."&amp;N$83&amp;N$1&amp;"C"&amp;$A127)="N/A",0,RTD("tos.rtd",,$A$2,"."&amp;N$83&amp;N$1&amp;"C"&amp;$A127))-IF(RTD("tos.rtd",,$A$2,"."&amp;N$83&amp;N$1&amp;"P"&amp;$A127)="N/A",0,RTD("tos.rtd",,$A$2,"."&amp;N$83&amp;N$1&amp;"P"&amp;$A127))</f>
        <v>0</v>
      </c>
      <c r="O127" s="91">
        <f ca="1">IF(RTD("tos.rtd",,$A$2,"."&amp;O$83&amp;O$1&amp;"C"&amp;$A127)="N/A",0,RTD("tos.rtd",,$A$2,"."&amp;O$83&amp;O$1&amp;"C"&amp;$A127))-IF(RTD("tos.rtd",,$A$2,"."&amp;O$83&amp;O$1&amp;"P"&amp;$A127)="N/A",0,RTD("tos.rtd",,$A$2,"."&amp;O$83&amp;O$1&amp;"P"&amp;$A127))</f>
        <v>0</v>
      </c>
      <c r="P127" s="91">
        <f ca="1">IF(RTD("tos.rtd",,$A$2,"."&amp;P$83&amp;P$1&amp;"C"&amp;$A127)="N/A",0,RTD("tos.rtd",,$A$2,"."&amp;P$83&amp;P$1&amp;"C"&amp;$A127))-IF(RTD("tos.rtd",,$A$2,"."&amp;P$83&amp;P$1&amp;"P"&amp;$A127)="N/A",0,RTD("tos.rtd",,$A$2,"."&amp;P$83&amp;P$1&amp;"P"&amp;$A127))</f>
        <v>0</v>
      </c>
      <c r="Q127" s="91">
        <f ca="1">IF(RTD("tos.rtd",,$A$2,"."&amp;Q$83&amp;Q$1&amp;"C"&amp;$A127)="N/A",0,RTD("tos.rtd",,$A$2,"."&amp;Q$83&amp;Q$1&amp;"C"&amp;$A127))-IF(RTD("tos.rtd",,$A$2,"."&amp;Q$83&amp;Q$1&amp;"P"&amp;$A127)="N/A",0,RTD("tos.rtd",,$A$2,"."&amp;Q$83&amp;Q$1&amp;"P"&amp;$A127))</f>
        <v>0</v>
      </c>
      <c r="R127" s="91">
        <f ca="1">IF(RTD("tos.rtd",,$A$2,"."&amp;R$83&amp;R$1&amp;"C"&amp;$A127)="N/A",0,RTD("tos.rtd",,$A$2,"."&amp;R$83&amp;R$1&amp;"C"&amp;$A127))-IF(RTD("tos.rtd",,$A$2,"."&amp;R$83&amp;R$1&amp;"P"&amp;$A127)="N/A",0,RTD("tos.rtd",,$A$2,"."&amp;R$83&amp;R$1&amp;"P"&amp;$A127))</f>
        <v>0</v>
      </c>
      <c r="S127" s="91">
        <f ca="1">IF(RTD("tos.rtd",,$A$2,"."&amp;S$83&amp;S$1&amp;"C"&amp;$A127)="N/A",0,RTD("tos.rtd",,$A$2,"."&amp;S$83&amp;S$1&amp;"C"&amp;$A127))-IF(RTD("tos.rtd",,$A$2,"."&amp;S$83&amp;S$1&amp;"P"&amp;$A127)="N/A",0,RTD("tos.rtd",,$A$2,"."&amp;S$83&amp;S$1&amp;"P"&amp;$A127))</f>
        <v>0</v>
      </c>
      <c r="T127" s="91">
        <f ca="1">IF(RTD("tos.rtd",,$A$2,"."&amp;T$83&amp;T$1&amp;"C"&amp;$A127)="N/A",0,RTD("tos.rtd",,$A$2,"."&amp;T$83&amp;T$1&amp;"C"&amp;$A127))-IF(RTD("tos.rtd",,$A$2,"."&amp;T$83&amp;T$1&amp;"P"&amp;$A127)="N/A",0,RTD("tos.rtd",,$A$2,"."&amp;T$83&amp;T$1&amp;"P"&amp;$A127))</f>
        <v>0</v>
      </c>
      <c r="U127" s="91">
        <f ca="1">IF(RTD("tos.rtd",,$A$2,"."&amp;U$83&amp;U$1&amp;"C"&amp;$A127)="N/A",0,RTD("tos.rtd",,$A$2,"."&amp;U$83&amp;U$1&amp;"C"&amp;$A127))-IF(RTD("tos.rtd",,$A$2,"."&amp;U$83&amp;U$1&amp;"P"&amp;$A127)="N/A",0,RTD("tos.rtd",,$A$2,"."&amp;U$83&amp;U$1&amp;"P"&amp;$A127))</f>
        <v>0</v>
      </c>
      <c r="V127" s="91">
        <f ca="1">IF(RTD("tos.rtd",,$A$2,"."&amp;V$83&amp;V$1&amp;"C"&amp;$A127)="N/A",0,RTD("tos.rtd",,$A$2,"."&amp;V$83&amp;V$1&amp;"C"&amp;$A127))-IF(RTD("tos.rtd",,$A$2,"."&amp;V$83&amp;V$1&amp;"P"&amp;$A127)="N/A",0,RTD("tos.rtd",,$A$2,"."&amp;V$83&amp;V$1&amp;"P"&amp;$A127))</f>
        <v>0</v>
      </c>
      <c r="W127" s="91">
        <f ca="1">IF(RTD("tos.rtd",,$A$2,"."&amp;W$83&amp;W$1&amp;"C"&amp;$A127)="N/A",0,RTD("tos.rtd",,$A$2,"."&amp;W$83&amp;W$1&amp;"C"&amp;$A127))-IF(RTD("tos.rtd",,$A$2,"."&amp;W$83&amp;W$1&amp;"P"&amp;$A127)="N/A",0,RTD("tos.rtd",,$A$2,"."&amp;W$83&amp;W$1&amp;"P"&amp;$A127))</f>
        <v>0</v>
      </c>
      <c r="X127" s="91">
        <f ca="1">IF(RTD("tos.rtd",,$A$2,"."&amp;X$83&amp;X$1&amp;"C"&amp;$A127)="N/A",0,RTD("tos.rtd",,$A$2,"."&amp;X$83&amp;X$1&amp;"C"&amp;$A127))-IF(RTD("tos.rtd",,$A$2,"."&amp;X$83&amp;X$1&amp;"P"&amp;$A127)="N/A",0,RTD("tos.rtd",,$A$2,"."&amp;X$83&amp;X$1&amp;"P"&amp;$A127))</f>
        <v>0</v>
      </c>
      <c r="Y127" s="98">
        <f t="shared" ca="1" si="10"/>
        <v>0</v>
      </c>
    </row>
    <row r="128" spans="1:25" x14ac:dyDescent="0.25">
      <c r="A128" s="93">
        <f>+Hoja1!A127</f>
        <v>5450</v>
      </c>
      <c r="B128" s="91">
        <f ca="1">IF(RTD("tos.rtd",,$A$2,"."&amp;B$83&amp;B$1&amp;"C"&amp;$A128)="N/A",0,RTD("tos.rtd",,$A$2,"."&amp;B$83&amp;B$1&amp;"C"&amp;$A128))-IF(RTD("tos.rtd",,$A$2,"."&amp;B$83&amp;B$1&amp;"P"&amp;$A128)="N/A",0,RTD("tos.rtd",,$A$2,"."&amp;B$83&amp;B$1&amp;"P"&amp;$A128))</f>
        <v>0</v>
      </c>
      <c r="C128" s="91">
        <f ca="1">IF(RTD("tos.rtd",,$A$2,"."&amp;C$83&amp;C$1&amp;"C"&amp;$A128)="N/A",0,RTD("tos.rtd",,$A$2,"."&amp;C$83&amp;C$1&amp;"C"&amp;$A128))-IF(RTD("tos.rtd",,$A$2,"."&amp;C$83&amp;C$1&amp;"P"&amp;$A128)="N/A",0,RTD("tos.rtd",,$A$2,"."&amp;C$83&amp;C$1&amp;"P"&amp;$A128))</f>
        <v>0</v>
      </c>
      <c r="D128" s="91">
        <f ca="1">IF(RTD("tos.rtd",,$A$2,"."&amp;D$83&amp;D$1&amp;"C"&amp;$A128)="N/A",0,RTD("tos.rtd",,$A$2,"."&amp;D$83&amp;D$1&amp;"C"&amp;$A128))-IF(RTD("tos.rtd",,$A$2,"."&amp;D$83&amp;D$1&amp;"P"&amp;$A128)="N/A",0,RTD("tos.rtd",,$A$2,"."&amp;D$83&amp;D$1&amp;"P"&amp;$A128))</f>
        <v>0</v>
      </c>
      <c r="E128" s="91">
        <f ca="1">IF(RTD("tos.rtd",,$A$2,"."&amp;E$83&amp;E$1&amp;"C"&amp;$A128)="N/A",0,RTD("tos.rtd",,$A$2,"."&amp;E$83&amp;E$1&amp;"C"&amp;$A128))-IF(RTD("tos.rtd",,$A$2,"."&amp;E$83&amp;E$1&amp;"P"&amp;$A128)="N/A",0,RTD("tos.rtd",,$A$2,"."&amp;E$83&amp;E$1&amp;"P"&amp;$A128))</f>
        <v>0</v>
      </c>
      <c r="F128" s="91">
        <f ca="1">IF(RTD("tos.rtd",,$A$2,"."&amp;F$83&amp;F$1&amp;"C"&amp;$A128)="N/A",0,RTD("tos.rtd",,$A$2,"."&amp;F$83&amp;F$1&amp;"C"&amp;$A128))-IF(RTD("tos.rtd",,$A$2,"."&amp;F$83&amp;F$1&amp;"P"&amp;$A128)="N/A",0,RTD("tos.rtd",,$A$2,"."&amp;F$83&amp;F$1&amp;"P"&amp;$A128))</f>
        <v>0</v>
      </c>
      <c r="G128" s="91">
        <f ca="1">IF(RTD("tos.rtd",,$A$2,"."&amp;G$83&amp;G$1&amp;"C"&amp;$A128)="N/A",0,RTD("tos.rtd",,$A$2,"."&amp;G$83&amp;G$1&amp;"C"&amp;$A128))-IF(RTD("tos.rtd",,$A$2,"."&amp;G$83&amp;G$1&amp;"P"&amp;$A128)="N/A",0,RTD("tos.rtd",,$A$2,"."&amp;G$83&amp;G$1&amp;"P"&amp;$A128))</f>
        <v>0</v>
      </c>
      <c r="H128" s="91">
        <f ca="1">IF(RTD("tos.rtd",,$A$2,"."&amp;H$83&amp;H$1&amp;"C"&amp;$A128)="N/A",0,RTD("tos.rtd",,$A$2,"."&amp;H$83&amp;H$1&amp;"C"&amp;$A128))-IF(RTD("tos.rtd",,$A$2,"."&amp;H$83&amp;H$1&amp;"P"&amp;$A128)="N/A",0,RTD("tos.rtd",,$A$2,"."&amp;H$83&amp;H$1&amp;"P"&amp;$A128))</f>
        <v>0</v>
      </c>
      <c r="I128" s="91">
        <f ca="1">IF(RTD("tos.rtd",,$A$2,"."&amp;I$83&amp;I$1&amp;"C"&amp;$A128)="N/A",0,RTD("tos.rtd",,$A$2,"."&amp;I$83&amp;I$1&amp;"C"&amp;$A128))-IF(RTD("tos.rtd",,$A$2,"."&amp;I$83&amp;I$1&amp;"P"&amp;$A128)="N/A",0,RTD("tos.rtd",,$A$2,"."&amp;I$83&amp;I$1&amp;"P"&amp;$A128))</f>
        <v>0</v>
      </c>
      <c r="J128" s="91">
        <f ca="1">IF(RTD("tos.rtd",,$A$2,"."&amp;J$83&amp;J$1&amp;"C"&amp;$A128)="N/A",0,RTD("tos.rtd",,$A$2,"."&amp;J$83&amp;J$1&amp;"C"&amp;$A128))-IF(RTD("tos.rtd",,$A$2,"."&amp;J$83&amp;J$1&amp;"P"&amp;$A128)="N/A",0,RTD("tos.rtd",,$A$2,"."&amp;J$83&amp;J$1&amp;"P"&amp;$A128))</f>
        <v>0</v>
      </c>
      <c r="K128" s="91">
        <f ca="1">IF(RTD("tos.rtd",,$A$2,"."&amp;K$83&amp;K$1&amp;"C"&amp;$A128)="N/A",0,RTD("tos.rtd",,$A$2,"."&amp;K$83&amp;K$1&amp;"C"&amp;$A128))-IF(RTD("tos.rtd",,$A$2,"."&amp;K$83&amp;K$1&amp;"P"&amp;$A128)="N/A",0,RTD("tos.rtd",,$A$2,"."&amp;K$83&amp;K$1&amp;"P"&amp;$A128))</f>
        <v>0</v>
      </c>
      <c r="L128" s="91">
        <f ca="1">IF(RTD("tos.rtd",,$A$2,"."&amp;L$83&amp;L$1&amp;"C"&amp;$A128)="N/A",0,RTD("tos.rtd",,$A$2,"."&amp;L$83&amp;L$1&amp;"C"&amp;$A128))-IF(RTD("tos.rtd",,$A$2,"."&amp;L$83&amp;L$1&amp;"P"&amp;$A128)="N/A",0,RTD("tos.rtd",,$A$2,"."&amp;L$83&amp;L$1&amp;"P"&amp;$A128))</f>
        <v>0</v>
      </c>
      <c r="M128" s="91">
        <f ca="1">IF(RTD("tos.rtd",,$A$2,"."&amp;M$83&amp;M$1&amp;"C"&amp;$A128)="N/A",0,RTD("tos.rtd",,$A$2,"."&amp;M$83&amp;M$1&amp;"C"&amp;$A128))-IF(RTD("tos.rtd",,$A$2,"."&amp;M$83&amp;M$1&amp;"P"&amp;$A128)="N/A",0,RTD("tos.rtd",,$A$2,"."&amp;M$83&amp;M$1&amp;"P"&amp;$A128))</f>
        <v>0</v>
      </c>
      <c r="N128" s="91">
        <f ca="1">IF(RTD("tos.rtd",,$A$2,"."&amp;N$83&amp;N$1&amp;"C"&amp;$A128)="N/A",0,RTD("tos.rtd",,$A$2,"."&amp;N$83&amp;N$1&amp;"C"&amp;$A128))-IF(RTD("tos.rtd",,$A$2,"."&amp;N$83&amp;N$1&amp;"P"&amp;$A128)="N/A",0,RTD("tos.rtd",,$A$2,"."&amp;N$83&amp;N$1&amp;"P"&amp;$A128))</f>
        <v>0</v>
      </c>
      <c r="O128" s="91">
        <f ca="1">IF(RTD("tos.rtd",,$A$2,"."&amp;O$83&amp;O$1&amp;"C"&amp;$A128)="N/A",0,RTD("tos.rtd",,$A$2,"."&amp;O$83&amp;O$1&amp;"C"&amp;$A128))-IF(RTD("tos.rtd",,$A$2,"."&amp;O$83&amp;O$1&amp;"P"&amp;$A128)="N/A",0,RTD("tos.rtd",,$A$2,"."&amp;O$83&amp;O$1&amp;"P"&amp;$A128))</f>
        <v>0</v>
      </c>
      <c r="P128" s="91">
        <f ca="1">IF(RTD("tos.rtd",,$A$2,"."&amp;P$83&amp;P$1&amp;"C"&amp;$A128)="N/A",0,RTD("tos.rtd",,$A$2,"."&amp;P$83&amp;P$1&amp;"C"&amp;$A128))-IF(RTD("tos.rtd",,$A$2,"."&amp;P$83&amp;P$1&amp;"P"&amp;$A128)="N/A",0,RTD("tos.rtd",,$A$2,"."&amp;P$83&amp;P$1&amp;"P"&amp;$A128))</f>
        <v>0</v>
      </c>
      <c r="Q128" s="91">
        <f ca="1">IF(RTD("tos.rtd",,$A$2,"."&amp;Q$83&amp;Q$1&amp;"C"&amp;$A128)="N/A",0,RTD("tos.rtd",,$A$2,"."&amp;Q$83&amp;Q$1&amp;"C"&amp;$A128))-IF(RTD("tos.rtd",,$A$2,"."&amp;Q$83&amp;Q$1&amp;"P"&amp;$A128)="N/A",0,RTD("tos.rtd",,$A$2,"."&amp;Q$83&amp;Q$1&amp;"P"&amp;$A128))</f>
        <v>0</v>
      </c>
      <c r="R128" s="91">
        <f ca="1">IF(RTD("tos.rtd",,$A$2,"."&amp;R$83&amp;R$1&amp;"C"&amp;$A128)="N/A",0,RTD("tos.rtd",,$A$2,"."&amp;R$83&amp;R$1&amp;"C"&amp;$A128))-IF(RTD("tos.rtd",,$A$2,"."&amp;R$83&amp;R$1&amp;"P"&amp;$A128)="N/A",0,RTD("tos.rtd",,$A$2,"."&amp;R$83&amp;R$1&amp;"P"&amp;$A128))</f>
        <v>0</v>
      </c>
      <c r="S128" s="91">
        <f ca="1">IF(RTD("tos.rtd",,$A$2,"."&amp;S$83&amp;S$1&amp;"C"&amp;$A128)="N/A",0,RTD("tos.rtd",,$A$2,"."&amp;S$83&amp;S$1&amp;"C"&amp;$A128))-IF(RTD("tos.rtd",,$A$2,"."&amp;S$83&amp;S$1&amp;"P"&amp;$A128)="N/A",0,RTD("tos.rtd",,$A$2,"."&amp;S$83&amp;S$1&amp;"P"&amp;$A128))</f>
        <v>0</v>
      </c>
      <c r="T128" s="91">
        <f ca="1">IF(RTD("tos.rtd",,$A$2,"."&amp;T$83&amp;T$1&amp;"C"&amp;$A128)="N/A",0,RTD("tos.rtd",,$A$2,"."&amp;T$83&amp;T$1&amp;"C"&amp;$A128))-IF(RTD("tos.rtd",,$A$2,"."&amp;T$83&amp;T$1&amp;"P"&amp;$A128)="N/A",0,RTD("tos.rtd",,$A$2,"."&amp;T$83&amp;T$1&amp;"P"&amp;$A128))</f>
        <v>0</v>
      </c>
      <c r="U128" s="91">
        <f ca="1">IF(RTD("tos.rtd",,$A$2,"."&amp;U$83&amp;U$1&amp;"C"&amp;$A128)="N/A",0,RTD("tos.rtd",,$A$2,"."&amp;U$83&amp;U$1&amp;"C"&amp;$A128))-IF(RTD("tos.rtd",,$A$2,"."&amp;U$83&amp;U$1&amp;"P"&amp;$A128)="N/A",0,RTD("tos.rtd",,$A$2,"."&amp;U$83&amp;U$1&amp;"P"&amp;$A128))</f>
        <v>0</v>
      </c>
      <c r="V128" s="91">
        <f ca="1">IF(RTD("tos.rtd",,$A$2,"."&amp;V$83&amp;V$1&amp;"C"&amp;$A128)="N/A",0,RTD("tos.rtd",,$A$2,"."&amp;V$83&amp;V$1&amp;"C"&amp;$A128))-IF(RTD("tos.rtd",,$A$2,"."&amp;V$83&amp;V$1&amp;"P"&amp;$A128)="N/A",0,RTD("tos.rtd",,$A$2,"."&amp;V$83&amp;V$1&amp;"P"&amp;$A128))</f>
        <v>0</v>
      </c>
      <c r="W128" s="91">
        <f ca="1">IF(RTD("tos.rtd",,$A$2,"."&amp;W$83&amp;W$1&amp;"C"&amp;$A128)="N/A",0,RTD("tos.rtd",,$A$2,"."&amp;W$83&amp;W$1&amp;"C"&amp;$A128))-IF(RTD("tos.rtd",,$A$2,"."&amp;W$83&amp;W$1&amp;"P"&amp;$A128)="N/A",0,RTD("tos.rtd",,$A$2,"."&amp;W$83&amp;W$1&amp;"P"&amp;$A128))</f>
        <v>0</v>
      </c>
      <c r="X128" s="91">
        <f ca="1">IF(RTD("tos.rtd",,$A$2,"."&amp;X$83&amp;X$1&amp;"C"&amp;$A128)="N/A",0,RTD("tos.rtd",,$A$2,"."&amp;X$83&amp;X$1&amp;"C"&amp;$A128))-IF(RTD("tos.rtd",,$A$2,"."&amp;X$83&amp;X$1&amp;"P"&amp;$A128)="N/A",0,RTD("tos.rtd",,$A$2,"."&amp;X$83&amp;X$1&amp;"P"&amp;$A128))</f>
        <v>0</v>
      </c>
      <c r="Y128" s="98">
        <f t="shared" ca="1" si="10"/>
        <v>0</v>
      </c>
    </row>
    <row r="129" spans="1:27" x14ac:dyDescent="0.25">
      <c r="A129" s="93">
        <f>+Hoja1!A128</f>
        <v>5440</v>
      </c>
      <c r="B129" s="91">
        <f ca="1">IF(RTD("tos.rtd",,$A$2,"."&amp;B$83&amp;B$1&amp;"C"&amp;$A129)="N/A",0,RTD("tos.rtd",,$A$2,"."&amp;B$83&amp;B$1&amp;"C"&amp;$A129))-IF(RTD("tos.rtd",,$A$2,"."&amp;B$83&amp;B$1&amp;"P"&amp;$A129)="N/A",0,RTD("tos.rtd",,$A$2,"."&amp;B$83&amp;B$1&amp;"P"&amp;$A129))</f>
        <v>0</v>
      </c>
      <c r="C129" s="91">
        <f ca="1">IF(RTD("tos.rtd",,$A$2,"."&amp;C$83&amp;C$1&amp;"C"&amp;$A129)="N/A",0,RTD("tos.rtd",,$A$2,"."&amp;C$83&amp;C$1&amp;"C"&amp;$A129))-IF(RTD("tos.rtd",,$A$2,"."&amp;C$83&amp;C$1&amp;"P"&amp;$A129)="N/A",0,RTD("tos.rtd",,$A$2,"."&amp;C$83&amp;C$1&amp;"P"&amp;$A129))</f>
        <v>0</v>
      </c>
      <c r="D129" s="91">
        <f ca="1">IF(RTD("tos.rtd",,$A$2,"."&amp;D$83&amp;D$1&amp;"C"&amp;$A129)="N/A",0,RTD("tos.rtd",,$A$2,"."&amp;D$83&amp;D$1&amp;"C"&amp;$A129))-IF(RTD("tos.rtd",,$A$2,"."&amp;D$83&amp;D$1&amp;"P"&amp;$A129)="N/A",0,RTD("tos.rtd",,$A$2,"."&amp;D$83&amp;D$1&amp;"P"&amp;$A129))</f>
        <v>0</v>
      </c>
      <c r="E129" s="91">
        <f ca="1">IF(RTD("tos.rtd",,$A$2,"."&amp;E$83&amp;E$1&amp;"C"&amp;$A129)="N/A",0,RTD("tos.rtd",,$A$2,"."&amp;E$83&amp;E$1&amp;"C"&amp;$A129))-IF(RTD("tos.rtd",,$A$2,"."&amp;E$83&amp;E$1&amp;"P"&amp;$A129)="N/A",0,RTD("tos.rtd",,$A$2,"."&amp;E$83&amp;E$1&amp;"P"&amp;$A129))</f>
        <v>0</v>
      </c>
      <c r="F129" s="91">
        <f ca="1">IF(RTD("tos.rtd",,$A$2,"."&amp;F$83&amp;F$1&amp;"C"&amp;$A129)="N/A",0,RTD("tos.rtd",,$A$2,"."&amp;F$83&amp;F$1&amp;"C"&amp;$A129))-IF(RTD("tos.rtd",,$A$2,"."&amp;F$83&amp;F$1&amp;"P"&amp;$A129)="N/A",0,RTD("tos.rtd",,$A$2,"."&amp;F$83&amp;F$1&amp;"P"&amp;$A129))</f>
        <v>0</v>
      </c>
      <c r="G129" s="91">
        <f ca="1">IF(RTD("tos.rtd",,$A$2,"."&amp;G$83&amp;G$1&amp;"C"&amp;$A129)="N/A",0,RTD("tos.rtd",,$A$2,"."&amp;G$83&amp;G$1&amp;"C"&amp;$A129))-IF(RTD("tos.rtd",,$A$2,"."&amp;G$83&amp;G$1&amp;"P"&amp;$A129)="N/A",0,RTD("tos.rtd",,$A$2,"."&amp;G$83&amp;G$1&amp;"P"&amp;$A129))</f>
        <v>0</v>
      </c>
      <c r="H129" s="91">
        <f ca="1">IF(RTD("tos.rtd",,$A$2,"."&amp;H$83&amp;H$1&amp;"C"&amp;$A129)="N/A",0,RTD("tos.rtd",,$A$2,"."&amp;H$83&amp;H$1&amp;"C"&amp;$A129))-IF(RTD("tos.rtd",,$A$2,"."&amp;H$83&amp;H$1&amp;"P"&amp;$A129)="N/A",0,RTD("tos.rtd",,$A$2,"."&amp;H$83&amp;H$1&amp;"P"&amp;$A129))</f>
        <v>0</v>
      </c>
      <c r="I129" s="91">
        <f ca="1">IF(RTD("tos.rtd",,$A$2,"."&amp;I$83&amp;I$1&amp;"C"&amp;$A129)="N/A",0,RTD("tos.rtd",,$A$2,"."&amp;I$83&amp;I$1&amp;"C"&amp;$A129))-IF(RTD("tos.rtd",,$A$2,"."&amp;I$83&amp;I$1&amp;"P"&amp;$A129)="N/A",0,RTD("tos.rtd",,$A$2,"."&amp;I$83&amp;I$1&amp;"P"&amp;$A129))</f>
        <v>0</v>
      </c>
      <c r="J129" s="91">
        <f ca="1">IF(RTD("tos.rtd",,$A$2,"."&amp;J$83&amp;J$1&amp;"C"&amp;$A129)="N/A",0,RTD("tos.rtd",,$A$2,"."&amp;J$83&amp;J$1&amp;"C"&amp;$A129))-IF(RTD("tos.rtd",,$A$2,"."&amp;J$83&amp;J$1&amp;"P"&amp;$A129)="N/A",0,RTD("tos.rtd",,$A$2,"."&amp;J$83&amp;J$1&amp;"P"&amp;$A129))</f>
        <v>0</v>
      </c>
      <c r="K129" s="91">
        <f ca="1">IF(RTD("tos.rtd",,$A$2,"."&amp;K$83&amp;K$1&amp;"C"&amp;$A129)="N/A",0,RTD("tos.rtd",,$A$2,"."&amp;K$83&amp;K$1&amp;"C"&amp;$A129))-IF(RTD("tos.rtd",,$A$2,"."&amp;K$83&amp;K$1&amp;"P"&amp;$A129)="N/A",0,RTD("tos.rtd",,$A$2,"."&amp;K$83&amp;K$1&amp;"P"&amp;$A129))</f>
        <v>0</v>
      </c>
      <c r="L129" s="91">
        <f ca="1">IF(RTD("tos.rtd",,$A$2,"."&amp;L$83&amp;L$1&amp;"C"&amp;$A129)="N/A",0,RTD("tos.rtd",,$A$2,"."&amp;L$83&amp;L$1&amp;"C"&amp;$A129))-IF(RTD("tos.rtd",,$A$2,"."&amp;L$83&amp;L$1&amp;"P"&amp;$A129)="N/A",0,RTD("tos.rtd",,$A$2,"."&amp;L$83&amp;L$1&amp;"P"&amp;$A129))</f>
        <v>0</v>
      </c>
      <c r="M129" s="91">
        <f ca="1">IF(RTD("tos.rtd",,$A$2,"."&amp;M$83&amp;M$1&amp;"C"&amp;$A129)="N/A",0,RTD("tos.rtd",,$A$2,"."&amp;M$83&amp;M$1&amp;"C"&amp;$A129))-IF(RTD("tos.rtd",,$A$2,"."&amp;M$83&amp;M$1&amp;"P"&amp;$A129)="N/A",0,RTD("tos.rtd",,$A$2,"."&amp;M$83&amp;M$1&amp;"P"&amp;$A129))</f>
        <v>0</v>
      </c>
      <c r="N129" s="91">
        <f ca="1">IF(RTD("tos.rtd",,$A$2,"."&amp;N$83&amp;N$1&amp;"C"&amp;$A129)="N/A",0,RTD("tos.rtd",,$A$2,"."&amp;N$83&amp;N$1&amp;"C"&amp;$A129))-IF(RTD("tos.rtd",,$A$2,"."&amp;N$83&amp;N$1&amp;"P"&amp;$A129)="N/A",0,RTD("tos.rtd",,$A$2,"."&amp;N$83&amp;N$1&amp;"P"&amp;$A129))</f>
        <v>0</v>
      </c>
      <c r="O129" s="91">
        <f ca="1">IF(RTD("tos.rtd",,$A$2,"."&amp;O$83&amp;O$1&amp;"C"&amp;$A129)="N/A",0,RTD("tos.rtd",,$A$2,"."&amp;O$83&amp;O$1&amp;"C"&amp;$A129))-IF(RTD("tos.rtd",,$A$2,"."&amp;O$83&amp;O$1&amp;"P"&amp;$A129)="N/A",0,RTD("tos.rtd",,$A$2,"."&amp;O$83&amp;O$1&amp;"P"&amp;$A129))</f>
        <v>0</v>
      </c>
      <c r="P129" s="91">
        <f ca="1">IF(RTD("tos.rtd",,$A$2,"."&amp;P$83&amp;P$1&amp;"C"&amp;$A129)="N/A",0,RTD("tos.rtd",,$A$2,"."&amp;P$83&amp;P$1&amp;"C"&amp;$A129))-IF(RTD("tos.rtd",,$A$2,"."&amp;P$83&amp;P$1&amp;"P"&amp;$A129)="N/A",0,RTD("tos.rtd",,$A$2,"."&amp;P$83&amp;P$1&amp;"P"&amp;$A129))</f>
        <v>0</v>
      </c>
      <c r="Q129" s="91">
        <f ca="1">IF(RTD("tos.rtd",,$A$2,"."&amp;Q$83&amp;Q$1&amp;"C"&amp;$A129)="N/A",0,RTD("tos.rtd",,$A$2,"."&amp;Q$83&amp;Q$1&amp;"C"&amp;$A129))-IF(RTD("tos.rtd",,$A$2,"."&amp;Q$83&amp;Q$1&amp;"P"&amp;$A129)="N/A",0,RTD("tos.rtd",,$A$2,"."&amp;Q$83&amp;Q$1&amp;"P"&amp;$A129))</f>
        <v>0</v>
      </c>
      <c r="R129" s="91">
        <f ca="1">IF(RTD("tos.rtd",,$A$2,"."&amp;R$83&amp;R$1&amp;"C"&amp;$A129)="N/A",0,RTD("tos.rtd",,$A$2,"."&amp;R$83&amp;R$1&amp;"C"&amp;$A129))-IF(RTD("tos.rtd",,$A$2,"."&amp;R$83&amp;R$1&amp;"P"&amp;$A129)="N/A",0,RTD("tos.rtd",,$A$2,"."&amp;R$83&amp;R$1&amp;"P"&amp;$A129))</f>
        <v>0</v>
      </c>
      <c r="S129" s="91">
        <f ca="1">IF(RTD("tos.rtd",,$A$2,"."&amp;S$83&amp;S$1&amp;"C"&amp;$A129)="N/A",0,RTD("tos.rtd",,$A$2,"."&amp;S$83&amp;S$1&amp;"C"&amp;$A129))-IF(RTD("tos.rtd",,$A$2,"."&amp;S$83&amp;S$1&amp;"P"&amp;$A129)="N/A",0,RTD("tos.rtd",,$A$2,"."&amp;S$83&amp;S$1&amp;"P"&amp;$A129))</f>
        <v>0</v>
      </c>
      <c r="T129" s="91">
        <f ca="1">IF(RTD("tos.rtd",,$A$2,"."&amp;T$83&amp;T$1&amp;"C"&amp;$A129)="N/A",0,RTD("tos.rtd",,$A$2,"."&amp;T$83&amp;T$1&amp;"C"&amp;$A129))-IF(RTD("tos.rtd",,$A$2,"."&amp;T$83&amp;T$1&amp;"P"&amp;$A129)="N/A",0,RTD("tos.rtd",,$A$2,"."&amp;T$83&amp;T$1&amp;"P"&amp;$A129))</f>
        <v>0</v>
      </c>
      <c r="U129" s="91">
        <f ca="1">IF(RTD("tos.rtd",,$A$2,"."&amp;U$83&amp;U$1&amp;"C"&amp;$A129)="N/A",0,RTD("tos.rtd",,$A$2,"."&amp;U$83&amp;U$1&amp;"C"&amp;$A129))-IF(RTD("tos.rtd",,$A$2,"."&amp;U$83&amp;U$1&amp;"P"&amp;$A129)="N/A",0,RTD("tos.rtd",,$A$2,"."&amp;U$83&amp;U$1&amp;"P"&amp;$A129))</f>
        <v>0</v>
      </c>
      <c r="V129" s="91">
        <f ca="1">IF(RTD("tos.rtd",,$A$2,"."&amp;V$83&amp;V$1&amp;"C"&amp;$A129)="N/A",0,RTD("tos.rtd",,$A$2,"."&amp;V$83&amp;V$1&amp;"C"&amp;$A129))-IF(RTD("tos.rtd",,$A$2,"."&amp;V$83&amp;V$1&amp;"P"&amp;$A129)="N/A",0,RTD("tos.rtd",,$A$2,"."&amp;V$83&amp;V$1&amp;"P"&amp;$A129))</f>
        <v>0</v>
      </c>
      <c r="W129" s="91">
        <f ca="1">IF(RTD("tos.rtd",,$A$2,"."&amp;W$83&amp;W$1&amp;"C"&amp;$A129)="N/A",0,RTD("tos.rtd",,$A$2,"."&amp;W$83&amp;W$1&amp;"C"&amp;$A129))-IF(RTD("tos.rtd",,$A$2,"."&amp;W$83&amp;W$1&amp;"P"&amp;$A129)="N/A",0,RTD("tos.rtd",,$A$2,"."&amp;W$83&amp;W$1&amp;"P"&amp;$A129))</f>
        <v>0</v>
      </c>
      <c r="X129" s="91">
        <f ca="1">IF(RTD("tos.rtd",,$A$2,"."&amp;X$83&amp;X$1&amp;"C"&amp;$A129)="N/A",0,RTD("tos.rtd",,$A$2,"."&amp;X$83&amp;X$1&amp;"C"&amp;$A129))-IF(RTD("tos.rtd",,$A$2,"."&amp;X$83&amp;X$1&amp;"P"&amp;$A129)="N/A",0,RTD("tos.rtd",,$A$2,"."&amp;X$83&amp;X$1&amp;"P"&amp;$A129))</f>
        <v>0</v>
      </c>
      <c r="Y129" s="98">
        <f t="shared" ca="1" si="10"/>
        <v>0</v>
      </c>
    </row>
    <row r="130" spans="1:27" x14ac:dyDescent="0.25">
      <c r="A130" s="93">
        <f>+Hoja1!A129</f>
        <v>5430</v>
      </c>
      <c r="B130" s="91">
        <f ca="1">IF(RTD("tos.rtd",,$A$2,"."&amp;B$83&amp;B$1&amp;"C"&amp;$A130)="N/A",0,RTD("tos.rtd",,$A$2,"."&amp;B$83&amp;B$1&amp;"C"&amp;$A130))-IF(RTD("tos.rtd",,$A$2,"."&amp;B$83&amp;B$1&amp;"P"&amp;$A130)="N/A",0,RTD("tos.rtd",,$A$2,"."&amp;B$83&amp;B$1&amp;"P"&amp;$A130))</f>
        <v>0</v>
      </c>
      <c r="C130" s="91">
        <f ca="1">IF(RTD("tos.rtd",,$A$2,"."&amp;C$83&amp;C$1&amp;"C"&amp;$A130)="N/A",0,RTD("tos.rtd",,$A$2,"."&amp;C$83&amp;C$1&amp;"C"&amp;$A130))-IF(RTD("tos.rtd",,$A$2,"."&amp;C$83&amp;C$1&amp;"P"&amp;$A130)="N/A",0,RTD("tos.rtd",,$A$2,"."&amp;C$83&amp;C$1&amp;"P"&amp;$A130))</f>
        <v>0</v>
      </c>
      <c r="D130" s="91">
        <f ca="1">IF(RTD("tos.rtd",,$A$2,"."&amp;D$83&amp;D$1&amp;"C"&amp;$A130)="N/A",0,RTD("tos.rtd",,$A$2,"."&amp;D$83&amp;D$1&amp;"C"&amp;$A130))-IF(RTD("tos.rtd",,$A$2,"."&amp;D$83&amp;D$1&amp;"P"&amp;$A130)="N/A",0,RTD("tos.rtd",,$A$2,"."&amp;D$83&amp;D$1&amp;"P"&amp;$A130))</f>
        <v>0</v>
      </c>
      <c r="E130" s="91">
        <f ca="1">IF(RTD("tos.rtd",,$A$2,"."&amp;E$83&amp;E$1&amp;"C"&amp;$A130)="N/A",0,RTD("tos.rtd",,$A$2,"."&amp;E$83&amp;E$1&amp;"C"&amp;$A130))-IF(RTD("tos.rtd",,$A$2,"."&amp;E$83&amp;E$1&amp;"P"&amp;$A130)="N/A",0,RTD("tos.rtd",,$A$2,"."&amp;E$83&amp;E$1&amp;"P"&amp;$A130))</f>
        <v>0</v>
      </c>
      <c r="F130" s="91">
        <f ca="1">IF(RTD("tos.rtd",,$A$2,"."&amp;F$83&amp;F$1&amp;"C"&amp;$A130)="N/A",0,RTD("tos.rtd",,$A$2,"."&amp;F$83&amp;F$1&amp;"C"&amp;$A130))-IF(RTD("tos.rtd",,$A$2,"."&amp;F$83&amp;F$1&amp;"P"&amp;$A130)="N/A",0,RTD("tos.rtd",,$A$2,"."&amp;F$83&amp;F$1&amp;"P"&amp;$A130))</f>
        <v>0</v>
      </c>
      <c r="G130" s="91">
        <f ca="1">IF(RTD("tos.rtd",,$A$2,"."&amp;G$83&amp;G$1&amp;"C"&amp;$A130)="N/A",0,RTD("tos.rtd",,$A$2,"."&amp;G$83&amp;G$1&amp;"C"&amp;$A130))-IF(RTD("tos.rtd",,$A$2,"."&amp;G$83&amp;G$1&amp;"P"&amp;$A130)="N/A",0,RTD("tos.rtd",,$A$2,"."&amp;G$83&amp;G$1&amp;"P"&amp;$A130))</f>
        <v>0</v>
      </c>
      <c r="H130" s="91">
        <f ca="1">IF(RTD("tos.rtd",,$A$2,"."&amp;H$83&amp;H$1&amp;"C"&amp;$A130)="N/A",0,RTD("tos.rtd",,$A$2,"."&amp;H$83&amp;H$1&amp;"C"&amp;$A130))-IF(RTD("tos.rtd",,$A$2,"."&amp;H$83&amp;H$1&amp;"P"&amp;$A130)="N/A",0,RTD("tos.rtd",,$A$2,"."&amp;H$83&amp;H$1&amp;"P"&amp;$A130))</f>
        <v>0</v>
      </c>
      <c r="I130" s="91">
        <f ca="1">IF(RTD("tos.rtd",,$A$2,"."&amp;I$83&amp;I$1&amp;"C"&amp;$A130)="N/A",0,RTD("tos.rtd",,$A$2,"."&amp;I$83&amp;I$1&amp;"C"&amp;$A130))-IF(RTD("tos.rtd",,$A$2,"."&amp;I$83&amp;I$1&amp;"P"&amp;$A130)="N/A",0,RTD("tos.rtd",,$A$2,"."&amp;I$83&amp;I$1&amp;"P"&amp;$A130))</f>
        <v>0</v>
      </c>
      <c r="J130" s="91">
        <f ca="1">IF(RTD("tos.rtd",,$A$2,"."&amp;J$83&amp;J$1&amp;"C"&amp;$A130)="N/A",0,RTD("tos.rtd",,$A$2,"."&amp;J$83&amp;J$1&amp;"C"&amp;$A130))-IF(RTD("tos.rtd",,$A$2,"."&amp;J$83&amp;J$1&amp;"P"&amp;$A130)="N/A",0,RTD("tos.rtd",,$A$2,"."&amp;J$83&amp;J$1&amp;"P"&amp;$A130))</f>
        <v>0</v>
      </c>
      <c r="K130" s="91">
        <f ca="1">IF(RTD("tos.rtd",,$A$2,"."&amp;K$83&amp;K$1&amp;"C"&amp;$A130)="N/A",0,RTD("tos.rtd",,$A$2,"."&amp;K$83&amp;K$1&amp;"C"&amp;$A130))-IF(RTD("tos.rtd",,$A$2,"."&amp;K$83&amp;K$1&amp;"P"&amp;$A130)="N/A",0,RTD("tos.rtd",,$A$2,"."&amp;K$83&amp;K$1&amp;"P"&amp;$A130))</f>
        <v>0</v>
      </c>
      <c r="L130" s="91">
        <f ca="1">IF(RTD("tos.rtd",,$A$2,"."&amp;L$83&amp;L$1&amp;"C"&amp;$A130)="N/A",0,RTD("tos.rtd",,$A$2,"."&amp;L$83&amp;L$1&amp;"C"&amp;$A130))-IF(RTD("tos.rtd",,$A$2,"."&amp;L$83&amp;L$1&amp;"P"&amp;$A130)="N/A",0,RTD("tos.rtd",,$A$2,"."&amp;L$83&amp;L$1&amp;"P"&amp;$A130))</f>
        <v>0</v>
      </c>
      <c r="M130" s="91">
        <f ca="1">IF(RTD("tos.rtd",,$A$2,"."&amp;M$83&amp;M$1&amp;"C"&amp;$A130)="N/A",0,RTD("tos.rtd",,$A$2,"."&amp;M$83&amp;M$1&amp;"C"&amp;$A130))-IF(RTD("tos.rtd",,$A$2,"."&amp;M$83&amp;M$1&amp;"P"&amp;$A130)="N/A",0,RTD("tos.rtd",,$A$2,"."&amp;M$83&amp;M$1&amp;"P"&amp;$A130))</f>
        <v>0</v>
      </c>
      <c r="N130" s="91">
        <f ca="1">IF(RTD("tos.rtd",,$A$2,"."&amp;N$83&amp;N$1&amp;"C"&amp;$A130)="N/A",0,RTD("tos.rtd",,$A$2,"."&amp;N$83&amp;N$1&amp;"C"&amp;$A130))-IF(RTD("tos.rtd",,$A$2,"."&amp;N$83&amp;N$1&amp;"P"&amp;$A130)="N/A",0,RTD("tos.rtd",,$A$2,"."&amp;N$83&amp;N$1&amp;"P"&amp;$A130))</f>
        <v>0</v>
      </c>
      <c r="O130" s="91">
        <f ca="1">IF(RTD("tos.rtd",,$A$2,"."&amp;O$83&amp;O$1&amp;"C"&amp;$A130)="N/A",0,RTD("tos.rtd",,$A$2,"."&amp;O$83&amp;O$1&amp;"C"&amp;$A130))-IF(RTD("tos.rtd",,$A$2,"."&amp;O$83&amp;O$1&amp;"P"&amp;$A130)="N/A",0,RTD("tos.rtd",,$A$2,"."&amp;O$83&amp;O$1&amp;"P"&amp;$A130))</f>
        <v>0</v>
      </c>
      <c r="P130" s="91">
        <f ca="1">IF(RTD("tos.rtd",,$A$2,"."&amp;P$83&amp;P$1&amp;"C"&amp;$A130)="N/A",0,RTD("tos.rtd",,$A$2,"."&amp;P$83&amp;P$1&amp;"C"&amp;$A130))-IF(RTD("tos.rtd",,$A$2,"."&amp;P$83&amp;P$1&amp;"P"&amp;$A130)="N/A",0,RTD("tos.rtd",,$A$2,"."&amp;P$83&amp;P$1&amp;"P"&amp;$A130))</f>
        <v>0</v>
      </c>
      <c r="Q130" s="91">
        <f ca="1">IF(RTD("tos.rtd",,$A$2,"."&amp;Q$83&amp;Q$1&amp;"C"&amp;$A130)="N/A",0,RTD("tos.rtd",,$A$2,"."&amp;Q$83&amp;Q$1&amp;"C"&amp;$A130))-IF(RTD("tos.rtd",,$A$2,"."&amp;Q$83&amp;Q$1&amp;"P"&amp;$A130)="N/A",0,RTD("tos.rtd",,$A$2,"."&amp;Q$83&amp;Q$1&amp;"P"&amp;$A130))</f>
        <v>0</v>
      </c>
      <c r="R130" s="91">
        <f ca="1">IF(RTD("tos.rtd",,$A$2,"."&amp;R$83&amp;R$1&amp;"C"&amp;$A130)="N/A",0,RTD("tos.rtd",,$A$2,"."&amp;R$83&amp;R$1&amp;"C"&amp;$A130))-IF(RTD("tos.rtd",,$A$2,"."&amp;R$83&amp;R$1&amp;"P"&amp;$A130)="N/A",0,RTD("tos.rtd",,$A$2,"."&amp;R$83&amp;R$1&amp;"P"&amp;$A130))</f>
        <v>0</v>
      </c>
      <c r="S130" s="91">
        <f ca="1">IF(RTD("tos.rtd",,$A$2,"."&amp;S$83&amp;S$1&amp;"C"&amp;$A130)="N/A",0,RTD("tos.rtd",,$A$2,"."&amp;S$83&amp;S$1&amp;"C"&amp;$A130))-IF(RTD("tos.rtd",,$A$2,"."&amp;S$83&amp;S$1&amp;"P"&amp;$A130)="N/A",0,RTD("tos.rtd",,$A$2,"."&amp;S$83&amp;S$1&amp;"P"&amp;$A130))</f>
        <v>0</v>
      </c>
      <c r="T130" s="91">
        <f ca="1">IF(RTD("tos.rtd",,$A$2,"."&amp;T$83&amp;T$1&amp;"C"&amp;$A130)="N/A",0,RTD("tos.rtd",,$A$2,"."&amp;T$83&amp;T$1&amp;"C"&amp;$A130))-IF(RTD("tos.rtd",,$A$2,"."&amp;T$83&amp;T$1&amp;"P"&amp;$A130)="N/A",0,RTD("tos.rtd",,$A$2,"."&amp;T$83&amp;T$1&amp;"P"&amp;$A130))</f>
        <v>0</v>
      </c>
      <c r="U130" s="91">
        <f ca="1">IF(RTD("tos.rtd",,$A$2,"."&amp;U$83&amp;U$1&amp;"C"&amp;$A130)="N/A",0,RTD("tos.rtd",,$A$2,"."&amp;U$83&amp;U$1&amp;"C"&amp;$A130))-IF(RTD("tos.rtd",,$A$2,"."&amp;U$83&amp;U$1&amp;"P"&amp;$A130)="N/A",0,RTD("tos.rtd",,$A$2,"."&amp;U$83&amp;U$1&amp;"P"&amp;$A130))</f>
        <v>0</v>
      </c>
      <c r="V130" s="91">
        <f ca="1">IF(RTD("tos.rtd",,$A$2,"."&amp;V$83&amp;V$1&amp;"C"&amp;$A130)="N/A",0,RTD("tos.rtd",,$A$2,"."&amp;V$83&amp;V$1&amp;"C"&amp;$A130))-IF(RTD("tos.rtd",,$A$2,"."&amp;V$83&amp;V$1&amp;"P"&amp;$A130)="N/A",0,RTD("tos.rtd",,$A$2,"."&amp;V$83&amp;V$1&amp;"P"&amp;$A130))</f>
        <v>0</v>
      </c>
      <c r="W130" s="91">
        <f ca="1">IF(RTD("tos.rtd",,$A$2,"."&amp;W$83&amp;W$1&amp;"C"&amp;$A130)="N/A",0,RTD("tos.rtd",,$A$2,"."&amp;W$83&amp;W$1&amp;"C"&amp;$A130))-IF(RTD("tos.rtd",,$A$2,"."&amp;W$83&amp;W$1&amp;"P"&amp;$A130)="N/A",0,RTD("tos.rtd",,$A$2,"."&amp;W$83&amp;W$1&amp;"P"&amp;$A130))</f>
        <v>0</v>
      </c>
      <c r="X130" s="91">
        <f ca="1">IF(RTD("tos.rtd",,$A$2,"."&amp;X$83&amp;X$1&amp;"C"&amp;$A130)="N/A",0,RTD("tos.rtd",,$A$2,"."&amp;X$83&amp;X$1&amp;"C"&amp;$A130))-IF(RTD("tos.rtd",,$A$2,"."&amp;X$83&amp;X$1&amp;"P"&amp;$A130)="N/A",0,RTD("tos.rtd",,$A$2,"."&amp;X$83&amp;X$1&amp;"P"&amp;$A130))</f>
        <v>0</v>
      </c>
      <c r="Y130" s="98">
        <f t="shared" ca="1" si="10"/>
        <v>0</v>
      </c>
    </row>
    <row r="131" spans="1:27" x14ac:dyDescent="0.25">
      <c r="A131" s="93">
        <f>+Hoja1!A130</f>
        <v>5420</v>
      </c>
      <c r="B131" s="91">
        <f ca="1">IF(RTD("tos.rtd",,$A$2,"."&amp;B$83&amp;B$1&amp;"C"&amp;$A131)="N/A",0,RTD("tos.rtd",,$A$2,"."&amp;B$83&amp;B$1&amp;"C"&amp;$A131))-IF(RTD("tos.rtd",,$A$2,"."&amp;B$83&amp;B$1&amp;"P"&amp;$A131)="N/A",0,RTD("tos.rtd",,$A$2,"."&amp;B$83&amp;B$1&amp;"P"&amp;$A131))</f>
        <v>0</v>
      </c>
      <c r="C131" s="91">
        <f ca="1">IF(RTD("tos.rtd",,$A$2,"."&amp;C$83&amp;C$1&amp;"C"&amp;$A131)="N/A",0,RTD("tos.rtd",,$A$2,"."&amp;C$83&amp;C$1&amp;"C"&amp;$A131))-IF(RTD("tos.rtd",,$A$2,"."&amp;C$83&amp;C$1&amp;"P"&amp;$A131)="N/A",0,RTD("tos.rtd",,$A$2,"."&amp;C$83&amp;C$1&amp;"P"&amp;$A131))</f>
        <v>0</v>
      </c>
      <c r="D131" s="91">
        <f ca="1">IF(RTD("tos.rtd",,$A$2,"."&amp;D$83&amp;D$1&amp;"C"&amp;$A131)="N/A",0,RTD("tos.rtd",,$A$2,"."&amp;D$83&amp;D$1&amp;"C"&amp;$A131))-IF(RTD("tos.rtd",,$A$2,"."&amp;D$83&amp;D$1&amp;"P"&amp;$A131)="N/A",0,RTD("tos.rtd",,$A$2,"."&amp;D$83&amp;D$1&amp;"P"&amp;$A131))</f>
        <v>0</v>
      </c>
      <c r="E131" s="91">
        <f ca="1">IF(RTD("tos.rtd",,$A$2,"."&amp;E$83&amp;E$1&amp;"C"&amp;$A131)="N/A",0,RTD("tos.rtd",,$A$2,"."&amp;E$83&amp;E$1&amp;"C"&amp;$A131))-IF(RTD("tos.rtd",,$A$2,"."&amp;E$83&amp;E$1&amp;"P"&amp;$A131)="N/A",0,RTD("tos.rtd",,$A$2,"."&amp;E$83&amp;E$1&amp;"P"&amp;$A131))</f>
        <v>0</v>
      </c>
      <c r="F131" s="91">
        <f ca="1">IF(RTD("tos.rtd",,$A$2,"."&amp;F$83&amp;F$1&amp;"C"&amp;$A131)="N/A",0,RTD("tos.rtd",,$A$2,"."&amp;F$83&amp;F$1&amp;"C"&amp;$A131))-IF(RTD("tos.rtd",,$A$2,"."&amp;F$83&amp;F$1&amp;"P"&amp;$A131)="N/A",0,RTD("tos.rtd",,$A$2,"."&amp;F$83&amp;F$1&amp;"P"&amp;$A131))</f>
        <v>0</v>
      </c>
      <c r="G131" s="91">
        <f ca="1">IF(RTD("tos.rtd",,$A$2,"."&amp;G$83&amp;G$1&amp;"C"&amp;$A131)="N/A",0,RTD("tos.rtd",,$A$2,"."&amp;G$83&amp;G$1&amp;"C"&amp;$A131))-IF(RTD("tos.rtd",,$A$2,"."&amp;G$83&amp;G$1&amp;"P"&amp;$A131)="N/A",0,RTD("tos.rtd",,$A$2,"."&amp;G$83&amp;G$1&amp;"P"&amp;$A131))</f>
        <v>0</v>
      </c>
      <c r="H131" s="91">
        <f ca="1">IF(RTD("tos.rtd",,$A$2,"."&amp;H$83&amp;H$1&amp;"C"&amp;$A131)="N/A",0,RTD("tos.rtd",,$A$2,"."&amp;H$83&amp;H$1&amp;"C"&amp;$A131))-IF(RTD("tos.rtd",,$A$2,"."&amp;H$83&amp;H$1&amp;"P"&amp;$A131)="N/A",0,RTD("tos.rtd",,$A$2,"."&amp;H$83&amp;H$1&amp;"P"&amp;$A131))</f>
        <v>0</v>
      </c>
      <c r="I131" s="91">
        <f ca="1">IF(RTD("tos.rtd",,$A$2,"."&amp;I$83&amp;I$1&amp;"C"&amp;$A131)="N/A",0,RTD("tos.rtd",,$A$2,"."&amp;I$83&amp;I$1&amp;"C"&amp;$A131))-IF(RTD("tos.rtd",,$A$2,"."&amp;I$83&amp;I$1&amp;"P"&amp;$A131)="N/A",0,RTD("tos.rtd",,$A$2,"."&amp;I$83&amp;I$1&amp;"P"&amp;$A131))</f>
        <v>0</v>
      </c>
      <c r="J131" s="91">
        <f ca="1">IF(RTD("tos.rtd",,$A$2,"."&amp;J$83&amp;J$1&amp;"C"&amp;$A131)="N/A",0,RTD("tos.rtd",,$A$2,"."&amp;J$83&amp;J$1&amp;"C"&amp;$A131))-IF(RTD("tos.rtd",,$A$2,"."&amp;J$83&amp;J$1&amp;"P"&amp;$A131)="N/A",0,RTD("tos.rtd",,$A$2,"."&amp;J$83&amp;J$1&amp;"P"&amp;$A131))</f>
        <v>0</v>
      </c>
      <c r="K131" s="91">
        <f ca="1">IF(RTD("tos.rtd",,$A$2,"."&amp;K$83&amp;K$1&amp;"C"&amp;$A131)="N/A",0,RTD("tos.rtd",,$A$2,"."&amp;K$83&amp;K$1&amp;"C"&amp;$A131))-IF(RTD("tos.rtd",,$A$2,"."&amp;K$83&amp;K$1&amp;"P"&amp;$A131)="N/A",0,RTD("tos.rtd",,$A$2,"."&amp;K$83&amp;K$1&amp;"P"&amp;$A131))</f>
        <v>0</v>
      </c>
      <c r="L131" s="91">
        <f ca="1">IF(RTD("tos.rtd",,$A$2,"."&amp;L$83&amp;L$1&amp;"C"&amp;$A131)="N/A",0,RTD("tos.rtd",,$A$2,"."&amp;L$83&amp;L$1&amp;"C"&amp;$A131))-IF(RTD("tos.rtd",,$A$2,"."&amp;L$83&amp;L$1&amp;"P"&amp;$A131)="N/A",0,RTD("tos.rtd",,$A$2,"."&amp;L$83&amp;L$1&amp;"P"&amp;$A131))</f>
        <v>0</v>
      </c>
      <c r="M131" s="91">
        <f ca="1">IF(RTD("tos.rtd",,$A$2,"."&amp;M$83&amp;M$1&amp;"C"&amp;$A131)="N/A",0,RTD("tos.rtd",,$A$2,"."&amp;M$83&amp;M$1&amp;"C"&amp;$A131))-IF(RTD("tos.rtd",,$A$2,"."&amp;M$83&amp;M$1&amp;"P"&amp;$A131)="N/A",0,RTD("tos.rtd",,$A$2,"."&amp;M$83&amp;M$1&amp;"P"&amp;$A131))</f>
        <v>0</v>
      </c>
      <c r="N131" s="91">
        <f ca="1">IF(RTD("tos.rtd",,$A$2,"."&amp;N$83&amp;N$1&amp;"C"&amp;$A131)="N/A",0,RTD("tos.rtd",,$A$2,"."&amp;N$83&amp;N$1&amp;"C"&amp;$A131))-IF(RTD("tos.rtd",,$A$2,"."&amp;N$83&amp;N$1&amp;"P"&amp;$A131)="N/A",0,RTD("tos.rtd",,$A$2,"."&amp;N$83&amp;N$1&amp;"P"&amp;$A131))</f>
        <v>0</v>
      </c>
      <c r="O131" s="91">
        <f ca="1">IF(RTD("tos.rtd",,$A$2,"."&amp;O$83&amp;O$1&amp;"C"&amp;$A131)="N/A",0,RTD("tos.rtd",,$A$2,"."&amp;O$83&amp;O$1&amp;"C"&amp;$A131))-IF(RTD("tos.rtd",,$A$2,"."&amp;O$83&amp;O$1&amp;"P"&amp;$A131)="N/A",0,RTD("tos.rtd",,$A$2,"."&amp;O$83&amp;O$1&amp;"P"&amp;$A131))</f>
        <v>0</v>
      </c>
      <c r="P131" s="91">
        <f ca="1">IF(RTD("tos.rtd",,$A$2,"."&amp;P$83&amp;P$1&amp;"C"&amp;$A131)="N/A",0,RTD("tos.rtd",,$A$2,"."&amp;P$83&amp;P$1&amp;"C"&amp;$A131))-IF(RTD("tos.rtd",,$A$2,"."&amp;P$83&amp;P$1&amp;"P"&amp;$A131)="N/A",0,RTD("tos.rtd",,$A$2,"."&amp;P$83&amp;P$1&amp;"P"&amp;$A131))</f>
        <v>0</v>
      </c>
      <c r="Q131" s="91">
        <f ca="1">IF(RTD("tos.rtd",,$A$2,"."&amp;Q$83&amp;Q$1&amp;"C"&amp;$A131)="N/A",0,RTD("tos.rtd",,$A$2,"."&amp;Q$83&amp;Q$1&amp;"C"&amp;$A131))-IF(RTD("tos.rtd",,$A$2,"."&amp;Q$83&amp;Q$1&amp;"P"&amp;$A131)="N/A",0,RTD("tos.rtd",,$A$2,"."&amp;Q$83&amp;Q$1&amp;"P"&amp;$A131))</f>
        <v>0</v>
      </c>
      <c r="R131" s="91">
        <f ca="1">IF(RTD("tos.rtd",,$A$2,"."&amp;R$83&amp;R$1&amp;"C"&amp;$A131)="N/A",0,RTD("tos.rtd",,$A$2,"."&amp;R$83&amp;R$1&amp;"C"&amp;$A131))-IF(RTD("tos.rtd",,$A$2,"."&amp;R$83&amp;R$1&amp;"P"&amp;$A131)="N/A",0,RTD("tos.rtd",,$A$2,"."&amp;R$83&amp;R$1&amp;"P"&amp;$A131))</f>
        <v>0</v>
      </c>
      <c r="S131" s="91">
        <f ca="1">IF(RTD("tos.rtd",,$A$2,"."&amp;S$83&amp;S$1&amp;"C"&amp;$A131)="N/A",0,RTD("tos.rtd",,$A$2,"."&amp;S$83&amp;S$1&amp;"C"&amp;$A131))-IF(RTD("tos.rtd",,$A$2,"."&amp;S$83&amp;S$1&amp;"P"&amp;$A131)="N/A",0,RTD("tos.rtd",,$A$2,"."&amp;S$83&amp;S$1&amp;"P"&amp;$A131))</f>
        <v>0</v>
      </c>
      <c r="T131" s="91">
        <f ca="1">IF(RTD("tos.rtd",,$A$2,"."&amp;T$83&amp;T$1&amp;"C"&amp;$A131)="N/A",0,RTD("tos.rtd",,$A$2,"."&amp;T$83&amp;T$1&amp;"C"&amp;$A131))-IF(RTD("tos.rtd",,$A$2,"."&amp;T$83&amp;T$1&amp;"P"&amp;$A131)="N/A",0,RTD("tos.rtd",,$A$2,"."&amp;T$83&amp;T$1&amp;"P"&amp;$A131))</f>
        <v>0</v>
      </c>
      <c r="U131" s="91">
        <f ca="1">IF(RTD("tos.rtd",,$A$2,"."&amp;U$83&amp;U$1&amp;"C"&amp;$A131)="N/A",0,RTD("tos.rtd",,$A$2,"."&amp;U$83&amp;U$1&amp;"C"&amp;$A131))-IF(RTD("tos.rtd",,$A$2,"."&amp;U$83&amp;U$1&amp;"P"&amp;$A131)="N/A",0,RTD("tos.rtd",,$A$2,"."&amp;U$83&amp;U$1&amp;"P"&amp;$A131))</f>
        <v>0</v>
      </c>
      <c r="V131" s="91">
        <f ca="1">IF(RTD("tos.rtd",,$A$2,"."&amp;V$83&amp;V$1&amp;"C"&amp;$A131)="N/A",0,RTD("tos.rtd",,$A$2,"."&amp;V$83&amp;V$1&amp;"C"&amp;$A131))-IF(RTD("tos.rtd",,$A$2,"."&amp;V$83&amp;V$1&amp;"P"&amp;$A131)="N/A",0,RTD("tos.rtd",,$A$2,"."&amp;V$83&amp;V$1&amp;"P"&amp;$A131))</f>
        <v>0</v>
      </c>
      <c r="W131" s="91">
        <f ca="1">IF(RTD("tos.rtd",,$A$2,"."&amp;W$83&amp;W$1&amp;"C"&amp;$A131)="N/A",0,RTD("tos.rtd",,$A$2,"."&amp;W$83&amp;W$1&amp;"C"&amp;$A131))-IF(RTD("tos.rtd",,$A$2,"."&amp;W$83&amp;W$1&amp;"P"&amp;$A131)="N/A",0,RTD("tos.rtd",,$A$2,"."&amp;W$83&amp;W$1&amp;"P"&amp;$A131))</f>
        <v>0</v>
      </c>
      <c r="X131" s="91">
        <f ca="1">IF(RTD("tos.rtd",,$A$2,"."&amp;X$83&amp;X$1&amp;"C"&amp;$A131)="N/A",0,RTD("tos.rtd",,$A$2,"."&amp;X$83&amp;X$1&amp;"C"&amp;$A131))-IF(RTD("tos.rtd",,$A$2,"."&amp;X$83&amp;X$1&amp;"P"&amp;$A131)="N/A",0,RTD("tos.rtd",,$A$2,"."&amp;X$83&amp;X$1&amp;"P"&amp;$A131))</f>
        <v>0</v>
      </c>
      <c r="Y131" s="98">
        <f t="shared" ca="1" si="10"/>
        <v>0</v>
      </c>
    </row>
    <row r="132" spans="1:27" x14ac:dyDescent="0.25">
      <c r="A132" s="93">
        <f>+Hoja1!A131</f>
        <v>0</v>
      </c>
    </row>
    <row r="133" spans="1:27" x14ac:dyDescent="0.25">
      <c r="A133" s="93">
        <f>+Hoja1!A132</f>
        <v>0</v>
      </c>
    </row>
    <row r="134" spans="1:27" x14ac:dyDescent="0.25">
      <c r="A134" s="93">
        <f>+Hoja1!A133</f>
        <v>25</v>
      </c>
      <c r="B134" s="92" t="str">
        <f ca="1">+B82</f>
        <v/>
      </c>
      <c r="C134" s="92" t="str">
        <f t="shared" ref="C134:X134" ca="1" si="11">+C82</f>
        <v/>
      </c>
      <c r="D134" s="92" t="str">
        <f t="shared" ca="1" si="11"/>
        <v/>
      </c>
      <c r="E134" s="92" t="str">
        <f t="shared" ca="1" si="11"/>
        <v/>
      </c>
      <c r="F134" s="92" t="str">
        <f t="shared" ca="1" si="11"/>
        <v/>
      </c>
      <c r="G134" s="92" t="str">
        <f t="shared" ca="1" si="11"/>
        <v/>
      </c>
      <c r="H134" s="92" t="str">
        <f t="shared" ca="1" si="11"/>
        <v>250523</v>
      </c>
      <c r="I134" s="92" t="str">
        <f t="shared" ca="1" si="11"/>
        <v>250530</v>
      </c>
      <c r="J134" s="92" t="str">
        <f t="shared" ca="1" si="11"/>
        <v>250606</v>
      </c>
      <c r="K134" s="92" t="str">
        <f t="shared" ca="1" si="11"/>
        <v>250620</v>
      </c>
      <c r="L134" s="92" t="str">
        <f t="shared" ca="1" si="11"/>
        <v>250630</v>
      </c>
      <c r="M134" s="92" t="str">
        <f t="shared" ca="1" si="11"/>
        <v>250718</v>
      </c>
      <c r="N134" s="92" t="str">
        <f t="shared" ca="1" si="11"/>
        <v>250731</v>
      </c>
      <c r="O134" s="92" t="str">
        <f t="shared" ca="1" si="11"/>
        <v>250815</v>
      </c>
      <c r="P134" s="92" t="str">
        <f t="shared" ca="1" si="11"/>
        <v>250829</v>
      </c>
      <c r="Q134" s="92" t="str">
        <f t="shared" ca="1" si="11"/>
        <v>250919</v>
      </c>
      <c r="R134" s="92" t="str">
        <f t="shared" ca="1" si="11"/>
        <v>250930</v>
      </c>
      <c r="S134" s="92" t="str">
        <f t="shared" ca="1" si="11"/>
        <v>251017</v>
      </c>
      <c r="T134" s="92" t="str">
        <f t="shared" ca="1" si="11"/>
        <v>251031</v>
      </c>
      <c r="U134" s="92" t="str">
        <f t="shared" ca="1" si="11"/>
        <v>251121</v>
      </c>
      <c r="V134" s="92" t="str">
        <f t="shared" ca="1" si="11"/>
        <v>251128</v>
      </c>
      <c r="W134" s="92" t="str">
        <f t="shared" ca="1" si="11"/>
        <v>251219</v>
      </c>
      <c r="X134" s="92" t="str">
        <f t="shared" ca="1" si="11"/>
        <v>251231</v>
      </c>
    </row>
    <row r="135" spans="1:27" x14ac:dyDescent="0.25">
      <c r="A135" s="93" t="str">
        <f>+Hoja1!A134</f>
        <v>NDX</v>
      </c>
      <c r="B135" s="92" t="s">
        <v>58</v>
      </c>
      <c r="C135" s="92" t="s">
        <v>58</v>
      </c>
      <c r="D135" s="92" t="s">
        <v>58</v>
      </c>
      <c r="E135" s="92" t="s">
        <v>58</v>
      </c>
      <c r="F135" s="92" t="s">
        <v>58</v>
      </c>
      <c r="G135" s="92" t="s">
        <v>58</v>
      </c>
      <c r="H135" s="92" t="s">
        <v>14</v>
      </c>
      <c r="I135" s="92" t="s">
        <v>58</v>
      </c>
      <c r="J135" s="92" t="s">
        <v>58</v>
      </c>
      <c r="K135" s="92" t="s">
        <v>14</v>
      </c>
      <c r="L135" s="92" t="s">
        <v>58</v>
      </c>
      <c r="M135" s="92" t="s">
        <v>14</v>
      </c>
      <c r="N135" s="92" t="s">
        <v>58</v>
      </c>
      <c r="O135" s="92" t="s">
        <v>14</v>
      </c>
      <c r="P135" s="92" t="s">
        <v>58</v>
      </c>
      <c r="Q135" s="92" t="s">
        <v>14</v>
      </c>
      <c r="R135" s="92" t="s">
        <v>58</v>
      </c>
      <c r="S135" s="92" t="s">
        <v>14</v>
      </c>
      <c r="T135" s="92" t="s">
        <v>58</v>
      </c>
      <c r="U135" s="92" t="s">
        <v>14</v>
      </c>
      <c r="V135" s="92" t="s">
        <v>58</v>
      </c>
      <c r="W135" s="92" t="s">
        <v>14</v>
      </c>
      <c r="X135" s="92" t="s">
        <v>58</v>
      </c>
    </row>
    <row r="136" spans="1:27" x14ac:dyDescent="0.25">
      <c r="A136" s="93" t="str">
        <f>+Hoja1!A135</f>
        <v>NDX</v>
      </c>
      <c r="B136" s="94">
        <f>+B84</f>
        <v>45782</v>
      </c>
      <c r="C136" s="94">
        <f t="shared" ref="C136:X136" si="12">+C84</f>
        <v>45783</v>
      </c>
      <c r="D136" s="94">
        <f t="shared" si="12"/>
        <v>45784</v>
      </c>
      <c r="E136" s="94">
        <f t="shared" si="12"/>
        <v>45785</v>
      </c>
      <c r="F136" s="94">
        <f t="shared" si="12"/>
        <v>45786</v>
      </c>
      <c r="G136" s="94">
        <f t="shared" si="12"/>
        <v>45793</v>
      </c>
      <c r="H136" s="94">
        <f t="shared" si="12"/>
        <v>45800</v>
      </c>
      <c r="I136" s="94">
        <f t="shared" si="12"/>
        <v>45807</v>
      </c>
      <c r="J136" s="94">
        <f t="shared" si="12"/>
        <v>45814</v>
      </c>
      <c r="K136" s="94">
        <f t="shared" si="12"/>
        <v>45828</v>
      </c>
      <c r="L136" s="94">
        <f t="shared" si="12"/>
        <v>45838</v>
      </c>
      <c r="M136" s="94">
        <f t="shared" si="12"/>
        <v>45856</v>
      </c>
      <c r="N136" s="94">
        <f t="shared" si="12"/>
        <v>45869</v>
      </c>
      <c r="O136" s="94">
        <f t="shared" si="12"/>
        <v>45884</v>
      </c>
      <c r="P136" s="94">
        <f t="shared" si="12"/>
        <v>45898</v>
      </c>
      <c r="Q136" s="94">
        <f t="shared" si="12"/>
        <v>45919</v>
      </c>
      <c r="R136" s="94">
        <f t="shared" si="12"/>
        <v>45930</v>
      </c>
      <c r="S136" s="94">
        <f t="shared" si="12"/>
        <v>45947</v>
      </c>
      <c r="T136" s="94">
        <f t="shared" si="12"/>
        <v>45961</v>
      </c>
      <c r="U136" s="94">
        <f t="shared" si="12"/>
        <v>45982</v>
      </c>
      <c r="V136" s="94">
        <f t="shared" si="12"/>
        <v>45989</v>
      </c>
      <c r="W136" s="94">
        <f t="shared" si="12"/>
        <v>46010</v>
      </c>
      <c r="X136" s="94">
        <f t="shared" si="12"/>
        <v>46022</v>
      </c>
    </row>
    <row r="137" spans="1:27" x14ac:dyDescent="0.25">
      <c r="A137" s="93">
        <f>+Hoja1!A136</f>
        <v>19867.973000000002</v>
      </c>
      <c r="B137" s="92"/>
      <c r="X137" s="91"/>
    </row>
    <row r="138" spans="1:27" x14ac:dyDescent="0.25">
      <c r="A138" s="93">
        <f>+Hoja1!A137</f>
        <v>20450</v>
      </c>
      <c r="B138" s="91">
        <f ca="1">IF(RTD("tos.rtd",,$A$2,"."&amp;B$135&amp;B$1&amp;"C"&amp;$A138)="N/A",0,RTD("tos.rtd",,$A$2,"."&amp;B$135&amp;B$1&amp;"C"&amp;$A138))-IF(RTD("tos.rtd",,$A$2,"."&amp;B$135&amp;B$1&amp;"P"&amp;$A138)="N/A",0,RTD("tos.rtd",,$A$2,"."&amp;B$135&amp;B$1&amp;"P"&amp;$A138))</f>
        <v>0</v>
      </c>
      <c r="C138" s="91">
        <f ca="1">IF(RTD("tos.rtd",,$A$2,"."&amp;C$135&amp;C$1&amp;"C"&amp;$A138)="N/A",0,RTD("tos.rtd",,$A$2,"."&amp;C$135&amp;C$1&amp;"C"&amp;$A138))-IF(RTD("tos.rtd",,$A$2,"."&amp;C$135&amp;C$1&amp;"P"&amp;$A138)="N/A",0,RTD("tos.rtd",,$A$2,"."&amp;C$135&amp;C$1&amp;"P"&amp;$A138))</f>
        <v>0</v>
      </c>
      <c r="D138" s="91">
        <f ca="1">IF(RTD("tos.rtd",,$A$2,"."&amp;D$135&amp;D$1&amp;"C"&amp;$A138)="N/A",0,RTD("tos.rtd",,$A$2,"."&amp;D$135&amp;D$1&amp;"C"&amp;$A138))-IF(RTD("tos.rtd",,$A$2,"."&amp;D$135&amp;D$1&amp;"P"&amp;$A138)="N/A",0,RTD("tos.rtd",,$A$2,"."&amp;D$135&amp;D$1&amp;"P"&amp;$A138))</f>
        <v>0</v>
      </c>
      <c r="E138" s="91">
        <f ca="1">IF(RTD("tos.rtd",,$A$2,"."&amp;E$135&amp;E$1&amp;"C"&amp;$A138)="N/A",0,RTD("tos.rtd",,$A$2,"."&amp;E$135&amp;E$1&amp;"C"&amp;$A138))-IF(RTD("tos.rtd",,$A$2,"."&amp;E$135&amp;E$1&amp;"P"&amp;$A138)="N/A",0,RTD("tos.rtd",,$A$2,"."&amp;E$135&amp;E$1&amp;"P"&amp;$A138))</f>
        <v>0</v>
      </c>
      <c r="F138" s="91">
        <f ca="1">IF(RTD("tos.rtd",,$A$2,"."&amp;F$135&amp;F$1&amp;"C"&amp;$A138)="N/A",0,RTD("tos.rtd",,$A$2,"."&amp;F$135&amp;F$1&amp;"C"&amp;$A138))-IF(RTD("tos.rtd",,$A$2,"."&amp;F$135&amp;F$1&amp;"P"&amp;$A138)="N/A",0,RTD("tos.rtd",,$A$2,"."&amp;F$135&amp;F$1&amp;"P"&amp;$A138))</f>
        <v>0</v>
      </c>
      <c r="G138" s="91">
        <f ca="1">IF(RTD("tos.rtd",,$A$2,"."&amp;G$135&amp;G$1&amp;"C"&amp;$A138)="N/A",0,RTD("tos.rtd",,$A$2,"."&amp;G$135&amp;G$1&amp;"C"&amp;$A138))-IF(RTD("tos.rtd",,$A$2,"."&amp;G$135&amp;G$1&amp;"P"&amp;$A138)="N/A",0,RTD("tos.rtd",,$A$2,"."&amp;G$135&amp;G$1&amp;"P"&amp;$A138))</f>
        <v>0</v>
      </c>
      <c r="H138" s="91">
        <f ca="1">IF(RTD("tos.rtd",,$A$2,"."&amp;H$135&amp;H$1&amp;"C"&amp;$A138)="N/A",0,RTD("tos.rtd",,$A$2,"."&amp;H$135&amp;H$1&amp;"C"&amp;$A138))-IF(RTD("tos.rtd",,$A$2,"."&amp;H$135&amp;H$1&amp;"P"&amp;$A138)="N/A",0,RTD("tos.rtd",,$A$2,"."&amp;H$135&amp;H$1&amp;"P"&amp;$A138))</f>
        <v>0</v>
      </c>
      <c r="I138" s="91">
        <f ca="1">IF(RTD("tos.rtd",,$A$2,"."&amp;I$135&amp;I$1&amp;"C"&amp;$A138)="N/A",0,RTD("tos.rtd",,$A$2,"."&amp;I$135&amp;I$1&amp;"C"&amp;$A138))-IF(RTD("tos.rtd",,$A$2,"."&amp;I$135&amp;I$1&amp;"P"&amp;$A138)="N/A",0,RTD("tos.rtd",,$A$2,"."&amp;I$135&amp;I$1&amp;"P"&amp;$A138))</f>
        <v>0</v>
      </c>
      <c r="J138" s="91">
        <f ca="1">IF(RTD("tos.rtd",,$A$2,"."&amp;J$135&amp;J$1&amp;"C"&amp;$A138)="N/A",0,RTD("tos.rtd",,$A$2,"."&amp;J$135&amp;J$1&amp;"C"&amp;$A138))-IF(RTD("tos.rtd",,$A$2,"."&amp;J$135&amp;J$1&amp;"P"&amp;$A138)="N/A",0,RTD("tos.rtd",,$A$2,"."&amp;J$135&amp;J$1&amp;"P"&amp;$A138))</f>
        <v>0</v>
      </c>
      <c r="K138" s="91">
        <f ca="1">IF(RTD("tos.rtd",,$A$2,"."&amp;K$135&amp;K$1&amp;"C"&amp;$A138)="N/A",0,RTD("tos.rtd",,$A$2,"."&amp;K$135&amp;K$1&amp;"C"&amp;$A138))-IF(RTD("tos.rtd",,$A$2,"."&amp;K$135&amp;K$1&amp;"P"&amp;$A138)="N/A",0,RTD("tos.rtd",,$A$2,"."&amp;K$135&amp;K$1&amp;"P"&amp;$A138))</f>
        <v>3</v>
      </c>
      <c r="L138" s="91">
        <f ca="1">IF(RTD("tos.rtd",,$A$2,"."&amp;L$135&amp;L$1&amp;"C"&amp;$A138)="N/A",0,RTD("tos.rtd",,$A$2,"."&amp;L$135&amp;L$1&amp;"C"&amp;$A138))-IF(RTD("tos.rtd",,$A$2,"."&amp;L$135&amp;L$1&amp;"P"&amp;$A138)="N/A",0,RTD("tos.rtd",,$A$2,"."&amp;L$135&amp;L$1&amp;"P"&amp;$A138))</f>
        <v>0</v>
      </c>
      <c r="M138" s="91">
        <f ca="1">IF(RTD("tos.rtd",,$A$2,"."&amp;M$135&amp;M$1&amp;"C"&amp;$A138)="N/A",0,RTD("tos.rtd",,$A$2,"."&amp;M$135&amp;M$1&amp;"C"&amp;$A138))-IF(RTD("tos.rtd",,$A$2,"."&amp;M$135&amp;M$1&amp;"P"&amp;$A138)="N/A",0,RTD("tos.rtd",,$A$2,"."&amp;M$135&amp;M$1&amp;"P"&amp;$A138))</f>
        <v>0</v>
      </c>
      <c r="N138" s="91">
        <f ca="1">IF(RTD("tos.rtd",,$A$2,"."&amp;N$135&amp;N$1&amp;"C"&amp;$A138)="N/A",0,RTD("tos.rtd",,$A$2,"."&amp;N$135&amp;N$1&amp;"C"&amp;$A138))-IF(RTD("tos.rtd",,$A$2,"."&amp;N$135&amp;N$1&amp;"P"&amp;$A138)="N/A",0,RTD("tos.rtd",,$A$2,"."&amp;N$135&amp;N$1&amp;"P"&amp;$A138))</f>
        <v>0</v>
      </c>
      <c r="O138" s="91">
        <f ca="1">IF(RTD("tos.rtd",,$A$2,"."&amp;O$135&amp;O$1&amp;"C"&amp;$A138)="N/A",0,RTD("tos.rtd",,$A$2,"."&amp;O$135&amp;O$1&amp;"C"&amp;$A138))-IF(RTD("tos.rtd",,$A$2,"."&amp;O$135&amp;O$1&amp;"P"&amp;$A138)="N/A",0,RTD("tos.rtd",,$A$2,"."&amp;O$135&amp;O$1&amp;"P"&amp;$A138))</f>
        <v>0</v>
      </c>
      <c r="P138" s="91">
        <f ca="1">IF(RTD("tos.rtd",,$A$2,"."&amp;P$135&amp;P$1&amp;"C"&amp;$A138)="N/A",0,RTD("tos.rtd",,$A$2,"."&amp;P$135&amp;P$1&amp;"C"&amp;$A138))-IF(RTD("tos.rtd",,$A$2,"."&amp;P$135&amp;P$1&amp;"P"&amp;$A138)="N/A",0,RTD("tos.rtd",,$A$2,"."&amp;P$135&amp;P$1&amp;"P"&amp;$A138))</f>
        <v>0</v>
      </c>
      <c r="Q138" s="91">
        <f ca="1">IF(RTD("tos.rtd",,$A$2,"."&amp;Q$135&amp;Q$1&amp;"C"&amp;$A138)="N/A",0,RTD("tos.rtd",,$A$2,"."&amp;Q$135&amp;Q$1&amp;"C"&amp;$A138))-IF(RTD("tos.rtd",,$A$2,"."&amp;Q$135&amp;Q$1&amp;"P"&amp;$A138)="N/A",0,RTD("tos.rtd",,$A$2,"."&amp;Q$135&amp;Q$1&amp;"P"&amp;$A138))</f>
        <v>0</v>
      </c>
      <c r="R138" s="91">
        <f ca="1">IF(RTD("tos.rtd",,$A$2,"."&amp;R$135&amp;R$1&amp;"C"&amp;$A138)="N/A",0,RTD("tos.rtd",,$A$2,"."&amp;R$135&amp;R$1&amp;"C"&amp;$A138))-IF(RTD("tos.rtd",,$A$2,"."&amp;R$135&amp;R$1&amp;"P"&amp;$A138)="N/A",0,RTD("tos.rtd",,$A$2,"."&amp;R$135&amp;R$1&amp;"P"&amp;$A138))</f>
        <v>0</v>
      </c>
      <c r="S138" s="91">
        <f ca="1">IF(RTD("tos.rtd",,$A$2,"."&amp;S$135&amp;S$1&amp;"C"&amp;$A138)="N/A",0,RTD("tos.rtd",,$A$2,"."&amp;S$135&amp;S$1&amp;"C"&amp;$A138))-IF(RTD("tos.rtd",,$A$2,"."&amp;S$135&amp;S$1&amp;"P"&amp;$A138)="N/A",0,RTD("tos.rtd",,$A$2,"."&amp;S$135&amp;S$1&amp;"P"&amp;$A138))</f>
        <v>0</v>
      </c>
      <c r="T138" s="91">
        <f ca="1">IF(RTD("tos.rtd",,$A$2,"."&amp;T$135&amp;T$1&amp;"C"&amp;$A138)="N/A",0,RTD("tos.rtd",,$A$2,"."&amp;T$135&amp;T$1&amp;"C"&amp;$A138))-IF(RTD("tos.rtd",,$A$2,"."&amp;T$135&amp;T$1&amp;"P"&amp;$A138)="N/A",0,RTD("tos.rtd",,$A$2,"."&amp;T$135&amp;T$1&amp;"P"&amp;$A138))</f>
        <v>0</v>
      </c>
      <c r="U138" s="91">
        <f ca="1">IF(RTD("tos.rtd",,$A$2,"."&amp;U$135&amp;U$1&amp;"C"&amp;$A138)="N/A",0,RTD("tos.rtd",,$A$2,"."&amp;U$135&amp;U$1&amp;"C"&amp;$A138))-IF(RTD("tos.rtd",,$A$2,"."&amp;U$135&amp;U$1&amp;"P"&amp;$A138)="N/A",0,RTD("tos.rtd",,$A$2,"."&amp;U$135&amp;U$1&amp;"P"&amp;$A138))</f>
        <v>0</v>
      </c>
      <c r="V138" s="91">
        <f ca="1">IF(RTD("tos.rtd",,$A$2,"."&amp;V$135&amp;V$1&amp;"C"&amp;$A138)="N/A",0,RTD("tos.rtd",,$A$2,"."&amp;V$135&amp;V$1&amp;"C"&amp;$A138))-IF(RTD("tos.rtd",,$A$2,"."&amp;V$135&amp;V$1&amp;"P"&amp;$A138)="N/A",0,RTD("tos.rtd",,$A$2,"."&amp;V$135&amp;V$1&amp;"P"&amp;$A138))</f>
        <v>0</v>
      </c>
      <c r="W138" s="91">
        <f ca="1">IF(RTD("tos.rtd",,$A$2,"."&amp;W$135&amp;W$1&amp;"C"&amp;$A138)="N/A",0,RTD("tos.rtd",,$A$2,"."&amp;W$135&amp;W$1&amp;"C"&amp;$A138))-IF(RTD("tos.rtd",,$A$2,"."&amp;W$135&amp;W$1&amp;"P"&amp;$A138)="N/A",0,RTD("tos.rtd",,$A$2,"."&amp;W$135&amp;W$1&amp;"P"&amp;$A138))</f>
        <v>0</v>
      </c>
      <c r="X138" s="91">
        <f ca="1">IF(RTD("tos.rtd",,$A$2,"."&amp;X$135&amp;X$1&amp;"C"&amp;$A138)="N/A",0,RTD("tos.rtd",,$A$2,"."&amp;X$135&amp;X$1&amp;"C"&amp;$A138))-IF(RTD("tos.rtd",,$A$2,"."&amp;X$135&amp;X$1&amp;"P"&amp;$A138)="N/A",0,RTD("tos.rtd",,$A$2,"."&amp;X$135&amp;X$1&amp;"P"&amp;$A138))</f>
        <v>0</v>
      </c>
      <c r="Y138" s="98">
        <f t="shared" ref="Y138:Y190" ca="1" si="13">SUM(B138:X138)</f>
        <v>3</v>
      </c>
      <c r="Z138" s="91"/>
      <c r="AA138" s="91"/>
    </row>
    <row r="139" spans="1:27" x14ac:dyDescent="0.25">
      <c r="A139" s="93">
        <f>+Hoja1!A138</f>
        <v>20425</v>
      </c>
      <c r="B139" s="91">
        <f ca="1">IF(RTD("tos.rtd",,$A$2,"."&amp;B$135&amp;B$1&amp;"C"&amp;$A139)="N/A",0,RTD("tos.rtd",,$A$2,"."&amp;B$135&amp;B$1&amp;"C"&amp;$A139))-IF(RTD("tos.rtd",,$A$2,"."&amp;B$135&amp;B$1&amp;"P"&amp;$A139)="N/A",0,RTD("tos.rtd",,$A$2,"."&amp;B$135&amp;B$1&amp;"P"&amp;$A139))</f>
        <v>0</v>
      </c>
      <c r="C139" s="91">
        <f ca="1">IF(RTD("tos.rtd",,$A$2,"."&amp;C$135&amp;C$1&amp;"C"&amp;$A139)="N/A",0,RTD("tos.rtd",,$A$2,"."&amp;C$135&amp;C$1&amp;"C"&amp;$A139))-IF(RTD("tos.rtd",,$A$2,"."&amp;C$135&amp;C$1&amp;"P"&amp;$A139)="N/A",0,RTD("tos.rtd",,$A$2,"."&amp;C$135&amp;C$1&amp;"P"&amp;$A139))</f>
        <v>0</v>
      </c>
      <c r="D139" s="91">
        <f ca="1">IF(RTD("tos.rtd",,$A$2,"."&amp;D$135&amp;D$1&amp;"C"&amp;$A139)="N/A",0,RTD("tos.rtd",,$A$2,"."&amp;D$135&amp;D$1&amp;"C"&amp;$A139))-IF(RTD("tos.rtd",,$A$2,"."&amp;D$135&amp;D$1&amp;"P"&amp;$A139)="N/A",0,RTD("tos.rtd",,$A$2,"."&amp;D$135&amp;D$1&amp;"P"&amp;$A139))</f>
        <v>0</v>
      </c>
      <c r="E139" s="91">
        <f ca="1">IF(RTD("tos.rtd",,$A$2,"."&amp;E$135&amp;E$1&amp;"C"&amp;$A139)="N/A",0,RTD("tos.rtd",,$A$2,"."&amp;E$135&amp;E$1&amp;"C"&amp;$A139))-IF(RTD("tos.rtd",,$A$2,"."&amp;E$135&amp;E$1&amp;"P"&amp;$A139)="N/A",0,RTD("tos.rtd",,$A$2,"."&amp;E$135&amp;E$1&amp;"P"&amp;$A139))</f>
        <v>0</v>
      </c>
      <c r="F139" s="91">
        <f ca="1">IF(RTD("tos.rtd",,$A$2,"."&amp;F$135&amp;F$1&amp;"C"&amp;$A139)="N/A",0,RTD("tos.rtd",,$A$2,"."&amp;F$135&amp;F$1&amp;"C"&amp;$A139))-IF(RTD("tos.rtd",,$A$2,"."&amp;F$135&amp;F$1&amp;"P"&amp;$A139)="N/A",0,RTD("tos.rtd",,$A$2,"."&amp;F$135&amp;F$1&amp;"P"&amp;$A139))</f>
        <v>0</v>
      </c>
      <c r="G139" s="91">
        <f ca="1">IF(RTD("tos.rtd",,$A$2,"."&amp;G$135&amp;G$1&amp;"C"&amp;$A139)="N/A",0,RTD("tos.rtd",,$A$2,"."&amp;G$135&amp;G$1&amp;"C"&amp;$A139))-IF(RTD("tos.rtd",,$A$2,"."&amp;G$135&amp;G$1&amp;"P"&amp;$A139)="N/A",0,RTD("tos.rtd",,$A$2,"."&amp;G$135&amp;G$1&amp;"P"&amp;$A139))</f>
        <v>0</v>
      </c>
      <c r="H139" s="91">
        <f ca="1">IF(RTD("tos.rtd",,$A$2,"."&amp;H$135&amp;H$1&amp;"C"&amp;$A139)="N/A",0,RTD("tos.rtd",,$A$2,"."&amp;H$135&amp;H$1&amp;"C"&amp;$A139))-IF(RTD("tos.rtd",,$A$2,"."&amp;H$135&amp;H$1&amp;"P"&amp;$A139)="N/A",0,RTD("tos.rtd",,$A$2,"."&amp;H$135&amp;H$1&amp;"P"&amp;$A139))</f>
        <v>0</v>
      </c>
      <c r="I139" s="91">
        <f ca="1">IF(RTD("tos.rtd",,$A$2,"."&amp;I$135&amp;I$1&amp;"C"&amp;$A139)="N/A",0,RTD("tos.rtd",,$A$2,"."&amp;I$135&amp;I$1&amp;"C"&amp;$A139))-IF(RTD("tos.rtd",,$A$2,"."&amp;I$135&amp;I$1&amp;"P"&amp;$A139)="N/A",0,RTD("tos.rtd",,$A$2,"."&amp;I$135&amp;I$1&amp;"P"&amp;$A139))</f>
        <v>0</v>
      </c>
      <c r="J139" s="91">
        <f ca="1">IF(RTD("tos.rtd",,$A$2,"."&amp;J$135&amp;J$1&amp;"C"&amp;$A139)="N/A",0,RTD("tos.rtd",,$A$2,"."&amp;J$135&amp;J$1&amp;"C"&amp;$A139))-IF(RTD("tos.rtd",,$A$2,"."&amp;J$135&amp;J$1&amp;"P"&amp;$A139)="N/A",0,RTD("tos.rtd",,$A$2,"."&amp;J$135&amp;J$1&amp;"P"&amp;$A139))</f>
        <v>0</v>
      </c>
      <c r="K139" s="91">
        <f ca="1">IF(RTD("tos.rtd",,$A$2,"."&amp;K$135&amp;K$1&amp;"C"&amp;$A139)="N/A",0,RTD("tos.rtd",,$A$2,"."&amp;K$135&amp;K$1&amp;"C"&amp;$A139))-IF(RTD("tos.rtd",,$A$2,"."&amp;K$135&amp;K$1&amp;"P"&amp;$A139)="N/A",0,RTD("tos.rtd",,$A$2,"."&amp;K$135&amp;K$1&amp;"P"&amp;$A139))</f>
        <v>0</v>
      </c>
      <c r="L139" s="91">
        <f ca="1">IF(RTD("tos.rtd",,$A$2,"."&amp;L$135&amp;L$1&amp;"C"&amp;$A139)="N/A",0,RTD("tos.rtd",,$A$2,"."&amp;L$135&amp;L$1&amp;"C"&amp;$A139))-IF(RTD("tos.rtd",,$A$2,"."&amp;L$135&amp;L$1&amp;"P"&amp;$A139)="N/A",0,RTD("tos.rtd",,$A$2,"."&amp;L$135&amp;L$1&amp;"P"&amp;$A139))</f>
        <v>0</v>
      </c>
      <c r="M139" s="91">
        <f ca="1">IF(RTD("tos.rtd",,$A$2,"."&amp;M$135&amp;M$1&amp;"C"&amp;$A139)="N/A",0,RTD("tos.rtd",,$A$2,"."&amp;M$135&amp;M$1&amp;"C"&amp;$A139))-IF(RTD("tos.rtd",,$A$2,"."&amp;M$135&amp;M$1&amp;"P"&amp;$A139)="N/A",0,RTD("tos.rtd",,$A$2,"."&amp;M$135&amp;M$1&amp;"P"&amp;$A139))</f>
        <v>0</v>
      </c>
      <c r="N139" s="91">
        <f ca="1">IF(RTD("tos.rtd",,$A$2,"."&amp;N$135&amp;N$1&amp;"C"&amp;$A139)="N/A",0,RTD("tos.rtd",,$A$2,"."&amp;N$135&amp;N$1&amp;"C"&amp;$A139))-IF(RTD("tos.rtd",,$A$2,"."&amp;N$135&amp;N$1&amp;"P"&amp;$A139)="N/A",0,RTD("tos.rtd",,$A$2,"."&amp;N$135&amp;N$1&amp;"P"&amp;$A139))</f>
        <v>0</v>
      </c>
      <c r="O139" s="91">
        <f ca="1">IF(RTD("tos.rtd",,$A$2,"."&amp;O$135&amp;O$1&amp;"C"&amp;$A139)="N/A",0,RTD("tos.rtd",,$A$2,"."&amp;O$135&amp;O$1&amp;"C"&amp;$A139))-IF(RTD("tos.rtd",,$A$2,"."&amp;O$135&amp;O$1&amp;"P"&amp;$A139)="N/A",0,RTD("tos.rtd",,$A$2,"."&amp;O$135&amp;O$1&amp;"P"&amp;$A139))</f>
        <v>0</v>
      </c>
      <c r="P139" s="91">
        <f ca="1">IF(RTD("tos.rtd",,$A$2,"."&amp;P$135&amp;P$1&amp;"C"&amp;$A139)="N/A",0,RTD("tos.rtd",,$A$2,"."&amp;P$135&amp;P$1&amp;"C"&amp;$A139))-IF(RTD("tos.rtd",,$A$2,"."&amp;P$135&amp;P$1&amp;"P"&amp;$A139)="N/A",0,RTD("tos.rtd",,$A$2,"."&amp;P$135&amp;P$1&amp;"P"&amp;$A139))</f>
        <v>0</v>
      </c>
      <c r="Q139" s="91">
        <f ca="1">IF(RTD("tos.rtd",,$A$2,"."&amp;Q$135&amp;Q$1&amp;"C"&amp;$A139)="N/A",0,RTD("tos.rtd",,$A$2,"."&amp;Q$135&amp;Q$1&amp;"C"&amp;$A139))-IF(RTD("tos.rtd",,$A$2,"."&amp;Q$135&amp;Q$1&amp;"P"&amp;$A139)="N/A",0,RTD("tos.rtd",,$A$2,"."&amp;Q$135&amp;Q$1&amp;"P"&amp;$A139))</f>
        <v>0</v>
      </c>
      <c r="R139" s="91">
        <f ca="1">IF(RTD("tos.rtd",,$A$2,"."&amp;R$135&amp;R$1&amp;"C"&amp;$A139)="N/A",0,RTD("tos.rtd",,$A$2,"."&amp;R$135&amp;R$1&amp;"C"&amp;$A139))-IF(RTD("tos.rtd",,$A$2,"."&amp;R$135&amp;R$1&amp;"P"&amp;$A139)="N/A",0,RTD("tos.rtd",,$A$2,"."&amp;R$135&amp;R$1&amp;"P"&amp;$A139))</f>
        <v>0</v>
      </c>
      <c r="S139" s="91">
        <f ca="1">IF(RTD("tos.rtd",,$A$2,"."&amp;S$135&amp;S$1&amp;"C"&amp;$A139)="N/A",0,RTD("tos.rtd",,$A$2,"."&amp;S$135&amp;S$1&amp;"C"&amp;$A139))-IF(RTD("tos.rtd",,$A$2,"."&amp;S$135&amp;S$1&amp;"P"&amp;$A139)="N/A",0,RTD("tos.rtd",,$A$2,"."&amp;S$135&amp;S$1&amp;"P"&amp;$A139))</f>
        <v>0</v>
      </c>
      <c r="T139" s="91">
        <f ca="1">IF(RTD("tos.rtd",,$A$2,"."&amp;T$135&amp;T$1&amp;"C"&amp;$A139)="N/A",0,RTD("tos.rtd",,$A$2,"."&amp;T$135&amp;T$1&amp;"C"&amp;$A139))-IF(RTD("tos.rtd",,$A$2,"."&amp;T$135&amp;T$1&amp;"P"&amp;$A139)="N/A",0,RTD("tos.rtd",,$A$2,"."&amp;T$135&amp;T$1&amp;"P"&amp;$A139))</f>
        <v>0</v>
      </c>
      <c r="U139" s="91">
        <f ca="1">IF(RTD("tos.rtd",,$A$2,"."&amp;U$135&amp;U$1&amp;"C"&amp;$A139)="N/A",0,RTD("tos.rtd",,$A$2,"."&amp;U$135&amp;U$1&amp;"C"&amp;$A139))-IF(RTD("tos.rtd",,$A$2,"."&amp;U$135&amp;U$1&amp;"P"&amp;$A139)="N/A",0,RTD("tos.rtd",,$A$2,"."&amp;U$135&amp;U$1&amp;"P"&amp;$A139))</f>
        <v>0</v>
      </c>
      <c r="V139" s="91">
        <f ca="1">IF(RTD("tos.rtd",,$A$2,"."&amp;V$135&amp;V$1&amp;"C"&amp;$A139)="N/A",0,RTD("tos.rtd",,$A$2,"."&amp;V$135&amp;V$1&amp;"C"&amp;$A139))-IF(RTD("tos.rtd",,$A$2,"."&amp;V$135&amp;V$1&amp;"P"&amp;$A139)="N/A",0,RTD("tos.rtd",,$A$2,"."&amp;V$135&amp;V$1&amp;"P"&amp;$A139))</f>
        <v>0</v>
      </c>
      <c r="W139" s="91">
        <f ca="1">IF(RTD("tos.rtd",,$A$2,"."&amp;W$135&amp;W$1&amp;"C"&amp;$A139)="N/A",0,RTD("tos.rtd",,$A$2,"."&amp;W$135&amp;W$1&amp;"C"&amp;$A139))-IF(RTD("tos.rtd",,$A$2,"."&amp;W$135&amp;W$1&amp;"P"&amp;$A139)="N/A",0,RTD("tos.rtd",,$A$2,"."&amp;W$135&amp;W$1&amp;"P"&amp;$A139))</f>
        <v>0</v>
      </c>
      <c r="X139" s="91">
        <f ca="1">IF(RTD("tos.rtd",,$A$2,"."&amp;X$135&amp;X$1&amp;"C"&amp;$A139)="N/A",0,RTD("tos.rtd",,$A$2,"."&amp;X$135&amp;X$1&amp;"C"&amp;$A139))-IF(RTD("tos.rtd",,$A$2,"."&amp;X$135&amp;X$1&amp;"P"&amp;$A139)="N/A",0,RTD("tos.rtd",,$A$2,"."&amp;X$135&amp;X$1&amp;"P"&amp;$A139))</f>
        <v>0</v>
      </c>
      <c r="Y139" s="98">
        <f t="shared" ca="1" si="13"/>
        <v>0</v>
      </c>
      <c r="Z139" s="91"/>
      <c r="AA139" s="91"/>
    </row>
    <row r="140" spans="1:27" x14ac:dyDescent="0.25">
      <c r="A140" s="93">
        <f>+Hoja1!A139</f>
        <v>20400</v>
      </c>
      <c r="B140" s="91">
        <f ca="1">IF(RTD("tos.rtd",,$A$2,"."&amp;B$135&amp;B$1&amp;"C"&amp;$A140)="N/A",0,RTD("tos.rtd",,$A$2,"."&amp;B$135&amp;B$1&amp;"C"&amp;$A140))-IF(RTD("tos.rtd",,$A$2,"."&amp;B$135&amp;B$1&amp;"P"&amp;$A140)="N/A",0,RTD("tos.rtd",,$A$2,"."&amp;B$135&amp;B$1&amp;"P"&amp;$A140))</f>
        <v>0</v>
      </c>
      <c r="C140" s="91">
        <f ca="1">IF(RTD("tos.rtd",,$A$2,"."&amp;C$135&amp;C$1&amp;"C"&amp;$A140)="N/A",0,RTD("tos.rtd",,$A$2,"."&amp;C$135&amp;C$1&amp;"C"&amp;$A140))-IF(RTD("tos.rtd",,$A$2,"."&amp;C$135&amp;C$1&amp;"P"&amp;$A140)="N/A",0,RTD("tos.rtd",,$A$2,"."&amp;C$135&amp;C$1&amp;"P"&amp;$A140))</f>
        <v>0</v>
      </c>
      <c r="D140" s="91">
        <f ca="1">IF(RTD("tos.rtd",,$A$2,"."&amp;D$135&amp;D$1&amp;"C"&amp;$A140)="N/A",0,RTD("tos.rtd",,$A$2,"."&amp;D$135&amp;D$1&amp;"C"&amp;$A140))-IF(RTD("tos.rtd",,$A$2,"."&amp;D$135&amp;D$1&amp;"P"&amp;$A140)="N/A",0,RTD("tos.rtd",,$A$2,"."&amp;D$135&amp;D$1&amp;"P"&amp;$A140))</f>
        <v>0</v>
      </c>
      <c r="E140" s="91">
        <f ca="1">IF(RTD("tos.rtd",,$A$2,"."&amp;E$135&amp;E$1&amp;"C"&amp;$A140)="N/A",0,RTD("tos.rtd",,$A$2,"."&amp;E$135&amp;E$1&amp;"C"&amp;$A140))-IF(RTD("tos.rtd",,$A$2,"."&amp;E$135&amp;E$1&amp;"P"&amp;$A140)="N/A",0,RTD("tos.rtd",,$A$2,"."&amp;E$135&amp;E$1&amp;"P"&amp;$A140))</f>
        <v>0</v>
      </c>
      <c r="F140" s="91">
        <f ca="1">IF(RTD("tos.rtd",,$A$2,"."&amp;F$135&amp;F$1&amp;"C"&amp;$A140)="N/A",0,RTD("tos.rtd",,$A$2,"."&amp;F$135&amp;F$1&amp;"C"&amp;$A140))-IF(RTD("tos.rtd",,$A$2,"."&amp;F$135&amp;F$1&amp;"P"&amp;$A140)="N/A",0,RTD("tos.rtd",,$A$2,"."&amp;F$135&amp;F$1&amp;"P"&amp;$A140))</f>
        <v>0</v>
      </c>
      <c r="G140" s="91">
        <f ca="1">IF(RTD("tos.rtd",,$A$2,"."&amp;G$135&amp;G$1&amp;"C"&amp;$A140)="N/A",0,RTD("tos.rtd",,$A$2,"."&amp;G$135&amp;G$1&amp;"C"&amp;$A140))-IF(RTD("tos.rtd",,$A$2,"."&amp;G$135&amp;G$1&amp;"P"&amp;$A140)="N/A",0,RTD("tos.rtd",,$A$2,"."&amp;G$135&amp;G$1&amp;"P"&amp;$A140))</f>
        <v>0</v>
      </c>
      <c r="H140" s="91">
        <f ca="1">IF(RTD("tos.rtd",,$A$2,"."&amp;H$135&amp;H$1&amp;"C"&amp;$A140)="N/A",0,RTD("tos.rtd",,$A$2,"."&amp;H$135&amp;H$1&amp;"C"&amp;$A140))-IF(RTD("tos.rtd",,$A$2,"."&amp;H$135&amp;H$1&amp;"P"&amp;$A140)="N/A",0,RTD("tos.rtd",,$A$2,"."&amp;H$135&amp;H$1&amp;"P"&amp;$A140))</f>
        <v>0</v>
      </c>
      <c r="I140" s="91">
        <f ca="1">IF(RTD("tos.rtd",,$A$2,"."&amp;I$135&amp;I$1&amp;"C"&amp;$A140)="N/A",0,RTD("tos.rtd",,$A$2,"."&amp;I$135&amp;I$1&amp;"C"&amp;$A140))-IF(RTD("tos.rtd",,$A$2,"."&amp;I$135&amp;I$1&amp;"P"&amp;$A140)="N/A",0,RTD("tos.rtd",,$A$2,"."&amp;I$135&amp;I$1&amp;"P"&amp;$A140))</f>
        <v>0</v>
      </c>
      <c r="J140" s="91">
        <f ca="1">IF(RTD("tos.rtd",,$A$2,"."&amp;J$135&amp;J$1&amp;"C"&amp;$A140)="N/A",0,RTD("tos.rtd",,$A$2,"."&amp;J$135&amp;J$1&amp;"C"&amp;$A140))-IF(RTD("tos.rtd",,$A$2,"."&amp;J$135&amp;J$1&amp;"P"&amp;$A140)="N/A",0,RTD("tos.rtd",,$A$2,"."&amp;J$135&amp;J$1&amp;"P"&amp;$A140))</f>
        <v>0</v>
      </c>
      <c r="K140" s="91">
        <f ca="1">IF(RTD("tos.rtd",,$A$2,"."&amp;K$135&amp;K$1&amp;"C"&amp;$A140)="N/A",0,RTD("tos.rtd",,$A$2,"."&amp;K$135&amp;K$1&amp;"C"&amp;$A140))-IF(RTD("tos.rtd",,$A$2,"."&amp;K$135&amp;K$1&amp;"P"&amp;$A140)="N/A",0,RTD("tos.rtd",,$A$2,"."&amp;K$135&amp;K$1&amp;"P"&amp;$A140))</f>
        <v>2</v>
      </c>
      <c r="L140" s="91">
        <f ca="1">IF(RTD("tos.rtd",,$A$2,"."&amp;L$135&amp;L$1&amp;"C"&amp;$A140)="N/A",0,RTD("tos.rtd",,$A$2,"."&amp;L$135&amp;L$1&amp;"C"&amp;$A140))-IF(RTD("tos.rtd",,$A$2,"."&amp;L$135&amp;L$1&amp;"P"&amp;$A140)="N/A",0,RTD("tos.rtd",,$A$2,"."&amp;L$135&amp;L$1&amp;"P"&amp;$A140))</f>
        <v>0</v>
      </c>
      <c r="M140" s="91">
        <f ca="1">IF(RTD("tos.rtd",,$A$2,"."&amp;M$135&amp;M$1&amp;"C"&amp;$A140)="N/A",0,RTD("tos.rtd",,$A$2,"."&amp;M$135&amp;M$1&amp;"C"&amp;$A140))-IF(RTD("tos.rtd",,$A$2,"."&amp;M$135&amp;M$1&amp;"P"&amp;$A140)="N/A",0,RTD("tos.rtd",,$A$2,"."&amp;M$135&amp;M$1&amp;"P"&amp;$A140))</f>
        <v>0</v>
      </c>
      <c r="N140" s="91">
        <f ca="1">IF(RTD("tos.rtd",,$A$2,"."&amp;N$135&amp;N$1&amp;"C"&amp;$A140)="N/A",0,RTD("tos.rtd",,$A$2,"."&amp;N$135&amp;N$1&amp;"C"&amp;$A140))-IF(RTD("tos.rtd",,$A$2,"."&amp;N$135&amp;N$1&amp;"P"&amp;$A140)="N/A",0,RTD("tos.rtd",,$A$2,"."&amp;N$135&amp;N$1&amp;"P"&amp;$A140))</f>
        <v>0</v>
      </c>
      <c r="O140" s="91">
        <f ca="1">IF(RTD("tos.rtd",,$A$2,"."&amp;O$135&amp;O$1&amp;"C"&amp;$A140)="N/A",0,RTD("tos.rtd",,$A$2,"."&amp;O$135&amp;O$1&amp;"C"&amp;$A140))-IF(RTD("tos.rtd",,$A$2,"."&amp;O$135&amp;O$1&amp;"P"&amp;$A140)="N/A",0,RTD("tos.rtd",,$A$2,"."&amp;O$135&amp;O$1&amp;"P"&amp;$A140))</f>
        <v>0</v>
      </c>
      <c r="P140" s="91">
        <f ca="1">IF(RTD("tos.rtd",,$A$2,"."&amp;P$135&amp;P$1&amp;"C"&amp;$A140)="N/A",0,RTD("tos.rtd",,$A$2,"."&amp;P$135&amp;P$1&amp;"C"&amp;$A140))-IF(RTD("tos.rtd",,$A$2,"."&amp;P$135&amp;P$1&amp;"P"&amp;$A140)="N/A",0,RTD("tos.rtd",,$A$2,"."&amp;P$135&amp;P$1&amp;"P"&amp;$A140))</f>
        <v>0</v>
      </c>
      <c r="Q140" s="91">
        <f ca="1">IF(RTD("tos.rtd",,$A$2,"."&amp;Q$135&amp;Q$1&amp;"C"&amp;$A140)="N/A",0,RTD("tos.rtd",,$A$2,"."&amp;Q$135&amp;Q$1&amp;"C"&amp;$A140))-IF(RTD("tos.rtd",,$A$2,"."&amp;Q$135&amp;Q$1&amp;"P"&amp;$A140)="N/A",0,RTD("tos.rtd",,$A$2,"."&amp;Q$135&amp;Q$1&amp;"P"&amp;$A140))</f>
        <v>0</v>
      </c>
      <c r="R140" s="91">
        <f ca="1">IF(RTD("tos.rtd",,$A$2,"."&amp;R$135&amp;R$1&amp;"C"&amp;$A140)="N/A",0,RTD("tos.rtd",,$A$2,"."&amp;R$135&amp;R$1&amp;"C"&amp;$A140))-IF(RTD("tos.rtd",,$A$2,"."&amp;R$135&amp;R$1&amp;"P"&amp;$A140)="N/A",0,RTD("tos.rtd",,$A$2,"."&amp;R$135&amp;R$1&amp;"P"&amp;$A140))</f>
        <v>0</v>
      </c>
      <c r="S140" s="91">
        <f ca="1">IF(RTD("tos.rtd",,$A$2,"."&amp;S$135&amp;S$1&amp;"C"&amp;$A140)="N/A",0,RTD("tos.rtd",,$A$2,"."&amp;S$135&amp;S$1&amp;"C"&amp;$A140))-IF(RTD("tos.rtd",,$A$2,"."&amp;S$135&amp;S$1&amp;"P"&amp;$A140)="N/A",0,RTD("tos.rtd",,$A$2,"."&amp;S$135&amp;S$1&amp;"P"&amp;$A140))</f>
        <v>0</v>
      </c>
      <c r="T140" s="91">
        <f ca="1">IF(RTD("tos.rtd",,$A$2,"."&amp;T$135&amp;T$1&amp;"C"&amp;$A140)="N/A",0,RTD("tos.rtd",,$A$2,"."&amp;T$135&amp;T$1&amp;"C"&amp;$A140))-IF(RTD("tos.rtd",,$A$2,"."&amp;T$135&amp;T$1&amp;"P"&amp;$A140)="N/A",0,RTD("tos.rtd",,$A$2,"."&amp;T$135&amp;T$1&amp;"P"&amp;$A140))</f>
        <v>0</v>
      </c>
      <c r="U140" s="91">
        <f ca="1">IF(RTD("tos.rtd",,$A$2,"."&amp;U$135&amp;U$1&amp;"C"&amp;$A140)="N/A",0,RTD("tos.rtd",,$A$2,"."&amp;U$135&amp;U$1&amp;"C"&amp;$A140))-IF(RTD("tos.rtd",,$A$2,"."&amp;U$135&amp;U$1&amp;"P"&amp;$A140)="N/A",0,RTD("tos.rtd",,$A$2,"."&amp;U$135&amp;U$1&amp;"P"&amp;$A140))</f>
        <v>0</v>
      </c>
      <c r="V140" s="91">
        <f ca="1">IF(RTD("tos.rtd",,$A$2,"."&amp;V$135&amp;V$1&amp;"C"&amp;$A140)="N/A",0,RTD("tos.rtd",,$A$2,"."&amp;V$135&amp;V$1&amp;"C"&amp;$A140))-IF(RTD("tos.rtd",,$A$2,"."&amp;V$135&amp;V$1&amp;"P"&amp;$A140)="N/A",0,RTD("tos.rtd",,$A$2,"."&amp;V$135&amp;V$1&amp;"P"&amp;$A140))</f>
        <v>0</v>
      </c>
      <c r="W140" s="91">
        <f ca="1">IF(RTD("tos.rtd",,$A$2,"."&amp;W$135&amp;W$1&amp;"C"&amp;$A140)="N/A",0,RTD("tos.rtd",,$A$2,"."&amp;W$135&amp;W$1&amp;"C"&amp;$A140))-IF(RTD("tos.rtd",,$A$2,"."&amp;W$135&amp;W$1&amp;"P"&amp;$A140)="N/A",0,RTD("tos.rtd",,$A$2,"."&amp;W$135&amp;W$1&amp;"P"&amp;$A140))</f>
        <v>0</v>
      </c>
      <c r="X140" s="91">
        <f ca="1">IF(RTD("tos.rtd",,$A$2,"."&amp;X$135&amp;X$1&amp;"C"&amp;$A140)="N/A",0,RTD("tos.rtd",,$A$2,"."&amp;X$135&amp;X$1&amp;"C"&amp;$A140))-IF(RTD("tos.rtd",,$A$2,"."&amp;X$135&amp;X$1&amp;"P"&amp;$A140)="N/A",0,RTD("tos.rtd",,$A$2,"."&amp;X$135&amp;X$1&amp;"P"&amp;$A140))</f>
        <v>0</v>
      </c>
      <c r="Y140" s="98">
        <f t="shared" ca="1" si="13"/>
        <v>2</v>
      </c>
      <c r="Z140" s="91"/>
      <c r="AA140" s="91"/>
    </row>
    <row r="141" spans="1:27" x14ac:dyDescent="0.25">
      <c r="A141" s="93">
        <f>+Hoja1!A140</f>
        <v>20375</v>
      </c>
      <c r="B141" s="91">
        <f ca="1">IF(RTD("tos.rtd",,$A$2,"."&amp;B$135&amp;B$1&amp;"C"&amp;$A141)="N/A",0,RTD("tos.rtd",,$A$2,"."&amp;B$135&amp;B$1&amp;"C"&amp;$A141))-IF(RTD("tos.rtd",,$A$2,"."&amp;B$135&amp;B$1&amp;"P"&amp;$A141)="N/A",0,RTD("tos.rtd",,$A$2,"."&amp;B$135&amp;B$1&amp;"P"&amp;$A141))</f>
        <v>0</v>
      </c>
      <c r="C141" s="91">
        <f ca="1">IF(RTD("tos.rtd",,$A$2,"."&amp;C$135&amp;C$1&amp;"C"&amp;$A141)="N/A",0,RTD("tos.rtd",,$A$2,"."&amp;C$135&amp;C$1&amp;"C"&amp;$A141))-IF(RTD("tos.rtd",,$A$2,"."&amp;C$135&amp;C$1&amp;"P"&amp;$A141)="N/A",0,RTD("tos.rtd",,$A$2,"."&amp;C$135&amp;C$1&amp;"P"&amp;$A141))</f>
        <v>0</v>
      </c>
      <c r="D141" s="91">
        <f ca="1">IF(RTD("tos.rtd",,$A$2,"."&amp;D$135&amp;D$1&amp;"C"&amp;$A141)="N/A",0,RTD("tos.rtd",,$A$2,"."&amp;D$135&amp;D$1&amp;"C"&amp;$A141))-IF(RTD("tos.rtd",,$A$2,"."&amp;D$135&amp;D$1&amp;"P"&amp;$A141)="N/A",0,RTD("tos.rtd",,$A$2,"."&amp;D$135&amp;D$1&amp;"P"&amp;$A141))</f>
        <v>0</v>
      </c>
      <c r="E141" s="91">
        <f ca="1">IF(RTD("tos.rtd",,$A$2,"."&amp;E$135&amp;E$1&amp;"C"&amp;$A141)="N/A",0,RTD("tos.rtd",,$A$2,"."&amp;E$135&amp;E$1&amp;"C"&amp;$A141))-IF(RTD("tos.rtd",,$A$2,"."&amp;E$135&amp;E$1&amp;"P"&amp;$A141)="N/A",0,RTD("tos.rtd",,$A$2,"."&amp;E$135&amp;E$1&amp;"P"&amp;$A141))</f>
        <v>0</v>
      </c>
      <c r="F141" s="91">
        <f ca="1">IF(RTD("tos.rtd",,$A$2,"."&amp;F$135&amp;F$1&amp;"C"&amp;$A141)="N/A",0,RTD("tos.rtd",,$A$2,"."&amp;F$135&amp;F$1&amp;"C"&amp;$A141))-IF(RTD("tos.rtd",,$A$2,"."&amp;F$135&amp;F$1&amp;"P"&amp;$A141)="N/A",0,RTD("tos.rtd",,$A$2,"."&amp;F$135&amp;F$1&amp;"P"&amp;$A141))</f>
        <v>0</v>
      </c>
      <c r="G141" s="91">
        <f ca="1">IF(RTD("tos.rtd",,$A$2,"."&amp;G$135&amp;G$1&amp;"C"&amp;$A141)="N/A",0,RTD("tos.rtd",,$A$2,"."&amp;G$135&amp;G$1&amp;"C"&amp;$A141))-IF(RTD("tos.rtd",,$A$2,"."&amp;G$135&amp;G$1&amp;"P"&amp;$A141)="N/A",0,RTD("tos.rtd",,$A$2,"."&amp;G$135&amp;G$1&amp;"P"&amp;$A141))</f>
        <v>0</v>
      </c>
      <c r="H141" s="91">
        <f ca="1">IF(RTD("tos.rtd",,$A$2,"."&amp;H$135&amp;H$1&amp;"C"&amp;$A141)="N/A",0,RTD("tos.rtd",,$A$2,"."&amp;H$135&amp;H$1&amp;"C"&amp;$A141))-IF(RTD("tos.rtd",,$A$2,"."&amp;H$135&amp;H$1&amp;"P"&amp;$A141)="N/A",0,RTD("tos.rtd",,$A$2,"."&amp;H$135&amp;H$1&amp;"P"&amp;$A141))</f>
        <v>0</v>
      </c>
      <c r="I141" s="91">
        <f ca="1">IF(RTD("tos.rtd",,$A$2,"."&amp;I$135&amp;I$1&amp;"C"&amp;$A141)="N/A",0,RTD("tos.rtd",,$A$2,"."&amp;I$135&amp;I$1&amp;"C"&amp;$A141))-IF(RTD("tos.rtd",,$A$2,"."&amp;I$135&amp;I$1&amp;"P"&amp;$A141)="N/A",0,RTD("tos.rtd",,$A$2,"."&amp;I$135&amp;I$1&amp;"P"&amp;$A141))</f>
        <v>0</v>
      </c>
      <c r="J141" s="91">
        <f ca="1">IF(RTD("tos.rtd",,$A$2,"."&amp;J$135&amp;J$1&amp;"C"&amp;$A141)="N/A",0,RTD("tos.rtd",,$A$2,"."&amp;J$135&amp;J$1&amp;"C"&amp;$A141))-IF(RTD("tos.rtd",,$A$2,"."&amp;J$135&amp;J$1&amp;"P"&amp;$A141)="N/A",0,RTD("tos.rtd",,$A$2,"."&amp;J$135&amp;J$1&amp;"P"&amp;$A141))</f>
        <v>0</v>
      </c>
      <c r="K141" s="91">
        <f ca="1">IF(RTD("tos.rtd",,$A$2,"."&amp;K$135&amp;K$1&amp;"C"&amp;$A141)="N/A",0,RTD("tos.rtd",,$A$2,"."&amp;K$135&amp;K$1&amp;"C"&amp;$A141))-IF(RTD("tos.rtd",,$A$2,"."&amp;K$135&amp;K$1&amp;"P"&amp;$A141)="N/A",0,RTD("tos.rtd",,$A$2,"."&amp;K$135&amp;K$1&amp;"P"&amp;$A141))</f>
        <v>0</v>
      </c>
      <c r="L141" s="91">
        <f ca="1">IF(RTD("tos.rtd",,$A$2,"."&amp;L$135&amp;L$1&amp;"C"&amp;$A141)="N/A",0,RTD("tos.rtd",,$A$2,"."&amp;L$135&amp;L$1&amp;"C"&amp;$A141))-IF(RTD("tos.rtd",,$A$2,"."&amp;L$135&amp;L$1&amp;"P"&amp;$A141)="N/A",0,RTD("tos.rtd",,$A$2,"."&amp;L$135&amp;L$1&amp;"P"&amp;$A141))</f>
        <v>0</v>
      </c>
      <c r="M141" s="91">
        <f ca="1">IF(RTD("tos.rtd",,$A$2,"."&amp;M$135&amp;M$1&amp;"C"&amp;$A141)="N/A",0,RTD("tos.rtd",,$A$2,"."&amp;M$135&amp;M$1&amp;"C"&amp;$A141))-IF(RTD("tos.rtd",,$A$2,"."&amp;M$135&amp;M$1&amp;"P"&amp;$A141)="N/A",0,RTD("tos.rtd",,$A$2,"."&amp;M$135&amp;M$1&amp;"P"&amp;$A141))</f>
        <v>0</v>
      </c>
      <c r="N141" s="91">
        <f ca="1">IF(RTD("tos.rtd",,$A$2,"."&amp;N$135&amp;N$1&amp;"C"&amp;$A141)="N/A",0,RTD("tos.rtd",,$A$2,"."&amp;N$135&amp;N$1&amp;"C"&amp;$A141))-IF(RTD("tos.rtd",,$A$2,"."&amp;N$135&amp;N$1&amp;"P"&amp;$A141)="N/A",0,RTD("tos.rtd",,$A$2,"."&amp;N$135&amp;N$1&amp;"P"&amp;$A141))</f>
        <v>0</v>
      </c>
      <c r="O141" s="91">
        <f ca="1">IF(RTD("tos.rtd",,$A$2,"."&amp;O$135&amp;O$1&amp;"C"&amp;$A141)="N/A",0,RTD("tos.rtd",,$A$2,"."&amp;O$135&amp;O$1&amp;"C"&amp;$A141))-IF(RTD("tos.rtd",,$A$2,"."&amp;O$135&amp;O$1&amp;"P"&amp;$A141)="N/A",0,RTD("tos.rtd",,$A$2,"."&amp;O$135&amp;O$1&amp;"P"&amp;$A141))</f>
        <v>0</v>
      </c>
      <c r="P141" s="91">
        <f ca="1">IF(RTD("tos.rtd",,$A$2,"."&amp;P$135&amp;P$1&amp;"C"&amp;$A141)="N/A",0,RTD("tos.rtd",,$A$2,"."&amp;P$135&amp;P$1&amp;"C"&amp;$A141))-IF(RTD("tos.rtd",,$A$2,"."&amp;P$135&amp;P$1&amp;"P"&amp;$A141)="N/A",0,RTD("tos.rtd",,$A$2,"."&amp;P$135&amp;P$1&amp;"P"&amp;$A141))</f>
        <v>0</v>
      </c>
      <c r="Q141" s="91">
        <f ca="1">IF(RTD("tos.rtd",,$A$2,"."&amp;Q$135&amp;Q$1&amp;"C"&amp;$A141)="N/A",0,RTD("tos.rtd",,$A$2,"."&amp;Q$135&amp;Q$1&amp;"C"&amp;$A141))-IF(RTD("tos.rtd",,$A$2,"."&amp;Q$135&amp;Q$1&amp;"P"&amp;$A141)="N/A",0,RTD("tos.rtd",,$A$2,"."&amp;Q$135&amp;Q$1&amp;"P"&amp;$A141))</f>
        <v>0</v>
      </c>
      <c r="R141" s="91">
        <f ca="1">IF(RTD("tos.rtd",,$A$2,"."&amp;R$135&amp;R$1&amp;"C"&amp;$A141)="N/A",0,RTD("tos.rtd",,$A$2,"."&amp;R$135&amp;R$1&amp;"C"&amp;$A141))-IF(RTD("tos.rtd",,$A$2,"."&amp;R$135&amp;R$1&amp;"P"&amp;$A141)="N/A",0,RTD("tos.rtd",,$A$2,"."&amp;R$135&amp;R$1&amp;"P"&amp;$A141))</f>
        <v>0</v>
      </c>
      <c r="S141" s="91">
        <f ca="1">IF(RTD("tos.rtd",,$A$2,"."&amp;S$135&amp;S$1&amp;"C"&amp;$A141)="N/A",0,RTD("tos.rtd",,$A$2,"."&amp;S$135&amp;S$1&amp;"C"&amp;$A141))-IF(RTD("tos.rtd",,$A$2,"."&amp;S$135&amp;S$1&amp;"P"&amp;$A141)="N/A",0,RTD("tos.rtd",,$A$2,"."&amp;S$135&amp;S$1&amp;"P"&amp;$A141))</f>
        <v>0</v>
      </c>
      <c r="T141" s="91">
        <f ca="1">IF(RTD("tos.rtd",,$A$2,"."&amp;T$135&amp;T$1&amp;"C"&amp;$A141)="N/A",0,RTD("tos.rtd",,$A$2,"."&amp;T$135&amp;T$1&amp;"C"&amp;$A141))-IF(RTD("tos.rtd",,$A$2,"."&amp;T$135&amp;T$1&amp;"P"&amp;$A141)="N/A",0,RTD("tos.rtd",,$A$2,"."&amp;T$135&amp;T$1&amp;"P"&amp;$A141))</f>
        <v>0</v>
      </c>
      <c r="U141" s="91">
        <f ca="1">IF(RTD("tos.rtd",,$A$2,"."&amp;U$135&amp;U$1&amp;"C"&amp;$A141)="N/A",0,RTD("tos.rtd",,$A$2,"."&amp;U$135&amp;U$1&amp;"C"&amp;$A141))-IF(RTD("tos.rtd",,$A$2,"."&amp;U$135&amp;U$1&amp;"P"&amp;$A141)="N/A",0,RTD("tos.rtd",,$A$2,"."&amp;U$135&amp;U$1&amp;"P"&amp;$A141))</f>
        <v>0</v>
      </c>
      <c r="V141" s="91">
        <f ca="1">IF(RTD("tos.rtd",,$A$2,"."&amp;V$135&amp;V$1&amp;"C"&amp;$A141)="N/A",0,RTD("tos.rtd",,$A$2,"."&amp;V$135&amp;V$1&amp;"C"&amp;$A141))-IF(RTD("tos.rtd",,$A$2,"."&amp;V$135&amp;V$1&amp;"P"&amp;$A141)="N/A",0,RTD("tos.rtd",,$A$2,"."&amp;V$135&amp;V$1&amp;"P"&amp;$A141))</f>
        <v>0</v>
      </c>
      <c r="W141" s="91">
        <f ca="1">IF(RTD("tos.rtd",,$A$2,"."&amp;W$135&amp;W$1&amp;"C"&amp;$A141)="N/A",0,RTD("tos.rtd",,$A$2,"."&amp;W$135&amp;W$1&amp;"C"&amp;$A141))-IF(RTD("tos.rtd",,$A$2,"."&amp;W$135&amp;W$1&amp;"P"&amp;$A141)="N/A",0,RTD("tos.rtd",,$A$2,"."&amp;W$135&amp;W$1&amp;"P"&amp;$A141))</f>
        <v>0</v>
      </c>
      <c r="X141" s="91">
        <f ca="1">IF(RTD("tos.rtd",,$A$2,"."&amp;X$135&amp;X$1&amp;"C"&amp;$A141)="N/A",0,RTD("tos.rtd",,$A$2,"."&amp;X$135&amp;X$1&amp;"C"&amp;$A141))-IF(RTD("tos.rtd",,$A$2,"."&amp;X$135&amp;X$1&amp;"P"&amp;$A141)="N/A",0,RTD("tos.rtd",,$A$2,"."&amp;X$135&amp;X$1&amp;"P"&amp;$A141))</f>
        <v>0</v>
      </c>
      <c r="Y141" s="98">
        <f t="shared" ca="1" si="13"/>
        <v>0</v>
      </c>
      <c r="Z141" s="91"/>
      <c r="AA141" s="91"/>
    </row>
    <row r="142" spans="1:27" x14ac:dyDescent="0.25">
      <c r="A142" s="93">
        <f>+Hoja1!A141</f>
        <v>20350</v>
      </c>
      <c r="B142" s="91">
        <f ca="1">IF(RTD("tos.rtd",,$A$2,"."&amp;B$135&amp;B$1&amp;"C"&amp;$A142)="N/A",0,RTD("tos.rtd",,$A$2,"."&amp;B$135&amp;B$1&amp;"C"&amp;$A142))-IF(RTD("tos.rtd",,$A$2,"."&amp;B$135&amp;B$1&amp;"P"&amp;$A142)="N/A",0,RTD("tos.rtd",,$A$2,"."&amp;B$135&amp;B$1&amp;"P"&amp;$A142))</f>
        <v>0</v>
      </c>
      <c r="C142" s="91">
        <f ca="1">IF(RTD("tos.rtd",,$A$2,"."&amp;C$135&amp;C$1&amp;"C"&amp;$A142)="N/A",0,RTD("tos.rtd",,$A$2,"."&amp;C$135&amp;C$1&amp;"C"&amp;$A142))-IF(RTD("tos.rtd",,$A$2,"."&amp;C$135&amp;C$1&amp;"P"&amp;$A142)="N/A",0,RTD("tos.rtd",,$A$2,"."&amp;C$135&amp;C$1&amp;"P"&amp;$A142))</f>
        <v>0</v>
      </c>
      <c r="D142" s="91">
        <f ca="1">IF(RTD("tos.rtd",,$A$2,"."&amp;D$135&amp;D$1&amp;"C"&amp;$A142)="N/A",0,RTD("tos.rtd",,$A$2,"."&amp;D$135&amp;D$1&amp;"C"&amp;$A142))-IF(RTD("tos.rtd",,$A$2,"."&amp;D$135&amp;D$1&amp;"P"&amp;$A142)="N/A",0,RTD("tos.rtd",,$A$2,"."&amp;D$135&amp;D$1&amp;"P"&amp;$A142))</f>
        <v>0</v>
      </c>
      <c r="E142" s="91">
        <f ca="1">IF(RTD("tos.rtd",,$A$2,"."&amp;E$135&amp;E$1&amp;"C"&amp;$A142)="N/A",0,RTD("tos.rtd",,$A$2,"."&amp;E$135&amp;E$1&amp;"C"&amp;$A142))-IF(RTD("tos.rtd",,$A$2,"."&amp;E$135&amp;E$1&amp;"P"&amp;$A142)="N/A",0,RTD("tos.rtd",,$A$2,"."&amp;E$135&amp;E$1&amp;"P"&amp;$A142))</f>
        <v>0</v>
      </c>
      <c r="F142" s="91">
        <f ca="1">IF(RTD("tos.rtd",,$A$2,"."&amp;F$135&amp;F$1&amp;"C"&amp;$A142)="N/A",0,RTD("tos.rtd",,$A$2,"."&amp;F$135&amp;F$1&amp;"C"&amp;$A142))-IF(RTD("tos.rtd",,$A$2,"."&amp;F$135&amp;F$1&amp;"P"&amp;$A142)="N/A",0,RTD("tos.rtd",,$A$2,"."&amp;F$135&amp;F$1&amp;"P"&amp;$A142))</f>
        <v>0</v>
      </c>
      <c r="G142" s="91">
        <f ca="1">IF(RTD("tos.rtd",,$A$2,"."&amp;G$135&amp;G$1&amp;"C"&amp;$A142)="N/A",0,RTD("tos.rtd",,$A$2,"."&amp;G$135&amp;G$1&amp;"C"&amp;$A142))-IF(RTD("tos.rtd",,$A$2,"."&amp;G$135&amp;G$1&amp;"P"&amp;$A142)="N/A",0,RTD("tos.rtd",,$A$2,"."&amp;G$135&amp;G$1&amp;"P"&amp;$A142))</f>
        <v>0</v>
      </c>
      <c r="H142" s="91">
        <f ca="1">IF(RTD("tos.rtd",,$A$2,"."&amp;H$135&amp;H$1&amp;"C"&amp;$A142)="N/A",0,RTD("tos.rtd",,$A$2,"."&amp;H$135&amp;H$1&amp;"C"&amp;$A142))-IF(RTD("tos.rtd",,$A$2,"."&amp;H$135&amp;H$1&amp;"P"&amp;$A142)="N/A",0,RTD("tos.rtd",,$A$2,"."&amp;H$135&amp;H$1&amp;"P"&amp;$A142))</f>
        <v>0</v>
      </c>
      <c r="I142" s="91">
        <f ca="1">IF(RTD("tos.rtd",,$A$2,"."&amp;I$135&amp;I$1&amp;"C"&amp;$A142)="N/A",0,RTD("tos.rtd",,$A$2,"."&amp;I$135&amp;I$1&amp;"C"&amp;$A142))-IF(RTD("tos.rtd",,$A$2,"."&amp;I$135&amp;I$1&amp;"P"&amp;$A142)="N/A",0,RTD("tos.rtd",,$A$2,"."&amp;I$135&amp;I$1&amp;"P"&amp;$A142))</f>
        <v>0</v>
      </c>
      <c r="J142" s="91">
        <f ca="1">IF(RTD("tos.rtd",,$A$2,"."&amp;J$135&amp;J$1&amp;"C"&amp;$A142)="N/A",0,RTD("tos.rtd",,$A$2,"."&amp;J$135&amp;J$1&amp;"C"&amp;$A142))-IF(RTD("tos.rtd",,$A$2,"."&amp;J$135&amp;J$1&amp;"P"&amp;$A142)="N/A",0,RTD("tos.rtd",,$A$2,"."&amp;J$135&amp;J$1&amp;"P"&amp;$A142))</f>
        <v>0</v>
      </c>
      <c r="K142" s="91">
        <f ca="1">IF(RTD("tos.rtd",,$A$2,"."&amp;K$135&amp;K$1&amp;"C"&amp;$A142)="N/A",0,RTD("tos.rtd",,$A$2,"."&amp;K$135&amp;K$1&amp;"C"&amp;$A142))-IF(RTD("tos.rtd",,$A$2,"."&amp;K$135&amp;K$1&amp;"P"&amp;$A142)="N/A",0,RTD("tos.rtd",,$A$2,"."&amp;K$135&amp;K$1&amp;"P"&amp;$A142))</f>
        <v>1</v>
      </c>
      <c r="L142" s="91">
        <f ca="1">IF(RTD("tos.rtd",,$A$2,"."&amp;L$135&amp;L$1&amp;"C"&amp;$A142)="N/A",0,RTD("tos.rtd",,$A$2,"."&amp;L$135&amp;L$1&amp;"C"&amp;$A142))-IF(RTD("tos.rtd",,$A$2,"."&amp;L$135&amp;L$1&amp;"P"&amp;$A142)="N/A",0,RTD("tos.rtd",,$A$2,"."&amp;L$135&amp;L$1&amp;"P"&amp;$A142))</f>
        <v>0</v>
      </c>
      <c r="M142" s="91">
        <f ca="1">IF(RTD("tos.rtd",,$A$2,"."&amp;M$135&amp;M$1&amp;"C"&amp;$A142)="N/A",0,RTD("tos.rtd",,$A$2,"."&amp;M$135&amp;M$1&amp;"C"&amp;$A142))-IF(RTD("tos.rtd",,$A$2,"."&amp;M$135&amp;M$1&amp;"P"&amp;$A142)="N/A",0,RTD("tos.rtd",,$A$2,"."&amp;M$135&amp;M$1&amp;"P"&amp;$A142))</f>
        <v>0</v>
      </c>
      <c r="N142" s="91">
        <f ca="1">IF(RTD("tos.rtd",,$A$2,"."&amp;N$135&amp;N$1&amp;"C"&amp;$A142)="N/A",0,RTD("tos.rtd",,$A$2,"."&amp;N$135&amp;N$1&amp;"C"&amp;$A142))-IF(RTD("tos.rtd",,$A$2,"."&amp;N$135&amp;N$1&amp;"P"&amp;$A142)="N/A",0,RTD("tos.rtd",,$A$2,"."&amp;N$135&amp;N$1&amp;"P"&amp;$A142))</f>
        <v>0</v>
      </c>
      <c r="O142" s="91">
        <f ca="1">IF(RTD("tos.rtd",,$A$2,"."&amp;O$135&amp;O$1&amp;"C"&amp;$A142)="N/A",0,RTD("tos.rtd",,$A$2,"."&amp;O$135&amp;O$1&amp;"C"&amp;$A142))-IF(RTD("tos.rtd",,$A$2,"."&amp;O$135&amp;O$1&amp;"P"&amp;$A142)="N/A",0,RTD("tos.rtd",,$A$2,"."&amp;O$135&amp;O$1&amp;"P"&amp;$A142))</f>
        <v>0</v>
      </c>
      <c r="P142" s="91">
        <f ca="1">IF(RTD("tos.rtd",,$A$2,"."&amp;P$135&amp;P$1&amp;"C"&amp;$A142)="N/A",0,RTD("tos.rtd",,$A$2,"."&amp;P$135&amp;P$1&amp;"C"&amp;$A142))-IF(RTD("tos.rtd",,$A$2,"."&amp;P$135&amp;P$1&amp;"P"&amp;$A142)="N/A",0,RTD("tos.rtd",,$A$2,"."&amp;P$135&amp;P$1&amp;"P"&amp;$A142))</f>
        <v>0</v>
      </c>
      <c r="Q142" s="91">
        <f ca="1">IF(RTD("tos.rtd",,$A$2,"."&amp;Q$135&amp;Q$1&amp;"C"&amp;$A142)="N/A",0,RTD("tos.rtd",,$A$2,"."&amp;Q$135&amp;Q$1&amp;"C"&amp;$A142))-IF(RTD("tos.rtd",,$A$2,"."&amp;Q$135&amp;Q$1&amp;"P"&amp;$A142)="N/A",0,RTD("tos.rtd",,$A$2,"."&amp;Q$135&amp;Q$1&amp;"P"&amp;$A142))</f>
        <v>0</v>
      </c>
      <c r="R142" s="91">
        <f ca="1">IF(RTD("tos.rtd",,$A$2,"."&amp;R$135&amp;R$1&amp;"C"&amp;$A142)="N/A",0,RTD("tos.rtd",,$A$2,"."&amp;R$135&amp;R$1&amp;"C"&amp;$A142))-IF(RTD("tos.rtd",,$A$2,"."&amp;R$135&amp;R$1&amp;"P"&amp;$A142)="N/A",0,RTD("tos.rtd",,$A$2,"."&amp;R$135&amp;R$1&amp;"P"&amp;$A142))</f>
        <v>0</v>
      </c>
      <c r="S142" s="91">
        <f ca="1">IF(RTD("tos.rtd",,$A$2,"."&amp;S$135&amp;S$1&amp;"C"&amp;$A142)="N/A",0,RTD("tos.rtd",,$A$2,"."&amp;S$135&amp;S$1&amp;"C"&amp;$A142))-IF(RTD("tos.rtd",,$A$2,"."&amp;S$135&amp;S$1&amp;"P"&amp;$A142)="N/A",0,RTD("tos.rtd",,$A$2,"."&amp;S$135&amp;S$1&amp;"P"&amp;$A142))</f>
        <v>0</v>
      </c>
      <c r="T142" s="91">
        <f ca="1">IF(RTD("tos.rtd",,$A$2,"."&amp;T$135&amp;T$1&amp;"C"&amp;$A142)="N/A",0,RTD("tos.rtd",,$A$2,"."&amp;T$135&amp;T$1&amp;"C"&amp;$A142))-IF(RTD("tos.rtd",,$A$2,"."&amp;T$135&amp;T$1&amp;"P"&amp;$A142)="N/A",0,RTD("tos.rtd",,$A$2,"."&amp;T$135&amp;T$1&amp;"P"&amp;$A142))</f>
        <v>0</v>
      </c>
      <c r="U142" s="91">
        <f ca="1">IF(RTD("tos.rtd",,$A$2,"."&amp;U$135&amp;U$1&amp;"C"&amp;$A142)="N/A",0,RTD("tos.rtd",,$A$2,"."&amp;U$135&amp;U$1&amp;"C"&amp;$A142))-IF(RTD("tos.rtd",,$A$2,"."&amp;U$135&amp;U$1&amp;"P"&amp;$A142)="N/A",0,RTD("tos.rtd",,$A$2,"."&amp;U$135&amp;U$1&amp;"P"&amp;$A142))</f>
        <v>0</v>
      </c>
      <c r="V142" s="91">
        <f ca="1">IF(RTD("tos.rtd",,$A$2,"."&amp;V$135&amp;V$1&amp;"C"&amp;$A142)="N/A",0,RTD("tos.rtd",,$A$2,"."&amp;V$135&amp;V$1&amp;"C"&amp;$A142))-IF(RTD("tos.rtd",,$A$2,"."&amp;V$135&amp;V$1&amp;"P"&amp;$A142)="N/A",0,RTD("tos.rtd",,$A$2,"."&amp;V$135&amp;V$1&amp;"P"&amp;$A142))</f>
        <v>0</v>
      </c>
      <c r="W142" s="91">
        <f ca="1">IF(RTD("tos.rtd",,$A$2,"."&amp;W$135&amp;W$1&amp;"C"&amp;$A142)="N/A",0,RTD("tos.rtd",,$A$2,"."&amp;W$135&amp;W$1&amp;"C"&amp;$A142))-IF(RTD("tos.rtd",,$A$2,"."&amp;W$135&amp;W$1&amp;"P"&amp;$A142)="N/A",0,RTD("tos.rtd",,$A$2,"."&amp;W$135&amp;W$1&amp;"P"&amp;$A142))</f>
        <v>0</v>
      </c>
      <c r="X142" s="91">
        <f ca="1">IF(RTD("tos.rtd",,$A$2,"."&amp;X$135&amp;X$1&amp;"C"&amp;$A142)="N/A",0,RTD("tos.rtd",,$A$2,"."&amp;X$135&amp;X$1&amp;"C"&amp;$A142))-IF(RTD("tos.rtd",,$A$2,"."&amp;X$135&amp;X$1&amp;"P"&amp;$A142)="N/A",0,RTD("tos.rtd",,$A$2,"."&amp;X$135&amp;X$1&amp;"P"&amp;$A142))</f>
        <v>0</v>
      </c>
      <c r="Y142" s="98">
        <f t="shared" ca="1" si="13"/>
        <v>1</v>
      </c>
      <c r="Z142" s="91"/>
      <c r="AA142" s="91"/>
    </row>
    <row r="143" spans="1:27" x14ac:dyDescent="0.25">
      <c r="A143" s="93">
        <f>+Hoja1!A142</f>
        <v>20325</v>
      </c>
      <c r="B143" s="91">
        <f ca="1">IF(RTD("tos.rtd",,$A$2,"."&amp;B$135&amp;B$1&amp;"C"&amp;$A143)="N/A",0,RTD("tos.rtd",,$A$2,"."&amp;B$135&amp;B$1&amp;"C"&amp;$A143))-IF(RTD("tos.rtd",,$A$2,"."&amp;B$135&amp;B$1&amp;"P"&amp;$A143)="N/A",0,RTD("tos.rtd",,$A$2,"."&amp;B$135&amp;B$1&amp;"P"&amp;$A143))</f>
        <v>0</v>
      </c>
      <c r="C143" s="91">
        <f ca="1">IF(RTD("tos.rtd",,$A$2,"."&amp;C$135&amp;C$1&amp;"C"&amp;$A143)="N/A",0,RTD("tos.rtd",,$A$2,"."&amp;C$135&amp;C$1&amp;"C"&amp;$A143))-IF(RTD("tos.rtd",,$A$2,"."&amp;C$135&amp;C$1&amp;"P"&amp;$A143)="N/A",0,RTD("tos.rtd",,$A$2,"."&amp;C$135&amp;C$1&amp;"P"&amp;$A143))</f>
        <v>0</v>
      </c>
      <c r="D143" s="91">
        <f ca="1">IF(RTD("tos.rtd",,$A$2,"."&amp;D$135&amp;D$1&amp;"C"&amp;$A143)="N/A",0,RTD("tos.rtd",,$A$2,"."&amp;D$135&amp;D$1&amp;"C"&amp;$A143))-IF(RTD("tos.rtd",,$A$2,"."&amp;D$135&amp;D$1&amp;"P"&amp;$A143)="N/A",0,RTD("tos.rtd",,$A$2,"."&amp;D$135&amp;D$1&amp;"P"&amp;$A143))</f>
        <v>0</v>
      </c>
      <c r="E143" s="91">
        <f ca="1">IF(RTD("tos.rtd",,$A$2,"."&amp;E$135&amp;E$1&amp;"C"&amp;$A143)="N/A",0,RTD("tos.rtd",,$A$2,"."&amp;E$135&amp;E$1&amp;"C"&amp;$A143))-IF(RTD("tos.rtd",,$A$2,"."&amp;E$135&amp;E$1&amp;"P"&amp;$A143)="N/A",0,RTD("tos.rtd",,$A$2,"."&amp;E$135&amp;E$1&amp;"P"&amp;$A143))</f>
        <v>0</v>
      </c>
      <c r="F143" s="91">
        <f ca="1">IF(RTD("tos.rtd",,$A$2,"."&amp;F$135&amp;F$1&amp;"C"&amp;$A143)="N/A",0,RTD("tos.rtd",,$A$2,"."&amp;F$135&amp;F$1&amp;"C"&amp;$A143))-IF(RTD("tos.rtd",,$A$2,"."&amp;F$135&amp;F$1&amp;"P"&amp;$A143)="N/A",0,RTD("tos.rtd",,$A$2,"."&amp;F$135&amp;F$1&amp;"P"&amp;$A143))</f>
        <v>0</v>
      </c>
      <c r="G143" s="91">
        <f ca="1">IF(RTD("tos.rtd",,$A$2,"."&amp;G$135&amp;G$1&amp;"C"&amp;$A143)="N/A",0,RTD("tos.rtd",,$A$2,"."&amp;G$135&amp;G$1&amp;"C"&amp;$A143))-IF(RTD("tos.rtd",,$A$2,"."&amp;G$135&amp;G$1&amp;"P"&amp;$A143)="N/A",0,RTD("tos.rtd",,$A$2,"."&amp;G$135&amp;G$1&amp;"P"&amp;$A143))</f>
        <v>0</v>
      </c>
      <c r="H143" s="91">
        <f ca="1">IF(RTD("tos.rtd",,$A$2,"."&amp;H$135&amp;H$1&amp;"C"&amp;$A143)="N/A",0,RTD("tos.rtd",,$A$2,"."&amp;H$135&amp;H$1&amp;"C"&amp;$A143))-IF(RTD("tos.rtd",,$A$2,"."&amp;H$135&amp;H$1&amp;"P"&amp;$A143)="N/A",0,RTD("tos.rtd",,$A$2,"."&amp;H$135&amp;H$1&amp;"P"&amp;$A143))</f>
        <v>0</v>
      </c>
      <c r="I143" s="91">
        <f ca="1">IF(RTD("tos.rtd",,$A$2,"."&amp;I$135&amp;I$1&amp;"C"&amp;$A143)="N/A",0,RTD("tos.rtd",,$A$2,"."&amp;I$135&amp;I$1&amp;"C"&amp;$A143))-IF(RTD("tos.rtd",,$A$2,"."&amp;I$135&amp;I$1&amp;"P"&amp;$A143)="N/A",0,RTD("tos.rtd",,$A$2,"."&amp;I$135&amp;I$1&amp;"P"&amp;$A143))</f>
        <v>0</v>
      </c>
      <c r="J143" s="91">
        <f ca="1">IF(RTD("tos.rtd",,$A$2,"."&amp;J$135&amp;J$1&amp;"C"&amp;$A143)="N/A",0,RTD("tos.rtd",,$A$2,"."&amp;J$135&amp;J$1&amp;"C"&amp;$A143))-IF(RTD("tos.rtd",,$A$2,"."&amp;J$135&amp;J$1&amp;"P"&amp;$A143)="N/A",0,RTD("tos.rtd",,$A$2,"."&amp;J$135&amp;J$1&amp;"P"&amp;$A143))</f>
        <v>0</v>
      </c>
      <c r="K143" s="91">
        <f ca="1">IF(RTD("tos.rtd",,$A$2,"."&amp;K$135&amp;K$1&amp;"C"&amp;$A143)="N/A",0,RTD("tos.rtd",,$A$2,"."&amp;K$135&amp;K$1&amp;"C"&amp;$A143))-IF(RTD("tos.rtd",,$A$2,"."&amp;K$135&amp;K$1&amp;"P"&amp;$A143)="N/A",0,RTD("tos.rtd",,$A$2,"."&amp;K$135&amp;K$1&amp;"P"&amp;$A143))</f>
        <v>1</v>
      </c>
      <c r="L143" s="91">
        <f ca="1">IF(RTD("tos.rtd",,$A$2,"."&amp;L$135&amp;L$1&amp;"C"&amp;$A143)="N/A",0,RTD("tos.rtd",,$A$2,"."&amp;L$135&amp;L$1&amp;"C"&amp;$A143))-IF(RTD("tos.rtd",,$A$2,"."&amp;L$135&amp;L$1&amp;"P"&amp;$A143)="N/A",0,RTD("tos.rtd",,$A$2,"."&amp;L$135&amp;L$1&amp;"P"&amp;$A143))</f>
        <v>0</v>
      </c>
      <c r="M143" s="91">
        <f ca="1">IF(RTD("tos.rtd",,$A$2,"."&amp;M$135&amp;M$1&amp;"C"&amp;$A143)="N/A",0,RTD("tos.rtd",,$A$2,"."&amp;M$135&amp;M$1&amp;"C"&amp;$A143))-IF(RTD("tos.rtd",,$A$2,"."&amp;M$135&amp;M$1&amp;"P"&amp;$A143)="N/A",0,RTD("tos.rtd",,$A$2,"."&amp;M$135&amp;M$1&amp;"P"&amp;$A143))</f>
        <v>0</v>
      </c>
      <c r="N143" s="91">
        <f ca="1">IF(RTD("tos.rtd",,$A$2,"."&amp;N$135&amp;N$1&amp;"C"&amp;$A143)="N/A",0,RTD("tos.rtd",,$A$2,"."&amp;N$135&amp;N$1&amp;"C"&amp;$A143))-IF(RTD("tos.rtd",,$A$2,"."&amp;N$135&amp;N$1&amp;"P"&amp;$A143)="N/A",0,RTD("tos.rtd",,$A$2,"."&amp;N$135&amp;N$1&amp;"P"&amp;$A143))</f>
        <v>0</v>
      </c>
      <c r="O143" s="91">
        <f ca="1">IF(RTD("tos.rtd",,$A$2,"."&amp;O$135&amp;O$1&amp;"C"&amp;$A143)="N/A",0,RTD("tos.rtd",,$A$2,"."&amp;O$135&amp;O$1&amp;"C"&amp;$A143))-IF(RTD("tos.rtd",,$A$2,"."&amp;O$135&amp;O$1&amp;"P"&amp;$A143)="N/A",0,RTD("tos.rtd",,$A$2,"."&amp;O$135&amp;O$1&amp;"P"&amp;$A143))</f>
        <v>0</v>
      </c>
      <c r="P143" s="91">
        <f ca="1">IF(RTD("tos.rtd",,$A$2,"."&amp;P$135&amp;P$1&amp;"C"&amp;$A143)="N/A",0,RTD("tos.rtd",,$A$2,"."&amp;P$135&amp;P$1&amp;"C"&amp;$A143))-IF(RTD("tos.rtd",,$A$2,"."&amp;P$135&amp;P$1&amp;"P"&amp;$A143)="N/A",0,RTD("tos.rtd",,$A$2,"."&amp;P$135&amp;P$1&amp;"P"&amp;$A143))</f>
        <v>0</v>
      </c>
      <c r="Q143" s="91">
        <f ca="1">IF(RTD("tos.rtd",,$A$2,"."&amp;Q$135&amp;Q$1&amp;"C"&amp;$A143)="N/A",0,RTD("tos.rtd",,$A$2,"."&amp;Q$135&amp;Q$1&amp;"C"&amp;$A143))-IF(RTD("tos.rtd",,$A$2,"."&amp;Q$135&amp;Q$1&amp;"P"&amp;$A143)="N/A",0,RTD("tos.rtd",,$A$2,"."&amp;Q$135&amp;Q$1&amp;"P"&amp;$A143))</f>
        <v>0</v>
      </c>
      <c r="R143" s="91">
        <f ca="1">IF(RTD("tos.rtd",,$A$2,"."&amp;R$135&amp;R$1&amp;"C"&amp;$A143)="N/A",0,RTD("tos.rtd",,$A$2,"."&amp;R$135&amp;R$1&amp;"C"&amp;$A143))-IF(RTD("tos.rtd",,$A$2,"."&amp;R$135&amp;R$1&amp;"P"&amp;$A143)="N/A",0,RTD("tos.rtd",,$A$2,"."&amp;R$135&amp;R$1&amp;"P"&amp;$A143))</f>
        <v>0</v>
      </c>
      <c r="S143" s="91">
        <f ca="1">IF(RTD("tos.rtd",,$A$2,"."&amp;S$135&amp;S$1&amp;"C"&amp;$A143)="N/A",0,RTD("tos.rtd",,$A$2,"."&amp;S$135&amp;S$1&amp;"C"&amp;$A143))-IF(RTD("tos.rtd",,$A$2,"."&amp;S$135&amp;S$1&amp;"P"&amp;$A143)="N/A",0,RTD("tos.rtd",,$A$2,"."&amp;S$135&amp;S$1&amp;"P"&amp;$A143))</f>
        <v>0</v>
      </c>
      <c r="T143" s="91">
        <f ca="1">IF(RTD("tos.rtd",,$A$2,"."&amp;T$135&amp;T$1&amp;"C"&amp;$A143)="N/A",0,RTD("tos.rtd",,$A$2,"."&amp;T$135&amp;T$1&amp;"C"&amp;$A143))-IF(RTD("tos.rtd",,$A$2,"."&amp;T$135&amp;T$1&amp;"P"&amp;$A143)="N/A",0,RTD("tos.rtd",,$A$2,"."&amp;T$135&amp;T$1&amp;"P"&amp;$A143))</f>
        <v>0</v>
      </c>
      <c r="U143" s="91">
        <f ca="1">IF(RTD("tos.rtd",,$A$2,"."&amp;U$135&amp;U$1&amp;"C"&amp;$A143)="N/A",0,RTD("tos.rtd",,$A$2,"."&amp;U$135&amp;U$1&amp;"C"&amp;$A143))-IF(RTD("tos.rtd",,$A$2,"."&amp;U$135&amp;U$1&amp;"P"&amp;$A143)="N/A",0,RTD("tos.rtd",,$A$2,"."&amp;U$135&amp;U$1&amp;"P"&amp;$A143))</f>
        <v>0</v>
      </c>
      <c r="V143" s="91">
        <f ca="1">IF(RTD("tos.rtd",,$A$2,"."&amp;V$135&amp;V$1&amp;"C"&amp;$A143)="N/A",0,RTD("tos.rtd",,$A$2,"."&amp;V$135&amp;V$1&amp;"C"&amp;$A143))-IF(RTD("tos.rtd",,$A$2,"."&amp;V$135&amp;V$1&amp;"P"&amp;$A143)="N/A",0,RTD("tos.rtd",,$A$2,"."&amp;V$135&amp;V$1&amp;"P"&amp;$A143))</f>
        <v>0</v>
      </c>
      <c r="W143" s="91">
        <f ca="1">IF(RTD("tos.rtd",,$A$2,"."&amp;W$135&amp;W$1&amp;"C"&amp;$A143)="N/A",0,RTD("tos.rtd",,$A$2,"."&amp;W$135&amp;W$1&amp;"C"&amp;$A143))-IF(RTD("tos.rtd",,$A$2,"."&amp;W$135&amp;W$1&amp;"P"&amp;$A143)="N/A",0,RTD("tos.rtd",,$A$2,"."&amp;W$135&amp;W$1&amp;"P"&amp;$A143))</f>
        <v>0</v>
      </c>
      <c r="X143" s="91">
        <f ca="1">IF(RTD("tos.rtd",,$A$2,"."&amp;X$135&amp;X$1&amp;"C"&amp;$A143)="N/A",0,RTD("tos.rtd",,$A$2,"."&amp;X$135&amp;X$1&amp;"C"&amp;$A143))-IF(RTD("tos.rtd",,$A$2,"."&amp;X$135&amp;X$1&amp;"P"&amp;$A143)="N/A",0,RTD("tos.rtd",,$A$2,"."&amp;X$135&amp;X$1&amp;"P"&amp;$A143))</f>
        <v>0</v>
      </c>
      <c r="Y143" s="98">
        <f t="shared" ca="1" si="13"/>
        <v>1</v>
      </c>
      <c r="Z143" s="91"/>
      <c r="AA143" s="91"/>
    </row>
    <row r="144" spans="1:27" x14ac:dyDescent="0.25">
      <c r="A144" s="93">
        <f>+Hoja1!A143</f>
        <v>20300</v>
      </c>
      <c r="B144" s="91">
        <f ca="1">IF(RTD("tos.rtd",,$A$2,"."&amp;B$135&amp;B$1&amp;"C"&amp;$A144)="N/A",0,RTD("tos.rtd",,$A$2,"."&amp;B$135&amp;B$1&amp;"C"&amp;$A144))-IF(RTD("tos.rtd",,$A$2,"."&amp;B$135&amp;B$1&amp;"P"&amp;$A144)="N/A",0,RTD("tos.rtd",,$A$2,"."&amp;B$135&amp;B$1&amp;"P"&amp;$A144))</f>
        <v>0</v>
      </c>
      <c r="C144" s="91">
        <f ca="1">IF(RTD("tos.rtd",,$A$2,"."&amp;C$135&amp;C$1&amp;"C"&amp;$A144)="N/A",0,RTD("tos.rtd",,$A$2,"."&amp;C$135&amp;C$1&amp;"C"&amp;$A144))-IF(RTD("tos.rtd",,$A$2,"."&amp;C$135&amp;C$1&amp;"P"&amp;$A144)="N/A",0,RTD("tos.rtd",,$A$2,"."&amp;C$135&amp;C$1&amp;"P"&amp;$A144))</f>
        <v>0</v>
      </c>
      <c r="D144" s="91">
        <f ca="1">IF(RTD("tos.rtd",,$A$2,"."&amp;D$135&amp;D$1&amp;"C"&amp;$A144)="N/A",0,RTD("tos.rtd",,$A$2,"."&amp;D$135&amp;D$1&amp;"C"&amp;$A144))-IF(RTD("tos.rtd",,$A$2,"."&amp;D$135&amp;D$1&amp;"P"&amp;$A144)="N/A",0,RTD("tos.rtd",,$A$2,"."&amp;D$135&amp;D$1&amp;"P"&amp;$A144))</f>
        <v>0</v>
      </c>
      <c r="E144" s="91">
        <f ca="1">IF(RTD("tos.rtd",,$A$2,"."&amp;E$135&amp;E$1&amp;"C"&amp;$A144)="N/A",0,RTD("tos.rtd",,$A$2,"."&amp;E$135&amp;E$1&amp;"C"&amp;$A144))-IF(RTD("tos.rtd",,$A$2,"."&amp;E$135&amp;E$1&amp;"P"&amp;$A144)="N/A",0,RTD("tos.rtd",,$A$2,"."&amp;E$135&amp;E$1&amp;"P"&amp;$A144))</f>
        <v>0</v>
      </c>
      <c r="F144" s="91">
        <f ca="1">IF(RTD("tos.rtd",,$A$2,"."&amp;F$135&amp;F$1&amp;"C"&amp;$A144)="N/A",0,RTD("tos.rtd",,$A$2,"."&amp;F$135&amp;F$1&amp;"C"&amp;$A144))-IF(RTD("tos.rtd",,$A$2,"."&amp;F$135&amp;F$1&amp;"P"&amp;$A144)="N/A",0,RTD("tos.rtd",,$A$2,"."&amp;F$135&amp;F$1&amp;"P"&amp;$A144))</f>
        <v>0</v>
      </c>
      <c r="G144" s="91">
        <f ca="1">IF(RTD("tos.rtd",,$A$2,"."&amp;G$135&amp;G$1&amp;"C"&amp;$A144)="N/A",0,RTD("tos.rtd",,$A$2,"."&amp;G$135&amp;G$1&amp;"C"&amp;$A144))-IF(RTD("tos.rtd",,$A$2,"."&amp;G$135&amp;G$1&amp;"P"&amp;$A144)="N/A",0,RTD("tos.rtd",,$A$2,"."&amp;G$135&amp;G$1&amp;"P"&amp;$A144))</f>
        <v>0</v>
      </c>
      <c r="H144" s="91">
        <f ca="1">IF(RTD("tos.rtd",,$A$2,"."&amp;H$135&amp;H$1&amp;"C"&amp;$A144)="N/A",0,RTD("tos.rtd",,$A$2,"."&amp;H$135&amp;H$1&amp;"C"&amp;$A144))-IF(RTD("tos.rtd",,$A$2,"."&amp;H$135&amp;H$1&amp;"P"&amp;$A144)="N/A",0,RTD("tos.rtd",,$A$2,"."&amp;H$135&amp;H$1&amp;"P"&amp;$A144))</f>
        <v>0</v>
      </c>
      <c r="I144" s="91">
        <f ca="1">IF(RTD("tos.rtd",,$A$2,"."&amp;I$135&amp;I$1&amp;"C"&amp;$A144)="N/A",0,RTD("tos.rtd",,$A$2,"."&amp;I$135&amp;I$1&amp;"C"&amp;$A144))-IF(RTD("tos.rtd",,$A$2,"."&amp;I$135&amp;I$1&amp;"P"&amp;$A144)="N/A",0,RTD("tos.rtd",,$A$2,"."&amp;I$135&amp;I$1&amp;"P"&amp;$A144))</f>
        <v>0</v>
      </c>
      <c r="J144" s="91">
        <f ca="1">IF(RTD("tos.rtd",,$A$2,"."&amp;J$135&amp;J$1&amp;"C"&amp;$A144)="N/A",0,RTD("tos.rtd",,$A$2,"."&amp;J$135&amp;J$1&amp;"C"&amp;$A144))-IF(RTD("tos.rtd",,$A$2,"."&amp;J$135&amp;J$1&amp;"P"&amp;$A144)="N/A",0,RTD("tos.rtd",,$A$2,"."&amp;J$135&amp;J$1&amp;"P"&amp;$A144))</f>
        <v>0</v>
      </c>
      <c r="K144" s="91">
        <f ca="1">IF(RTD("tos.rtd",,$A$2,"."&amp;K$135&amp;K$1&amp;"C"&amp;$A144)="N/A",0,RTD("tos.rtd",,$A$2,"."&amp;K$135&amp;K$1&amp;"C"&amp;$A144))-IF(RTD("tos.rtd",,$A$2,"."&amp;K$135&amp;K$1&amp;"P"&amp;$A144)="N/A",0,RTD("tos.rtd",,$A$2,"."&amp;K$135&amp;K$1&amp;"P"&amp;$A144))</f>
        <v>-1</v>
      </c>
      <c r="L144" s="91">
        <f ca="1">IF(RTD("tos.rtd",,$A$2,"."&amp;L$135&amp;L$1&amp;"C"&amp;$A144)="N/A",0,RTD("tos.rtd",,$A$2,"."&amp;L$135&amp;L$1&amp;"C"&amp;$A144))-IF(RTD("tos.rtd",,$A$2,"."&amp;L$135&amp;L$1&amp;"P"&amp;$A144)="N/A",0,RTD("tos.rtd",,$A$2,"."&amp;L$135&amp;L$1&amp;"P"&amp;$A144))</f>
        <v>0</v>
      </c>
      <c r="M144" s="91">
        <f ca="1">IF(RTD("tos.rtd",,$A$2,"."&amp;M$135&amp;M$1&amp;"C"&amp;$A144)="N/A",0,RTD("tos.rtd",,$A$2,"."&amp;M$135&amp;M$1&amp;"C"&amp;$A144))-IF(RTD("tos.rtd",,$A$2,"."&amp;M$135&amp;M$1&amp;"P"&amp;$A144)="N/A",0,RTD("tos.rtd",,$A$2,"."&amp;M$135&amp;M$1&amp;"P"&amp;$A144))</f>
        <v>0</v>
      </c>
      <c r="N144" s="91">
        <f ca="1">IF(RTD("tos.rtd",,$A$2,"."&amp;N$135&amp;N$1&amp;"C"&amp;$A144)="N/A",0,RTD("tos.rtd",,$A$2,"."&amp;N$135&amp;N$1&amp;"C"&amp;$A144))-IF(RTD("tos.rtd",,$A$2,"."&amp;N$135&amp;N$1&amp;"P"&amp;$A144)="N/A",0,RTD("tos.rtd",,$A$2,"."&amp;N$135&amp;N$1&amp;"P"&amp;$A144))</f>
        <v>0</v>
      </c>
      <c r="O144" s="91">
        <f ca="1">IF(RTD("tos.rtd",,$A$2,"."&amp;O$135&amp;O$1&amp;"C"&amp;$A144)="N/A",0,RTD("tos.rtd",,$A$2,"."&amp;O$135&amp;O$1&amp;"C"&amp;$A144))-IF(RTD("tos.rtd",,$A$2,"."&amp;O$135&amp;O$1&amp;"P"&amp;$A144)="N/A",0,RTD("tos.rtd",,$A$2,"."&amp;O$135&amp;O$1&amp;"P"&amp;$A144))</f>
        <v>0</v>
      </c>
      <c r="P144" s="91">
        <f ca="1">IF(RTD("tos.rtd",,$A$2,"."&amp;P$135&amp;P$1&amp;"C"&amp;$A144)="N/A",0,RTD("tos.rtd",,$A$2,"."&amp;P$135&amp;P$1&amp;"C"&amp;$A144))-IF(RTD("tos.rtd",,$A$2,"."&amp;P$135&amp;P$1&amp;"P"&amp;$A144)="N/A",0,RTD("tos.rtd",,$A$2,"."&amp;P$135&amp;P$1&amp;"P"&amp;$A144))</f>
        <v>0</v>
      </c>
      <c r="Q144" s="91">
        <f ca="1">IF(RTD("tos.rtd",,$A$2,"."&amp;Q$135&amp;Q$1&amp;"C"&amp;$A144)="N/A",0,RTD("tos.rtd",,$A$2,"."&amp;Q$135&amp;Q$1&amp;"C"&amp;$A144))-IF(RTD("tos.rtd",,$A$2,"."&amp;Q$135&amp;Q$1&amp;"P"&amp;$A144)="N/A",0,RTD("tos.rtd",,$A$2,"."&amp;Q$135&amp;Q$1&amp;"P"&amp;$A144))</f>
        <v>0</v>
      </c>
      <c r="R144" s="91">
        <f ca="1">IF(RTD("tos.rtd",,$A$2,"."&amp;R$135&amp;R$1&amp;"C"&amp;$A144)="N/A",0,RTD("tos.rtd",,$A$2,"."&amp;R$135&amp;R$1&amp;"C"&amp;$A144))-IF(RTD("tos.rtd",,$A$2,"."&amp;R$135&amp;R$1&amp;"P"&amp;$A144)="N/A",0,RTD("tos.rtd",,$A$2,"."&amp;R$135&amp;R$1&amp;"P"&amp;$A144))</f>
        <v>0</v>
      </c>
      <c r="S144" s="91">
        <f ca="1">IF(RTD("tos.rtd",,$A$2,"."&amp;S$135&amp;S$1&amp;"C"&amp;$A144)="N/A",0,RTD("tos.rtd",,$A$2,"."&amp;S$135&amp;S$1&amp;"C"&amp;$A144))-IF(RTD("tos.rtd",,$A$2,"."&amp;S$135&amp;S$1&amp;"P"&amp;$A144)="N/A",0,RTD("tos.rtd",,$A$2,"."&amp;S$135&amp;S$1&amp;"P"&amp;$A144))</f>
        <v>0</v>
      </c>
      <c r="T144" s="91">
        <f ca="1">IF(RTD("tos.rtd",,$A$2,"."&amp;T$135&amp;T$1&amp;"C"&amp;$A144)="N/A",0,RTD("tos.rtd",,$A$2,"."&amp;T$135&amp;T$1&amp;"C"&amp;$A144))-IF(RTD("tos.rtd",,$A$2,"."&amp;T$135&amp;T$1&amp;"P"&amp;$A144)="N/A",0,RTD("tos.rtd",,$A$2,"."&amp;T$135&amp;T$1&amp;"P"&amp;$A144))</f>
        <v>0</v>
      </c>
      <c r="U144" s="91">
        <f ca="1">IF(RTD("tos.rtd",,$A$2,"."&amp;U$135&amp;U$1&amp;"C"&amp;$A144)="N/A",0,RTD("tos.rtd",,$A$2,"."&amp;U$135&amp;U$1&amp;"C"&amp;$A144))-IF(RTD("tos.rtd",,$A$2,"."&amp;U$135&amp;U$1&amp;"P"&amp;$A144)="N/A",0,RTD("tos.rtd",,$A$2,"."&amp;U$135&amp;U$1&amp;"P"&amp;$A144))</f>
        <v>0</v>
      </c>
      <c r="V144" s="91">
        <f ca="1">IF(RTD("tos.rtd",,$A$2,"."&amp;V$135&amp;V$1&amp;"C"&amp;$A144)="N/A",0,RTD("tos.rtd",,$A$2,"."&amp;V$135&amp;V$1&amp;"C"&amp;$A144))-IF(RTD("tos.rtd",,$A$2,"."&amp;V$135&amp;V$1&amp;"P"&amp;$A144)="N/A",0,RTD("tos.rtd",,$A$2,"."&amp;V$135&amp;V$1&amp;"P"&amp;$A144))</f>
        <v>0</v>
      </c>
      <c r="W144" s="91">
        <f ca="1">IF(RTD("tos.rtd",,$A$2,"."&amp;W$135&amp;W$1&amp;"C"&amp;$A144)="N/A",0,RTD("tos.rtd",,$A$2,"."&amp;W$135&amp;W$1&amp;"C"&amp;$A144))-IF(RTD("tos.rtd",,$A$2,"."&amp;W$135&amp;W$1&amp;"P"&amp;$A144)="N/A",0,RTD("tos.rtd",,$A$2,"."&amp;W$135&amp;W$1&amp;"P"&amp;$A144))</f>
        <v>0</v>
      </c>
      <c r="X144" s="91">
        <f ca="1">IF(RTD("tos.rtd",,$A$2,"."&amp;X$135&amp;X$1&amp;"C"&amp;$A144)="N/A",0,RTD("tos.rtd",,$A$2,"."&amp;X$135&amp;X$1&amp;"C"&amp;$A144))-IF(RTD("tos.rtd",,$A$2,"."&amp;X$135&amp;X$1&amp;"P"&amp;$A144)="N/A",0,RTD("tos.rtd",,$A$2,"."&amp;X$135&amp;X$1&amp;"P"&amp;$A144))</f>
        <v>0</v>
      </c>
      <c r="Y144" s="98">
        <f t="shared" ca="1" si="13"/>
        <v>-1</v>
      </c>
      <c r="Z144" s="91"/>
      <c r="AA144" s="91"/>
    </row>
    <row r="145" spans="1:27" x14ac:dyDescent="0.25">
      <c r="A145" s="93">
        <f>+Hoja1!A144</f>
        <v>20275</v>
      </c>
      <c r="B145" s="91">
        <f ca="1">IF(RTD("tos.rtd",,$A$2,"."&amp;B$135&amp;B$1&amp;"C"&amp;$A145)="N/A",0,RTD("tos.rtd",,$A$2,"."&amp;B$135&amp;B$1&amp;"C"&amp;$A145))-IF(RTD("tos.rtd",,$A$2,"."&amp;B$135&amp;B$1&amp;"P"&amp;$A145)="N/A",0,RTD("tos.rtd",,$A$2,"."&amp;B$135&amp;B$1&amp;"P"&amp;$A145))</f>
        <v>0</v>
      </c>
      <c r="C145" s="91">
        <f ca="1">IF(RTD("tos.rtd",,$A$2,"."&amp;C$135&amp;C$1&amp;"C"&amp;$A145)="N/A",0,RTD("tos.rtd",,$A$2,"."&amp;C$135&amp;C$1&amp;"C"&amp;$A145))-IF(RTD("tos.rtd",,$A$2,"."&amp;C$135&amp;C$1&amp;"P"&amp;$A145)="N/A",0,RTD("tos.rtd",,$A$2,"."&amp;C$135&amp;C$1&amp;"P"&amp;$A145))</f>
        <v>0</v>
      </c>
      <c r="D145" s="91">
        <f ca="1">IF(RTD("tos.rtd",,$A$2,"."&amp;D$135&amp;D$1&amp;"C"&amp;$A145)="N/A",0,RTD("tos.rtd",,$A$2,"."&amp;D$135&amp;D$1&amp;"C"&amp;$A145))-IF(RTD("tos.rtd",,$A$2,"."&amp;D$135&amp;D$1&amp;"P"&amp;$A145)="N/A",0,RTD("tos.rtd",,$A$2,"."&amp;D$135&amp;D$1&amp;"P"&amp;$A145))</f>
        <v>0</v>
      </c>
      <c r="E145" s="91">
        <f ca="1">IF(RTD("tos.rtd",,$A$2,"."&amp;E$135&amp;E$1&amp;"C"&amp;$A145)="N/A",0,RTD("tos.rtd",,$A$2,"."&amp;E$135&amp;E$1&amp;"C"&amp;$A145))-IF(RTD("tos.rtd",,$A$2,"."&amp;E$135&amp;E$1&amp;"P"&amp;$A145)="N/A",0,RTD("tos.rtd",,$A$2,"."&amp;E$135&amp;E$1&amp;"P"&amp;$A145))</f>
        <v>0</v>
      </c>
      <c r="F145" s="91">
        <f ca="1">IF(RTD("tos.rtd",,$A$2,"."&amp;F$135&amp;F$1&amp;"C"&amp;$A145)="N/A",0,RTD("tos.rtd",,$A$2,"."&amp;F$135&amp;F$1&amp;"C"&amp;$A145))-IF(RTD("tos.rtd",,$A$2,"."&amp;F$135&amp;F$1&amp;"P"&amp;$A145)="N/A",0,RTD("tos.rtd",,$A$2,"."&amp;F$135&amp;F$1&amp;"P"&amp;$A145))</f>
        <v>0</v>
      </c>
      <c r="G145" s="91">
        <f ca="1">IF(RTD("tos.rtd",,$A$2,"."&amp;G$135&amp;G$1&amp;"C"&amp;$A145)="N/A",0,RTD("tos.rtd",,$A$2,"."&amp;G$135&amp;G$1&amp;"C"&amp;$A145))-IF(RTD("tos.rtd",,$A$2,"."&amp;G$135&amp;G$1&amp;"P"&amp;$A145)="N/A",0,RTD("tos.rtd",,$A$2,"."&amp;G$135&amp;G$1&amp;"P"&amp;$A145))</f>
        <v>0</v>
      </c>
      <c r="H145" s="91">
        <f ca="1">IF(RTD("tos.rtd",,$A$2,"."&amp;H$135&amp;H$1&amp;"C"&amp;$A145)="N/A",0,RTD("tos.rtd",,$A$2,"."&amp;H$135&amp;H$1&amp;"C"&amp;$A145))-IF(RTD("tos.rtd",,$A$2,"."&amp;H$135&amp;H$1&amp;"P"&amp;$A145)="N/A",0,RTD("tos.rtd",,$A$2,"."&amp;H$135&amp;H$1&amp;"P"&amp;$A145))</f>
        <v>0</v>
      </c>
      <c r="I145" s="91">
        <f ca="1">IF(RTD("tos.rtd",,$A$2,"."&amp;I$135&amp;I$1&amp;"C"&amp;$A145)="N/A",0,RTD("tos.rtd",,$A$2,"."&amp;I$135&amp;I$1&amp;"C"&amp;$A145))-IF(RTD("tos.rtd",,$A$2,"."&amp;I$135&amp;I$1&amp;"P"&amp;$A145)="N/A",0,RTD("tos.rtd",,$A$2,"."&amp;I$135&amp;I$1&amp;"P"&amp;$A145))</f>
        <v>0</v>
      </c>
      <c r="J145" s="91">
        <f ca="1">IF(RTD("tos.rtd",,$A$2,"."&amp;J$135&amp;J$1&amp;"C"&amp;$A145)="N/A",0,RTD("tos.rtd",,$A$2,"."&amp;J$135&amp;J$1&amp;"C"&amp;$A145))-IF(RTD("tos.rtd",,$A$2,"."&amp;J$135&amp;J$1&amp;"P"&amp;$A145)="N/A",0,RTD("tos.rtd",,$A$2,"."&amp;J$135&amp;J$1&amp;"P"&amp;$A145))</f>
        <v>0</v>
      </c>
      <c r="K145" s="91">
        <f ca="1">IF(RTD("tos.rtd",,$A$2,"."&amp;K$135&amp;K$1&amp;"C"&amp;$A145)="N/A",0,RTD("tos.rtd",,$A$2,"."&amp;K$135&amp;K$1&amp;"C"&amp;$A145))-IF(RTD("tos.rtd",,$A$2,"."&amp;K$135&amp;K$1&amp;"P"&amp;$A145)="N/A",0,RTD("tos.rtd",,$A$2,"."&amp;K$135&amp;K$1&amp;"P"&amp;$A145))</f>
        <v>0</v>
      </c>
      <c r="L145" s="91">
        <f ca="1">IF(RTD("tos.rtd",,$A$2,"."&amp;L$135&amp;L$1&amp;"C"&amp;$A145)="N/A",0,RTD("tos.rtd",,$A$2,"."&amp;L$135&amp;L$1&amp;"C"&amp;$A145))-IF(RTD("tos.rtd",,$A$2,"."&amp;L$135&amp;L$1&amp;"P"&amp;$A145)="N/A",0,RTD("tos.rtd",,$A$2,"."&amp;L$135&amp;L$1&amp;"P"&amp;$A145))</f>
        <v>0</v>
      </c>
      <c r="M145" s="91">
        <f ca="1">IF(RTD("tos.rtd",,$A$2,"."&amp;M$135&amp;M$1&amp;"C"&amp;$A145)="N/A",0,RTD("tos.rtd",,$A$2,"."&amp;M$135&amp;M$1&amp;"C"&amp;$A145))-IF(RTD("tos.rtd",,$A$2,"."&amp;M$135&amp;M$1&amp;"P"&amp;$A145)="N/A",0,RTD("tos.rtd",,$A$2,"."&amp;M$135&amp;M$1&amp;"P"&amp;$A145))</f>
        <v>0</v>
      </c>
      <c r="N145" s="91">
        <f ca="1">IF(RTD("tos.rtd",,$A$2,"."&amp;N$135&amp;N$1&amp;"C"&amp;$A145)="N/A",0,RTD("tos.rtd",,$A$2,"."&amp;N$135&amp;N$1&amp;"C"&amp;$A145))-IF(RTD("tos.rtd",,$A$2,"."&amp;N$135&amp;N$1&amp;"P"&amp;$A145)="N/A",0,RTD("tos.rtd",,$A$2,"."&amp;N$135&amp;N$1&amp;"P"&amp;$A145))</f>
        <v>0</v>
      </c>
      <c r="O145" s="91">
        <f ca="1">IF(RTD("tos.rtd",,$A$2,"."&amp;O$135&amp;O$1&amp;"C"&amp;$A145)="N/A",0,RTD("tos.rtd",,$A$2,"."&amp;O$135&amp;O$1&amp;"C"&amp;$A145))-IF(RTD("tos.rtd",,$A$2,"."&amp;O$135&amp;O$1&amp;"P"&amp;$A145)="N/A",0,RTD("tos.rtd",,$A$2,"."&amp;O$135&amp;O$1&amp;"P"&amp;$A145))</f>
        <v>0</v>
      </c>
      <c r="P145" s="91">
        <f ca="1">IF(RTD("tos.rtd",,$A$2,"."&amp;P$135&amp;P$1&amp;"C"&amp;$A145)="N/A",0,RTD("tos.rtd",,$A$2,"."&amp;P$135&amp;P$1&amp;"C"&amp;$A145))-IF(RTD("tos.rtd",,$A$2,"."&amp;P$135&amp;P$1&amp;"P"&amp;$A145)="N/A",0,RTD("tos.rtd",,$A$2,"."&amp;P$135&amp;P$1&amp;"P"&amp;$A145))</f>
        <v>0</v>
      </c>
      <c r="Q145" s="91">
        <f ca="1">IF(RTD("tos.rtd",,$A$2,"."&amp;Q$135&amp;Q$1&amp;"C"&amp;$A145)="N/A",0,RTD("tos.rtd",,$A$2,"."&amp;Q$135&amp;Q$1&amp;"C"&amp;$A145))-IF(RTD("tos.rtd",,$A$2,"."&amp;Q$135&amp;Q$1&amp;"P"&amp;$A145)="N/A",0,RTD("tos.rtd",,$A$2,"."&amp;Q$135&amp;Q$1&amp;"P"&amp;$A145))</f>
        <v>0</v>
      </c>
      <c r="R145" s="91">
        <f ca="1">IF(RTD("tos.rtd",,$A$2,"."&amp;R$135&amp;R$1&amp;"C"&amp;$A145)="N/A",0,RTD("tos.rtd",,$A$2,"."&amp;R$135&amp;R$1&amp;"C"&amp;$A145))-IF(RTD("tos.rtd",,$A$2,"."&amp;R$135&amp;R$1&amp;"P"&amp;$A145)="N/A",0,RTD("tos.rtd",,$A$2,"."&amp;R$135&amp;R$1&amp;"P"&amp;$A145))</f>
        <v>0</v>
      </c>
      <c r="S145" s="91">
        <f ca="1">IF(RTD("tos.rtd",,$A$2,"."&amp;S$135&amp;S$1&amp;"C"&amp;$A145)="N/A",0,RTD("tos.rtd",,$A$2,"."&amp;S$135&amp;S$1&amp;"C"&amp;$A145))-IF(RTD("tos.rtd",,$A$2,"."&amp;S$135&amp;S$1&amp;"P"&amp;$A145)="N/A",0,RTD("tos.rtd",,$A$2,"."&amp;S$135&amp;S$1&amp;"P"&amp;$A145))</f>
        <v>0</v>
      </c>
      <c r="T145" s="91">
        <f ca="1">IF(RTD("tos.rtd",,$A$2,"."&amp;T$135&amp;T$1&amp;"C"&amp;$A145)="N/A",0,RTD("tos.rtd",,$A$2,"."&amp;T$135&amp;T$1&amp;"C"&amp;$A145))-IF(RTD("tos.rtd",,$A$2,"."&amp;T$135&amp;T$1&amp;"P"&amp;$A145)="N/A",0,RTD("tos.rtd",,$A$2,"."&amp;T$135&amp;T$1&amp;"P"&amp;$A145))</f>
        <v>0</v>
      </c>
      <c r="U145" s="91">
        <f ca="1">IF(RTD("tos.rtd",,$A$2,"."&amp;U$135&amp;U$1&amp;"C"&amp;$A145)="N/A",0,RTD("tos.rtd",,$A$2,"."&amp;U$135&amp;U$1&amp;"C"&amp;$A145))-IF(RTD("tos.rtd",,$A$2,"."&amp;U$135&amp;U$1&amp;"P"&amp;$A145)="N/A",0,RTD("tos.rtd",,$A$2,"."&amp;U$135&amp;U$1&amp;"P"&amp;$A145))</f>
        <v>0</v>
      </c>
      <c r="V145" s="91">
        <f ca="1">IF(RTD("tos.rtd",,$A$2,"."&amp;V$135&amp;V$1&amp;"C"&amp;$A145)="N/A",0,RTD("tos.rtd",,$A$2,"."&amp;V$135&amp;V$1&amp;"C"&amp;$A145))-IF(RTD("tos.rtd",,$A$2,"."&amp;V$135&amp;V$1&amp;"P"&amp;$A145)="N/A",0,RTD("tos.rtd",,$A$2,"."&amp;V$135&amp;V$1&amp;"P"&amp;$A145))</f>
        <v>0</v>
      </c>
      <c r="W145" s="91">
        <f ca="1">IF(RTD("tos.rtd",,$A$2,"."&amp;W$135&amp;W$1&amp;"C"&amp;$A145)="N/A",0,RTD("tos.rtd",,$A$2,"."&amp;W$135&amp;W$1&amp;"C"&amp;$A145))-IF(RTD("tos.rtd",,$A$2,"."&amp;W$135&amp;W$1&amp;"P"&amp;$A145)="N/A",0,RTD("tos.rtd",,$A$2,"."&amp;W$135&amp;W$1&amp;"P"&amp;$A145))</f>
        <v>0</v>
      </c>
      <c r="X145" s="91">
        <f ca="1">IF(RTD("tos.rtd",,$A$2,"."&amp;X$135&amp;X$1&amp;"C"&amp;$A145)="N/A",0,RTD("tos.rtd",,$A$2,"."&amp;X$135&amp;X$1&amp;"C"&amp;$A145))-IF(RTD("tos.rtd",,$A$2,"."&amp;X$135&amp;X$1&amp;"P"&amp;$A145)="N/A",0,RTD("tos.rtd",,$A$2,"."&amp;X$135&amp;X$1&amp;"P"&amp;$A145))</f>
        <v>0</v>
      </c>
      <c r="Y145" s="98">
        <f t="shared" ca="1" si="13"/>
        <v>0</v>
      </c>
      <c r="Z145" s="91"/>
      <c r="AA145" s="91"/>
    </row>
    <row r="146" spans="1:27" x14ac:dyDescent="0.25">
      <c r="A146" s="93">
        <f>+Hoja1!A145</f>
        <v>20250</v>
      </c>
      <c r="B146" s="91">
        <f ca="1">IF(RTD("tos.rtd",,$A$2,"."&amp;B$135&amp;B$1&amp;"C"&amp;$A146)="N/A",0,RTD("tos.rtd",,$A$2,"."&amp;B$135&amp;B$1&amp;"C"&amp;$A146))-IF(RTD("tos.rtd",,$A$2,"."&amp;B$135&amp;B$1&amp;"P"&amp;$A146)="N/A",0,RTD("tos.rtd",,$A$2,"."&amp;B$135&amp;B$1&amp;"P"&amp;$A146))</f>
        <v>0</v>
      </c>
      <c r="C146" s="91">
        <f ca="1">IF(RTD("tos.rtd",,$A$2,"."&amp;C$135&amp;C$1&amp;"C"&amp;$A146)="N/A",0,RTD("tos.rtd",,$A$2,"."&amp;C$135&amp;C$1&amp;"C"&amp;$A146))-IF(RTD("tos.rtd",,$A$2,"."&amp;C$135&amp;C$1&amp;"P"&amp;$A146)="N/A",0,RTD("tos.rtd",,$A$2,"."&amp;C$135&amp;C$1&amp;"P"&amp;$A146))</f>
        <v>0</v>
      </c>
      <c r="D146" s="91">
        <f ca="1">IF(RTD("tos.rtd",,$A$2,"."&amp;D$135&amp;D$1&amp;"C"&amp;$A146)="N/A",0,RTD("tos.rtd",,$A$2,"."&amp;D$135&amp;D$1&amp;"C"&amp;$A146))-IF(RTD("tos.rtd",,$A$2,"."&amp;D$135&amp;D$1&amp;"P"&amp;$A146)="N/A",0,RTD("tos.rtd",,$A$2,"."&amp;D$135&amp;D$1&amp;"P"&amp;$A146))</f>
        <v>0</v>
      </c>
      <c r="E146" s="91">
        <f ca="1">IF(RTD("tos.rtd",,$A$2,"."&amp;E$135&amp;E$1&amp;"C"&amp;$A146)="N/A",0,RTD("tos.rtd",,$A$2,"."&amp;E$135&amp;E$1&amp;"C"&amp;$A146))-IF(RTD("tos.rtd",,$A$2,"."&amp;E$135&amp;E$1&amp;"P"&amp;$A146)="N/A",0,RTD("tos.rtd",,$A$2,"."&amp;E$135&amp;E$1&amp;"P"&amp;$A146))</f>
        <v>0</v>
      </c>
      <c r="F146" s="91">
        <f ca="1">IF(RTD("tos.rtd",,$A$2,"."&amp;F$135&amp;F$1&amp;"C"&amp;$A146)="N/A",0,RTD("tos.rtd",,$A$2,"."&amp;F$135&amp;F$1&amp;"C"&amp;$A146))-IF(RTD("tos.rtd",,$A$2,"."&amp;F$135&amp;F$1&amp;"P"&amp;$A146)="N/A",0,RTD("tos.rtd",,$A$2,"."&amp;F$135&amp;F$1&amp;"P"&amp;$A146))</f>
        <v>0</v>
      </c>
      <c r="G146" s="91">
        <f ca="1">IF(RTD("tos.rtd",,$A$2,"."&amp;G$135&amp;G$1&amp;"C"&amp;$A146)="N/A",0,RTD("tos.rtd",,$A$2,"."&amp;G$135&amp;G$1&amp;"C"&amp;$A146))-IF(RTD("tos.rtd",,$A$2,"."&amp;G$135&amp;G$1&amp;"P"&amp;$A146)="N/A",0,RTD("tos.rtd",,$A$2,"."&amp;G$135&amp;G$1&amp;"P"&amp;$A146))</f>
        <v>0</v>
      </c>
      <c r="H146" s="91">
        <f ca="1">IF(RTD("tos.rtd",,$A$2,"."&amp;H$135&amp;H$1&amp;"C"&amp;$A146)="N/A",0,RTD("tos.rtd",,$A$2,"."&amp;H$135&amp;H$1&amp;"C"&amp;$A146))-IF(RTD("tos.rtd",,$A$2,"."&amp;H$135&amp;H$1&amp;"P"&amp;$A146)="N/A",0,RTD("tos.rtd",,$A$2,"."&amp;H$135&amp;H$1&amp;"P"&amp;$A146))</f>
        <v>0</v>
      </c>
      <c r="I146" s="91">
        <f ca="1">IF(RTD("tos.rtd",,$A$2,"."&amp;I$135&amp;I$1&amp;"C"&amp;$A146)="N/A",0,RTD("tos.rtd",,$A$2,"."&amp;I$135&amp;I$1&amp;"C"&amp;$A146))-IF(RTD("tos.rtd",,$A$2,"."&amp;I$135&amp;I$1&amp;"P"&amp;$A146)="N/A",0,RTD("tos.rtd",,$A$2,"."&amp;I$135&amp;I$1&amp;"P"&amp;$A146))</f>
        <v>0</v>
      </c>
      <c r="J146" s="91">
        <f ca="1">IF(RTD("tos.rtd",,$A$2,"."&amp;J$135&amp;J$1&amp;"C"&amp;$A146)="N/A",0,RTD("tos.rtd",,$A$2,"."&amp;J$135&amp;J$1&amp;"C"&amp;$A146))-IF(RTD("tos.rtd",,$A$2,"."&amp;J$135&amp;J$1&amp;"P"&amp;$A146)="N/A",0,RTD("tos.rtd",,$A$2,"."&amp;J$135&amp;J$1&amp;"P"&amp;$A146))</f>
        <v>0</v>
      </c>
      <c r="K146" s="91">
        <f ca="1">IF(RTD("tos.rtd",,$A$2,"."&amp;K$135&amp;K$1&amp;"C"&amp;$A146)="N/A",0,RTD("tos.rtd",,$A$2,"."&amp;K$135&amp;K$1&amp;"C"&amp;$A146))-IF(RTD("tos.rtd",,$A$2,"."&amp;K$135&amp;K$1&amp;"P"&amp;$A146)="N/A",0,RTD("tos.rtd",,$A$2,"."&amp;K$135&amp;K$1&amp;"P"&amp;$A146))</f>
        <v>0</v>
      </c>
      <c r="L146" s="91">
        <f ca="1">IF(RTD("tos.rtd",,$A$2,"."&amp;L$135&amp;L$1&amp;"C"&amp;$A146)="N/A",0,RTD("tos.rtd",,$A$2,"."&amp;L$135&amp;L$1&amp;"C"&amp;$A146))-IF(RTD("tos.rtd",,$A$2,"."&amp;L$135&amp;L$1&amp;"P"&amp;$A146)="N/A",0,RTD("tos.rtd",,$A$2,"."&amp;L$135&amp;L$1&amp;"P"&amp;$A146))</f>
        <v>0</v>
      </c>
      <c r="M146" s="91">
        <f ca="1">IF(RTD("tos.rtd",,$A$2,"."&amp;M$135&amp;M$1&amp;"C"&amp;$A146)="N/A",0,RTD("tos.rtd",,$A$2,"."&amp;M$135&amp;M$1&amp;"C"&amp;$A146))-IF(RTD("tos.rtd",,$A$2,"."&amp;M$135&amp;M$1&amp;"P"&amp;$A146)="N/A",0,RTD("tos.rtd",,$A$2,"."&amp;M$135&amp;M$1&amp;"P"&amp;$A146))</f>
        <v>0</v>
      </c>
      <c r="N146" s="91">
        <f ca="1">IF(RTD("tos.rtd",,$A$2,"."&amp;N$135&amp;N$1&amp;"C"&amp;$A146)="N/A",0,RTD("tos.rtd",,$A$2,"."&amp;N$135&amp;N$1&amp;"C"&amp;$A146))-IF(RTD("tos.rtd",,$A$2,"."&amp;N$135&amp;N$1&amp;"P"&amp;$A146)="N/A",0,RTD("tos.rtd",,$A$2,"."&amp;N$135&amp;N$1&amp;"P"&amp;$A146))</f>
        <v>0</v>
      </c>
      <c r="O146" s="91">
        <f ca="1">IF(RTD("tos.rtd",,$A$2,"."&amp;O$135&amp;O$1&amp;"C"&amp;$A146)="N/A",0,RTD("tos.rtd",,$A$2,"."&amp;O$135&amp;O$1&amp;"C"&amp;$A146))-IF(RTD("tos.rtd",,$A$2,"."&amp;O$135&amp;O$1&amp;"P"&amp;$A146)="N/A",0,RTD("tos.rtd",,$A$2,"."&amp;O$135&amp;O$1&amp;"P"&amp;$A146))</f>
        <v>0</v>
      </c>
      <c r="P146" s="91">
        <f ca="1">IF(RTD("tos.rtd",,$A$2,"."&amp;P$135&amp;P$1&amp;"C"&amp;$A146)="N/A",0,RTD("tos.rtd",,$A$2,"."&amp;P$135&amp;P$1&amp;"C"&amp;$A146))-IF(RTD("tos.rtd",,$A$2,"."&amp;P$135&amp;P$1&amp;"P"&amp;$A146)="N/A",0,RTD("tos.rtd",,$A$2,"."&amp;P$135&amp;P$1&amp;"P"&amp;$A146))</f>
        <v>0</v>
      </c>
      <c r="Q146" s="91">
        <f ca="1">IF(RTD("tos.rtd",,$A$2,"."&amp;Q$135&amp;Q$1&amp;"C"&amp;$A146)="N/A",0,RTD("tos.rtd",,$A$2,"."&amp;Q$135&amp;Q$1&amp;"C"&amp;$A146))-IF(RTD("tos.rtd",,$A$2,"."&amp;Q$135&amp;Q$1&amp;"P"&amp;$A146)="N/A",0,RTD("tos.rtd",,$A$2,"."&amp;Q$135&amp;Q$1&amp;"P"&amp;$A146))</f>
        <v>0</v>
      </c>
      <c r="R146" s="91">
        <f ca="1">IF(RTD("tos.rtd",,$A$2,"."&amp;R$135&amp;R$1&amp;"C"&amp;$A146)="N/A",0,RTD("tos.rtd",,$A$2,"."&amp;R$135&amp;R$1&amp;"C"&amp;$A146))-IF(RTD("tos.rtd",,$A$2,"."&amp;R$135&amp;R$1&amp;"P"&amp;$A146)="N/A",0,RTD("tos.rtd",,$A$2,"."&amp;R$135&amp;R$1&amp;"P"&amp;$A146))</f>
        <v>0</v>
      </c>
      <c r="S146" s="91">
        <f ca="1">IF(RTD("tos.rtd",,$A$2,"."&amp;S$135&amp;S$1&amp;"C"&amp;$A146)="N/A",0,RTD("tos.rtd",,$A$2,"."&amp;S$135&amp;S$1&amp;"C"&amp;$A146))-IF(RTD("tos.rtd",,$A$2,"."&amp;S$135&amp;S$1&amp;"P"&amp;$A146)="N/A",0,RTD("tos.rtd",,$A$2,"."&amp;S$135&amp;S$1&amp;"P"&amp;$A146))</f>
        <v>0</v>
      </c>
      <c r="T146" s="91">
        <f ca="1">IF(RTD("tos.rtd",,$A$2,"."&amp;T$135&amp;T$1&amp;"C"&amp;$A146)="N/A",0,RTD("tos.rtd",,$A$2,"."&amp;T$135&amp;T$1&amp;"C"&amp;$A146))-IF(RTD("tos.rtd",,$A$2,"."&amp;T$135&amp;T$1&amp;"P"&amp;$A146)="N/A",0,RTD("tos.rtd",,$A$2,"."&amp;T$135&amp;T$1&amp;"P"&amp;$A146))</f>
        <v>0</v>
      </c>
      <c r="U146" s="91">
        <f ca="1">IF(RTD("tos.rtd",,$A$2,"."&amp;U$135&amp;U$1&amp;"C"&amp;$A146)="N/A",0,RTD("tos.rtd",,$A$2,"."&amp;U$135&amp;U$1&amp;"C"&amp;$A146))-IF(RTD("tos.rtd",,$A$2,"."&amp;U$135&amp;U$1&amp;"P"&amp;$A146)="N/A",0,RTD("tos.rtd",,$A$2,"."&amp;U$135&amp;U$1&amp;"P"&amp;$A146))</f>
        <v>0</v>
      </c>
      <c r="V146" s="91">
        <f ca="1">IF(RTD("tos.rtd",,$A$2,"."&amp;V$135&amp;V$1&amp;"C"&amp;$A146)="N/A",0,RTD("tos.rtd",,$A$2,"."&amp;V$135&amp;V$1&amp;"C"&amp;$A146))-IF(RTD("tos.rtd",,$A$2,"."&amp;V$135&amp;V$1&amp;"P"&amp;$A146)="N/A",0,RTD("tos.rtd",,$A$2,"."&amp;V$135&amp;V$1&amp;"P"&amp;$A146))</f>
        <v>0</v>
      </c>
      <c r="W146" s="91">
        <f ca="1">IF(RTD("tos.rtd",,$A$2,"."&amp;W$135&amp;W$1&amp;"C"&amp;$A146)="N/A",0,RTD("tos.rtd",,$A$2,"."&amp;W$135&amp;W$1&amp;"C"&amp;$A146))-IF(RTD("tos.rtd",,$A$2,"."&amp;W$135&amp;W$1&amp;"P"&amp;$A146)="N/A",0,RTD("tos.rtd",,$A$2,"."&amp;W$135&amp;W$1&amp;"P"&amp;$A146))</f>
        <v>0</v>
      </c>
      <c r="X146" s="91">
        <f ca="1">IF(RTD("tos.rtd",,$A$2,"."&amp;X$135&amp;X$1&amp;"C"&amp;$A146)="N/A",0,RTD("tos.rtd",,$A$2,"."&amp;X$135&amp;X$1&amp;"C"&amp;$A146))-IF(RTD("tos.rtd",,$A$2,"."&amp;X$135&amp;X$1&amp;"P"&amp;$A146)="N/A",0,RTD("tos.rtd",,$A$2,"."&amp;X$135&amp;X$1&amp;"P"&amp;$A146))</f>
        <v>0</v>
      </c>
      <c r="Y146" s="98">
        <f t="shared" ca="1" si="13"/>
        <v>0</v>
      </c>
      <c r="Z146" s="91"/>
      <c r="AA146" s="91"/>
    </row>
    <row r="147" spans="1:27" x14ac:dyDescent="0.25">
      <c r="A147" s="93">
        <f>+Hoja1!A146</f>
        <v>20225</v>
      </c>
      <c r="B147" s="91">
        <f ca="1">IF(RTD("tos.rtd",,$A$2,"."&amp;B$135&amp;B$1&amp;"C"&amp;$A147)="N/A",0,RTD("tos.rtd",,$A$2,"."&amp;B$135&amp;B$1&amp;"C"&amp;$A147))-IF(RTD("tos.rtd",,$A$2,"."&amp;B$135&amp;B$1&amp;"P"&amp;$A147)="N/A",0,RTD("tos.rtd",,$A$2,"."&amp;B$135&amp;B$1&amp;"P"&amp;$A147))</f>
        <v>0</v>
      </c>
      <c r="C147" s="91">
        <f ca="1">IF(RTD("tos.rtd",,$A$2,"."&amp;C$135&amp;C$1&amp;"C"&amp;$A147)="N/A",0,RTD("tos.rtd",,$A$2,"."&amp;C$135&amp;C$1&amp;"C"&amp;$A147))-IF(RTD("tos.rtd",,$A$2,"."&amp;C$135&amp;C$1&amp;"P"&amp;$A147)="N/A",0,RTD("tos.rtd",,$A$2,"."&amp;C$135&amp;C$1&amp;"P"&amp;$A147))</f>
        <v>0</v>
      </c>
      <c r="D147" s="91">
        <f ca="1">IF(RTD("tos.rtd",,$A$2,"."&amp;D$135&amp;D$1&amp;"C"&amp;$A147)="N/A",0,RTD("tos.rtd",,$A$2,"."&amp;D$135&amp;D$1&amp;"C"&amp;$A147))-IF(RTD("tos.rtd",,$A$2,"."&amp;D$135&amp;D$1&amp;"P"&amp;$A147)="N/A",0,RTD("tos.rtd",,$A$2,"."&amp;D$135&amp;D$1&amp;"P"&amp;$A147))</f>
        <v>0</v>
      </c>
      <c r="E147" s="91">
        <f ca="1">IF(RTD("tos.rtd",,$A$2,"."&amp;E$135&amp;E$1&amp;"C"&amp;$A147)="N/A",0,RTD("tos.rtd",,$A$2,"."&amp;E$135&amp;E$1&amp;"C"&amp;$A147))-IF(RTD("tos.rtd",,$A$2,"."&amp;E$135&amp;E$1&amp;"P"&amp;$A147)="N/A",0,RTD("tos.rtd",,$A$2,"."&amp;E$135&amp;E$1&amp;"P"&amp;$A147))</f>
        <v>0</v>
      </c>
      <c r="F147" s="91">
        <f ca="1">IF(RTD("tos.rtd",,$A$2,"."&amp;F$135&amp;F$1&amp;"C"&amp;$A147)="N/A",0,RTD("tos.rtd",,$A$2,"."&amp;F$135&amp;F$1&amp;"C"&amp;$A147))-IF(RTD("tos.rtd",,$A$2,"."&amp;F$135&amp;F$1&amp;"P"&amp;$A147)="N/A",0,RTD("tos.rtd",,$A$2,"."&amp;F$135&amp;F$1&amp;"P"&amp;$A147))</f>
        <v>0</v>
      </c>
      <c r="G147" s="91">
        <f ca="1">IF(RTD("tos.rtd",,$A$2,"."&amp;G$135&amp;G$1&amp;"C"&amp;$A147)="N/A",0,RTD("tos.rtd",,$A$2,"."&amp;G$135&amp;G$1&amp;"C"&amp;$A147))-IF(RTD("tos.rtd",,$A$2,"."&amp;G$135&amp;G$1&amp;"P"&amp;$A147)="N/A",0,RTD("tos.rtd",,$A$2,"."&amp;G$135&amp;G$1&amp;"P"&amp;$A147))</f>
        <v>0</v>
      </c>
      <c r="H147" s="91">
        <f ca="1">IF(RTD("tos.rtd",,$A$2,"."&amp;H$135&amp;H$1&amp;"C"&amp;$A147)="N/A",0,RTD("tos.rtd",,$A$2,"."&amp;H$135&amp;H$1&amp;"C"&amp;$A147))-IF(RTD("tos.rtd",,$A$2,"."&amp;H$135&amp;H$1&amp;"P"&amp;$A147)="N/A",0,RTD("tos.rtd",,$A$2,"."&amp;H$135&amp;H$1&amp;"P"&amp;$A147))</f>
        <v>0</v>
      </c>
      <c r="I147" s="91">
        <f ca="1">IF(RTD("tos.rtd",,$A$2,"."&amp;I$135&amp;I$1&amp;"C"&amp;$A147)="N/A",0,RTD("tos.rtd",,$A$2,"."&amp;I$135&amp;I$1&amp;"C"&amp;$A147))-IF(RTD("tos.rtd",,$A$2,"."&amp;I$135&amp;I$1&amp;"P"&amp;$A147)="N/A",0,RTD("tos.rtd",,$A$2,"."&amp;I$135&amp;I$1&amp;"P"&amp;$A147))</f>
        <v>0</v>
      </c>
      <c r="J147" s="91">
        <f ca="1">IF(RTD("tos.rtd",,$A$2,"."&amp;J$135&amp;J$1&amp;"C"&amp;$A147)="N/A",0,RTD("tos.rtd",,$A$2,"."&amp;J$135&amp;J$1&amp;"C"&amp;$A147))-IF(RTD("tos.rtd",,$A$2,"."&amp;J$135&amp;J$1&amp;"P"&amp;$A147)="N/A",0,RTD("tos.rtd",,$A$2,"."&amp;J$135&amp;J$1&amp;"P"&amp;$A147))</f>
        <v>0</v>
      </c>
      <c r="K147" s="91">
        <f ca="1">IF(RTD("tos.rtd",,$A$2,"."&amp;K$135&amp;K$1&amp;"C"&amp;$A147)="N/A",0,RTD("tos.rtd",,$A$2,"."&amp;K$135&amp;K$1&amp;"C"&amp;$A147))-IF(RTD("tos.rtd",,$A$2,"."&amp;K$135&amp;K$1&amp;"P"&amp;$A147)="N/A",0,RTD("tos.rtd",,$A$2,"."&amp;K$135&amp;K$1&amp;"P"&amp;$A147))</f>
        <v>5</v>
      </c>
      <c r="L147" s="91">
        <f ca="1">IF(RTD("tos.rtd",,$A$2,"."&amp;L$135&amp;L$1&amp;"C"&amp;$A147)="N/A",0,RTD("tos.rtd",,$A$2,"."&amp;L$135&amp;L$1&amp;"C"&amp;$A147))-IF(RTD("tos.rtd",,$A$2,"."&amp;L$135&amp;L$1&amp;"P"&amp;$A147)="N/A",0,RTD("tos.rtd",,$A$2,"."&amp;L$135&amp;L$1&amp;"P"&amp;$A147))</f>
        <v>0</v>
      </c>
      <c r="M147" s="91">
        <f ca="1">IF(RTD("tos.rtd",,$A$2,"."&amp;M$135&amp;M$1&amp;"C"&amp;$A147)="N/A",0,RTD("tos.rtd",,$A$2,"."&amp;M$135&amp;M$1&amp;"C"&amp;$A147))-IF(RTD("tos.rtd",,$A$2,"."&amp;M$135&amp;M$1&amp;"P"&amp;$A147)="N/A",0,RTD("tos.rtd",,$A$2,"."&amp;M$135&amp;M$1&amp;"P"&amp;$A147))</f>
        <v>0</v>
      </c>
      <c r="N147" s="91">
        <f ca="1">IF(RTD("tos.rtd",,$A$2,"."&amp;N$135&amp;N$1&amp;"C"&amp;$A147)="N/A",0,RTD("tos.rtd",,$A$2,"."&amp;N$135&amp;N$1&amp;"C"&amp;$A147))-IF(RTD("tos.rtd",,$A$2,"."&amp;N$135&amp;N$1&amp;"P"&amp;$A147)="N/A",0,RTD("tos.rtd",,$A$2,"."&amp;N$135&amp;N$1&amp;"P"&amp;$A147))</f>
        <v>0</v>
      </c>
      <c r="O147" s="91">
        <f ca="1">IF(RTD("tos.rtd",,$A$2,"."&amp;O$135&amp;O$1&amp;"C"&amp;$A147)="N/A",0,RTD("tos.rtd",,$A$2,"."&amp;O$135&amp;O$1&amp;"C"&amp;$A147))-IF(RTD("tos.rtd",,$A$2,"."&amp;O$135&amp;O$1&amp;"P"&amp;$A147)="N/A",0,RTD("tos.rtd",,$A$2,"."&amp;O$135&amp;O$1&amp;"P"&amp;$A147))</f>
        <v>0</v>
      </c>
      <c r="P147" s="91">
        <f ca="1">IF(RTD("tos.rtd",,$A$2,"."&amp;P$135&amp;P$1&amp;"C"&amp;$A147)="N/A",0,RTD("tos.rtd",,$A$2,"."&amp;P$135&amp;P$1&amp;"C"&amp;$A147))-IF(RTD("tos.rtd",,$A$2,"."&amp;P$135&amp;P$1&amp;"P"&amp;$A147)="N/A",0,RTD("tos.rtd",,$A$2,"."&amp;P$135&amp;P$1&amp;"P"&amp;$A147))</f>
        <v>0</v>
      </c>
      <c r="Q147" s="91">
        <f ca="1">IF(RTD("tos.rtd",,$A$2,"."&amp;Q$135&amp;Q$1&amp;"C"&amp;$A147)="N/A",0,RTD("tos.rtd",,$A$2,"."&amp;Q$135&amp;Q$1&amp;"C"&amp;$A147))-IF(RTD("tos.rtd",,$A$2,"."&amp;Q$135&amp;Q$1&amp;"P"&amp;$A147)="N/A",0,RTD("tos.rtd",,$A$2,"."&amp;Q$135&amp;Q$1&amp;"P"&amp;$A147))</f>
        <v>0</v>
      </c>
      <c r="R147" s="91">
        <f ca="1">IF(RTD("tos.rtd",,$A$2,"."&amp;R$135&amp;R$1&amp;"C"&amp;$A147)="N/A",0,RTD("tos.rtd",,$A$2,"."&amp;R$135&amp;R$1&amp;"C"&amp;$A147))-IF(RTD("tos.rtd",,$A$2,"."&amp;R$135&amp;R$1&amp;"P"&amp;$A147)="N/A",0,RTD("tos.rtd",,$A$2,"."&amp;R$135&amp;R$1&amp;"P"&amp;$A147))</f>
        <v>0</v>
      </c>
      <c r="S147" s="91">
        <f ca="1">IF(RTD("tos.rtd",,$A$2,"."&amp;S$135&amp;S$1&amp;"C"&amp;$A147)="N/A",0,RTD("tos.rtd",,$A$2,"."&amp;S$135&amp;S$1&amp;"C"&amp;$A147))-IF(RTD("tos.rtd",,$A$2,"."&amp;S$135&amp;S$1&amp;"P"&amp;$A147)="N/A",0,RTD("tos.rtd",,$A$2,"."&amp;S$135&amp;S$1&amp;"P"&amp;$A147))</f>
        <v>0</v>
      </c>
      <c r="T147" s="91">
        <f ca="1">IF(RTD("tos.rtd",,$A$2,"."&amp;T$135&amp;T$1&amp;"C"&amp;$A147)="N/A",0,RTD("tos.rtd",,$A$2,"."&amp;T$135&amp;T$1&amp;"C"&amp;$A147))-IF(RTD("tos.rtd",,$A$2,"."&amp;T$135&amp;T$1&amp;"P"&amp;$A147)="N/A",0,RTD("tos.rtd",,$A$2,"."&amp;T$135&amp;T$1&amp;"P"&amp;$A147))</f>
        <v>0</v>
      </c>
      <c r="U147" s="91">
        <f ca="1">IF(RTD("tos.rtd",,$A$2,"."&amp;U$135&amp;U$1&amp;"C"&amp;$A147)="N/A",0,RTD("tos.rtd",,$A$2,"."&amp;U$135&amp;U$1&amp;"C"&amp;$A147))-IF(RTD("tos.rtd",,$A$2,"."&amp;U$135&amp;U$1&amp;"P"&amp;$A147)="N/A",0,RTD("tos.rtd",,$A$2,"."&amp;U$135&amp;U$1&amp;"P"&amp;$A147))</f>
        <v>0</v>
      </c>
      <c r="V147" s="91">
        <f ca="1">IF(RTD("tos.rtd",,$A$2,"."&amp;V$135&amp;V$1&amp;"C"&amp;$A147)="N/A",0,RTD("tos.rtd",,$A$2,"."&amp;V$135&amp;V$1&amp;"C"&amp;$A147))-IF(RTD("tos.rtd",,$A$2,"."&amp;V$135&amp;V$1&amp;"P"&amp;$A147)="N/A",0,RTD("tos.rtd",,$A$2,"."&amp;V$135&amp;V$1&amp;"P"&amp;$A147))</f>
        <v>0</v>
      </c>
      <c r="W147" s="91">
        <f ca="1">IF(RTD("tos.rtd",,$A$2,"."&amp;W$135&amp;W$1&amp;"C"&amp;$A147)="N/A",0,RTD("tos.rtd",,$A$2,"."&amp;W$135&amp;W$1&amp;"C"&amp;$A147))-IF(RTD("tos.rtd",,$A$2,"."&amp;W$135&amp;W$1&amp;"P"&amp;$A147)="N/A",0,RTD("tos.rtd",,$A$2,"."&amp;W$135&amp;W$1&amp;"P"&amp;$A147))</f>
        <v>0</v>
      </c>
      <c r="X147" s="91">
        <f ca="1">IF(RTD("tos.rtd",,$A$2,"."&amp;X$135&amp;X$1&amp;"C"&amp;$A147)="N/A",0,RTD("tos.rtd",,$A$2,"."&amp;X$135&amp;X$1&amp;"C"&amp;$A147))-IF(RTD("tos.rtd",,$A$2,"."&amp;X$135&amp;X$1&amp;"P"&amp;$A147)="N/A",0,RTD("tos.rtd",,$A$2,"."&amp;X$135&amp;X$1&amp;"P"&amp;$A147))</f>
        <v>0</v>
      </c>
      <c r="Y147" s="98">
        <f t="shared" ca="1" si="13"/>
        <v>5</v>
      </c>
      <c r="Z147" s="91"/>
      <c r="AA147" s="91"/>
    </row>
    <row r="148" spans="1:27" x14ac:dyDescent="0.25">
      <c r="A148" s="93">
        <f>+Hoja1!A147</f>
        <v>20200</v>
      </c>
      <c r="B148" s="91">
        <f ca="1">IF(RTD("tos.rtd",,$A$2,"."&amp;B$135&amp;B$1&amp;"C"&amp;$A148)="N/A",0,RTD("tos.rtd",,$A$2,"."&amp;B$135&amp;B$1&amp;"C"&amp;$A148))-IF(RTD("tos.rtd",,$A$2,"."&amp;B$135&amp;B$1&amp;"P"&amp;$A148)="N/A",0,RTD("tos.rtd",,$A$2,"."&amp;B$135&amp;B$1&amp;"P"&amp;$A148))</f>
        <v>0</v>
      </c>
      <c r="C148" s="91">
        <f ca="1">IF(RTD("tos.rtd",,$A$2,"."&amp;C$135&amp;C$1&amp;"C"&amp;$A148)="N/A",0,RTD("tos.rtd",,$A$2,"."&amp;C$135&amp;C$1&amp;"C"&amp;$A148))-IF(RTD("tos.rtd",,$A$2,"."&amp;C$135&amp;C$1&amp;"P"&amp;$A148)="N/A",0,RTD("tos.rtd",,$A$2,"."&amp;C$135&amp;C$1&amp;"P"&amp;$A148))</f>
        <v>0</v>
      </c>
      <c r="D148" s="91">
        <f ca="1">IF(RTD("tos.rtd",,$A$2,"."&amp;D$135&amp;D$1&amp;"C"&amp;$A148)="N/A",0,RTD("tos.rtd",,$A$2,"."&amp;D$135&amp;D$1&amp;"C"&amp;$A148))-IF(RTD("tos.rtd",,$A$2,"."&amp;D$135&amp;D$1&amp;"P"&amp;$A148)="N/A",0,RTD("tos.rtd",,$A$2,"."&amp;D$135&amp;D$1&amp;"P"&amp;$A148))</f>
        <v>0</v>
      </c>
      <c r="E148" s="91">
        <f ca="1">IF(RTD("tos.rtd",,$A$2,"."&amp;E$135&amp;E$1&amp;"C"&amp;$A148)="N/A",0,RTD("tos.rtd",,$A$2,"."&amp;E$135&amp;E$1&amp;"C"&amp;$A148))-IF(RTD("tos.rtd",,$A$2,"."&amp;E$135&amp;E$1&amp;"P"&amp;$A148)="N/A",0,RTD("tos.rtd",,$A$2,"."&amp;E$135&amp;E$1&amp;"P"&amp;$A148))</f>
        <v>0</v>
      </c>
      <c r="F148" s="91">
        <f ca="1">IF(RTD("tos.rtd",,$A$2,"."&amp;F$135&amp;F$1&amp;"C"&amp;$A148)="N/A",0,RTD("tos.rtd",,$A$2,"."&amp;F$135&amp;F$1&amp;"C"&amp;$A148))-IF(RTD("tos.rtd",,$A$2,"."&amp;F$135&amp;F$1&amp;"P"&amp;$A148)="N/A",0,RTD("tos.rtd",,$A$2,"."&amp;F$135&amp;F$1&amp;"P"&amp;$A148))</f>
        <v>0</v>
      </c>
      <c r="G148" s="91">
        <f ca="1">IF(RTD("tos.rtd",,$A$2,"."&amp;G$135&amp;G$1&amp;"C"&amp;$A148)="N/A",0,RTD("tos.rtd",,$A$2,"."&amp;G$135&amp;G$1&amp;"C"&amp;$A148))-IF(RTD("tos.rtd",,$A$2,"."&amp;G$135&amp;G$1&amp;"P"&amp;$A148)="N/A",0,RTD("tos.rtd",,$A$2,"."&amp;G$135&amp;G$1&amp;"P"&amp;$A148))</f>
        <v>0</v>
      </c>
      <c r="H148" s="91">
        <f ca="1">IF(RTD("tos.rtd",,$A$2,"."&amp;H$135&amp;H$1&amp;"C"&amp;$A148)="N/A",0,RTD("tos.rtd",,$A$2,"."&amp;H$135&amp;H$1&amp;"C"&amp;$A148))-IF(RTD("tos.rtd",,$A$2,"."&amp;H$135&amp;H$1&amp;"P"&amp;$A148)="N/A",0,RTD("tos.rtd",,$A$2,"."&amp;H$135&amp;H$1&amp;"P"&amp;$A148))</f>
        <v>0</v>
      </c>
      <c r="I148" s="91">
        <f ca="1">IF(RTD("tos.rtd",,$A$2,"."&amp;I$135&amp;I$1&amp;"C"&amp;$A148)="N/A",0,RTD("tos.rtd",,$A$2,"."&amp;I$135&amp;I$1&amp;"C"&amp;$A148))-IF(RTD("tos.rtd",,$A$2,"."&amp;I$135&amp;I$1&amp;"P"&amp;$A148)="N/A",0,RTD("tos.rtd",,$A$2,"."&amp;I$135&amp;I$1&amp;"P"&amp;$A148))</f>
        <v>0</v>
      </c>
      <c r="J148" s="91">
        <f ca="1">IF(RTD("tos.rtd",,$A$2,"."&amp;J$135&amp;J$1&amp;"C"&amp;$A148)="N/A",0,RTD("tos.rtd",,$A$2,"."&amp;J$135&amp;J$1&amp;"C"&amp;$A148))-IF(RTD("tos.rtd",,$A$2,"."&amp;J$135&amp;J$1&amp;"P"&amp;$A148)="N/A",0,RTD("tos.rtd",,$A$2,"."&amp;J$135&amp;J$1&amp;"P"&amp;$A148))</f>
        <v>0</v>
      </c>
      <c r="K148" s="91">
        <f ca="1">IF(RTD("tos.rtd",,$A$2,"."&amp;K$135&amp;K$1&amp;"C"&amp;$A148)="N/A",0,RTD("tos.rtd",,$A$2,"."&amp;K$135&amp;K$1&amp;"C"&amp;$A148))-IF(RTD("tos.rtd",,$A$2,"."&amp;K$135&amp;K$1&amp;"P"&amp;$A148)="N/A",0,RTD("tos.rtd",,$A$2,"."&amp;K$135&amp;K$1&amp;"P"&amp;$A148))</f>
        <v>127</v>
      </c>
      <c r="L148" s="91">
        <f ca="1">IF(RTD("tos.rtd",,$A$2,"."&amp;L$135&amp;L$1&amp;"C"&amp;$A148)="N/A",0,RTD("tos.rtd",,$A$2,"."&amp;L$135&amp;L$1&amp;"C"&amp;$A148))-IF(RTD("tos.rtd",,$A$2,"."&amp;L$135&amp;L$1&amp;"P"&amp;$A148)="N/A",0,RTD("tos.rtd",,$A$2,"."&amp;L$135&amp;L$1&amp;"P"&amp;$A148))</f>
        <v>0</v>
      </c>
      <c r="M148" s="91">
        <f ca="1">IF(RTD("tos.rtd",,$A$2,"."&amp;M$135&amp;M$1&amp;"C"&amp;$A148)="N/A",0,RTD("tos.rtd",,$A$2,"."&amp;M$135&amp;M$1&amp;"C"&amp;$A148))-IF(RTD("tos.rtd",,$A$2,"."&amp;M$135&amp;M$1&amp;"P"&amp;$A148)="N/A",0,RTD("tos.rtd",,$A$2,"."&amp;M$135&amp;M$1&amp;"P"&amp;$A148))</f>
        <v>0</v>
      </c>
      <c r="N148" s="91">
        <f ca="1">IF(RTD("tos.rtd",,$A$2,"."&amp;N$135&amp;N$1&amp;"C"&amp;$A148)="N/A",0,RTD("tos.rtd",,$A$2,"."&amp;N$135&amp;N$1&amp;"C"&amp;$A148))-IF(RTD("tos.rtd",,$A$2,"."&amp;N$135&amp;N$1&amp;"P"&amp;$A148)="N/A",0,RTD("tos.rtd",,$A$2,"."&amp;N$135&amp;N$1&amp;"P"&amp;$A148))</f>
        <v>0</v>
      </c>
      <c r="O148" s="91">
        <f ca="1">IF(RTD("tos.rtd",,$A$2,"."&amp;O$135&amp;O$1&amp;"C"&amp;$A148)="N/A",0,RTD("tos.rtd",,$A$2,"."&amp;O$135&amp;O$1&amp;"C"&amp;$A148))-IF(RTD("tos.rtd",,$A$2,"."&amp;O$135&amp;O$1&amp;"P"&amp;$A148)="N/A",0,RTD("tos.rtd",,$A$2,"."&amp;O$135&amp;O$1&amp;"P"&amp;$A148))</f>
        <v>0</v>
      </c>
      <c r="P148" s="91">
        <f ca="1">IF(RTD("tos.rtd",,$A$2,"."&amp;P$135&amp;P$1&amp;"C"&amp;$A148)="N/A",0,RTD("tos.rtd",,$A$2,"."&amp;P$135&amp;P$1&amp;"C"&amp;$A148))-IF(RTD("tos.rtd",,$A$2,"."&amp;P$135&amp;P$1&amp;"P"&amp;$A148)="N/A",0,RTD("tos.rtd",,$A$2,"."&amp;P$135&amp;P$1&amp;"P"&amp;$A148))</f>
        <v>0</v>
      </c>
      <c r="Q148" s="91">
        <f ca="1">IF(RTD("tos.rtd",,$A$2,"."&amp;Q$135&amp;Q$1&amp;"C"&amp;$A148)="N/A",0,RTD("tos.rtd",,$A$2,"."&amp;Q$135&amp;Q$1&amp;"C"&amp;$A148))-IF(RTD("tos.rtd",,$A$2,"."&amp;Q$135&amp;Q$1&amp;"P"&amp;$A148)="N/A",0,RTD("tos.rtd",,$A$2,"."&amp;Q$135&amp;Q$1&amp;"P"&amp;$A148))</f>
        <v>0</v>
      </c>
      <c r="R148" s="91">
        <f ca="1">IF(RTD("tos.rtd",,$A$2,"."&amp;R$135&amp;R$1&amp;"C"&amp;$A148)="N/A",0,RTD("tos.rtd",,$A$2,"."&amp;R$135&amp;R$1&amp;"C"&amp;$A148))-IF(RTD("tos.rtd",,$A$2,"."&amp;R$135&amp;R$1&amp;"P"&amp;$A148)="N/A",0,RTD("tos.rtd",,$A$2,"."&amp;R$135&amp;R$1&amp;"P"&amp;$A148))</f>
        <v>0</v>
      </c>
      <c r="S148" s="91">
        <f ca="1">IF(RTD("tos.rtd",,$A$2,"."&amp;S$135&amp;S$1&amp;"C"&amp;$A148)="N/A",0,RTD("tos.rtd",,$A$2,"."&amp;S$135&amp;S$1&amp;"C"&amp;$A148))-IF(RTD("tos.rtd",,$A$2,"."&amp;S$135&amp;S$1&amp;"P"&amp;$A148)="N/A",0,RTD("tos.rtd",,$A$2,"."&amp;S$135&amp;S$1&amp;"P"&amp;$A148))</f>
        <v>0</v>
      </c>
      <c r="T148" s="91">
        <f ca="1">IF(RTD("tos.rtd",,$A$2,"."&amp;T$135&amp;T$1&amp;"C"&amp;$A148)="N/A",0,RTD("tos.rtd",,$A$2,"."&amp;T$135&amp;T$1&amp;"C"&amp;$A148))-IF(RTD("tos.rtd",,$A$2,"."&amp;T$135&amp;T$1&amp;"P"&amp;$A148)="N/A",0,RTD("tos.rtd",,$A$2,"."&amp;T$135&amp;T$1&amp;"P"&amp;$A148))</f>
        <v>0</v>
      </c>
      <c r="U148" s="91">
        <f ca="1">IF(RTD("tos.rtd",,$A$2,"."&amp;U$135&amp;U$1&amp;"C"&amp;$A148)="N/A",0,RTD("tos.rtd",,$A$2,"."&amp;U$135&amp;U$1&amp;"C"&amp;$A148))-IF(RTD("tos.rtd",,$A$2,"."&amp;U$135&amp;U$1&amp;"P"&amp;$A148)="N/A",0,RTD("tos.rtd",,$A$2,"."&amp;U$135&amp;U$1&amp;"P"&amp;$A148))</f>
        <v>0</v>
      </c>
      <c r="V148" s="91">
        <f ca="1">IF(RTD("tos.rtd",,$A$2,"."&amp;V$135&amp;V$1&amp;"C"&amp;$A148)="N/A",0,RTD("tos.rtd",,$A$2,"."&amp;V$135&amp;V$1&amp;"C"&amp;$A148))-IF(RTD("tos.rtd",,$A$2,"."&amp;V$135&amp;V$1&amp;"P"&amp;$A148)="N/A",0,RTD("tos.rtd",,$A$2,"."&amp;V$135&amp;V$1&amp;"P"&amp;$A148))</f>
        <v>0</v>
      </c>
      <c r="W148" s="91">
        <f ca="1">IF(RTD("tos.rtd",,$A$2,"."&amp;W$135&amp;W$1&amp;"C"&amp;$A148)="N/A",0,RTD("tos.rtd",,$A$2,"."&amp;W$135&amp;W$1&amp;"C"&amp;$A148))-IF(RTD("tos.rtd",,$A$2,"."&amp;W$135&amp;W$1&amp;"P"&amp;$A148)="N/A",0,RTD("tos.rtd",,$A$2,"."&amp;W$135&amp;W$1&amp;"P"&amp;$A148))</f>
        <v>0</v>
      </c>
      <c r="X148" s="91">
        <f ca="1">IF(RTD("tos.rtd",,$A$2,"."&amp;X$135&amp;X$1&amp;"C"&amp;$A148)="N/A",0,RTD("tos.rtd",,$A$2,"."&amp;X$135&amp;X$1&amp;"C"&amp;$A148))-IF(RTD("tos.rtd",,$A$2,"."&amp;X$135&amp;X$1&amp;"P"&amp;$A148)="N/A",0,RTD("tos.rtd",,$A$2,"."&amp;X$135&amp;X$1&amp;"P"&amp;$A148))</f>
        <v>0</v>
      </c>
      <c r="Y148" s="98">
        <f t="shared" ca="1" si="13"/>
        <v>127</v>
      </c>
      <c r="Z148" s="91"/>
      <c r="AA148" s="91"/>
    </row>
    <row r="149" spans="1:27" x14ac:dyDescent="0.25">
      <c r="A149" s="93">
        <f>+Hoja1!A148</f>
        <v>20175</v>
      </c>
      <c r="B149" s="91">
        <f ca="1">IF(RTD("tos.rtd",,$A$2,"."&amp;B$135&amp;B$1&amp;"C"&amp;$A149)="N/A",0,RTD("tos.rtd",,$A$2,"."&amp;B$135&amp;B$1&amp;"C"&amp;$A149))-IF(RTD("tos.rtd",,$A$2,"."&amp;B$135&amp;B$1&amp;"P"&amp;$A149)="N/A",0,RTD("tos.rtd",,$A$2,"."&amp;B$135&amp;B$1&amp;"P"&amp;$A149))</f>
        <v>0</v>
      </c>
      <c r="C149" s="91">
        <f ca="1">IF(RTD("tos.rtd",,$A$2,"."&amp;C$135&amp;C$1&amp;"C"&amp;$A149)="N/A",0,RTD("tos.rtd",,$A$2,"."&amp;C$135&amp;C$1&amp;"C"&amp;$A149))-IF(RTD("tos.rtd",,$A$2,"."&amp;C$135&amp;C$1&amp;"P"&amp;$A149)="N/A",0,RTD("tos.rtd",,$A$2,"."&amp;C$135&amp;C$1&amp;"P"&amp;$A149))</f>
        <v>0</v>
      </c>
      <c r="D149" s="91">
        <f ca="1">IF(RTD("tos.rtd",,$A$2,"."&amp;D$135&amp;D$1&amp;"C"&amp;$A149)="N/A",0,RTD("tos.rtd",,$A$2,"."&amp;D$135&amp;D$1&amp;"C"&amp;$A149))-IF(RTD("tos.rtd",,$A$2,"."&amp;D$135&amp;D$1&amp;"P"&amp;$A149)="N/A",0,RTD("tos.rtd",,$A$2,"."&amp;D$135&amp;D$1&amp;"P"&amp;$A149))</f>
        <v>0</v>
      </c>
      <c r="E149" s="91">
        <f ca="1">IF(RTD("tos.rtd",,$A$2,"."&amp;E$135&amp;E$1&amp;"C"&amp;$A149)="N/A",0,RTD("tos.rtd",,$A$2,"."&amp;E$135&amp;E$1&amp;"C"&amp;$A149))-IF(RTD("tos.rtd",,$A$2,"."&amp;E$135&amp;E$1&amp;"P"&amp;$A149)="N/A",0,RTD("tos.rtd",,$A$2,"."&amp;E$135&amp;E$1&amp;"P"&amp;$A149))</f>
        <v>0</v>
      </c>
      <c r="F149" s="91">
        <f ca="1">IF(RTD("tos.rtd",,$A$2,"."&amp;F$135&amp;F$1&amp;"C"&amp;$A149)="N/A",0,RTD("tos.rtd",,$A$2,"."&amp;F$135&amp;F$1&amp;"C"&amp;$A149))-IF(RTD("tos.rtd",,$A$2,"."&amp;F$135&amp;F$1&amp;"P"&amp;$A149)="N/A",0,RTD("tos.rtd",,$A$2,"."&amp;F$135&amp;F$1&amp;"P"&amp;$A149))</f>
        <v>0</v>
      </c>
      <c r="G149" s="91">
        <f ca="1">IF(RTD("tos.rtd",,$A$2,"."&amp;G$135&amp;G$1&amp;"C"&amp;$A149)="N/A",0,RTD("tos.rtd",,$A$2,"."&amp;G$135&amp;G$1&amp;"C"&amp;$A149))-IF(RTD("tos.rtd",,$A$2,"."&amp;G$135&amp;G$1&amp;"P"&amp;$A149)="N/A",0,RTD("tos.rtd",,$A$2,"."&amp;G$135&amp;G$1&amp;"P"&amp;$A149))</f>
        <v>0</v>
      </c>
      <c r="H149" s="91">
        <f ca="1">IF(RTD("tos.rtd",,$A$2,"."&amp;H$135&amp;H$1&amp;"C"&amp;$A149)="N/A",0,RTD("tos.rtd",,$A$2,"."&amp;H$135&amp;H$1&amp;"C"&amp;$A149))-IF(RTD("tos.rtd",,$A$2,"."&amp;H$135&amp;H$1&amp;"P"&amp;$A149)="N/A",0,RTD("tos.rtd",,$A$2,"."&amp;H$135&amp;H$1&amp;"P"&amp;$A149))</f>
        <v>0</v>
      </c>
      <c r="I149" s="91">
        <f ca="1">IF(RTD("tos.rtd",,$A$2,"."&amp;I$135&amp;I$1&amp;"C"&amp;$A149)="N/A",0,RTD("tos.rtd",,$A$2,"."&amp;I$135&amp;I$1&amp;"C"&amp;$A149))-IF(RTD("tos.rtd",,$A$2,"."&amp;I$135&amp;I$1&amp;"P"&amp;$A149)="N/A",0,RTD("tos.rtd",,$A$2,"."&amp;I$135&amp;I$1&amp;"P"&amp;$A149))</f>
        <v>0</v>
      </c>
      <c r="J149" s="91">
        <f ca="1">IF(RTD("tos.rtd",,$A$2,"."&amp;J$135&amp;J$1&amp;"C"&amp;$A149)="N/A",0,RTD("tos.rtd",,$A$2,"."&amp;J$135&amp;J$1&amp;"C"&amp;$A149))-IF(RTD("tos.rtd",,$A$2,"."&amp;J$135&amp;J$1&amp;"P"&amp;$A149)="N/A",0,RTD("tos.rtd",,$A$2,"."&amp;J$135&amp;J$1&amp;"P"&amp;$A149))</f>
        <v>0</v>
      </c>
      <c r="K149" s="91">
        <f ca="1">IF(RTD("tos.rtd",,$A$2,"."&amp;K$135&amp;K$1&amp;"C"&amp;$A149)="N/A",0,RTD("tos.rtd",,$A$2,"."&amp;K$135&amp;K$1&amp;"C"&amp;$A149))-IF(RTD("tos.rtd",,$A$2,"."&amp;K$135&amp;K$1&amp;"P"&amp;$A149)="N/A",0,RTD("tos.rtd",,$A$2,"."&amp;K$135&amp;K$1&amp;"P"&amp;$A149))</f>
        <v>1</v>
      </c>
      <c r="L149" s="91">
        <f ca="1">IF(RTD("tos.rtd",,$A$2,"."&amp;L$135&amp;L$1&amp;"C"&amp;$A149)="N/A",0,RTD("tos.rtd",,$A$2,"."&amp;L$135&amp;L$1&amp;"C"&amp;$A149))-IF(RTD("tos.rtd",,$A$2,"."&amp;L$135&amp;L$1&amp;"P"&amp;$A149)="N/A",0,RTD("tos.rtd",,$A$2,"."&amp;L$135&amp;L$1&amp;"P"&amp;$A149))</f>
        <v>0</v>
      </c>
      <c r="M149" s="91">
        <f ca="1">IF(RTD("tos.rtd",,$A$2,"."&amp;M$135&amp;M$1&amp;"C"&amp;$A149)="N/A",0,RTD("tos.rtd",,$A$2,"."&amp;M$135&amp;M$1&amp;"C"&amp;$A149))-IF(RTD("tos.rtd",,$A$2,"."&amp;M$135&amp;M$1&amp;"P"&amp;$A149)="N/A",0,RTD("tos.rtd",,$A$2,"."&amp;M$135&amp;M$1&amp;"P"&amp;$A149))</f>
        <v>0</v>
      </c>
      <c r="N149" s="91">
        <f ca="1">IF(RTD("tos.rtd",,$A$2,"."&amp;N$135&amp;N$1&amp;"C"&amp;$A149)="N/A",0,RTD("tos.rtd",,$A$2,"."&amp;N$135&amp;N$1&amp;"C"&amp;$A149))-IF(RTD("tos.rtd",,$A$2,"."&amp;N$135&amp;N$1&amp;"P"&amp;$A149)="N/A",0,RTD("tos.rtd",,$A$2,"."&amp;N$135&amp;N$1&amp;"P"&amp;$A149))</f>
        <v>0</v>
      </c>
      <c r="O149" s="91">
        <f ca="1">IF(RTD("tos.rtd",,$A$2,"."&amp;O$135&amp;O$1&amp;"C"&amp;$A149)="N/A",0,RTD("tos.rtd",,$A$2,"."&amp;O$135&amp;O$1&amp;"C"&amp;$A149))-IF(RTD("tos.rtd",,$A$2,"."&amp;O$135&amp;O$1&amp;"P"&amp;$A149)="N/A",0,RTD("tos.rtd",,$A$2,"."&amp;O$135&amp;O$1&amp;"P"&amp;$A149))</f>
        <v>0</v>
      </c>
      <c r="P149" s="91">
        <f ca="1">IF(RTD("tos.rtd",,$A$2,"."&amp;P$135&amp;P$1&amp;"C"&amp;$A149)="N/A",0,RTD("tos.rtd",,$A$2,"."&amp;P$135&amp;P$1&amp;"C"&amp;$A149))-IF(RTD("tos.rtd",,$A$2,"."&amp;P$135&amp;P$1&amp;"P"&amp;$A149)="N/A",0,RTD("tos.rtd",,$A$2,"."&amp;P$135&amp;P$1&amp;"P"&amp;$A149))</f>
        <v>0</v>
      </c>
      <c r="Q149" s="91">
        <f ca="1">IF(RTD("tos.rtd",,$A$2,"."&amp;Q$135&amp;Q$1&amp;"C"&amp;$A149)="N/A",0,RTD("tos.rtd",,$A$2,"."&amp;Q$135&amp;Q$1&amp;"C"&amp;$A149))-IF(RTD("tos.rtd",,$A$2,"."&amp;Q$135&amp;Q$1&amp;"P"&amp;$A149)="N/A",0,RTD("tos.rtd",,$A$2,"."&amp;Q$135&amp;Q$1&amp;"P"&amp;$A149))</f>
        <v>0</v>
      </c>
      <c r="R149" s="91">
        <f ca="1">IF(RTD("tos.rtd",,$A$2,"."&amp;R$135&amp;R$1&amp;"C"&amp;$A149)="N/A",0,RTD("tos.rtd",,$A$2,"."&amp;R$135&amp;R$1&amp;"C"&amp;$A149))-IF(RTD("tos.rtd",,$A$2,"."&amp;R$135&amp;R$1&amp;"P"&amp;$A149)="N/A",0,RTD("tos.rtd",,$A$2,"."&amp;R$135&amp;R$1&amp;"P"&amp;$A149))</f>
        <v>0</v>
      </c>
      <c r="S149" s="91">
        <f ca="1">IF(RTD("tos.rtd",,$A$2,"."&amp;S$135&amp;S$1&amp;"C"&amp;$A149)="N/A",0,RTD("tos.rtd",,$A$2,"."&amp;S$135&amp;S$1&amp;"C"&amp;$A149))-IF(RTD("tos.rtd",,$A$2,"."&amp;S$135&amp;S$1&amp;"P"&amp;$A149)="N/A",0,RTD("tos.rtd",,$A$2,"."&amp;S$135&amp;S$1&amp;"P"&amp;$A149))</f>
        <v>0</v>
      </c>
      <c r="T149" s="91">
        <f ca="1">IF(RTD("tos.rtd",,$A$2,"."&amp;T$135&amp;T$1&amp;"C"&amp;$A149)="N/A",0,RTD("tos.rtd",,$A$2,"."&amp;T$135&amp;T$1&amp;"C"&amp;$A149))-IF(RTD("tos.rtd",,$A$2,"."&amp;T$135&amp;T$1&amp;"P"&amp;$A149)="N/A",0,RTD("tos.rtd",,$A$2,"."&amp;T$135&amp;T$1&amp;"P"&amp;$A149))</f>
        <v>0</v>
      </c>
      <c r="U149" s="91">
        <f ca="1">IF(RTD("tos.rtd",,$A$2,"."&amp;U$135&amp;U$1&amp;"C"&amp;$A149)="N/A",0,RTD("tos.rtd",,$A$2,"."&amp;U$135&amp;U$1&amp;"C"&amp;$A149))-IF(RTD("tos.rtd",,$A$2,"."&amp;U$135&amp;U$1&amp;"P"&amp;$A149)="N/A",0,RTD("tos.rtd",,$A$2,"."&amp;U$135&amp;U$1&amp;"P"&amp;$A149))</f>
        <v>0</v>
      </c>
      <c r="V149" s="91">
        <f ca="1">IF(RTD("tos.rtd",,$A$2,"."&amp;V$135&amp;V$1&amp;"C"&amp;$A149)="N/A",0,RTD("tos.rtd",,$A$2,"."&amp;V$135&amp;V$1&amp;"C"&amp;$A149))-IF(RTD("tos.rtd",,$A$2,"."&amp;V$135&amp;V$1&amp;"P"&amp;$A149)="N/A",0,RTD("tos.rtd",,$A$2,"."&amp;V$135&amp;V$1&amp;"P"&amp;$A149))</f>
        <v>0</v>
      </c>
      <c r="W149" s="91">
        <f ca="1">IF(RTD("tos.rtd",,$A$2,"."&amp;W$135&amp;W$1&amp;"C"&amp;$A149)="N/A",0,RTD("tos.rtd",,$A$2,"."&amp;W$135&amp;W$1&amp;"C"&amp;$A149))-IF(RTD("tos.rtd",,$A$2,"."&amp;W$135&amp;W$1&amp;"P"&amp;$A149)="N/A",0,RTD("tos.rtd",,$A$2,"."&amp;W$135&amp;W$1&amp;"P"&amp;$A149))</f>
        <v>0</v>
      </c>
      <c r="X149" s="91">
        <f ca="1">IF(RTD("tos.rtd",,$A$2,"."&amp;X$135&amp;X$1&amp;"C"&amp;$A149)="N/A",0,RTD("tos.rtd",,$A$2,"."&amp;X$135&amp;X$1&amp;"C"&amp;$A149))-IF(RTD("tos.rtd",,$A$2,"."&amp;X$135&amp;X$1&amp;"P"&amp;$A149)="N/A",0,RTD("tos.rtd",,$A$2,"."&amp;X$135&amp;X$1&amp;"P"&amp;$A149))</f>
        <v>0</v>
      </c>
      <c r="Y149" s="98">
        <f t="shared" ca="1" si="13"/>
        <v>1</v>
      </c>
      <c r="Z149" s="91"/>
      <c r="AA149" s="91"/>
    </row>
    <row r="150" spans="1:27" x14ac:dyDescent="0.25">
      <c r="A150" s="93">
        <f>+Hoja1!A149</f>
        <v>20150</v>
      </c>
      <c r="B150" s="91">
        <f ca="1">IF(RTD("tos.rtd",,$A$2,"."&amp;B$135&amp;B$1&amp;"C"&amp;$A150)="N/A",0,RTD("tos.rtd",,$A$2,"."&amp;B$135&amp;B$1&amp;"C"&amp;$A150))-IF(RTD("tos.rtd",,$A$2,"."&amp;B$135&amp;B$1&amp;"P"&amp;$A150)="N/A",0,RTD("tos.rtd",,$A$2,"."&amp;B$135&amp;B$1&amp;"P"&amp;$A150))</f>
        <v>0</v>
      </c>
      <c r="C150" s="91">
        <f ca="1">IF(RTD("tos.rtd",,$A$2,"."&amp;C$135&amp;C$1&amp;"C"&amp;$A150)="N/A",0,RTD("tos.rtd",,$A$2,"."&amp;C$135&amp;C$1&amp;"C"&amp;$A150))-IF(RTD("tos.rtd",,$A$2,"."&amp;C$135&amp;C$1&amp;"P"&amp;$A150)="N/A",0,RTD("tos.rtd",,$A$2,"."&amp;C$135&amp;C$1&amp;"P"&amp;$A150))</f>
        <v>0</v>
      </c>
      <c r="D150" s="91">
        <f ca="1">IF(RTD("tos.rtd",,$A$2,"."&amp;D$135&amp;D$1&amp;"C"&amp;$A150)="N/A",0,RTD("tos.rtd",,$A$2,"."&amp;D$135&amp;D$1&amp;"C"&amp;$A150))-IF(RTD("tos.rtd",,$A$2,"."&amp;D$135&amp;D$1&amp;"P"&amp;$A150)="N/A",0,RTD("tos.rtd",,$A$2,"."&amp;D$135&amp;D$1&amp;"P"&amp;$A150))</f>
        <v>0</v>
      </c>
      <c r="E150" s="91">
        <f ca="1">IF(RTD("tos.rtd",,$A$2,"."&amp;E$135&amp;E$1&amp;"C"&amp;$A150)="N/A",0,RTD("tos.rtd",,$A$2,"."&amp;E$135&amp;E$1&amp;"C"&amp;$A150))-IF(RTD("tos.rtd",,$A$2,"."&amp;E$135&amp;E$1&amp;"P"&amp;$A150)="N/A",0,RTD("tos.rtd",,$A$2,"."&amp;E$135&amp;E$1&amp;"P"&amp;$A150))</f>
        <v>0</v>
      </c>
      <c r="F150" s="91">
        <f ca="1">IF(RTD("tos.rtd",,$A$2,"."&amp;F$135&amp;F$1&amp;"C"&amp;$A150)="N/A",0,RTD("tos.rtd",,$A$2,"."&amp;F$135&amp;F$1&amp;"C"&amp;$A150))-IF(RTD("tos.rtd",,$A$2,"."&amp;F$135&amp;F$1&amp;"P"&amp;$A150)="N/A",0,RTD("tos.rtd",,$A$2,"."&amp;F$135&amp;F$1&amp;"P"&amp;$A150))</f>
        <v>0</v>
      </c>
      <c r="G150" s="91">
        <f ca="1">IF(RTD("tos.rtd",,$A$2,"."&amp;G$135&amp;G$1&amp;"C"&amp;$A150)="N/A",0,RTD("tos.rtd",,$A$2,"."&amp;G$135&amp;G$1&amp;"C"&amp;$A150))-IF(RTD("tos.rtd",,$A$2,"."&amp;G$135&amp;G$1&amp;"P"&amp;$A150)="N/A",0,RTD("tos.rtd",,$A$2,"."&amp;G$135&amp;G$1&amp;"P"&amp;$A150))</f>
        <v>0</v>
      </c>
      <c r="H150" s="91">
        <f ca="1">IF(RTD("tos.rtd",,$A$2,"."&amp;H$135&amp;H$1&amp;"C"&amp;$A150)="N/A",0,RTD("tos.rtd",,$A$2,"."&amp;H$135&amp;H$1&amp;"C"&amp;$A150))-IF(RTD("tos.rtd",,$A$2,"."&amp;H$135&amp;H$1&amp;"P"&amp;$A150)="N/A",0,RTD("tos.rtd",,$A$2,"."&amp;H$135&amp;H$1&amp;"P"&amp;$A150))</f>
        <v>0</v>
      </c>
      <c r="I150" s="91">
        <f ca="1">IF(RTD("tos.rtd",,$A$2,"."&amp;I$135&amp;I$1&amp;"C"&amp;$A150)="N/A",0,RTD("tos.rtd",,$A$2,"."&amp;I$135&amp;I$1&amp;"C"&amp;$A150))-IF(RTD("tos.rtd",,$A$2,"."&amp;I$135&amp;I$1&amp;"P"&amp;$A150)="N/A",0,RTD("tos.rtd",,$A$2,"."&amp;I$135&amp;I$1&amp;"P"&amp;$A150))</f>
        <v>0</v>
      </c>
      <c r="J150" s="91">
        <f ca="1">IF(RTD("tos.rtd",,$A$2,"."&amp;J$135&amp;J$1&amp;"C"&amp;$A150)="N/A",0,RTD("tos.rtd",,$A$2,"."&amp;J$135&amp;J$1&amp;"C"&amp;$A150))-IF(RTD("tos.rtd",,$A$2,"."&amp;J$135&amp;J$1&amp;"P"&amp;$A150)="N/A",0,RTD("tos.rtd",,$A$2,"."&amp;J$135&amp;J$1&amp;"P"&amp;$A150))</f>
        <v>0</v>
      </c>
      <c r="K150" s="91">
        <f ca="1">IF(RTD("tos.rtd",,$A$2,"."&amp;K$135&amp;K$1&amp;"C"&amp;$A150)="N/A",0,RTD("tos.rtd",,$A$2,"."&amp;K$135&amp;K$1&amp;"C"&amp;$A150))-IF(RTD("tos.rtd",,$A$2,"."&amp;K$135&amp;K$1&amp;"P"&amp;$A150)="N/A",0,RTD("tos.rtd",,$A$2,"."&amp;K$135&amp;K$1&amp;"P"&amp;$A150))</f>
        <v>3</v>
      </c>
      <c r="L150" s="91">
        <f ca="1">IF(RTD("tos.rtd",,$A$2,"."&amp;L$135&amp;L$1&amp;"C"&amp;$A150)="N/A",0,RTD("tos.rtd",,$A$2,"."&amp;L$135&amp;L$1&amp;"C"&amp;$A150))-IF(RTD("tos.rtd",,$A$2,"."&amp;L$135&amp;L$1&amp;"P"&amp;$A150)="N/A",0,RTD("tos.rtd",,$A$2,"."&amp;L$135&amp;L$1&amp;"P"&amp;$A150))</f>
        <v>0</v>
      </c>
      <c r="M150" s="91">
        <f ca="1">IF(RTD("tos.rtd",,$A$2,"."&amp;M$135&amp;M$1&amp;"C"&amp;$A150)="N/A",0,RTD("tos.rtd",,$A$2,"."&amp;M$135&amp;M$1&amp;"C"&amp;$A150))-IF(RTD("tos.rtd",,$A$2,"."&amp;M$135&amp;M$1&amp;"P"&amp;$A150)="N/A",0,RTD("tos.rtd",,$A$2,"."&amp;M$135&amp;M$1&amp;"P"&amp;$A150))</f>
        <v>0</v>
      </c>
      <c r="N150" s="91">
        <f ca="1">IF(RTD("tos.rtd",,$A$2,"."&amp;N$135&amp;N$1&amp;"C"&amp;$A150)="N/A",0,RTD("tos.rtd",,$A$2,"."&amp;N$135&amp;N$1&amp;"C"&amp;$A150))-IF(RTD("tos.rtd",,$A$2,"."&amp;N$135&amp;N$1&amp;"P"&amp;$A150)="N/A",0,RTD("tos.rtd",,$A$2,"."&amp;N$135&amp;N$1&amp;"P"&amp;$A150))</f>
        <v>0</v>
      </c>
      <c r="O150" s="91">
        <f ca="1">IF(RTD("tos.rtd",,$A$2,"."&amp;O$135&amp;O$1&amp;"C"&amp;$A150)="N/A",0,RTD("tos.rtd",,$A$2,"."&amp;O$135&amp;O$1&amp;"C"&amp;$A150))-IF(RTD("tos.rtd",,$A$2,"."&amp;O$135&amp;O$1&amp;"P"&amp;$A150)="N/A",0,RTD("tos.rtd",,$A$2,"."&amp;O$135&amp;O$1&amp;"P"&amp;$A150))</f>
        <v>0</v>
      </c>
      <c r="P150" s="91">
        <f ca="1">IF(RTD("tos.rtd",,$A$2,"."&amp;P$135&amp;P$1&amp;"C"&amp;$A150)="N/A",0,RTD("tos.rtd",,$A$2,"."&amp;P$135&amp;P$1&amp;"C"&amp;$A150))-IF(RTD("tos.rtd",,$A$2,"."&amp;P$135&amp;P$1&amp;"P"&amp;$A150)="N/A",0,RTD("tos.rtd",,$A$2,"."&amp;P$135&amp;P$1&amp;"P"&amp;$A150))</f>
        <v>0</v>
      </c>
      <c r="Q150" s="91">
        <f ca="1">IF(RTD("tos.rtd",,$A$2,"."&amp;Q$135&amp;Q$1&amp;"C"&amp;$A150)="N/A",0,RTD("tos.rtd",,$A$2,"."&amp;Q$135&amp;Q$1&amp;"C"&amp;$A150))-IF(RTD("tos.rtd",,$A$2,"."&amp;Q$135&amp;Q$1&amp;"P"&amp;$A150)="N/A",0,RTD("tos.rtd",,$A$2,"."&amp;Q$135&amp;Q$1&amp;"P"&amp;$A150))</f>
        <v>0</v>
      </c>
      <c r="R150" s="91">
        <f ca="1">IF(RTD("tos.rtd",,$A$2,"."&amp;R$135&amp;R$1&amp;"C"&amp;$A150)="N/A",0,RTD("tos.rtd",,$A$2,"."&amp;R$135&amp;R$1&amp;"C"&amp;$A150))-IF(RTD("tos.rtd",,$A$2,"."&amp;R$135&amp;R$1&amp;"P"&amp;$A150)="N/A",0,RTD("tos.rtd",,$A$2,"."&amp;R$135&amp;R$1&amp;"P"&amp;$A150))</f>
        <v>0</v>
      </c>
      <c r="S150" s="91">
        <f ca="1">IF(RTD("tos.rtd",,$A$2,"."&amp;S$135&amp;S$1&amp;"C"&amp;$A150)="N/A",0,RTD("tos.rtd",,$A$2,"."&amp;S$135&amp;S$1&amp;"C"&amp;$A150))-IF(RTD("tos.rtd",,$A$2,"."&amp;S$135&amp;S$1&amp;"P"&amp;$A150)="N/A",0,RTD("tos.rtd",,$A$2,"."&amp;S$135&amp;S$1&amp;"P"&amp;$A150))</f>
        <v>0</v>
      </c>
      <c r="T150" s="91">
        <f ca="1">IF(RTD("tos.rtd",,$A$2,"."&amp;T$135&amp;T$1&amp;"C"&amp;$A150)="N/A",0,RTD("tos.rtd",,$A$2,"."&amp;T$135&amp;T$1&amp;"C"&amp;$A150))-IF(RTD("tos.rtd",,$A$2,"."&amp;T$135&amp;T$1&amp;"P"&amp;$A150)="N/A",0,RTD("tos.rtd",,$A$2,"."&amp;T$135&amp;T$1&amp;"P"&amp;$A150))</f>
        <v>0</v>
      </c>
      <c r="U150" s="91">
        <f ca="1">IF(RTD("tos.rtd",,$A$2,"."&amp;U$135&amp;U$1&amp;"C"&amp;$A150)="N/A",0,RTD("tos.rtd",,$A$2,"."&amp;U$135&amp;U$1&amp;"C"&amp;$A150))-IF(RTD("tos.rtd",,$A$2,"."&amp;U$135&amp;U$1&amp;"P"&amp;$A150)="N/A",0,RTD("tos.rtd",,$A$2,"."&amp;U$135&amp;U$1&amp;"P"&amp;$A150))</f>
        <v>0</v>
      </c>
      <c r="V150" s="91">
        <f ca="1">IF(RTD("tos.rtd",,$A$2,"."&amp;V$135&amp;V$1&amp;"C"&amp;$A150)="N/A",0,RTD("tos.rtd",,$A$2,"."&amp;V$135&amp;V$1&amp;"C"&amp;$A150))-IF(RTD("tos.rtd",,$A$2,"."&amp;V$135&amp;V$1&amp;"P"&amp;$A150)="N/A",0,RTD("tos.rtd",,$A$2,"."&amp;V$135&amp;V$1&amp;"P"&amp;$A150))</f>
        <v>0</v>
      </c>
      <c r="W150" s="91">
        <f ca="1">IF(RTD("tos.rtd",,$A$2,"."&amp;W$135&amp;W$1&amp;"C"&amp;$A150)="N/A",0,RTD("tos.rtd",,$A$2,"."&amp;W$135&amp;W$1&amp;"C"&amp;$A150))-IF(RTD("tos.rtd",,$A$2,"."&amp;W$135&amp;W$1&amp;"P"&amp;$A150)="N/A",0,RTD("tos.rtd",,$A$2,"."&amp;W$135&amp;W$1&amp;"P"&amp;$A150))</f>
        <v>0</v>
      </c>
      <c r="X150" s="91">
        <f ca="1">IF(RTD("tos.rtd",,$A$2,"."&amp;X$135&amp;X$1&amp;"C"&amp;$A150)="N/A",0,RTD("tos.rtd",,$A$2,"."&amp;X$135&amp;X$1&amp;"C"&amp;$A150))-IF(RTD("tos.rtd",,$A$2,"."&amp;X$135&amp;X$1&amp;"P"&amp;$A150)="N/A",0,RTD("tos.rtd",,$A$2,"."&amp;X$135&amp;X$1&amp;"P"&amp;$A150))</f>
        <v>0</v>
      </c>
      <c r="Y150" s="98">
        <f t="shared" ca="1" si="13"/>
        <v>3</v>
      </c>
      <c r="Z150" s="91"/>
      <c r="AA150" s="91"/>
    </row>
    <row r="151" spans="1:27" x14ac:dyDescent="0.25">
      <c r="A151" s="93">
        <f>+Hoja1!A150</f>
        <v>20125</v>
      </c>
      <c r="B151" s="91">
        <f ca="1">IF(RTD("tos.rtd",,$A$2,"."&amp;B$135&amp;B$1&amp;"C"&amp;$A151)="N/A",0,RTD("tos.rtd",,$A$2,"."&amp;B$135&amp;B$1&amp;"C"&amp;$A151))-IF(RTD("tos.rtd",,$A$2,"."&amp;B$135&amp;B$1&amp;"P"&amp;$A151)="N/A",0,RTD("tos.rtd",,$A$2,"."&amp;B$135&amp;B$1&amp;"P"&amp;$A151))</f>
        <v>0</v>
      </c>
      <c r="C151" s="91">
        <f ca="1">IF(RTD("tos.rtd",,$A$2,"."&amp;C$135&amp;C$1&amp;"C"&amp;$A151)="N/A",0,RTD("tos.rtd",,$A$2,"."&amp;C$135&amp;C$1&amp;"C"&amp;$A151))-IF(RTD("tos.rtd",,$A$2,"."&amp;C$135&amp;C$1&amp;"P"&amp;$A151)="N/A",0,RTD("tos.rtd",,$A$2,"."&amp;C$135&amp;C$1&amp;"P"&amp;$A151))</f>
        <v>0</v>
      </c>
      <c r="D151" s="91">
        <f ca="1">IF(RTD("tos.rtd",,$A$2,"."&amp;D$135&amp;D$1&amp;"C"&amp;$A151)="N/A",0,RTD("tos.rtd",,$A$2,"."&amp;D$135&amp;D$1&amp;"C"&amp;$A151))-IF(RTD("tos.rtd",,$A$2,"."&amp;D$135&amp;D$1&amp;"P"&amp;$A151)="N/A",0,RTD("tos.rtd",,$A$2,"."&amp;D$135&amp;D$1&amp;"P"&amp;$A151))</f>
        <v>0</v>
      </c>
      <c r="E151" s="91">
        <f ca="1">IF(RTD("tos.rtd",,$A$2,"."&amp;E$135&amp;E$1&amp;"C"&amp;$A151)="N/A",0,RTD("tos.rtd",,$A$2,"."&amp;E$135&amp;E$1&amp;"C"&amp;$A151))-IF(RTD("tos.rtd",,$A$2,"."&amp;E$135&amp;E$1&amp;"P"&amp;$A151)="N/A",0,RTD("tos.rtd",,$A$2,"."&amp;E$135&amp;E$1&amp;"P"&amp;$A151))</f>
        <v>0</v>
      </c>
      <c r="F151" s="91">
        <f ca="1">IF(RTD("tos.rtd",,$A$2,"."&amp;F$135&amp;F$1&amp;"C"&amp;$A151)="N/A",0,RTD("tos.rtd",,$A$2,"."&amp;F$135&amp;F$1&amp;"C"&amp;$A151))-IF(RTD("tos.rtd",,$A$2,"."&amp;F$135&amp;F$1&amp;"P"&amp;$A151)="N/A",0,RTD("tos.rtd",,$A$2,"."&amp;F$135&amp;F$1&amp;"P"&amp;$A151))</f>
        <v>0</v>
      </c>
      <c r="G151" s="91">
        <f ca="1">IF(RTD("tos.rtd",,$A$2,"."&amp;G$135&amp;G$1&amp;"C"&amp;$A151)="N/A",0,RTD("tos.rtd",,$A$2,"."&amp;G$135&amp;G$1&amp;"C"&amp;$A151))-IF(RTD("tos.rtd",,$A$2,"."&amp;G$135&amp;G$1&amp;"P"&amp;$A151)="N/A",0,RTD("tos.rtd",,$A$2,"."&amp;G$135&amp;G$1&amp;"P"&amp;$A151))</f>
        <v>0</v>
      </c>
      <c r="H151" s="91">
        <f ca="1">IF(RTD("tos.rtd",,$A$2,"."&amp;H$135&amp;H$1&amp;"C"&amp;$A151)="N/A",0,RTD("tos.rtd",,$A$2,"."&amp;H$135&amp;H$1&amp;"C"&amp;$A151))-IF(RTD("tos.rtd",,$A$2,"."&amp;H$135&amp;H$1&amp;"P"&amp;$A151)="N/A",0,RTD("tos.rtd",,$A$2,"."&amp;H$135&amp;H$1&amp;"P"&amp;$A151))</f>
        <v>0</v>
      </c>
      <c r="I151" s="91">
        <f ca="1">IF(RTD("tos.rtd",,$A$2,"."&amp;I$135&amp;I$1&amp;"C"&amp;$A151)="N/A",0,RTD("tos.rtd",,$A$2,"."&amp;I$135&amp;I$1&amp;"C"&amp;$A151))-IF(RTD("tos.rtd",,$A$2,"."&amp;I$135&amp;I$1&amp;"P"&amp;$A151)="N/A",0,RTD("tos.rtd",,$A$2,"."&amp;I$135&amp;I$1&amp;"P"&amp;$A151))</f>
        <v>0</v>
      </c>
      <c r="J151" s="91">
        <f ca="1">IF(RTD("tos.rtd",,$A$2,"."&amp;J$135&amp;J$1&amp;"C"&amp;$A151)="N/A",0,RTD("tos.rtd",,$A$2,"."&amp;J$135&amp;J$1&amp;"C"&amp;$A151))-IF(RTD("tos.rtd",,$A$2,"."&amp;J$135&amp;J$1&amp;"P"&amp;$A151)="N/A",0,RTD("tos.rtd",,$A$2,"."&amp;J$135&amp;J$1&amp;"P"&amp;$A151))</f>
        <v>0</v>
      </c>
      <c r="K151" s="91">
        <f ca="1">IF(RTD("tos.rtd",,$A$2,"."&amp;K$135&amp;K$1&amp;"C"&amp;$A151)="N/A",0,RTD("tos.rtd",,$A$2,"."&amp;K$135&amp;K$1&amp;"C"&amp;$A151))-IF(RTD("tos.rtd",,$A$2,"."&amp;K$135&amp;K$1&amp;"P"&amp;$A151)="N/A",0,RTD("tos.rtd",,$A$2,"."&amp;K$135&amp;K$1&amp;"P"&amp;$A151))</f>
        <v>0</v>
      </c>
      <c r="L151" s="91">
        <f ca="1">IF(RTD("tos.rtd",,$A$2,"."&amp;L$135&amp;L$1&amp;"C"&amp;$A151)="N/A",0,RTD("tos.rtd",,$A$2,"."&amp;L$135&amp;L$1&amp;"C"&amp;$A151))-IF(RTD("tos.rtd",,$A$2,"."&amp;L$135&amp;L$1&amp;"P"&amp;$A151)="N/A",0,RTD("tos.rtd",,$A$2,"."&amp;L$135&amp;L$1&amp;"P"&amp;$A151))</f>
        <v>0</v>
      </c>
      <c r="M151" s="91">
        <f ca="1">IF(RTD("tos.rtd",,$A$2,"."&amp;M$135&amp;M$1&amp;"C"&amp;$A151)="N/A",0,RTD("tos.rtd",,$A$2,"."&amp;M$135&amp;M$1&amp;"C"&amp;$A151))-IF(RTD("tos.rtd",,$A$2,"."&amp;M$135&amp;M$1&amp;"P"&amp;$A151)="N/A",0,RTD("tos.rtd",,$A$2,"."&amp;M$135&amp;M$1&amp;"P"&amp;$A151))</f>
        <v>0</v>
      </c>
      <c r="N151" s="91">
        <f ca="1">IF(RTD("tos.rtd",,$A$2,"."&amp;N$135&amp;N$1&amp;"C"&amp;$A151)="N/A",0,RTD("tos.rtd",,$A$2,"."&amp;N$135&amp;N$1&amp;"C"&amp;$A151))-IF(RTD("tos.rtd",,$A$2,"."&amp;N$135&amp;N$1&amp;"P"&amp;$A151)="N/A",0,RTD("tos.rtd",,$A$2,"."&amp;N$135&amp;N$1&amp;"P"&amp;$A151))</f>
        <v>0</v>
      </c>
      <c r="O151" s="91">
        <f ca="1">IF(RTD("tos.rtd",,$A$2,"."&amp;O$135&amp;O$1&amp;"C"&amp;$A151)="N/A",0,RTD("tos.rtd",,$A$2,"."&amp;O$135&amp;O$1&amp;"C"&amp;$A151))-IF(RTD("tos.rtd",,$A$2,"."&amp;O$135&amp;O$1&amp;"P"&amp;$A151)="N/A",0,RTD("tos.rtd",,$A$2,"."&amp;O$135&amp;O$1&amp;"P"&amp;$A151))</f>
        <v>0</v>
      </c>
      <c r="P151" s="91">
        <f ca="1">IF(RTD("tos.rtd",,$A$2,"."&amp;P$135&amp;P$1&amp;"C"&amp;$A151)="N/A",0,RTD("tos.rtd",,$A$2,"."&amp;P$135&amp;P$1&amp;"C"&amp;$A151))-IF(RTD("tos.rtd",,$A$2,"."&amp;P$135&amp;P$1&amp;"P"&amp;$A151)="N/A",0,RTD("tos.rtd",,$A$2,"."&amp;P$135&amp;P$1&amp;"P"&amp;$A151))</f>
        <v>0</v>
      </c>
      <c r="Q151" s="91">
        <f ca="1">IF(RTD("tos.rtd",,$A$2,"."&amp;Q$135&amp;Q$1&amp;"C"&amp;$A151)="N/A",0,RTD("tos.rtd",,$A$2,"."&amp;Q$135&amp;Q$1&amp;"C"&amp;$A151))-IF(RTD("tos.rtd",,$A$2,"."&amp;Q$135&amp;Q$1&amp;"P"&amp;$A151)="N/A",0,RTD("tos.rtd",,$A$2,"."&amp;Q$135&amp;Q$1&amp;"P"&amp;$A151))</f>
        <v>0</v>
      </c>
      <c r="R151" s="91">
        <f ca="1">IF(RTD("tos.rtd",,$A$2,"."&amp;R$135&amp;R$1&amp;"C"&amp;$A151)="N/A",0,RTD("tos.rtd",,$A$2,"."&amp;R$135&amp;R$1&amp;"C"&amp;$A151))-IF(RTD("tos.rtd",,$A$2,"."&amp;R$135&amp;R$1&amp;"P"&amp;$A151)="N/A",0,RTD("tos.rtd",,$A$2,"."&amp;R$135&amp;R$1&amp;"P"&amp;$A151))</f>
        <v>0</v>
      </c>
      <c r="S151" s="91">
        <f ca="1">IF(RTD("tos.rtd",,$A$2,"."&amp;S$135&amp;S$1&amp;"C"&amp;$A151)="N/A",0,RTD("tos.rtd",,$A$2,"."&amp;S$135&amp;S$1&amp;"C"&amp;$A151))-IF(RTD("tos.rtd",,$A$2,"."&amp;S$135&amp;S$1&amp;"P"&amp;$A151)="N/A",0,RTD("tos.rtd",,$A$2,"."&amp;S$135&amp;S$1&amp;"P"&amp;$A151))</f>
        <v>0</v>
      </c>
      <c r="T151" s="91">
        <f ca="1">IF(RTD("tos.rtd",,$A$2,"."&amp;T$135&amp;T$1&amp;"C"&amp;$A151)="N/A",0,RTD("tos.rtd",,$A$2,"."&amp;T$135&amp;T$1&amp;"C"&amp;$A151))-IF(RTD("tos.rtd",,$A$2,"."&amp;T$135&amp;T$1&amp;"P"&amp;$A151)="N/A",0,RTD("tos.rtd",,$A$2,"."&amp;T$135&amp;T$1&amp;"P"&amp;$A151))</f>
        <v>0</v>
      </c>
      <c r="U151" s="91">
        <f ca="1">IF(RTD("tos.rtd",,$A$2,"."&amp;U$135&amp;U$1&amp;"C"&amp;$A151)="N/A",0,RTD("tos.rtd",,$A$2,"."&amp;U$135&amp;U$1&amp;"C"&amp;$A151))-IF(RTD("tos.rtd",,$A$2,"."&amp;U$135&amp;U$1&amp;"P"&amp;$A151)="N/A",0,RTD("tos.rtd",,$A$2,"."&amp;U$135&amp;U$1&amp;"P"&amp;$A151))</f>
        <v>0</v>
      </c>
      <c r="V151" s="91">
        <f ca="1">IF(RTD("tos.rtd",,$A$2,"."&amp;V$135&amp;V$1&amp;"C"&amp;$A151)="N/A",0,RTD("tos.rtd",,$A$2,"."&amp;V$135&amp;V$1&amp;"C"&amp;$A151))-IF(RTD("tos.rtd",,$A$2,"."&amp;V$135&amp;V$1&amp;"P"&amp;$A151)="N/A",0,RTD("tos.rtd",,$A$2,"."&amp;V$135&amp;V$1&amp;"P"&amp;$A151))</f>
        <v>0</v>
      </c>
      <c r="W151" s="91">
        <f ca="1">IF(RTD("tos.rtd",,$A$2,"."&amp;W$135&amp;W$1&amp;"C"&amp;$A151)="N/A",0,RTD("tos.rtd",,$A$2,"."&amp;W$135&amp;W$1&amp;"C"&amp;$A151))-IF(RTD("tos.rtd",,$A$2,"."&amp;W$135&amp;W$1&amp;"P"&amp;$A151)="N/A",0,RTD("tos.rtd",,$A$2,"."&amp;W$135&amp;W$1&amp;"P"&amp;$A151))</f>
        <v>0</v>
      </c>
      <c r="X151" s="91">
        <f ca="1">IF(RTD("tos.rtd",,$A$2,"."&amp;X$135&amp;X$1&amp;"C"&amp;$A151)="N/A",0,RTD("tos.rtd",,$A$2,"."&amp;X$135&amp;X$1&amp;"C"&amp;$A151))-IF(RTD("tos.rtd",,$A$2,"."&amp;X$135&amp;X$1&amp;"P"&amp;$A151)="N/A",0,RTD("tos.rtd",,$A$2,"."&amp;X$135&amp;X$1&amp;"P"&amp;$A151))</f>
        <v>0</v>
      </c>
      <c r="Y151" s="98">
        <f t="shared" ca="1" si="13"/>
        <v>0</v>
      </c>
      <c r="Z151" s="91"/>
      <c r="AA151" s="91"/>
    </row>
    <row r="152" spans="1:27" x14ac:dyDescent="0.25">
      <c r="A152" s="93">
        <f>+Hoja1!A151</f>
        <v>20100</v>
      </c>
      <c r="B152" s="91">
        <f ca="1">IF(RTD("tos.rtd",,$A$2,"."&amp;B$135&amp;B$1&amp;"C"&amp;$A152)="N/A",0,RTD("tos.rtd",,$A$2,"."&amp;B$135&amp;B$1&amp;"C"&amp;$A152))-IF(RTD("tos.rtd",,$A$2,"."&amp;B$135&amp;B$1&amp;"P"&amp;$A152)="N/A",0,RTD("tos.rtd",,$A$2,"."&amp;B$135&amp;B$1&amp;"P"&amp;$A152))</f>
        <v>0</v>
      </c>
      <c r="C152" s="91">
        <f ca="1">IF(RTD("tos.rtd",,$A$2,"."&amp;C$135&amp;C$1&amp;"C"&amp;$A152)="N/A",0,RTD("tos.rtd",,$A$2,"."&amp;C$135&amp;C$1&amp;"C"&amp;$A152))-IF(RTD("tos.rtd",,$A$2,"."&amp;C$135&amp;C$1&amp;"P"&amp;$A152)="N/A",0,RTD("tos.rtd",,$A$2,"."&amp;C$135&amp;C$1&amp;"P"&amp;$A152))</f>
        <v>0</v>
      </c>
      <c r="D152" s="91">
        <f ca="1">IF(RTD("tos.rtd",,$A$2,"."&amp;D$135&amp;D$1&amp;"C"&amp;$A152)="N/A",0,RTD("tos.rtd",,$A$2,"."&amp;D$135&amp;D$1&amp;"C"&amp;$A152))-IF(RTD("tos.rtd",,$A$2,"."&amp;D$135&amp;D$1&amp;"P"&amp;$A152)="N/A",0,RTD("tos.rtd",,$A$2,"."&amp;D$135&amp;D$1&amp;"P"&amp;$A152))</f>
        <v>0</v>
      </c>
      <c r="E152" s="91">
        <f ca="1">IF(RTD("tos.rtd",,$A$2,"."&amp;E$135&amp;E$1&amp;"C"&amp;$A152)="N/A",0,RTD("tos.rtd",,$A$2,"."&amp;E$135&amp;E$1&amp;"C"&amp;$A152))-IF(RTD("tos.rtd",,$A$2,"."&amp;E$135&amp;E$1&amp;"P"&amp;$A152)="N/A",0,RTD("tos.rtd",,$A$2,"."&amp;E$135&amp;E$1&amp;"P"&amp;$A152))</f>
        <v>0</v>
      </c>
      <c r="F152" s="91">
        <f ca="1">IF(RTD("tos.rtd",,$A$2,"."&amp;F$135&amp;F$1&amp;"C"&amp;$A152)="N/A",0,RTD("tos.rtd",,$A$2,"."&amp;F$135&amp;F$1&amp;"C"&amp;$A152))-IF(RTD("tos.rtd",,$A$2,"."&amp;F$135&amp;F$1&amp;"P"&amp;$A152)="N/A",0,RTD("tos.rtd",,$A$2,"."&amp;F$135&amp;F$1&amp;"P"&amp;$A152))</f>
        <v>0</v>
      </c>
      <c r="G152" s="91">
        <f ca="1">IF(RTD("tos.rtd",,$A$2,"."&amp;G$135&amp;G$1&amp;"C"&amp;$A152)="N/A",0,RTD("tos.rtd",,$A$2,"."&amp;G$135&amp;G$1&amp;"C"&amp;$A152))-IF(RTD("tos.rtd",,$A$2,"."&amp;G$135&amp;G$1&amp;"P"&amp;$A152)="N/A",0,RTD("tos.rtd",,$A$2,"."&amp;G$135&amp;G$1&amp;"P"&amp;$A152))</f>
        <v>0</v>
      </c>
      <c r="H152" s="91">
        <f ca="1">IF(RTD("tos.rtd",,$A$2,"."&amp;H$135&amp;H$1&amp;"C"&amp;$A152)="N/A",0,RTD("tos.rtd",,$A$2,"."&amp;H$135&amp;H$1&amp;"C"&amp;$A152))-IF(RTD("tos.rtd",,$A$2,"."&amp;H$135&amp;H$1&amp;"P"&amp;$A152)="N/A",0,RTD("tos.rtd",,$A$2,"."&amp;H$135&amp;H$1&amp;"P"&amp;$A152))</f>
        <v>0</v>
      </c>
      <c r="I152" s="91">
        <f ca="1">IF(RTD("tos.rtd",,$A$2,"."&amp;I$135&amp;I$1&amp;"C"&amp;$A152)="N/A",0,RTD("tos.rtd",,$A$2,"."&amp;I$135&amp;I$1&amp;"C"&amp;$A152))-IF(RTD("tos.rtd",,$A$2,"."&amp;I$135&amp;I$1&amp;"P"&amp;$A152)="N/A",0,RTD("tos.rtd",,$A$2,"."&amp;I$135&amp;I$1&amp;"P"&amp;$A152))</f>
        <v>1</v>
      </c>
      <c r="J152" s="91">
        <f ca="1">IF(RTD("tos.rtd",,$A$2,"."&amp;J$135&amp;J$1&amp;"C"&amp;$A152)="N/A",0,RTD("tos.rtd",,$A$2,"."&amp;J$135&amp;J$1&amp;"C"&amp;$A152))-IF(RTD("tos.rtd",,$A$2,"."&amp;J$135&amp;J$1&amp;"P"&amp;$A152)="N/A",0,RTD("tos.rtd",,$A$2,"."&amp;J$135&amp;J$1&amp;"P"&amp;$A152))</f>
        <v>1</v>
      </c>
      <c r="K152" s="91">
        <f ca="1">IF(RTD("tos.rtd",,$A$2,"."&amp;K$135&amp;K$1&amp;"C"&amp;$A152)="N/A",0,RTD("tos.rtd",,$A$2,"."&amp;K$135&amp;K$1&amp;"C"&amp;$A152))-IF(RTD("tos.rtd",,$A$2,"."&amp;K$135&amp;K$1&amp;"P"&amp;$A152)="N/A",0,RTD("tos.rtd",,$A$2,"."&amp;K$135&amp;K$1&amp;"P"&amp;$A152))</f>
        <v>-1</v>
      </c>
      <c r="L152" s="91">
        <f ca="1">IF(RTD("tos.rtd",,$A$2,"."&amp;L$135&amp;L$1&amp;"C"&amp;$A152)="N/A",0,RTD("tos.rtd",,$A$2,"."&amp;L$135&amp;L$1&amp;"C"&amp;$A152))-IF(RTD("tos.rtd",,$A$2,"."&amp;L$135&amp;L$1&amp;"P"&amp;$A152)="N/A",0,RTD("tos.rtd",,$A$2,"."&amp;L$135&amp;L$1&amp;"P"&amp;$A152))</f>
        <v>0</v>
      </c>
      <c r="M152" s="91">
        <f ca="1">IF(RTD("tos.rtd",,$A$2,"."&amp;M$135&amp;M$1&amp;"C"&amp;$A152)="N/A",0,RTD("tos.rtd",,$A$2,"."&amp;M$135&amp;M$1&amp;"C"&amp;$A152))-IF(RTD("tos.rtd",,$A$2,"."&amp;M$135&amp;M$1&amp;"P"&amp;$A152)="N/A",0,RTD("tos.rtd",,$A$2,"."&amp;M$135&amp;M$1&amp;"P"&amp;$A152))</f>
        <v>-1</v>
      </c>
      <c r="N152" s="91">
        <f ca="1">IF(RTD("tos.rtd",,$A$2,"."&amp;N$135&amp;N$1&amp;"C"&amp;$A152)="N/A",0,RTD("tos.rtd",,$A$2,"."&amp;N$135&amp;N$1&amp;"C"&amp;$A152))-IF(RTD("tos.rtd",,$A$2,"."&amp;N$135&amp;N$1&amp;"P"&amp;$A152)="N/A",0,RTD("tos.rtd",,$A$2,"."&amp;N$135&amp;N$1&amp;"P"&amp;$A152))</f>
        <v>0</v>
      </c>
      <c r="O152" s="91">
        <f ca="1">IF(RTD("tos.rtd",,$A$2,"."&amp;O$135&amp;O$1&amp;"C"&amp;$A152)="N/A",0,RTD("tos.rtd",,$A$2,"."&amp;O$135&amp;O$1&amp;"C"&amp;$A152))-IF(RTD("tos.rtd",,$A$2,"."&amp;O$135&amp;O$1&amp;"P"&amp;$A152)="N/A",0,RTD("tos.rtd",,$A$2,"."&amp;O$135&amp;O$1&amp;"P"&amp;$A152))</f>
        <v>0</v>
      </c>
      <c r="P152" s="91">
        <f ca="1">IF(RTD("tos.rtd",,$A$2,"."&amp;P$135&amp;P$1&amp;"C"&amp;$A152)="N/A",0,RTD("tos.rtd",,$A$2,"."&amp;P$135&amp;P$1&amp;"C"&amp;$A152))-IF(RTD("tos.rtd",,$A$2,"."&amp;P$135&amp;P$1&amp;"P"&amp;$A152)="N/A",0,RTD("tos.rtd",,$A$2,"."&amp;P$135&amp;P$1&amp;"P"&amp;$A152))</f>
        <v>0</v>
      </c>
      <c r="Q152" s="91">
        <f ca="1">IF(RTD("tos.rtd",,$A$2,"."&amp;Q$135&amp;Q$1&amp;"C"&amp;$A152)="N/A",0,RTD("tos.rtd",,$A$2,"."&amp;Q$135&amp;Q$1&amp;"C"&amp;$A152))-IF(RTD("tos.rtd",,$A$2,"."&amp;Q$135&amp;Q$1&amp;"P"&amp;$A152)="N/A",0,RTD("tos.rtd",,$A$2,"."&amp;Q$135&amp;Q$1&amp;"P"&amp;$A152))</f>
        <v>-1</v>
      </c>
      <c r="R152" s="91">
        <f ca="1">IF(RTD("tos.rtd",,$A$2,"."&amp;R$135&amp;R$1&amp;"C"&amp;$A152)="N/A",0,RTD("tos.rtd",,$A$2,"."&amp;R$135&amp;R$1&amp;"C"&amp;$A152))-IF(RTD("tos.rtd",,$A$2,"."&amp;R$135&amp;R$1&amp;"P"&amp;$A152)="N/A",0,RTD("tos.rtd",,$A$2,"."&amp;R$135&amp;R$1&amp;"P"&amp;$A152))</f>
        <v>2</v>
      </c>
      <c r="S152" s="91">
        <f ca="1">IF(RTD("tos.rtd",,$A$2,"."&amp;S$135&amp;S$1&amp;"C"&amp;$A152)="N/A",0,RTD("tos.rtd",,$A$2,"."&amp;S$135&amp;S$1&amp;"C"&amp;$A152))-IF(RTD("tos.rtd",,$A$2,"."&amp;S$135&amp;S$1&amp;"P"&amp;$A152)="N/A",0,RTD("tos.rtd",,$A$2,"."&amp;S$135&amp;S$1&amp;"P"&amp;$A152))</f>
        <v>0</v>
      </c>
      <c r="T152" s="91">
        <f ca="1">IF(RTD("tos.rtd",,$A$2,"."&amp;T$135&amp;T$1&amp;"C"&amp;$A152)="N/A",0,RTD("tos.rtd",,$A$2,"."&amp;T$135&amp;T$1&amp;"C"&amp;$A152))-IF(RTD("tos.rtd",,$A$2,"."&amp;T$135&amp;T$1&amp;"P"&amp;$A152)="N/A",0,RTD("tos.rtd",,$A$2,"."&amp;T$135&amp;T$1&amp;"P"&amp;$A152))</f>
        <v>0</v>
      </c>
      <c r="U152" s="91">
        <f ca="1">IF(RTD("tos.rtd",,$A$2,"."&amp;U$135&amp;U$1&amp;"C"&amp;$A152)="N/A",0,RTD("tos.rtd",,$A$2,"."&amp;U$135&amp;U$1&amp;"C"&amp;$A152))-IF(RTD("tos.rtd",,$A$2,"."&amp;U$135&amp;U$1&amp;"P"&amp;$A152)="N/A",0,RTD("tos.rtd",,$A$2,"."&amp;U$135&amp;U$1&amp;"P"&amp;$A152))</f>
        <v>0</v>
      </c>
      <c r="V152" s="91">
        <f ca="1">IF(RTD("tos.rtd",,$A$2,"."&amp;V$135&amp;V$1&amp;"C"&amp;$A152)="N/A",0,RTD("tos.rtd",,$A$2,"."&amp;V$135&amp;V$1&amp;"C"&amp;$A152))-IF(RTD("tos.rtd",,$A$2,"."&amp;V$135&amp;V$1&amp;"P"&amp;$A152)="N/A",0,RTD("tos.rtd",,$A$2,"."&amp;V$135&amp;V$1&amp;"P"&amp;$A152))</f>
        <v>0</v>
      </c>
      <c r="W152" s="91">
        <f ca="1">IF(RTD("tos.rtd",,$A$2,"."&amp;W$135&amp;W$1&amp;"C"&amp;$A152)="N/A",0,RTD("tos.rtd",,$A$2,"."&amp;W$135&amp;W$1&amp;"C"&amp;$A152))-IF(RTD("tos.rtd",,$A$2,"."&amp;W$135&amp;W$1&amp;"P"&amp;$A152)="N/A",0,RTD("tos.rtd",,$A$2,"."&amp;W$135&amp;W$1&amp;"P"&amp;$A152))</f>
        <v>0</v>
      </c>
      <c r="X152" s="91">
        <f ca="1">IF(RTD("tos.rtd",,$A$2,"."&amp;X$135&amp;X$1&amp;"C"&amp;$A152)="N/A",0,RTD("tos.rtd",,$A$2,"."&amp;X$135&amp;X$1&amp;"C"&amp;$A152))-IF(RTD("tos.rtd",,$A$2,"."&amp;X$135&amp;X$1&amp;"P"&amp;$A152)="N/A",0,RTD("tos.rtd",,$A$2,"."&amp;X$135&amp;X$1&amp;"P"&amp;$A152))</f>
        <v>0</v>
      </c>
      <c r="Y152" s="98">
        <f t="shared" ca="1" si="13"/>
        <v>1</v>
      </c>
      <c r="Z152" s="91"/>
      <c r="AA152" s="91"/>
    </row>
    <row r="153" spans="1:27" x14ac:dyDescent="0.25">
      <c r="A153" s="93">
        <f>+Hoja1!A152</f>
        <v>20075</v>
      </c>
      <c r="B153" s="91">
        <f ca="1">IF(RTD("tos.rtd",,$A$2,"."&amp;B$135&amp;B$1&amp;"C"&amp;$A153)="N/A",0,RTD("tos.rtd",,$A$2,"."&amp;B$135&amp;B$1&amp;"C"&amp;$A153))-IF(RTD("tos.rtd",,$A$2,"."&amp;B$135&amp;B$1&amp;"P"&amp;$A153)="N/A",0,RTD("tos.rtd",,$A$2,"."&amp;B$135&amp;B$1&amp;"P"&amp;$A153))</f>
        <v>0</v>
      </c>
      <c r="C153" s="91">
        <f ca="1">IF(RTD("tos.rtd",,$A$2,"."&amp;C$135&amp;C$1&amp;"C"&amp;$A153)="N/A",0,RTD("tos.rtd",,$A$2,"."&amp;C$135&amp;C$1&amp;"C"&amp;$A153))-IF(RTD("tos.rtd",,$A$2,"."&amp;C$135&amp;C$1&amp;"P"&amp;$A153)="N/A",0,RTD("tos.rtd",,$A$2,"."&amp;C$135&amp;C$1&amp;"P"&amp;$A153))</f>
        <v>0</v>
      </c>
      <c r="D153" s="91">
        <f ca="1">IF(RTD("tos.rtd",,$A$2,"."&amp;D$135&amp;D$1&amp;"C"&amp;$A153)="N/A",0,RTD("tos.rtd",,$A$2,"."&amp;D$135&amp;D$1&amp;"C"&amp;$A153))-IF(RTD("tos.rtd",,$A$2,"."&amp;D$135&amp;D$1&amp;"P"&amp;$A153)="N/A",0,RTD("tos.rtd",,$A$2,"."&amp;D$135&amp;D$1&amp;"P"&amp;$A153))</f>
        <v>0</v>
      </c>
      <c r="E153" s="91">
        <f ca="1">IF(RTD("tos.rtd",,$A$2,"."&amp;E$135&amp;E$1&amp;"C"&amp;$A153)="N/A",0,RTD("tos.rtd",,$A$2,"."&amp;E$135&amp;E$1&amp;"C"&amp;$A153))-IF(RTD("tos.rtd",,$A$2,"."&amp;E$135&amp;E$1&amp;"P"&amp;$A153)="N/A",0,RTD("tos.rtd",,$A$2,"."&amp;E$135&amp;E$1&amp;"P"&amp;$A153))</f>
        <v>0</v>
      </c>
      <c r="F153" s="91">
        <f ca="1">IF(RTD("tos.rtd",,$A$2,"."&amp;F$135&amp;F$1&amp;"C"&amp;$A153)="N/A",0,RTD("tos.rtd",,$A$2,"."&amp;F$135&amp;F$1&amp;"C"&amp;$A153))-IF(RTD("tos.rtd",,$A$2,"."&amp;F$135&amp;F$1&amp;"P"&amp;$A153)="N/A",0,RTD("tos.rtd",,$A$2,"."&amp;F$135&amp;F$1&amp;"P"&amp;$A153))</f>
        <v>0</v>
      </c>
      <c r="G153" s="91">
        <f ca="1">IF(RTD("tos.rtd",,$A$2,"."&amp;G$135&amp;G$1&amp;"C"&amp;$A153)="N/A",0,RTD("tos.rtd",,$A$2,"."&amp;G$135&amp;G$1&amp;"C"&amp;$A153))-IF(RTD("tos.rtd",,$A$2,"."&amp;G$135&amp;G$1&amp;"P"&amp;$A153)="N/A",0,RTD("tos.rtd",,$A$2,"."&amp;G$135&amp;G$1&amp;"P"&amp;$A153))</f>
        <v>0</v>
      </c>
      <c r="H153" s="91">
        <f ca="1">IF(RTD("tos.rtd",,$A$2,"."&amp;H$135&amp;H$1&amp;"C"&amp;$A153)="N/A",0,RTD("tos.rtd",,$A$2,"."&amp;H$135&amp;H$1&amp;"C"&amp;$A153))-IF(RTD("tos.rtd",,$A$2,"."&amp;H$135&amp;H$1&amp;"P"&amp;$A153)="N/A",0,RTD("tos.rtd",,$A$2,"."&amp;H$135&amp;H$1&amp;"P"&amp;$A153))</f>
        <v>0</v>
      </c>
      <c r="I153" s="91">
        <f ca="1">IF(RTD("tos.rtd",,$A$2,"."&amp;I$135&amp;I$1&amp;"C"&amp;$A153)="N/A",0,RTD("tos.rtd",,$A$2,"."&amp;I$135&amp;I$1&amp;"C"&amp;$A153))-IF(RTD("tos.rtd",,$A$2,"."&amp;I$135&amp;I$1&amp;"P"&amp;$A153)="N/A",0,RTD("tos.rtd",,$A$2,"."&amp;I$135&amp;I$1&amp;"P"&amp;$A153))</f>
        <v>0</v>
      </c>
      <c r="J153" s="91">
        <f ca="1">IF(RTD("tos.rtd",,$A$2,"."&amp;J$135&amp;J$1&amp;"C"&amp;$A153)="N/A",0,RTD("tos.rtd",,$A$2,"."&amp;J$135&amp;J$1&amp;"C"&amp;$A153))-IF(RTD("tos.rtd",,$A$2,"."&amp;J$135&amp;J$1&amp;"P"&amp;$A153)="N/A",0,RTD("tos.rtd",,$A$2,"."&amp;J$135&amp;J$1&amp;"P"&amp;$A153))</f>
        <v>0</v>
      </c>
      <c r="K153" s="91">
        <f ca="1">IF(RTD("tos.rtd",,$A$2,"."&amp;K$135&amp;K$1&amp;"C"&amp;$A153)="N/A",0,RTD("tos.rtd",,$A$2,"."&amp;K$135&amp;K$1&amp;"C"&amp;$A153))-IF(RTD("tos.rtd",,$A$2,"."&amp;K$135&amp;K$1&amp;"P"&amp;$A153)="N/A",0,RTD("tos.rtd",,$A$2,"."&amp;K$135&amp;K$1&amp;"P"&amp;$A153))</f>
        <v>1</v>
      </c>
      <c r="L153" s="91">
        <f ca="1">IF(RTD("tos.rtd",,$A$2,"."&amp;L$135&amp;L$1&amp;"C"&amp;$A153)="N/A",0,RTD("tos.rtd",,$A$2,"."&amp;L$135&amp;L$1&amp;"C"&amp;$A153))-IF(RTD("tos.rtd",,$A$2,"."&amp;L$135&amp;L$1&amp;"P"&amp;$A153)="N/A",0,RTD("tos.rtd",,$A$2,"."&amp;L$135&amp;L$1&amp;"P"&amp;$A153))</f>
        <v>0</v>
      </c>
      <c r="M153" s="91">
        <f ca="1">IF(RTD("tos.rtd",,$A$2,"."&amp;M$135&amp;M$1&amp;"C"&amp;$A153)="N/A",0,RTD("tos.rtd",,$A$2,"."&amp;M$135&amp;M$1&amp;"C"&amp;$A153))-IF(RTD("tos.rtd",,$A$2,"."&amp;M$135&amp;M$1&amp;"P"&amp;$A153)="N/A",0,RTD("tos.rtd",,$A$2,"."&amp;M$135&amp;M$1&amp;"P"&amp;$A153))</f>
        <v>0</v>
      </c>
      <c r="N153" s="91">
        <f ca="1">IF(RTD("tos.rtd",,$A$2,"."&amp;N$135&amp;N$1&amp;"C"&amp;$A153)="N/A",0,RTD("tos.rtd",,$A$2,"."&amp;N$135&amp;N$1&amp;"C"&amp;$A153))-IF(RTD("tos.rtd",,$A$2,"."&amp;N$135&amp;N$1&amp;"P"&amp;$A153)="N/A",0,RTD("tos.rtd",,$A$2,"."&amp;N$135&amp;N$1&amp;"P"&amp;$A153))</f>
        <v>0</v>
      </c>
      <c r="O153" s="91">
        <f ca="1">IF(RTD("tos.rtd",,$A$2,"."&amp;O$135&amp;O$1&amp;"C"&amp;$A153)="N/A",0,RTD("tos.rtd",,$A$2,"."&amp;O$135&amp;O$1&amp;"C"&amp;$A153))-IF(RTD("tos.rtd",,$A$2,"."&amp;O$135&amp;O$1&amp;"P"&amp;$A153)="N/A",0,RTD("tos.rtd",,$A$2,"."&amp;O$135&amp;O$1&amp;"P"&amp;$A153))</f>
        <v>0</v>
      </c>
      <c r="P153" s="91">
        <f ca="1">IF(RTD("tos.rtd",,$A$2,"."&amp;P$135&amp;P$1&amp;"C"&amp;$A153)="N/A",0,RTD("tos.rtd",,$A$2,"."&amp;P$135&amp;P$1&amp;"C"&amp;$A153))-IF(RTD("tos.rtd",,$A$2,"."&amp;P$135&amp;P$1&amp;"P"&amp;$A153)="N/A",0,RTD("tos.rtd",,$A$2,"."&amp;P$135&amp;P$1&amp;"P"&amp;$A153))</f>
        <v>0</v>
      </c>
      <c r="Q153" s="91">
        <f ca="1">IF(RTD("tos.rtd",,$A$2,"."&amp;Q$135&amp;Q$1&amp;"C"&amp;$A153)="N/A",0,RTD("tos.rtd",,$A$2,"."&amp;Q$135&amp;Q$1&amp;"C"&amp;$A153))-IF(RTD("tos.rtd",,$A$2,"."&amp;Q$135&amp;Q$1&amp;"P"&amp;$A153)="N/A",0,RTD("tos.rtd",,$A$2,"."&amp;Q$135&amp;Q$1&amp;"P"&amp;$A153))</f>
        <v>0</v>
      </c>
      <c r="R153" s="91">
        <f ca="1">IF(RTD("tos.rtd",,$A$2,"."&amp;R$135&amp;R$1&amp;"C"&amp;$A153)="N/A",0,RTD("tos.rtd",,$A$2,"."&amp;R$135&amp;R$1&amp;"C"&amp;$A153))-IF(RTD("tos.rtd",,$A$2,"."&amp;R$135&amp;R$1&amp;"P"&amp;$A153)="N/A",0,RTD("tos.rtd",,$A$2,"."&amp;R$135&amp;R$1&amp;"P"&amp;$A153))</f>
        <v>0</v>
      </c>
      <c r="S153" s="91">
        <f ca="1">IF(RTD("tos.rtd",,$A$2,"."&amp;S$135&amp;S$1&amp;"C"&amp;$A153)="N/A",0,RTD("tos.rtd",,$A$2,"."&amp;S$135&amp;S$1&amp;"C"&amp;$A153))-IF(RTD("tos.rtd",,$A$2,"."&amp;S$135&amp;S$1&amp;"P"&amp;$A153)="N/A",0,RTD("tos.rtd",,$A$2,"."&amp;S$135&amp;S$1&amp;"P"&amp;$A153))</f>
        <v>0</v>
      </c>
      <c r="T153" s="91">
        <f ca="1">IF(RTD("tos.rtd",,$A$2,"."&amp;T$135&amp;T$1&amp;"C"&amp;$A153)="N/A",0,RTD("tos.rtd",,$A$2,"."&amp;T$135&amp;T$1&amp;"C"&amp;$A153))-IF(RTD("tos.rtd",,$A$2,"."&amp;T$135&amp;T$1&amp;"P"&amp;$A153)="N/A",0,RTD("tos.rtd",,$A$2,"."&amp;T$135&amp;T$1&amp;"P"&amp;$A153))</f>
        <v>0</v>
      </c>
      <c r="U153" s="91">
        <f ca="1">IF(RTD("tos.rtd",,$A$2,"."&amp;U$135&amp;U$1&amp;"C"&amp;$A153)="N/A",0,RTD("tos.rtd",,$A$2,"."&amp;U$135&amp;U$1&amp;"C"&amp;$A153))-IF(RTD("tos.rtd",,$A$2,"."&amp;U$135&amp;U$1&amp;"P"&amp;$A153)="N/A",0,RTD("tos.rtd",,$A$2,"."&amp;U$135&amp;U$1&amp;"P"&amp;$A153))</f>
        <v>0</v>
      </c>
      <c r="V153" s="91">
        <f ca="1">IF(RTD("tos.rtd",,$A$2,"."&amp;V$135&amp;V$1&amp;"C"&amp;$A153)="N/A",0,RTD("tos.rtd",,$A$2,"."&amp;V$135&amp;V$1&amp;"C"&amp;$A153))-IF(RTD("tos.rtd",,$A$2,"."&amp;V$135&amp;V$1&amp;"P"&amp;$A153)="N/A",0,RTD("tos.rtd",,$A$2,"."&amp;V$135&amp;V$1&amp;"P"&amp;$A153))</f>
        <v>0</v>
      </c>
      <c r="W153" s="91">
        <f ca="1">IF(RTD("tos.rtd",,$A$2,"."&amp;W$135&amp;W$1&amp;"C"&amp;$A153)="N/A",0,RTD("tos.rtd",,$A$2,"."&amp;W$135&amp;W$1&amp;"C"&amp;$A153))-IF(RTD("tos.rtd",,$A$2,"."&amp;W$135&amp;W$1&amp;"P"&amp;$A153)="N/A",0,RTD("tos.rtd",,$A$2,"."&amp;W$135&amp;W$1&amp;"P"&amp;$A153))</f>
        <v>0</v>
      </c>
      <c r="X153" s="91">
        <f ca="1">IF(RTD("tos.rtd",,$A$2,"."&amp;X$135&amp;X$1&amp;"C"&amp;$A153)="N/A",0,RTD("tos.rtd",,$A$2,"."&amp;X$135&amp;X$1&amp;"C"&amp;$A153))-IF(RTD("tos.rtd",,$A$2,"."&amp;X$135&amp;X$1&amp;"P"&amp;$A153)="N/A",0,RTD("tos.rtd",,$A$2,"."&amp;X$135&amp;X$1&amp;"P"&amp;$A153))</f>
        <v>0</v>
      </c>
      <c r="Y153" s="98">
        <f t="shared" ca="1" si="13"/>
        <v>1</v>
      </c>
      <c r="Z153" s="91"/>
      <c r="AA153" s="91"/>
    </row>
    <row r="154" spans="1:27" x14ac:dyDescent="0.25">
      <c r="A154" s="93">
        <f>+Hoja1!A153</f>
        <v>20050</v>
      </c>
      <c r="B154" s="91">
        <f ca="1">IF(RTD("tos.rtd",,$A$2,"."&amp;B$135&amp;B$1&amp;"C"&amp;$A154)="N/A",0,RTD("tos.rtd",,$A$2,"."&amp;B$135&amp;B$1&amp;"C"&amp;$A154))-IF(RTD("tos.rtd",,$A$2,"."&amp;B$135&amp;B$1&amp;"P"&amp;$A154)="N/A",0,RTD("tos.rtd",,$A$2,"."&amp;B$135&amp;B$1&amp;"P"&amp;$A154))</f>
        <v>0</v>
      </c>
      <c r="C154" s="91">
        <f ca="1">IF(RTD("tos.rtd",,$A$2,"."&amp;C$135&amp;C$1&amp;"C"&amp;$A154)="N/A",0,RTD("tos.rtd",,$A$2,"."&amp;C$135&amp;C$1&amp;"C"&amp;$A154))-IF(RTD("tos.rtd",,$A$2,"."&amp;C$135&amp;C$1&amp;"P"&amp;$A154)="N/A",0,RTD("tos.rtd",,$A$2,"."&amp;C$135&amp;C$1&amp;"P"&amp;$A154))</f>
        <v>0</v>
      </c>
      <c r="D154" s="91">
        <f ca="1">IF(RTD("tos.rtd",,$A$2,"."&amp;D$135&amp;D$1&amp;"C"&amp;$A154)="N/A",0,RTD("tos.rtd",,$A$2,"."&amp;D$135&amp;D$1&amp;"C"&amp;$A154))-IF(RTD("tos.rtd",,$A$2,"."&amp;D$135&amp;D$1&amp;"P"&amp;$A154)="N/A",0,RTD("tos.rtd",,$A$2,"."&amp;D$135&amp;D$1&amp;"P"&amp;$A154))</f>
        <v>0</v>
      </c>
      <c r="E154" s="91">
        <f ca="1">IF(RTD("tos.rtd",,$A$2,"."&amp;E$135&amp;E$1&amp;"C"&amp;$A154)="N/A",0,RTD("tos.rtd",,$A$2,"."&amp;E$135&amp;E$1&amp;"C"&amp;$A154))-IF(RTD("tos.rtd",,$A$2,"."&amp;E$135&amp;E$1&amp;"P"&amp;$A154)="N/A",0,RTD("tos.rtd",,$A$2,"."&amp;E$135&amp;E$1&amp;"P"&amp;$A154))</f>
        <v>0</v>
      </c>
      <c r="F154" s="91">
        <f ca="1">IF(RTD("tos.rtd",,$A$2,"."&amp;F$135&amp;F$1&amp;"C"&amp;$A154)="N/A",0,RTD("tos.rtd",,$A$2,"."&amp;F$135&amp;F$1&amp;"C"&amp;$A154))-IF(RTD("tos.rtd",,$A$2,"."&amp;F$135&amp;F$1&amp;"P"&amp;$A154)="N/A",0,RTD("tos.rtd",,$A$2,"."&amp;F$135&amp;F$1&amp;"P"&amp;$A154))</f>
        <v>0</v>
      </c>
      <c r="G154" s="91">
        <f ca="1">IF(RTD("tos.rtd",,$A$2,"."&amp;G$135&amp;G$1&amp;"C"&amp;$A154)="N/A",0,RTD("tos.rtd",,$A$2,"."&amp;G$135&amp;G$1&amp;"C"&amp;$A154))-IF(RTD("tos.rtd",,$A$2,"."&amp;G$135&amp;G$1&amp;"P"&amp;$A154)="N/A",0,RTD("tos.rtd",,$A$2,"."&amp;G$135&amp;G$1&amp;"P"&amp;$A154))</f>
        <v>0</v>
      </c>
      <c r="H154" s="91">
        <f ca="1">IF(RTD("tos.rtd",,$A$2,"."&amp;H$135&amp;H$1&amp;"C"&amp;$A154)="N/A",0,RTD("tos.rtd",,$A$2,"."&amp;H$135&amp;H$1&amp;"C"&amp;$A154))-IF(RTD("tos.rtd",,$A$2,"."&amp;H$135&amp;H$1&amp;"P"&amp;$A154)="N/A",0,RTD("tos.rtd",,$A$2,"."&amp;H$135&amp;H$1&amp;"P"&amp;$A154))</f>
        <v>0</v>
      </c>
      <c r="I154" s="91">
        <f ca="1">IF(RTD("tos.rtd",,$A$2,"."&amp;I$135&amp;I$1&amp;"C"&amp;$A154)="N/A",0,RTD("tos.rtd",,$A$2,"."&amp;I$135&amp;I$1&amp;"C"&amp;$A154))-IF(RTD("tos.rtd",,$A$2,"."&amp;I$135&amp;I$1&amp;"P"&amp;$A154)="N/A",0,RTD("tos.rtd",,$A$2,"."&amp;I$135&amp;I$1&amp;"P"&amp;$A154))</f>
        <v>2</v>
      </c>
      <c r="J154" s="91">
        <f ca="1">IF(RTD("tos.rtd",,$A$2,"."&amp;J$135&amp;J$1&amp;"C"&amp;$A154)="N/A",0,RTD("tos.rtd",,$A$2,"."&amp;J$135&amp;J$1&amp;"C"&amp;$A154))-IF(RTD("tos.rtd",,$A$2,"."&amp;J$135&amp;J$1&amp;"P"&amp;$A154)="N/A",0,RTD("tos.rtd",,$A$2,"."&amp;J$135&amp;J$1&amp;"P"&amp;$A154))</f>
        <v>0</v>
      </c>
      <c r="K154" s="91">
        <f ca="1">IF(RTD("tos.rtd",,$A$2,"."&amp;K$135&amp;K$1&amp;"C"&amp;$A154)="N/A",0,RTD("tos.rtd",,$A$2,"."&amp;K$135&amp;K$1&amp;"C"&amp;$A154))-IF(RTD("tos.rtd",,$A$2,"."&amp;K$135&amp;K$1&amp;"P"&amp;$A154)="N/A",0,RTD("tos.rtd",,$A$2,"."&amp;K$135&amp;K$1&amp;"P"&amp;$A154))</f>
        <v>30</v>
      </c>
      <c r="L154" s="91">
        <f ca="1">IF(RTD("tos.rtd",,$A$2,"."&amp;L$135&amp;L$1&amp;"C"&amp;$A154)="N/A",0,RTD("tos.rtd",,$A$2,"."&amp;L$135&amp;L$1&amp;"C"&amp;$A154))-IF(RTD("tos.rtd",,$A$2,"."&amp;L$135&amp;L$1&amp;"P"&amp;$A154)="N/A",0,RTD("tos.rtd",,$A$2,"."&amp;L$135&amp;L$1&amp;"P"&amp;$A154))</f>
        <v>0</v>
      </c>
      <c r="M154" s="91">
        <f ca="1">IF(RTD("tos.rtd",,$A$2,"."&amp;M$135&amp;M$1&amp;"C"&amp;$A154)="N/A",0,RTD("tos.rtd",,$A$2,"."&amp;M$135&amp;M$1&amp;"C"&amp;$A154))-IF(RTD("tos.rtd",,$A$2,"."&amp;M$135&amp;M$1&amp;"P"&amp;$A154)="N/A",0,RTD("tos.rtd",,$A$2,"."&amp;M$135&amp;M$1&amp;"P"&amp;$A154))</f>
        <v>0</v>
      </c>
      <c r="N154" s="91">
        <f ca="1">IF(RTD("tos.rtd",,$A$2,"."&amp;N$135&amp;N$1&amp;"C"&amp;$A154)="N/A",0,RTD("tos.rtd",,$A$2,"."&amp;N$135&amp;N$1&amp;"C"&amp;$A154))-IF(RTD("tos.rtd",,$A$2,"."&amp;N$135&amp;N$1&amp;"P"&amp;$A154)="N/A",0,RTD("tos.rtd",,$A$2,"."&amp;N$135&amp;N$1&amp;"P"&amp;$A154))</f>
        <v>0</v>
      </c>
      <c r="O154" s="91">
        <f ca="1">IF(RTD("tos.rtd",,$A$2,"."&amp;O$135&amp;O$1&amp;"C"&amp;$A154)="N/A",0,RTD("tos.rtd",,$A$2,"."&amp;O$135&amp;O$1&amp;"C"&amp;$A154))-IF(RTD("tos.rtd",,$A$2,"."&amp;O$135&amp;O$1&amp;"P"&amp;$A154)="N/A",0,RTD("tos.rtd",,$A$2,"."&amp;O$135&amp;O$1&amp;"P"&amp;$A154))</f>
        <v>0</v>
      </c>
      <c r="P154" s="91">
        <f ca="1">IF(RTD("tos.rtd",,$A$2,"."&amp;P$135&amp;P$1&amp;"C"&amp;$A154)="N/A",0,RTD("tos.rtd",,$A$2,"."&amp;P$135&amp;P$1&amp;"C"&amp;$A154))-IF(RTD("tos.rtd",,$A$2,"."&amp;P$135&amp;P$1&amp;"P"&amp;$A154)="N/A",0,RTD("tos.rtd",,$A$2,"."&amp;P$135&amp;P$1&amp;"P"&amp;$A154))</f>
        <v>0</v>
      </c>
      <c r="Q154" s="91">
        <f ca="1">IF(RTD("tos.rtd",,$A$2,"."&amp;Q$135&amp;Q$1&amp;"C"&amp;$A154)="N/A",0,RTD("tos.rtd",,$A$2,"."&amp;Q$135&amp;Q$1&amp;"C"&amp;$A154))-IF(RTD("tos.rtd",,$A$2,"."&amp;Q$135&amp;Q$1&amp;"P"&amp;$A154)="N/A",0,RTD("tos.rtd",,$A$2,"."&amp;Q$135&amp;Q$1&amp;"P"&amp;$A154))</f>
        <v>0</v>
      </c>
      <c r="R154" s="91">
        <f ca="1">IF(RTD("tos.rtd",,$A$2,"."&amp;R$135&amp;R$1&amp;"C"&amp;$A154)="N/A",0,RTD("tos.rtd",,$A$2,"."&amp;R$135&amp;R$1&amp;"C"&amp;$A154))-IF(RTD("tos.rtd",,$A$2,"."&amp;R$135&amp;R$1&amp;"P"&amp;$A154)="N/A",0,RTD("tos.rtd",,$A$2,"."&amp;R$135&amp;R$1&amp;"P"&amp;$A154))</f>
        <v>0</v>
      </c>
      <c r="S154" s="91">
        <f ca="1">IF(RTD("tos.rtd",,$A$2,"."&amp;S$135&amp;S$1&amp;"C"&amp;$A154)="N/A",0,RTD("tos.rtd",,$A$2,"."&amp;S$135&amp;S$1&amp;"C"&amp;$A154))-IF(RTD("tos.rtd",,$A$2,"."&amp;S$135&amp;S$1&amp;"P"&amp;$A154)="N/A",0,RTD("tos.rtd",,$A$2,"."&amp;S$135&amp;S$1&amp;"P"&amp;$A154))</f>
        <v>0</v>
      </c>
      <c r="T154" s="91">
        <f ca="1">IF(RTD("tos.rtd",,$A$2,"."&amp;T$135&amp;T$1&amp;"C"&amp;$A154)="N/A",0,RTD("tos.rtd",,$A$2,"."&amp;T$135&amp;T$1&amp;"C"&amp;$A154))-IF(RTD("tos.rtd",,$A$2,"."&amp;T$135&amp;T$1&amp;"P"&amp;$A154)="N/A",0,RTD("tos.rtd",,$A$2,"."&amp;T$135&amp;T$1&amp;"P"&amp;$A154))</f>
        <v>0</v>
      </c>
      <c r="U154" s="91">
        <f ca="1">IF(RTD("tos.rtd",,$A$2,"."&amp;U$135&amp;U$1&amp;"C"&amp;$A154)="N/A",0,RTD("tos.rtd",,$A$2,"."&amp;U$135&amp;U$1&amp;"C"&amp;$A154))-IF(RTD("tos.rtd",,$A$2,"."&amp;U$135&amp;U$1&amp;"P"&amp;$A154)="N/A",0,RTD("tos.rtd",,$A$2,"."&amp;U$135&amp;U$1&amp;"P"&amp;$A154))</f>
        <v>0</v>
      </c>
      <c r="V154" s="91">
        <f ca="1">IF(RTD("tos.rtd",,$A$2,"."&amp;V$135&amp;V$1&amp;"C"&amp;$A154)="N/A",0,RTD("tos.rtd",,$A$2,"."&amp;V$135&amp;V$1&amp;"C"&amp;$A154))-IF(RTD("tos.rtd",,$A$2,"."&amp;V$135&amp;V$1&amp;"P"&amp;$A154)="N/A",0,RTD("tos.rtd",,$A$2,"."&amp;V$135&amp;V$1&amp;"P"&amp;$A154))</f>
        <v>0</v>
      </c>
      <c r="W154" s="91">
        <f ca="1">IF(RTD("tos.rtd",,$A$2,"."&amp;W$135&amp;W$1&amp;"C"&amp;$A154)="N/A",0,RTD("tos.rtd",,$A$2,"."&amp;W$135&amp;W$1&amp;"C"&amp;$A154))-IF(RTD("tos.rtd",,$A$2,"."&amp;W$135&amp;W$1&amp;"P"&amp;$A154)="N/A",0,RTD("tos.rtd",,$A$2,"."&amp;W$135&amp;W$1&amp;"P"&amp;$A154))</f>
        <v>0</v>
      </c>
      <c r="X154" s="91">
        <f ca="1">IF(RTD("tos.rtd",,$A$2,"."&amp;X$135&amp;X$1&amp;"C"&amp;$A154)="N/A",0,RTD("tos.rtd",,$A$2,"."&amp;X$135&amp;X$1&amp;"C"&amp;$A154))-IF(RTD("tos.rtd",,$A$2,"."&amp;X$135&amp;X$1&amp;"P"&amp;$A154)="N/A",0,RTD("tos.rtd",,$A$2,"."&amp;X$135&amp;X$1&amp;"P"&amp;$A154))</f>
        <v>0</v>
      </c>
      <c r="Y154" s="98">
        <f t="shared" ca="1" si="13"/>
        <v>32</v>
      </c>
      <c r="Z154" s="91"/>
      <c r="AA154" s="91"/>
    </row>
    <row r="155" spans="1:27" x14ac:dyDescent="0.25">
      <c r="A155" s="93">
        <f>+Hoja1!A154</f>
        <v>20025</v>
      </c>
      <c r="B155" s="91">
        <f ca="1">IF(RTD("tos.rtd",,$A$2,"."&amp;B$135&amp;B$1&amp;"C"&amp;$A155)="N/A",0,RTD("tos.rtd",,$A$2,"."&amp;B$135&amp;B$1&amp;"C"&amp;$A155))-IF(RTD("tos.rtd",,$A$2,"."&amp;B$135&amp;B$1&amp;"P"&amp;$A155)="N/A",0,RTD("tos.rtd",,$A$2,"."&amp;B$135&amp;B$1&amp;"P"&amp;$A155))</f>
        <v>0</v>
      </c>
      <c r="C155" s="91">
        <f ca="1">IF(RTD("tos.rtd",,$A$2,"."&amp;C$135&amp;C$1&amp;"C"&amp;$A155)="N/A",0,RTD("tos.rtd",,$A$2,"."&amp;C$135&amp;C$1&amp;"C"&amp;$A155))-IF(RTD("tos.rtd",,$A$2,"."&amp;C$135&amp;C$1&amp;"P"&amp;$A155)="N/A",0,RTD("tos.rtd",,$A$2,"."&amp;C$135&amp;C$1&amp;"P"&amp;$A155))</f>
        <v>0</v>
      </c>
      <c r="D155" s="91">
        <f ca="1">IF(RTD("tos.rtd",,$A$2,"."&amp;D$135&amp;D$1&amp;"C"&amp;$A155)="N/A",0,RTD("tos.rtd",,$A$2,"."&amp;D$135&amp;D$1&amp;"C"&amp;$A155))-IF(RTD("tos.rtd",,$A$2,"."&amp;D$135&amp;D$1&amp;"P"&amp;$A155)="N/A",0,RTD("tos.rtd",,$A$2,"."&amp;D$135&amp;D$1&amp;"P"&amp;$A155))</f>
        <v>0</v>
      </c>
      <c r="E155" s="91">
        <f ca="1">IF(RTD("tos.rtd",,$A$2,"."&amp;E$135&amp;E$1&amp;"C"&amp;$A155)="N/A",0,RTD("tos.rtd",,$A$2,"."&amp;E$135&amp;E$1&amp;"C"&amp;$A155))-IF(RTD("tos.rtd",,$A$2,"."&amp;E$135&amp;E$1&amp;"P"&amp;$A155)="N/A",0,RTD("tos.rtd",,$A$2,"."&amp;E$135&amp;E$1&amp;"P"&amp;$A155))</f>
        <v>0</v>
      </c>
      <c r="F155" s="91">
        <f ca="1">IF(RTD("tos.rtd",,$A$2,"."&amp;F$135&amp;F$1&amp;"C"&amp;$A155)="N/A",0,RTD("tos.rtd",,$A$2,"."&amp;F$135&amp;F$1&amp;"C"&amp;$A155))-IF(RTD("tos.rtd",,$A$2,"."&amp;F$135&amp;F$1&amp;"P"&amp;$A155)="N/A",0,RTD("tos.rtd",,$A$2,"."&amp;F$135&amp;F$1&amp;"P"&amp;$A155))</f>
        <v>0</v>
      </c>
      <c r="G155" s="91">
        <f ca="1">IF(RTD("tos.rtd",,$A$2,"."&amp;G$135&amp;G$1&amp;"C"&amp;$A155)="N/A",0,RTD("tos.rtd",,$A$2,"."&amp;G$135&amp;G$1&amp;"C"&amp;$A155))-IF(RTD("tos.rtd",,$A$2,"."&amp;G$135&amp;G$1&amp;"P"&amp;$A155)="N/A",0,RTD("tos.rtd",,$A$2,"."&amp;G$135&amp;G$1&amp;"P"&amp;$A155))</f>
        <v>0</v>
      </c>
      <c r="H155" s="91">
        <f ca="1">IF(RTD("tos.rtd",,$A$2,"."&amp;H$135&amp;H$1&amp;"C"&amp;$A155)="N/A",0,RTD("tos.rtd",,$A$2,"."&amp;H$135&amp;H$1&amp;"C"&amp;$A155))-IF(RTD("tos.rtd",,$A$2,"."&amp;H$135&amp;H$1&amp;"P"&amp;$A155)="N/A",0,RTD("tos.rtd",,$A$2,"."&amp;H$135&amp;H$1&amp;"P"&amp;$A155))</f>
        <v>0</v>
      </c>
      <c r="I155" s="91">
        <f ca="1">IF(RTD("tos.rtd",,$A$2,"."&amp;I$135&amp;I$1&amp;"C"&amp;$A155)="N/A",0,RTD("tos.rtd",,$A$2,"."&amp;I$135&amp;I$1&amp;"C"&amp;$A155))-IF(RTD("tos.rtd",,$A$2,"."&amp;I$135&amp;I$1&amp;"P"&amp;$A155)="N/A",0,RTD("tos.rtd",,$A$2,"."&amp;I$135&amp;I$1&amp;"P"&amp;$A155))</f>
        <v>0</v>
      </c>
      <c r="J155" s="91">
        <f ca="1">IF(RTD("tos.rtd",,$A$2,"."&amp;J$135&amp;J$1&amp;"C"&amp;$A155)="N/A",0,RTD("tos.rtd",,$A$2,"."&amp;J$135&amp;J$1&amp;"C"&amp;$A155))-IF(RTD("tos.rtd",,$A$2,"."&amp;J$135&amp;J$1&amp;"P"&amp;$A155)="N/A",0,RTD("tos.rtd",,$A$2,"."&amp;J$135&amp;J$1&amp;"P"&amp;$A155))</f>
        <v>0</v>
      </c>
      <c r="K155" s="91">
        <f ca="1">IF(RTD("tos.rtd",,$A$2,"."&amp;K$135&amp;K$1&amp;"C"&amp;$A155)="N/A",0,RTD("tos.rtd",,$A$2,"."&amp;K$135&amp;K$1&amp;"C"&amp;$A155))-IF(RTD("tos.rtd",,$A$2,"."&amp;K$135&amp;K$1&amp;"P"&amp;$A155)="N/A",0,RTD("tos.rtd",,$A$2,"."&amp;K$135&amp;K$1&amp;"P"&amp;$A155))</f>
        <v>25</v>
      </c>
      <c r="L155" s="91">
        <f ca="1">IF(RTD("tos.rtd",,$A$2,"."&amp;L$135&amp;L$1&amp;"C"&amp;$A155)="N/A",0,RTD("tos.rtd",,$A$2,"."&amp;L$135&amp;L$1&amp;"C"&amp;$A155))-IF(RTD("tos.rtd",,$A$2,"."&amp;L$135&amp;L$1&amp;"P"&amp;$A155)="N/A",0,RTD("tos.rtd",,$A$2,"."&amp;L$135&amp;L$1&amp;"P"&amp;$A155))</f>
        <v>4</v>
      </c>
      <c r="M155" s="91">
        <f ca="1">IF(RTD("tos.rtd",,$A$2,"."&amp;M$135&amp;M$1&amp;"C"&amp;$A155)="N/A",0,RTD("tos.rtd",,$A$2,"."&amp;M$135&amp;M$1&amp;"C"&amp;$A155))-IF(RTD("tos.rtd",,$A$2,"."&amp;M$135&amp;M$1&amp;"P"&amp;$A155)="N/A",0,RTD("tos.rtd",,$A$2,"."&amp;M$135&amp;M$1&amp;"P"&amp;$A155))</f>
        <v>0</v>
      </c>
      <c r="N155" s="91">
        <f ca="1">IF(RTD("tos.rtd",,$A$2,"."&amp;N$135&amp;N$1&amp;"C"&amp;$A155)="N/A",0,RTD("tos.rtd",,$A$2,"."&amp;N$135&amp;N$1&amp;"C"&amp;$A155))-IF(RTD("tos.rtd",,$A$2,"."&amp;N$135&amp;N$1&amp;"P"&amp;$A155)="N/A",0,RTD("tos.rtd",,$A$2,"."&amp;N$135&amp;N$1&amp;"P"&amp;$A155))</f>
        <v>0</v>
      </c>
      <c r="O155" s="91">
        <f ca="1">IF(RTD("tos.rtd",,$A$2,"."&amp;O$135&amp;O$1&amp;"C"&amp;$A155)="N/A",0,RTD("tos.rtd",,$A$2,"."&amp;O$135&amp;O$1&amp;"C"&amp;$A155))-IF(RTD("tos.rtd",,$A$2,"."&amp;O$135&amp;O$1&amp;"P"&amp;$A155)="N/A",0,RTD("tos.rtd",,$A$2,"."&amp;O$135&amp;O$1&amp;"P"&amp;$A155))</f>
        <v>0</v>
      </c>
      <c r="P155" s="91">
        <f ca="1">IF(RTD("tos.rtd",,$A$2,"."&amp;P$135&amp;P$1&amp;"C"&amp;$A155)="N/A",0,RTD("tos.rtd",,$A$2,"."&amp;P$135&amp;P$1&amp;"C"&amp;$A155))-IF(RTD("tos.rtd",,$A$2,"."&amp;P$135&amp;P$1&amp;"P"&amp;$A155)="N/A",0,RTD("tos.rtd",,$A$2,"."&amp;P$135&amp;P$1&amp;"P"&amp;$A155))</f>
        <v>0</v>
      </c>
      <c r="Q155" s="91">
        <f ca="1">IF(RTD("tos.rtd",,$A$2,"."&amp;Q$135&amp;Q$1&amp;"C"&amp;$A155)="N/A",0,RTD("tos.rtd",,$A$2,"."&amp;Q$135&amp;Q$1&amp;"C"&amp;$A155))-IF(RTD("tos.rtd",,$A$2,"."&amp;Q$135&amp;Q$1&amp;"P"&amp;$A155)="N/A",0,RTD("tos.rtd",,$A$2,"."&amp;Q$135&amp;Q$1&amp;"P"&amp;$A155))</f>
        <v>0</v>
      </c>
      <c r="R155" s="91">
        <f ca="1">IF(RTD("tos.rtd",,$A$2,"."&amp;R$135&amp;R$1&amp;"C"&amp;$A155)="N/A",0,RTD("tos.rtd",,$A$2,"."&amp;R$135&amp;R$1&amp;"C"&amp;$A155))-IF(RTD("tos.rtd",,$A$2,"."&amp;R$135&amp;R$1&amp;"P"&amp;$A155)="N/A",0,RTD("tos.rtd",,$A$2,"."&amp;R$135&amp;R$1&amp;"P"&amp;$A155))</f>
        <v>0</v>
      </c>
      <c r="S155" s="91">
        <f ca="1">IF(RTD("tos.rtd",,$A$2,"."&amp;S$135&amp;S$1&amp;"C"&amp;$A155)="N/A",0,RTD("tos.rtd",,$A$2,"."&amp;S$135&amp;S$1&amp;"C"&amp;$A155))-IF(RTD("tos.rtd",,$A$2,"."&amp;S$135&amp;S$1&amp;"P"&amp;$A155)="N/A",0,RTD("tos.rtd",,$A$2,"."&amp;S$135&amp;S$1&amp;"P"&amp;$A155))</f>
        <v>0</v>
      </c>
      <c r="T155" s="91">
        <f ca="1">IF(RTD("tos.rtd",,$A$2,"."&amp;T$135&amp;T$1&amp;"C"&amp;$A155)="N/A",0,RTD("tos.rtd",,$A$2,"."&amp;T$135&amp;T$1&amp;"C"&amp;$A155))-IF(RTD("tos.rtd",,$A$2,"."&amp;T$135&amp;T$1&amp;"P"&amp;$A155)="N/A",0,RTD("tos.rtd",,$A$2,"."&amp;T$135&amp;T$1&amp;"P"&amp;$A155))</f>
        <v>0</v>
      </c>
      <c r="U155" s="91">
        <f ca="1">IF(RTD("tos.rtd",,$A$2,"."&amp;U$135&amp;U$1&amp;"C"&amp;$A155)="N/A",0,RTD("tos.rtd",,$A$2,"."&amp;U$135&amp;U$1&amp;"C"&amp;$A155))-IF(RTD("tos.rtd",,$A$2,"."&amp;U$135&amp;U$1&amp;"P"&amp;$A155)="N/A",0,RTD("tos.rtd",,$A$2,"."&amp;U$135&amp;U$1&amp;"P"&amp;$A155))</f>
        <v>0</v>
      </c>
      <c r="V155" s="91">
        <f ca="1">IF(RTD("tos.rtd",,$A$2,"."&amp;V$135&amp;V$1&amp;"C"&amp;$A155)="N/A",0,RTD("tos.rtd",,$A$2,"."&amp;V$135&amp;V$1&amp;"C"&amp;$A155))-IF(RTD("tos.rtd",,$A$2,"."&amp;V$135&amp;V$1&amp;"P"&amp;$A155)="N/A",0,RTD("tos.rtd",,$A$2,"."&amp;V$135&amp;V$1&amp;"P"&amp;$A155))</f>
        <v>0</v>
      </c>
      <c r="W155" s="91">
        <f ca="1">IF(RTD("tos.rtd",,$A$2,"."&amp;W$135&amp;W$1&amp;"C"&amp;$A155)="N/A",0,RTD("tos.rtd",,$A$2,"."&amp;W$135&amp;W$1&amp;"C"&amp;$A155))-IF(RTD("tos.rtd",,$A$2,"."&amp;W$135&amp;W$1&amp;"P"&amp;$A155)="N/A",0,RTD("tos.rtd",,$A$2,"."&amp;W$135&amp;W$1&amp;"P"&amp;$A155))</f>
        <v>0</v>
      </c>
      <c r="X155" s="91">
        <f ca="1">IF(RTD("tos.rtd",,$A$2,"."&amp;X$135&amp;X$1&amp;"C"&amp;$A155)="N/A",0,RTD("tos.rtd",,$A$2,"."&amp;X$135&amp;X$1&amp;"C"&amp;$A155))-IF(RTD("tos.rtd",,$A$2,"."&amp;X$135&amp;X$1&amp;"P"&amp;$A155)="N/A",0,RTD("tos.rtd",,$A$2,"."&amp;X$135&amp;X$1&amp;"P"&amp;$A155))</f>
        <v>0</v>
      </c>
      <c r="Y155" s="98">
        <f t="shared" ca="1" si="13"/>
        <v>29</v>
      </c>
      <c r="Z155" s="91"/>
      <c r="AA155" s="91"/>
    </row>
    <row r="156" spans="1:27" x14ac:dyDescent="0.25">
      <c r="A156" s="93">
        <f>+Hoja1!A155</f>
        <v>20000</v>
      </c>
      <c r="B156" s="91">
        <f ca="1">IF(RTD("tos.rtd",,$A$2,"."&amp;B$135&amp;B$1&amp;"C"&amp;$A156)="N/A",0,RTD("tos.rtd",,$A$2,"."&amp;B$135&amp;B$1&amp;"C"&amp;$A156))-IF(RTD("tos.rtd",,$A$2,"."&amp;B$135&amp;B$1&amp;"P"&amp;$A156)="N/A",0,RTD("tos.rtd",,$A$2,"."&amp;B$135&amp;B$1&amp;"P"&amp;$A156))</f>
        <v>0</v>
      </c>
      <c r="C156" s="91">
        <f ca="1">IF(RTD("tos.rtd",,$A$2,"."&amp;C$135&amp;C$1&amp;"C"&amp;$A156)="N/A",0,RTD("tos.rtd",,$A$2,"."&amp;C$135&amp;C$1&amp;"C"&amp;$A156))-IF(RTD("tos.rtd",,$A$2,"."&amp;C$135&amp;C$1&amp;"P"&amp;$A156)="N/A",0,RTD("tos.rtd",,$A$2,"."&amp;C$135&amp;C$1&amp;"P"&amp;$A156))</f>
        <v>0</v>
      </c>
      <c r="D156" s="91">
        <f ca="1">IF(RTD("tos.rtd",,$A$2,"."&amp;D$135&amp;D$1&amp;"C"&amp;$A156)="N/A",0,RTD("tos.rtd",,$A$2,"."&amp;D$135&amp;D$1&amp;"C"&amp;$A156))-IF(RTD("tos.rtd",,$A$2,"."&amp;D$135&amp;D$1&amp;"P"&amp;$A156)="N/A",0,RTD("tos.rtd",,$A$2,"."&amp;D$135&amp;D$1&amp;"P"&amp;$A156))</f>
        <v>0</v>
      </c>
      <c r="E156" s="91">
        <f ca="1">IF(RTD("tos.rtd",,$A$2,"."&amp;E$135&amp;E$1&amp;"C"&amp;$A156)="N/A",0,RTD("tos.rtd",,$A$2,"."&amp;E$135&amp;E$1&amp;"C"&amp;$A156))-IF(RTD("tos.rtd",,$A$2,"."&amp;E$135&amp;E$1&amp;"P"&amp;$A156)="N/A",0,RTD("tos.rtd",,$A$2,"."&amp;E$135&amp;E$1&amp;"P"&amp;$A156))</f>
        <v>0</v>
      </c>
      <c r="F156" s="91">
        <f ca="1">IF(RTD("tos.rtd",,$A$2,"."&amp;F$135&amp;F$1&amp;"C"&amp;$A156)="N/A",0,RTD("tos.rtd",,$A$2,"."&amp;F$135&amp;F$1&amp;"C"&amp;$A156))-IF(RTD("tos.rtd",,$A$2,"."&amp;F$135&amp;F$1&amp;"P"&amp;$A156)="N/A",0,RTD("tos.rtd",,$A$2,"."&amp;F$135&amp;F$1&amp;"P"&amp;$A156))</f>
        <v>0</v>
      </c>
      <c r="G156" s="91">
        <f ca="1">IF(RTD("tos.rtd",,$A$2,"."&amp;G$135&amp;G$1&amp;"C"&amp;$A156)="N/A",0,RTD("tos.rtd",,$A$2,"."&amp;G$135&amp;G$1&amp;"C"&amp;$A156))-IF(RTD("tos.rtd",,$A$2,"."&amp;G$135&amp;G$1&amp;"P"&amp;$A156)="N/A",0,RTD("tos.rtd",,$A$2,"."&amp;G$135&amp;G$1&amp;"P"&amp;$A156))</f>
        <v>0</v>
      </c>
      <c r="H156" s="91">
        <f ca="1">IF(RTD("tos.rtd",,$A$2,"."&amp;H$135&amp;H$1&amp;"C"&amp;$A156)="N/A",0,RTD("tos.rtd",,$A$2,"."&amp;H$135&amp;H$1&amp;"C"&amp;$A156))-IF(RTD("tos.rtd",,$A$2,"."&amp;H$135&amp;H$1&amp;"P"&amp;$A156)="N/A",0,RTD("tos.rtd",,$A$2,"."&amp;H$135&amp;H$1&amp;"P"&amp;$A156))</f>
        <v>0</v>
      </c>
      <c r="I156" s="91">
        <f ca="1">IF(RTD("tos.rtd",,$A$2,"."&amp;I$135&amp;I$1&amp;"C"&amp;$A156)="N/A",0,RTD("tos.rtd",,$A$2,"."&amp;I$135&amp;I$1&amp;"C"&amp;$A156))-IF(RTD("tos.rtd",,$A$2,"."&amp;I$135&amp;I$1&amp;"P"&amp;$A156)="N/A",0,RTD("tos.rtd",,$A$2,"."&amp;I$135&amp;I$1&amp;"P"&amp;$A156))</f>
        <v>23</v>
      </c>
      <c r="J156" s="91">
        <f ca="1">IF(RTD("tos.rtd",,$A$2,"."&amp;J$135&amp;J$1&amp;"C"&amp;$A156)="N/A",0,RTD("tos.rtd",,$A$2,"."&amp;J$135&amp;J$1&amp;"C"&amp;$A156))-IF(RTD("tos.rtd",,$A$2,"."&amp;J$135&amp;J$1&amp;"P"&amp;$A156)="N/A",0,RTD("tos.rtd",,$A$2,"."&amp;J$135&amp;J$1&amp;"P"&amp;$A156))</f>
        <v>0</v>
      </c>
      <c r="K156" s="91">
        <f ca="1">IF(RTD("tos.rtd",,$A$2,"."&amp;K$135&amp;K$1&amp;"C"&amp;$A156)="N/A",0,RTD("tos.rtd",,$A$2,"."&amp;K$135&amp;K$1&amp;"C"&amp;$A156))-IF(RTD("tos.rtd",,$A$2,"."&amp;K$135&amp;K$1&amp;"P"&amp;$A156)="N/A",0,RTD("tos.rtd",,$A$2,"."&amp;K$135&amp;K$1&amp;"P"&amp;$A156))</f>
        <v>-18</v>
      </c>
      <c r="L156" s="91">
        <f ca="1">IF(RTD("tos.rtd",,$A$2,"."&amp;L$135&amp;L$1&amp;"C"&amp;$A156)="N/A",0,RTD("tos.rtd",,$A$2,"."&amp;L$135&amp;L$1&amp;"C"&amp;$A156))-IF(RTD("tos.rtd",,$A$2,"."&amp;L$135&amp;L$1&amp;"P"&amp;$A156)="N/A",0,RTD("tos.rtd",,$A$2,"."&amp;L$135&amp;L$1&amp;"P"&amp;$A156))</f>
        <v>0</v>
      </c>
      <c r="M156" s="91">
        <f ca="1">IF(RTD("tos.rtd",,$A$2,"."&amp;M$135&amp;M$1&amp;"C"&amp;$A156)="N/A",0,RTD("tos.rtd",,$A$2,"."&amp;M$135&amp;M$1&amp;"C"&amp;$A156))-IF(RTD("tos.rtd",,$A$2,"."&amp;M$135&amp;M$1&amp;"P"&amp;$A156)="N/A",0,RTD("tos.rtd",,$A$2,"."&amp;M$135&amp;M$1&amp;"P"&amp;$A156))</f>
        <v>0</v>
      </c>
      <c r="N156" s="91">
        <f ca="1">IF(RTD("tos.rtd",,$A$2,"."&amp;N$135&amp;N$1&amp;"C"&amp;$A156)="N/A",0,RTD("tos.rtd",,$A$2,"."&amp;N$135&amp;N$1&amp;"C"&amp;$A156))-IF(RTD("tos.rtd",,$A$2,"."&amp;N$135&amp;N$1&amp;"P"&amp;$A156)="N/A",0,RTD("tos.rtd",,$A$2,"."&amp;N$135&amp;N$1&amp;"P"&amp;$A156))</f>
        <v>0</v>
      </c>
      <c r="O156" s="91">
        <f ca="1">IF(RTD("tos.rtd",,$A$2,"."&amp;O$135&amp;O$1&amp;"C"&amp;$A156)="N/A",0,RTD("tos.rtd",,$A$2,"."&amp;O$135&amp;O$1&amp;"C"&amp;$A156))-IF(RTD("tos.rtd",,$A$2,"."&amp;O$135&amp;O$1&amp;"P"&amp;$A156)="N/A",0,RTD("tos.rtd",,$A$2,"."&amp;O$135&amp;O$1&amp;"P"&amp;$A156))</f>
        <v>0</v>
      </c>
      <c r="P156" s="91">
        <f ca="1">IF(RTD("tos.rtd",,$A$2,"."&amp;P$135&amp;P$1&amp;"C"&amp;$A156)="N/A",0,RTD("tos.rtd",,$A$2,"."&amp;P$135&amp;P$1&amp;"C"&amp;$A156))-IF(RTD("tos.rtd",,$A$2,"."&amp;P$135&amp;P$1&amp;"P"&amp;$A156)="N/A",0,RTD("tos.rtd",,$A$2,"."&amp;P$135&amp;P$1&amp;"P"&amp;$A156))</f>
        <v>0</v>
      </c>
      <c r="Q156" s="91">
        <f ca="1">IF(RTD("tos.rtd",,$A$2,"."&amp;Q$135&amp;Q$1&amp;"C"&amp;$A156)="N/A",0,RTD("tos.rtd",,$A$2,"."&amp;Q$135&amp;Q$1&amp;"C"&amp;$A156))-IF(RTD("tos.rtd",,$A$2,"."&amp;Q$135&amp;Q$1&amp;"P"&amp;$A156)="N/A",0,RTD("tos.rtd",,$A$2,"."&amp;Q$135&amp;Q$1&amp;"P"&amp;$A156))</f>
        <v>-2</v>
      </c>
      <c r="R156" s="91">
        <f ca="1">IF(RTD("tos.rtd",,$A$2,"."&amp;R$135&amp;R$1&amp;"C"&amp;$A156)="N/A",0,RTD("tos.rtd",,$A$2,"."&amp;R$135&amp;R$1&amp;"C"&amp;$A156))-IF(RTD("tos.rtd",,$A$2,"."&amp;R$135&amp;R$1&amp;"P"&amp;$A156)="N/A",0,RTD("tos.rtd",,$A$2,"."&amp;R$135&amp;R$1&amp;"P"&amp;$A156))</f>
        <v>0</v>
      </c>
      <c r="S156" s="91">
        <f ca="1">IF(RTD("tos.rtd",,$A$2,"."&amp;S$135&amp;S$1&amp;"C"&amp;$A156)="N/A",0,RTD("tos.rtd",,$A$2,"."&amp;S$135&amp;S$1&amp;"C"&amp;$A156))-IF(RTD("tos.rtd",,$A$2,"."&amp;S$135&amp;S$1&amp;"P"&amp;$A156)="N/A",0,RTD("tos.rtd",,$A$2,"."&amp;S$135&amp;S$1&amp;"P"&amp;$A156))</f>
        <v>0</v>
      </c>
      <c r="T156" s="91">
        <f ca="1">IF(RTD("tos.rtd",,$A$2,"."&amp;T$135&amp;T$1&amp;"C"&amp;$A156)="N/A",0,RTD("tos.rtd",,$A$2,"."&amp;T$135&amp;T$1&amp;"C"&amp;$A156))-IF(RTD("tos.rtd",,$A$2,"."&amp;T$135&amp;T$1&amp;"P"&amp;$A156)="N/A",0,RTD("tos.rtd",,$A$2,"."&amp;T$135&amp;T$1&amp;"P"&amp;$A156))</f>
        <v>0</v>
      </c>
      <c r="U156" s="91">
        <f ca="1">IF(RTD("tos.rtd",,$A$2,"."&amp;U$135&amp;U$1&amp;"C"&amp;$A156)="N/A",0,RTD("tos.rtd",,$A$2,"."&amp;U$135&amp;U$1&amp;"C"&amp;$A156))-IF(RTD("tos.rtd",,$A$2,"."&amp;U$135&amp;U$1&amp;"P"&amp;$A156)="N/A",0,RTD("tos.rtd",,$A$2,"."&amp;U$135&amp;U$1&amp;"P"&amp;$A156))</f>
        <v>0</v>
      </c>
      <c r="V156" s="91">
        <f ca="1">IF(RTD("tos.rtd",,$A$2,"."&amp;V$135&amp;V$1&amp;"C"&amp;$A156)="N/A",0,RTD("tos.rtd",,$A$2,"."&amp;V$135&amp;V$1&amp;"C"&amp;$A156))-IF(RTD("tos.rtd",,$A$2,"."&amp;V$135&amp;V$1&amp;"P"&amp;$A156)="N/A",0,RTD("tos.rtd",,$A$2,"."&amp;V$135&amp;V$1&amp;"P"&amp;$A156))</f>
        <v>0</v>
      </c>
      <c r="W156" s="91">
        <f ca="1">IF(RTD("tos.rtd",,$A$2,"."&amp;W$135&amp;W$1&amp;"C"&amp;$A156)="N/A",0,RTD("tos.rtd",,$A$2,"."&amp;W$135&amp;W$1&amp;"C"&amp;$A156))-IF(RTD("tos.rtd",,$A$2,"."&amp;W$135&amp;W$1&amp;"P"&amp;$A156)="N/A",0,RTD("tos.rtd",,$A$2,"."&amp;W$135&amp;W$1&amp;"P"&amp;$A156))</f>
        <v>0</v>
      </c>
      <c r="X156" s="91">
        <f ca="1">IF(RTD("tos.rtd",,$A$2,"."&amp;X$135&amp;X$1&amp;"C"&amp;$A156)="N/A",0,RTD("tos.rtd",,$A$2,"."&amp;X$135&amp;X$1&amp;"C"&amp;$A156))-IF(RTD("tos.rtd",,$A$2,"."&amp;X$135&amp;X$1&amp;"P"&amp;$A156)="N/A",0,RTD("tos.rtd",,$A$2,"."&amp;X$135&amp;X$1&amp;"P"&amp;$A156))</f>
        <v>0</v>
      </c>
      <c r="Y156" s="98">
        <f t="shared" ca="1" si="13"/>
        <v>3</v>
      </c>
      <c r="Z156" s="91"/>
      <c r="AA156" s="91"/>
    </row>
    <row r="157" spans="1:27" x14ac:dyDescent="0.25">
      <c r="A157" s="93">
        <f>+Hoja1!A156</f>
        <v>19975</v>
      </c>
      <c r="B157" s="91">
        <f ca="1">IF(RTD("tos.rtd",,$A$2,"."&amp;B$135&amp;B$1&amp;"C"&amp;$A157)="N/A",0,RTD("tos.rtd",,$A$2,"."&amp;B$135&amp;B$1&amp;"C"&amp;$A157))-IF(RTD("tos.rtd",,$A$2,"."&amp;B$135&amp;B$1&amp;"P"&amp;$A157)="N/A",0,RTD("tos.rtd",,$A$2,"."&amp;B$135&amp;B$1&amp;"P"&amp;$A157))</f>
        <v>0</v>
      </c>
      <c r="C157" s="91">
        <f ca="1">IF(RTD("tos.rtd",,$A$2,"."&amp;C$135&amp;C$1&amp;"C"&amp;$A157)="N/A",0,RTD("tos.rtd",,$A$2,"."&amp;C$135&amp;C$1&amp;"C"&amp;$A157))-IF(RTD("tos.rtd",,$A$2,"."&amp;C$135&amp;C$1&amp;"P"&amp;$A157)="N/A",0,RTD("tos.rtd",,$A$2,"."&amp;C$135&amp;C$1&amp;"P"&amp;$A157))</f>
        <v>0</v>
      </c>
      <c r="D157" s="91">
        <f ca="1">IF(RTD("tos.rtd",,$A$2,"."&amp;D$135&amp;D$1&amp;"C"&amp;$A157)="N/A",0,RTD("tos.rtd",,$A$2,"."&amp;D$135&amp;D$1&amp;"C"&amp;$A157))-IF(RTD("tos.rtd",,$A$2,"."&amp;D$135&amp;D$1&amp;"P"&amp;$A157)="N/A",0,RTD("tos.rtd",,$A$2,"."&amp;D$135&amp;D$1&amp;"P"&amp;$A157))</f>
        <v>0</v>
      </c>
      <c r="E157" s="91">
        <f ca="1">IF(RTD("tos.rtd",,$A$2,"."&amp;E$135&amp;E$1&amp;"C"&amp;$A157)="N/A",0,RTD("tos.rtd",,$A$2,"."&amp;E$135&amp;E$1&amp;"C"&amp;$A157))-IF(RTD("tos.rtd",,$A$2,"."&amp;E$135&amp;E$1&amp;"P"&amp;$A157)="N/A",0,RTD("tos.rtd",,$A$2,"."&amp;E$135&amp;E$1&amp;"P"&amp;$A157))</f>
        <v>0</v>
      </c>
      <c r="F157" s="91">
        <f ca="1">IF(RTD("tos.rtd",,$A$2,"."&amp;F$135&amp;F$1&amp;"C"&amp;$A157)="N/A",0,RTD("tos.rtd",,$A$2,"."&amp;F$135&amp;F$1&amp;"C"&amp;$A157))-IF(RTD("tos.rtd",,$A$2,"."&amp;F$135&amp;F$1&amp;"P"&amp;$A157)="N/A",0,RTD("tos.rtd",,$A$2,"."&amp;F$135&amp;F$1&amp;"P"&amp;$A157))</f>
        <v>0</v>
      </c>
      <c r="G157" s="91">
        <f ca="1">IF(RTD("tos.rtd",,$A$2,"."&amp;G$135&amp;G$1&amp;"C"&amp;$A157)="N/A",0,RTD("tos.rtd",,$A$2,"."&amp;G$135&amp;G$1&amp;"C"&amp;$A157))-IF(RTD("tos.rtd",,$A$2,"."&amp;G$135&amp;G$1&amp;"P"&amp;$A157)="N/A",0,RTD("tos.rtd",,$A$2,"."&amp;G$135&amp;G$1&amp;"P"&amp;$A157))</f>
        <v>0</v>
      </c>
      <c r="H157" s="91">
        <f ca="1">IF(RTD("tos.rtd",,$A$2,"."&amp;H$135&amp;H$1&amp;"C"&amp;$A157)="N/A",0,RTD("tos.rtd",,$A$2,"."&amp;H$135&amp;H$1&amp;"C"&amp;$A157))-IF(RTD("tos.rtd",,$A$2,"."&amp;H$135&amp;H$1&amp;"P"&amp;$A157)="N/A",0,RTD("tos.rtd",,$A$2,"."&amp;H$135&amp;H$1&amp;"P"&amp;$A157))</f>
        <v>0</v>
      </c>
      <c r="I157" s="91">
        <f ca="1">IF(RTD("tos.rtd",,$A$2,"."&amp;I$135&amp;I$1&amp;"C"&amp;$A157)="N/A",0,RTD("tos.rtd",,$A$2,"."&amp;I$135&amp;I$1&amp;"C"&amp;$A157))-IF(RTD("tos.rtd",,$A$2,"."&amp;I$135&amp;I$1&amp;"P"&amp;$A157)="N/A",0,RTD("tos.rtd",,$A$2,"."&amp;I$135&amp;I$1&amp;"P"&amp;$A157))</f>
        <v>0</v>
      </c>
      <c r="J157" s="91">
        <f ca="1">IF(RTD("tos.rtd",,$A$2,"."&amp;J$135&amp;J$1&amp;"C"&amp;$A157)="N/A",0,RTD("tos.rtd",,$A$2,"."&amp;J$135&amp;J$1&amp;"C"&amp;$A157))-IF(RTD("tos.rtd",,$A$2,"."&amp;J$135&amp;J$1&amp;"P"&amp;$A157)="N/A",0,RTD("tos.rtd",,$A$2,"."&amp;J$135&amp;J$1&amp;"P"&amp;$A157))</f>
        <v>0</v>
      </c>
      <c r="K157" s="91">
        <f ca="1">IF(RTD("tos.rtd",,$A$2,"."&amp;K$135&amp;K$1&amp;"C"&amp;$A157)="N/A",0,RTD("tos.rtd",,$A$2,"."&amp;K$135&amp;K$1&amp;"C"&amp;$A157))-IF(RTD("tos.rtd",,$A$2,"."&amp;K$135&amp;K$1&amp;"P"&amp;$A157)="N/A",0,RTD("tos.rtd",,$A$2,"."&amp;K$135&amp;K$1&amp;"P"&amp;$A157))</f>
        <v>2</v>
      </c>
      <c r="L157" s="91">
        <f ca="1">IF(RTD("tos.rtd",,$A$2,"."&amp;L$135&amp;L$1&amp;"C"&amp;$A157)="N/A",0,RTD("tos.rtd",,$A$2,"."&amp;L$135&amp;L$1&amp;"C"&amp;$A157))-IF(RTD("tos.rtd",,$A$2,"."&amp;L$135&amp;L$1&amp;"P"&amp;$A157)="N/A",0,RTD("tos.rtd",,$A$2,"."&amp;L$135&amp;L$1&amp;"P"&amp;$A157))</f>
        <v>0</v>
      </c>
      <c r="M157" s="91">
        <f ca="1">IF(RTD("tos.rtd",,$A$2,"."&amp;M$135&amp;M$1&amp;"C"&amp;$A157)="N/A",0,RTD("tos.rtd",,$A$2,"."&amp;M$135&amp;M$1&amp;"C"&amp;$A157))-IF(RTD("tos.rtd",,$A$2,"."&amp;M$135&amp;M$1&amp;"P"&amp;$A157)="N/A",0,RTD("tos.rtd",,$A$2,"."&amp;M$135&amp;M$1&amp;"P"&amp;$A157))</f>
        <v>0</v>
      </c>
      <c r="N157" s="91">
        <f ca="1">IF(RTD("tos.rtd",,$A$2,"."&amp;N$135&amp;N$1&amp;"C"&amp;$A157)="N/A",0,RTD("tos.rtd",,$A$2,"."&amp;N$135&amp;N$1&amp;"C"&amp;$A157))-IF(RTD("tos.rtd",,$A$2,"."&amp;N$135&amp;N$1&amp;"P"&amp;$A157)="N/A",0,RTD("tos.rtd",,$A$2,"."&amp;N$135&amp;N$1&amp;"P"&amp;$A157))</f>
        <v>0</v>
      </c>
      <c r="O157" s="91">
        <f ca="1">IF(RTD("tos.rtd",,$A$2,"."&amp;O$135&amp;O$1&amp;"C"&amp;$A157)="N/A",0,RTD("tos.rtd",,$A$2,"."&amp;O$135&amp;O$1&amp;"C"&amp;$A157))-IF(RTD("tos.rtd",,$A$2,"."&amp;O$135&amp;O$1&amp;"P"&amp;$A157)="N/A",0,RTD("tos.rtd",,$A$2,"."&amp;O$135&amp;O$1&amp;"P"&amp;$A157))</f>
        <v>0</v>
      </c>
      <c r="P157" s="91">
        <f ca="1">IF(RTD("tos.rtd",,$A$2,"."&amp;P$135&amp;P$1&amp;"C"&amp;$A157)="N/A",0,RTD("tos.rtd",,$A$2,"."&amp;P$135&amp;P$1&amp;"C"&amp;$A157))-IF(RTD("tos.rtd",,$A$2,"."&amp;P$135&amp;P$1&amp;"P"&amp;$A157)="N/A",0,RTD("tos.rtd",,$A$2,"."&amp;P$135&amp;P$1&amp;"P"&amp;$A157))</f>
        <v>0</v>
      </c>
      <c r="Q157" s="91">
        <f ca="1">IF(RTD("tos.rtd",,$A$2,"."&amp;Q$135&amp;Q$1&amp;"C"&amp;$A157)="N/A",0,RTD("tos.rtd",,$A$2,"."&amp;Q$135&amp;Q$1&amp;"C"&amp;$A157))-IF(RTD("tos.rtd",,$A$2,"."&amp;Q$135&amp;Q$1&amp;"P"&amp;$A157)="N/A",0,RTD("tos.rtd",,$A$2,"."&amp;Q$135&amp;Q$1&amp;"P"&amp;$A157))</f>
        <v>0</v>
      </c>
      <c r="R157" s="91">
        <f ca="1">IF(RTD("tos.rtd",,$A$2,"."&amp;R$135&amp;R$1&amp;"C"&amp;$A157)="N/A",0,RTD("tos.rtd",,$A$2,"."&amp;R$135&amp;R$1&amp;"C"&amp;$A157))-IF(RTD("tos.rtd",,$A$2,"."&amp;R$135&amp;R$1&amp;"P"&amp;$A157)="N/A",0,RTD("tos.rtd",,$A$2,"."&amp;R$135&amp;R$1&amp;"P"&amp;$A157))</f>
        <v>0</v>
      </c>
      <c r="S157" s="91">
        <f ca="1">IF(RTD("tos.rtd",,$A$2,"."&amp;S$135&amp;S$1&amp;"C"&amp;$A157)="N/A",0,RTD("tos.rtd",,$A$2,"."&amp;S$135&amp;S$1&amp;"C"&amp;$A157))-IF(RTD("tos.rtd",,$A$2,"."&amp;S$135&amp;S$1&amp;"P"&amp;$A157)="N/A",0,RTD("tos.rtd",,$A$2,"."&amp;S$135&amp;S$1&amp;"P"&amp;$A157))</f>
        <v>0</v>
      </c>
      <c r="T157" s="91">
        <f ca="1">IF(RTD("tos.rtd",,$A$2,"."&amp;T$135&amp;T$1&amp;"C"&amp;$A157)="N/A",0,RTD("tos.rtd",,$A$2,"."&amp;T$135&amp;T$1&amp;"C"&amp;$A157))-IF(RTD("tos.rtd",,$A$2,"."&amp;T$135&amp;T$1&amp;"P"&amp;$A157)="N/A",0,RTD("tos.rtd",,$A$2,"."&amp;T$135&amp;T$1&amp;"P"&amp;$A157))</f>
        <v>0</v>
      </c>
      <c r="U157" s="91">
        <f ca="1">IF(RTD("tos.rtd",,$A$2,"."&amp;U$135&amp;U$1&amp;"C"&amp;$A157)="N/A",0,RTD("tos.rtd",,$A$2,"."&amp;U$135&amp;U$1&amp;"C"&amp;$A157))-IF(RTD("tos.rtd",,$A$2,"."&amp;U$135&amp;U$1&amp;"P"&amp;$A157)="N/A",0,RTD("tos.rtd",,$A$2,"."&amp;U$135&amp;U$1&amp;"P"&amp;$A157))</f>
        <v>0</v>
      </c>
      <c r="V157" s="91">
        <f ca="1">IF(RTD("tos.rtd",,$A$2,"."&amp;V$135&amp;V$1&amp;"C"&amp;$A157)="N/A",0,RTD("tos.rtd",,$A$2,"."&amp;V$135&amp;V$1&amp;"C"&amp;$A157))-IF(RTD("tos.rtd",,$A$2,"."&amp;V$135&amp;V$1&amp;"P"&amp;$A157)="N/A",0,RTD("tos.rtd",,$A$2,"."&amp;V$135&amp;V$1&amp;"P"&amp;$A157))</f>
        <v>0</v>
      </c>
      <c r="W157" s="91">
        <f ca="1">IF(RTD("tos.rtd",,$A$2,"."&amp;W$135&amp;W$1&amp;"C"&amp;$A157)="N/A",0,RTD("tos.rtd",,$A$2,"."&amp;W$135&amp;W$1&amp;"C"&amp;$A157))-IF(RTD("tos.rtd",,$A$2,"."&amp;W$135&amp;W$1&amp;"P"&amp;$A157)="N/A",0,RTD("tos.rtd",,$A$2,"."&amp;W$135&amp;W$1&amp;"P"&amp;$A157))</f>
        <v>0</v>
      </c>
      <c r="X157" s="91">
        <f ca="1">IF(RTD("tos.rtd",,$A$2,"."&amp;X$135&amp;X$1&amp;"C"&amp;$A157)="N/A",0,RTD("tos.rtd",,$A$2,"."&amp;X$135&amp;X$1&amp;"C"&amp;$A157))-IF(RTD("tos.rtd",,$A$2,"."&amp;X$135&amp;X$1&amp;"P"&amp;$A157)="N/A",0,RTD("tos.rtd",,$A$2,"."&amp;X$135&amp;X$1&amp;"P"&amp;$A157))</f>
        <v>0</v>
      </c>
      <c r="Y157" s="98">
        <f t="shared" ca="1" si="13"/>
        <v>2</v>
      </c>
      <c r="Z157" s="91"/>
      <c r="AA157" s="91"/>
    </row>
    <row r="158" spans="1:27" x14ac:dyDescent="0.25">
      <c r="A158" s="93">
        <f>+Hoja1!A157</f>
        <v>19950</v>
      </c>
      <c r="B158" s="91">
        <f ca="1">IF(RTD("tos.rtd",,$A$2,"."&amp;B$135&amp;B$1&amp;"C"&amp;$A158)="N/A",0,RTD("tos.rtd",,$A$2,"."&amp;B$135&amp;B$1&amp;"C"&amp;$A158))-IF(RTD("tos.rtd",,$A$2,"."&amp;B$135&amp;B$1&amp;"P"&amp;$A158)="N/A",0,RTD("tos.rtd",,$A$2,"."&amp;B$135&amp;B$1&amp;"P"&amp;$A158))</f>
        <v>0</v>
      </c>
      <c r="C158" s="91">
        <f ca="1">IF(RTD("tos.rtd",,$A$2,"."&amp;C$135&amp;C$1&amp;"C"&amp;$A158)="N/A",0,RTD("tos.rtd",,$A$2,"."&amp;C$135&amp;C$1&amp;"C"&amp;$A158))-IF(RTD("tos.rtd",,$A$2,"."&amp;C$135&amp;C$1&amp;"P"&amp;$A158)="N/A",0,RTD("tos.rtd",,$A$2,"."&amp;C$135&amp;C$1&amp;"P"&amp;$A158))</f>
        <v>0</v>
      </c>
      <c r="D158" s="91">
        <f ca="1">IF(RTD("tos.rtd",,$A$2,"."&amp;D$135&amp;D$1&amp;"C"&amp;$A158)="N/A",0,RTD("tos.rtd",,$A$2,"."&amp;D$135&amp;D$1&amp;"C"&amp;$A158))-IF(RTD("tos.rtd",,$A$2,"."&amp;D$135&amp;D$1&amp;"P"&amp;$A158)="N/A",0,RTD("tos.rtd",,$A$2,"."&amp;D$135&amp;D$1&amp;"P"&amp;$A158))</f>
        <v>0</v>
      </c>
      <c r="E158" s="91">
        <f ca="1">IF(RTD("tos.rtd",,$A$2,"."&amp;E$135&amp;E$1&amp;"C"&amp;$A158)="N/A",0,RTD("tos.rtd",,$A$2,"."&amp;E$135&amp;E$1&amp;"C"&amp;$A158))-IF(RTD("tos.rtd",,$A$2,"."&amp;E$135&amp;E$1&amp;"P"&amp;$A158)="N/A",0,RTD("tos.rtd",,$A$2,"."&amp;E$135&amp;E$1&amp;"P"&amp;$A158))</f>
        <v>0</v>
      </c>
      <c r="F158" s="91">
        <f ca="1">IF(RTD("tos.rtd",,$A$2,"."&amp;F$135&amp;F$1&amp;"C"&amp;$A158)="N/A",0,RTD("tos.rtd",,$A$2,"."&amp;F$135&amp;F$1&amp;"C"&amp;$A158))-IF(RTD("tos.rtd",,$A$2,"."&amp;F$135&amp;F$1&amp;"P"&amp;$A158)="N/A",0,RTD("tos.rtd",,$A$2,"."&amp;F$135&amp;F$1&amp;"P"&amp;$A158))</f>
        <v>0</v>
      </c>
      <c r="G158" s="91">
        <f ca="1">IF(RTD("tos.rtd",,$A$2,"."&amp;G$135&amp;G$1&amp;"C"&amp;$A158)="N/A",0,RTD("tos.rtd",,$A$2,"."&amp;G$135&amp;G$1&amp;"C"&amp;$A158))-IF(RTD("tos.rtd",,$A$2,"."&amp;G$135&amp;G$1&amp;"P"&amp;$A158)="N/A",0,RTD("tos.rtd",,$A$2,"."&amp;G$135&amp;G$1&amp;"P"&amp;$A158))</f>
        <v>0</v>
      </c>
      <c r="H158" s="91">
        <f ca="1">IF(RTD("tos.rtd",,$A$2,"."&amp;H$135&amp;H$1&amp;"C"&amp;$A158)="N/A",0,RTD("tos.rtd",,$A$2,"."&amp;H$135&amp;H$1&amp;"C"&amp;$A158))-IF(RTD("tos.rtd",,$A$2,"."&amp;H$135&amp;H$1&amp;"P"&amp;$A158)="N/A",0,RTD("tos.rtd",,$A$2,"."&amp;H$135&amp;H$1&amp;"P"&amp;$A158))</f>
        <v>0</v>
      </c>
      <c r="I158" s="91">
        <f ca="1">IF(RTD("tos.rtd",,$A$2,"."&amp;I$135&amp;I$1&amp;"C"&amp;$A158)="N/A",0,RTD("tos.rtd",,$A$2,"."&amp;I$135&amp;I$1&amp;"C"&amp;$A158))-IF(RTD("tos.rtd",,$A$2,"."&amp;I$135&amp;I$1&amp;"P"&amp;$A158)="N/A",0,RTD("tos.rtd",,$A$2,"."&amp;I$135&amp;I$1&amp;"P"&amp;$A158))</f>
        <v>0</v>
      </c>
      <c r="J158" s="91">
        <f ca="1">IF(RTD("tos.rtd",,$A$2,"."&amp;J$135&amp;J$1&amp;"C"&amp;$A158)="N/A",0,RTD("tos.rtd",,$A$2,"."&amp;J$135&amp;J$1&amp;"C"&amp;$A158))-IF(RTD("tos.rtd",,$A$2,"."&amp;J$135&amp;J$1&amp;"P"&amp;$A158)="N/A",0,RTD("tos.rtd",,$A$2,"."&amp;J$135&amp;J$1&amp;"P"&amp;$A158))</f>
        <v>0</v>
      </c>
      <c r="K158" s="91">
        <f ca="1">IF(RTD("tos.rtd",,$A$2,"."&amp;K$135&amp;K$1&amp;"C"&amp;$A158)="N/A",0,RTD("tos.rtd",,$A$2,"."&amp;K$135&amp;K$1&amp;"C"&amp;$A158))-IF(RTD("tos.rtd",,$A$2,"."&amp;K$135&amp;K$1&amp;"P"&amp;$A158)="N/A",0,RTD("tos.rtd",,$A$2,"."&amp;K$135&amp;K$1&amp;"P"&amp;$A158))</f>
        <v>4</v>
      </c>
      <c r="L158" s="91">
        <f ca="1">IF(RTD("tos.rtd",,$A$2,"."&amp;L$135&amp;L$1&amp;"C"&amp;$A158)="N/A",0,RTD("tos.rtd",,$A$2,"."&amp;L$135&amp;L$1&amp;"C"&amp;$A158))-IF(RTD("tos.rtd",,$A$2,"."&amp;L$135&amp;L$1&amp;"P"&amp;$A158)="N/A",0,RTD("tos.rtd",,$A$2,"."&amp;L$135&amp;L$1&amp;"P"&amp;$A158))</f>
        <v>0</v>
      </c>
      <c r="M158" s="91">
        <f ca="1">IF(RTD("tos.rtd",,$A$2,"."&amp;M$135&amp;M$1&amp;"C"&amp;$A158)="N/A",0,RTD("tos.rtd",,$A$2,"."&amp;M$135&amp;M$1&amp;"C"&amp;$A158))-IF(RTD("tos.rtd",,$A$2,"."&amp;M$135&amp;M$1&amp;"P"&amp;$A158)="N/A",0,RTD("tos.rtd",,$A$2,"."&amp;M$135&amp;M$1&amp;"P"&amp;$A158))</f>
        <v>0</v>
      </c>
      <c r="N158" s="91">
        <f ca="1">IF(RTD("tos.rtd",,$A$2,"."&amp;N$135&amp;N$1&amp;"C"&amp;$A158)="N/A",0,RTD("tos.rtd",,$A$2,"."&amp;N$135&amp;N$1&amp;"C"&amp;$A158))-IF(RTD("tos.rtd",,$A$2,"."&amp;N$135&amp;N$1&amp;"P"&amp;$A158)="N/A",0,RTD("tos.rtd",,$A$2,"."&amp;N$135&amp;N$1&amp;"P"&amp;$A158))</f>
        <v>0</v>
      </c>
      <c r="O158" s="91">
        <f ca="1">IF(RTD("tos.rtd",,$A$2,"."&amp;O$135&amp;O$1&amp;"C"&amp;$A158)="N/A",0,RTD("tos.rtd",,$A$2,"."&amp;O$135&amp;O$1&amp;"C"&amp;$A158))-IF(RTD("tos.rtd",,$A$2,"."&amp;O$135&amp;O$1&amp;"P"&amp;$A158)="N/A",0,RTD("tos.rtd",,$A$2,"."&amp;O$135&amp;O$1&amp;"P"&amp;$A158))</f>
        <v>0</v>
      </c>
      <c r="P158" s="91">
        <f ca="1">IF(RTD("tos.rtd",,$A$2,"."&amp;P$135&amp;P$1&amp;"C"&amp;$A158)="N/A",0,RTD("tos.rtd",,$A$2,"."&amp;P$135&amp;P$1&amp;"C"&amp;$A158))-IF(RTD("tos.rtd",,$A$2,"."&amp;P$135&amp;P$1&amp;"P"&amp;$A158)="N/A",0,RTD("tos.rtd",,$A$2,"."&amp;P$135&amp;P$1&amp;"P"&amp;$A158))</f>
        <v>0</v>
      </c>
      <c r="Q158" s="91">
        <f ca="1">IF(RTD("tos.rtd",,$A$2,"."&amp;Q$135&amp;Q$1&amp;"C"&amp;$A158)="N/A",0,RTD("tos.rtd",,$A$2,"."&amp;Q$135&amp;Q$1&amp;"C"&amp;$A158))-IF(RTD("tos.rtd",,$A$2,"."&amp;Q$135&amp;Q$1&amp;"P"&amp;$A158)="N/A",0,RTD("tos.rtd",,$A$2,"."&amp;Q$135&amp;Q$1&amp;"P"&amp;$A158))</f>
        <v>0</v>
      </c>
      <c r="R158" s="91">
        <f ca="1">IF(RTD("tos.rtd",,$A$2,"."&amp;R$135&amp;R$1&amp;"C"&amp;$A158)="N/A",0,RTD("tos.rtd",,$A$2,"."&amp;R$135&amp;R$1&amp;"C"&amp;$A158))-IF(RTD("tos.rtd",,$A$2,"."&amp;R$135&amp;R$1&amp;"P"&amp;$A158)="N/A",0,RTD("tos.rtd",,$A$2,"."&amp;R$135&amp;R$1&amp;"P"&amp;$A158))</f>
        <v>0</v>
      </c>
      <c r="S158" s="91">
        <f ca="1">IF(RTD("tos.rtd",,$A$2,"."&amp;S$135&amp;S$1&amp;"C"&amp;$A158)="N/A",0,RTD("tos.rtd",,$A$2,"."&amp;S$135&amp;S$1&amp;"C"&amp;$A158))-IF(RTD("tos.rtd",,$A$2,"."&amp;S$135&amp;S$1&amp;"P"&amp;$A158)="N/A",0,RTD("tos.rtd",,$A$2,"."&amp;S$135&amp;S$1&amp;"P"&amp;$A158))</f>
        <v>0</v>
      </c>
      <c r="T158" s="91">
        <f ca="1">IF(RTD("tos.rtd",,$A$2,"."&amp;T$135&amp;T$1&amp;"C"&amp;$A158)="N/A",0,RTD("tos.rtd",,$A$2,"."&amp;T$135&amp;T$1&amp;"C"&amp;$A158))-IF(RTD("tos.rtd",,$A$2,"."&amp;T$135&amp;T$1&amp;"P"&amp;$A158)="N/A",0,RTD("tos.rtd",,$A$2,"."&amp;T$135&amp;T$1&amp;"P"&amp;$A158))</f>
        <v>0</v>
      </c>
      <c r="U158" s="91">
        <f ca="1">IF(RTD("tos.rtd",,$A$2,"."&amp;U$135&amp;U$1&amp;"C"&amp;$A158)="N/A",0,RTD("tos.rtd",,$A$2,"."&amp;U$135&amp;U$1&amp;"C"&amp;$A158))-IF(RTD("tos.rtd",,$A$2,"."&amp;U$135&amp;U$1&amp;"P"&amp;$A158)="N/A",0,RTD("tos.rtd",,$A$2,"."&amp;U$135&amp;U$1&amp;"P"&amp;$A158))</f>
        <v>0</v>
      </c>
      <c r="V158" s="91">
        <f ca="1">IF(RTD("tos.rtd",,$A$2,"."&amp;V$135&amp;V$1&amp;"C"&amp;$A158)="N/A",0,RTD("tos.rtd",,$A$2,"."&amp;V$135&amp;V$1&amp;"C"&amp;$A158))-IF(RTD("tos.rtd",,$A$2,"."&amp;V$135&amp;V$1&amp;"P"&amp;$A158)="N/A",0,RTD("tos.rtd",,$A$2,"."&amp;V$135&amp;V$1&amp;"P"&amp;$A158))</f>
        <v>0</v>
      </c>
      <c r="W158" s="91">
        <f ca="1">IF(RTD("tos.rtd",,$A$2,"."&amp;W$135&amp;W$1&amp;"C"&amp;$A158)="N/A",0,RTD("tos.rtd",,$A$2,"."&amp;W$135&amp;W$1&amp;"C"&amp;$A158))-IF(RTD("tos.rtd",,$A$2,"."&amp;W$135&amp;W$1&amp;"P"&amp;$A158)="N/A",0,RTD("tos.rtd",,$A$2,"."&amp;W$135&amp;W$1&amp;"P"&amp;$A158))</f>
        <v>0</v>
      </c>
      <c r="X158" s="91">
        <f ca="1">IF(RTD("tos.rtd",,$A$2,"."&amp;X$135&amp;X$1&amp;"C"&amp;$A158)="N/A",0,RTD("tos.rtd",,$A$2,"."&amp;X$135&amp;X$1&amp;"C"&amp;$A158))-IF(RTD("tos.rtd",,$A$2,"."&amp;X$135&amp;X$1&amp;"P"&amp;$A158)="N/A",0,RTD("tos.rtd",,$A$2,"."&amp;X$135&amp;X$1&amp;"P"&amp;$A158))</f>
        <v>0</v>
      </c>
      <c r="Y158" s="98">
        <f t="shared" ca="1" si="13"/>
        <v>4</v>
      </c>
      <c r="Z158" s="91"/>
      <c r="AA158" s="91"/>
    </row>
    <row r="159" spans="1:27" x14ac:dyDescent="0.25">
      <c r="A159" s="93">
        <f>+Hoja1!A158</f>
        <v>19925</v>
      </c>
      <c r="B159" s="91">
        <f ca="1">IF(RTD("tos.rtd",,$A$2,"."&amp;B$135&amp;B$1&amp;"C"&amp;$A159)="N/A",0,RTD("tos.rtd",,$A$2,"."&amp;B$135&amp;B$1&amp;"C"&amp;$A159))-IF(RTD("tos.rtd",,$A$2,"."&amp;B$135&amp;B$1&amp;"P"&amp;$A159)="N/A",0,RTD("tos.rtd",,$A$2,"."&amp;B$135&amp;B$1&amp;"P"&amp;$A159))</f>
        <v>0</v>
      </c>
      <c r="C159" s="91">
        <f ca="1">IF(RTD("tos.rtd",,$A$2,"."&amp;C$135&amp;C$1&amp;"C"&amp;$A159)="N/A",0,RTD("tos.rtd",,$A$2,"."&amp;C$135&amp;C$1&amp;"C"&amp;$A159))-IF(RTD("tos.rtd",,$A$2,"."&amp;C$135&amp;C$1&amp;"P"&amp;$A159)="N/A",0,RTD("tos.rtd",,$A$2,"."&amp;C$135&amp;C$1&amp;"P"&amp;$A159))</f>
        <v>0</v>
      </c>
      <c r="D159" s="91">
        <f ca="1">IF(RTD("tos.rtd",,$A$2,"."&amp;D$135&amp;D$1&amp;"C"&amp;$A159)="N/A",0,RTD("tos.rtd",,$A$2,"."&amp;D$135&amp;D$1&amp;"C"&amp;$A159))-IF(RTD("tos.rtd",,$A$2,"."&amp;D$135&amp;D$1&amp;"P"&amp;$A159)="N/A",0,RTD("tos.rtd",,$A$2,"."&amp;D$135&amp;D$1&amp;"P"&amp;$A159))</f>
        <v>0</v>
      </c>
      <c r="E159" s="91">
        <f ca="1">IF(RTD("tos.rtd",,$A$2,"."&amp;E$135&amp;E$1&amp;"C"&amp;$A159)="N/A",0,RTD("tos.rtd",,$A$2,"."&amp;E$135&amp;E$1&amp;"C"&amp;$A159))-IF(RTD("tos.rtd",,$A$2,"."&amp;E$135&amp;E$1&amp;"P"&amp;$A159)="N/A",0,RTD("tos.rtd",,$A$2,"."&amp;E$135&amp;E$1&amp;"P"&amp;$A159))</f>
        <v>0</v>
      </c>
      <c r="F159" s="91">
        <f ca="1">IF(RTD("tos.rtd",,$A$2,"."&amp;F$135&amp;F$1&amp;"C"&amp;$A159)="N/A",0,RTD("tos.rtd",,$A$2,"."&amp;F$135&amp;F$1&amp;"C"&amp;$A159))-IF(RTD("tos.rtd",,$A$2,"."&amp;F$135&amp;F$1&amp;"P"&amp;$A159)="N/A",0,RTD("tos.rtd",,$A$2,"."&amp;F$135&amp;F$1&amp;"P"&amp;$A159))</f>
        <v>0</v>
      </c>
      <c r="G159" s="91">
        <f ca="1">IF(RTD("tos.rtd",,$A$2,"."&amp;G$135&amp;G$1&amp;"C"&amp;$A159)="N/A",0,RTD("tos.rtd",,$A$2,"."&amp;G$135&amp;G$1&amp;"C"&amp;$A159))-IF(RTD("tos.rtd",,$A$2,"."&amp;G$135&amp;G$1&amp;"P"&amp;$A159)="N/A",0,RTD("tos.rtd",,$A$2,"."&amp;G$135&amp;G$1&amp;"P"&amp;$A159))</f>
        <v>0</v>
      </c>
      <c r="H159" s="91">
        <f ca="1">IF(RTD("tos.rtd",,$A$2,"."&amp;H$135&amp;H$1&amp;"C"&amp;$A159)="N/A",0,RTD("tos.rtd",,$A$2,"."&amp;H$135&amp;H$1&amp;"C"&amp;$A159))-IF(RTD("tos.rtd",,$A$2,"."&amp;H$135&amp;H$1&amp;"P"&amp;$A159)="N/A",0,RTD("tos.rtd",,$A$2,"."&amp;H$135&amp;H$1&amp;"P"&amp;$A159))</f>
        <v>0</v>
      </c>
      <c r="I159" s="91">
        <f ca="1">IF(RTD("tos.rtd",,$A$2,"."&amp;I$135&amp;I$1&amp;"C"&amp;$A159)="N/A",0,RTD("tos.rtd",,$A$2,"."&amp;I$135&amp;I$1&amp;"C"&amp;$A159))-IF(RTD("tos.rtd",,$A$2,"."&amp;I$135&amp;I$1&amp;"P"&amp;$A159)="N/A",0,RTD("tos.rtd",,$A$2,"."&amp;I$135&amp;I$1&amp;"P"&amp;$A159))</f>
        <v>0</v>
      </c>
      <c r="J159" s="91">
        <f ca="1">IF(RTD("tos.rtd",,$A$2,"."&amp;J$135&amp;J$1&amp;"C"&amp;$A159)="N/A",0,RTD("tos.rtd",,$A$2,"."&amp;J$135&amp;J$1&amp;"C"&amp;$A159))-IF(RTD("tos.rtd",,$A$2,"."&amp;J$135&amp;J$1&amp;"P"&amp;$A159)="N/A",0,RTD("tos.rtd",,$A$2,"."&amp;J$135&amp;J$1&amp;"P"&amp;$A159))</f>
        <v>0</v>
      </c>
      <c r="K159" s="91">
        <f ca="1">IF(RTD("tos.rtd",,$A$2,"."&amp;K$135&amp;K$1&amp;"C"&amp;$A159)="N/A",0,RTD("tos.rtd",,$A$2,"."&amp;K$135&amp;K$1&amp;"C"&amp;$A159))-IF(RTD("tos.rtd",,$A$2,"."&amp;K$135&amp;K$1&amp;"P"&amp;$A159)="N/A",0,RTD("tos.rtd",,$A$2,"."&amp;K$135&amp;K$1&amp;"P"&amp;$A159))</f>
        <v>2</v>
      </c>
      <c r="L159" s="91">
        <f ca="1">IF(RTD("tos.rtd",,$A$2,"."&amp;L$135&amp;L$1&amp;"C"&amp;$A159)="N/A",0,RTD("tos.rtd",,$A$2,"."&amp;L$135&amp;L$1&amp;"C"&amp;$A159))-IF(RTD("tos.rtd",,$A$2,"."&amp;L$135&amp;L$1&amp;"P"&amp;$A159)="N/A",0,RTD("tos.rtd",,$A$2,"."&amp;L$135&amp;L$1&amp;"P"&amp;$A159))</f>
        <v>0</v>
      </c>
      <c r="M159" s="91">
        <f ca="1">IF(RTD("tos.rtd",,$A$2,"."&amp;M$135&amp;M$1&amp;"C"&amp;$A159)="N/A",0,RTD("tos.rtd",,$A$2,"."&amp;M$135&amp;M$1&amp;"C"&amp;$A159))-IF(RTD("tos.rtd",,$A$2,"."&amp;M$135&amp;M$1&amp;"P"&amp;$A159)="N/A",0,RTD("tos.rtd",,$A$2,"."&amp;M$135&amp;M$1&amp;"P"&amp;$A159))</f>
        <v>0</v>
      </c>
      <c r="N159" s="91">
        <f ca="1">IF(RTD("tos.rtd",,$A$2,"."&amp;N$135&amp;N$1&amp;"C"&amp;$A159)="N/A",0,RTD("tos.rtd",,$A$2,"."&amp;N$135&amp;N$1&amp;"C"&amp;$A159))-IF(RTD("tos.rtd",,$A$2,"."&amp;N$135&amp;N$1&amp;"P"&amp;$A159)="N/A",0,RTD("tos.rtd",,$A$2,"."&amp;N$135&amp;N$1&amp;"P"&amp;$A159))</f>
        <v>0</v>
      </c>
      <c r="O159" s="91">
        <f ca="1">IF(RTD("tos.rtd",,$A$2,"."&amp;O$135&amp;O$1&amp;"C"&amp;$A159)="N/A",0,RTD("tos.rtd",,$A$2,"."&amp;O$135&amp;O$1&amp;"C"&amp;$A159))-IF(RTD("tos.rtd",,$A$2,"."&amp;O$135&amp;O$1&amp;"P"&amp;$A159)="N/A",0,RTD("tos.rtd",,$A$2,"."&amp;O$135&amp;O$1&amp;"P"&amp;$A159))</f>
        <v>0</v>
      </c>
      <c r="P159" s="91">
        <f ca="1">IF(RTD("tos.rtd",,$A$2,"."&amp;P$135&amp;P$1&amp;"C"&amp;$A159)="N/A",0,RTD("tos.rtd",,$A$2,"."&amp;P$135&amp;P$1&amp;"C"&amp;$A159))-IF(RTD("tos.rtd",,$A$2,"."&amp;P$135&amp;P$1&amp;"P"&amp;$A159)="N/A",0,RTD("tos.rtd",,$A$2,"."&amp;P$135&amp;P$1&amp;"P"&amp;$A159))</f>
        <v>0</v>
      </c>
      <c r="Q159" s="91">
        <f ca="1">IF(RTD("tos.rtd",,$A$2,"."&amp;Q$135&amp;Q$1&amp;"C"&amp;$A159)="N/A",0,RTD("tos.rtd",,$A$2,"."&amp;Q$135&amp;Q$1&amp;"C"&amp;$A159))-IF(RTD("tos.rtd",,$A$2,"."&amp;Q$135&amp;Q$1&amp;"P"&amp;$A159)="N/A",0,RTD("tos.rtd",,$A$2,"."&amp;Q$135&amp;Q$1&amp;"P"&amp;$A159))</f>
        <v>0</v>
      </c>
      <c r="R159" s="91">
        <f ca="1">IF(RTD("tos.rtd",,$A$2,"."&amp;R$135&amp;R$1&amp;"C"&amp;$A159)="N/A",0,RTD("tos.rtd",,$A$2,"."&amp;R$135&amp;R$1&amp;"C"&amp;$A159))-IF(RTD("tos.rtd",,$A$2,"."&amp;R$135&amp;R$1&amp;"P"&amp;$A159)="N/A",0,RTD("tos.rtd",,$A$2,"."&amp;R$135&amp;R$1&amp;"P"&amp;$A159))</f>
        <v>0</v>
      </c>
      <c r="S159" s="91">
        <f ca="1">IF(RTD("tos.rtd",,$A$2,"."&amp;S$135&amp;S$1&amp;"C"&amp;$A159)="N/A",0,RTD("tos.rtd",,$A$2,"."&amp;S$135&amp;S$1&amp;"C"&amp;$A159))-IF(RTD("tos.rtd",,$A$2,"."&amp;S$135&amp;S$1&amp;"P"&amp;$A159)="N/A",0,RTD("tos.rtd",,$A$2,"."&amp;S$135&amp;S$1&amp;"P"&amp;$A159))</f>
        <v>0</v>
      </c>
      <c r="T159" s="91">
        <f ca="1">IF(RTD("tos.rtd",,$A$2,"."&amp;T$135&amp;T$1&amp;"C"&amp;$A159)="N/A",0,RTD("tos.rtd",,$A$2,"."&amp;T$135&amp;T$1&amp;"C"&amp;$A159))-IF(RTD("tos.rtd",,$A$2,"."&amp;T$135&amp;T$1&amp;"P"&amp;$A159)="N/A",0,RTD("tos.rtd",,$A$2,"."&amp;T$135&amp;T$1&amp;"P"&amp;$A159))</f>
        <v>0</v>
      </c>
      <c r="U159" s="91">
        <f ca="1">IF(RTD("tos.rtd",,$A$2,"."&amp;U$135&amp;U$1&amp;"C"&amp;$A159)="N/A",0,RTD("tos.rtd",,$A$2,"."&amp;U$135&amp;U$1&amp;"C"&amp;$A159))-IF(RTD("tos.rtd",,$A$2,"."&amp;U$135&amp;U$1&amp;"P"&amp;$A159)="N/A",0,RTD("tos.rtd",,$A$2,"."&amp;U$135&amp;U$1&amp;"P"&amp;$A159))</f>
        <v>0</v>
      </c>
      <c r="V159" s="91">
        <f ca="1">IF(RTD("tos.rtd",,$A$2,"."&amp;V$135&amp;V$1&amp;"C"&amp;$A159)="N/A",0,RTD("tos.rtd",,$A$2,"."&amp;V$135&amp;V$1&amp;"C"&amp;$A159))-IF(RTD("tos.rtd",,$A$2,"."&amp;V$135&amp;V$1&amp;"P"&amp;$A159)="N/A",0,RTD("tos.rtd",,$A$2,"."&amp;V$135&amp;V$1&amp;"P"&amp;$A159))</f>
        <v>0</v>
      </c>
      <c r="W159" s="91">
        <f ca="1">IF(RTD("tos.rtd",,$A$2,"."&amp;W$135&amp;W$1&amp;"C"&amp;$A159)="N/A",0,RTD("tos.rtd",,$A$2,"."&amp;W$135&amp;W$1&amp;"C"&amp;$A159))-IF(RTD("tos.rtd",,$A$2,"."&amp;W$135&amp;W$1&amp;"P"&amp;$A159)="N/A",0,RTD("tos.rtd",,$A$2,"."&amp;W$135&amp;W$1&amp;"P"&amp;$A159))</f>
        <v>0</v>
      </c>
      <c r="X159" s="91">
        <f ca="1">IF(RTD("tos.rtd",,$A$2,"."&amp;X$135&amp;X$1&amp;"C"&amp;$A159)="N/A",0,RTD("tos.rtd",,$A$2,"."&amp;X$135&amp;X$1&amp;"C"&amp;$A159))-IF(RTD("tos.rtd",,$A$2,"."&amp;X$135&amp;X$1&amp;"P"&amp;$A159)="N/A",0,RTD("tos.rtd",,$A$2,"."&amp;X$135&amp;X$1&amp;"P"&amp;$A159))</f>
        <v>0</v>
      </c>
      <c r="Y159" s="98">
        <f t="shared" ca="1" si="13"/>
        <v>2</v>
      </c>
      <c r="Z159" s="91"/>
      <c r="AA159" s="91"/>
    </row>
    <row r="160" spans="1:27" x14ac:dyDescent="0.25">
      <c r="A160" s="93">
        <f>+Hoja1!A159</f>
        <v>19900</v>
      </c>
      <c r="B160" s="91">
        <f ca="1">IF(RTD("tos.rtd",,$A$2,"."&amp;B$135&amp;B$1&amp;"C"&amp;$A160)="N/A",0,RTD("tos.rtd",,$A$2,"."&amp;B$135&amp;B$1&amp;"C"&amp;$A160))-IF(RTD("tos.rtd",,$A$2,"."&amp;B$135&amp;B$1&amp;"P"&amp;$A160)="N/A",0,RTD("tos.rtd",,$A$2,"."&amp;B$135&amp;B$1&amp;"P"&amp;$A160))</f>
        <v>0</v>
      </c>
      <c r="C160" s="91">
        <f ca="1">IF(RTD("tos.rtd",,$A$2,"."&amp;C$135&amp;C$1&amp;"C"&amp;$A160)="N/A",0,RTD("tos.rtd",,$A$2,"."&amp;C$135&amp;C$1&amp;"C"&amp;$A160))-IF(RTD("tos.rtd",,$A$2,"."&amp;C$135&amp;C$1&amp;"P"&amp;$A160)="N/A",0,RTD("tos.rtd",,$A$2,"."&amp;C$135&amp;C$1&amp;"P"&amp;$A160))</f>
        <v>0</v>
      </c>
      <c r="D160" s="91">
        <f ca="1">IF(RTD("tos.rtd",,$A$2,"."&amp;D$135&amp;D$1&amp;"C"&amp;$A160)="N/A",0,RTD("tos.rtd",,$A$2,"."&amp;D$135&amp;D$1&amp;"C"&amp;$A160))-IF(RTD("tos.rtd",,$A$2,"."&amp;D$135&amp;D$1&amp;"P"&amp;$A160)="N/A",0,RTD("tos.rtd",,$A$2,"."&amp;D$135&amp;D$1&amp;"P"&amp;$A160))</f>
        <v>0</v>
      </c>
      <c r="E160" s="91">
        <f ca="1">IF(RTD("tos.rtd",,$A$2,"."&amp;E$135&amp;E$1&amp;"C"&amp;$A160)="N/A",0,RTD("tos.rtd",,$A$2,"."&amp;E$135&amp;E$1&amp;"C"&amp;$A160))-IF(RTD("tos.rtd",,$A$2,"."&amp;E$135&amp;E$1&amp;"P"&amp;$A160)="N/A",0,RTD("tos.rtd",,$A$2,"."&amp;E$135&amp;E$1&amp;"P"&amp;$A160))</f>
        <v>0</v>
      </c>
      <c r="F160" s="91">
        <f ca="1">IF(RTD("tos.rtd",,$A$2,"."&amp;F$135&amp;F$1&amp;"C"&amp;$A160)="N/A",0,RTD("tos.rtd",,$A$2,"."&amp;F$135&amp;F$1&amp;"C"&amp;$A160))-IF(RTD("tos.rtd",,$A$2,"."&amp;F$135&amp;F$1&amp;"P"&amp;$A160)="N/A",0,RTD("tos.rtd",,$A$2,"."&amp;F$135&amp;F$1&amp;"P"&amp;$A160))</f>
        <v>0</v>
      </c>
      <c r="G160" s="91">
        <f ca="1">IF(RTD("tos.rtd",,$A$2,"."&amp;G$135&amp;G$1&amp;"C"&amp;$A160)="N/A",0,RTD("tos.rtd",,$A$2,"."&amp;G$135&amp;G$1&amp;"C"&amp;$A160))-IF(RTD("tos.rtd",,$A$2,"."&amp;G$135&amp;G$1&amp;"P"&amp;$A160)="N/A",0,RTD("tos.rtd",,$A$2,"."&amp;G$135&amp;G$1&amp;"P"&amp;$A160))</f>
        <v>0</v>
      </c>
      <c r="H160" s="91">
        <f ca="1">IF(RTD("tos.rtd",,$A$2,"."&amp;H$135&amp;H$1&amp;"C"&amp;$A160)="N/A",0,RTD("tos.rtd",,$A$2,"."&amp;H$135&amp;H$1&amp;"C"&amp;$A160))-IF(RTD("tos.rtd",,$A$2,"."&amp;H$135&amp;H$1&amp;"P"&amp;$A160)="N/A",0,RTD("tos.rtd",,$A$2,"."&amp;H$135&amp;H$1&amp;"P"&amp;$A160))</f>
        <v>0</v>
      </c>
      <c r="I160" s="91">
        <f ca="1">IF(RTD("tos.rtd",,$A$2,"."&amp;I$135&amp;I$1&amp;"C"&amp;$A160)="N/A",0,RTD("tos.rtd",,$A$2,"."&amp;I$135&amp;I$1&amp;"C"&amp;$A160))-IF(RTD("tos.rtd",,$A$2,"."&amp;I$135&amp;I$1&amp;"P"&amp;$A160)="N/A",0,RTD("tos.rtd",,$A$2,"."&amp;I$135&amp;I$1&amp;"P"&amp;$A160))</f>
        <v>17</v>
      </c>
      <c r="J160" s="91">
        <f ca="1">IF(RTD("tos.rtd",,$A$2,"."&amp;J$135&amp;J$1&amp;"C"&amp;$A160)="N/A",0,RTD("tos.rtd",,$A$2,"."&amp;J$135&amp;J$1&amp;"C"&amp;$A160))-IF(RTD("tos.rtd",,$A$2,"."&amp;J$135&amp;J$1&amp;"P"&amp;$A160)="N/A",0,RTD("tos.rtd",,$A$2,"."&amp;J$135&amp;J$1&amp;"P"&amp;$A160))</f>
        <v>0</v>
      </c>
      <c r="K160" s="91">
        <f ca="1">IF(RTD("tos.rtd",,$A$2,"."&amp;K$135&amp;K$1&amp;"C"&amp;$A160)="N/A",0,RTD("tos.rtd",,$A$2,"."&amp;K$135&amp;K$1&amp;"C"&amp;$A160))-IF(RTD("tos.rtd",,$A$2,"."&amp;K$135&amp;K$1&amp;"P"&amp;$A160)="N/A",0,RTD("tos.rtd",,$A$2,"."&amp;K$135&amp;K$1&amp;"P"&amp;$A160))</f>
        <v>-3</v>
      </c>
      <c r="L160" s="91">
        <f ca="1">IF(RTD("tos.rtd",,$A$2,"."&amp;L$135&amp;L$1&amp;"C"&amp;$A160)="N/A",0,RTD("tos.rtd",,$A$2,"."&amp;L$135&amp;L$1&amp;"C"&amp;$A160))-IF(RTD("tos.rtd",,$A$2,"."&amp;L$135&amp;L$1&amp;"P"&amp;$A160)="N/A",0,RTD("tos.rtd",,$A$2,"."&amp;L$135&amp;L$1&amp;"P"&amp;$A160))</f>
        <v>0</v>
      </c>
      <c r="M160" s="91">
        <f ca="1">IF(RTD("tos.rtd",,$A$2,"."&amp;M$135&amp;M$1&amp;"C"&amp;$A160)="N/A",0,RTD("tos.rtd",,$A$2,"."&amp;M$135&amp;M$1&amp;"C"&amp;$A160))-IF(RTD("tos.rtd",,$A$2,"."&amp;M$135&amp;M$1&amp;"P"&amp;$A160)="N/A",0,RTD("tos.rtd",,$A$2,"."&amp;M$135&amp;M$1&amp;"P"&amp;$A160))</f>
        <v>0</v>
      </c>
      <c r="N160" s="91">
        <f ca="1">IF(RTD("tos.rtd",,$A$2,"."&amp;N$135&amp;N$1&amp;"C"&amp;$A160)="N/A",0,RTD("tos.rtd",,$A$2,"."&amp;N$135&amp;N$1&amp;"C"&amp;$A160))-IF(RTD("tos.rtd",,$A$2,"."&amp;N$135&amp;N$1&amp;"P"&amp;$A160)="N/A",0,RTD("tos.rtd",,$A$2,"."&amp;N$135&amp;N$1&amp;"P"&amp;$A160))</f>
        <v>0</v>
      </c>
      <c r="O160" s="91">
        <f ca="1">IF(RTD("tos.rtd",,$A$2,"."&amp;O$135&amp;O$1&amp;"C"&amp;$A160)="N/A",0,RTD("tos.rtd",,$A$2,"."&amp;O$135&amp;O$1&amp;"C"&amp;$A160))-IF(RTD("tos.rtd",,$A$2,"."&amp;O$135&amp;O$1&amp;"P"&amp;$A160)="N/A",0,RTD("tos.rtd",,$A$2,"."&amp;O$135&amp;O$1&amp;"P"&amp;$A160))</f>
        <v>0</v>
      </c>
      <c r="P160" s="91">
        <f ca="1">IF(RTD("tos.rtd",,$A$2,"."&amp;P$135&amp;P$1&amp;"C"&amp;$A160)="N/A",0,RTD("tos.rtd",,$A$2,"."&amp;P$135&amp;P$1&amp;"C"&amp;$A160))-IF(RTD("tos.rtd",,$A$2,"."&amp;P$135&amp;P$1&amp;"P"&amp;$A160)="N/A",0,RTD("tos.rtd",,$A$2,"."&amp;P$135&amp;P$1&amp;"P"&amp;$A160))</f>
        <v>0</v>
      </c>
      <c r="Q160" s="91">
        <f ca="1">IF(RTD("tos.rtd",,$A$2,"."&amp;Q$135&amp;Q$1&amp;"C"&amp;$A160)="N/A",0,RTD("tos.rtd",,$A$2,"."&amp;Q$135&amp;Q$1&amp;"C"&amp;$A160))-IF(RTD("tos.rtd",,$A$2,"."&amp;Q$135&amp;Q$1&amp;"P"&amp;$A160)="N/A",0,RTD("tos.rtd",,$A$2,"."&amp;Q$135&amp;Q$1&amp;"P"&amp;$A160))</f>
        <v>0</v>
      </c>
      <c r="R160" s="91">
        <f ca="1">IF(RTD("tos.rtd",,$A$2,"."&amp;R$135&amp;R$1&amp;"C"&amp;$A160)="N/A",0,RTD("tos.rtd",,$A$2,"."&amp;R$135&amp;R$1&amp;"C"&amp;$A160))-IF(RTD("tos.rtd",,$A$2,"."&amp;R$135&amp;R$1&amp;"P"&amp;$A160)="N/A",0,RTD("tos.rtd",,$A$2,"."&amp;R$135&amp;R$1&amp;"P"&amp;$A160))</f>
        <v>0</v>
      </c>
      <c r="S160" s="91">
        <f ca="1">IF(RTD("tos.rtd",,$A$2,"."&amp;S$135&amp;S$1&amp;"C"&amp;$A160)="N/A",0,RTD("tos.rtd",,$A$2,"."&amp;S$135&amp;S$1&amp;"C"&amp;$A160))-IF(RTD("tos.rtd",,$A$2,"."&amp;S$135&amp;S$1&amp;"P"&amp;$A160)="N/A",0,RTD("tos.rtd",,$A$2,"."&amp;S$135&amp;S$1&amp;"P"&amp;$A160))</f>
        <v>0</v>
      </c>
      <c r="T160" s="91">
        <f ca="1">IF(RTD("tos.rtd",,$A$2,"."&amp;T$135&amp;T$1&amp;"C"&amp;$A160)="N/A",0,RTD("tos.rtd",,$A$2,"."&amp;T$135&amp;T$1&amp;"C"&amp;$A160))-IF(RTD("tos.rtd",,$A$2,"."&amp;T$135&amp;T$1&amp;"P"&amp;$A160)="N/A",0,RTD("tos.rtd",,$A$2,"."&amp;T$135&amp;T$1&amp;"P"&amp;$A160))</f>
        <v>0</v>
      </c>
      <c r="U160" s="91">
        <f ca="1">IF(RTD("tos.rtd",,$A$2,"."&amp;U$135&amp;U$1&amp;"C"&amp;$A160)="N/A",0,RTD("tos.rtd",,$A$2,"."&amp;U$135&amp;U$1&amp;"C"&amp;$A160))-IF(RTD("tos.rtd",,$A$2,"."&amp;U$135&amp;U$1&amp;"P"&amp;$A160)="N/A",0,RTD("tos.rtd",,$A$2,"."&amp;U$135&amp;U$1&amp;"P"&amp;$A160))</f>
        <v>0</v>
      </c>
      <c r="V160" s="91">
        <f ca="1">IF(RTD("tos.rtd",,$A$2,"."&amp;V$135&amp;V$1&amp;"C"&amp;$A160)="N/A",0,RTD("tos.rtd",,$A$2,"."&amp;V$135&amp;V$1&amp;"C"&amp;$A160))-IF(RTD("tos.rtd",,$A$2,"."&amp;V$135&amp;V$1&amp;"P"&amp;$A160)="N/A",0,RTD("tos.rtd",,$A$2,"."&amp;V$135&amp;V$1&amp;"P"&amp;$A160))</f>
        <v>0</v>
      </c>
      <c r="W160" s="91">
        <f ca="1">IF(RTD("tos.rtd",,$A$2,"."&amp;W$135&amp;W$1&amp;"C"&amp;$A160)="N/A",0,RTD("tos.rtd",,$A$2,"."&amp;W$135&amp;W$1&amp;"C"&amp;$A160))-IF(RTD("tos.rtd",,$A$2,"."&amp;W$135&amp;W$1&amp;"P"&amp;$A160)="N/A",0,RTD("tos.rtd",,$A$2,"."&amp;W$135&amp;W$1&amp;"P"&amp;$A160))</f>
        <v>0</v>
      </c>
      <c r="X160" s="91">
        <f ca="1">IF(RTD("tos.rtd",,$A$2,"."&amp;X$135&amp;X$1&amp;"C"&amp;$A160)="N/A",0,RTD("tos.rtd",,$A$2,"."&amp;X$135&amp;X$1&amp;"C"&amp;$A160))-IF(RTD("tos.rtd",,$A$2,"."&amp;X$135&amp;X$1&amp;"P"&amp;$A160)="N/A",0,RTD("tos.rtd",,$A$2,"."&amp;X$135&amp;X$1&amp;"P"&amp;$A160))</f>
        <v>0</v>
      </c>
      <c r="Y160" s="98">
        <f t="shared" ca="1" si="13"/>
        <v>14</v>
      </c>
      <c r="Z160" s="91"/>
      <c r="AA160" s="91"/>
    </row>
    <row r="161" spans="1:27" x14ac:dyDescent="0.25">
      <c r="A161" s="93">
        <f>+Hoja1!A160</f>
        <v>19875</v>
      </c>
      <c r="B161" s="91">
        <f ca="1">IF(RTD("tos.rtd",,$A$2,"."&amp;B$135&amp;B$1&amp;"C"&amp;$A161)="N/A",0,RTD("tos.rtd",,$A$2,"."&amp;B$135&amp;B$1&amp;"C"&amp;$A161))-IF(RTD("tos.rtd",,$A$2,"."&amp;B$135&amp;B$1&amp;"P"&amp;$A161)="N/A",0,RTD("tos.rtd",,$A$2,"."&amp;B$135&amp;B$1&amp;"P"&amp;$A161))</f>
        <v>0</v>
      </c>
      <c r="C161" s="91">
        <f ca="1">IF(RTD("tos.rtd",,$A$2,"."&amp;C$135&amp;C$1&amp;"C"&amp;$A161)="N/A",0,RTD("tos.rtd",,$A$2,"."&amp;C$135&amp;C$1&amp;"C"&amp;$A161))-IF(RTD("tos.rtd",,$A$2,"."&amp;C$135&amp;C$1&amp;"P"&amp;$A161)="N/A",0,RTD("tos.rtd",,$A$2,"."&amp;C$135&amp;C$1&amp;"P"&amp;$A161))</f>
        <v>0</v>
      </c>
      <c r="D161" s="91">
        <f ca="1">IF(RTD("tos.rtd",,$A$2,"."&amp;D$135&amp;D$1&amp;"C"&amp;$A161)="N/A",0,RTD("tos.rtd",,$A$2,"."&amp;D$135&amp;D$1&amp;"C"&amp;$A161))-IF(RTD("tos.rtd",,$A$2,"."&amp;D$135&amp;D$1&amp;"P"&amp;$A161)="N/A",0,RTD("tos.rtd",,$A$2,"."&amp;D$135&amp;D$1&amp;"P"&amp;$A161))</f>
        <v>0</v>
      </c>
      <c r="E161" s="91">
        <f ca="1">IF(RTD("tos.rtd",,$A$2,"."&amp;E$135&amp;E$1&amp;"C"&amp;$A161)="N/A",0,RTD("tos.rtd",,$A$2,"."&amp;E$135&amp;E$1&amp;"C"&amp;$A161))-IF(RTD("tos.rtd",,$A$2,"."&amp;E$135&amp;E$1&amp;"P"&amp;$A161)="N/A",0,RTD("tos.rtd",,$A$2,"."&amp;E$135&amp;E$1&amp;"P"&amp;$A161))</f>
        <v>0</v>
      </c>
      <c r="F161" s="91">
        <f ca="1">IF(RTD("tos.rtd",,$A$2,"."&amp;F$135&amp;F$1&amp;"C"&amp;$A161)="N/A",0,RTD("tos.rtd",,$A$2,"."&amp;F$135&amp;F$1&amp;"C"&amp;$A161))-IF(RTD("tos.rtd",,$A$2,"."&amp;F$135&amp;F$1&amp;"P"&amp;$A161)="N/A",0,RTD("tos.rtd",,$A$2,"."&amp;F$135&amp;F$1&amp;"P"&amp;$A161))</f>
        <v>0</v>
      </c>
      <c r="G161" s="91">
        <f ca="1">IF(RTD("tos.rtd",,$A$2,"."&amp;G$135&amp;G$1&amp;"C"&amp;$A161)="N/A",0,RTD("tos.rtd",,$A$2,"."&amp;G$135&amp;G$1&amp;"C"&amp;$A161))-IF(RTD("tos.rtd",,$A$2,"."&amp;G$135&amp;G$1&amp;"P"&amp;$A161)="N/A",0,RTD("tos.rtd",,$A$2,"."&amp;G$135&amp;G$1&amp;"P"&amp;$A161))</f>
        <v>0</v>
      </c>
      <c r="H161" s="91">
        <f ca="1">IF(RTD("tos.rtd",,$A$2,"."&amp;H$135&amp;H$1&amp;"C"&amp;$A161)="N/A",0,RTD("tos.rtd",,$A$2,"."&amp;H$135&amp;H$1&amp;"C"&amp;$A161))-IF(RTD("tos.rtd",,$A$2,"."&amp;H$135&amp;H$1&amp;"P"&amp;$A161)="N/A",0,RTD("tos.rtd",,$A$2,"."&amp;H$135&amp;H$1&amp;"P"&amp;$A161))</f>
        <v>0</v>
      </c>
      <c r="I161" s="91">
        <f ca="1">IF(RTD("tos.rtd",,$A$2,"."&amp;I$135&amp;I$1&amp;"C"&amp;$A161)="N/A",0,RTD("tos.rtd",,$A$2,"."&amp;I$135&amp;I$1&amp;"C"&amp;$A161))-IF(RTD("tos.rtd",,$A$2,"."&amp;I$135&amp;I$1&amp;"P"&amp;$A161)="N/A",0,RTD("tos.rtd",,$A$2,"."&amp;I$135&amp;I$1&amp;"P"&amp;$A161))</f>
        <v>-1</v>
      </c>
      <c r="J161" s="91">
        <f ca="1">IF(RTD("tos.rtd",,$A$2,"."&amp;J$135&amp;J$1&amp;"C"&amp;$A161)="N/A",0,RTD("tos.rtd",,$A$2,"."&amp;J$135&amp;J$1&amp;"C"&amp;$A161))-IF(RTD("tos.rtd",,$A$2,"."&amp;J$135&amp;J$1&amp;"P"&amp;$A161)="N/A",0,RTD("tos.rtd",,$A$2,"."&amp;J$135&amp;J$1&amp;"P"&amp;$A161))</f>
        <v>0</v>
      </c>
      <c r="K161" s="91">
        <f ca="1">IF(RTD("tos.rtd",,$A$2,"."&amp;K$135&amp;K$1&amp;"C"&amp;$A161)="N/A",0,RTD("tos.rtd",,$A$2,"."&amp;K$135&amp;K$1&amp;"C"&amp;$A161))-IF(RTD("tos.rtd",,$A$2,"."&amp;K$135&amp;K$1&amp;"P"&amp;$A161)="N/A",0,RTD("tos.rtd",,$A$2,"."&amp;K$135&amp;K$1&amp;"P"&amp;$A161))</f>
        <v>1</v>
      </c>
      <c r="L161" s="91">
        <f ca="1">IF(RTD("tos.rtd",,$A$2,"."&amp;L$135&amp;L$1&amp;"C"&amp;$A161)="N/A",0,RTD("tos.rtd",,$A$2,"."&amp;L$135&amp;L$1&amp;"C"&amp;$A161))-IF(RTD("tos.rtd",,$A$2,"."&amp;L$135&amp;L$1&amp;"P"&amp;$A161)="N/A",0,RTD("tos.rtd",,$A$2,"."&amp;L$135&amp;L$1&amp;"P"&amp;$A161))</f>
        <v>1</v>
      </c>
      <c r="M161" s="91">
        <f ca="1">IF(RTD("tos.rtd",,$A$2,"."&amp;M$135&amp;M$1&amp;"C"&amp;$A161)="N/A",0,RTD("tos.rtd",,$A$2,"."&amp;M$135&amp;M$1&amp;"C"&amp;$A161))-IF(RTD("tos.rtd",,$A$2,"."&amp;M$135&amp;M$1&amp;"P"&amp;$A161)="N/A",0,RTD("tos.rtd",,$A$2,"."&amp;M$135&amp;M$1&amp;"P"&amp;$A161))</f>
        <v>0</v>
      </c>
      <c r="N161" s="91">
        <f ca="1">IF(RTD("tos.rtd",,$A$2,"."&amp;N$135&amp;N$1&amp;"C"&amp;$A161)="N/A",0,RTD("tos.rtd",,$A$2,"."&amp;N$135&amp;N$1&amp;"C"&amp;$A161))-IF(RTD("tos.rtd",,$A$2,"."&amp;N$135&amp;N$1&amp;"P"&amp;$A161)="N/A",0,RTD("tos.rtd",,$A$2,"."&amp;N$135&amp;N$1&amp;"P"&amp;$A161))</f>
        <v>0</v>
      </c>
      <c r="O161" s="91">
        <f ca="1">IF(RTD("tos.rtd",,$A$2,"."&amp;O$135&amp;O$1&amp;"C"&amp;$A161)="N/A",0,RTD("tos.rtd",,$A$2,"."&amp;O$135&amp;O$1&amp;"C"&amp;$A161))-IF(RTD("tos.rtd",,$A$2,"."&amp;O$135&amp;O$1&amp;"P"&amp;$A161)="N/A",0,RTD("tos.rtd",,$A$2,"."&amp;O$135&amp;O$1&amp;"P"&amp;$A161))</f>
        <v>0</v>
      </c>
      <c r="P161" s="91">
        <f ca="1">IF(RTD("tos.rtd",,$A$2,"."&amp;P$135&amp;P$1&amp;"C"&amp;$A161)="N/A",0,RTD("tos.rtd",,$A$2,"."&amp;P$135&amp;P$1&amp;"C"&amp;$A161))-IF(RTD("tos.rtd",,$A$2,"."&amp;P$135&amp;P$1&amp;"P"&amp;$A161)="N/A",0,RTD("tos.rtd",,$A$2,"."&amp;P$135&amp;P$1&amp;"P"&amp;$A161))</f>
        <v>0</v>
      </c>
      <c r="Q161" s="91">
        <f ca="1">IF(RTD("tos.rtd",,$A$2,"."&amp;Q$135&amp;Q$1&amp;"C"&amp;$A161)="N/A",0,RTD("tos.rtd",,$A$2,"."&amp;Q$135&amp;Q$1&amp;"C"&amp;$A161))-IF(RTD("tos.rtd",,$A$2,"."&amp;Q$135&amp;Q$1&amp;"P"&amp;$A161)="N/A",0,RTD("tos.rtd",,$A$2,"."&amp;Q$135&amp;Q$1&amp;"P"&amp;$A161))</f>
        <v>0</v>
      </c>
      <c r="R161" s="91">
        <f ca="1">IF(RTD("tos.rtd",,$A$2,"."&amp;R$135&amp;R$1&amp;"C"&amp;$A161)="N/A",0,RTD("tos.rtd",,$A$2,"."&amp;R$135&amp;R$1&amp;"C"&amp;$A161))-IF(RTD("tos.rtd",,$A$2,"."&amp;R$135&amp;R$1&amp;"P"&amp;$A161)="N/A",0,RTD("tos.rtd",,$A$2,"."&amp;R$135&amp;R$1&amp;"P"&amp;$A161))</f>
        <v>0</v>
      </c>
      <c r="S161" s="91">
        <f ca="1">IF(RTD("tos.rtd",,$A$2,"."&amp;S$135&amp;S$1&amp;"C"&amp;$A161)="N/A",0,RTD("tos.rtd",,$A$2,"."&amp;S$135&amp;S$1&amp;"C"&amp;$A161))-IF(RTD("tos.rtd",,$A$2,"."&amp;S$135&amp;S$1&amp;"P"&amp;$A161)="N/A",0,RTD("tos.rtd",,$A$2,"."&amp;S$135&amp;S$1&amp;"P"&amp;$A161))</f>
        <v>0</v>
      </c>
      <c r="T161" s="91">
        <f ca="1">IF(RTD("tos.rtd",,$A$2,"."&amp;T$135&amp;T$1&amp;"C"&amp;$A161)="N/A",0,RTD("tos.rtd",,$A$2,"."&amp;T$135&amp;T$1&amp;"C"&amp;$A161))-IF(RTD("tos.rtd",,$A$2,"."&amp;T$135&amp;T$1&amp;"P"&amp;$A161)="N/A",0,RTD("tos.rtd",,$A$2,"."&amp;T$135&amp;T$1&amp;"P"&amp;$A161))</f>
        <v>0</v>
      </c>
      <c r="U161" s="91">
        <f ca="1">IF(RTD("tos.rtd",,$A$2,"."&amp;U$135&amp;U$1&amp;"C"&amp;$A161)="N/A",0,RTD("tos.rtd",,$A$2,"."&amp;U$135&amp;U$1&amp;"C"&amp;$A161))-IF(RTD("tos.rtd",,$A$2,"."&amp;U$135&amp;U$1&amp;"P"&amp;$A161)="N/A",0,RTD("tos.rtd",,$A$2,"."&amp;U$135&amp;U$1&amp;"P"&amp;$A161))</f>
        <v>0</v>
      </c>
      <c r="V161" s="91">
        <f ca="1">IF(RTD("tos.rtd",,$A$2,"."&amp;V$135&amp;V$1&amp;"C"&amp;$A161)="N/A",0,RTD("tos.rtd",,$A$2,"."&amp;V$135&amp;V$1&amp;"C"&amp;$A161))-IF(RTD("tos.rtd",,$A$2,"."&amp;V$135&amp;V$1&amp;"P"&amp;$A161)="N/A",0,RTD("tos.rtd",,$A$2,"."&amp;V$135&amp;V$1&amp;"P"&amp;$A161))</f>
        <v>0</v>
      </c>
      <c r="W161" s="91">
        <f ca="1">IF(RTD("tos.rtd",,$A$2,"."&amp;W$135&amp;W$1&amp;"C"&amp;$A161)="N/A",0,RTD("tos.rtd",,$A$2,"."&amp;W$135&amp;W$1&amp;"C"&amp;$A161))-IF(RTD("tos.rtd",,$A$2,"."&amp;W$135&amp;W$1&amp;"P"&amp;$A161)="N/A",0,RTD("tos.rtd",,$A$2,"."&amp;W$135&amp;W$1&amp;"P"&amp;$A161))</f>
        <v>0</v>
      </c>
      <c r="X161" s="91">
        <f ca="1">IF(RTD("tos.rtd",,$A$2,"."&amp;X$135&amp;X$1&amp;"C"&amp;$A161)="N/A",0,RTD("tos.rtd",,$A$2,"."&amp;X$135&amp;X$1&amp;"C"&amp;$A161))-IF(RTD("tos.rtd",,$A$2,"."&amp;X$135&amp;X$1&amp;"P"&amp;$A161)="N/A",0,RTD("tos.rtd",,$A$2,"."&amp;X$135&amp;X$1&amp;"P"&amp;$A161))</f>
        <v>0</v>
      </c>
      <c r="Y161" s="98">
        <f t="shared" ca="1" si="13"/>
        <v>1</v>
      </c>
      <c r="Z161" s="91"/>
      <c r="AA161" s="91"/>
    </row>
    <row r="162" spans="1:27" x14ac:dyDescent="0.25">
      <c r="A162" s="93">
        <f>+Hoja1!A161</f>
        <v>19850</v>
      </c>
      <c r="B162" s="91">
        <f ca="1">IF(RTD("tos.rtd",,$A$2,"."&amp;B$135&amp;B$1&amp;"C"&amp;$A162)="N/A",0,RTD("tos.rtd",,$A$2,"."&amp;B$135&amp;B$1&amp;"C"&amp;$A162))-IF(RTD("tos.rtd",,$A$2,"."&amp;B$135&amp;B$1&amp;"P"&amp;$A162)="N/A",0,RTD("tos.rtd",,$A$2,"."&amp;B$135&amp;B$1&amp;"P"&amp;$A162))</f>
        <v>0</v>
      </c>
      <c r="C162" s="91">
        <f ca="1">IF(RTD("tos.rtd",,$A$2,"."&amp;C$135&amp;C$1&amp;"C"&amp;$A162)="N/A",0,RTD("tos.rtd",,$A$2,"."&amp;C$135&amp;C$1&amp;"C"&amp;$A162))-IF(RTD("tos.rtd",,$A$2,"."&amp;C$135&amp;C$1&amp;"P"&amp;$A162)="N/A",0,RTD("tos.rtd",,$A$2,"."&amp;C$135&amp;C$1&amp;"P"&amp;$A162))</f>
        <v>0</v>
      </c>
      <c r="D162" s="91">
        <f ca="1">IF(RTD("tos.rtd",,$A$2,"."&amp;D$135&amp;D$1&amp;"C"&amp;$A162)="N/A",0,RTD("tos.rtd",,$A$2,"."&amp;D$135&amp;D$1&amp;"C"&amp;$A162))-IF(RTD("tos.rtd",,$A$2,"."&amp;D$135&amp;D$1&amp;"P"&amp;$A162)="N/A",0,RTD("tos.rtd",,$A$2,"."&amp;D$135&amp;D$1&amp;"P"&amp;$A162))</f>
        <v>0</v>
      </c>
      <c r="E162" s="91">
        <f ca="1">IF(RTD("tos.rtd",,$A$2,"."&amp;E$135&amp;E$1&amp;"C"&amp;$A162)="N/A",0,RTD("tos.rtd",,$A$2,"."&amp;E$135&amp;E$1&amp;"C"&amp;$A162))-IF(RTD("tos.rtd",,$A$2,"."&amp;E$135&amp;E$1&amp;"P"&amp;$A162)="N/A",0,RTD("tos.rtd",,$A$2,"."&amp;E$135&amp;E$1&amp;"P"&amp;$A162))</f>
        <v>0</v>
      </c>
      <c r="F162" s="91">
        <f ca="1">IF(RTD("tos.rtd",,$A$2,"."&amp;F$135&amp;F$1&amp;"C"&amp;$A162)="N/A",0,RTD("tos.rtd",,$A$2,"."&amp;F$135&amp;F$1&amp;"C"&amp;$A162))-IF(RTD("tos.rtd",,$A$2,"."&amp;F$135&amp;F$1&amp;"P"&amp;$A162)="N/A",0,RTD("tos.rtd",,$A$2,"."&amp;F$135&amp;F$1&amp;"P"&amp;$A162))</f>
        <v>0</v>
      </c>
      <c r="G162" s="91">
        <f ca="1">IF(RTD("tos.rtd",,$A$2,"."&amp;G$135&amp;G$1&amp;"C"&amp;$A162)="N/A",0,RTD("tos.rtd",,$A$2,"."&amp;G$135&amp;G$1&amp;"C"&amp;$A162))-IF(RTD("tos.rtd",,$A$2,"."&amp;G$135&amp;G$1&amp;"P"&amp;$A162)="N/A",0,RTD("tos.rtd",,$A$2,"."&amp;G$135&amp;G$1&amp;"P"&amp;$A162))</f>
        <v>0</v>
      </c>
      <c r="H162" s="91">
        <f ca="1">IF(RTD("tos.rtd",,$A$2,"."&amp;H$135&amp;H$1&amp;"C"&amp;$A162)="N/A",0,RTD("tos.rtd",,$A$2,"."&amp;H$135&amp;H$1&amp;"C"&amp;$A162))-IF(RTD("tos.rtd",,$A$2,"."&amp;H$135&amp;H$1&amp;"P"&amp;$A162)="N/A",0,RTD("tos.rtd",,$A$2,"."&amp;H$135&amp;H$1&amp;"P"&amp;$A162))</f>
        <v>0</v>
      </c>
      <c r="I162" s="91">
        <f ca="1">IF(RTD("tos.rtd",,$A$2,"."&amp;I$135&amp;I$1&amp;"C"&amp;$A162)="N/A",0,RTD("tos.rtd",,$A$2,"."&amp;I$135&amp;I$1&amp;"C"&amp;$A162))-IF(RTD("tos.rtd",,$A$2,"."&amp;I$135&amp;I$1&amp;"P"&amp;$A162)="N/A",0,RTD("tos.rtd",,$A$2,"."&amp;I$135&amp;I$1&amp;"P"&amp;$A162))</f>
        <v>0</v>
      </c>
      <c r="J162" s="91">
        <f ca="1">IF(RTD("tos.rtd",,$A$2,"."&amp;J$135&amp;J$1&amp;"C"&amp;$A162)="N/A",0,RTD("tos.rtd",,$A$2,"."&amp;J$135&amp;J$1&amp;"C"&amp;$A162))-IF(RTD("tos.rtd",,$A$2,"."&amp;J$135&amp;J$1&amp;"P"&amp;$A162)="N/A",0,RTD("tos.rtd",,$A$2,"."&amp;J$135&amp;J$1&amp;"P"&amp;$A162))</f>
        <v>1</v>
      </c>
      <c r="K162" s="91">
        <f ca="1">IF(RTD("tos.rtd",,$A$2,"."&amp;K$135&amp;K$1&amp;"C"&amp;$A162)="N/A",0,RTD("tos.rtd",,$A$2,"."&amp;K$135&amp;K$1&amp;"C"&amp;$A162))-IF(RTD("tos.rtd",,$A$2,"."&amp;K$135&amp;K$1&amp;"P"&amp;$A162)="N/A",0,RTD("tos.rtd",,$A$2,"."&amp;K$135&amp;K$1&amp;"P"&amp;$A162))</f>
        <v>1</v>
      </c>
      <c r="L162" s="91">
        <f ca="1">IF(RTD("tos.rtd",,$A$2,"."&amp;L$135&amp;L$1&amp;"C"&amp;$A162)="N/A",0,RTD("tos.rtd",,$A$2,"."&amp;L$135&amp;L$1&amp;"C"&amp;$A162))-IF(RTD("tos.rtd",,$A$2,"."&amp;L$135&amp;L$1&amp;"P"&amp;$A162)="N/A",0,RTD("tos.rtd",,$A$2,"."&amp;L$135&amp;L$1&amp;"P"&amp;$A162))</f>
        <v>1</v>
      </c>
      <c r="M162" s="91">
        <f ca="1">IF(RTD("tos.rtd",,$A$2,"."&amp;M$135&amp;M$1&amp;"C"&amp;$A162)="N/A",0,RTD("tos.rtd",,$A$2,"."&amp;M$135&amp;M$1&amp;"C"&amp;$A162))-IF(RTD("tos.rtd",,$A$2,"."&amp;M$135&amp;M$1&amp;"P"&amp;$A162)="N/A",0,RTD("tos.rtd",,$A$2,"."&amp;M$135&amp;M$1&amp;"P"&amp;$A162))</f>
        <v>0</v>
      </c>
      <c r="N162" s="91">
        <f ca="1">IF(RTD("tos.rtd",,$A$2,"."&amp;N$135&amp;N$1&amp;"C"&amp;$A162)="N/A",0,RTD("tos.rtd",,$A$2,"."&amp;N$135&amp;N$1&amp;"C"&amp;$A162))-IF(RTD("tos.rtd",,$A$2,"."&amp;N$135&amp;N$1&amp;"P"&amp;$A162)="N/A",0,RTD("tos.rtd",,$A$2,"."&amp;N$135&amp;N$1&amp;"P"&amp;$A162))</f>
        <v>0</v>
      </c>
      <c r="O162" s="91">
        <f ca="1">IF(RTD("tos.rtd",,$A$2,"."&amp;O$135&amp;O$1&amp;"C"&amp;$A162)="N/A",0,RTD("tos.rtd",,$A$2,"."&amp;O$135&amp;O$1&amp;"C"&amp;$A162))-IF(RTD("tos.rtd",,$A$2,"."&amp;O$135&amp;O$1&amp;"P"&amp;$A162)="N/A",0,RTD("tos.rtd",,$A$2,"."&amp;O$135&amp;O$1&amp;"P"&amp;$A162))</f>
        <v>0</v>
      </c>
      <c r="P162" s="91">
        <f ca="1">IF(RTD("tos.rtd",,$A$2,"."&amp;P$135&amp;P$1&amp;"C"&amp;$A162)="N/A",0,RTD("tos.rtd",,$A$2,"."&amp;P$135&amp;P$1&amp;"C"&amp;$A162))-IF(RTD("tos.rtd",,$A$2,"."&amp;P$135&amp;P$1&amp;"P"&amp;$A162)="N/A",0,RTD("tos.rtd",,$A$2,"."&amp;P$135&amp;P$1&amp;"P"&amp;$A162))</f>
        <v>0</v>
      </c>
      <c r="Q162" s="91">
        <f ca="1">IF(RTD("tos.rtd",,$A$2,"."&amp;Q$135&amp;Q$1&amp;"C"&amp;$A162)="N/A",0,RTD("tos.rtd",,$A$2,"."&amp;Q$135&amp;Q$1&amp;"C"&amp;$A162))-IF(RTD("tos.rtd",,$A$2,"."&amp;Q$135&amp;Q$1&amp;"P"&amp;$A162)="N/A",0,RTD("tos.rtd",,$A$2,"."&amp;Q$135&amp;Q$1&amp;"P"&amp;$A162))</f>
        <v>0</v>
      </c>
      <c r="R162" s="91">
        <f ca="1">IF(RTD("tos.rtd",,$A$2,"."&amp;R$135&amp;R$1&amp;"C"&amp;$A162)="N/A",0,RTD("tos.rtd",,$A$2,"."&amp;R$135&amp;R$1&amp;"C"&amp;$A162))-IF(RTD("tos.rtd",,$A$2,"."&amp;R$135&amp;R$1&amp;"P"&amp;$A162)="N/A",0,RTD("tos.rtd",,$A$2,"."&amp;R$135&amp;R$1&amp;"P"&amp;$A162))</f>
        <v>0</v>
      </c>
      <c r="S162" s="91">
        <f ca="1">IF(RTD("tos.rtd",,$A$2,"."&amp;S$135&amp;S$1&amp;"C"&amp;$A162)="N/A",0,RTD("tos.rtd",,$A$2,"."&amp;S$135&amp;S$1&amp;"C"&amp;$A162))-IF(RTD("tos.rtd",,$A$2,"."&amp;S$135&amp;S$1&amp;"P"&amp;$A162)="N/A",0,RTD("tos.rtd",,$A$2,"."&amp;S$135&amp;S$1&amp;"P"&amp;$A162))</f>
        <v>0</v>
      </c>
      <c r="T162" s="91">
        <f ca="1">IF(RTD("tos.rtd",,$A$2,"."&amp;T$135&amp;T$1&amp;"C"&amp;$A162)="N/A",0,RTD("tos.rtd",,$A$2,"."&amp;T$135&amp;T$1&amp;"C"&amp;$A162))-IF(RTD("tos.rtd",,$A$2,"."&amp;T$135&amp;T$1&amp;"P"&amp;$A162)="N/A",0,RTD("tos.rtd",,$A$2,"."&amp;T$135&amp;T$1&amp;"P"&amp;$A162))</f>
        <v>0</v>
      </c>
      <c r="U162" s="91">
        <f ca="1">IF(RTD("tos.rtd",,$A$2,"."&amp;U$135&amp;U$1&amp;"C"&amp;$A162)="N/A",0,RTD("tos.rtd",,$A$2,"."&amp;U$135&amp;U$1&amp;"C"&amp;$A162))-IF(RTD("tos.rtd",,$A$2,"."&amp;U$135&amp;U$1&amp;"P"&amp;$A162)="N/A",0,RTD("tos.rtd",,$A$2,"."&amp;U$135&amp;U$1&amp;"P"&amp;$A162))</f>
        <v>0</v>
      </c>
      <c r="V162" s="91">
        <f ca="1">IF(RTD("tos.rtd",,$A$2,"."&amp;V$135&amp;V$1&amp;"C"&amp;$A162)="N/A",0,RTD("tos.rtd",,$A$2,"."&amp;V$135&amp;V$1&amp;"C"&amp;$A162))-IF(RTD("tos.rtd",,$A$2,"."&amp;V$135&amp;V$1&amp;"P"&amp;$A162)="N/A",0,RTD("tos.rtd",,$A$2,"."&amp;V$135&amp;V$1&amp;"P"&amp;$A162))</f>
        <v>0</v>
      </c>
      <c r="W162" s="91">
        <f ca="1">IF(RTD("tos.rtd",,$A$2,"."&amp;W$135&amp;W$1&amp;"C"&amp;$A162)="N/A",0,RTD("tos.rtd",,$A$2,"."&amp;W$135&amp;W$1&amp;"C"&amp;$A162))-IF(RTD("tos.rtd",,$A$2,"."&amp;W$135&amp;W$1&amp;"P"&amp;$A162)="N/A",0,RTD("tos.rtd",,$A$2,"."&amp;W$135&amp;W$1&amp;"P"&amp;$A162))</f>
        <v>0</v>
      </c>
      <c r="X162" s="91">
        <f ca="1">IF(RTD("tos.rtd",,$A$2,"."&amp;X$135&amp;X$1&amp;"C"&amp;$A162)="N/A",0,RTD("tos.rtd",,$A$2,"."&amp;X$135&amp;X$1&amp;"C"&amp;$A162))-IF(RTD("tos.rtd",,$A$2,"."&amp;X$135&amp;X$1&amp;"P"&amp;$A162)="N/A",0,RTD("tos.rtd",,$A$2,"."&amp;X$135&amp;X$1&amp;"P"&amp;$A162))</f>
        <v>0</v>
      </c>
      <c r="Y162" s="98">
        <f t="shared" ca="1" si="13"/>
        <v>3</v>
      </c>
      <c r="Z162" s="91"/>
      <c r="AA162" s="91"/>
    </row>
    <row r="163" spans="1:27" x14ac:dyDescent="0.25">
      <c r="A163" s="93">
        <f>+Hoja1!A162</f>
        <v>19825</v>
      </c>
      <c r="B163" s="91">
        <f ca="1">IF(RTD("tos.rtd",,$A$2,"."&amp;B$135&amp;B$1&amp;"C"&amp;$A163)="N/A",0,RTD("tos.rtd",,$A$2,"."&amp;B$135&amp;B$1&amp;"C"&amp;$A163))-IF(RTD("tos.rtd",,$A$2,"."&amp;B$135&amp;B$1&amp;"P"&amp;$A163)="N/A",0,RTD("tos.rtd",,$A$2,"."&amp;B$135&amp;B$1&amp;"P"&amp;$A163))</f>
        <v>0</v>
      </c>
      <c r="C163" s="91">
        <f ca="1">IF(RTD("tos.rtd",,$A$2,"."&amp;C$135&amp;C$1&amp;"C"&amp;$A163)="N/A",0,RTD("tos.rtd",,$A$2,"."&amp;C$135&amp;C$1&amp;"C"&amp;$A163))-IF(RTD("tos.rtd",,$A$2,"."&amp;C$135&amp;C$1&amp;"P"&amp;$A163)="N/A",0,RTD("tos.rtd",,$A$2,"."&amp;C$135&amp;C$1&amp;"P"&amp;$A163))</f>
        <v>0</v>
      </c>
      <c r="D163" s="91">
        <f ca="1">IF(RTD("tos.rtd",,$A$2,"."&amp;D$135&amp;D$1&amp;"C"&amp;$A163)="N/A",0,RTD("tos.rtd",,$A$2,"."&amp;D$135&amp;D$1&amp;"C"&amp;$A163))-IF(RTD("tos.rtd",,$A$2,"."&amp;D$135&amp;D$1&amp;"P"&amp;$A163)="N/A",0,RTD("tos.rtd",,$A$2,"."&amp;D$135&amp;D$1&amp;"P"&amp;$A163))</f>
        <v>0</v>
      </c>
      <c r="E163" s="91">
        <f ca="1">IF(RTD("tos.rtd",,$A$2,"."&amp;E$135&amp;E$1&amp;"C"&amp;$A163)="N/A",0,RTD("tos.rtd",,$A$2,"."&amp;E$135&amp;E$1&amp;"C"&amp;$A163))-IF(RTD("tos.rtd",,$A$2,"."&amp;E$135&amp;E$1&amp;"P"&amp;$A163)="N/A",0,RTD("tos.rtd",,$A$2,"."&amp;E$135&amp;E$1&amp;"P"&amp;$A163))</f>
        <v>0</v>
      </c>
      <c r="F163" s="91">
        <f ca="1">IF(RTD("tos.rtd",,$A$2,"."&amp;F$135&amp;F$1&amp;"C"&amp;$A163)="N/A",0,RTD("tos.rtd",,$A$2,"."&amp;F$135&amp;F$1&amp;"C"&amp;$A163))-IF(RTD("tos.rtd",,$A$2,"."&amp;F$135&amp;F$1&amp;"P"&amp;$A163)="N/A",0,RTD("tos.rtd",,$A$2,"."&amp;F$135&amp;F$1&amp;"P"&amp;$A163))</f>
        <v>0</v>
      </c>
      <c r="G163" s="91">
        <f ca="1">IF(RTD("tos.rtd",,$A$2,"."&amp;G$135&amp;G$1&amp;"C"&amp;$A163)="N/A",0,RTD("tos.rtd",,$A$2,"."&amp;G$135&amp;G$1&amp;"C"&amp;$A163))-IF(RTD("tos.rtd",,$A$2,"."&amp;G$135&amp;G$1&amp;"P"&amp;$A163)="N/A",0,RTD("tos.rtd",,$A$2,"."&amp;G$135&amp;G$1&amp;"P"&amp;$A163))</f>
        <v>0</v>
      </c>
      <c r="H163" s="91">
        <f ca="1">IF(RTD("tos.rtd",,$A$2,"."&amp;H$135&amp;H$1&amp;"C"&amp;$A163)="N/A",0,RTD("tos.rtd",,$A$2,"."&amp;H$135&amp;H$1&amp;"C"&amp;$A163))-IF(RTD("tos.rtd",,$A$2,"."&amp;H$135&amp;H$1&amp;"P"&amp;$A163)="N/A",0,RTD("tos.rtd",,$A$2,"."&amp;H$135&amp;H$1&amp;"P"&amp;$A163))</f>
        <v>0</v>
      </c>
      <c r="I163" s="91">
        <f ca="1">IF(RTD("tos.rtd",,$A$2,"."&amp;I$135&amp;I$1&amp;"C"&amp;$A163)="N/A",0,RTD("tos.rtd",,$A$2,"."&amp;I$135&amp;I$1&amp;"C"&amp;$A163))-IF(RTD("tos.rtd",,$A$2,"."&amp;I$135&amp;I$1&amp;"P"&amp;$A163)="N/A",0,RTD("tos.rtd",,$A$2,"."&amp;I$135&amp;I$1&amp;"P"&amp;$A163))</f>
        <v>2</v>
      </c>
      <c r="J163" s="91">
        <f ca="1">IF(RTD("tos.rtd",,$A$2,"."&amp;J$135&amp;J$1&amp;"C"&amp;$A163)="N/A",0,RTD("tos.rtd",,$A$2,"."&amp;J$135&amp;J$1&amp;"C"&amp;$A163))-IF(RTD("tos.rtd",,$A$2,"."&amp;J$135&amp;J$1&amp;"P"&amp;$A163)="N/A",0,RTD("tos.rtd",,$A$2,"."&amp;J$135&amp;J$1&amp;"P"&amp;$A163))</f>
        <v>1</v>
      </c>
      <c r="K163" s="91">
        <f ca="1">IF(RTD("tos.rtd",,$A$2,"."&amp;K$135&amp;K$1&amp;"C"&amp;$A163)="N/A",0,RTD("tos.rtd",,$A$2,"."&amp;K$135&amp;K$1&amp;"C"&amp;$A163))-IF(RTD("tos.rtd",,$A$2,"."&amp;K$135&amp;K$1&amp;"P"&amp;$A163)="N/A",0,RTD("tos.rtd",,$A$2,"."&amp;K$135&amp;K$1&amp;"P"&amp;$A163))</f>
        <v>0</v>
      </c>
      <c r="L163" s="91">
        <f ca="1">IF(RTD("tos.rtd",,$A$2,"."&amp;L$135&amp;L$1&amp;"C"&amp;$A163)="N/A",0,RTD("tos.rtd",,$A$2,"."&amp;L$135&amp;L$1&amp;"C"&amp;$A163))-IF(RTD("tos.rtd",,$A$2,"."&amp;L$135&amp;L$1&amp;"P"&amp;$A163)="N/A",0,RTD("tos.rtd",,$A$2,"."&amp;L$135&amp;L$1&amp;"P"&amp;$A163))</f>
        <v>0</v>
      </c>
      <c r="M163" s="91">
        <f ca="1">IF(RTD("tos.rtd",,$A$2,"."&amp;M$135&amp;M$1&amp;"C"&amp;$A163)="N/A",0,RTD("tos.rtd",,$A$2,"."&amp;M$135&amp;M$1&amp;"C"&amp;$A163))-IF(RTD("tos.rtd",,$A$2,"."&amp;M$135&amp;M$1&amp;"P"&amp;$A163)="N/A",0,RTD("tos.rtd",,$A$2,"."&amp;M$135&amp;M$1&amp;"P"&amp;$A163))</f>
        <v>0</v>
      </c>
      <c r="N163" s="91">
        <f ca="1">IF(RTD("tos.rtd",,$A$2,"."&amp;N$135&amp;N$1&amp;"C"&amp;$A163)="N/A",0,RTD("tos.rtd",,$A$2,"."&amp;N$135&amp;N$1&amp;"C"&amp;$A163))-IF(RTD("tos.rtd",,$A$2,"."&amp;N$135&amp;N$1&amp;"P"&amp;$A163)="N/A",0,RTD("tos.rtd",,$A$2,"."&amp;N$135&amp;N$1&amp;"P"&amp;$A163))</f>
        <v>0</v>
      </c>
      <c r="O163" s="91">
        <f ca="1">IF(RTD("tos.rtd",,$A$2,"."&amp;O$135&amp;O$1&amp;"C"&amp;$A163)="N/A",0,RTD("tos.rtd",,$A$2,"."&amp;O$135&amp;O$1&amp;"C"&amp;$A163))-IF(RTD("tos.rtd",,$A$2,"."&amp;O$135&amp;O$1&amp;"P"&amp;$A163)="N/A",0,RTD("tos.rtd",,$A$2,"."&amp;O$135&amp;O$1&amp;"P"&amp;$A163))</f>
        <v>0</v>
      </c>
      <c r="P163" s="91">
        <f ca="1">IF(RTD("tos.rtd",,$A$2,"."&amp;P$135&amp;P$1&amp;"C"&amp;$A163)="N/A",0,RTD("tos.rtd",,$A$2,"."&amp;P$135&amp;P$1&amp;"C"&amp;$A163))-IF(RTD("tos.rtd",,$A$2,"."&amp;P$135&amp;P$1&amp;"P"&amp;$A163)="N/A",0,RTD("tos.rtd",,$A$2,"."&amp;P$135&amp;P$1&amp;"P"&amp;$A163))</f>
        <v>0</v>
      </c>
      <c r="Q163" s="91">
        <f ca="1">IF(RTD("tos.rtd",,$A$2,"."&amp;Q$135&amp;Q$1&amp;"C"&amp;$A163)="N/A",0,RTD("tos.rtd",,$A$2,"."&amp;Q$135&amp;Q$1&amp;"C"&amp;$A163))-IF(RTD("tos.rtd",,$A$2,"."&amp;Q$135&amp;Q$1&amp;"P"&amp;$A163)="N/A",0,RTD("tos.rtd",,$A$2,"."&amp;Q$135&amp;Q$1&amp;"P"&amp;$A163))</f>
        <v>0</v>
      </c>
      <c r="R163" s="91">
        <f ca="1">IF(RTD("tos.rtd",,$A$2,"."&amp;R$135&amp;R$1&amp;"C"&amp;$A163)="N/A",0,RTD("tos.rtd",,$A$2,"."&amp;R$135&amp;R$1&amp;"C"&amp;$A163))-IF(RTD("tos.rtd",,$A$2,"."&amp;R$135&amp;R$1&amp;"P"&amp;$A163)="N/A",0,RTD("tos.rtd",,$A$2,"."&amp;R$135&amp;R$1&amp;"P"&amp;$A163))</f>
        <v>0</v>
      </c>
      <c r="S163" s="91">
        <f ca="1">IF(RTD("tos.rtd",,$A$2,"."&amp;S$135&amp;S$1&amp;"C"&amp;$A163)="N/A",0,RTD("tos.rtd",,$A$2,"."&amp;S$135&amp;S$1&amp;"C"&amp;$A163))-IF(RTD("tos.rtd",,$A$2,"."&amp;S$135&amp;S$1&amp;"P"&amp;$A163)="N/A",0,RTD("tos.rtd",,$A$2,"."&amp;S$135&amp;S$1&amp;"P"&amp;$A163))</f>
        <v>0</v>
      </c>
      <c r="T163" s="91">
        <f ca="1">IF(RTD("tos.rtd",,$A$2,"."&amp;T$135&amp;T$1&amp;"C"&amp;$A163)="N/A",0,RTD("tos.rtd",,$A$2,"."&amp;T$135&amp;T$1&amp;"C"&amp;$A163))-IF(RTD("tos.rtd",,$A$2,"."&amp;T$135&amp;T$1&amp;"P"&amp;$A163)="N/A",0,RTD("tos.rtd",,$A$2,"."&amp;T$135&amp;T$1&amp;"P"&amp;$A163))</f>
        <v>0</v>
      </c>
      <c r="U163" s="91">
        <f ca="1">IF(RTD("tos.rtd",,$A$2,"."&amp;U$135&amp;U$1&amp;"C"&amp;$A163)="N/A",0,RTD("tos.rtd",,$A$2,"."&amp;U$135&amp;U$1&amp;"C"&amp;$A163))-IF(RTD("tos.rtd",,$A$2,"."&amp;U$135&amp;U$1&amp;"P"&amp;$A163)="N/A",0,RTD("tos.rtd",,$A$2,"."&amp;U$135&amp;U$1&amp;"P"&amp;$A163))</f>
        <v>0</v>
      </c>
      <c r="V163" s="91">
        <f ca="1">IF(RTD("tos.rtd",,$A$2,"."&amp;V$135&amp;V$1&amp;"C"&amp;$A163)="N/A",0,RTD("tos.rtd",,$A$2,"."&amp;V$135&amp;V$1&amp;"C"&amp;$A163))-IF(RTD("tos.rtd",,$A$2,"."&amp;V$135&amp;V$1&amp;"P"&amp;$A163)="N/A",0,RTD("tos.rtd",,$A$2,"."&amp;V$135&amp;V$1&amp;"P"&amp;$A163))</f>
        <v>0</v>
      </c>
      <c r="W163" s="91">
        <f ca="1">IF(RTD("tos.rtd",,$A$2,"."&amp;W$135&amp;W$1&amp;"C"&amp;$A163)="N/A",0,RTD("tos.rtd",,$A$2,"."&amp;W$135&amp;W$1&amp;"C"&amp;$A163))-IF(RTD("tos.rtd",,$A$2,"."&amp;W$135&amp;W$1&amp;"P"&amp;$A163)="N/A",0,RTD("tos.rtd",,$A$2,"."&amp;W$135&amp;W$1&amp;"P"&amp;$A163))</f>
        <v>0</v>
      </c>
      <c r="X163" s="91">
        <f ca="1">IF(RTD("tos.rtd",,$A$2,"."&amp;X$135&amp;X$1&amp;"C"&amp;$A163)="N/A",0,RTD("tos.rtd",,$A$2,"."&amp;X$135&amp;X$1&amp;"C"&amp;$A163))-IF(RTD("tos.rtd",,$A$2,"."&amp;X$135&amp;X$1&amp;"P"&amp;$A163)="N/A",0,RTD("tos.rtd",,$A$2,"."&amp;X$135&amp;X$1&amp;"P"&amp;$A163))</f>
        <v>0</v>
      </c>
      <c r="Y163" s="98">
        <f t="shared" ca="1" si="13"/>
        <v>3</v>
      </c>
      <c r="Z163" s="91"/>
      <c r="AA163" s="91"/>
    </row>
    <row r="164" spans="1:27" x14ac:dyDescent="0.25">
      <c r="A164" s="93">
        <f>+Hoja1!A163</f>
        <v>19800</v>
      </c>
      <c r="B164" s="91">
        <f ca="1">IF(RTD("tos.rtd",,$A$2,"."&amp;B$135&amp;B$1&amp;"C"&amp;$A164)="N/A",0,RTD("tos.rtd",,$A$2,"."&amp;B$135&amp;B$1&amp;"C"&amp;$A164))-IF(RTD("tos.rtd",,$A$2,"."&amp;B$135&amp;B$1&amp;"P"&amp;$A164)="N/A",0,RTD("tos.rtd",,$A$2,"."&amp;B$135&amp;B$1&amp;"P"&amp;$A164))</f>
        <v>0</v>
      </c>
      <c r="C164" s="91">
        <f ca="1">IF(RTD("tos.rtd",,$A$2,"."&amp;C$135&amp;C$1&amp;"C"&amp;$A164)="N/A",0,RTD("tos.rtd",,$A$2,"."&amp;C$135&amp;C$1&amp;"C"&amp;$A164))-IF(RTD("tos.rtd",,$A$2,"."&amp;C$135&amp;C$1&amp;"P"&amp;$A164)="N/A",0,RTD("tos.rtd",,$A$2,"."&amp;C$135&amp;C$1&amp;"P"&amp;$A164))</f>
        <v>0</v>
      </c>
      <c r="D164" s="91">
        <f ca="1">IF(RTD("tos.rtd",,$A$2,"."&amp;D$135&amp;D$1&amp;"C"&amp;$A164)="N/A",0,RTD("tos.rtd",,$A$2,"."&amp;D$135&amp;D$1&amp;"C"&amp;$A164))-IF(RTD("tos.rtd",,$A$2,"."&amp;D$135&amp;D$1&amp;"P"&amp;$A164)="N/A",0,RTD("tos.rtd",,$A$2,"."&amp;D$135&amp;D$1&amp;"P"&amp;$A164))</f>
        <v>0</v>
      </c>
      <c r="E164" s="91">
        <f ca="1">IF(RTD("tos.rtd",,$A$2,"."&amp;E$135&amp;E$1&amp;"C"&amp;$A164)="N/A",0,RTD("tos.rtd",,$A$2,"."&amp;E$135&amp;E$1&amp;"C"&amp;$A164))-IF(RTD("tos.rtd",,$A$2,"."&amp;E$135&amp;E$1&amp;"P"&amp;$A164)="N/A",0,RTD("tos.rtd",,$A$2,"."&amp;E$135&amp;E$1&amp;"P"&amp;$A164))</f>
        <v>0</v>
      </c>
      <c r="F164" s="91">
        <f ca="1">IF(RTD("tos.rtd",,$A$2,"."&amp;F$135&amp;F$1&amp;"C"&amp;$A164)="N/A",0,RTD("tos.rtd",,$A$2,"."&amp;F$135&amp;F$1&amp;"C"&amp;$A164))-IF(RTD("tos.rtd",,$A$2,"."&amp;F$135&amp;F$1&amp;"P"&amp;$A164)="N/A",0,RTD("tos.rtd",,$A$2,"."&amp;F$135&amp;F$1&amp;"P"&amp;$A164))</f>
        <v>0</v>
      </c>
      <c r="G164" s="91">
        <f ca="1">IF(RTD("tos.rtd",,$A$2,"."&amp;G$135&amp;G$1&amp;"C"&amp;$A164)="N/A",0,RTD("tos.rtd",,$A$2,"."&amp;G$135&amp;G$1&amp;"C"&amp;$A164))-IF(RTD("tos.rtd",,$A$2,"."&amp;G$135&amp;G$1&amp;"P"&amp;$A164)="N/A",0,RTD("tos.rtd",,$A$2,"."&amp;G$135&amp;G$1&amp;"P"&amp;$A164))</f>
        <v>0</v>
      </c>
      <c r="H164" s="91">
        <f ca="1">IF(RTD("tos.rtd",,$A$2,"."&amp;H$135&amp;H$1&amp;"C"&amp;$A164)="N/A",0,RTD("tos.rtd",,$A$2,"."&amp;H$135&amp;H$1&amp;"C"&amp;$A164))-IF(RTD("tos.rtd",,$A$2,"."&amp;H$135&amp;H$1&amp;"P"&amp;$A164)="N/A",0,RTD("tos.rtd",,$A$2,"."&amp;H$135&amp;H$1&amp;"P"&amp;$A164))</f>
        <v>0</v>
      </c>
      <c r="I164" s="91">
        <f ca="1">IF(RTD("tos.rtd",,$A$2,"."&amp;I$135&amp;I$1&amp;"C"&amp;$A164)="N/A",0,RTD("tos.rtd",,$A$2,"."&amp;I$135&amp;I$1&amp;"C"&amp;$A164))-IF(RTD("tos.rtd",,$A$2,"."&amp;I$135&amp;I$1&amp;"P"&amp;$A164)="N/A",0,RTD("tos.rtd",,$A$2,"."&amp;I$135&amp;I$1&amp;"P"&amp;$A164))</f>
        <v>23</v>
      </c>
      <c r="J164" s="91">
        <f ca="1">IF(RTD("tos.rtd",,$A$2,"."&amp;J$135&amp;J$1&amp;"C"&amp;$A164)="N/A",0,RTD("tos.rtd",,$A$2,"."&amp;J$135&amp;J$1&amp;"C"&amp;$A164))-IF(RTD("tos.rtd",,$A$2,"."&amp;J$135&amp;J$1&amp;"P"&amp;$A164)="N/A",0,RTD("tos.rtd",,$A$2,"."&amp;J$135&amp;J$1&amp;"P"&amp;$A164))</f>
        <v>1</v>
      </c>
      <c r="K164" s="91">
        <f ca="1">IF(RTD("tos.rtd",,$A$2,"."&amp;K$135&amp;K$1&amp;"C"&amp;$A164)="N/A",0,RTD("tos.rtd",,$A$2,"."&amp;K$135&amp;K$1&amp;"C"&amp;$A164))-IF(RTD("tos.rtd",,$A$2,"."&amp;K$135&amp;K$1&amp;"P"&amp;$A164)="N/A",0,RTD("tos.rtd",,$A$2,"."&amp;K$135&amp;K$1&amp;"P"&amp;$A164))</f>
        <v>-1</v>
      </c>
      <c r="L164" s="91">
        <f ca="1">IF(RTD("tos.rtd",,$A$2,"."&amp;L$135&amp;L$1&amp;"C"&amp;$A164)="N/A",0,RTD("tos.rtd",,$A$2,"."&amp;L$135&amp;L$1&amp;"C"&amp;$A164))-IF(RTD("tos.rtd",,$A$2,"."&amp;L$135&amp;L$1&amp;"P"&amp;$A164)="N/A",0,RTD("tos.rtd",,$A$2,"."&amp;L$135&amp;L$1&amp;"P"&amp;$A164))</f>
        <v>0</v>
      </c>
      <c r="M164" s="91">
        <f ca="1">IF(RTD("tos.rtd",,$A$2,"."&amp;M$135&amp;M$1&amp;"C"&amp;$A164)="N/A",0,RTD("tos.rtd",,$A$2,"."&amp;M$135&amp;M$1&amp;"C"&amp;$A164))-IF(RTD("tos.rtd",,$A$2,"."&amp;M$135&amp;M$1&amp;"P"&amp;$A164)="N/A",0,RTD("tos.rtd",,$A$2,"."&amp;M$135&amp;M$1&amp;"P"&amp;$A164))</f>
        <v>0</v>
      </c>
      <c r="N164" s="91">
        <f ca="1">IF(RTD("tos.rtd",,$A$2,"."&amp;N$135&amp;N$1&amp;"C"&amp;$A164)="N/A",0,RTD("tos.rtd",,$A$2,"."&amp;N$135&amp;N$1&amp;"C"&amp;$A164))-IF(RTD("tos.rtd",,$A$2,"."&amp;N$135&amp;N$1&amp;"P"&amp;$A164)="N/A",0,RTD("tos.rtd",,$A$2,"."&amp;N$135&amp;N$1&amp;"P"&amp;$A164))</f>
        <v>0</v>
      </c>
      <c r="O164" s="91">
        <f ca="1">IF(RTD("tos.rtd",,$A$2,"."&amp;O$135&amp;O$1&amp;"C"&amp;$A164)="N/A",0,RTD("tos.rtd",,$A$2,"."&amp;O$135&amp;O$1&amp;"C"&amp;$A164))-IF(RTD("tos.rtd",,$A$2,"."&amp;O$135&amp;O$1&amp;"P"&amp;$A164)="N/A",0,RTD("tos.rtd",,$A$2,"."&amp;O$135&amp;O$1&amp;"P"&amp;$A164))</f>
        <v>0</v>
      </c>
      <c r="P164" s="91">
        <f ca="1">IF(RTD("tos.rtd",,$A$2,"."&amp;P$135&amp;P$1&amp;"C"&amp;$A164)="N/A",0,RTD("tos.rtd",,$A$2,"."&amp;P$135&amp;P$1&amp;"C"&amp;$A164))-IF(RTD("tos.rtd",,$A$2,"."&amp;P$135&amp;P$1&amp;"P"&amp;$A164)="N/A",0,RTD("tos.rtd",,$A$2,"."&amp;P$135&amp;P$1&amp;"P"&amp;$A164))</f>
        <v>0</v>
      </c>
      <c r="Q164" s="91">
        <f ca="1">IF(RTD("tos.rtd",,$A$2,"."&amp;Q$135&amp;Q$1&amp;"C"&amp;$A164)="N/A",0,RTD("tos.rtd",,$A$2,"."&amp;Q$135&amp;Q$1&amp;"C"&amp;$A164))-IF(RTD("tos.rtd",,$A$2,"."&amp;Q$135&amp;Q$1&amp;"P"&amp;$A164)="N/A",0,RTD("tos.rtd",,$A$2,"."&amp;Q$135&amp;Q$1&amp;"P"&amp;$A164))</f>
        <v>0</v>
      </c>
      <c r="R164" s="91">
        <f ca="1">IF(RTD("tos.rtd",,$A$2,"."&amp;R$135&amp;R$1&amp;"C"&amp;$A164)="N/A",0,RTD("tos.rtd",,$A$2,"."&amp;R$135&amp;R$1&amp;"C"&amp;$A164))-IF(RTD("tos.rtd",,$A$2,"."&amp;R$135&amp;R$1&amp;"P"&amp;$A164)="N/A",0,RTD("tos.rtd",,$A$2,"."&amp;R$135&amp;R$1&amp;"P"&amp;$A164))</f>
        <v>0</v>
      </c>
      <c r="S164" s="91">
        <f ca="1">IF(RTD("tos.rtd",,$A$2,"."&amp;S$135&amp;S$1&amp;"C"&amp;$A164)="N/A",0,RTD("tos.rtd",,$A$2,"."&amp;S$135&amp;S$1&amp;"C"&amp;$A164))-IF(RTD("tos.rtd",,$A$2,"."&amp;S$135&amp;S$1&amp;"P"&amp;$A164)="N/A",0,RTD("tos.rtd",,$A$2,"."&amp;S$135&amp;S$1&amp;"P"&amp;$A164))</f>
        <v>0</v>
      </c>
      <c r="T164" s="91">
        <f ca="1">IF(RTD("tos.rtd",,$A$2,"."&amp;T$135&amp;T$1&amp;"C"&amp;$A164)="N/A",0,RTD("tos.rtd",,$A$2,"."&amp;T$135&amp;T$1&amp;"C"&amp;$A164))-IF(RTD("tos.rtd",,$A$2,"."&amp;T$135&amp;T$1&amp;"P"&amp;$A164)="N/A",0,RTD("tos.rtd",,$A$2,"."&amp;T$135&amp;T$1&amp;"P"&amp;$A164))</f>
        <v>0</v>
      </c>
      <c r="U164" s="91">
        <f ca="1">IF(RTD("tos.rtd",,$A$2,"."&amp;U$135&amp;U$1&amp;"C"&amp;$A164)="N/A",0,RTD("tos.rtd",,$A$2,"."&amp;U$135&amp;U$1&amp;"C"&amp;$A164))-IF(RTD("tos.rtd",,$A$2,"."&amp;U$135&amp;U$1&amp;"P"&amp;$A164)="N/A",0,RTD("tos.rtd",,$A$2,"."&amp;U$135&amp;U$1&amp;"P"&amp;$A164))</f>
        <v>0</v>
      </c>
      <c r="V164" s="91">
        <f ca="1">IF(RTD("tos.rtd",,$A$2,"."&amp;V$135&amp;V$1&amp;"C"&amp;$A164)="N/A",0,RTD("tos.rtd",,$A$2,"."&amp;V$135&amp;V$1&amp;"C"&amp;$A164))-IF(RTD("tos.rtd",,$A$2,"."&amp;V$135&amp;V$1&amp;"P"&amp;$A164)="N/A",0,RTD("tos.rtd",,$A$2,"."&amp;V$135&amp;V$1&amp;"P"&amp;$A164))</f>
        <v>0</v>
      </c>
      <c r="W164" s="91">
        <f ca="1">IF(RTD("tos.rtd",,$A$2,"."&amp;W$135&amp;W$1&amp;"C"&amp;$A164)="N/A",0,RTD("tos.rtd",,$A$2,"."&amp;W$135&amp;W$1&amp;"C"&amp;$A164))-IF(RTD("tos.rtd",,$A$2,"."&amp;W$135&amp;W$1&amp;"P"&amp;$A164)="N/A",0,RTD("tos.rtd",,$A$2,"."&amp;W$135&amp;W$1&amp;"P"&amp;$A164))</f>
        <v>0</v>
      </c>
      <c r="X164" s="91">
        <f ca="1">IF(RTD("tos.rtd",,$A$2,"."&amp;X$135&amp;X$1&amp;"C"&amp;$A164)="N/A",0,RTD("tos.rtd",,$A$2,"."&amp;X$135&amp;X$1&amp;"C"&amp;$A164))-IF(RTD("tos.rtd",,$A$2,"."&amp;X$135&amp;X$1&amp;"P"&amp;$A164)="N/A",0,RTD("tos.rtd",,$A$2,"."&amp;X$135&amp;X$1&amp;"P"&amp;$A164))</f>
        <v>0</v>
      </c>
      <c r="Y164" s="98">
        <f t="shared" ca="1" si="13"/>
        <v>23</v>
      </c>
      <c r="Z164" s="91"/>
      <c r="AA164" s="91"/>
    </row>
    <row r="165" spans="1:27" x14ac:dyDescent="0.25">
      <c r="A165" s="93">
        <f>+Hoja1!A164</f>
        <v>19775</v>
      </c>
      <c r="B165" s="91">
        <f ca="1">IF(RTD("tos.rtd",,$A$2,"."&amp;B$135&amp;B$1&amp;"C"&amp;$A165)="N/A",0,RTD("tos.rtd",,$A$2,"."&amp;B$135&amp;B$1&amp;"C"&amp;$A165))-IF(RTD("tos.rtd",,$A$2,"."&amp;B$135&amp;B$1&amp;"P"&amp;$A165)="N/A",0,RTD("tos.rtd",,$A$2,"."&amp;B$135&amp;B$1&amp;"P"&amp;$A165))</f>
        <v>0</v>
      </c>
      <c r="C165" s="91">
        <f ca="1">IF(RTD("tos.rtd",,$A$2,"."&amp;C$135&amp;C$1&amp;"C"&amp;$A165)="N/A",0,RTD("tos.rtd",,$A$2,"."&amp;C$135&amp;C$1&amp;"C"&amp;$A165))-IF(RTD("tos.rtd",,$A$2,"."&amp;C$135&amp;C$1&amp;"P"&amp;$A165)="N/A",0,RTD("tos.rtd",,$A$2,"."&amp;C$135&amp;C$1&amp;"P"&amp;$A165))</f>
        <v>0</v>
      </c>
      <c r="D165" s="91">
        <f ca="1">IF(RTD("tos.rtd",,$A$2,"."&amp;D$135&amp;D$1&amp;"C"&amp;$A165)="N/A",0,RTD("tos.rtd",,$A$2,"."&amp;D$135&amp;D$1&amp;"C"&amp;$A165))-IF(RTD("tos.rtd",,$A$2,"."&amp;D$135&amp;D$1&amp;"P"&amp;$A165)="N/A",0,RTD("tos.rtd",,$A$2,"."&amp;D$135&amp;D$1&amp;"P"&amp;$A165))</f>
        <v>0</v>
      </c>
      <c r="E165" s="91">
        <f ca="1">IF(RTD("tos.rtd",,$A$2,"."&amp;E$135&amp;E$1&amp;"C"&amp;$A165)="N/A",0,RTD("tos.rtd",,$A$2,"."&amp;E$135&amp;E$1&amp;"C"&amp;$A165))-IF(RTD("tos.rtd",,$A$2,"."&amp;E$135&amp;E$1&amp;"P"&amp;$A165)="N/A",0,RTD("tos.rtd",,$A$2,"."&amp;E$135&amp;E$1&amp;"P"&amp;$A165))</f>
        <v>0</v>
      </c>
      <c r="F165" s="91">
        <f ca="1">IF(RTD("tos.rtd",,$A$2,"."&amp;F$135&amp;F$1&amp;"C"&amp;$A165)="N/A",0,RTD("tos.rtd",,$A$2,"."&amp;F$135&amp;F$1&amp;"C"&amp;$A165))-IF(RTD("tos.rtd",,$A$2,"."&amp;F$135&amp;F$1&amp;"P"&amp;$A165)="N/A",0,RTD("tos.rtd",,$A$2,"."&amp;F$135&amp;F$1&amp;"P"&amp;$A165))</f>
        <v>0</v>
      </c>
      <c r="G165" s="91">
        <f ca="1">IF(RTD("tos.rtd",,$A$2,"."&amp;G$135&amp;G$1&amp;"C"&amp;$A165)="N/A",0,RTD("tos.rtd",,$A$2,"."&amp;G$135&amp;G$1&amp;"C"&amp;$A165))-IF(RTD("tos.rtd",,$A$2,"."&amp;G$135&amp;G$1&amp;"P"&amp;$A165)="N/A",0,RTD("tos.rtd",,$A$2,"."&amp;G$135&amp;G$1&amp;"P"&amp;$A165))</f>
        <v>0</v>
      </c>
      <c r="H165" s="91">
        <f ca="1">IF(RTD("tos.rtd",,$A$2,"."&amp;H$135&amp;H$1&amp;"C"&amp;$A165)="N/A",0,RTD("tos.rtd",,$A$2,"."&amp;H$135&amp;H$1&amp;"C"&amp;$A165))-IF(RTD("tos.rtd",,$A$2,"."&amp;H$135&amp;H$1&amp;"P"&amp;$A165)="N/A",0,RTD("tos.rtd",,$A$2,"."&amp;H$135&amp;H$1&amp;"P"&amp;$A165))</f>
        <v>0</v>
      </c>
      <c r="I165" s="91">
        <f ca="1">IF(RTD("tos.rtd",,$A$2,"."&amp;I$135&amp;I$1&amp;"C"&amp;$A165)="N/A",0,RTD("tos.rtd",,$A$2,"."&amp;I$135&amp;I$1&amp;"C"&amp;$A165))-IF(RTD("tos.rtd",,$A$2,"."&amp;I$135&amp;I$1&amp;"P"&amp;$A165)="N/A",0,RTD("tos.rtd",,$A$2,"."&amp;I$135&amp;I$1&amp;"P"&amp;$A165))</f>
        <v>4</v>
      </c>
      <c r="J165" s="91">
        <f ca="1">IF(RTD("tos.rtd",,$A$2,"."&amp;J$135&amp;J$1&amp;"C"&amp;$A165)="N/A",0,RTD("tos.rtd",,$A$2,"."&amp;J$135&amp;J$1&amp;"C"&amp;$A165))-IF(RTD("tos.rtd",,$A$2,"."&amp;J$135&amp;J$1&amp;"P"&amp;$A165)="N/A",0,RTD("tos.rtd",,$A$2,"."&amp;J$135&amp;J$1&amp;"P"&amp;$A165))</f>
        <v>0</v>
      </c>
      <c r="K165" s="91">
        <f ca="1">IF(RTD("tos.rtd",,$A$2,"."&amp;K$135&amp;K$1&amp;"C"&amp;$A165)="N/A",0,RTD("tos.rtd",,$A$2,"."&amp;K$135&amp;K$1&amp;"C"&amp;$A165))-IF(RTD("tos.rtd",,$A$2,"."&amp;K$135&amp;K$1&amp;"P"&amp;$A165)="N/A",0,RTD("tos.rtd",,$A$2,"."&amp;K$135&amp;K$1&amp;"P"&amp;$A165))</f>
        <v>-2</v>
      </c>
      <c r="L165" s="91">
        <f ca="1">IF(RTD("tos.rtd",,$A$2,"."&amp;L$135&amp;L$1&amp;"C"&amp;$A165)="N/A",0,RTD("tos.rtd",,$A$2,"."&amp;L$135&amp;L$1&amp;"C"&amp;$A165))-IF(RTD("tos.rtd",,$A$2,"."&amp;L$135&amp;L$1&amp;"P"&amp;$A165)="N/A",0,RTD("tos.rtd",,$A$2,"."&amp;L$135&amp;L$1&amp;"P"&amp;$A165))</f>
        <v>0</v>
      </c>
      <c r="M165" s="91">
        <f ca="1">IF(RTD("tos.rtd",,$A$2,"."&amp;M$135&amp;M$1&amp;"C"&amp;$A165)="N/A",0,RTD("tos.rtd",,$A$2,"."&amp;M$135&amp;M$1&amp;"C"&amp;$A165))-IF(RTD("tos.rtd",,$A$2,"."&amp;M$135&amp;M$1&amp;"P"&amp;$A165)="N/A",0,RTD("tos.rtd",,$A$2,"."&amp;M$135&amp;M$1&amp;"P"&amp;$A165))</f>
        <v>0</v>
      </c>
      <c r="N165" s="91">
        <f ca="1">IF(RTD("tos.rtd",,$A$2,"."&amp;N$135&amp;N$1&amp;"C"&amp;$A165)="N/A",0,RTD("tos.rtd",,$A$2,"."&amp;N$135&amp;N$1&amp;"C"&amp;$A165))-IF(RTD("tos.rtd",,$A$2,"."&amp;N$135&amp;N$1&amp;"P"&amp;$A165)="N/A",0,RTD("tos.rtd",,$A$2,"."&amp;N$135&amp;N$1&amp;"P"&amp;$A165))</f>
        <v>0</v>
      </c>
      <c r="O165" s="91">
        <f ca="1">IF(RTD("tos.rtd",,$A$2,"."&amp;O$135&amp;O$1&amp;"C"&amp;$A165)="N/A",0,RTD("tos.rtd",,$A$2,"."&amp;O$135&amp;O$1&amp;"C"&amp;$A165))-IF(RTD("tos.rtd",,$A$2,"."&amp;O$135&amp;O$1&amp;"P"&amp;$A165)="N/A",0,RTD("tos.rtd",,$A$2,"."&amp;O$135&amp;O$1&amp;"P"&amp;$A165))</f>
        <v>0</v>
      </c>
      <c r="P165" s="91">
        <f ca="1">IF(RTD("tos.rtd",,$A$2,"."&amp;P$135&amp;P$1&amp;"C"&amp;$A165)="N/A",0,RTD("tos.rtd",,$A$2,"."&amp;P$135&amp;P$1&amp;"C"&amp;$A165))-IF(RTD("tos.rtd",,$A$2,"."&amp;P$135&amp;P$1&amp;"P"&amp;$A165)="N/A",0,RTD("tos.rtd",,$A$2,"."&amp;P$135&amp;P$1&amp;"P"&amp;$A165))</f>
        <v>0</v>
      </c>
      <c r="Q165" s="91">
        <f ca="1">IF(RTD("tos.rtd",,$A$2,"."&amp;Q$135&amp;Q$1&amp;"C"&amp;$A165)="N/A",0,RTD("tos.rtd",,$A$2,"."&amp;Q$135&amp;Q$1&amp;"C"&amp;$A165))-IF(RTD("tos.rtd",,$A$2,"."&amp;Q$135&amp;Q$1&amp;"P"&amp;$A165)="N/A",0,RTD("tos.rtd",,$A$2,"."&amp;Q$135&amp;Q$1&amp;"P"&amp;$A165))</f>
        <v>0</v>
      </c>
      <c r="R165" s="91">
        <f ca="1">IF(RTD("tos.rtd",,$A$2,"."&amp;R$135&amp;R$1&amp;"C"&amp;$A165)="N/A",0,RTD("tos.rtd",,$A$2,"."&amp;R$135&amp;R$1&amp;"C"&amp;$A165))-IF(RTD("tos.rtd",,$A$2,"."&amp;R$135&amp;R$1&amp;"P"&amp;$A165)="N/A",0,RTD("tos.rtd",,$A$2,"."&amp;R$135&amp;R$1&amp;"P"&amp;$A165))</f>
        <v>0</v>
      </c>
      <c r="S165" s="91">
        <f ca="1">IF(RTD("tos.rtd",,$A$2,"."&amp;S$135&amp;S$1&amp;"C"&amp;$A165)="N/A",0,RTD("tos.rtd",,$A$2,"."&amp;S$135&amp;S$1&amp;"C"&amp;$A165))-IF(RTD("tos.rtd",,$A$2,"."&amp;S$135&amp;S$1&amp;"P"&amp;$A165)="N/A",0,RTD("tos.rtd",,$A$2,"."&amp;S$135&amp;S$1&amp;"P"&amp;$A165))</f>
        <v>0</v>
      </c>
      <c r="T165" s="91">
        <f ca="1">IF(RTD("tos.rtd",,$A$2,"."&amp;T$135&amp;T$1&amp;"C"&amp;$A165)="N/A",0,RTD("tos.rtd",,$A$2,"."&amp;T$135&amp;T$1&amp;"C"&amp;$A165))-IF(RTD("tos.rtd",,$A$2,"."&amp;T$135&amp;T$1&amp;"P"&amp;$A165)="N/A",0,RTD("tos.rtd",,$A$2,"."&amp;T$135&amp;T$1&amp;"P"&amp;$A165))</f>
        <v>0</v>
      </c>
      <c r="U165" s="91">
        <f ca="1">IF(RTD("tos.rtd",,$A$2,"."&amp;U$135&amp;U$1&amp;"C"&amp;$A165)="N/A",0,RTD("tos.rtd",,$A$2,"."&amp;U$135&amp;U$1&amp;"C"&amp;$A165))-IF(RTD("tos.rtd",,$A$2,"."&amp;U$135&amp;U$1&amp;"P"&amp;$A165)="N/A",0,RTD("tos.rtd",,$A$2,"."&amp;U$135&amp;U$1&amp;"P"&amp;$A165))</f>
        <v>0</v>
      </c>
      <c r="V165" s="91">
        <f ca="1">IF(RTD("tos.rtd",,$A$2,"."&amp;V$135&amp;V$1&amp;"C"&amp;$A165)="N/A",0,RTD("tos.rtd",,$A$2,"."&amp;V$135&amp;V$1&amp;"C"&amp;$A165))-IF(RTD("tos.rtd",,$A$2,"."&amp;V$135&amp;V$1&amp;"P"&amp;$A165)="N/A",0,RTD("tos.rtd",,$A$2,"."&amp;V$135&amp;V$1&amp;"P"&amp;$A165))</f>
        <v>0</v>
      </c>
      <c r="W165" s="91">
        <f ca="1">IF(RTD("tos.rtd",,$A$2,"."&amp;W$135&amp;W$1&amp;"C"&amp;$A165)="N/A",0,RTD("tos.rtd",,$A$2,"."&amp;W$135&amp;W$1&amp;"C"&amp;$A165))-IF(RTD("tos.rtd",,$A$2,"."&amp;W$135&amp;W$1&amp;"P"&amp;$A165)="N/A",0,RTD("tos.rtd",,$A$2,"."&amp;W$135&amp;W$1&amp;"P"&amp;$A165))</f>
        <v>0</v>
      </c>
      <c r="X165" s="91">
        <f ca="1">IF(RTD("tos.rtd",,$A$2,"."&amp;X$135&amp;X$1&amp;"C"&amp;$A165)="N/A",0,RTD("tos.rtd",,$A$2,"."&amp;X$135&amp;X$1&amp;"C"&amp;$A165))-IF(RTD("tos.rtd",,$A$2,"."&amp;X$135&amp;X$1&amp;"P"&amp;$A165)="N/A",0,RTD("tos.rtd",,$A$2,"."&amp;X$135&amp;X$1&amp;"P"&amp;$A165))</f>
        <v>0</v>
      </c>
      <c r="Y165" s="98">
        <f t="shared" ca="1" si="13"/>
        <v>2</v>
      </c>
      <c r="Z165" s="91"/>
      <c r="AA165" s="91"/>
    </row>
    <row r="166" spans="1:27" x14ac:dyDescent="0.25">
      <c r="A166" s="93">
        <f>+Hoja1!A165</f>
        <v>19750</v>
      </c>
      <c r="B166" s="91">
        <f ca="1">IF(RTD("tos.rtd",,$A$2,"."&amp;B$135&amp;B$1&amp;"C"&amp;$A166)="N/A",0,RTD("tos.rtd",,$A$2,"."&amp;B$135&amp;B$1&amp;"C"&amp;$A166))-IF(RTD("tos.rtd",,$A$2,"."&amp;B$135&amp;B$1&amp;"P"&amp;$A166)="N/A",0,RTD("tos.rtd",,$A$2,"."&amp;B$135&amp;B$1&amp;"P"&amp;$A166))</f>
        <v>0</v>
      </c>
      <c r="C166" s="91">
        <f ca="1">IF(RTD("tos.rtd",,$A$2,"."&amp;C$135&amp;C$1&amp;"C"&amp;$A166)="N/A",0,RTD("tos.rtd",,$A$2,"."&amp;C$135&amp;C$1&amp;"C"&amp;$A166))-IF(RTD("tos.rtd",,$A$2,"."&amp;C$135&amp;C$1&amp;"P"&amp;$A166)="N/A",0,RTD("tos.rtd",,$A$2,"."&amp;C$135&amp;C$1&amp;"P"&amp;$A166))</f>
        <v>0</v>
      </c>
      <c r="D166" s="91">
        <f ca="1">IF(RTD("tos.rtd",,$A$2,"."&amp;D$135&amp;D$1&amp;"C"&amp;$A166)="N/A",0,RTD("tos.rtd",,$A$2,"."&amp;D$135&amp;D$1&amp;"C"&amp;$A166))-IF(RTD("tos.rtd",,$A$2,"."&amp;D$135&amp;D$1&amp;"P"&amp;$A166)="N/A",0,RTD("tos.rtd",,$A$2,"."&amp;D$135&amp;D$1&amp;"P"&amp;$A166))</f>
        <v>0</v>
      </c>
      <c r="E166" s="91">
        <f ca="1">IF(RTD("tos.rtd",,$A$2,"."&amp;E$135&amp;E$1&amp;"C"&amp;$A166)="N/A",0,RTD("tos.rtd",,$A$2,"."&amp;E$135&amp;E$1&amp;"C"&amp;$A166))-IF(RTD("tos.rtd",,$A$2,"."&amp;E$135&amp;E$1&amp;"P"&amp;$A166)="N/A",0,RTD("tos.rtd",,$A$2,"."&amp;E$135&amp;E$1&amp;"P"&amp;$A166))</f>
        <v>0</v>
      </c>
      <c r="F166" s="91">
        <f ca="1">IF(RTD("tos.rtd",,$A$2,"."&amp;F$135&amp;F$1&amp;"C"&amp;$A166)="N/A",0,RTD("tos.rtd",,$A$2,"."&amp;F$135&amp;F$1&amp;"C"&amp;$A166))-IF(RTD("tos.rtd",,$A$2,"."&amp;F$135&amp;F$1&amp;"P"&amp;$A166)="N/A",0,RTD("tos.rtd",,$A$2,"."&amp;F$135&amp;F$1&amp;"P"&amp;$A166))</f>
        <v>0</v>
      </c>
      <c r="G166" s="91">
        <f ca="1">IF(RTD("tos.rtd",,$A$2,"."&amp;G$135&amp;G$1&amp;"C"&amp;$A166)="N/A",0,RTD("tos.rtd",,$A$2,"."&amp;G$135&amp;G$1&amp;"C"&amp;$A166))-IF(RTD("tos.rtd",,$A$2,"."&amp;G$135&amp;G$1&amp;"P"&amp;$A166)="N/A",0,RTD("tos.rtd",,$A$2,"."&amp;G$135&amp;G$1&amp;"P"&amp;$A166))</f>
        <v>0</v>
      </c>
      <c r="H166" s="91">
        <f ca="1">IF(RTD("tos.rtd",,$A$2,"."&amp;H$135&amp;H$1&amp;"C"&amp;$A166)="N/A",0,RTD("tos.rtd",,$A$2,"."&amp;H$135&amp;H$1&amp;"C"&amp;$A166))-IF(RTD("tos.rtd",,$A$2,"."&amp;H$135&amp;H$1&amp;"P"&amp;$A166)="N/A",0,RTD("tos.rtd",,$A$2,"."&amp;H$135&amp;H$1&amp;"P"&amp;$A166))</f>
        <v>0</v>
      </c>
      <c r="I166" s="91">
        <f ca="1">IF(RTD("tos.rtd",,$A$2,"."&amp;I$135&amp;I$1&amp;"C"&amp;$A166)="N/A",0,RTD("tos.rtd",,$A$2,"."&amp;I$135&amp;I$1&amp;"C"&amp;$A166))-IF(RTD("tos.rtd",,$A$2,"."&amp;I$135&amp;I$1&amp;"P"&amp;$A166)="N/A",0,RTD("tos.rtd",,$A$2,"."&amp;I$135&amp;I$1&amp;"P"&amp;$A166))</f>
        <v>1</v>
      </c>
      <c r="J166" s="91">
        <f ca="1">IF(RTD("tos.rtd",,$A$2,"."&amp;J$135&amp;J$1&amp;"C"&amp;$A166)="N/A",0,RTD("tos.rtd",,$A$2,"."&amp;J$135&amp;J$1&amp;"C"&amp;$A166))-IF(RTD("tos.rtd",,$A$2,"."&amp;J$135&amp;J$1&amp;"P"&amp;$A166)="N/A",0,RTD("tos.rtd",,$A$2,"."&amp;J$135&amp;J$1&amp;"P"&amp;$A166))</f>
        <v>0</v>
      </c>
      <c r="K166" s="91">
        <f ca="1">IF(RTD("tos.rtd",,$A$2,"."&amp;K$135&amp;K$1&amp;"C"&amp;$A166)="N/A",0,RTD("tos.rtd",,$A$2,"."&amp;K$135&amp;K$1&amp;"C"&amp;$A166))-IF(RTD("tos.rtd",,$A$2,"."&amp;K$135&amp;K$1&amp;"P"&amp;$A166)="N/A",0,RTD("tos.rtd",,$A$2,"."&amp;K$135&amp;K$1&amp;"P"&amp;$A166))</f>
        <v>-3</v>
      </c>
      <c r="L166" s="91">
        <f ca="1">IF(RTD("tos.rtd",,$A$2,"."&amp;L$135&amp;L$1&amp;"C"&amp;$A166)="N/A",0,RTD("tos.rtd",,$A$2,"."&amp;L$135&amp;L$1&amp;"C"&amp;$A166))-IF(RTD("tos.rtd",,$A$2,"."&amp;L$135&amp;L$1&amp;"P"&amp;$A166)="N/A",0,RTD("tos.rtd",,$A$2,"."&amp;L$135&amp;L$1&amp;"P"&amp;$A166))</f>
        <v>0</v>
      </c>
      <c r="M166" s="91">
        <f ca="1">IF(RTD("tos.rtd",,$A$2,"."&amp;M$135&amp;M$1&amp;"C"&amp;$A166)="N/A",0,RTD("tos.rtd",,$A$2,"."&amp;M$135&amp;M$1&amp;"C"&amp;$A166))-IF(RTD("tos.rtd",,$A$2,"."&amp;M$135&amp;M$1&amp;"P"&amp;$A166)="N/A",0,RTD("tos.rtd",,$A$2,"."&amp;M$135&amp;M$1&amp;"P"&amp;$A166))</f>
        <v>0</v>
      </c>
      <c r="N166" s="91">
        <f ca="1">IF(RTD("tos.rtd",,$A$2,"."&amp;N$135&amp;N$1&amp;"C"&amp;$A166)="N/A",0,RTD("tos.rtd",,$A$2,"."&amp;N$135&amp;N$1&amp;"C"&amp;$A166))-IF(RTD("tos.rtd",,$A$2,"."&amp;N$135&amp;N$1&amp;"P"&amp;$A166)="N/A",0,RTD("tos.rtd",,$A$2,"."&amp;N$135&amp;N$1&amp;"P"&amp;$A166))</f>
        <v>0</v>
      </c>
      <c r="O166" s="91">
        <f ca="1">IF(RTD("tos.rtd",,$A$2,"."&amp;O$135&amp;O$1&amp;"C"&amp;$A166)="N/A",0,RTD("tos.rtd",,$A$2,"."&amp;O$135&amp;O$1&amp;"C"&amp;$A166))-IF(RTD("tos.rtd",,$A$2,"."&amp;O$135&amp;O$1&amp;"P"&amp;$A166)="N/A",0,RTD("tos.rtd",,$A$2,"."&amp;O$135&amp;O$1&amp;"P"&amp;$A166))</f>
        <v>0</v>
      </c>
      <c r="P166" s="91">
        <f ca="1">IF(RTD("tos.rtd",,$A$2,"."&amp;P$135&amp;P$1&amp;"C"&amp;$A166)="N/A",0,RTD("tos.rtd",,$A$2,"."&amp;P$135&amp;P$1&amp;"C"&amp;$A166))-IF(RTD("tos.rtd",,$A$2,"."&amp;P$135&amp;P$1&amp;"P"&amp;$A166)="N/A",0,RTD("tos.rtd",,$A$2,"."&amp;P$135&amp;P$1&amp;"P"&amp;$A166))</f>
        <v>0</v>
      </c>
      <c r="Q166" s="91">
        <f ca="1">IF(RTD("tos.rtd",,$A$2,"."&amp;Q$135&amp;Q$1&amp;"C"&amp;$A166)="N/A",0,RTD("tos.rtd",,$A$2,"."&amp;Q$135&amp;Q$1&amp;"C"&amp;$A166))-IF(RTD("tos.rtd",,$A$2,"."&amp;Q$135&amp;Q$1&amp;"P"&amp;$A166)="N/A",0,RTD("tos.rtd",,$A$2,"."&amp;Q$135&amp;Q$1&amp;"P"&amp;$A166))</f>
        <v>0</v>
      </c>
      <c r="R166" s="91">
        <f ca="1">IF(RTD("tos.rtd",,$A$2,"."&amp;R$135&amp;R$1&amp;"C"&amp;$A166)="N/A",0,RTD("tos.rtd",,$A$2,"."&amp;R$135&amp;R$1&amp;"C"&amp;$A166))-IF(RTD("tos.rtd",,$A$2,"."&amp;R$135&amp;R$1&amp;"P"&amp;$A166)="N/A",0,RTD("tos.rtd",,$A$2,"."&amp;R$135&amp;R$1&amp;"P"&amp;$A166))</f>
        <v>0</v>
      </c>
      <c r="S166" s="91">
        <f ca="1">IF(RTD("tos.rtd",,$A$2,"."&amp;S$135&amp;S$1&amp;"C"&amp;$A166)="N/A",0,RTD("tos.rtd",,$A$2,"."&amp;S$135&amp;S$1&amp;"C"&amp;$A166))-IF(RTD("tos.rtd",,$A$2,"."&amp;S$135&amp;S$1&amp;"P"&amp;$A166)="N/A",0,RTD("tos.rtd",,$A$2,"."&amp;S$135&amp;S$1&amp;"P"&amp;$A166))</f>
        <v>0</v>
      </c>
      <c r="T166" s="91">
        <f ca="1">IF(RTD("tos.rtd",,$A$2,"."&amp;T$135&amp;T$1&amp;"C"&amp;$A166)="N/A",0,RTD("tos.rtd",,$A$2,"."&amp;T$135&amp;T$1&amp;"C"&amp;$A166))-IF(RTD("tos.rtd",,$A$2,"."&amp;T$135&amp;T$1&amp;"P"&amp;$A166)="N/A",0,RTD("tos.rtd",,$A$2,"."&amp;T$135&amp;T$1&amp;"P"&amp;$A166))</f>
        <v>0</v>
      </c>
      <c r="U166" s="91">
        <f ca="1">IF(RTD("tos.rtd",,$A$2,"."&amp;U$135&amp;U$1&amp;"C"&amp;$A166)="N/A",0,RTD("tos.rtd",,$A$2,"."&amp;U$135&amp;U$1&amp;"C"&amp;$A166))-IF(RTD("tos.rtd",,$A$2,"."&amp;U$135&amp;U$1&amp;"P"&amp;$A166)="N/A",0,RTD("tos.rtd",,$A$2,"."&amp;U$135&amp;U$1&amp;"P"&amp;$A166))</f>
        <v>0</v>
      </c>
      <c r="V166" s="91">
        <f ca="1">IF(RTD("tos.rtd",,$A$2,"."&amp;V$135&amp;V$1&amp;"C"&amp;$A166)="N/A",0,RTD("tos.rtd",,$A$2,"."&amp;V$135&amp;V$1&amp;"C"&amp;$A166))-IF(RTD("tos.rtd",,$A$2,"."&amp;V$135&amp;V$1&amp;"P"&amp;$A166)="N/A",0,RTD("tos.rtd",,$A$2,"."&amp;V$135&amp;V$1&amp;"P"&amp;$A166))</f>
        <v>0</v>
      </c>
      <c r="W166" s="91">
        <f ca="1">IF(RTD("tos.rtd",,$A$2,"."&amp;W$135&amp;W$1&amp;"C"&amp;$A166)="N/A",0,RTD("tos.rtd",,$A$2,"."&amp;W$135&amp;W$1&amp;"C"&amp;$A166))-IF(RTD("tos.rtd",,$A$2,"."&amp;W$135&amp;W$1&amp;"P"&amp;$A166)="N/A",0,RTD("tos.rtd",,$A$2,"."&amp;W$135&amp;W$1&amp;"P"&amp;$A166))</f>
        <v>0</v>
      </c>
      <c r="X166" s="91">
        <f ca="1">IF(RTD("tos.rtd",,$A$2,"."&amp;X$135&amp;X$1&amp;"C"&amp;$A166)="N/A",0,RTD("tos.rtd",,$A$2,"."&amp;X$135&amp;X$1&amp;"C"&amp;$A166))-IF(RTD("tos.rtd",,$A$2,"."&amp;X$135&amp;X$1&amp;"P"&amp;$A166)="N/A",0,RTD("tos.rtd",,$A$2,"."&amp;X$135&amp;X$1&amp;"P"&amp;$A166))</f>
        <v>0</v>
      </c>
      <c r="Y166" s="98">
        <f t="shared" ca="1" si="13"/>
        <v>-2</v>
      </c>
      <c r="Z166" s="91"/>
      <c r="AA166" s="91"/>
    </row>
    <row r="167" spans="1:27" x14ac:dyDescent="0.25">
      <c r="A167" s="93">
        <f>+Hoja1!A166</f>
        <v>19725</v>
      </c>
      <c r="B167" s="91">
        <f ca="1">IF(RTD("tos.rtd",,$A$2,"."&amp;B$135&amp;B$1&amp;"C"&amp;$A167)="N/A",0,RTD("tos.rtd",,$A$2,"."&amp;B$135&amp;B$1&amp;"C"&amp;$A167))-IF(RTD("tos.rtd",,$A$2,"."&amp;B$135&amp;B$1&amp;"P"&amp;$A167)="N/A",0,RTD("tos.rtd",,$A$2,"."&amp;B$135&amp;B$1&amp;"P"&amp;$A167))</f>
        <v>0</v>
      </c>
      <c r="C167" s="91">
        <f ca="1">IF(RTD("tos.rtd",,$A$2,"."&amp;C$135&amp;C$1&amp;"C"&amp;$A167)="N/A",0,RTD("tos.rtd",,$A$2,"."&amp;C$135&amp;C$1&amp;"C"&amp;$A167))-IF(RTD("tos.rtd",,$A$2,"."&amp;C$135&amp;C$1&amp;"P"&amp;$A167)="N/A",0,RTD("tos.rtd",,$A$2,"."&amp;C$135&amp;C$1&amp;"P"&amp;$A167))</f>
        <v>0</v>
      </c>
      <c r="D167" s="91">
        <f ca="1">IF(RTD("tos.rtd",,$A$2,"."&amp;D$135&amp;D$1&amp;"C"&amp;$A167)="N/A",0,RTD("tos.rtd",,$A$2,"."&amp;D$135&amp;D$1&amp;"C"&amp;$A167))-IF(RTD("tos.rtd",,$A$2,"."&amp;D$135&amp;D$1&amp;"P"&amp;$A167)="N/A",0,RTD("tos.rtd",,$A$2,"."&amp;D$135&amp;D$1&amp;"P"&amp;$A167))</f>
        <v>0</v>
      </c>
      <c r="E167" s="91">
        <f ca="1">IF(RTD("tos.rtd",,$A$2,"."&amp;E$135&amp;E$1&amp;"C"&amp;$A167)="N/A",0,RTD("tos.rtd",,$A$2,"."&amp;E$135&amp;E$1&amp;"C"&amp;$A167))-IF(RTD("tos.rtd",,$A$2,"."&amp;E$135&amp;E$1&amp;"P"&amp;$A167)="N/A",0,RTD("tos.rtd",,$A$2,"."&amp;E$135&amp;E$1&amp;"P"&amp;$A167))</f>
        <v>0</v>
      </c>
      <c r="F167" s="91">
        <f ca="1">IF(RTD("tos.rtd",,$A$2,"."&amp;F$135&amp;F$1&amp;"C"&amp;$A167)="N/A",0,RTD("tos.rtd",,$A$2,"."&amp;F$135&amp;F$1&amp;"C"&amp;$A167))-IF(RTD("tos.rtd",,$A$2,"."&amp;F$135&amp;F$1&amp;"P"&amp;$A167)="N/A",0,RTD("tos.rtd",,$A$2,"."&amp;F$135&amp;F$1&amp;"P"&amp;$A167))</f>
        <v>0</v>
      </c>
      <c r="G167" s="91">
        <f ca="1">IF(RTD("tos.rtd",,$A$2,"."&amp;G$135&amp;G$1&amp;"C"&amp;$A167)="N/A",0,RTD("tos.rtd",,$A$2,"."&amp;G$135&amp;G$1&amp;"C"&amp;$A167))-IF(RTD("tos.rtd",,$A$2,"."&amp;G$135&amp;G$1&amp;"P"&amp;$A167)="N/A",0,RTD("tos.rtd",,$A$2,"."&amp;G$135&amp;G$1&amp;"P"&amp;$A167))</f>
        <v>0</v>
      </c>
      <c r="H167" s="91">
        <f ca="1">IF(RTD("tos.rtd",,$A$2,"."&amp;H$135&amp;H$1&amp;"C"&amp;$A167)="N/A",0,RTD("tos.rtd",,$A$2,"."&amp;H$135&amp;H$1&amp;"C"&amp;$A167))-IF(RTD("tos.rtd",,$A$2,"."&amp;H$135&amp;H$1&amp;"P"&amp;$A167)="N/A",0,RTD("tos.rtd",,$A$2,"."&amp;H$135&amp;H$1&amp;"P"&amp;$A167))</f>
        <v>0</v>
      </c>
      <c r="I167" s="91">
        <f ca="1">IF(RTD("tos.rtd",,$A$2,"."&amp;I$135&amp;I$1&amp;"C"&amp;$A167)="N/A",0,RTD("tos.rtd",,$A$2,"."&amp;I$135&amp;I$1&amp;"C"&amp;$A167))-IF(RTD("tos.rtd",,$A$2,"."&amp;I$135&amp;I$1&amp;"P"&amp;$A167)="N/A",0,RTD("tos.rtd",,$A$2,"."&amp;I$135&amp;I$1&amp;"P"&amp;$A167))</f>
        <v>0</v>
      </c>
      <c r="J167" s="91">
        <f ca="1">IF(RTD("tos.rtd",,$A$2,"."&amp;J$135&amp;J$1&amp;"C"&amp;$A167)="N/A",0,RTD("tos.rtd",,$A$2,"."&amp;J$135&amp;J$1&amp;"C"&amp;$A167))-IF(RTD("tos.rtd",,$A$2,"."&amp;J$135&amp;J$1&amp;"P"&amp;$A167)="N/A",0,RTD("tos.rtd",,$A$2,"."&amp;J$135&amp;J$1&amp;"P"&amp;$A167))</f>
        <v>0</v>
      </c>
      <c r="K167" s="91">
        <f ca="1">IF(RTD("tos.rtd",,$A$2,"."&amp;K$135&amp;K$1&amp;"C"&amp;$A167)="N/A",0,RTD("tos.rtd",,$A$2,"."&amp;K$135&amp;K$1&amp;"C"&amp;$A167))-IF(RTD("tos.rtd",,$A$2,"."&amp;K$135&amp;K$1&amp;"P"&amp;$A167)="N/A",0,RTD("tos.rtd",,$A$2,"."&amp;K$135&amp;K$1&amp;"P"&amp;$A167))</f>
        <v>4</v>
      </c>
      <c r="L167" s="91">
        <f ca="1">IF(RTD("tos.rtd",,$A$2,"."&amp;L$135&amp;L$1&amp;"C"&amp;$A167)="N/A",0,RTD("tos.rtd",,$A$2,"."&amp;L$135&amp;L$1&amp;"C"&amp;$A167))-IF(RTD("tos.rtd",,$A$2,"."&amp;L$135&amp;L$1&amp;"P"&amp;$A167)="N/A",0,RTD("tos.rtd",,$A$2,"."&amp;L$135&amp;L$1&amp;"P"&amp;$A167))</f>
        <v>0</v>
      </c>
      <c r="M167" s="91">
        <f ca="1">IF(RTD("tos.rtd",,$A$2,"."&amp;M$135&amp;M$1&amp;"C"&amp;$A167)="N/A",0,RTD("tos.rtd",,$A$2,"."&amp;M$135&amp;M$1&amp;"C"&amp;$A167))-IF(RTD("tos.rtd",,$A$2,"."&amp;M$135&amp;M$1&amp;"P"&amp;$A167)="N/A",0,RTD("tos.rtd",,$A$2,"."&amp;M$135&amp;M$1&amp;"P"&amp;$A167))</f>
        <v>0</v>
      </c>
      <c r="N167" s="91">
        <f ca="1">IF(RTD("tos.rtd",,$A$2,"."&amp;N$135&amp;N$1&amp;"C"&amp;$A167)="N/A",0,RTD("tos.rtd",,$A$2,"."&amp;N$135&amp;N$1&amp;"C"&amp;$A167))-IF(RTD("tos.rtd",,$A$2,"."&amp;N$135&amp;N$1&amp;"P"&amp;$A167)="N/A",0,RTD("tos.rtd",,$A$2,"."&amp;N$135&amp;N$1&amp;"P"&amp;$A167))</f>
        <v>0</v>
      </c>
      <c r="O167" s="91">
        <f ca="1">IF(RTD("tos.rtd",,$A$2,"."&amp;O$135&amp;O$1&amp;"C"&amp;$A167)="N/A",0,RTD("tos.rtd",,$A$2,"."&amp;O$135&amp;O$1&amp;"C"&amp;$A167))-IF(RTD("tos.rtd",,$A$2,"."&amp;O$135&amp;O$1&amp;"P"&amp;$A167)="N/A",0,RTD("tos.rtd",,$A$2,"."&amp;O$135&amp;O$1&amp;"P"&amp;$A167))</f>
        <v>0</v>
      </c>
      <c r="P167" s="91">
        <f ca="1">IF(RTD("tos.rtd",,$A$2,"."&amp;P$135&amp;P$1&amp;"C"&amp;$A167)="N/A",0,RTD("tos.rtd",,$A$2,"."&amp;P$135&amp;P$1&amp;"C"&amp;$A167))-IF(RTD("tos.rtd",,$A$2,"."&amp;P$135&amp;P$1&amp;"P"&amp;$A167)="N/A",0,RTD("tos.rtd",,$A$2,"."&amp;P$135&amp;P$1&amp;"P"&amp;$A167))</f>
        <v>0</v>
      </c>
      <c r="Q167" s="91">
        <f ca="1">IF(RTD("tos.rtd",,$A$2,"."&amp;Q$135&amp;Q$1&amp;"C"&amp;$A167)="N/A",0,RTD("tos.rtd",,$A$2,"."&amp;Q$135&amp;Q$1&amp;"C"&amp;$A167))-IF(RTD("tos.rtd",,$A$2,"."&amp;Q$135&amp;Q$1&amp;"P"&amp;$A167)="N/A",0,RTD("tos.rtd",,$A$2,"."&amp;Q$135&amp;Q$1&amp;"P"&amp;$A167))</f>
        <v>0</v>
      </c>
      <c r="R167" s="91">
        <f ca="1">IF(RTD("tos.rtd",,$A$2,"."&amp;R$135&amp;R$1&amp;"C"&amp;$A167)="N/A",0,RTD("tos.rtd",,$A$2,"."&amp;R$135&amp;R$1&amp;"C"&amp;$A167))-IF(RTD("tos.rtd",,$A$2,"."&amp;R$135&amp;R$1&amp;"P"&amp;$A167)="N/A",0,RTD("tos.rtd",,$A$2,"."&amp;R$135&amp;R$1&amp;"P"&amp;$A167))</f>
        <v>0</v>
      </c>
      <c r="S167" s="91">
        <f ca="1">IF(RTD("tos.rtd",,$A$2,"."&amp;S$135&amp;S$1&amp;"C"&amp;$A167)="N/A",0,RTD("tos.rtd",,$A$2,"."&amp;S$135&amp;S$1&amp;"C"&amp;$A167))-IF(RTD("tos.rtd",,$A$2,"."&amp;S$135&amp;S$1&amp;"P"&amp;$A167)="N/A",0,RTD("tos.rtd",,$A$2,"."&amp;S$135&amp;S$1&amp;"P"&amp;$A167))</f>
        <v>0</v>
      </c>
      <c r="T167" s="91">
        <f ca="1">IF(RTD("tos.rtd",,$A$2,"."&amp;T$135&amp;T$1&amp;"C"&amp;$A167)="N/A",0,RTD("tos.rtd",,$A$2,"."&amp;T$135&amp;T$1&amp;"C"&amp;$A167))-IF(RTD("tos.rtd",,$A$2,"."&amp;T$135&amp;T$1&amp;"P"&amp;$A167)="N/A",0,RTD("tos.rtd",,$A$2,"."&amp;T$135&amp;T$1&amp;"P"&amp;$A167))</f>
        <v>0</v>
      </c>
      <c r="U167" s="91">
        <f ca="1">IF(RTD("tos.rtd",,$A$2,"."&amp;U$135&amp;U$1&amp;"C"&amp;$A167)="N/A",0,RTD("tos.rtd",,$A$2,"."&amp;U$135&amp;U$1&amp;"C"&amp;$A167))-IF(RTD("tos.rtd",,$A$2,"."&amp;U$135&amp;U$1&amp;"P"&amp;$A167)="N/A",0,RTD("tos.rtd",,$A$2,"."&amp;U$135&amp;U$1&amp;"P"&amp;$A167))</f>
        <v>0</v>
      </c>
      <c r="V167" s="91">
        <f ca="1">IF(RTD("tos.rtd",,$A$2,"."&amp;V$135&amp;V$1&amp;"C"&amp;$A167)="N/A",0,RTD("tos.rtd",,$A$2,"."&amp;V$135&amp;V$1&amp;"C"&amp;$A167))-IF(RTD("tos.rtd",,$A$2,"."&amp;V$135&amp;V$1&amp;"P"&amp;$A167)="N/A",0,RTD("tos.rtd",,$A$2,"."&amp;V$135&amp;V$1&amp;"P"&amp;$A167))</f>
        <v>0</v>
      </c>
      <c r="W167" s="91">
        <f ca="1">IF(RTD("tos.rtd",,$A$2,"."&amp;W$135&amp;W$1&amp;"C"&amp;$A167)="N/A",0,RTD("tos.rtd",,$A$2,"."&amp;W$135&amp;W$1&amp;"C"&amp;$A167))-IF(RTD("tos.rtd",,$A$2,"."&amp;W$135&amp;W$1&amp;"P"&amp;$A167)="N/A",0,RTD("tos.rtd",,$A$2,"."&amp;W$135&amp;W$1&amp;"P"&amp;$A167))</f>
        <v>0</v>
      </c>
      <c r="X167" s="91">
        <f ca="1">IF(RTD("tos.rtd",,$A$2,"."&amp;X$135&amp;X$1&amp;"C"&amp;$A167)="N/A",0,RTD("tos.rtd",,$A$2,"."&amp;X$135&amp;X$1&amp;"C"&amp;$A167))-IF(RTD("tos.rtd",,$A$2,"."&amp;X$135&amp;X$1&amp;"P"&amp;$A167)="N/A",0,RTD("tos.rtd",,$A$2,"."&amp;X$135&amp;X$1&amp;"P"&amp;$A167))</f>
        <v>0</v>
      </c>
      <c r="Y167" s="98">
        <f t="shared" ca="1" si="13"/>
        <v>4</v>
      </c>
      <c r="Z167" s="91"/>
      <c r="AA167" s="91"/>
    </row>
    <row r="168" spans="1:27" x14ac:dyDescent="0.25">
      <c r="A168" s="93">
        <f>+Hoja1!A167</f>
        <v>19700</v>
      </c>
      <c r="B168" s="91">
        <f ca="1">IF(RTD("tos.rtd",,$A$2,"."&amp;B$135&amp;B$1&amp;"C"&amp;$A168)="N/A",0,RTD("tos.rtd",,$A$2,"."&amp;B$135&amp;B$1&amp;"C"&amp;$A168))-IF(RTD("tos.rtd",,$A$2,"."&amp;B$135&amp;B$1&amp;"P"&amp;$A168)="N/A",0,RTD("tos.rtd",,$A$2,"."&amp;B$135&amp;B$1&amp;"P"&amp;$A168))</f>
        <v>0</v>
      </c>
      <c r="C168" s="91">
        <f ca="1">IF(RTD("tos.rtd",,$A$2,"."&amp;C$135&amp;C$1&amp;"C"&amp;$A168)="N/A",0,RTD("tos.rtd",,$A$2,"."&amp;C$135&amp;C$1&amp;"C"&amp;$A168))-IF(RTD("tos.rtd",,$A$2,"."&amp;C$135&amp;C$1&amp;"P"&amp;$A168)="N/A",0,RTD("tos.rtd",,$A$2,"."&amp;C$135&amp;C$1&amp;"P"&amp;$A168))</f>
        <v>0</v>
      </c>
      <c r="D168" s="91">
        <f ca="1">IF(RTD("tos.rtd",,$A$2,"."&amp;D$135&amp;D$1&amp;"C"&amp;$A168)="N/A",0,RTD("tos.rtd",,$A$2,"."&amp;D$135&amp;D$1&amp;"C"&amp;$A168))-IF(RTD("tos.rtd",,$A$2,"."&amp;D$135&amp;D$1&amp;"P"&amp;$A168)="N/A",0,RTD("tos.rtd",,$A$2,"."&amp;D$135&amp;D$1&amp;"P"&amp;$A168))</f>
        <v>0</v>
      </c>
      <c r="E168" s="91">
        <f ca="1">IF(RTD("tos.rtd",,$A$2,"."&amp;E$135&amp;E$1&amp;"C"&amp;$A168)="N/A",0,RTD("tos.rtd",,$A$2,"."&amp;E$135&amp;E$1&amp;"C"&amp;$A168))-IF(RTD("tos.rtd",,$A$2,"."&amp;E$135&amp;E$1&amp;"P"&amp;$A168)="N/A",0,RTD("tos.rtd",,$A$2,"."&amp;E$135&amp;E$1&amp;"P"&amp;$A168))</f>
        <v>0</v>
      </c>
      <c r="F168" s="91">
        <f ca="1">IF(RTD("tos.rtd",,$A$2,"."&amp;F$135&amp;F$1&amp;"C"&amp;$A168)="N/A",0,RTD("tos.rtd",,$A$2,"."&amp;F$135&amp;F$1&amp;"C"&amp;$A168))-IF(RTD("tos.rtd",,$A$2,"."&amp;F$135&amp;F$1&amp;"P"&amp;$A168)="N/A",0,RTD("tos.rtd",,$A$2,"."&amp;F$135&amp;F$1&amp;"P"&amp;$A168))</f>
        <v>0</v>
      </c>
      <c r="G168" s="91">
        <f ca="1">IF(RTD("tos.rtd",,$A$2,"."&amp;G$135&amp;G$1&amp;"C"&amp;$A168)="N/A",0,RTD("tos.rtd",,$A$2,"."&amp;G$135&amp;G$1&amp;"C"&amp;$A168))-IF(RTD("tos.rtd",,$A$2,"."&amp;G$135&amp;G$1&amp;"P"&amp;$A168)="N/A",0,RTD("tos.rtd",,$A$2,"."&amp;G$135&amp;G$1&amp;"P"&amp;$A168))</f>
        <v>0</v>
      </c>
      <c r="H168" s="91">
        <f ca="1">IF(RTD("tos.rtd",,$A$2,"."&amp;H$135&amp;H$1&amp;"C"&amp;$A168)="N/A",0,RTD("tos.rtd",,$A$2,"."&amp;H$135&amp;H$1&amp;"C"&amp;$A168))-IF(RTD("tos.rtd",,$A$2,"."&amp;H$135&amp;H$1&amp;"P"&amp;$A168)="N/A",0,RTD("tos.rtd",,$A$2,"."&amp;H$135&amp;H$1&amp;"P"&amp;$A168))</f>
        <v>0</v>
      </c>
      <c r="I168" s="91">
        <f ca="1">IF(RTD("tos.rtd",,$A$2,"."&amp;I$135&amp;I$1&amp;"C"&amp;$A168)="N/A",0,RTD("tos.rtd",,$A$2,"."&amp;I$135&amp;I$1&amp;"C"&amp;$A168))-IF(RTD("tos.rtd",,$A$2,"."&amp;I$135&amp;I$1&amp;"P"&amp;$A168)="N/A",0,RTD("tos.rtd",,$A$2,"."&amp;I$135&amp;I$1&amp;"P"&amp;$A168))</f>
        <v>3</v>
      </c>
      <c r="J168" s="91">
        <f ca="1">IF(RTD("tos.rtd",,$A$2,"."&amp;J$135&amp;J$1&amp;"C"&amp;$A168)="N/A",0,RTD("tos.rtd",,$A$2,"."&amp;J$135&amp;J$1&amp;"C"&amp;$A168))-IF(RTD("tos.rtd",,$A$2,"."&amp;J$135&amp;J$1&amp;"P"&amp;$A168)="N/A",0,RTD("tos.rtd",,$A$2,"."&amp;J$135&amp;J$1&amp;"P"&amp;$A168))</f>
        <v>0</v>
      </c>
      <c r="K168" s="91">
        <f ca="1">IF(RTD("tos.rtd",,$A$2,"."&amp;K$135&amp;K$1&amp;"C"&amp;$A168)="N/A",0,RTD("tos.rtd",,$A$2,"."&amp;K$135&amp;K$1&amp;"C"&amp;$A168))-IF(RTD("tos.rtd",,$A$2,"."&amp;K$135&amp;K$1&amp;"P"&amp;$A168)="N/A",0,RTD("tos.rtd",,$A$2,"."&amp;K$135&amp;K$1&amp;"P"&amp;$A168))</f>
        <v>-4</v>
      </c>
      <c r="L168" s="91">
        <f ca="1">IF(RTD("tos.rtd",,$A$2,"."&amp;L$135&amp;L$1&amp;"C"&amp;$A168)="N/A",0,RTD("tos.rtd",,$A$2,"."&amp;L$135&amp;L$1&amp;"C"&amp;$A168))-IF(RTD("tos.rtd",,$A$2,"."&amp;L$135&amp;L$1&amp;"P"&amp;$A168)="N/A",0,RTD("tos.rtd",,$A$2,"."&amp;L$135&amp;L$1&amp;"P"&amp;$A168))</f>
        <v>0</v>
      </c>
      <c r="M168" s="91">
        <f ca="1">IF(RTD("tos.rtd",,$A$2,"."&amp;M$135&amp;M$1&amp;"C"&amp;$A168)="N/A",0,RTD("tos.rtd",,$A$2,"."&amp;M$135&amp;M$1&amp;"C"&amp;$A168))-IF(RTD("tos.rtd",,$A$2,"."&amp;M$135&amp;M$1&amp;"P"&amp;$A168)="N/A",0,RTD("tos.rtd",,$A$2,"."&amp;M$135&amp;M$1&amp;"P"&amp;$A168))</f>
        <v>0</v>
      </c>
      <c r="N168" s="91">
        <f ca="1">IF(RTD("tos.rtd",,$A$2,"."&amp;N$135&amp;N$1&amp;"C"&amp;$A168)="N/A",0,RTD("tos.rtd",,$A$2,"."&amp;N$135&amp;N$1&amp;"C"&amp;$A168))-IF(RTD("tos.rtd",,$A$2,"."&amp;N$135&amp;N$1&amp;"P"&amp;$A168)="N/A",0,RTD("tos.rtd",,$A$2,"."&amp;N$135&amp;N$1&amp;"P"&amp;$A168))</f>
        <v>0</v>
      </c>
      <c r="O168" s="91">
        <f ca="1">IF(RTD("tos.rtd",,$A$2,"."&amp;O$135&amp;O$1&amp;"C"&amp;$A168)="N/A",0,RTD("tos.rtd",,$A$2,"."&amp;O$135&amp;O$1&amp;"C"&amp;$A168))-IF(RTD("tos.rtd",,$A$2,"."&amp;O$135&amp;O$1&amp;"P"&amp;$A168)="N/A",0,RTD("tos.rtd",,$A$2,"."&amp;O$135&amp;O$1&amp;"P"&amp;$A168))</f>
        <v>1</v>
      </c>
      <c r="P168" s="91">
        <f ca="1">IF(RTD("tos.rtd",,$A$2,"."&amp;P$135&amp;P$1&amp;"C"&amp;$A168)="N/A",0,RTD("tos.rtd",,$A$2,"."&amp;P$135&amp;P$1&amp;"C"&amp;$A168))-IF(RTD("tos.rtd",,$A$2,"."&amp;P$135&amp;P$1&amp;"P"&amp;$A168)="N/A",0,RTD("tos.rtd",,$A$2,"."&amp;P$135&amp;P$1&amp;"P"&amp;$A168))</f>
        <v>0</v>
      </c>
      <c r="Q168" s="91">
        <f ca="1">IF(RTD("tos.rtd",,$A$2,"."&amp;Q$135&amp;Q$1&amp;"C"&amp;$A168)="N/A",0,RTD("tos.rtd",,$A$2,"."&amp;Q$135&amp;Q$1&amp;"C"&amp;$A168))-IF(RTD("tos.rtd",,$A$2,"."&amp;Q$135&amp;Q$1&amp;"P"&amp;$A168)="N/A",0,RTD("tos.rtd",,$A$2,"."&amp;Q$135&amp;Q$1&amp;"P"&amp;$A168))</f>
        <v>0</v>
      </c>
      <c r="R168" s="91">
        <f ca="1">IF(RTD("tos.rtd",,$A$2,"."&amp;R$135&amp;R$1&amp;"C"&amp;$A168)="N/A",0,RTD("tos.rtd",,$A$2,"."&amp;R$135&amp;R$1&amp;"C"&amp;$A168))-IF(RTD("tos.rtd",,$A$2,"."&amp;R$135&amp;R$1&amp;"P"&amp;$A168)="N/A",0,RTD("tos.rtd",,$A$2,"."&amp;R$135&amp;R$1&amp;"P"&amp;$A168))</f>
        <v>0</v>
      </c>
      <c r="S168" s="91">
        <f ca="1">IF(RTD("tos.rtd",,$A$2,"."&amp;S$135&amp;S$1&amp;"C"&amp;$A168)="N/A",0,RTD("tos.rtd",,$A$2,"."&amp;S$135&amp;S$1&amp;"C"&amp;$A168))-IF(RTD("tos.rtd",,$A$2,"."&amp;S$135&amp;S$1&amp;"P"&amp;$A168)="N/A",0,RTD("tos.rtd",,$A$2,"."&amp;S$135&amp;S$1&amp;"P"&amp;$A168))</f>
        <v>0</v>
      </c>
      <c r="T168" s="91">
        <f ca="1">IF(RTD("tos.rtd",,$A$2,"."&amp;T$135&amp;T$1&amp;"C"&amp;$A168)="N/A",0,RTD("tos.rtd",,$A$2,"."&amp;T$135&amp;T$1&amp;"C"&amp;$A168))-IF(RTD("tos.rtd",,$A$2,"."&amp;T$135&amp;T$1&amp;"P"&amp;$A168)="N/A",0,RTD("tos.rtd",,$A$2,"."&amp;T$135&amp;T$1&amp;"P"&amp;$A168))</f>
        <v>0</v>
      </c>
      <c r="U168" s="91">
        <f ca="1">IF(RTD("tos.rtd",,$A$2,"."&amp;U$135&amp;U$1&amp;"C"&amp;$A168)="N/A",0,RTD("tos.rtd",,$A$2,"."&amp;U$135&amp;U$1&amp;"C"&amp;$A168))-IF(RTD("tos.rtd",,$A$2,"."&amp;U$135&amp;U$1&amp;"P"&amp;$A168)="N/A",0,RTD("tos.rtd",,$A$2,"."&amp;U$135&amp;U$1&amp;"P"&amp;$A168))</f>
        <v>0</v>
      </c>
      <c r="V168" s="91">
        <f ca="1">IF(RTD("tos.rtd",,$A$2,"."&amp;V$135&amp;V$1&amp;"C"&amp;$A168)="N/A",0,RTD("tos.rtd",,$A$2,"."&amp;V$135&amp;V$1&amp;"C"&amp;$A168))-IF(RTD("tos.rtd",,$A$2,"."&amp;V$135&amp;V$1&amp;"P"&amp;$A168)="N/A",0,RTD("tos.rtd",,$A$2,"."&amp;V$135&amp;V$1&amp;"P"&amp;$A168))</f>
        <v>0</v>
      </c>
      <c r="W168" s="91">
        <f ca="1">IF(RTD("tos.rtd",,$A$2,"."&amp;W$135&amp;W$1&amp;"C"&amp;$A168)="N/A",0,RTD("tos.rtd",,$A$2,"."&amp;W$135&amp;W$1&amp;"C"&amp;$A168))-IF(RTD("tos.rtd",,$A$2,"."&amp;W$135&amp;W$1&amp;"P"&amp;$A168)="N/A",0,RTD("tos.rtd",,$A$2,"."&amp;W$135&amp;W$1&amp;"P"&amp;$A168))</f>
        <v>0</v>
      </c>
      <c r="X168" s="91">
        <f ca="1">IF(RTD("tos.rtd",,$A$2,"."&amp;X$135&amp;X$1&amp;"C"&amp;$A168)="N/A",0,RTD("tos.rtd",,$A$2,"."&amp;X$135&amp;X$1&amp;"C"&amp;$A168))-IF(RTD("tos.rtd",,$A$2,"."&amp;X$135&amp;X$1&amp;"P"&amp;$A168)="N/A",0,RTD("tos.rtd",,$A$2,"."&amp;X$135&amp;X$1&amp;"P"&amp;$A168))</f>
        <v>0</v>
      </c>
      <c r="Y168" s="98">
        <f t="shared" ca="1" si="13"/>
        <v>0</v>
      </c>
      <c r="Z168" s="91"/>
      <c r="AA168" s="91"/>
    </row>
    <row r="169" spans="1:27" x14ac:dyDescent="0.25">
      <c r="A169" s="93">
        <f>+Hoja1!A168</f>
        <v>19675</v>
      </c>
      <c r="B169" s="91">
        <f ca="1">IF(RTD("tos.rtd",,$A$2,"."&amp;B$135&amp;B$1&amp;"C"&amp;$A169)="N/A",0,RTD("tos.rtd",,$A$2,"."&amp;B$135&amp;B$1&amp;"C"&amp;$A169))-IF(RTD("tos.rtd",,$A$2,"."&amp;B$135&amp;B$1&amp;"P"&amp;$A169)="N/A",0,RTD("tos.rtd",,$A$2,"."&amp;B$135&amp;B$1&amp;"P"&amp;$A169))</f>
        <v>0</v>
      </c>
      <c r="C169" s="91">
        <f ca="1">IF(RTD("tos.rtd",,$A$2,"."&amp;C$135&amp;C$1&amp;"C"&amp;$A169)="N/A",0,RTD("tos.rtd",,$A$2,"."&amp;C$135&amp;C$1&amp;"C"&amp;$A169))-IF(RTD("tos.rtd",,$A$2,"."&amp;C$135&amp;C$1&amp;"P"&amp;$A169)="N/A",0,RTD("tos.rtd",,$A$2,"."&amp;C$135&amp;C$1&amp;"P"&amp;$A169))</f>
        <v>0</v>
      </c>
      <c r="D169" s="91">
        <f ca="1">IF(RTD("tos.rtd",,$A$2,"."&amp;D$135&amp;D$1&amp;"C"&amp;$A169)="N/A",0,RTD("tos.rtd",,$A$2,"."&amp;D$135&amp;D$1&amp;"C"&amp;$A169))-IF(RTD("tos.rtd",,$A$2,"."&amp;D$135&amp;D$1&amp;"P"&amp;$A169)="N/A",0,RTD("tos.rtd",,$A$2,"."&amp;D$135&amp;D$1&amp;"P"&amp;$A169))</f>
        <v>0</v>
      </c>
      <c r="E169" s="91">
        <f ca="1">IF(RTD("tos.rtd",,$A$2,"."&amp;E$135&amp;E$1&amp;"C"&amp;$A169)="N/A",0,RTD("tos.rtd",,$A$2,"."&amp;E$135&amp;E$1&amp;"C"&amp;$A169))-IF(RTD("tos.rtd",,$A$2,"."&amp;E$135&amp;E$1&amp;"P"&amp;$A169)="N/A",0,RTD("tos.rtd",,$A$2,"."&amp;E$135&amp;E$1&amp;"P"&amp;$A169))</f>
        <v>0</v>
      </c>
      <c r="F169" s="91">
        <f ca="1">IF(RTD("tos.rtd",,$A$2,"."&amp;F$135&amp;F$1&amp;"C"&amp;$A169)="N/A",0,RTD("tos.rtd",,$A$2,"."&amp;F$135&amp;F$1&amp;"C"&amp;$A169))-IF(RTD("tos.rtd",,$A$2,"."&amp;F$135&amp;F$1&amp;"P"&amp;$A169)="N/A",0,RTD("tos.rtd",,$A$2,"."&amp;F$135&amp;F$1&amp;"P"&amp;$A169))</f>
        <v>0</v>
      </c>
      <c r="G169" s="91">
        <f ca="1">IF(RTD("tos.rtd",,$A$2,"."&amp;G$135&amp;G$1&amp;"C"&amp;$A169)="N/A",0,RTD("tos.rtd",,$A$2,"."&amp;G$135&amp;G$1&amp;"C"&amp;$A169))-IF(RTD("tos.rtd",,$A$2,"."&amp;G$135&amp;G$1&amp;"P"&amp;$A169)="N/A",0,RTD("tos.rtd",,$A$2,"."&amp;G$135&amp;G$1&amp;"P"&amp;$A169))</f>
        <v>0</v>
      </c>
      <c r="H169" s="91">
        <f ca="1">IF(RTD("tos.rtd",,$A$2,"."&amp;H$135&amp;H$1&amp;"C"&amp;$A169)="N/A",0,RTD("tos.rtd",,$A$2,"."&amp;H$135&amp;H$1&amp;"C"&amp;$A169))-IF(RTD("tos.rtd",,$A$2,"."&amp;H$135&amp;H$1&amp;"P"&amp;$A169)="N/A",0,RTD("tos.rtd",,$A$2,"."&amp;H$135&amp;H$1&amp;"P"&amp;$A169))</f>
        <v>0</v>
      </c>
      <c r="I169" s="91">
        <f ca="1">IF(RTD("tos.rtd",,$A$2,"."&amp;I$135&amp;I$1&amp;"C"&amp;$A169)="N/A",0,RTD("tos.rtd",,$A$2,"."&amp;I$135&amp;I$1&amp;"C"&amp;$A169))-IF(RTD("tos.rtd",,$A$2,"."&amp;I$135&amp;I$1&amp;"P"&amp;$A169)="N/A",0,RTD("tos.rtd",,$A$2,"."&amp;I$135&amp;I$1&amp;"P"&amp;$A169))</f>
        <v>0</v>
      </c>
      <c r="J169" s="91">
        <f ca="1">IF(RTD("tos.rtd",,$A$2,"."&amp;J$135&amp;J$1&amp;"C"&amp;$A169)="N/A",0,RTD("tos.rtd",,$A$2,"."&amp;J$135&amp;J$1&amp;"C"&amp;$A169))-IF(RTD("tos.rtd",,$A$2,"."&amp;J$135&amp;J$1&amp;"P"&amp;$A169)="N/A",0,RTD("tos.rtd",,$A$2,"."&amp;J$135&amp;J$1&amp;"P"&amp;$A169))</f>
        <v>1</v>
      </c>
      <c r="K169" s="91">
        <f ca="1">IF(RTD("tos.rtd",,$A$2,"."&amp;K$135&amp;K$1&amp;"C"&amp;$A169)="N/A",0,RTD("tos.rtd",,$A$2,"."&amp;K$135&amp;K$1&amp;"C"&amp;$A169))-IF(RTD("tos.rtd",,$A$2,"."&amp;K$135&amp;K$1&amp;"P"&amp;$A169)="N/A",0,RTD("tos.rtd",,$A$2,"."&amp;K$135&amp;K$1&amp;"P"&amp;$A169))</f>
        <v>2</v>
      </c>
      <c r="L169" s="91">
        <f ca="1">IF(RTD("tos.rtd",,$A$2,"."&amp;L$135&amp;L$1&amp;"C"&amp;$A169)="N/A",0,RTD("tos.rtd",,$A$2,"."&amp;L$135&amp;L$1&amp;"C"&amp;$A169))-IF(RTD("tos.rtd",,$A$2,"."&amp;L$135&amp;L$1&amp;"P"&amp;$A169)="N/A",0,RTD("tos.rtd",,$A$2,"."&amp;L$135&amp;L$1&amp;"P"&amp;$A169))</f>
        <v>0</v>
      </c>
      <c r="M169" s="91">
        <f ca="1">IF(RTD("tos.rtd",,$A$2,"."&amp;M$135&amp;M$1&amp;"C"&amp;$A169)="N/A",0,RTD("tos.rtd",,$A$2,"."&amp;M$135&amp;M$1&amp;"C"&amp;$A169))-IF(RTD("tos.rtd",,$A$2,"."&amp;M$135&amp;M$1&amp;"P"&amp;$A169)="N/A",0,RTD("tos.rtd",,$A$2,"."&amp;M$135&amp;M$1&amp;"P"&amp;$A169))</f>
        <v>0</v>
      </c>
      <c r="N169" s="91">
        <f ca="1">IF(RTD("tos.rtd",,$A$2,"."&amp;N$135&amp;N$1&amp;"C"&amp;$A169)="N/A",0,RTD("tos.rtd",,$A$2,"."&amp;N$135&amp;N$1&amp;"C"&amp;$A169))-IF(RTD("tos.rtd",,$A$2,"."&amp;N$135&amp;N$1&amp;"P"&amp;$A169)="N/A",0,RTD("tos.rtd",,$A$2,"."&amp;N$135&amp;N$1&amp;"P"&amp;$A169))</f>
        <v>0</v>
      </c>
      <c r="O169" s="91">
        <f ca="1">IF(RTD("tos.rtd",,$A$2,"."&amp;O$135&amp;O$1&amp;"C"&amp;$A169)="N/A",0,RTD("tos.rtd",,$A$2,"."&amp;O$135&amp;O$1&amp;"C"&amp;$A169))-IF(RTD("tos.rtd",,$A$2,"."&amp;O$135&amp;O$1&amp;"P"&amp;$A169)="N/A",0,RTD("tos.rtd",,$A$2,"."&amp;O$135&amp;O$1&amp;"P"&amp;$A169))</f>
        <v>0</v>
      </c>
      <c r="P169" s="91">
        <f ca="1">IF(RTD("tos.rtd",,$A$2,"."&amp;P$135&amp;P$1&amp;"C"&amp;$A169)="N/A",0,RTD("tos.rtd",,$A$2,"."&amp;P$135&amp;P$1&amp;"C"&amp;$A169))-IF(RTD("tos.rtd",,$A$2,"."&amp;P$135&amp;P$1&amp;"P"&amp;$A169)="N/A",0,RTD("tos.rtd",,$A$2,"."&amp;P$135&amp;P$1&amp;"P"&amp;$A169))</f>
        <v>0</v>
      </c>
      <c r="Q169" s="91">
        <f ca="1">IF(RTD("tos.rtd",,$A$2,"."&amp;Q$135&amp;Q$1&amp;"C"&amp;$A169)="N/A",0,RTD("tos.rtd",,$A$2,"."&amp;Q$135&amp;Q$1&amp;"C"&amp;$A169))-IF(RTD("tos.rtd",,$A$2,"."&amp;Q$135&amp;Q$1&amp;"P"&amp;$A169)="N/A",0,RTD("tos.rtd",,$A$2,"."&amp;Q$135&amp;Q$1&amp;"P"&amp;$A169))</f>
        <v>0</v>
      </c>
      <c r="R169" s="91">
        <f ca="1">IF(RTD("tos.rtd",,$A$2,"."&amp;R$135&amp;R$1&amp;"C"&amp;$A169)="N/A",0,RTD("tos.rtd",,$A$2,"."&amp;R$135&amp;R$1&amp;"C"&amp;$A169))-IF(RTD("tos.rtd",,$A$2,"."&amp;R$135&amp;R$1&amp;"P"&amp;$A169)="N/A",0,RTD("tos.rtd",,$A$2,"."&amp;R$135&amp;R$1&amp;"P"&amp;$A169))</f>
        <v>0</v>
      </c>
      <c r="S169" s="91">
        <f ca="1">IF(RTD("tos.rtd",,$A$2,"."&amp;S$135&amp;S$1&amp;"C"&amp;$A169)="N/A",0,RTD("tos.rtd",,$A$2,"."&amp;S$135&amp;S$1&amp;"C"&amp;$A169))-IF(RTD("tos.rtd",,$A$2,"."&amp;S$135&amp;S$1&amp;"P"&amp;$A169)="N/A",0,RTD("tos.rtd",,$A$2,"."&amp;S$135&amp;S$1&amp;"P"&amp;$A169))</f>
        <v>0</v>
      </c>
      <c r="T169" s="91">
        <f ca="1">IF(RTD("tos.rtd",,$A$2,"."&amp;T$135&amp;T$1&amp;"C"&amp;$A169)="N/A",0,RTD("tos.rtd",,$A$2,"."&amp;T$135&amp;T$1&amp;"C"&amp;$A169))-IF(RTD("tos.rtd",,$A$2,"."&amp;T$135&amp;T$1&amp;"P"&amp;$A169)="N/A",0,RTD("tos.rtd",,$A$2,"."&amp;T$135&amp;T$1&amp;"P"&amp;$A169))</f>
        <v>0</v>
      </c>
      <c r="U169" s="91">
        <f ca="1">IF(RTD("tos.rtd",,$A$2,"."&amp;U$135&amp;U$1&amp;"C"&amp;$A169)="N/A",0,RTD("tos.rtd",,$A$2,"."&amp;U$135&amp;U$1&amp;"C"&amp;$A169))-IF(RTD("tos.rtd",,$A$2,"."&amp;U$135&amp;U$1&amp;"P"&amp;$A169)="N/A",0,RTD("tos.rtd",,$A$2,"."&amp;U$135&amp;U$1&amp;"P"&amp;$A169))</f>
        <v>0</v>
      </c>
      <c r="V169" s="91">
        <f ca="1">IF(RTD("tos.rtd",,$A$2,"."&amp;V$135&amp;V$1&amp;"C"&amp;$A169)="N/A",0,RTD("tos.rtd",,$A$2,"."&amp;V$135&amp;V$1&amp;"C"&amp;$A169))-IF(RTD("tos.rtd",,$A$2,"."&amp;V$135&amp;V$1&amp;"P"&amp;$A169)="N/A",0,RTD("tos.rtd",,$A$2,"."&amp;V$135&amp;V$1&amp;"P"&amp;$A169))</f>
        <v>0</v>
      </c>
      <c r="W169" s="91">
        <f ca="1">IF(RTD("tos.rtd",,$A$2,"."&amp;W$135&amp;W$1&amp;"C"&amp;$A169)="N/A",0,RTD("tos.rtd",,$A$2,"."&amp;W$135&amp;W$1&amp;"C"&amp;$A169))-IF(RTD("tos.rtd",,$A$2,"."&amp;W$135&amp;W$1&amp;"P"&amp;$A169)="N/A",0,RTD("tos.rtd",,$A$2,"."&amp;W$135&amp;W$1&amp;"P"&amp;$A169))</f>
        <v>0</v>
      </c>
      <c r="X169" s="91">
        <f ca="1">IF(RTD("tos.rtd",,$A$2,"."&amp;X$135&amp;X$1&amp;"C"&amp;$A169)="N/A",0,RTD("tos.rtd",,$A$2,"."&amp;X$135&amp;X$1&amp;"C"&amp;$A169))-IF(RTD("tos.rtd",,$A$2,"."&amp;X$135&amp;X$1&amp;"P"&amp;$A169)="N/A",0,RTD("tos.rtd",,$A$2,"."&amp;X$135&amp;X$1&amp;"P"&amp;$A169))</f>
        <v>0</v>
      </c>
      <c r="Y169" s="98">
        <f t="shared" ca="1" si="13"/>
        <v>3</v>
      </c>
      <c r="Z169" s="91"/>
      <c r="AA169" s="91"/>
    </row>
    <row r="170" spans="1:27" x14ac:dyDescent="0.25">
      <c r="A170" s="93">
        <f>+Hoja1!A169</f>
        <v>19650</v>
      </c>
      <c r="B170" s="91">
        <f ca="1">IF(RTD("tos.rtd",,$A$2,"."&amp;B$135&amp;B$1&amp;"C"&amp;$A170)="N/A",0,RTD("tos.rtd",,$A$2,"."&amp;B$135&amp;B$1&amp;"C"&amp;$A170))-IF(RTD("tos.rtd",,$A$2,"."&amp;B$135&amp;B$1&amp;"P"&amp;$A170)="N/A",0,RTD("tos.rtd",,$A$2,"."&amp;B$135&amp;B$1&amp;"P"&amp;$A170))</f>
        <v>0</v>
      </c>
      <c r="C170" s="91">
        <f ca="1">IF(RTD("tos.rtd",,$A$2,"."&amp;C$135&amp;C$1&amp;"C"&amp;$A170)="N/A",0,RTD("tos.rtd",,$A$2,"."&amp;C$135&amp;C$1&amp;"C"&amp;$A170))-IF(RTD("tos.rtd",,$A$2,"."&amp;C$135&amp;C$1&amp;"P"&amp;$A170)="N/A",0,RTD("tos.rtd",,$A$2,"."&amp;C$135&amp;C$1&amp;"P"&amp;$A170))</f>
        <v>0</v>
      </c>
      <c r="D170" s="91">
        <f ca="1">IF(RTD("tos.rtd",,$A$2,"."&amp;D$135&amp;D$1&amp;"C"&amp;$A170)="N/A",0,RTD("tos.rtd",,$A$2,"."&amp;D$135&amp;D$1&amp;"C"&amp;$A170))-IF(RTD("tos.rtd",,$A$2,"."&amp;D$135&amp;D$1&amp;"P"&amp;$A170)="N/A",0,RTD("tos.rtd",,$A$2,"."&amp;D$135&amp;D$1&amp;"P"&amp;$A170))</f>
        <v>0</v>
      </c>
      <c r="E170" s="91">
        <f ca="1">IF(RTD("tos.rtd",,$A$2,"."&amp;E$135&amp;E$1&amp;"C"&amp;$A170)="N/A",0,RTD("tos.rtd",,$A$2,"."&amp;E$135&amp;E$1&amp;"C"&amp;$A170))-IF(RTD("tos.rtd",,$A$2,"."&amp;E$135&amp;E$1&amp;"P"&amp;$A170)="N/A",0,RTD("tos.rtd",,$A$2,"."&amp;E$135&amp;E$1&amp;"P"&amp;$A170))</f>
        <v>0</v>
      </c>
      <c r="F170" s="91">
        <f ca="1">IF(RTD("tos.rtd",,$A$2,"."&amp;F$135&amp;F$1&amp;"C"&amp;$A170)="N/A",0,RTD("tos.rtd",,$A$2,"."&amp;F$135&amp;F$1&amp;"C"&amp;$A170))-IF(RTD("tos.rtd",,$A$2,"."&amp;F$135&amp;F$1&amp;"P"&amp;$A170)="N/A",0,RTD("tos.rtd",,$A$2,"."&amp;F$135&amp;F$1&amp;"P"&amp;$A170))</f>
        <v>0</v>
      </c>
      <c r="G170" s="91">
        <f ca="1">IF(RTD("tos.rtd",,$A$2,"."&amp;G$135&amp;G$1&amp;"C"&amp;$A170)="N/A",0,RTD("tos.rtd",,$A$2,"."&amp;G$135&amp;G$1&amp;"C"&amp;$A170))-IF(RTD("tos.rtd",,$A$2,"."&amp;G$135&amp;G$1&amp;"P"&amp;$A170)="N/A",0,RTD("tos.rtd",,$A$2,"."&amp;G$135&amp;G$1&amp;"P"&amp;$A170))</f>
        <v>0</v>
      </c>
      <c r="H170" s="91">
        <f ca="1">IF(RTD("tos.rtd",,$A$2,"."&amp;H$135&amp;H$1&amp;"C"&amp;$A170)="N/A",0,RTD("tos.rtd",,$A$2,"."&amp;H$135&amp;H$1&amp;"C"&amp;$A170))-IF(RTD("tos.rtd",,$A$2,"."&amp;H$135&amp;H$1&amp;"P"&amp;$A170)="N/A",0,RTD("tos.rtd",,$A$2,"."&amp;H$135&amp;H$1&amp;"P"&amp;$A170))</f>
        <v>0</v>
      </c>
      <c r="I170" s="91">
        <f ca="1">IF(RTD("tos.rtd",,$A$2,"."&amp;I$135&amp;I$1&amp;"C"&amp;$A170)="N/A",0,RTD("tos.rtd",,$A$2,"."&amp;I$135&amp;I$1&amp;"C"&amp;$A170))-IF(RTD("tos.rtd",,$A$2,"."&amp;I$135&amp;I$1&amp;"P"&amp;$A170)="N/A",0,RTD("tos.rtd",,$A$2,"."&amp;I$135&amp;I$1&amp;"P"&amp;$A170))</f>
        <v>0</v>
      </c>
      <c r="J170" s="91">
        <f ca="1">IF(RTD("tos.rtd",,$A$2,"."&amp;J$135&amp;J$1&amp;"C"&amp;$A170)="N/A",0,RTD("tos.rtd",,$A$2,"."&amp;J$135&amp;J$1&amp;"C"&amp;$A170))-IF(RTD("tos.rtd",,$A$2,"."&amp;J$135&amp;J$1&amp;"P"&amp;$A170)="N/A",0,RTD("tos.rtd",,$A$2,"."&amp;J$135&amp;J$1&amp;"P"&amp;$A170))</f>
        <v>0</v>
      </c>
      <c r="K170" s="91">
        <f ca="1">IF(RTD("tos.rtd",,$A$2,"."&amp;K$135&amp;K$1&amp;"C"&amp;$A170)="N/A",0,RTD("tos.rtd",,$A$2,"."&amp;K$135&amp;K$1&amp;"C"&amp;$A170))-IF(RTD("tos.rtd",,$A$2,"."&amp;K$135&amp;K$1&amp;"P"&amp;$A170)="N/A",0,RTD("tos.rtd",,$A$2,"."&amp;K$135&amp;K$1&amp;"P"&amp;$A170))</f>
        <v>1</v>
      </c>
      <c r="L170" s="91">
        <f ca="1">IF(RTD("tos.rtd",,$A$2,"."&amp;L$135&amp;L$1&amp;"C"&amp;$A170)="N/A",0,RTD("tos.rtd",,$A$2,"."&amp;L$135&amp;L$1&amp;"C"&amp;$A170))-IF(RTD("tos.rtd",,$A$2,"."&amp;L$135&amp;L$1&amp;"P"&amp;$A170)="N/A",0,RTD("tos.rtd",,$A$2,"."&amp;L$135&amp;L$1&amp;"P"&amp;$A170))</f>
        <v>0</v>
      </c>
      <c r="M170" s="91">
        <f ca="1">IF(RTD("tos.rtd",,$A$2,"."&amp;M$135&amp;M$1&amp;"C"&amp;$A170)="N/A",0,RTD("tos.rtd",,$A$2,"."&amp;M$135&amp;M$1&amp;"C"&amp;$A170))-IF(RTD("tos.rtd",,$A$2,"."&amp;M$135&amp;M$1&amp;"P"&amp;$A170)="N/A",0,RTD("tos.rtd",,$A$2,"."&amp;M$135&amp;M$1&amp;"P"&amp;$A170))</f>
        <v>-2</v>
      </c>
      <c r="N170" s="91">
        <f ca="1">IF(RTD("tos.rtd",,$A$2,"."&amp;N$135&amp;N$1&amp;"C"&amp;$A170)="N/A",0,RTD("tos.rtd",,$A$2,"."&amp;N$135&amp;N$1&amp;"C"&amp;$A170))-IF(RTD("tos.rtd",,$A$2,"."&amp;N$135&amp;N$1&amp;"P"&amp;$A170)="N/A",0,RTD("tos.rtd",,$A$2,"."&amp;N$135&amp;N$1&amp;"P"&amp;$A170))</f>
        <v>0</v>
      </c>
      <c r="O170" s="91">
        <f ca="1">IF(RTD("tos.rtd",,$A$2,"."&amp;O$135&amp;O$1&amp;"C"&amp;$A170)="N/A",0,RTD("tos.rtd",,$A$2,"."&amp;O$135&amp;O$1&amp;"C"&amp;$A170))-IF(RTD("tos.rtd",,$A$2,"."&amp;O$135&amp;O$1&amp;"P"&amp;$A170)="N/A",0,RTD("tos.rtd",,$A$2,"."&amp;O$135&amp;O$1&amp;"P"&amp;$A170))</f>
        <v>0</v>
      </c>
      <c r="P170" s="91">
        <f ca="1">IF(RTD("tos.rtd",,$A$2,"."&amp;P$135&amp;P$1&amp;"C"&amp;$A170)="N/A",0,RTD("tos.rtd",,$A$2,"."&amp;P$135&amp;P$1&amp;"C"&amp;$A170))-IF(RTD("tos.rtd",,$A$2,"."&amp;P$135&amp;P$1&amp;"P"&amp;$A170)="N/A",0,RTD("tos.rtd",,$A$2,"."&amp;P$135&amp;P$1&amp;"P"&amp;$A170))</f>
        <v>0</v>
      </c>
      <c r="Q170" s="91">
        <f ca="1">IF(RTD("tos.rtd",,$A$2,"."&amp;Q$135&amp;Q$1&amp;"C"&amp;$A170)="N/A",0,RTD("tos.rtd",,$A$2,"."&amp;Q$135&amp;Q$1&amp;"C"&amp;$A170))-IF(RTD("tos.rtd",,$A$2,"."&amp;Q$135&amp;Q$1&amp;"P"&amp;$A170)="N/A",0,RTD("tos.rtd",,$A$2,"."&amp;Q$135&amp;Q$1&amp;"P"&amp;$A170))</f>
        <v>0</v>
      </c>
      <c r="R170" s="91">
        <f ca="1">IF(RTD("tos.rtd",,$A$2,"."&amp;R$135&amp;R$1&amp;"C"&amp;$A170)="N/A",0,RTD("tos.rtd",,$A$2,"."&amp;R$135&amp;R$1&amp;"C"&amp;$A170))-IF(RTD("tos.rtd",,$A$2,"."&amp;R$135&amp;R$1&amp;"P"&amp;$A170)="N/A",0,RTD("tos.rtd",,$A$2,"."&amp;R$135&amp;R$1&amp;"P"&amp;$A170))</f>
        <v>0</v>
      </c>
      <c r="S170" s="91">
        <f ca="1">IF(RTD("tos.rtd",,$A$2,"."&amp;S$135&amp;S$1&amp;"C"&amp;$A170)="N/A",0,RTD("tos.rtd",,$A$2,"."&amp;S$135&amp;S$1&amp;"C"&amp;$A170))-IF(RTD("tos.rtd",,$A$2,"."&amp;S$135&amp;S$1&amp;"P"&amp;$A170)="N/A",0,RTD("tos.rtd",,$A$2,"."&amp;S$135&amp;S$1&amp;"P"&amp;$A170))</f>
        <v>0</v>
      </c>
      <c r="T170" s="91">
        <f ca="1">IF(RTD("tos.rtd",,$A$2,"."&amp;T$135&amp;T$1&amp;"C"&amp;$A170)="N/A",0,RTD("tos.rtd",,$A$2,"."&amp;T$135&amp;T$1&amp;"C"&amp;$A170))-IF(RTD("tos.rtd",,$A$2,"."&amp;T$135&amp;T$1&amp;"P"&amp;$A170)="N/A",0,RTD("tos.rtd",,$A$2,"."&amp;T$135&amp;T$1&amp;"P"&amp;$A170))</f>
        <v>0</v>
      </c>
      <c r="U170" s="91">
        <f ca="1">IF(RTD("tos.rtd",,$A$2,"."&amp;U$135&amp;U$1&amp;"C"&amp;$A170)="N/A",0,RTD("tos.rtd",,$A$2,"."&amp;U$135&amp;U$1&amp;"C"&amp;$A170))-IF(RTD("tos.rtd",,$A$2,"."&amp;U$135&amp;U$1&amp;"P"&amp;$A170)="N/A",0,RTD("tos.rtd",,$A$2,"."&amp;U$135&amp;U$1&amp;"P"&amp;$A170))</f>
        <v>0</v>
      </c>
      <c r="V170" s="91">
        <f ca="1">IF(RTD("tos.rtd",,$A$2,"."&amp;V$135&amp;V$1&amp;"C"&amp;$A170)="N/A",0,RTD("tos.rtd",,$A$2,"."&amp;V$135&amp;V$1&amp;"C"&amp;$A170))-IF(RTD("tos.rtd",,$A$2,"."&amp;V$135&amp;V$1&amp;"P"&amp;$A170)="N/A",0,RTD("tos.rtd",,$A$2,"."&amp;V$135&amp;V$1&amp;"P"&amp;$A170))</f>
        <v>0</v>
      </c>
      <c r="W170" s="91">
        <f ca="1">IF(RTD("tos.rtd",,$A$2,"."&amp;W$135&amp;W$1&amp;"C"&amp;$A170)="N/A",0,RTD("tos.rtd",,$A$2,"."&amp;W$135&amp;W$1&amp;"C"&amp;$A170))-IF(RTD("tos.rtd",,$A$2,"."&amp;W$135&amp;W$1&amp;"P"&amp;$A170)="N/A",0,RTD("tos.rtd",,$A$2,"."&amp;W$135&amp;W$1&amp;"P"&amp;$A170))</f>
        <v>0</v>
      </c>
      <c r="X170" s="91">
        <f ca="1">IF(RTD("tos.rtd",,$A$2,"."&amp;X$135&amp;X$1&amp;"C"&amp;$A170)="N/A",0,RTD("tos.rtd",,$A$2,"."&amp;X$135&amp;X$1&amp;"C"&amp;$A170))-IF(RTD("tos.rtd",,$A$2,"."&amp;X$135&amp;X$1&amp;"P"&amp;$A170)="N/A",0,RTD("tos.rtd",,$A$2,"."&amp;X$135&amp;X$1&amp;"P"&amp;$A170))</f>
        <v>0</v>
      </c>
      <c r="Y170" s="98">
        <f t="shared" ca="1" si="13"/>
        <v>-1</v>
      </c>
      <c r="Z170" s="91"/>
      <c r="AA170" s="91"/>
    </row>
    <row r="171" spans="1:27" x14ac:dyDescent="0.25">
      <c r="A171" s="93">
        <f>+Hoja1!A170</f>
        <v>19625</v>
      </c>
      <c r="B171" s="91">
        <f ca="1">IF(RTD("tos.rtd",,$A$2,"."&amp;B$135&amp;B$1&amp;"C"&amp;$A171)="N/A",0,RTD("tos.rtd",,$A$2,"."&amp;B$135&amp;B$1&amp;"C"&amp;$A171))-IF(RTD("tos.rtd",,$A$2,"."&amp;B$135&amp;B$1&amp;"P"&amp;$A171)="N/A",0,RTD("tos.rtd",,$A$2,"."&amp;B$135&amp;B$1&amp;"P"&amp;$A171))</f>
        <v>0</v>
      </c>
      <c r="C171" s="91">
        <f ca="1">IF(RTD("tos.rtd",,$A$2,"."&amp;C$135&amp;C$1&amp;"C"&amp;$A171)="N/A",0,RTD("tos.rtd",,$A$2,"."&amp;C$135&amp;C$1&amp;"C"&amp;$A171))-IF(RTD("tos.rtd",,$A$2,"."&amp;C$135&amp;C$1&amp;"P"&amp;$A171)="N/A",0,RTD("tos.rtd",,$A$2,"."&amp;C$135&amp;C$1&amp;"P"&amp;$A171))</f>
        <v>0</v>
      </c>
      <c r="D171" s="91">
        <f ca="1">IF(RTD("tos.rtd",,$A$2,"."&amp;D$135&amp;D$1&amp;"C"&amp;$A171)="N/A",0,RTD("tos.rtd",,$A$2,"."&amp;D$135&amp;D$1&amp;"C"&amp;$A171))-IF(RTD("tos.rtd",,$A$2,"."&amp;D$135&amp;D$1&amp;"P"&amp;$A171)="N/A",0,RTD("tos.rtd",,$A$2,"."&amp;D$135&amp;D$1&amp;"P"&amp;$A171))</f>
        <v>0</v>
      </c>
      <c r="E171" s="91">
        <f ca="1">IF(RTD("tos.rtd",,$A$2,"."&amp;E$135&amp;E$1&amp;"C"&amp;$A171)="N/A",0,RTD("tos.rtd",,$A$2,"."&amp;E$135&amp;E$1&amp;"C"&amp;$A171))-IF(RTD("tos.rtd",,$A$2,"."&amp;E$135&amp;E$1&amp;"P"&amp;$A171)="N/A",0,RTD("tos.rtd",,$A$2,"."&amp;E$135&amp;E$1&amp;"P"&amp;$A171))</f>
        <v>0</v>
      </c>
      <c r="F171" s="91">
        <f ca="1">IF(RTD("tos.rtd",,$A$2,"."&amp;F$135&amp;F$1&amp;"C"&amp;$A171)="N/A",0,RTD("tos.rtd",,$A$2,"."&amp;F$135&amp;F$1&amp;"C"&amp;$A171))-IF(RTD("tos.rtd",,$A$2,"."&amp;F$135&amp;F$1&amp;"P"&amp;$A171)="N/A",0,RTD("tos.rtd",,$A$2,"."&amp;F$135&amp;F$1&amp;"P"&amp;$A171))</f>
        <v>0</v>
      </c>
      <c r="G171" s="91">
        <f ca="1">IF(RTD("tos.rtd",,$A$2,"."&amp;G$135&amp;G$1&amp;"C"&amp;$A171)="N/A",0,RTD("tos.rtd",,$A$2,"."&amp;G$135&amp;G$1&amp;"C"&amp;$A171))-IF(RTD("tos.rtd",,$A$2,"."&amp;G$135&amp;G$1&amp;"P"&amp;$A171)="N/A",0,RTD("tos.rtd",,$A$2,"."&amp;G$135&amp;G$1&amp;"P"&amp;$A171))</f>
        <v>0</v>
      </c>
      <c r="H171" s="91">
        <f ca="1">IF(RTD("tos.rtd",,$A$2,"."&amp;H$135&amp;H$1&amp;"C"&amp;$A171)="N/A",0,RTD("tos.rtd",,$A$2,"."&amp;H$135&amp;H$1&amp;"C"&amp;$A171))-IF(RTD("tos.rtd",,$A$2,"."&amp;H$135&amp;H$1&amp;"P"&amp;$A171)="N/A",0,RTD("tos.rtd",,$A$2,"."&amp;H$135&amp;H$1&amp;"P"&amp;$A171))</f>
        <v>0</v>
      </c>
      <c r="I171" s="91">
        <f ca="1">IF(RTD("tos.rtd",,$A$2,"."&amp;I$135&amp;I$1&amp;"C"&amp;$A171)="N/A",0,RTD("tos.rtd",,$A$2,"."&amp;I$135&amp;I$1&amp;"C"&amp;$A171))-IF(RTD("tos.rtd",,$A$2,"."&amp;I$135&amp;I$1&amp;"P"&amp;$A171)="N/A",0,RTD("tos.rtd",,$A$2,"."&amp;I$135&amp;I$1&amp;"P"&amp;$A171))</f>
        <v>1</v>
      </c>
      <c r="J171" s="91">
        <f ca="1">IF(RTD("tos.rtd",,$A$2,"."&amp;J$135&amp;J$1&amp;"C"&amp;$A171)="N/A",0,RTD("tos.rtd",,$A$2,"."&amp;J$135&amp;J$1&amp;"C"&amp;$A171))-IF(RTD("tos.rtd",,$A$2,"."&amp;J$135&amp;J$1&amp;"P"&amp;$A171)="N/A",0,RTD("tos.rtd",,$A$2,"."&amp;J$135&amp;J$1&amp;"P"&amp;$A171))</f>
        <v>0</v>
      </c>
      <c r="K171" s="91">
        <f ca="1">IF(RTD("tos.rtd",,$A$2,"."&amp;K$135&amp;K$1&amp;"C"&amp;$A171)="N/A",0,RTD("tos.rtd",,$A$2,"."&amp;K$135&amp;K$1&amp;"C"&amp;$A171))-IF(RTD("tos.rtd",,$A$2,"."&amp;K$135&amp;K$1&amp;"P"&amp;$A171)="N/A",0,RTD("tos.rtd",,$A$2,"."&amp;K$135&amp;K$1&amp;"P"&amp;$A171))</f>
        <v>-1</v>
      </c>
      <c r="L171" s="91">
        <f ca="1">IF(RTD("tos.rtd",,$A$2,"."&amp;L$135&amp;L$1&amp;"C"&amp;$A171)="N/A",0,RTD("tos.rtd",,$A$2,"."&amp;L$135&amp;L$1&amp;"C"&amp;$A171))-IF(RTD("tos.rtd",,$A$2,"."&amp;L$135&amp;L$1&amp;"P"&amp;$A171)="N/A",0,RTD("tos.rtd",,$A$2,"."&amp;L$135&amp;L$1&amp;"P"&amp;$A171))</f>
        <v>0</v>
      </c>
      <c r="M171" s="91">
        <f ca="1">IF(RTD("tos.rtd",,$A$2,"."&amp;M$135&amp;M$1&amp;"C"&amp;$A171)="N/A",0,RTD("tos.rtd",,$A$2,"."&amp;M$135&amp;M$1&amp;"C"&amp;$A171))-IF(RTD("tos.rtd",,$A$2,"."&amp;M$135&amp;M$1&amp;"P"&amp;$A171)="N/A",0,RTD("tos.rtd",,$A$2,"."&amp;M$135&amp;M$1&amp;"P"&amp;$A171))</f>
        <v>0</v>
      </c>
      <c r="N171" s="91">
        <f ca="1">IF(RTD("tos.rtd",,$A$2,"."&amp;N$135&amp;N$1&amp;"C"&amp;$A171)="N/A",0,RTD("tos.rtd",,$A$2,"."&amp;N$135&amp;N$1&amp;"C"&amp;$A171))-IF(RTD("tos.rtd",,$A$2,"."&amp;N$135&amp;N$1&amp;"P"&amp;$A171)="N/A",0,RTD("tos.rtd",,$A$2,"."&amp;N$135&amp;N$1&amp;"P"&amp;$A171))</f>
        <v>0</v>
      </c>
      <c r="O171" s="91">
        <f ca="1">IF(RTD("tos.rtd",,$A$2,"."&amp;O$135&amp;O$1&amp;"C"&amp;$A171)="N/A",0,RTD("tos.rtd",,$A$2,"."&amp;O$135&amp;O$1&amp;"C"&amp;$A171))-IF(RTD("tos.rtd",,$A$2,"."&amp;O$135&amp;O$1&amp;"P"&amp;$A171)="N/A",0,RTD("tos.rtd",,$A$2,"."&amp;O$135&amp;O$1&amp;"P"&amp;$A171))</f>
        <v>0</v>
      </c>
      <c r="P171" s="91">
        <f ca="1">IF(RTD("tos.rtd",,$A$2,"."&amp;P$135&amp;P$1&amp;"C"&amp;$A171)="N/A",0,RTD("tos.rtd",,$A$2,"."&amp;P$135&amp;P$1&amp;"C"&amp;$A171))-IF(RTD("tos.rtd",,$A$2,"."&amp;P$135&amp;P$1&amp;"P"&amp;$A171)="N/A",0,RTD("tos.rtd",,$A$2,"."&amp;P$135&amp;P$1&amp;"P"&amp;$A171))</f>
        <v>0</v>
      </c>
      <c r="Q171" s="91">
        <f ca="1">IF(RTD("tos.rtd",,$A$2,"."&amp;Q$135&amp;Q$1&amp;"C"&amp;$A171)="N/A",0,RTD("tos.rtd",,$A$2,"."&amp;Q$135&amp;Q$1&amp;"C"&amp;$A171))-IF(RTD("tos.rtd",,$A$2,"."&amp;Q$135&amp;Q$1&amp;"P"&amp;$A171)="N/A",0,RTD("tos.rtd",,$A$2,"."&amp;Q$135&amp;Q$1&amp;"P"&amp;$A171))</f>
        <v>0</v>
      </c>
      <c r="R171" s="91">
        <f ca="1">IF(RTD("tos.rtd",,$A$2,"."&amp;R$135&amp;R$1&amp;"C"&amp;$A171)="N/A",0,RTD("tos.rtd",,$A$2,"."&amp;R$135&amp;R$1&amp;"C"&amp;$A171))-IF(RTD("tos.rtd",,$A$2,"."&amp;R$135&amp;R$1&amp;"P"&amp;$A171)="N/A",0,RTD("tos.rtd",,$A$2,"."&amp;R$135&amp;R$1&amp;"P"&amp;$A171))</f>
        <v>0</v>
      </c>
      <c r="S171" s="91">
        <f ca="1">IF(RTD("tos.rtd",,$A$2,"."&amp;S$135&amp;S$1&amp;"C"&amp;$A171)="N/A",0,RTD("tos.rtd",,$A$2,"."&amp;S$135&amp;S$1&amp;"C"&amp;$A171))-IF(RTD("tos.rtd",,$A$2,"."&amp;S$135&amp;S$1&amp;"P"&amp;$A171)="N/A",0,RTD("tos.rtd",,$A$2,"."&amp;S$135&amp;S$1&amp;"P"&amp;$A171))</f>
        <v>0</v>
      </c>
      <c r="T171" s="91">
        <f ca="1">IF(RTD("tos.rtd",,$A$2,"."&amp;T$135&amp;T$1&amp;"C"&amp;$A171)="N/A",0,RTD("tos.rtd",,$A$2,"."&amp;T$135&amp;T$1&amp;"C"&amp;$A171))-IF(RTD("tos.rtd",,$A$2,"."&amp;T$135&amp;T$1&amp;"P"&amp;$A171)="N/A",0,RTD("tos.rtd",,$A$2,"."&amp;T$135&amp;T$1&amp;"P"&amp;$A171))</f>
        <v>0</v>
      </c>
      <c r="U171" s="91">
        <f ca="1">IF(RTD("tos.rtd",,$A$2,"."&amp;U$135&amp;U$1&amp;"C"&amp;$A171)="N/A",0,RTD("tos.rtd",,$A$2,"."&amp;U$135&amp;U$1&amp;"C"&amp;$A171))-IF(RTD("tos.rtd",,$A$2,"."&amp;U$135&amp;U$1&amp;"P"&amp;$A171)="N/A",0,RTD("tos.rtd",,$A$2,"."&amp;U$135&amp;U$1&amp;"P"&amp;$A171))</f>
        <v>0</v>
      </c>
      <c r="V171" s="91">
        <f ca="1">IF(RTD("tos.rtd",,$A$2,"."&amp;V$135&amp;V$1&amp;"C"&amp;$A171)="N/A",0,RTD("tos.rtd",,$A$2,"."&amp;V$135&amp;V$1&amp;"C"&amp;$A171))-IF(RTD("tos.rtd",,$A$2,"."&amp;V$135&amp;V$1&amp;"P"&amp;$A171)="N/A",0,RTD("tos.rtd",,$A$2,"."&amp;V$135&amp;V$1&amp;"P"&amp;$A171))</f>
        <v>0</v>
      </c>
      <c r="W171" s="91">
        <f ca="1">IF(RTD("tos.rtd",,$A$2,"."&amp;W$135&amp;W$1&amp;"C"&amp;$A171)="N/A",0,RTD("tos.rtd",,$A$2,"."&amp;W$135&amp;W$1&amp;"C"&amp;$A171))-IF(RTD("tos.rtd",,$A$2,"."&amp;W$135&amp;W$1&amp;"P"&amp;$A171)="N/A",0,RTD("tos.rtd",,$A$2,"."&amp;W$135&amp;W$1&amp;"P"&amp;$A171))</f>
        <v>0</v>
      </c>
      <c r="X171" s="91">
        <f ca="1">IF(RTD("tos.rtd",,$A$2,"."&amp;X$135&amp;X$1&amp;"C"&amp;$A171)="N/A",0,RTD("tos.rtd",,$A$2,"."&amp;X$135&amp;X$1&amp;"C"&amp;$A171))-IF(RTD("tos.rtd",,$A$2,"."&amp;X$135&amp;X$1&amp;"P"&amp;$A171)="N/A",0,RTD("tos.rtd",,$A$2,"."&amp;X$135&amp;X$1&amp;"P"&amp;$A171))</f>
        <v>0</v>
      </c>
      <c r="Y171" s="98">
        <f t="shared" ca="1" si="13"/>
        <v>0</v>
      </c>
      <c r="Z171" s="91"/>
      <c r="AA171" s="91"/>
    </row>
    <row r="172" spans="1:27" x14ac:dyDescent="0.25">
      <c r="A172" s="93">
        <f>+Hoja1!A171</f>
        <v>19600</v>
      </c>
      <c r="B172" s="91">
        <f ca="1">IF(RTD("tos.rtd",,$A$2,"."&amp;B$135&amp;B$1&amp;"C"&amp;$A172)="N/A",0,RTD("tos.rtd",,$A$2,"."&amp;B$135&amp;B$1&amp;"C"&amp;$A172))-IF(RTD("tos.rtd",,$A$2,"."&amp;B$135&amp;B$1&amp;"P"&amp;$A172)="N/A",0,RTD("tos.rtd",,$A$2,"."&amp;B$135&amp;B$1&amp;"P"&amp;$A172))</f>
        <v>0</v>
      </c>
      <c r="C172" s="91">
        <f ca="1">IF(RTD("tos.rtd",,$A$2,"."&amp;C$135&amp;C$1&amp;"C"&amp;$A172)="N/A",0,RTD("tos.rtd",,$A$2,"."&amp;C$135&amp;C$1&amp;"C"&amp;$A172))-IF(RTD("tos.rtd",,$A$2,"."&amp;C$135&amp;C$1&amp;"P"&amp;$A172)="N/A",0,RTD("tos.rtd",,$A$2,"."&amp;C$135&amp;C$1&amp;"P"&amp;$A172))</f>
        <v>0</v>
      </c>
      <c r="D172" s="91">
        <f ca="1">IF(RTD("tos.rtd",,$A$2,"."&amp;D$135&amp;D$1&amp;"C"&amp;$A172)="N/A",0,RTD("tos.rtd",,$A$2,"."&amp;D$135&amp;D$1&amp;"C"&amp;$A172))-IF(RTD("tos.rtd",,$A$2,"."&amp;D$135&amp;D$1&amp;"P"&amp;$A172)="N/A",0,RTD("tos.rtd",,$A$2,"."&amp;D$135&amp;D$1&amp;"P"&amp;$A172))</f>
        <v>0</v>
      </c>
      <c r="E172" s="91">
        <f ca="1">IF(RTD("tos.rtd",,$A$2,"."&amp;E$135&amp;E$1&amp;"C"&amp;$A172)="N/A",0,RTD("tos.rtd",,$A$2,"."&amp;E$135&amp;E$1&amp;"C"&amp;$A172))-IF(RTD("tos.rtd",,$A$2,"."&amp;E$135&amp;E$1&amp;"P"&amp;$A172)="N/A",0,RTD("tos.rtd",,$A$2,"."&amp;E$135&amp;E$1&amp;"P"&amp;$A172))</f>
        <v>0</v>
      </c>
      <c r="F172" s="91">
        <f ca="1">IF(RTD("tos.rtd",,$A$2,"."&amp;F$135&amp;F$1&amp;"C"&amp;$A172)="N/A",0,RTD("tos.rtd",,$A$2,"."&amp;F$135&amp;F$1&amp;"C"&amp;$A172))-IF(RTD("tos.rtd",,$A$2,"."&amp;F$135&amp;F$1&amp;"P"&amp;$A172)="N/A",0,RTD("tos.rtd",,$A$2,"."&amp;F$135&amp;F$1&amp;"P"&amp;$A172))</f>
        <v>0</v>
      </c>
      <c r="G172" s="91">
        <f ca="1">IF(RTD("tos.rtd",,$A$2,"."&amp;G$135&amp;G$1&amp;"C"&amp;$A172)="N/A",0,RTD("tos.rtd",,$A$2,"."&amp;G$135&amp;G$1&amp;"C"&amp;$A172))-IF(RTD("tos.rtd",,$A$2,"."&amp;G$135&amp;G$1&amp;"P"&amp;$A172)="N/A",0,RTD("tos.rtd",,$A$2,"."&amp;G$135&amp;G$1&amp;"P"&amp;$A172))</f>
        <v>0</v>
      </c>
      <c r="H172" s="91">
        <f ca="1">IF(RTD("tos.rtd",,$A$2,"."&amp;H$135&amp;H$1&amp;"C"&amp;$A172)="N/A",0,RTD("tos.rtd",,$A$2,"."&amp;H$135&amp;H$1&amp;"C"&amp;$A172))-IF(RTD("tos.rtd",,$A$2,"."&amp;H$135&amp;H$1&amp;"P"&amp;$A172)="N/A",0,RTD("tos.rtd",,$A$2,"."&amp;H$135&amp;H$1&amp;"P"&amp;$A172))</f>
        <v>0</v>
      </c>
      <c r="I172" s="91">
        <f ca="1">IF(RTD("tos.rtd",,$A$2,"."&amp;I$135&amp;I$1&amp;"C"&amp;$A172)="N/A",0,RTD("tos.rtd",,$A$2,"."&amp;I$135&amp;I$1&amp;"C"&amp;$A172))-IF(RTD("tos.rtd",,$A$2,"."&amp;I$135&amp;I$1&amp;"P"&amp;$A172)="N/A",0,RTD("tos.rtd",,$A$2,"."&amp;I$135&amp;I$1&amp;"P"&amp;$A172))</f>
        <v>0</v>
      </c>
      <c r="J172" s="91">
        <f ca="1">IF(RTD("tos.rtd",,$A$2,"."&amp;J$135&amp;J$1&amp;"C"&amp;$A172)="N/A",0,RTD("tos.rtd",,$A$2,"."&amp;J$135&amp;J$1&amp;"C"&amp;$A172))-IF(RTD("tos.rtd",,$A$2,"."&amp;J$135&amp;J$1&amp;"P"&amp;$A172)="N/A",0,RTD("tos.rtd",,$A$2,"."&amp;J$135&amp;J$1&amp;"P"&amp;$A172))</f>
        <v>0</v>
      </c>
      <c r="K172" s="91">
        <f ca="1">IF(RTD("tos.rtd",,$A$2,"."&amp;K$135&amp;K$1&amp;"C"&amp;$A172)="N/A",0,RTD("tos.rtd",,$A$2,"."&amp;K$135&amp;K$1&amp;"C"&amp;$A172))-IF(RTD("tos.rtd",,$A$2,"."&amp;K$135&amp;K$1&amp;"P"&amp;$A172)="N/A",0,RTD("tos.rtd",,$A$2,"."&amp;K$135&amp;K$1&amp;"P"&amp;$A172))</f>
        <v>-1</v>
      </c>
      <c r="L172" s="91">
        <f ca="1">IF(RTD("tos.rtd",,$A$2,"."&amp;L$135&amp;L$1&amp;"C"&amp;$A172)="N/A",0,RTD("tos.rtd",,$A$2,"."&amp;L$135&amp;L$1&amp;"C"&amp;$A172))-IF(RTD("tos.rtd",,$A$2,"."&amp;L$135&amp;L$1&amp;"P"&amp;$A172)="N/A",0,RTD("tos.rtd",,$A$2,"."&amp;L$135&amp;L$1&amp;"P"&amp;$A172))</f>
        <v>-6</v>
      </c>
      <c r="M172" s="91">
        <f ca="1">IF(RTD("tos.rtd",,$A$2,"."&amp;M$135&amp;M$1&amp;"C"&amp;$A172)="N/A",0,RTD("tos.rtd",,$A$2,"."&amp;M$135&amp;M$1&amp;"C"&amp;$A172))-IF(RTD("tos.rtd",,$A$2,"."&amp;M$135&amp;M$1&amp;"P"&amp;$A172)="N/A",0,RTD("tos.rtd",,$A$2,"."&amp;M$135&amp;M$1&amp;"P"&amp;$A172))</f>
        <v>0</v>
      </c>
      <c r="N172" s="91">
        <f ca="1">IF(RTD("tos.rtd",,$A$2,"."&amp;N$135&amp;N$1&amp;"C"&amp;$A172)="N/A",0,RTD("tos.rtd",,$A$2,"."&amp;N$135&amp;N$1&amp;"C"&amp;$A172))-IF(RTD("tos.rtd",,$A$2,"."&amp;N$135&amp;N$1&amp;"P"&amp;$A172)="N/A",0,RTD("tos.rtd",,$A$2,"."&amp;N$135&amp;N$1&amp;"P"&amp;$A172))</f>
        <v>0</v>
      </c>
      <c r="O172" s="91">
        <f ca="1">IF(RTD("tos.rtd",,$A$2,"."&amp;O$135&amp;O$1&amp;"C"&amp;$A172)="N/A",0,RTD("tos.rtd",,$A$2,"."&amp;O$135&amp;O$1&amp;"C"&amp;$A172))-IF(RTD("tos.rtd",,$A$2,"."&amp;O$135&amp;O$1&amp;"P"&amp;$A172)="N/A",0,RTD("tos.rtd",,$A$2,"."&amp;O$135&amp;O$1&amp;"P"&amp;$A172))</f>
        <v>0</v>
      </c>
      <c r="P172" s="91">
        <f ca="1">IF(RTD("tos.rtd",,$A$2,"."&amp;P$135&amp;P$1&amp;"C"&amp;$A172)="N/A",0,RTD("tos.rtd",,$A$2,"."&amp;P$135&amp;P$1&amp;"C"&amp;$A172))-IF(RTD("tos.rtd",,$A$2,"."&amp;P$135&amp;P$1&amp;"P"&amp;$A172)="N/A",0,RTD("tos.rtd",,$A$2,"."&amp;P$135&amp;P$1&amp;"P"&amp;$A172))</f>
        <v>0</v>
      </c>
      <c r="Q172" s="91">
        <f ca="1">IF(RTD("tos.rtd",,$A$2,"."&amp;Q$135&amp;Q$1&amp;"C"&amp;$A172)="N/A",0,RTD("tos.rtd",,$A$2,"."&amp;Q$135&amp;Q$1&amp;"C"&amp;$A172))-IF(RTD("tos.rtd",,$A$2,"."&amp;Q$135&amp;Q$1&amp;"P"&amp;$A172)="N/A",0,RTD("tos.rtd",,$A$2,"."&amp;Q$135&amp;Q$1&amp;"P"&amp;$A172))</f>
        <v>0</v>
      </c>
      <c r="R172" s="91">
        <f ca="1">IF(RTD("tos.rtd",,$A$2,"."&amp;R$135&amp;R$1&amp;"C"&amp;$A172)="N/A",0,RTD("tos.rtd",,$A$2,"."&amp;R$135&amp;R$1&amp;"C"&amp;$A172))-IF(RTD("tos.rtd",,$A$2,"."&amp;R$135&amp;R$1&amp;"P"&amp;$A172)="N/A",0,RTD("tos.rtd",,$A$2,"."&amp;R$135&amp;R$1&amp;"P"&amp;$A172))</f>
        <v>0</v>
      </c>
      <c r="S172" s="91">
        <f ca="1">IF(RTD("tos.rtd",,$A$2,"."&amp;S$135&amp;S$1&amp;"C"&amp;$A172)="N/A",0,RTD("tos.rtd",,$A$2,"."&amp;S$135&amp;S$1&amp;"C"&amp;$A172))-IF(RTD("tos.rtd",,$A$2,"."&amp;S$135&amp;S$1&amp;"P"&amp;$A172)="N/A",0,RTD("tos.rtd",,$A$2,"."&amp;S$135&amp;S$1&amp;"P"&amp;$A172))</f>
        <v>0</v>
      </c>
      <c r="T172" s="91">
        <f ca="1">IF(RTD("tos.rtd",,$A$2,"."&amp;T$135&amp;T$1&amp;"C"&amp;$A172)="N/A",0,RTD("tos.rtd",,$A$2,"."&amp;T$135&amp;T$1&amp;"C"&amp;$A172))-IF(RTD("tos.rtd",,$A$2,"."&amp;T$135&amp;T$1&amp;"P"&amp;$A172)="N/A",0,RTD("tos.rtd",,$A$2,"."&amp;T$135&amp;T$1&amp;"P"&amp;$A172))</f>
        <v>0</v>
      </c>
      <c r="U172" s="91">
        <f ca="1">IF(RTD("tos.rtd",,$A$2,"."&amp;U$135&amp;U$1&amp;"C"&amp;$A172)="N/A",0,RTD("tos.rtd",,$A$2,"."&amp;U$135&amp;U$1&amp;"C"&amp;$A172))-IF(RTD("tos.rtd",,$A$2,"."&amp;U$135&amp;U$1&amp;"P"&amp;$A172)="N/A",0,RTD("tos.rtd",,$A$2,"."&amp;U$135&amp;U$1&amp;"P"&amp;$A172))</f>
        <v>0</v>
      </c>
      <c r="V172" s="91">
        <f ca="1">IF(RTD("tos.rtd",,$A$2,"."&amp;V$135&amp;V$1&amp;"C"&amp;$A172)="N/A",0,RTD("tos.rtd",,$A$2,"."&amp;V$135&amp;V$1&amp;"C"&amp;$A172))-IF(RTD("tos.rtd",,$A$2,"."&amp;V$135&amp;V$1&amp;"P"&amp;$A172)="N/A",0,RTD("tos.rtd",,$A$2,"."&amp;V$135&amp;V$1&amp;"P"&amp;$A172))</f>
        <v>0</v>
      </c>
      <c r="W172" s="91">
        <f ca="1">IF(RTD("tos.rtd",,$A$2,"."&amp;W$135&amp;W$1&amp;"C"&amp;$A172)="N/A",0,RTD("tos.rtd",,$A$2,"."&amp;W$135&amp;W$1&amp;"C"&amp;$A172))-IF(RTD("tos.rtd",,$A$2,"."&amp;W$135&amp;W$1&amp;"P"&amp;$A172)="N/A",0,RTD("tos.rtd",,$A$2,"."&amp;W$135&amp;W$1&amp;"P"&amp;$A172))</f>
        <v>0</v>
      </c>
      <c r="X172" s="91">
        <f ca="1">IF(RTD("tos.rtd",,$A$2,"."&amp;X$135&amp;X$1&amp;"C"&amp;$A172)="N/A",0,RTD("tos.rtd",,$A$2,"."&amp;X$135&amp;X$1&amp;"C"&amp;$A172))-IF(RTD("tos.rtd",,$A$2,"."&amp;X$135&amp;X$1&amp;"P"&amp;$A172)="N/A",0,RTD("tos.rtd",,$A$2,"."&amp;X$135&amp;X$1&amp;"P"&amp;$A172))</f>
        <v>0</v>
      </c>
      <c r="Y172" s="98">
        <f t="shared" ca="1" si="13"/>
        <v>-7</v>
      </c>
      <c r="Z172" s="91"/>
      <c r="AA172" s="91"/>
    </row>
    <row r="173" spans="1:27" x14ac:dyDescent="0.25">
      <c r="A173" s="93">
        <f>+Hoja1!A172</f>
        <v>19575</v>
      </c>
      <c r="B173" s="91">
        <f ca="1">IF(RTD("tos.rtd",,$A$2,"."&amp;B$135&amp;B$1&amp;"C"&amp;$A173)="N/A",0,RTD("tos.rtd",,$A$2,"."&amp;B$135&amp;B$1&amp;"C"&amp;$A173))-IF(RTD("tos.rtd",,$A$2,"."&amp;B$135&amp;B$1&amp;"P"&amp;$A173)="N/A",0,RTD("tos.rtd",,$A$2,"."&amp;B$135&amp;B$1&amp;"P"&amp;$A173))</f>
        <v>0</v>
      </c>
      <c r="C173" s="91">
        <f ca="1">IF(RTD("tos.rtd",,$A$2,"."&amp;C$135&amp;C$1&amp;"C"&amp;$A173)="N/A",0,RTD("tos.rtd",,$A$2,"."&amp;C$135&amp;C$1&amp;"C"&amp;$A173))-IF(RTD("tos.rtd",,$A$2,"."&amp;C$135&amp;C$1&amp;"P"&amp;$A173)="N/A",0,RTD("tos.rtd",,$A$2,"."&amp;C$135&amp;C$1&amp;"P"&amp;$A173))</f>
        <v>0</v>
      </c>
      <c r="D173" s="91">
        <f ca="1">IF(RTD("tos.rtd",,$A$2,"."&amp;D$135&amp;D$1&amp;"C"&amp;$A173)="N/A",0,RTD("tos.rtd",,$A$2,"."&amp;D$135&amp;D$1&amp;"C"&amp;$A173))-IF(RTD("tos.rtd",,$A$2,"."&amp;D$135&amp;D$1&amp;"P"&amp;$A173)="N/A",0,RTD("tos.rtd",,$A$2,"."&amp;D$135&amp;D$1&amp;"P"&amp;$A173))</f>
        <v>0</v>
      </c>
      <c r="E173" s="91">
        <f ca="1">IF(RTD("tos.rtd",,$A$2,"."&amp;E$135&amp;E$1&amp;"C"&amp;$A173)="N/A",0,RTD("tos.rtd",,$A$2,"."&amp;E$135&amp;E$1&amp;"C"&amp;$A173))-IF(RTD("tos.rtd",,$A$2,"."&amp;E$135&amp;E$1&amp;"P"&amp;$A173)="N/A",0,RTD("tos.rtd",,$A$2,"."&amp;E$135&amp;E$1&amp;"P"&amp;$A173))</f>
        <v>0</v>
      </c>
      <c r="F173" s="91">
        <f ca="1">IF(RTD("tos.rtd",,$A$2,"."&amp;F$135&amp;F$1&amp;"C"&amp;$A173)="N/A",0,RTD("tos.rtd",,$A$2,"."&amp;F$135&amp;F$1&amp;"C"&amp;$A173))-IF(RTD("tos.rtd",,$A$2,"."&amp;F$135&amp;F$1&amp;"P"&amp;$A173)="N/A",0,RTD("tos.rtd",,$A$2,"."&amp;F$135&amp;F$1&amp;"P"&amp;$A173))</f>
        <v>0</v>
      </c>
      <c r="G173" s="91">
        <f ca="1">IF(RTD("tos.rtd",,$A$2,"."&amp;G$135&amp;G$1&amp;"C"&amp;$A173)="N/A",0,RTD("tos.rtd",,$A$2,"."&amp;G$135&amp;G$1&amp;"C"&amp;$A173))-IF(RTD("tos.rtd",,$A$2,"."&amp;G$135&amp;G$1&amp;"P"&amp;$A173)="N/A",0,RTD("tos.rtd",,$A$2,"."&amp;G$135&amp;G$1&amp;"P"&amp;$A173))</f>
        <v>0</v>
      </c>
      <c r="H173" s="91">
        <f ca="1">IF(RTD("tos.rtd",,$A$2,"."&amp;H$135&amp;H$1&amp;"C"&amp;$A173)="N/A",0,RTD("tos.rtd",,$A$2,"."&amp;H$135&amp;H$1&amp;"C"&amp;$A173))-IF(RTD("tos.rtd",,$A$2,"."&amp;H$135&amp;H$1&amp;"P"&amp;$A173)="N/A",0,RTD("tos.rtd",,$A$2,"."&amp;H$135&amp;H$1&amp;"P"&amp;$A173))</f>
        <v>0</v>
      </c>
      <c r="I173" s="91">
        <f ca="1">IF(RTD("tos.rtd",,$A$2,"."&amp;I$135&amp;I$1&amp;"C"&amp;$A173)="N/A",0,RTD("tos.rtd",,$A$2,"."&amp;I$135&amp;I$1&amp;"C"&amp;$A173))-IF(RTD("tos.rtd",,$A$2,"."&amp;I$135&amp;I$1&amp;"P"&amp;$A173)="N/A",0,RTD("tos.rtd",,$A$2,"."&amp;I$135&amp;I$1&amp;"P"&amp;$A173))</f>
        <v>0</v>
      </c>
      <c r="J173" s="91">
        <f ca="1">IF(RTD("tos.rtd",,$A$2,"."&amp;J$135&amp;J$1&amp;"C"&amp;$A173)="N/A",0,RTD("tos.rtd",,$A$2,"."&amp;J$135&amp;J$1&amp;"C"&amp;$A173))-IF(RTD("tos.rtd",,$A$2,"."&amp;J$135&amp;J$1&amp;"P"&amp;$A173)="N/A",0,RTD("tos.rtd",,$A$2,"."&amp;J$135&amp;J$1&amp;"P"&amp;$A173))</f>
        <v>1</v>
      </c>
      <c r="K173" s="91">
        <f ca="1">IF(RTD("tos.rtd",,$A$2,"."&amp;K$135&amp;K$1&amp;"C"&amp;$A173)="N/A",0,RTD("tos.rtd",,$A$2,"."&amp;K$135&amp;K$1&amp;"C"&amp;$A173))-IF(RTD("tos.rtd",,$A$2,"."&amp;K$135&amp;K$1&amp;"P"&amp;$A173)="N/A",0,RTD("tos.rtd",,$A$2,"."&amp;K$135&amp;K$1&amp;"P"&amp;$A173))</f>
        <v>0</v>
      </c>
      <c r="L173" s="91">
        <f ca="1">IF(RTD("tos.rtd",,$A$2,"."&amp;L$135&amp;L$1&amp;"C"&amp;$A173)="N/A",0,RTD("tos.rtd",,$A$2,"."&amp;L$135&amp;L$1&amp;"C"&amp;$A173))-IF(RTD("tos.rtd",,$A$2,"."&amp;L$135&amp;L$1&amp;"P"&amp;$A173)="N/A",0,RTD("tos.rtd",,$A$2,"."&amp;L$135&amp;L$1&amp;"P"&amp;$A173))</f>
        <v>0</v>
      </c>
      <c r="M173" s="91">
        <f ca="1">IF(RTD("tos.rtd",,$A$2,"."&amp;M$135&amp;M$1&amp;"C"&amp;$A173)="N/A",0,RTD("tos.rtd",,$A$2,"."&amp;M$135&amp;M$1&amp;"C"&amp;$A173))-IF(RTD("tos.rtd",,$A$2,"."&amp;M$135&amp;M$1&amp;"P"&amp;$A173)="N/A",0,RTD("tos.rtd",,$A$2,"."&amp;M$135&amp;M$1&amp;"P"&amp;$A173))</f>
        <v>0</v>
      </c>
      <c r="N173" s="91">
        <f ca="1">IF(RTD("tos.rtd",,$A$2,"."&amp;N$135&amp;N$1&amp;"C"&amp;$A173)="N/A",0,RTD("tos.rtd",,$A$2,"."&amp;N$135&amp;N$1&amp;"C"&amp;$A173))-IF(RTD("tos.rtd",,$A$2,"."&amp;N$135&amp;N$1&amp;"P"&amp;$A173)="N/A",0,RTD("tos.rtd",,$A$2,"."&amp;N$135&amp;N$1&amp;"P"&amp;$A173))</f>
        <v>0</v>
      </c>
      <c r="O173" s="91">
        <f ca="1">IF(RTD("tos.rtd",,$A$2,"."&amp;O$135&amp;O$1&amp;"C"&amp;$A173)="N/A",0,RTD("tos.rtd",,$A$2,"."&amp;O$135&amp;O$1&amp;"C"&amp;$A173))-IF(RTD("tos.rtd",,$A$2,"."&amp;O$135&amp;O$1&amp;"P"&amp;$A173)="N/A",0,RTD("tos.rtd",,$A$2,"."&amp;O$135&amp;O$1&amp;"P"&amp;$A173))</f>
        <v>0</v>
      </c>
      <c r="P173" s="91">
        <f ca="1">IF(RTD("tos.rtd",,$A$2,"."&amp;P$135&amp;P$1&amp;"C"&amp;$A173)="N/A",0,RTD("tos.rtd",,$A$2,"."&amp;P$135&amp;P$1&amp;"C"&amp;$A173))-IF(RTD("tos.rtd",,$A$2,"."&amp;P$135&amp;P$1&amp;"P"&amp;$A173)="N/A",0,RTD("tos.rtd",,$A$2,"."&amp;P$135&amp;P$1&amp;"P"&amp;$A173))</f>
        <v>0</v>
      </c>
      <c r="Q173" s="91">
        <f ca="1">IF(RTD("tos.rtd",,$A$2,"."&amp;Q$135&amp;Q$1&amp;"C"&amp;$A173)="N/A",0,RTD("tos.rtd",,$A$2,"."&amp;Q$135&amp;Q$1&amp;"C"&amp;$A173))-IF(RTD("tos.rtd",,$A$2,"."&amp;Q$135&amp;Q$1&amp;"P"&amp;$A173)="N/A",0,RTD("tos.rtd",,$A$2,"."&amp;Q$135&amp;Q$1&amp;"P"&amp;$A173))</f>
        <v>0</v>
      </c>
      <c r="R173" s="91">
        <f ca="1">IF(RTD("tos.rtd",,$A$2,"."&amp;R$135&amp;R$1&amp;"C"&amp;$A173)="N/A",0,RTD("tos.rtd",,$A$2,"."&amp;R$135&amp;R$1&amp;"C"&amp;$A173))-IF(RTD("tos.rtd",,$A$2,"."&amp;R$135&amp;R$1&amp;"P"&amp;$A173)="N/A",0,RTD("tos.rtd",,$A$2,"."&amp;R$135&amp;R$1&amp;"P"&amp;$A173))</f>
        <v>0</v>
      </c>
      <c r="S173" s="91">
        <f ca="1">IF(RTD("tos.rtd",,$A$2,"."&amp;S$135&amp;S$1&amp;"C"&amp;$A173)="N/A",0,RTD("tos.rtd",,$A$2,"."&amp;S$135&amp;S$1&amp;"C"&amp;$A173))-IF(RTD("tos.rtd",,$A$2,"."&amp;S$135&amp;S$1&amp;"P"&amp;$A173)="N/A",0,RTD("tos.rtd",,$A$2,"."&amp;S$135&amp;S$1&amp;"P"&amp;$A173))</f>
        <v>0</v>
      </c>
      <c r="T173" s="91">
        <f ca="1">IF(RTD("tos.rtd",,$A$2,"."&amp;T$135&amp;T$1&amp;"C"&amp;$A173)="N/A",0,RTD("tos.rtd",,$A$2,"."&amp;T$135&amp;T$1&amp;"C"&amp;$A173))-IF(RTD("tos.rtd",,$A$2,"."&amp;T$135&amp;T$1&amp;"P"&amp;$A173)="N/A",0,RTD("tos.rtd",,$A$2,"."&amp;T$135&amp;T$1&amp;"P"&amp;$A173))</f>
        <v>0</v>
      </c>
      <c r="U173" s="91">
        <f ca="1">IF(RTD("tos.rtd",,$A$2,"."&amp;U$135&amp;U$1&amp;"C"&amp;$A173)="N/A",0,RTD("tos.rtd",,$A$2,"."&amp;U$135&amp;U$1&amp;"C"&amp;$A173))-IF(RTD("tos.rtd",,$A$2,"."&amp;U$135&amp;U$1&amp;"P"&amp;$A173)="N/A",0,RTD("tos.rtd",,$A$2,"."&amp;U$135&amp;U$1&amp;"P"&amp;$A173))</f>
        <v>0</v>
      </c>
      <c r="V173" s="91">
        <f ca="1">IF(RTD("tos.rtd",,$A$2,"."&amp;V$135&amp;V$1&amp;"C"&amp;$A173)="N/A",0,RTD("tos.rtd",,$A$2,"."&amp;V$135&amp;V$1&amp;"C"&amp;$A173))-IF(RTD("tos.rtd",,$A$2,"."&amp;V$135&amp;V$1&amp;"P"&amp;$A173)="N/A",0,RTD("tos.rtd",,$A$2,"."&amp;V$135&amp;V$1&amp;"P"&amp;$A173))</f>
        <v>0</v>
      </c>
      <c r="W173" s="91">
        <f ca="1">IF(RTD("tos.rtd",,$A$2,"."&amp;W$135&amp;W$1&amp;"C"&amp;$A173)="N/A",0,RTD("tos.rtd",,$A$2,"."&amp;W$135&amp;W$1&amp;"C"&amp;$A173))-IF(RTD("tos.rtd",,$A$2,"."&amp;W$135&amp;W$1&amp;"P"&amp;$A173)="N/A",0,RTD("tos.rtd",,$A$2,"."&amp;W$135&amp;W$1&amp;"P"&amp;$A173))</f>
        <v>0</v>
      </c>
      <c r="X173" s="91">
        <f ca="1">IF(RTD("tos.rtd",,$A$2,"."&amp;X$135&amp;X$1&amp;"C"&amp;$A173)="N/A",0,RTD("tos.rtd",,$A$2,"."&amp;X$135&amp;X$1&amp;"C"&amp;$A173))-IF(RTD("tos.rtd",,$A$2,"."&amp;X$135&amp;X$1&amp;"P"&amp;$A173)="N/A",0,RTD("tos.rtd",,$A$2,"."&amp;X$135&amp;X$1&amp;"P"&amp;$A173))</f>
        <v>0</v>
      </c>
      <c r="Y173" s="98">
        <f t="shared" ca="1" si="13"/>
        <v>1</v>
      </c>
      <c r="Z173" s="91"/>
      <c r="AA173" s="91"/>
    </row>
    <row r="174" spans="1:27" x14ac:dyDescent="0.25">
      <c r="A174" s="93">
        <f>+Hoja1!A173</f>
        <v>19550</v>
      </c>
      <c r="B174" s="91">
        <f ca="1">IF(RTD("tos.rtd",,$A$2,"."&amp;B$135&amp;B$1&amp;"C"&amp;$A174)="N/A",0,RTD("tos.rtd",,$A$2,"."&amp;B$135&amp;B$1&amp;"C"&amp;$A174))-IF(RTD("tos.rtd",,$A$2,"."&amp;B$135&amp;B$1&amp;"P"&amp;$A174)="N/A",0,RTD("tos.rtd",,$A$2,"."&amp;B$135&amp;B$1&amp;"P"&amp;$A174))</f>
        <v>0</v>
      </c>
      <c r="C174" s="91">
        <f ca="1">IF(RTD("tos.rtd",,$A$2,"."&amp;C$135&amp;C$1&amp;"C"&amp;$A174)="N/A",0,RTD("tos.rtd",,$A$2,"."&amp;C$135&amp;C$1&amp;"C"&amp;$A174))-IF(RTD("tos.rtd",,$A$2,"."&amp;C$135&amp;C$1&amp;"P"&amp;$A174)="N/A",0,RTD("tos.rtd",,$A$2,"."&amp;C$135&amp;C$1&amp;"P"&amp;$A174))</f>
        <v>0</v>
      </c>
      <c r="D174" s="91">
        <f ca="1">IF(RTD("tos.rtd",,$A$2,"."&amp;D$135&amp;D$1&amp;"C"&amp;$A174)="N/A",0,RTD("tos.rtd",,$A$2,"."&amp;D$135&amp;D$1&amp;"C"&amp;$A174))-IF(RTD("tos.rtd",,$A$2,"."&amp;D$135&amp;D$1&amp;"P"&amp;$A174)="N/A",0,RTD("tos.rtd",,$A$2,"."&amp;D$135&amp;D$1&amp;"P"&amp;$A174))</f>
        <v>0</v>
      </c>
      <c r="E174" s="91">
        <f ca="1">IF(RTD("tos.rtd",,$A$2,"."&amp;E$135&amp;E$1&amp;"C"&amp;$A174)="N/A",0,RTD("tos.rtd",,$A$2,"."&amp;E$135&amp;E$1&amp;"C"&amp;$A174))-IF(RTD("tos.rtd",,$A$2,"."&amp;E$135&amp;E$1&amp;"P"&amp;$A174)="N/A",0,RTD("tos.rtd",,$A$2,"."&amp;E$135&amp;E$1&amp;"P"&amp;$A174))</f>
        <v>0</v>
      </c>
      <c r="F174" s="91">
        <f ca="1">IF(RTD("tos.rtd",,$A$2,"."&amp;F$135&amp;F$1&amp;"C"&amp;$A174)="N/A",0,RTD("tos.rtd",,$A$2,"."&amp;F$135&amp;F$1&amp;"C"&amp;$A174))-IF(RTD("tos.rtd",,$A$2,"."&amp;F$135&amp;F$1&amp;"P"&amp;$A174)="N/A",0,RTD("tos.rtd",,$A$2,"."&amp;F$135&amp;F$1&amp;"P"&amp;$A174))</f>
        <v>0</v>
      </c>
      <c r="G174" s="91">
        <f ca="1">IF(RTD("tos.rtd",,$A$2,"."&amp;G$135&amp;G$1&amp;"C"&amp;$A174)="N/A",0,RTD("tos.rtd",,$A$2,"."&amp;G$135&amp;G$1&amp;"C"&amp;$A174))-IF(RTD("tos.rtd",,$A$2,"."&amp;G$135&amp;G$1&amp;"P"&amp;$A174)="N/A",0,RTD("tos.rtd",,$A$2,"."&amp;G$135&amp;G$1&amp;"P"&amp;$A174))</f>
        <v>0</v>
      </c>
      <c r="H174" s="91">
        <f ca="1">IF(RTD("tos.rtd",,$A$2,"."&amp;H$135&amp;H$1&amp;"C"&amp;$A174)="N/A",0,RTD("tos.rtd",,$A$2,"."&amp;H$135&amp;H$1&amp;"C"&amp;$A174))-IF(RTD("tos.rtd",,$A$2,"."&amp;H$135&amp;H$1&amp;"P"&amp;$A174)="N/A",0,RTD("tos.rtd",,$A$2,"."&amp;H$135&amp;H$1&amp;"P"&amp;$A174))</f>
        <v>0</v>
      </c>
      <c r="I174" s="91">
        <f ca="1">IF(RTD("tos.rtd",,$A$2,"."&amp;I$135&amp;I$1&amp;"C"&amp;$A174)="N/A",0,RTD("tos.rtd",,$A$2,"."&amp;I$135&amp;I$1&amp;"C"&amp;$A174))-IF(RTD("tos.rtd",,$A$2,"."&amp;I$135&amp;I$1&amp;"P"&amp;$A174)="N/A",0,RTD("tos.rtd",,$A$2,"."&amp;I$135&amp;I$1&amp;"P"&amp;$A174))</f>
        <v>1</v>
      </c>
      <c r="J174" s="91">
        <f ca="1">IF(RTD("tos.rtd",,$A$2,"."&amp;J$135&amp;J$1&amp;"C"&amp;$A174)="N/A",0,RTD("tos.rtd",,$A$2,"."&amp;J$135&amp;J$1&amp;"C"&amp;$A174))-IF(RTD("tos.rtd",,$A$2,"."&amp;J$135&amp;J$1&amp;"P"&amp;$A174)="N/A",0,RTD("tos.rtd",,$A$2,"."&amp;J$135&amp;J$1&amp;"P"&amp;$A174))</f>
        <v>0</v>
      </c>
      <c r="K174" s="91">
        <f ca="1">IF(RTD("tos.rtd",,$A$2,"."&amp;K$135&amp;K$1&amp;"C"&amp;$A174)="N/A",0,RTD("tos.rtd",,$A$2,"."&amp;K$135&amp;K$1&amp;"C"&amp;$A174))-IF(RTD("tos.rtd",,$A$2,"."&amp;K$135&amp;K$1&amp;"P"&amp;$A174)="N/A",0,RTD("tos.rtd",,$A$2,"."&amp;K$135&amp;K$1&amp;"P"&amp;$A174))</f>
        <v>0</v>
      </c>
      <c r="L174" s="91">
        <f ca="1">IF(RTD("tos.rtd",,$A$2,"."&amp;L$135&amp;L$1&amp;"C"&amp;$A174)="N/A",0,RTD("tos.rtd",,$A$2,"."&amp;L$135&amp;L$1&amp;"C"&amp;$A174))-IF(RTD("tos.rtd",,$A$2,"."&amp;L$135&amp;L$1&amp;"P"&amp;$A174)="N/A",0,RTD("tos.rtd",,$A$2,"."&amp;L$135&amp;L$1&amp;"P"&amp;$A174))</f>
        <v>0</v>
      </c>
      <c r="M174" s="91">
        <f ca="1">IF(RTD("tos.rtd",,$A$2,"."&amp;M$135&amp;M$1&amp;"C"&amp;$A174)="N/A",0,RTD("tos.rtd",,$A$2,"."&amp;M$135&amp;M$1&amp;"C"&amp;$A174))-IF(RTD("tos.rtd",,$A$2,"."&amp;M$135&amp;M$1&amp;"P"&amp;$A174)="N/A",0,RTD("tos.rtd",,$A$2,"."&amp;M$135&amp;M$1&amp;"P"&amp;$A174))</f>
        <v>0</v>
      </c>
      <c r="N174" s="91">
        <f ca="1">IF(RTD("tos.rtd",,$A$2,"."&amp;N$135&amp;N$1&amp;"C"&amp;$A174)="N/A",0,RTD("tos.rtd",,$A$2,"."&amp;N$135&amp;N$1&amp;"C"&amp;$A174))-IF(RTD("tos.rtd",,$A$2,"."&amp;N$135&amp;N$1&amp;"P"&amp;$A174)="N/A",0,RTD("tos.rtd",,$A$2,"."&amp;N$135&amp;N$1&amp;"P"&amp;$A174))</f>
        <v>0</v>
      </c>
      <c r="O174" s="91">
        <f ca="1">IF(RTD("tos.rtd",,$A$2,"."&amp;O$135&amp;O$1&amp;"C"&amp;$A174)="N/A",0,RTD("tos.rtd",,$A$2,"."&amp;O$135&amp;O$1&amp;"C"&amp;$A174))-IF(RTD("tos.rtd",,$A$2,"."&amp;O$135&amp;O$1&amp;"P"&amp;$A174)="N/A",0,RTD("tos.rtd",,$A$2,"."&amp;O$135&amp;O$1&amp;"P"&amp;$A174))</f>
        <v>0</v>
      </c>
      <c r="P174" s="91">
        <f ca="1">IF(RTD("tos.rtd",,$A$2,"."&amp;P$135&amp;P$1&amp;"C"&amp;$A174)="N/A",0,RTD("tos.rtd",,$A$2,"."&amp;P$135&amp;P$1&amp;"C"&amp;$A174))-IF(RTD("tos.rtd",,$A$2,"."&amp;P$135&amp;P$1&amp;"P"&amp;$A174)="N/A",0,RTD("tos.rtd",,$A$2,"."&amp;P$135&amp;P$1&amp;"P"&amp;$A174))</f>
        <v>0</v>
      </c>
      <c r="Q174" s="91">
        <f ca="1">IF(RTD("tos.rtd",,$A$2,"."&amp;Q$135&amp;Q$1&amp;"C"&amp;$A174)="N/A",0,RTD("tos.rtd",,$A$2,"."&amp;Q$135&amp;Q$1&amp;"C"&amp;$A174))-IF(RTD("tos.rtd",,$A$2,"."&amp;Q$135&amp;Q$1&amp;"P"&amp;$A174)="N/A",0,RTD("tos.rtd",,$A$2,"."&amp;Q$135&amp;Q$1&amp;"P"&amp;$A174))</f>
        <v>0</v>
      </c>
      <c r="R174" s="91">
        <f ca="1">IF(RTD("tos.rtd",,$A$2,"."&amp;R$135&amp;R$1&amp;"C"&amp;$A174)="N/A",0,RTD("tos.rtd",,$A$2,"."&amp;R$135&amp;R$1&amp;"C"&amp;$A174))-IF(RTD("tos.rtd",,$A$2,"."&amp;R$135&amp;R$1&amp;"P"&amp;$A174)="N/A",0,RTD("tos.rtd",,$A$2,"."&amp;R$135&amp;R$1&amp;"P"&amp;$A174))</f>
        <v>0</v>
      </c>
      <c r="S174" s="91">
        <f ca="1">IF(RTD("tos.rtd",,$A$2,"."&amp;S$135&amp;S$1&amp;"C"&amp;$A174)="N/A",0,RTD("tos.rtd",,$A$2,"."&amp;S$135&amp;S$1&amp;"C"&amp;$A174))-IF(RTD("tos.rtd",,$A$2,"."&amp;S$135&amp;S$1&amp;"P"&amp;$A174)="N/A",0,RTD("tos.rtd",,$A$2,"."&amp;S$135&amp;S$1&amp;"P"&amp;$A174))</f>
        <v>0</v>
      </c>
      <c r="T174" s="91">
        <f ca="1">IF(RTD("tos.rtd",,$A$2,"."&amp;T$135&amp;T$1&amp;"C"&amp;$A174)="N/A",0,RTD("tos.rtd",,$A$2,"."&amp;T$135&amp;T$1&amp;"C"&amp;$A174))-IF(RTD("tos.rtd",,$A$2,"."&amp;T$135&amp;T$1&amp;"P"&amp;$A174)="N/A",0,RTD("tos.rtd",,$A$2,"."&amp;T$135&amp;T$1&amp;"P"&amp;$A174))</f>
        <v>0</v>
      </c>
      <c r="U174" s="91">
        <f ca="1">IF(RTD("tos.rtd",,$A$2,"."&amp;U$135&amp;U$1&amp;"C"&amp;$A174)="N/A",0,RTD("tos.rtd",,$A$2,"."&amp;U$135&amp;U$1&amp;"C"&amp;$A174))-IF(RTD("tos.rtd",,$A$2,"."&amp;U$135&amp;U$1&amp;"P"&amp;$A174)="N/A",0,RTD("tos.rtd",,$A$2,"."&amp;U$135&amp;U$1&amp;"P"&amp;$A174))</f>
        <v>0</v>
      </c>
      <c r="V174" s="91">
        <f ca="1">IF(RTD("tos.rtd",,$A$2,"."&amp;V$135&amp;V$1&amp;"C"&amp;$A174)="N/A",0,RTD("tos.rtd",,$A$2,"."&amp;V$135&amp;V$1&amp;"C"&amp;$A174))-IF(RTD("tos.rtd",,$A$2,"."&amp;V$135&amp;V$1&amp;"P"&amp;$A174)="N/A",0,RTD("tos.rtd",,$A$2,"."&amp;V$135&amp;V$1&amp;"P"&amp;$A174))</f>
        <v>0</v>
      </c>
      <c r="W174" s="91">
        <f ca="1">IF(RTD("tos.rtd",,$A$2,"."&amp;W$135&amp;W$1&amp;"C"&amp;$A174)="N/A",0,RTD("tos.rtd",,$A$2,"."&amp;W$135&amp;W$1&amp;"C"&amp;$A174))-IF(RTD("tos.rtd",,$A$2,"."&amp;W$135&amp;W$1&amp;"P"&amp;$A174)="N/A",0,RTD("tos.rtd",,$A$2,"."&amp;W$135&amp;W$1&amp;"P"&amp;$A174))</f>
        <v>0</v>
      </c>
      <c r="X174" s="91">
        <f ca="1">IF(RTD("tos.rtd",,$A$2,"."&amp;X$135&amp;X$1&amp;"C"&amp;$A174)="N/A",0,RTD("tos.rtd",,$A$2,"."&amp;X$135&amp;X$1&amp;"C"&amp;$A174))-IF(RTD("tos.rtd",,$A$2,"."&amp;X$135&amp;X$1&amp;"P"&amp;$A174)="N/A",0,RTD("tos.rtd",,$A$2,"."&amp;X$135&amp;X$1&amp;"P"&amp;$A174))</f>
        <v>0</v>
      </c>
      <c r="Y174" s="98">
        <f t="shared" ca="1" si="13"/>
        <v>1</v>
      </c>
      <c r="Z174" s="91"/>
      <c r="AA174" s="91"/>
    </row>
    <row r="175" spans="1:27" x14ac:dyDescent="0.25">
      <c r="A175" s="93">
        <f>+Hoja1!A174</f>
        <v>19525</v>
      </c>
      <c r="B175" s="91">
        <f ca="1">IF(RTD("tos.rtd",,$A$2,"."&amp;B$135&amp;B$1&amp;"C"&amp;$A175)="N/A",0,RTD("tos.rtd",,$A$2,"."&amp;B$135&amp;B$1&amp;"C"&amp;$A175))-IF(RTD("tos.rtd",,$A$2,"."&amp;B$135&amp;B$1&amp;"P"&amp;$A175)="N/A",0,RTD("tos.rtd",,$A$2,"."&amp;B$135&amp;B$1&amp;"P"&amp;$A175))</f>
        <v>0</v>
      </c>
      <c r="C175" s="91">
        <f ca="1">IF(RTD("tos.rtd",,$A$2,"."&amp;C$135&amp;C$1&amp;"C"&amp;$A175)="N/A",0,RTD("tos.rtd",,$A$2,"."&amp;C$135&amp;C$1&amp;"C"&amp;$A175))-IF(RTD("tos.rtd",,$A$2,"."&amp;C$135&amp;C$1&amp;"P"&amp;$A175)="N/A",0,RTD("tos.rtd",,$A$2,"."&amp;C$135&amp;C$1&amp;"P"&amp;$A175))</f>
        <v>0</v>
      </c>
      <c r="D175" s="91">
        <f ca="1">IF(RTD("tos.rtd",,$A$2,"."&amp;D$135&amp;D$1&amp;"C"&amp;$A175)="N/A",0,RTD("tos.rtd",,$A$2,"."&amp;D$135&amp;D$1&amp;"C"&amp;$A175))-IF(RTD("tos.rtd",,$A$2,"."&amp;D$135&amp;D$1&amp;"P"&amp;$A175)="N/A",0,RTD("tos.rtd",,$A$2,"."&amp;D$135&amp;D$1&amp;"P"&amp;$A175))</f>
        <v>0</v>
      </c>
      <c r="E175" s="91">
        <f ca="1">IF(RTD("tos.rtd",,$A$2,"."&amp;E$135&amp;E$1&amp;"C"&amp;$A175)="N/A",0,RTD("tos.rtd",,$A$2,"."&amp;E$135&amp;E$1&amp;"C"&amp;$A175))-IF(RTD("tos.rtd",,$A$2,"."&amp;E$135&amp;E$1&amp;"P"&amp;$A175)="N/A",0,RTD("tos.rtd",,$A$2,"."&amp;E$135&amp;E$1&amp;"P"&amp;$A175))</f>
        <v>0</v>
      </c>
      <c r="F175" s="91">
        <f ca="1">IF(RTD("tos.rtd",,$A$2,"."&amp;F$135&amp;F$1&amp;"C"&amp;$A175)="N/A",0,RTD("tos.rtd",,$A$2,"."&amp;F$135&amp;F$1&amp;"C"&amp;$A175))-IF(RTD("tos.rtd",,$A$2,"."&amp;F$135&amp;F$1&amp;"P"&amp;$A175)="N/A",0,RTD("tos.rtd",,$A$2,"."&amp;F$135&amp;F$1&amp;"P"&amp;$A175))</f>
        <v>0</v>
      </c>
      <c r="G175" s="91">
        <f ca="1">IF(RTD("tos.rtd",,$A$2,"."&amp;G$135&amp;G$1&amp;"C"&amp;$A175)="N/A",0,RTD("tos.rtd",,$A$2,"."&amp;G$135&amp;G$1&amp;"C"&amp;$A175))-IF(RTD("tos.rtd",,$A$2,"."&amp;G$135&amp;G$1&amp;"P"&amp;$A175)="N/A",0,RTD("tos.rtd",,$A$2,"."&amp;G$135&amp;G$1&amp;"P"&amp;$A175))</f>
        <v>0</v>
      </c>
      <c r="H175" s="91">
        <f ca="1">IF(RTD("tos.rtd",,$A$2,"."&amp;H$135&amp;H$1&amp;"C"&amp;$A175)="N/A",0,RTD("tos.rtd",,$A$2,"."&amp;H$135&amp;H$1&amp;"C"&amp;$A175))-IF(RTD("tos.rtd",,$A$2,"."&amp;H$135&amp;H$1&amp;"P"&amp;$A175)="N/A",0,RTD("tos.rtd",,$A$2,"."&amp;H$135&amp;H$1&amp;"P"&amp;$A175))</f>
        <v>0</v>
      </c>
      <c r="I175" s="91">
        <f ca="1">IF(RTD("tos.rtd",,$A$2,"."&amp;I$135&amp;I$1&amp;"C"&amp;$A175)="N/A",0,RTD("tos.rtd",,$A$2,"."&amp;I$135&amp;I$1&amp;"C"&amp;$A175))-IF(RTD("tos.rtd",,$A$2,"."&amp;I$135&amp;I$1&amp;"P"&amp;$A175)="N/A",0,RTD("tos.rtd",,$A$2,"."&amp;I$135&amp;I$1&amp;"P"&amp;$A175))</f>
        <v>0</v>
      </c>
      <c r="J175" s="91">
        <f ca="1">IF(RTD("tos.rtd",,$A$2,"."&amp;J$135&amp;J$1&amp;"C"&amp;$A175)="N/A",0,RTD("tos.rtd",,$A$2,"."&amp;J$135&amp;J$1&amp;"C"&amp;$A175))-IF(RTD("tos.rtd",,$A$2,"."&amp;J$135&amp;J$1&amp;"P"&amp;$A175)="N/A",0,RTD("tos.rtd",,$A$2,"."&amp;J$135&amp;J$1&amp;"P"&amp;$A175))</f>
        <v>0</v>
      </c>
      <c r="K175" s="91">
        <f ca="1">IF(RTD("tos.rtd",,$A$2,"."&amp;K$135&amp;K$1&amp;"C"&amp;$A175)="N/A",0,RTD("tos.rtd",,$A$2,"."&amp;K$135&amp;K$1&amp;"C"&amp;$A175))-IF(RTD("tos.rtd",,$A$2,"."&amp;K$135&amp;K$1&amp;"P"&amp;$A175)="N/A",0,RTD("tos.rtd",,$A$2,"."&amp;K$135&amp;K$1&amp;"P"&amp;$A175))</f>
        <v>-1</v>
      </c>
      <c r="L175" s="91">
        <f ca="1">IF(RTD("tos.rtd",,$A$2,"."&amp;L$135&amp;L$1&amp;"C"&amp;$A175)="N/A",0,RTD("tos.rtd",,$A$2,"."&amp;L$135&amp;L$1&amp;"C"&amp;$A175))-IF(RTD("tos.rtd",,$A$2,"."&amp;L$135&amp;L$1&amp;"P"&amp;$A175)="N/A",0,RTD("tos.rtd",,$A$2,"."&amp;L$135&amp;L$1&amp;"P"&amp;$A175))</f>
        <v>0</v>
      </c>
      <c r="M175" s="91">
        <f ca="1">IF(RTD("tos.rtd",,$A$2,"."&amp;M$135&amp;M$1&amp;"C"&amp;$A175)="N/A",0,RTD("tos.rtd",,$A$2,"."&amp;M$135&amp;M$1&amp;"C"&amp;$A175))-IF(RTD("tos.rtd",,$A$2,"."&amp;M$135&amp;M$1&amp;"P"&amp;$A175)="N/A",0,RTD("tos.rtd",,$A$2,"."&amp;M$135&amp;M$1&amp;"P"&amp;$A175))</f>
        <v>-4</v>
      </c>
      <c r="N175" s="91">
        <f ca="1">IF(RTD("tos.rtd",,$A$2,"."&amp;N$135&amp;N$1&amp;"C"&amp;$A175)="N/A",0,RTD("tos.rtd",,$A$2,"."&amp;N$135&amp;N$1&amp;"C"&amp;$A175))-IF(RTD("tos.rtd",,$A$2,"."&amp;N$135&amp;N$1&amp;"P"&amp;$A175)="N/A",0,RTD("tos.rtd",,$A$2,"."&amp;N$135&amp;N$1&amp;"P"&amp;$A175))</f>
        <v>0</v>
      </c>
      <c r="O175" s="91">
        <f ca="1">IF(RTD("tos.rtd",,$A$2,"."&amp;O$135&amp;O$1&amp;"C"&amp;$A175)="N/A",0,RTD("tos.rtd",,$A$2,"."&amp;O$135&amp;O$1&amp;"C"&amp;$A175))-IF(RTD("tos.rtd",,$A$2,"."&amp;O$135&amp;O$1&amp;"P"&amp;$A175)="N/A",0,RTD("tos.rtd",,$A$2,"."&amp;O$135&amp;O$1&amp;"P"&amp;$A175))</f>
        <v>0</v>
      </c>
      <c r="P175" s="91">
        <f ca="1">IF(RTD("tos.rtd",,$A$2,"."&amp;P$135&amp;P$1&amp;"C"&amp;$A175)="N/A",0,RTD("tos.rtd",,$A$2,"."&amp;P$135&amp;P$1&amp;"C"&amp;$A175))-IF(RTD("tos.rtd",,$A$2,"."&amp;P$135&amp;P$1&amp;"P"&amp;$A175)="N/A",0,RTD("tos.rtd",,$A$2,"."&amp;P$135&amp;P$1&amp;"P"&amp;$A175))</f>
        <v>0</v>
      </c>
      <c r="Q175" s="91">
        <f ca="1">IF(RTD("tos.rtd",,$A$2,"."&amp;Q$135&amp;Q$1&amp;"C"&amp;$A175)="N/A",0,RTD("tos.rtd",,$A$2,"."&amp;Q$135&amp;Q$1&amp;"C"&amp;$A175))-IF(RTD("tos.rtd",,$A$2,"."&amp;Q$135&amp;Q$1&amp;"P"&amp;$A175)="N/A",0,RTD("tos.rtd",,$A$2,"."&amp;Q$135&amp;Q$1&amp;"P"&amp;$A175))</f>
        <v>0</v>
      </c>
      <c r="R175" s="91">
        <f ca="1">IF(RTD("tos.rtd",,$A$2,"."&amp;R$135&amp;R$1&amp;"C"&amp;$A175)="N/A",0,RTD("tos.rtd",,$A$2,"."&amp;R$135&amp;R$1&amp;"C"&amp;$A175))-IF(RTD("tos.rtd",,$A$2,"."&amp;R$135&amp;R$1&amp;"P"&amp;$A175)="N/A",0,RTD("tos.rtd",,$A$2,"."&amp;R$135&amp;R$1&amp;"P"&amp;$A175))</f>
        <v>0</v>
      </c>
      <c r="S175" s="91">
        <f ca="1">IF(RTD("tos.rtd",,$A$2,"."&amp;S$135&amp;S$1&amp;"C"&amp;$A175)="N/A",0,RTD("tos.rtd",,$A$2,"."&amp;S$135&amp;S$1&amp;"C"&amp;$A175))-IF(RTD("tos.rtd",,$A$2,"."&amp;S$135&amp;S$1&amp;"P"&amp;$A175)="N/A",0,RTD("tos.rtd",,$A$2,"."&amp;S$135&amp;S$1&amp;"P"&amp;$A175))</f>
        <v>0</v>
      </c>
      <c r="T175" s="91">
        <f ca="1">IF(RTD("tos.rtd",,$A$2,"."&amp;T$135&amp;T$1&amp;"C"&amp;$A175)="N/A",0,RTD("tos.rtd",,$A$2,"."&amp;T$135&amp;T$1&amp;"C"&amp;$A175))-IF(RTD("tos.rtd",,$A$2,"."&amp;T$135&amp;T$1&amp;"P"&amp;$A175)="N/A",0,RTD("tos.rtd",,$A$2,"."&amp;T$135&amp;T$1&amp;"P"&amp;$A175))</f>
        <v>0</v>
      </c>
      <c r="U175" s="91">
        <f ca="1">IF(RTD("tos.rtd",,$A$2,"."&amp;U$135&amp;U$1&amp;"C"&amp;$A175)="N/A",0,RTD("tos.rtd",,$A$2,"."&amp;U$135&amp;U$1&amp;"C"&amp;$A175))-IF(RTD("tos.rtd",,$A$2,"."&amp;U$135&amp;U$1&amp;"P"&amp;$A175)="N/A",0,RTD("tos.rtd",,$A$2,"."&amp;U$135&amp;U$1&amp;"P"&amp;$A175))</f>
        <v>0</v>
      </c>
      <c r="V175" s="91">
        <f ca="1">IF(RTD("tos.rtd",,$A$2,"."&amp;V$135&amp;V$1&amp;"C"&amp;$A175)="N/A",0,RTD("tos.rtd",,$A$2,"."&amp;V$135&amp;V$1&amp;"C"&amp;$A175))-IF(RTD("tos.rtd",,$A$2,"."&amp;V$135&amp;V$1&amp;"P"&amp;$A175)="N/A",0,RTD("tos.rtd",,$A$2,"."&amp;V$135&amp;V$1&amp;"P"&amp;$A175))</f>
        <v>0</v>
      </c>
      <c r="W175" s="91">
        <f ca="1">IF(RTD("tos.rtd",,$A$2,"."&amp;W$135&amp;W$1&amp;"C"&amp;$A175)="N/A",0,RTD("tos.rtd",,$A$2,"."&amp;W$135&amp;W$1&amp;"C"&amp;$A175))-IF(RTD("tos.rtd",,$A$2,"."&amp;W$135&amp;W$1&amp;"P"&amp;$A175)="N/A",0,RTD("tos.rtd",,$A$2,"."&amp;W$135&amp;W$1&amp;"P"&amp;$A175))</f>
        <v>0</v>
      </c>
      <c r="X175" s="91">
        <f ca="1">IF(RTD("tos.rtd",,$A$2,"."&amp;X$135&amp;X$1&amp;"C"&amp;$A175)="N/A",0,RTD("tos.rtd",,$A$2,"."&amp;X$135&amp;X$1&amp;"C"&amp;$A175))-IF(RTD("tos.rtd",,$A$2,"."&amp;X$135&amp;X$1&amp;"P"&amp;$A175)="N/A",0,RTD("tos.rtd",,$A$2,"."&amp;X$135&amp;X$1&amp;"P"&amp;$A175))</f>
        <v>0</v>
      </c>
      <c r="Y175" s="98">
        <f t="shared" ca="1" si="13"/>
        <v>-5</v>
      </c>
      <c r="Z175" s="91"/>
      <c r="AA175" s="91"/>
    </row>
    <row r="176" spans="1:27" x14ac:dyDescent="0.25">
      <c r="A176" s="93">
        <f>+Hoja1!A175</f>
        <v>19500</v>
      </c>
      <c r="B176" s="91">
        <f ca="1">IF(RTD("tos.rtd",,$A$2,"."&amp;B$135&amp;B$1&amp;"C"&amp;$A176)="N/A",0,RTD("tos.rtd",,$A$2,"."&amp;B$135&amp;B$1&amp;"C"&amp;$A176))-IF(RTD("tos.rtd",,$A$2,"."&amp;B$135&amp;B$1&amp;"P"&amp;$A176)="N/A",0,RTD("tos.rtd",,$A$2,"."&amp;B$135&amp;B$1&amp;"P"&amp;$A176))</f>
        <v>0</v>
      </c>
      <c r="C176" s="91">
        <f ca="1">IF(RTD("tos.rtd",,$A$2,"."&amp;C$135&amp;C$1&amp;"C"&amp;$A176)="N/A",0,RTD("tos.rtd",,$A$2,"."&amp;C$135&amp;C$1&amp;"C"&amp;$A176))-IF(RTD("tos.rtd",,$A$2,"."&amp;C$135&amp;C$1&amp;"P"&amp;$A176)="N/A",0,RTD("tos.rtd",,$A$2,"."&amp;C$135&amp;C$1&amp;"P"&amp;$A176))</f>
        <v>0</v>
      </c>
      <c r="D176" s="91">
        <f ca="1">IF(RTD("tos.rtd",,$A$2,"."&amp;D$135&amp;D$1&amp;"C"&amp;$A176)="N/A",0,RTD("tos.rtd",,$A$2,"."&amp;D$135&amp;D$1&amp;"C"&amp;$A176))-IF(RTD("tos.rtd",,$A$2,"."&amp;D$135&amp;D$1&amp;"P"&amp;$A176)="N/A",0,RTD("tos.rtd",,$A$2,"."&amp;D$135&amp;D$1&amp;"P"&amp;$A176))</f>
        <v>0</v>
      </c>
      <c r="E176" s="91">
        <f ca="1">IF(RTD("tos.rtd",,$A$2,"."&amp;E$135&amp;E$1&amp;"C"&amp;$A176)="N/A",0,RTD("tos.rtd",,$A$2,"."&amp;E$135&amp;E$1&amp;"C"&amp;$A176))-IF(RTD("tos.rtd",,$A$2,"."&amp;E$135&amp;E$1&amp;"P"&amp;$A176)="N/A",0,RTD("tos.rtd",,$A$2,"."&amp;E$135&amp;E$1&amp;"P"&amp;$A176))</f>
        <v>0</v>
      </c>
      <c r="F176" s="91">
        <f ca="1">IF(RTD("tos.rtd",,$A$2,"."&amp;F$135&amp;F$1&amp;"C"&amp;$A176)="N/A",0,RTD("tos.rtd",,$A$2,"."&amp;F$135&amp;F$1&amp;"C"&amp;$A176))-IF(RTD("tos.rtd",,$A$2,"."&amp;F$135&amp;F$1&amp;"P"&amp;$A176)="N/A",0,RTD("tos.rtd",,$A$2,"."&amp;F$135&amp;F$1&amp;"P"&amp;$A176))</f>
        <v>0</v>
      </c>
      <c r="G176" s="91">
        <f ca="1">IF(RTD("tos.rtd",,$A$2,"."&amp;G$135&amp;G$1&amp;"C"&amp;$A176)="N/A",0,RTD("tos.rtd",,$A$2,"."&amp;G$135&amp;G$1&amp;"C"&amp;$A176))-IF(RTD("tos.rtd",,$A$2,"."&amp;G$135&amp;G$1&amp;"P"&amp;$A176)="N/A",0,RTD("tos.rtd",,$A$2,"."&amp;G$135&amp;G$1&amp;"P"&amp;$A176))</f>
        <v>0</v>
      </c>
      <c r="H176" s="91">
        <f ca="1">IF(RTD("tos.rtd",,$A$2,"."&amp;H$135&amp;H$1&amp;"C"&amp;$A176)="N/A",0,RTD("tos.rtd",,$A$2,"."&amp;H$135&amp;H$1&amp;"C"&amp;$A176))-IF(RTD("tos.rtd",,$A$2,"."&amp;H$135&amp;H$1&amp;"P"&amp;$A176)="N/A",0,RTD("tos.rtd",,$A$2,"."&amp;H$135&amp;H$1&amp;"P"&amp;$A176))</f>
        <v>0</v>
      </c>
      <c r="I176" s="91">
        <f ca="1">IF(RTD("tos.rtd",,$A$2,"."&amp;I$135&amp;I$1&amp;"C"&amp;$A176)="N/A",0,RTD("tos.rtd",,$A$2,"."&amp;I$135&amp;I$1&amp;"C"&amp;$A176))-IF(RTD("tos.rtd",,$A$2,"."&amp;I$135&amp;I$1&amp;"P"&amp;$A176)="N/A",0,RTD("tos.rtd",,$A$2,"."&amp;I$135&amp;I$1&amp;"P"&amp;$A176))</f>
        <v>-2</v>
      </c>
      <c r="J176" s="91">
        <f ca="1">IF(RTD("tos.rtd",,$A$2,"."&amp;J$135&amp;J$1&amp;"C"&amp;$A176)="N/A",0,RTD("tos.rtd",,$A$2,"."&amp;J$135&amp;J$1&amp;"C"&amp;$A176))-IF(RTD("tos.rtd",,$A$2,"."&amp;J$135&amp;J$1&amp;"P"&amp;$A176)="N/A",0,RTD("tos.rtd",,$A$2,"."&amp;J$135&amp;J$1&amp;"P"&amp;$A176))</f>
        <v>0</v>
      </c>
      <c r="K176" s="91">
        <f ca="1">IF(RTD("tos.rtd",,$A$2,"."&amp;K$135&amp;K$1&amp;"C"&amp;$A176)="N/A",0,RTD("tos.rtd",,$A$2,"."&amp;K$135&amp;K$1&amp;"C"&amp;$A176))-IF(RTD("tos.rtd",,$A$2,"."&amp;K$135&amp;K$1&amp;"P"&amp;$A176)="N/A",0,RTD("tos.rtd",,$A$2,"."&amp;K$135&amp;K$1&amp;"P"&amp;$A176))</f>
        <v>-1</v>
      </c>
      <c r="L176" s="91">
        <f ca="1">IF(RTD("tos.rtd",,$A$2,"."&amp;L$135&amp;L$1&amp;"C"&amp;$A176)="N/A",0,RTD("tos.rtd",,$A$2,"."&amp;L$135&amp;L$1&amp;"C"&amp;$A176))-IF(RTD("tos.rtd",,$A$2,"."&amp;L$135&amp;L$1&amp;"P"&amp;$A176)="N/A",0,RTD("tos.rtd",,$A$2,"."&amp;L$135&amp;L$1&amp;"P"&amp;$A176))</f>
        <v>-6</v>
      </c>
      <c r="M176" s="91">
        <f ca="1">IF(RTD("tos.rtd",,$A$2,"."&amp;M$135&amp;M$1&amp;"C"&amp;$A176)="N/A",0,RTD("tos.rtd",,$A$2,"."&amp;M$135&amp;M$1&amp;"C"&amp;$A176))-IF(RTD("tos.rtd",,$A$2,"."&amp;M$135&amp;M$1&amp;"P"&amp;$A176)="N/A",0,RTD("tos.rtd",,$A$2,"."&amp;M$135&amp;M$1&amp;"P"&amp;$A176))</f>
        <v>1</v>
      </c>
      <c r="N176" s="91">
        <f ca="1">IF(RTD("tos.rtd",,$A$2,"."&amp;N$135&amp;N$1&amp;"C"&amp;$A176)="N/A",0,RTD("tos.rtd",,$A$2,"."&amp;N$135&amp;N$1&amp;"C"&amp;$A176))-IF(RTD("tos.rtd",,$A$2,"."&amp;N$135&amp;N$1&amp;"P"&amp;$A176)="N/A",0,RTD("tos.rtd",,$A$2,"."&amp;N$135&amp;N$1&amp;"P"&amp;$A176))</f>
        <v>0</v>
      </c>
      <c r="O176" s="91">
        <f ca="1">IF(RTD("tos.rtd",,$A$2,"."&amp;O$135&amp;O$1&amp;"C"&amp;$A176)="N/A",0,RTD("tos.rtd",,$A$2,"."&amp;O$135&amp;O$1&amp;"C"&amp;$A176))-IF(RTD("tos.rtd",,$A$2,"."&amp;O$135&amp;O$1&amp;"P"&amp;$A176)="N/A",0,RTD("tos.rtd",,$A$2,"."&amp;O$135&amp;O$1&amp;"P"&amp;$A176))</f>
        <v>0</v>
      </c>
      <c r="P176" s="91">
        <f ca="1">IF(RTD("tos.rtd",,$A$2,"."&amp;P$135&amp;P$1&amp;"C"&amp;$A176)="N/A",0,RTD("tos.rtd",,$A$2,"."&amp;P$135&amp;P$1&amp;"C"&amp;$A176))-IF(RTD("tos.rtd",,$A$2,"."&amp;P$135&amp;P$1&amp;"P"&amp;$A176)="N/A",0,RTD("tos.rtd",,$A$2,"."&amp;P$135&amp;P$1&amp;"P"&amp;$A176))</f>
        <v>0</v>
      </c>
      <c r="Q176" s="91">
        <f ca="1">IF(RTD("tos.rtd",,$A$2,"."&amp;Q$135&amp;Q$1&amp;"C"&amp;$A176)="N/A",0,RTD("tos.rtd",,$A$2,"."&amp;Q$135&amp;Q$1&amp;"C"&amp;$A176))-IF(RTD("tos.rtd",,$A$2,"."&amp;Q$135&amp;Q$1&amp;"P"&amp;$A176)="N/A",0,RTD("tos.rtd",,$A$2,"."&amp;Q$135&amp;Q$1&amp;"P"&amp;$A176))</f>
        <v>0</v>
      </c>
      <c r="R176" s="91">
        <f ca="1">IF(RTD("tos.rtd",,$A$2,"."&amp;R$135&amp;R$1&amp;"C"&amp;$A176)="N/A",0,RTD("tos.rtd",,$A$2,"."&amp;R$135&amp;R$1&amp;"C"&amp;$A176))-IF(RTD("tos.rtd",,$A$2,"."&amp;R$135&amp;R$1&amp;"P"&amp;$A176)="N/A",0,RTD("tos.rtd",,$A$2,"."&amp;R$135&amp;R$1&amp;"P"&amp;$A176))</f>
        <v>0</v>
      </c>
      <c r="S176" s="91">
        <f ca="1">IF(RTD("tos.rtd",,$A$2,"."&amp;S$135&amp;S$1&amp;"C"&amp;$A176)="N/A",0,RTD("tos.rtd",,$A$2,"."&amp;S$135&amp;S$1&amp;"C"&amp;$A176))-IF(RTD("tos.rtd",,$A$2,"."&amp;S$135&amp;S$1&amp;"P"&amp;$A176)="N/A",0,RTD("tos.rtd",,$A$2,"."&amp;S$135&amp;S$1&amp;"P"&amp;$A176))</f>
        <v>0</v>
      </c>
      <c r="T176" s="91">
        <f ca="1">IF(RTD("tos.rtd",,$A$2,"."&amp;T$135&amp;T$1&amp;"C"&amp;$A176)="N/A",0,RTD("tos.rtd",,$A$2,"."&amp;T$135&amp;T$1&amp;"C"&amp;$A176))-IF(RTD("tos.rtd",,$A$2,"."&amp;T$135&amp;T$1&amp;"P"&amp;$A176)="N/A",0,RTD("tos.rtd",,$A$2,"."&amp;T$135&amp;T$1&amp;"P"&amp;$A176))</f>
        <v>0</v>
      </c>
      <c r="U176" s="91">
        <f ca="1">IF(RTD("tos.rtd",,$A$2,"."&amp;U$135&amp;U$1&amp;"C"&amp;$A176)="N/A",0,RTD("tos.rtd",,$A$2,"."&amp;U$135&amp;U$1&amp;"C"&amp;$A176))-IF(RTD("tos.rtd",,$A$2,"."&amp;U$135&amp;U$1&amp;"P"&amp;$A176)="N/A",0,RTD("tos.rtd",,$A$2,"."&amp;U$135&amp;U$1&amp;"P"&amp;$A176))</f>
        <v>0</v>
      </c>
      <c r="V176" s="91">
        <f ca="1">IF(RTD("tos.rtd",,$A$2,"."&amp;V$135&amp;V$1&amp;"C"&amp;$A176)="N/A",0,RTD("tos.rtd",,$A$2,"."&amp;V$135&amp;V$1&amp;"C"&amp;$A176))-IF(RTD("tos.rtd",,$A$2,"."&amp;V$135&amp;V$1&amp;"P"&amp;$A176)="N/A",0,RTD("tos.rtd",,$A$2,"."&amp;V$135&amp;V$1&amp;"P"&amp;$A176))</f>
        <v>0</v>
      </c>
      <c r="W176" s="91">
        <f ca="1">IF(RTD("tos.rtd",,$A$2,"."&amp;W$135&amp;W$1&amp;"C"&amp;$A176)="N/A",0,RTD("tos.rtd",,$A$2,"."&amp;W$135&amp;W$1&amp;"C"&amp;$A176))-IF(RTD("tos.rtd",,$A$2,"."&amp;W$135&amp;W$1&amp;"P"&amp;$A176)="N/A",0,RTD("tos.rtd",,$A$2,"."&amp;W$135&amp;W$1&amp;"P"&amp;$A176))</f>
        <v>0</v>
      </c>
      <c r="X176" s="91">
        <f ca="1">IF(RTD("tos.rtd",,$A$2,"."&amp;X$135&amp;X$1&amp;"C"&amp;$A176)="N/A",0,RTD("tos.rtd",,$A$2,"."&amp;X$135&amp;X$1&amp;"C"&amp;$A176))-IF(RTD("tos.rtd",,$A$2,"."&amp;X$135&amp;X$1&amp;"P"&amp;$A176)="N/A",0,RTD("tos.rtd",,$A$2,"."&amp;X$135&amp;X$1&amp;"P"&amp;$A176))</f>
        <v>0</v>
      </c>
      <c r="Y176" s="98">
        <f t="shared" ca="1" si="13"/>
        <v>-8</v>
      </c>
      <c r="Z176" s="91"/>
      <c r="AA176" s="91"/>
    </row>
    <row r="177" spans="1:27" x14ac:dyDescent="0.25">
      <c r="A177" s="93">
        <f>+Hoja1!A176</f>
        <v>19475</v>
      </c>
      <c r="B177" s="91">
        <f ca="1">IF(RTD("tos.rtd",,$A$2,"."&amp;B$135&amp;B$1&amp;"C"&amp;$A177)="N/A",0,RTD("tos.rtd",,$A$2,"."&amp;B$135&amp;B$1&amp;"C"&amp;$A177))-IF(RTD("tos.rtd",,$A$2,"."&amp;B$135&amp;B$1&amp;"P"&amp;$A177)="N/A",0,RTD("tos.rtd",,$A$2,"."&amp;B$135&amp;B$1&amp;"P"&amp;$A177))</f>
        <v>0</v>
      </c>
      <c r="C177" s="91">
        <f ca="1">IF(RTD("tos.rtd",,$A$2,"."&amp;C$135&amp;C$1&amp;"C"&amp;$A177)="N/A",0,RTD("tos.rtd",,$A$2,"."&amp;C$135&amp;C$1&amp;"C"&amp;$A177))-IF(RTD("tos.rtd",,$A$2,"."&amp;C$135&amp;C$1&amp;"P"&amp;$A177)="N/A",0,RTD("tos.rtd",,$A$2,"."&amp;C$135&amp;C$1&amp;"P"&amp;$A177))</f>
        <v>0</v>
      </c>
      <c r="D177" s="91">
        <f ca="1">IF(RTD("tos.rtd",,$A$2,"."&amp;D$135&amp;D$1&amp;"C"&amp;$A177)="N/A",0,RTD("tos.rtd",,$A$2,"."&amp;D$135&amp;D$1&amp;"C"&amp;$A177))-IF(RTD("tos.rtd",,$A$2,"."&amp;D$135&amp;D$1&amp;"P"&amp;$A177)="N/A",0,RTD("tos.rtd",,$A$2,"."&amp;D$135&amp;D$1&amp;"P"&amp;$A177))</f>
        <v>0</v>
      </c>
      <c r="E177" s="91">
        <f ca="1">IF(RTD("tos.rtd",,$A$2,"."&amp;E$135&amp;E$1&amp;"C"&amp;$A177)="N/A",0,RTD("tos.rtd",,$A$2,"."&amp;E$135&amp;E$1&amp;"C"&amp;$A177))-IF(RTD("tos.rtd",,$A$2,"."&amp;E$135&amp;E$1&amp;"P"&amp;$A177)="N/A",0,RTD("tos.rtd",,$A$2,"."&amp;E$135&amp;E$1&amp;"P"&amp;$A177))</f>
        <v>0</v>
      </c>
      <c r="F177" s="91">
        <f ca="1">IF(RTD("tos.rtd",,$A$2,"."&amp;F$135&amp;F$1&amp;"C"&amp;$A177)="N/A",0,RTD("tos.rtd",,$A$2,"."&amp;F$135&amp;F$1&amp;"C"&amp;$A177))-IF(RTD("tos.rtd",,$A$2,"."&amp;F$135&amp;F$1&amp;"P"&amp;$A177)="N/A",0,RTD("tos.rtd",,$A$2,"."&amp;F$135&amp;F$1&amp;"P"&amp;$A177))</f>
        <v>0</v>
      </c>
      <c r="G177" s="91">
        <f ca="1">IF(RTD("tos.rtd",,$A$2,"."&amp;G$135&amp;G$1&amp;"C"&amp;$A177)="N/A",0,RTD("tos.rtd",,$A$2,"."&amp;G$135&amp;G$1&amp;"C"&amp;$A177))-IF(RTD("tos.rtd",,$A$2,"."&amp;G$135&amp;G$1&amp;"P"&amp;$A177)="N/A",0,RTD("tos.rtd",,$A$2,"."&amp;G$135&amp;G$1&amp;"P"&amp;$A177))</f>
        <v>0</v>
      </c>
      <c r="H177" s="91">
        <f ca="1">IF(RTD("tos.rtd",,$A$2,"."&amp;H$135&amp;H$1&amp;"C"&amp;$A177)="N/A",0,RTD("tos.rtd",,$A$2,"."&amp;H$135&amp;H$1&amp;"C"&amp;$A177))-IF(RTD("tos.rtd",,$A$2,"."&amp;H$135&amp;H$1&amp;"P"&amp;$A177)="N/A",0,RTD("tos.rtd",,$A$2,"."&amp;H$135&amp;H$1&amp;"P"&amp;$A177))</f>
        <v>0</v>
      </c>
      <c r="I177" s="91">
        <f ca="1">IF(RTD("tos.rtd",,$A$2,"."&amp;I$135&amp;I$1&amp;"C"&amp;$A177)="N/A",0,RTD("tos.rtd",,$A$2,"."&amp;I$135&amp;I$1&amp;"C"&amp;$A177))-IF(RTD("tos.rtd",,$A$2,"."&amp;I$135&amp;I$1&amp;"P"&amp;$A177)="N/A",0,RTD("tos.rtd",,$A$2,"."&amp;I$135&amp;I$1&amp;"P"&amp;$A177))</f>
        <v>0</v>
      </c>
      <c r="J177" s="91">
        <f ca="1">IF(RTD("tos.rtd",,$A$2,"."&amp;J$135&amp;J$1&amp;"C"&amp;$A177)="N/A",0,RTD("tos.rtd",,$A$2,"."&amp;J$135&amp;J$1&amp;"C"&amp;$A177))-IF(RTD("tos.rtd",,$A$2,"."&amp;J$135&amp;J$1&amp;"P"&amp;$A177)="N/A",0,RTD("tos.rtd",,$A$2,"."&amp;J$135&amp;J$1&amp;"P"&amp;$A177))</f>
        <v>0</v>
      </c>
      <c r="K177" s="91">
        <f ca="1">IF(RTD("tos.rtd",,$A$2,"."&amp;K$135&amp;K$1&amp;"C"&amp;$A177)="N/A",0,RTD("tos.rtd",,$A$2,"."&amp;K$135&amp;K$1&amp;"C"&amp;$A177))-IF(RTD("tos.rtd",,$A$2,"."&amp;K$135&amp;K$1&amp;"P"&amp;$A177)="N/A",0,RTD("tos.rtd",,$A$2,"."&amp;K$135&amp;K$1&amp;"P"&amp;$A177))</f>
        <v>0</v>
      </c>
      <c r="L177" s="91">
        <f ca="1">IF(RTD("tos.rtd",,$A$2,"."&amp;L$135&amp;L$1&amp;"C"&amp;$A177)="N/A",0,RTD("tos.rtd",,$A$2,"."&amp;L$135&amp;L$1&amp;"C"&amp;$A177))-IF(RTD("tos.rtd",,$A$2,"."&amp;L$135&amp;L$1&amp;"P"&amp;$A177)="N/A",0,RTD("tos.rtd",,$A$2,"."&amp;L$135&amp;L$1&amp;"P"&amp;$A177))</f>
        <v>0</v>
      </c>
      <c r="M177" s="91">
        <f ca="1">IF(RTD("tos.rtd",,$A$2,"."&amp;M$135&amp;M$1&amp;"C"&amp;$A177)="N/A",0,RTD("tos.rtd",,$A$2,"."&amp;M$135&amp;M$1&amp;"C"&amp;$A177))-IF(RTD("tos.rtd",,$A$2,"."&amp;M$135&amp;M$1&amp;"P"&amp;$A177)="N/A",0,RTD("tos.rtd",,$A$2,"."&amp;M$135&amp;M$1&amp;"P"&amp;$A177))</f>
        <v>0</v>
      </c>
      <c r="N177" s="91">
        <f ca="1">IF(RTD("tos.rtd",,$A$2,"."&amp;N$135&amp;N$1&amp;"C"&amp;$A177)="N/A",0,RTD("tos.rtd",,$A$2,"."&amp;N$135&amp;N$1&amp;"C"&amp;$A177))-IF(RTD("tos.rtd",,$A$2,"."&amp;N$135&amp;N$1&amp;"P"&amp;$A177)="N/A",0,RTD("tos.rtd",,$A$2,"."&amp;N$135&amp;N$1&amp;"P"&amp;$A177))</f>
        <v>0</v>
      </c>
      <c r="O177" s="91">
        <f ca="1">IF(RTD("tos.rtd",,$A$2,"."&amp;O$135&amp;O$1&amp;"C"&amp;$A177)="N/A",0,RTD("tos.rtd",,$A$2,"."&amp;O$135&amp;O$1&amp;"C"&amp;$A177))-IF(RTD("tos.rtd",,$A$2,"."&amp;O$135&amp;O$1&amp;"P"&amp;$A177)="N/A",0,RTD("tos.rtd",,$A$2,"."&amp;O$135&amp;O$1&amp;"P"&amp;$A177))</f>
        <v>0</v>
      </c>
      <c r="P177" s="91">
        <f ca="1">IF(RTD("tos.rtd",,$A$2,"."&amp;P$135&amp;P$1&amp;"C"&amp;$A177)="N/A",0,RTD("tos.rtd",,$A$2,"."&amp;P$135&amp;P$1&amp;"C"&amp;$A177))-IF(RTD("tos.rtd",,$A$2,"."&amp;P$135&amp;P$1&amp;"P"&amp;$A177)="N/A",0,RTD("tos.rtd",,$A$2,"."&amp;P$135&amp;P$1&amp;"P"&amp;$A177))</f>
        <v>0</v>
      </c>
      <c r="Q177" s="91">
        <f ca="1">IF(RTD("tos.rtd",,$A$2,"."&amp;Q$135&amp;Q$1&amp;"C"&amp;$A177)="N/A",0,RTD("tos.rtd",,$A$2,"."&amp;Q$135&amp;Q$1&amp;"C"&amp;$A177))-IF(RTD("tos.rtd",,$A$2,"."&amp;Q$135&amp;Q$1&amp;"P"&amp;$A177)="N/A",0,RTD("tos.rtd",,$A$2,"."&amp;Q$135&amp;Q$1&amp;"P"&amp;$A177))</f>
        <v>0</v>
      </c>
      <c r="R177" s="91">
        <f ca="1">IF(RTD("tos.rtd",,$A$2,"."&amp;R$135&amp;R$1&amp;"C"&amp;$A177)="N/A",0,RTD("tos.rtd",,$A$2,"."&amp;R$135&amp;R$1&amp;"C"&amp;$A177))-IF(RTD("tos.rtd",,$A$2,"."&amp;R$135&amp;R$1&amp;"P"&amp;$A177)="N/A",0,RTD("tos.rtd",,$A$2,"."&amp;R$135&amp;R$1&amp;"P"&amp;$A177))</f>
        <v>0</v>
      </c>
      <c r="S177" s="91">
        <f ca="1">IF(RTD("tos.rtd",,$A$2,"."&amp;S$135&amp;S$1&amp;"C"&amp;$A177)="N/A",0,RTD("tos.rtd",,$A$2,"."&amp;S$135&amp;S$1&amp;"C"&amp;$A177))-IF(RTD("tos.rtd",,$A$2,"."&amp;S$135&amp;S$1&amp;"P"&amp;$A177)="N/A",0,RTD("tos.rtd",,$A$2,"."&amp;S$135&amp;S$1&amp;"P"&amp;$A177))</f>
        <v>0</v>
      </c>
      <c r="T177" s="91">
        <f ca="1">IF(RTD("tos.rtd",,$A$2,"."&amp;T$135&amp;T$1&amp;"C"&amp;$A177)="N/A",0,RTD("tos.rtd",,$A$2,"."&amp;T$135&amp;T$1&amp;"C"&amp;$A177))-IF(RTD("tos.rtd",,$A$2,"."&amp;T$135&amp;T$1&amp;"P"&amp;$A177)="N/A",0,RTD("tos.rtd",,$A$2,"."&amp;T$135&amp;T$1&amp;"P"&amp;$A177))</f>
        <v>0</v>
      </c>
      <c r="U177" s="91">
        <f ca="1">IF(RTD("tos.rtd",,$A$2,"."&amp;U$135&amp;U$1&amp;"C"&amp;$A177)="N/A",0,RTD("tos.rtd",,$A$2,"."&amp;U$135&amp;U$1&amp;"C"&amp;$A177))-IF(RTD("tos.rtd",,$A$2,"."&amp;U$135&amp;U$1&amp;"P"&amp;$A177)="N/A",0,RTD("tos.rtd",,$A$2,"."&amp;U$135&amp;U$1&amp;"P"&amp;$A177))</f>
        <v>0</v>
      </c>
      <c r="V177" s="91">
        <f ca="1">IF(RTD("tos.rtd",,$A$2,"."&amp;V$135&amp;V$1&amp;"C"&amp;$A177)="N/A",0,RTD("tos.rtd",,$A$2,"."&amp;V$135&amp;V$1&amp;"C"&amp;$A177))-IF(RTD("tos.rtd",,$A$2,"."&amp;V$135&amp;V$1&amp;"P"&amp;$A177)="N/A",0,RTD("tos.rtd",,$A$2,"."&amp;V$135&amp;V$1&amp;"P"&amp;$A177))</f>
        <v>0</v>
      </c>
      <c r="W177" s="91">
        <f ca="1">IF(RTD("tos.rtd",,$A$2,"."&amp;W$135&amp;W$1&amp;"C"&amp;$A177)="N/A",0,RTD("tos.rtd",,$A$2,"."&amp;W$135&amp;W$1&amp;"C"&amp;$A177))-IF(RTD("tos.rtd",,$A$2,"."&amp;W$135&amp;W$1&amp;"P"&amp;$A177)="N/A",0,RTD("tos.rtd",,$A$2,"."&amp;W$135&amp;W$1&amp;"P"&amp;$A177))</f>
        <v>0</v>
      </c>
      <c r="X177" s="91">
        <f ca="1">IF(RTD("tos.rtd",,$A$2,"."&amp;X$135&amp;X$1&amp;"C"&amp;$A177)="N/A",0,RTD("tos.rtd",,$A$2,"."&amp;X$135&amp;X$1&amp;"C"&amp;$A177))-IF(RTD("tos.rtd",,$A$2,"."&amp;X$135&amp;X$1&amp;"P"&amp;$A177)="N/A",0,RTD("tos.rtd",,$A$2,"."&amp;X$135&amp;X$1&amp;"P"&amp;$A177))</f>
        <v>0</v>
      </c>
      <c r="Y177" s="98">
        <f t="shared" ca="1" si="13"/>
        <v>0</v>
      </c>
      <c r="Z177" s="91"/>
      <c r="AA177" s="91"/>
    </row>
    <row r="178" spans="1:27" x14ac:dyDescent="0.25">
      <c r="A178" s="93">
        <f>+Hoja1!A177</f>
        <v>19450</v>
      </c>
      <c r="B178" s="91">
        <f ca="1">IF(RTD("tos.rtd",,$A$2,"."&amp;B$135&amp;B$1&amp;"C"&amp;$A178)="N/A",0,RTD("tos.rtd",,$A$2,"."&amp;B$135&amp;B$1&amp;"C"&amp;$A178))-IF(RTD("tos.rtd",,$A$2,"."&amp;B$135&amp;B$1&amp;"P"&amp;$A178)="N/A",0,RTD("tos.rtd",,$A$2,"."&amp;B$135&amp;B$1&amp;"P"&amp;$A178))</f>
        <v>0</v>
      </c>
      <c r="C178" s="91">
        <f ca="1">IF(RTD("tos.rtd",,$A$2,"."&amp;C$135&amp;C$1&amp;"C"&amp;$A178)="N/A",0,RTD("tos.rtd",,$A$2,"."&amp;C$135&amp;C$1&amp;"C"&amp;$A178))-IF(RTD("tos.rtd",,$A$2,"."&amp;C$135&amp;C$1&amp;"P"&amp;$A178)="N/A",0,RTD("tos.rtd",,$A$2,"."&amp;C$135&amp;C$1&amp;"P"&amp;$A178))</f>
        <v>0</v>
      </c>
      <c r="D178" s="91">
        <f ca="1">IF(RTD("tos.rtd",,$A$2,"."&amp;D$135&amp;D$1&amp;"C"&amp;$A178)="N/A",0,RTD("tos.rtd",,$A$2,"."&amp;D$135&amp;D$1&amp;"C"&amp;$A178))-IF(RTD("tos.rtd",,$A$2,"."&amp;D$135&amp;D$1&amp;"P"&amp;$A178)="N/A",0,RTD("tos.rtd",,$A$2,"."&amp;D$135&amp;D$1&amp;"P"&amp;$A178))</f>
        <v>0</v>
      </c>
      <c r="E178" s="91">
        <f ca="1">IF(RTD("tos.rtd",,$A$2,"."&amp;E$135&amp;E$1&amp;"C"&amp;$A178)="N/A",0,RTD("tos.rtd",,$A$2,"."&amp;E$135&amp;E$1&amp;"C"&amp;$A178))-IF(RTD("tos.rtd",,$A$2,"."&amp;E$135&amp;E$1&amp;"P"&amp;$A178)="N/A",0,RTD("tos.rtd",,$A$2,"."&amp;E$135&amp;E$1&amp;"P"&amp;$A178))</f>
        <v>0</v>
      </c>
      <c r="F178" s="91">
        <f ca="1">IF(RTD("tos.rtd",,$A$2,"."&amp;F$135&amp;F$1&amp;"C"&amp;$A178)="N/A",0,RTD("tos.rtd",,$A$2,"."&amp;F$135&amp;F$1&amp;"C"&amp;$A178))-IF(RTD("tos.rtd",,$A$2,"."&amp;F$135&amp;F$1&amp;"P"&amp;$A178)="N/A",0,RTD("tos.rtd",,$A$2,"."&amp;F$135&amp;F$1&amp;"P"&amp;$A178))</f>
        <v>0</v>
      </c>
      <c r="G178" s="91">
        <f ca="1">IF(RTD("tos.rtd",,$A$2,"."&amp;G$135&amp;G$1&amp;"C"&amp;$A178)="N/A",0,RTD("tos.rtd",,$A$2,"."&amp;G$135&amp;G$1&amp;"C"&amp;$A178))-IF(RTD("tos.rtd",,$A$2,"."&amp;G$135&amp;G$1&amp;"P"&amp;$A178)="N/A",0,RTD("tos.rtd",,$A$2,"."&amp;G$135&amp;G$1&amp;"P"&amp;$A178))</f>
        <v>0</v>
      </c>
      <c r="H178" s="91">
        <f ca="1">IF(RTD("tos.rtd",,$A$2,"."&amp;H$135&amp;H$1&amp;"C"&amp;$A178)="N/A",0,RTD("tos.rtd",,$A$2,"."&amp;H$135&amp;H$1&amp;"C"&amp;$A178))-IF(RTD("tos.rtd",,$A$2,"."&amp;H$135&amp;H$1&amp;"P"&amp;$A178)="N/A",0,RTD("tos.rtd",,$A$2,"."&amp;H$135&amp;H$1&amp;"P"&amp;$A178))</f>
        <v>0</v>
      </c>
      <c r="I178" s="91">
        <f ca="1">IF(RTD("tos.rtd",,$A$2,"."&amp;I$135&amp;I$1&amp;"C"&amp;$A178)="N/A",0,RTD("tos.rtd",,$A$2,"."&amp;I$135&amp;I$1&amp;"C"&amp;$A178))-IF(RTD("tos.rtd",,$A$2,"."&amp;I$135&amp;I$1&amp;"P"&amp;$A178)="N/A",0,RTD("tos.rtd",,$A$2,"."&amp;I$135&amp;I$1&amp;"P"&amp;$A178))</f>
        <v>0</v>
      </c>
      <c r="J178" s="91">
        <f ca="1">IF(RTD("tos.rtd",,$A$2,"."&amp;J$135&amp;J$1&amp;"C"&amp;$A178)="N/A",0,RTD("tos.rtd",,$A$2,"."&amp;J$135&amp;J$1&amp;"C"&amp;$A178))-IF(RTD("tos.rtd",,$A$2,"."&amp;J$135&amp;J$1&amp;"P"&amp;$A178)="N/A",0,RTD("tos.rtd",,$A$2,"."&amp;J$135&amp;J$1&amp;"P"&amp;$A178))</f>
        <v>0</v>
      </c>
      <c r="K178" s="91">
        <f ca="1">IF(RTD("tos.rtd",,$A$2,"."&amp;K$135&amp;K$1&amp;"C"&amp;$A178)="N/A",0,RTD("tos.rtd",,$A$2,"."&amp;K$135&amp;K$1&amp;"C"&amp;$A178))-IF(RTD("tos.rtd",,$A$2,"."&amp;K$135&amp;K$1&amp;"P"&amp;$A178)="N/A",0,RTD("tos.rtd",,$A$2,"."&amp;K$135&amp;K$1&amp;"P"&amp;$A178))</f>
        <v>0</v>
      </c>
      <c r="L178" s="91">
        <f ca="1">IF(RTD("tos.rtd",,$A$2,"."&amp;L$135&amp;L$1&amp;"C"&amp;$A178)="N/A",0,RTD("tos.rtd",,$A$2,"."&amp;L$135&amp;L$1&amp;"C"&amp;$A178))-IF(RTD("tos.rtd",,$A$2,"."&amp;L$135&amp;L$1&amp;"P"&amp;$A178)="N/A",0,RTD("tos.rtd",,$A$2,"."&amp;L$135&amp;L$1&amp;"P"&amp;$A178))</f>
        <v>0</v>
      </c>
      <c r="M178" s="91">
        <f ca="1">IF(RTD("tos.rtd",,$A$2,"."&amp;M$135&amp;M$1&amp;"C"&amp;$A178)="N/A",0,RTD("tos.rtd",,$A$2,"."&amp;M$135&amp;M$1&amp;"C"&amp;$A178))-IF(RTD("tos.rtd",,$A$2,"."&amp;M$135&amp;M$1&amp;"P"&amp;$A178)="N/A",0,RTD("tos.rtd",,$A$2,"."&amp;M$135&amp;M$1&amp;"P"&amp;$A178))</f>
        <v>0</v>
      </c>
      <c r="N178" s="91">
        <f ca="1">IF(RTD("tos.rtd",,$A$2,"."&amp;N$135&amp;N$1&amp;"C"&amp;$A178)="N/A",0,RTD("tos.rtd",,$A$2,"."&amp;N$135&amp;N$1&amp;"C"&amp;$A178))-IF(RTD("tos.rtd",,$A$2,"."&amp;N$135&amp;N$1&amp;"P"&amp;$A178)="N/A",0,RTD("tos.rtd",,$A$2,"."&amp;N$135&amp;N$1&amp;"P"&amp;$A178))</f>
        <v>0</v>
      </c>
      <c r="O178" s="91">
        <f ca="1">IF(RTD("tos.rtd",,$A$2,"."&amp;O$135&amp;O$1&amp;"C"&amp;$A178)="N/A",0,RTD("tos.rtd",,$A$2,"."&amp;O$135&amp;O$1&amp;"C"&amp;$A178))-IF(RTD("tos.rtd",,$A$2,"."&amp;O$135&amp;O$1&amp;"P"&amp;$A178)="N/A",0,RTD("tos.rtd",,$A$2,"."&amp;O$135&amp;O$1&amp;"P"&amp;$A178))</f>
        <v>0</v>
      </c>
      <c r="P178" s="91">
        <f ca="1">IF(RTD("tos.rtd",,$A$2,"."&amp;P$135&amp;P$1&amp;"C"&amp;$A178)="N/A",0,RTD("tos.rtd",,$A$2,"."&amp;P$135&amp;P$1&amp;"C"&amp;$A178))-IF(RTD("tos.rtd",,$A$2,"."&amp;P$135&amp;P$1&amp;"P"&amp;$A178)="N/A",0,RTD("tos.rtd",,$A$2,"."&amp;P$135&amp;P$1&amp;"P"&amp;$A178))</f>
        <v>0</v>
      </c>
      <c r="Q178" s="91">
        <f ca="1">IF(RTD("tos.rtd",,$A$2,"."&amp;Q$135&amp;Q$1&amp;"C"&amp;$A178)="N/A",0,RTD("tos.rtd",,$A$2,"."&amp;Q$135&amp;Q$1&amp;"C"&amp;$A178))-IF(RTD("tos.rtd",,$A$2,"."&amp;Q$135&amp;Q$1&amp;"P"&amp;$A178)="N/A",0,RTD("tos.rtd",,$A$2,"."&amp;Q$135&amp;Q$1&amp;"P"&amp;$A178))</f>
        <v>0</v>
      </c>
      <c r="R178" s="91">
        <f ca="1">IF(RTD("tos.rtd",,$A$2,"."&amp;R$135&amp;R$1&amp;"C"&amp;$A178)="N/A",0,RTD("tos.rtd",,$A$2,"."&amp;R$135&amp;R$1&amp;"C"&amp;$A178))-IF(RTD("tos.rtd",,$A$2,"."&amp;R$135&amp;R$1&amp;"P"&amp;$A178)="N/A",0,RTD("tos.rtd",,$A$2,"."&amp;R$135&amp;R$1&amp;"P"&amp;$A178))</f>
        <v>0</v>
      </c>
      <c r="S178" s="91">
        <f ca="1">IF(RTD("tos.rtd",,$A$2,"."&amp;S$135&amp;S$1&amp;"C"&amp;$A178)="N/A",0,RTD("tos.rtd",,$A$2,"."&amp;S$135&amp;S$1&amp;"C"&amp;$A178))-IF(RTD("tos.rtd",,$A$2,"."&amp;S$135&amp;S$1&amp;"P"&amp;$A178)="N/A",0,RTD("tos.rtd",,$A$2,"."&amp;S$135&amp;S$1&amp;"P"&amp;$A178))</f>
        <v>0</v>
      </c>
      <c r="T178" s="91">
        <f ca="1">IF(RTD("tos.rtd",,$A$2,"."&amp;T$135&amp;T$1&amp;"C"&amp;$A178)="N/A",0,RTD("tos.rtd",,$A$2,"."&amp;T$135&amp;T$1&amp;"C"&amp;$A178))-IF(RTD("tos.rtd",,$A$2,"."&amp;T$135&amp;T$1&amp;"P"&amp;$A178)="N/A",0,RTD("tos.rtd",,$A$2,"."&amp;T$135&amp;T$1&amp;"P"&amp;$A178))</f>
        <v>0</v>
      </c>
      <c r="U178" s="91">
        <f ca="1">IF(RTD("tos.rtd",,$A$2,"."&amp;U$135&amp;U$1&amp;"C"&amp;$A178)="N/A",0,RTD("tos.rtd",,$A$2,"."&amp;U$135&amp;U$1&amp;"C"&amp;$A178))-IF(RTD("tos.rtd",,$A$2,"."&amp;U$135&amp;U$1&amp;"P"&amp;$A178)="N/A",0,RTD("tos.rtd",,$A$2,"."&amp;U$135&amp;U$1&amp;"P"&amp;$A178))</f>
        <v>0</v>
      </c>
      <c r="V178" s="91">
        <f ca="1">IF(RTD("tos.rtd",,$A$2,"."&amp;V$135&amp;V$1&amp;"C"&amp;$A178)="N/A",0,RTD("tos.rtd",,$A$2,"."&amp;V$135&amp;V$1&amp;"C"&amp;$A178))-IF(RTD("tos.rtd",,$A$2,"."&amp;V$135&amp;V$1&amp;"P"&amp;$A178)="N/A",0,RTD("tos.rtd",,$A$2,"."&amp;V$135&amp;V$1&amp;"P"&amp;$A178))</f>
        <v>0</v>
      </c>
      <c r="W178" s="91">
        <f ca="1">IF(RTD("tos.rtd",,$A$2,"."&amp;W$135&amp;W$1&amp;"C"&amp;$A178)="N/A",0,RTD("tos.rtd",,$A$2,"."&amp;W$135&amp;W$1&amp;"C"&amp;$A178))-IF(RTD("tos.rtd",,$A$2,"."&amp;W$135&amp;W$1&amp;"P"&amp;$A178)="N/A",0,RTD("tos.rtd",,$A$2,"."&amp;W$135&amp;W$1&amp;"P"&amp;$A178))</f>
        <v>0</v>
      </c>
      <c r="X178" s="91">
        <f ca="1">IF(RTD("tos.rtd",,$A$2,"."&amp;X$135&amp;X$1&amp;"C"&amp;$A178)="N/A",0,RTD("tos.rtd",,$A$2,"."&amp;X$135&amp;X$1&amp;"C"&amp;$A178))-IF(RTD("tos.rtd",,$A$2,"."&amp;X$135&amp;X$1&amp;"P"&amp;$A178)="N/A",0,RTD("tos.rtd",,$A$2,"."&amp;X$135&amp;X$1&amp;"P"&amp;$A178))</f>
        <v>0</v>
      </c>
      <c r="Y178" s="98">
        <f t="shared" ca="1" si="13"/>
        <v>0</v>
      </c>
      <c r="Z178" s="91"/>
      <c r="AA178" s="91"/>
    </row>
    <row r="179" spans="1:27" x14ac:dyDescent="0.25">
      <c r="A179" s="93">
        <f>+Hoja1!A178</f>
        <v>19425</v>
      </c>
      <c r="B179" s="91">
        <f ca="1">IF(RTD("tos.rtd",,$A$2,"."&amp;B$135&amp;B$1&amp;"C"&amp;$A179)="N/A",0,RTD("tos.rtd",,$A$2,"."&amp;B$135&amp;B$1&amp;"C"&amp;$A179))-IF(RTD("tos.rtd",,$A$2,"."&amp;B$135&amp;B$1&amp;"P"&amp;$A179)="N/A",0,RTD("tos.rtd",,$A$2,"."&amp;B$135&amp;B$1&amp;"P"&amp;$A179))</f>
        <v>0</v>
      </c>
      <c r="C179" s="91">
        <f ca="1">IF(RTD("tos.rtd",,$A$2,"."&amp;C$135&amp;C$1&amp;"C"&amp;$A179)="N/A",0,RTD("tos.rtd",,$A$2,"."&amp;C$135&amp;C$1&amp;"C"&amp;$A179))-IF(RTD("tos.rtd",,$A$2,"."&amp;C$135&amp;C$1&amp;"P"&amp;$A179)="N/A",0,RTD("tos.rtd",,$A$2,"."&amp;C$135&amp;C$1&amp;"P"&amp;$A179))</f>
        <v>0</v>
      </c>
      <c r="D179" s="91">
        <f ca="1">IF(RTD("tos.rtd",,$A$2,"."&amp;D$135&amp;D$1&amp;"C"&amp;$A179)="N/A",0,RTD("tos.rtd",,$A$2,"."&amp;D$135&amp;D$1&amp;"C"&amp;$A179))-IF(RTD("tos.rtd",,$A$2,"."&amp;D$135&amp;D$1&amp;"P"&amp;$A179)="N/A",0,RTD("tos.rtd",,$A$2,"."&amp;D$135&amp;D$1&amp;"P"&amp;$A179))</f>
        <v>0</v>
      </c>
      <c r="E179" s="91">
        <f ca="1">IF(RTD("tos.rtd",,$A$2,"."&amp;E$135&amp;E$1&amp;"C"&amp;$A179)="N/A",0,RTD("tos.rtd",,$A$2,"."&amp;E$135&amp;E$1&amp;"C"&amp;$A179))-IF(RTD("tos.rtd",,$A$2,"."&amp;E$135&amp;E$1&amp;"P"&amp;$A179)="N/A",0,RTD("tos.rtd",,$A$2,"."&amp;E$135&amp;E$1&amp;"P"&amp;$A179))</f>
        <v>0</v>
      </c>
      <c r="F179" s="91">
        <f ca="1">IF(RTD("tos.rtd",,$A$2,"."&amp;F$135&amp;F$1&amp;"C"&amp;$A179)="N/A",0,RTD("tos.rtd",,$A$2,"."&amp;F$135&amp;F$1&amp;"C"&amp;$A179))-IF(RTD("tos.rtd",,$A$2,"."&amp;F$135&amp;F$1&amp;"P"&amp;$A179)="N/A",0,RTD("tos.rtd",,$A$2,"."&amp;F$135&amp;F$1&amp;"P"&amp;$A179))</f>
        <v>0</v>
      </c>
      <c r="G179" s="91">
        <f ca="1">IF(RTD("tos.rtd",,$A$2,"."&amp;G$135&amp;G$1&amp;"C"&amp;$A179)="N/A",0,RTD("tos.rtd",,$A$2,"."&amp;G$135&amp;G$1&amp;"C"&amp;$A179))-IF(RTD("tos.rtd",,$A$2,"."&amp;G$135&amp;G$1&amp;"P"&amp;$A179)="N/A",0,RTD("tos.rtd",,$A$2,"."&amp;G$135&amp;G$1&amp;"P"&amp;$A179))</f>
        <v>0</v>
      </c>
      <c r="H179" s="91">
        <f ca="1">IF(RTD("tos.rtd",,$A$2,"."&amp;H$135&amp;H$1&amp;"C"&amp;$A179)="N/A",0,RTD("tos.rtd",,$A$2,"."&amp;H$135&amp;H$1&amp;"C"&amp;$A179))-IF(RTD("tos.rtd",,$A$2,"."&amp;H$135&amp;H$1&amp;"P"&amp;$A179)="N/A",0,RTD("tos.rtd",,$A$2,"."&amp;H$135&amp;H$1&amp;"P"&amp;$A179))</f>
        <v>0</v>
      </c>
      <c r="I179" s="91">
        <f ca="1">IF(RTD("tos.rtd",,$A$2,"."&amp;I$135&amp;I$1&amp;"C"&amp;$A179)="N/A",0,RTD("tos.rtd",,$A$2,"."&amp;I$135&amp;I$1&amp;"C"&amp;$A179))-IF(RTD("tos.rtd",,$A$2,"."&amp;I$135&amp;I$1&amp;"P"&amp;$A179)="N/A",0,RTD("tos.rtd",,$A$2,"."&amp;I$135&amp;I$1&amp;"P"&amp;$A179))</f>
        <v>0</v>
      </c>
      <c r="J179" s="91">
        <f ca="1">IF(RTD("tos.rtd",,$A$2,"."&amp;J$135&amp;J$1&amp;"C"&amp;$A179)="N/A",0,RTD("tos.rtd",,$A$2,"."&amp;J$135&amp;J$1&amp;"C"&amp;$A179))-IF(RTD("tos.rtd",,$A$2,"."&amp;J$135&amp;J$1&amp;"P"&amp;$A179)="N/A",0,RTD("tos.rtd",,$A$2,"."&amp;J$135&amp;J$1&amp;"P"&amp;$A179))</f>
        <v>0</v>
      </c>
      <c r="K179" s="91">
        <f ca="1">IF(RTD("tos.rtd",,$A$2,"."&amp;K$135&amp;K$1&amp;"C"&amp;$A179)="N/A",0,RTD("tos.rtd",,$A$2,"."&amp;K$135&amp;K$1&amp;"C"&amp;$A179))-IF(RTD("tos.rtd",,$A$2,"."&amp;K$135&amp;K$1&amp;"P"&amp;$A179)="N/A",0,RTD("tos.rtd",,$A$2,"."&amp;K$135&amp;K$1&amp;"P"&amp;$A179))</f>
        <v>0</v>
      </c>
      <c r="L179" s="91">
        <f ca="1">IF(RTD("tos.rtd",,$A$2,"."&amp;L$135&amp;L$1&amp;"C"&amp;$A179)="N/A",0,RTD("tos.rtd",,$A$2,"."&amp;L$135&amp;L$1&amp;"C"&amp;$A179))-IF(RTD("tos.rtd",,$A$2,"."&amp;L$135&amp;L$1&amp;"P"&amp;$A179)="N/A",0,RTD("tos.rtd",,$A$2,"."&amp;L$135&amp;L$1&amp;"P"&amp;$A179))</f>
        <v>0</v>
      </c>
      <c r="M179" s="91">
        <f ca="1">IF(RTD("tos.rtd",,$A$2,"."&amp;M$135&amp;M$1&amp;"C"&amp;$A179)="N/A",0,RTD("tos.rtd",,$A$2,"."&amp;M$135&amp;M$1&amp;"C"&amp;$A179))-IF(RTD("tos.rtd",,$A$2,"."&amp;M$135&amp;M$1&amp;"P"&amp;$A179)="N/A",0,RTD("tos.rtd",,$A$2,"."&amp;M$135&amp;M$1&amp;"P"&amp;$A179))</f>
        <v>-2</v>
      </c>
      <c r="N179" s="91">
        <f ca="1">IF(RTD("tos.rtd",,$A$2,"."&amp;N$135&amp;N$1&amp;"C"&amp;$A179)="N/A",0,RTD("tos.rtd",,$A$2,"."&amp;N$135&amp;N$1&amp;"C"&amp;$A179))-IF(RTD("tos.rtd",,$A$2,"."&amp;N$135&amp;N$1&amp;"P"&amp;$A179)="N/A",0,RTD("tos.rtd",,$A$2,"."&amp;N$135&amp;N$1&amp;"P"&amp;$A179))</f>
        <v>0</v>
      </c>
      <c r="O179" s="91">
        <f ca="1">IF(RTD("tos.rtd",,$A$2,"."&amp;O$135&amp;O$1&amp;"C"&amp;$A179)="N/A",0,RTD("tos.rtd",,$A$2,"."&amp;O$135&amp;O$1&amp;"C"&amp;$A179))-IF(RTD("tos.rtd",,$A$2,"."&amp;O$135&amp;O$1&amp;"P"&amp;$A179)="N/A",0,RTD("tos.rtd",,$A$2,"."&amp;O$135&amp;O$1&amp;"P"&amp;$A179))</f>
        <v>0</v>
      </c>
      <c r="P179" s="91">
        <f ca="1">IF(RTD("tos.rtd",,$A$2,"."&amp;P$135&amp;P$1&amp;"C"&amp;$A179)="N/A",0,RTD("tos.rtd",,$A$2,"."&amp;P$135&amp;P$1&amp;"C"&amp;$A179))-IF(RTD("tos.rtd",,$A$2,"."&amp;P$135&amp;P$1&amp;"P"&amp;$A179)="N/A",0,RTD("tos.rtd",,$A$2,"."&amp;P$135&amp;P$1&amp;"P"&amp;$A179))</f>
        <v>0</v>
      </c>
      <c r="Q179" s="91">
        <f ca="1">IF(RTD("tos.rtd",,$A$2,"."&amp;Q$135&amp;Q$1&amp;"C"&amp;$A179)="N/A",0,RTD("tos.rtd",,$A$2,"."&amp;Q$135&amp;Q$1&amp;"C"&amp;$A179))-IF(RTD("tos.rtd",,$A$2,"."&amp;Q$135&amp;Q$1&amp;"P"&amp;$A179)="N/A",0,RTD("tos.rtd",,$A$2,"."&amp;Q$135&amp;Q$1&amp;"P"&amp;$A179))</f>
        <v>0</v>
      </c>
      <c r="R179" s="91">
        <f ca="1">IF(RTD("tos.rtd",,$A$2,"."&amp;R$135&amp;R$1&amp;"C"&amp;$A179)="N/A",0,RTD("tos.rtd",,$A$2,"."&amp;R$135&amp;R$1&amp;"C"&amp;$A179))-IF(RTD("tos.rtd",,$A$2,"."&amp;R$135&amp;R$1&amp;"P"&amp;$A179)="N/A",0,RTD("tos.rtd",,$A$2,"."&amp;R$135&amp;R$1&amp;"P"&amp;$A179))</f>
        <v>0</v>
      </c>
      <c r="S179" s="91">
        <f ca="1">IF(RTD("tos.rtd",,$A$2,"."&amp;S$135&amp;S$1&amp;"C"&amp;$A179)="N/A",0,RTD("tos.rtd",,$A$2,"."&amp;S$135&amp;S$1&amp;"C"&amp;$A179))-IF(RTD("tos.rtd",,$A$2,"."&amp;S$135&amp;S$1&amp;"P"&amp;$A179)="N/A",0,RTD("tos.rtd",,$A$2,"."&amp;S$135&amp;S$1&amp;"P"&amp;$A179))</f>
        <v>0</v>
      </c>
      <c r="T179" s="91">
        <f ca="1">IF(RTD("tos.rtd",,$A$2,"."&amp;T$135&amp;T$1&amp;"C"&amp;$A179)="N/A",0,RTD("tos.rtd",,$A$2,"."&amp;T$135&amp;T$1&amp;"C"&amp;$A179))-IF(RTD("tos.rtd",,$A$2,"."&amp;T$135&amp;T$1&amp;"P"&amp;$A179)="N/A",0,RTD("tos.rtd",,$A$2,"."&amp;T$135&amp;T$1&amp;"P"&amp;$A179))</f>
        <v>0</v>
      </c>
      <c r="U179" s="91">
        <f ca="1">IF(RTD("tos.rtd",,$A$2,"."&amp;U$135&amp;U$1&amp;"C"&amp;$A179)="N/A",0,RTD("tos.rtd",,$A$2,"."&amp;U$135&amp;U$1&amp;"C"&amp;$A179))-IF(RTD("tos.rtd",,$A$2,"."&amp;U$135&amp;U$1&amp;"P"&amp;$A179)="N/A",0,RTD("tos.rtd",,$A$2,"."&amp;U$135&amp;U$1&amp;"P"&amp;$A179))</f>
        <v>0</v>
      </c>
      <c r="V179" s="91">
        <f ca="1">IF(RTD("tos.rtd",,$A$2,"."&amp;V$135&amp;V$1&amp;"C"&amp;$A179)="N/A",0,RTD("tos.rtd",,$A$2,"."&amp;V$135&amp;V$1&amp;"C"&amp;$A179))-IF(RTD("tos.rtd",,$A$2,"."&amp;V$135&amp;V$1&amp;"P"&amp;$A179)="N/A",0,RTD("tos.rtd",,$A$2,"."&amp;V$135&amp;V$1&amp;"P"&amp;$A179))</f>
        <v>0</v>
      </c>
      <c r="W179" s="91">
        <f ca="1">IF(RTD("tos.rtd",,$A$2,"."&amp;W$135&amp;W$1&amp;"C"&amp;$A179)="N/A",0,RTD("tos.rtd",,$A$2,"."&amp;W$135&amp;W$1&amp;"C"&amp;$A179))-IF(RTD("tos.rtd",,$A$2,"."&amp;W$135&amp;W$1&amp;"P"&amp;$A179)="N/A",0,RTD("tos.rtd",,$A$2,"."&amp;W$135&amp;W$1&amp;"P"&amp;$A179))</f>
        <v>0</v>
      </c>
      <c r="X179" s="91">
        <f ca="1">IF(RTD("tos.rtd",,$A$2,"."&amp;X$135&amp;X$1&amp;"C"&amp;$A179)="N/A",0,RTD("tos.rtd",,$A$2,"."&amp;X$135&amp;X$1&amp;"C"&amp;$A179))-IF(RTD("tos.rtd",,$A$2,"."&amp;X$135&amp;X$1&amp;"P"&amp;$A179)="N/A",0,RTD("tos.rtd",,$A$2,"."&amp;X$135&amp;X$1&amp;"P"&amp;$A179))</f>
        <v>0</v>
      </c>
      <c r="Y179" s="98">
        <f t="shared" ca="1" si="13"/>
        <v>-2</v>
      </c>
      <c r="Z179" s="91"/>
      <c r="AA179" s="91"/>
    </row>
    <row r="180" spans="1:27" x14ac:dyDescent="0.25">
      <c r="A180" s="93">
        <f>+Hoja1!A179</f>
        <v>19400</v>
      </c>
      <c r="B180" s="91">
        <f ca="1">IF(RTD("tos.rtd",,$A$2,"."&amp;B$135&amp;B$1&amp;"C"&amp;$A180)="N/A",0,RTD("tos.rtd",,$A$2,"."&amp;B$135&amp;B$1&amp;"C"&amp;$A180))-IF(RTD("tos.rtd",,$A$2,"."&amp;B$135&amp;B$1&amp;"P"&amp;$A180)="N/A",0,RTD("tos.rtd",,$A$2,"."&amp;B$135&amp;B$1&amp;"P"&amp;$A180))</f>
        <v>0</v>
      </c>
      <c r="C180" s="91">
        <f ca="1">IF(RTD("tos.rtd",,$A$2,"."&amp;C$135&amp;C$1&amp;"C"&amp;$A180)="N/A",0,RTD("tos.rtd",,$A$2,"."&amp;C$135&amp;C$1&amp;"C"&amp;$A180))-IF(RTD("tos.rtd",,$A$2,"."&amp;C$135&amp;C$1&amp;"P"&amp;$A180)="N/A",0,RTD("tos.rtd",,$A$2,"."&amp;C$135&amp;C$1&amp;"P"&amp;$A180))</f>
        <v>0</v>
      </c>
      <c r="D180" s="91">
        <f ca="1">IF(RTD("tos.rtd",,$A$2,"."&amp;D$135&amp;D$1&amp;"C"&amp;$A180)="N/A",0,RTD("tos.rtd",,$A$2,"."&amp;D$135&amp;D$1&amp;"C"&amp;$A180))-IF(RTD("tos.rtd",,$A$2,"."&amp;D$135&amp;D$1&amp;"P"&amp;$A180)="N/A",0,RTD("tos.rtd",,$A$2,"."&amp;D$135&amp;D$1&amp;"P"&amp;$A180))</f>
        <v>0</v>
      </c>
      <c r="E180" s="91">
        <f ca="1">IF(RTD("tos.rtd",,$A$2,"."&amp;E$135&amp;E$1&amp;"C"&amp;$A180)="N/A",0,RTD("tos.rtd",,$A$2,"."&amp;E$135&amp;E$1&amp;"C"&amp;$A180))-IF(RTD("tos.rtd",,$A$2,"."&amp;E$135&amp;E$1&amp;"P"&amp;$A180)="N/A",0,RTD("tos.rtd",,$A$2,"."&amp;E$135&amp;E$1&amp;"P"&amp;$A180))</f>
        <v>0</v>
      </c>
      <c r="F180" s="91">
        <f ca="1">IF(RTD("tos.rtd",,$A$2,"."&amp;F$135&amp;F$1&amp;"C"&amp;$A180)="N/A",0,RTD("tos.rtd",,$A$2,"."&amp;F$135&amp;F$1&amp;"C"&amp;$A180))-IF(RTD("tos.rtd",,$A$2,"."&amp;F$135&amp;F$1&amp;"P"&amp;$A180)="N/A",0,RTD("tos.rtd",,$A$2,"."&amp;F$135&amp;F$1&amp;"P"&amp;$A180))</f>
        <v>0</v>
      </c>
      <c r="G180" s="91">
        <f ca="1">IF(RTD("tos.rtd",,$A$2,"."&amp;G$135&amp;G$1&amp;"C"&amp;$A180)="N/A",0,RTD("tos.rtd",,$A$2,"."&amp;G$135&amp;G$1&amp;"C"&amp;$A180))-IF(RTD("tos.rtd",,$A$2,"."&amp;G$135&amp;G$1&amp;"P"&amp;$A180)="N/A",0,RTD("tos.rtd",,$A$2,"."&amp;G$135&amp;G$1&amp;"P"&amp;$A180))</f>
        <v>0</v>
      </c>
      <c r="H180" s="91">
        <f ca="1">IF(RTD("tos.rtd",,$A$2,"."&amp;H$135&amp;H$1&amp;"C"&amp;$A180)="N/A",0,RTD("tos.rtd",,$A$2,"."&amp;H$135&amp;H$1&amp;"C"&amp;$A180))-IF(RTD("tos.rtd",,$A$2,"."&amp;H$135&amp;H$1&amp;"P"&amp;$A180)="N/A",0,RTD("tos.rtd",,$A$2,"."&amp;H$135&amp;H$1&amp;"P"&amp;$A180))</f>
        <v>0</v>
      </c>
      <c r="I180" s="91">
        <f ca="1">IF(RTD("tos.rtd",,$A$2,"."&amp;I$135&amp;I$1&amp;"C"&amp;$A180)="N/A",0,RTD("tos.rtd",,$A$2,"."&amp;I$135&amp;I$1&amp;"C"&amp;$A180))-IF(RTD("tos.rtd",,$A$2,"."&amp;I$135&amp;I$1&amp;"P"&amp;$A180)="N/A",0,RTD("tos.rtd",,$A$2,"."&amp;I$135&amp;I$1&amp;"P"&amp;$A180))</f>
        <v>0</v>
      </c>
      <c r="J180" s="91">
        <f ca="1">IF(RTD("tos.rtd",,$A$2,"."&amp;J$135&amp;J$1&amp;"C"&amp;$A180)="N/A",0,RTD("tos.rtd",,$A$2,"."&amp;J$135&amp;J$1&amp;"C"&amp;$A180))-IF(RTD("tos.rtd",,$A$2,"."&amp;J$135&amp;J$1&amp;"P"&amp;$A180)="N/A",0,RTD("tos.rtd",,$A$2,"."&amp;J$135&amp;J$1&amp;"P"&amp;$A180))</f>
        <v>0</v>
      </c>
      <c r="K180" s="91">
        <f ca="1">IF(RTD("tos.rtd",,$A$2,"."&amp;K$135&amp;K$1&amp;"C"&amp;$A180)="N/A",0,RTD("tos.rtd",,$A$2,"."&amp;K$135&amp;K$1&amp;"C"&amp;$A180))-IF(RTD("tos.rtd",,$A$2,"."&amp;K$135&amp;K$1&amp;"P"&amp;$A180)="N/A",0,RTD("tos.rtd",,$A$2,"."&amp;K$135&amp;K$1&amp;"P"&amp;$A180))</f>
        <v>-91</v>
      </c>
      <c r="L180" s="91">
        <f ca="1">IF(RTD("tos.rtd",,$A$2,"."&amp;L$135&amp;L$1&amp;"C"&amp;$A180)="N/A",0,RTD("tos.rtd",,$A$2,"."&amp;L$135&amp;L$1&amp;"C"&amp;$A180))-IF(RTD("tos.rtd",,$A$2,"."&amp;L$135&amp;L$1&amp;"P"&amp;$A180)="N/A",0,RTD("tos.rtd",,$A$2,"."&amp;L$135&amp;L$1&amp;"P"&amp;$A180))</f>
        <v>-24</v>
      </c>
      <c r="M180" s="91">
        <f ca="1">IF(RTD("tos.rtd",,$A$2,"."&amp;M$135&amp;M$1&amp;"C"&amp;$A180)="N/A",0,RTD("tos.rtd",,$A$2,"."&amp;M$135&amp;M$1&amp;"C"&amp;$A180))-IF(RTD("tos.rtd",,$A$2,"."&amp;M$135&amp;M$1&amp;"P"&amp;$A180)="N/A",0,RTD("tos.rtd",,$A$2,"."&amp;M$135&amp;M$1&amp;"P"&amp;$A180))</f>
        <v>0</v>
      </c>
      <c r="N180" s="91">
        <f ca="1">IF(RTD("tos.rtd",,$A$2,"."&amp;N$135&amp;N$1&amp;"C"&amp;$A180)="N/A",0,RTD("tos.rtd",,$A$2,"."&amp;N$135&amp;N$1&amp;"C"&amp;$A180))-IF(RTD("tos.rtd",,$A$2,"."&amp;N$135&amp;N$1&amp;"P"&amp;$A180)="N/A",0,RTD("tos.rtd",,$A$2,"."&amp;N$135&amp;N$1&amp;"P"&amp;$A180))</f>
        <v>0</v>
      </c>
      <c r="O180" s="91">
        <f ca="1">IF(RTD("tos.rtd",,$A$2,"."&amp;O$135&amp;O$1&amp;"C"&amp;$A180)="N/A",0,RTD("tos.rtd",,$A$2,"."&amp;O$135&amp;O$1&amp;"C"&amp;$A180))-IF(RTD("tos.rtd",,$A$2,"."&amp;O$135&amp;O$1&amp;"P"&amp;$A180)="N/A",0,RTD("tos.rtd",,$A$2,"."&amp;O$135&amp;O$1&amp;"P"&amp;$A180))</f>
        <v>0</v>
      </c>
      <c r="P180" s="91">
        <f ca="1">IF(RTD("tos.rtd",,$A$2,"."&amp;P$135&amp;P$1&amp;"C"&amp;$A180)="N/A",0,RTD("tos.rtd",,$A$2,"."&amp;P$135&amp;P$1&amp;"C"&amp;$A180))-IF(RTD("tos.rtd",,$A$2,"."&amp;P$135&amp;P$1&amp;"P"&amp;$A180)="N/A",0,RTD("tos.rtd",,$A$2,"."&amp;P$135&amp;P$1&amp;"P"&amp;$A180))</f>
        <v>0</v>
      </c>
      <c r="Q180" s="91">
        <f ca="1">IF(RTD("tos.rtd",,$A$2,"."&amp;Q$135&amp;Q$1&amp;"C"&amp;$A180)="N/A",0,RTD("tos.rtd",,$A$2,"."&amp;Q$135&amp;Q$1&amp;"C"&amp;$A180))-IF(RTD("tos.rtd",,$A$2,"."&amp;Q$135&amp;Q$1&amp;"P"&amp;$A180)="N/A",0,RTD("tos.rtd",,$A$2,"."&amp;Q$135&amp;Q$1&amp;"P"&amp;$A180))</f>
        <v>0</v>
      </c>
      <c r="R180" s="91">
        <f ca="1">IF(RTD("tos.rtd",,$A$2,"."&amp;R$135&amp;R$1&amp;"C"&amp;$A180)="N/A",0,RTD("tos.rtd",,$A$2,"."&amp;R$135&amp;R$1&amp;"C"&amp;$A180))-IF(RTD("tos.rtd",,$A$2,"."&amp;R$135&amp;R$1&amp;"P"&amp;$A180)="N/A",0,RTD("tos.rtd",,$A$2,"."&amp;R$135&amp;R$1&amp;"P"&amp;$A180))</f>
        <v>0</v>
      </c>
      <c r="S180" s="91">
        <f ca="1">IF(RTD("tos.rtd",,$A$2,"."&amp;S$135&amp;S$1&amp;"C"&amp;$A180)="N/A",0,RTD("tos.rtd",,$A$2,"."&amp;S$135&amp;S$1&amp;"C"&amp;$A180))-IF(RTD("tos.rtd",,$A$2,"."&amp;S$135&amp;S$1&amp;"P"&amp;$A180)="N/A",0,RTD("tos.rtd",,$A$2,"."&amp;S$135&amp;S$1&amp;"P"&amp;$A180))</f>
        <v>0</v>
      </c>
      <c r="T180" s="91">
        <f ca="1">IF(RTD("tos.rtd",,$A$2,"."&amp;T$135&amp;T$1&amp;"C"&amp;$A180)="N/A",0,RTD("tos.rtd",,$A$2,"."&amp;T$135&amp;T$1&amp;"C"&amp;$A180))-IF(RTD("tos.rtd",,$A$2,"."&amp;T$135&amp;T$1&amp;"P"&amp;$A180)="N/A",0,RTD("tos.rtd",,$A$2,"."&amp;T$135&amp;T$1&amp;"P"&amp;$A180))</f>
        <v>0</v>
      </c>
      <c r="U180" s="91">
        <f ca="1">IF(RTD("tos.rtd",,$A$2,"."&amp;U$135&amp;U$1&amp;"C"&amp;$A180)="N/A",0,RTD("tos.rtd",,$A$2,"."&amp;U$135&amp;U$1&amp;"C"&amp;$A180))-IF(RTD("tos.rtd",,$A$2,"."&amp;U$135&amp;U$1&amp;"P"&amp;$A180)="N/A",0,RTD("tos.rtd",,$A$2,"."&amp;U$135&amp;U$1&amp;"P"&amp;$A180))</f>
        <v>0</v>
      </c>
      <c r="V180" s="91">
        <f ca="1">IF(RTD("tos.rtd",,$A$2,"."&amp;V$135&amp;V$1&amp;"C"&amp;$A180)="N/A",0,RTD("tos.rtd",,$A$2,"."&amp;V$135&amp;V$1&amp;"C"&amp;$A180))-IF(RTD("tos.rtd",,$A$2,"."&amp;V$135&amp;V$1&amp;"P"&amp;$A180)="N/A",0,RTD("tos.rtd",,$A$2,"."&amp;V$135&amp;V$1&amp;"P"&amp;$A180))</f>
        <v>0</v>
      </c>
      <c r="W180" s="91">
        <f ca="1">IF(RTD("tos.rtd",,$A$2,"."&amp;W$135&amp;W$1&amp;"C"&amp;$A180)="N/A",0,RTD("tos.rtd",,$A$2,"."&amp;W$135&amp;W$1&amp;"C"&amp;$A180))-IF(RTD("tos.rtd",,$A$2,"."&amp;W$135&amp;W$1&amp;"P"&amp;$A180)="N/A",0,RTD("tos.rtd",,$A$2,"."&amp;W$135&amp;W$1&amp;"P"&amp;$A180))</f>
        <v>0</v>
      </c>
      <c r="X180" s="91">
        <f ca="1">IF(RTD("tos.rtd",,$A$2,"."&amp;X$135&amp;X$1&amp;"C"&amp;$A180)="N/A",0,RTD("tos.rtd",,$A$2,"."&amp;X$135&amp;X$1&amp;"C"&amp;$A180))-IF(RTD("tos.rtd",,$A$2,"."&amp;X$135&amp;X$1&amp;"P"&amp;$A180)="N/A",0,RTD("tos.rtd",,$A$2,"."&amp;X$135&amp;X$1&amp;"P"&amp;$A180))</f>
        <v>0</v>
      </c>
      <c r="Y180" s="98">
        <f t="shared" ca="1" si="13"/>
        <v>-115</v>
      </c>
      <c r="Z180" s="91"/>
      <c r="AA180" s="91"/>
    </row>
    <row r="181" spans="1:27" x14ac:dyDescent="0.25">
      <c r="A181" s="93">
        <f>+Hoja1!A180</f>
        <v>19375</v>
      </c>
      <c r="B181" s="91">
        <f ca="1">IF(RTD("tos.rtd",,$A$2,"."&amp;B$135&amp;B$1&amp;"C"&amp;$A181)="N/A",0,RTD("tos.rtd",,$A$2,"."&amp;B$135&amp;B$1&amp;"C"&amp;$A181))-IF(RTD("tos.rtd",,$A$2,"."&amp;B$135&amp;B$1&amp;"P"&amp;$A181)="N/A",0,RTD("tos.rtd",,$A$2,"."&amp;B$135&amp;B$1&amp;"P"&amp;$A181))</f>
        <v>0</v>
      </c>
      <c r="C181" s="91">
        <f ca="1">IF(RTD("tos.rtd",,$A$2,"."&amp;C$135&amp;C$1&amp;"C"&amp;$A181)="N/A",0,RTD("tos.rtd",,$A$2,"."&amp;C$135&amp;C$1&amp;"C"&amp;$A181))-IF(RTD("tos.rtd",,$A$2,"."&amp;C$135&amp;C$1&amp;"P"&amp;$A181)="N/A",0,RTD("tos.rtd",,$A$2,"."&amp;C$135&amp;C$1&amp;"P"&amp;$A181))</f>
        <v>0</v>
      </c>
      <c r="D181" s="91">
        <f ca="1">IF(RTD("tos.rtd",,$A$2,"."&amp;D$135&amp;D$1&amp;"C"&amp;$A181)="N/A",0,RTD("tos.rtd",,$A$2,"."&amp;D$135&amp;D$1&amp;"C"&amp;$A181))-IF(RTD("tos.rtd",,$A$2,"."&amp;D$135&amp;D$1&amp;"P"&amp;$A181)="N/A",0,RTD("tos.rtd",,$A$2,"."&amp;D$135&amp;D$1&amp;"P"&amp;$A181))</f>
        <v>0</v>
      </c>
      <c r="E181" s="91">
        <f ca="1">IF(RTD("tos.rtd",,$A$2,"."&amp;E$135&amp;E$1&amp;"C"&amp;$A181)="N/A",0,RTD("tos.rtd",,$A$2,"."&amp;E$135&amp;E$1&amp;"C"&amp;$A181))-IF(RTD("tos.rtd",,$A$2,"."&amp;E$135&amp;E$1&amp;"P"&amp;$A181)="N/A",0,RTD("tos.rtd",,$A$2,"."&amp;E$135&amp;E$1&amp;"P"&amp;$A181))</f>
        <v>0</v>
      </c>
      <c r="F181" s="91">
        <f ca="1">IF(RTD("tos.rtd",,$A$2,"."&amp;F$135&amp;F$1&amp;"C"&amp;$A181)="N/A",0,RTD("tos.rtd",,$A$2,"."&amp;F$135&amp;F$1&amp;"C"&amp;$A181))-IF(RTD("tos.rtd",,$A$2,"."&amp;F$135&amp;F$1&amp;"P"&amp;$A181)="N/A",0,RTD("tos.rtd",,$A$2,"."&amp;F$135&amp;F$1&amp;"P"&amp;$A181))</f>
        <v>0</v>
      </c>
      <c r="G181" s="91">
        <f ca="1">IF(RTD("tos.rtd",,$A$2,"."&amp;G$135&amp;G$1&amp;"C"&amp;$A181)="N/A",0,RTD("tos.rtd",,$A$2,"."&amp;G$135&amp;G$1&amp;"C"&amp;$A181))-IF(RTD("tos.rtd",,$A$2,"."&amp;G$135&amp;G$1&amp;"P"&amp;$A181)="N/A",0,RTD("tos.rtd",,$A$2,"."&amp;G$135&amp;G$1&amp;"P"&amp;$A181))</f>
        <v>0</v>
      </c>
      <c r="H181" s="91">
        <f ca="1">IF(RTD("tos.rtd",,$A$2,"."&amp;H$135&amp;H$1&amp;"C"&amp;$A181)="N/A",0,RTD("tos.rtd",,$A$2,"."&amp;H$135&amp;H$1&amp;"C"&amp;$A181))-IF(RTD("tos.rtd",,$A$2,"."&amp;H$135&amp;H$1&amp;"P"&amp;$A181)="N/A",0,RTD("tos.rtd",,$A$2,"."&amp;H$135&amp;H$1&amp;"P"&amp;$A181))</f>
        <v>0</v>
      </c>
      <c r="I181" s="91">
        <f ca="1">IF(RTD("tos.rtd",,$A$2,"."&amp;I$135&amp;I$1&amp;"C"&amp;$A181)="N/A",0,RTD("tos.rtd",,$A$2,"."&amp;I$135&amp;I$1&amp;"C"&amp;$A181))-IF(RTD("tos.rtd",,$A$2,"."&amp;I$135&amp;I$1&amp;"P"&amp;$A181)="N/A",0,RTD("tos.rtd",,$A$2,"."&amp;I$135&amp;I$1&amp;"P"&amp;$A181))</f>
        <v>-1</v>
      </c>
      <c r="J181" s="91">
        <f ca="1">IF(RTD("tos.rtd",,$A$2,"."&amp;J$135&amp;J$1&amp;"C"&amp;$A181)="N/A",0,RTD("tos.rtd",,$A$2,"."&amp;J$135&amp;J$1&amp;"C"&amp;$A181))-IF(RTD("tos.rtd",,$A$2,"."&amp;J$135&amp;J$1&amp;"P"&amp;$A181)="N/A",0,RTD("tos.rtd",,$A$2,"."&amp;J$135&amp;J$1&amp;"P"&amp;$A181))</f>
        <v>0</v>
      </c>
      <c r="K181" s="91">
        <f ca="1">IF(RTD("tos.rtd",,$A$2,"."&amp;K$135&amp;K$1&amp;"C"&amp;$A181)="N/A",0,RTD("tos.rtd",,$A$2,"."&amp;K$135&amp;K$1&amp;"C"&amp;$A181))-IF(RTD("tos.rtd",,$A$2,"."&amp;K$135&amp;K$1&amp;"P"&amp;$A181)="N/A",0,RTD("tos.rtd",,$A$2,"."&amp;K$135&amp;K$1&amp;"P"&amp;$A181))</f>
        <v>-1</v>
      </c>
      <c r="L181" s="91">
        <f ca="1">IF(RTD("tos.rtd",,$A$2,"."&amp;L$135&amp;L$1&amp;"C"&amp;$A181)="N/A",0,RTD("tos.rtd",,$A$2,"."&amp;L$135&amp;L$1&amp;"C"&amp;$A181))-IF(RTD("tos.rtd",,$A$2,"."&amp;L$135&amp;L$1&amp;"P"&amp;$A181)="N/A",0,RTD("tos.rtd",,$A$2,"."&amp;L$135&amp;L$1&amp;"P"&amp;$A181))</f>
        <v>0</v>
      </c>
      <c r="M181" s="91">
        <f ca="1">IF(RTD("tos.rtd",,$A$2,"."&amp;M$135&amp;M$1&amp;"C"&amp;$A181)="N/A",0,RTD("tos.rtd",,$A$2,"."&amp;M$135&amp;M$1&amp;"C"&amp;$A181))-IF(RTD("tos.rtd",,$A$2,"."&amp;M$135&amp;M$1&amp;"P"&amp;$A181)="N/A",0,RTD("tos.rtd",,$A$2,"."&amp;M$135&amp;M$1&amp;"P"&amp;$A181))</f>
        <v>0</v>
      </c>
      <c r="N181" s="91">
        <f ca="1">IF(RTD("tos.rtd",,$A$2,"."&amp;N$135&amp;N$1&amp;"C"&amp;$A181)="N/A",0,RTD("tos.rtd",,$A$2,"."&amp;N$135&amp;N$1&amp;"C"&amp;$A181))-IF(RTD("tos.rtd",,$A$2,"."&amp;N$135&amp;N$1&amp;"P"&amp;$A181)="N/A",0,RTD("tos.rtd",,$A$2,"."&amp;N$135&amp;N$1&amp;"P"&amp;$A181))</f>
        <v>0</v>
      </c>
      <c r="O181" s="91">
        <f ca="1">IF(RTD("tos.rtd",,$A$2,"."&amp;O$135&amp;O$1&amp;"C"&amp;$A181)="N/A",0,RTD("tos.rtd",,$A$2,"."&amp;O$135&amp;O$1&amp;"C"&amp;$A181))-IF(RTD("tos.rtd",,$A$2,"."&amp;O$135&amp;O$1&amp;"P"&amp;$A181)="N/A",0,RTD("tos.rtd",,$A$2,"."&amp;O$135&amp;O$1&amp;"P"&amp;$A181))</f>
        <v>0</v>
      </c>
      <c r="P181" s="91">
        <f ca="1">IF(RTD("tos.rtd",,$A$2,"."&amp;P$135&amp;P$1&amp;"C"&amp;$A181)="N/A",0,RTD("tos.rtd",,$A$2,"."&amp;P$135&amp;P$1&amp;"C"&amp;$A181))-IF(RTD("tos.rtd",,$A$2,"."&amp;P$135&amp;P$1&amp;"P"&amp;$A181)="N/A",0,RTD("tos.rtd",,$A$2,"."&amp;P$135&amp;P$1&amp;"P"&amp;$A181))</f>
        <v>0</v>
      </c>
      <c r="Q181" s="91">
        <f ca="1">IF(RTD("tos.rtd",,$A$2,"."&amp;Q$135&amp;Q$1&amp;"C"&amp;$A181)="N/A",0,RTD("tos.rtd",,$A$2,"."&amp;Q$135&amp;Q$1&amp;"C"&amp;$A181))-IF(RTD("tos.rtd",,$A$2,"."&amp;Q$135&amp;Q$1&amp;"P"&amp;$A181)="N/A",0,RTD("tos.rtd",,$A$2,"."&amp;Q$135&amp;Q$1&amp;"P"&amp;$A181))</f>
        <v>0</v>
      </c>
      <c r="R181" s="91">
        <f ca="1">IF(RTD("tos.rtd",,$A$2,"."&amp;R$135&amp;R$1&amp;"C"&amp;$A181)="N/A",0,RTD("tos.rtd",,$A$2,"."&amp;R$135&amp;R$1&amp;"C"&amp;$A181))-IF(RTD("tos.rtd",,$A$2,"."&amp;R$135&amp;R$1&amp;"P"&amp;$A181)="N/A",0,RTD("tos.rtd",,$A$2,"."&amp;R$135&amp;R$1&amp;"P"&amp;$A181))</f>
        <v>0</v>
      </c>
      <c r="S181" s="91">
        <f ca="1">IF(RTD("tos.rtd",,$A$2,"."&amp;S$135&amp;S$1&amp;"C"&amp;$A181)="N/A",0,RTD("tos.rtd",,$A$2,"."&amp;S$135&amp;S$1&amp;"C"&amp;$A181))-IF(RTD("tos.rtd",,$A$2,"."&amp;S$135&amp;S$1&amp;"P"&amp;$A181)="N/A",0,RTD("tos.rtd",,$A$2,"."&amp;S$135&amp;S$1&amp;"P"&amp;$A181))</f>
        <v>0</v>
      </c>
      <c r="T181" s="91">
        <f ca="1">IF(RTD("tos.rtd",,$A$2,"."&amp;T$135&amp;T$1&amp;"C"&amp;$A181)="N/A",0,RTD("tos.rtd",,$A$2,"."&amp;T$135&amp;T$1&amp;"C"&amp;$A181))-IF(RTD("tos.rtd",,$A$2,"."&amp;T$135&amp;T$1&amp;"P"&amp;$A181)="N/A",0,RTD("tos.rtd",,$A$2,"."&amp;T$135&amp;T$1&amp;"P"&amp;$A181))</f>
        <v>0</v>
      </c>
      <c r="U181" s="91">
        <f ca="1">IF(RTD("tos.rtd",,$A$2,"."&amp;U$135&amp;U$1&amp;"C"&amp;$A181)="N/A",0,RTD("tos.rtd",,$A$2,"."&amp;U$135&amp;U$1&amp;"C"&amp;$A181))-IF(RTD("tos.rtd",,$A$2,"."&amp;U$135&amp;U$1&amp;"P"&amp;$A181)="N/A",0,RTD("tos.rtd",,$A$2,"."&amp;U$135&amp;U$1&amp;"P"&amp;$A181))</f>
        <v>0</v>
      </c>
      <c r="V181" s="91">
        <f ca="1">IF(RTD("tos.rtd",,$A$2,"."&amp;V$135&amp;V$1&amp;"C"&amp;$A181)="N/A",0,RTD("tos.rtd",,$A$2,"."&amp;V$135&amp;V$1&amp;"C"&amp;$A181))-IF(RTD("tos.rtd",,$A$2,"."&amp;V$135&amp;V$1&amp;"P"&amp;$A181)="N/A",0,RTD("tos.rtd",,$A$2,"."&amp;V$135&amp;V$1&amp;"P"&amp;$A181))</f>
        <v>0</v>
      </c>
      <c r="W181" s="91">
        <f ca="1">IF(RTD("tos.rtd",,$A$2,"."&amp;W$135&amp;W$1&amp;"C"&amp;$A181)="N/A",0,RTD("tos.rtd",,$A$2,"."&amp;W$135&amp;W$1&amp;"C"&amp;$A181))-IF(RTD("tos.rtd",,$A$2,"."&amp;W$135&amp;W$1&amp;"P"&amp;$A181)="N/A",0,RTD("tos.rtd",,$A$2,"."&amp;W$135&amp;W$1&amp;"P"&amp;$A181))</f>
        <v>0</v>
      </c>
      <c r="X181" s="91">
        <f ca="1">IF(RTD("tos.rtd",,$A$2,"."&amp;X$135&amp;X$1&amp;"C"&amp;$A181)="N/A",0,RTD("tos.rtd",,$A$2,"."&amp;X$135&amp;X$1&amp;"C"&amp;$A181))-IF(RTD("tos.rtd",,$A$2,"."&amp;X$135&amp;X$1&amp;"P"&amp;$A181)="N/A",0,RTD("tos.rtd",,$A$2,"."&amp;X$135&amp;X$1&amp;"P"&amp;$A181))</f>
        <v>0</v>
      </c>
      <c r="Y181" s="98">
        <f t="shared" ca="1" si="13"/>
        <v>-2</v>
      </c>
      <c r="Z181" s="91"/>
      <c r="AA181" s="91"/>
    </row>
    <row r="182" spans="1:27" x14ac:dyDescent="0.25">
      <c r="A182" s="93">
        <f>+Hoja1!A181</f>
        <v>19350</v>
      </c>
      <c r="B182" s="91">
        <f ca="1">IF(RTD("tos.rtd",,$A$2,"."&amp;B$135&amp;B$1&amp;"C"&amp;$A182)="N/A",0,RTD("tos.rtd",,$A$2,"."&amp;B$135&amp;B$1&amp;"C"&amp;$A182))-IF(RTD("tos.rtd",,$A$2,"."&amp;B$135&amp;B$1&amp;"P"&amp;$A182)="N/A",0,RTD("tos.rtd",,$A$2,"."&amp;B$135&amp;B$1&amp;"P"&amp;$A182))</f>
        <v>0</v>
      </c>
      <c r="C182" s="91">
        <f ca="1">IF(RTD("tos.rtd",,$A$2,"."&amp;C$135&amp;C$1&amp;"C"&amp;$A182)="N/A",0,RTD("tos.rtd",,$A$2,"."&amp;C$135&amp;C$1&amp;"C"&amp;$A182))-IF(RTD("tos.rtd",,$A$2,"."&amp;C$135&amp;C$1&amp;"P"&amp;$A182)="N/A",0,RTD("tos.rtd",,$A$2,"."&amp;C$135&amp;C$1&amp;"P"&amp;$A182))</f>
        <v>0</v>
      </c>
      <c r="D182" s="91">
        <f ca="1">IF(RTD("tos.rtd",,$A$2,"."&amp;D$135&amp;D$1&amp;"C"&amp;$A182)="N/A",0,RTD("tos.rtd",,$A$2,"."&amp;D$135&amp;D$1&amp;"C"&amp;$A182))-IF(RTD("tos.rtd",,$A$2,"."&amp;D$135&amp;D$1&amp;"P"&amp;$A182)="N/A",0,RTD("tos.rtd",,$A$2,"."&amp;D$135&amp;D$1&amp;"P"&amp;$A182))</f>
        <v>0</v>
      </c>
      <c r="E182" s="91">
        <f ca="1">IF(RTD("tos.rtd",,$A$2,"."&amp;E$135&amp;E$1&amp;"C"&amp;$A182)="N/A",0,RTD("tos.rtd",,$A$2,"."&amp;E$135&amp;E$1&amp;"C"&amp;$A182))-IF(RTD("tos.rtd",,$A$2,"."&amp;E$135&amp;E$1&amp;"P"&amp;$A182)="N/A",0,RTD("tos.rtd",,$A$2,"."&amp;E$135&amp;E$1&amp;"P"&amp;$A182))</f>
        <v>0</v>
      </c>
      <c r="F182" s="91">
        <f ca="1">IF(RTD("tos.rtd",,$A$2,"."&amp;F$135&amp;F$1&amp;"C"&amp;$A182)="N/A",0,RTD("tos.rtd",,$A$2,"."&amp;F$135&amp;F$1&amp;"C"&amp;$A182))-IF(RTD("tos.rtd",,$A$2,"."&amp;F$135&amp;F$1&amp;"P"&amp;$A182)="N/A",0,RTD("tos.rtd",,$A$2,"."&amp;F$135&amp;F$1&amp;"P"&amp;$A182))</f>
        <v>0</v>
      </c>
      <c r="G182" s="91">
        <f ca="1">IF(RTD("tos.rtd",,$A$2,"."&amp;G$135&amp;G$1&amp;"C"&amp;$A182)="N/A",0,RTD("tos.rtd",,$A$2,"."&amp;G$135&amp;G$1&amp;"C"&amp;$A182))-IF(RTD("tos.rtd",,$A$2,"."&amp;G$135&amp;G$1&amp;"P"&amp;$A182)="N/A",0,RTD("tos.rtd",,$A$2,"."&amp;G$135&amp;G$1&amp;"P"&amp;$A182))</f>
        <v>0</v>
      </c>
      <c r="H182" s="91">
        <f ca="1">IF(RTD("tos.rtd",,$A$2,"."&amp;H$135&amp;H$1&amp;"C"&amp;$A182)="N/A",0,RTD("tos.rtd",,$A$2,"."&amp;H$135&amp;H$1&amp;"C"&amp;$A182))-IF(RTD("tos.rtd",,$A$2,"."&amp;H$135&amp;H$1&amp;"P"&amp;$A182)="N/A",0,RTD("tos.rtd",,$A$2,"."&amp;H$135&amp;H$1&amp;"P"&amp;$A182))</f>
        <v>0</v>
      </c>
      <c r="I182" s="91">
        <f ca="1">IF(RTD("tos.rtd",,$A$2,"."&amp;I$135&amp;I$1&amp;"C"&amp;$A182)="N/A",0,RTD("tos.rtd",,$A$2,"."&amp;I$135&amp;I$1&amp;"C"&amp;$A182))-IF(RTD("tos.rtd",,$A$2,"."&amp;I$135&amp;I$1&amp;"P"&amp;$A182)="N/A",0,RTD("tos.rtd",,$A$2,"."&amp;I$135&amp;I$1&amp;"P"&amp;$A182))</f>
        <v>0</v>
      </c>
      <c r="J182" s="91">
        <f ca="1">IF(RTD("tos.rtd",,$A$2,"."&amp;J$135&amp;J$1&amp;"C"&amp;$A182)="N/A",0,RTD("tos.rtd",,$A$2,"."&amp;J$135&amp;J$1&amp;"C"&amp;$A182))-IF(RTD("tos.rtd",,$A$2,"."&amp;J$135&amp;J$1&amp;"P"&amp;$A182)="N/A",0,RTD("tos.rtd",,$A$2,"."&amp;J$135&amp;J$1&amp;"P"&amp;$A182))</f>
        <v>0</v>
      </c>
      <c r="K182" s="91">
        <f ca="1">IF(RTD("tos.rtd",,$A$2,"."&amp;K$135&amp;K$1&amp;"C"&amp;$A182)="N/A",0,RTD("tos.rtd",,$A$2,"."&amp;K$135&amp;K$1&amp;"C"&amp;$A182))-IF(RTD("tos.rtd",,$A$2,"."&amp;K$135&amp;K$1&amp;"P"&amp;$A182)="N/A",0,RTD("tos.rtd",,$A$2,"."&amp;K$135&amp;K$1&amp;"P"&amp;$A182))</f>
        <v>0</v>
      </c>
      <c r="L182" s="91">
        <f ca="1">IF(RTD("tos.rtd",,$A$2,"."&amp;L$135&amp;L$1&amp;"C"&amp;$A182)="N/A",0,RTD("tos.rtd",,$A$2,"."&amp;L$135&amp;L$1&amp;"C"&amp;$A182))-IF(RTD("tos.rtd",,$A$2,"."&amp;L$135&amp;L$1&amp;"P"&amp;$A182)="N/A",0,RTD("tos.rtd",,$A$2,"."&amp;L$135&amp;L$1&amp;"P"&amp;$A182))</f>
        <v>0</v>
      </c>
      <c r="M182" s="91">
        <f ca="1">IF(RTD("tos.rtd",,$A$2,"."&amp;M$135&amp;M$1&amp;"C"&amp;$A182)="N/A",0,RTD("tos.rtd",,$A$2,"."&amp;M$135&amp;M$1&amp;"C"&amp;$A182))-IF(RTD("tos.rtd",,$A$2,"."&amp;M$135&amp;M$1&amp;"P"&amp;$A182)="N/A",0,RTD("tos.rtd",,$A$2,"."&amp;M$135&amp;M$1&amp;"P"&amp;$A182))</f>
        <v>0</v>
      </c>
      <c r="N182" s="91">
        <f ca="1">IF(RTD("tos.rtd",,$A$2,"."&amp;N$135&amp;N$1&amp;"C"&amp;$A182)="N/A",0,RTD("tos.rtd",,$A$2,"."&amp;N$135&amp;N$1&amp;"C"&amp;$A182))-IF(RTD("tos.rtd",,$A$2,"."&amp;N$135&amp;N$1&amp;"P"&amp;$A182)="N/A",0,RTD("tos.rtd",,$A$2,"."&amp;N$135&amp;N$1&amp;"P"&amp;$A182))</f>
        <v>0</v>
      </c>
      <c r="O182" s="91">
        <f ca="1">IF(RTD("tos.rtd",,$A$2,"."&amp;O$135&amp;O$1&amp;"C"&amp;$A182)="N/A",0,RTD("tos.rtd",,$A$2,"."&amp;O$135&amp;O$1&amp;"C"&amp;$A182))-IF(RTD("tos.rtd",,$A$2,"."&amp;O$135&amp;O$1&amp;"P"&amp;$A182)="N/A",0,RTD("tos.rtd",,$A$2,"."&amp;O$135&amp;O$1&amp;"P"&amp;$A182))</f>
        <v>0</v>
      </c>
      <c r="P182" s="91">
        <f ca="1">IF(RTD("tos.rtd",,$A$2,"."&amp;P$135&amp;P$1&amp;"C"&amp;$A182)="N/A",0,RTD("tos.rtd",,$A$2,"."&amp;P$135&amp;P$1&amp;"C"&amp;$A182))-IF(RTD("tos.rtd",,$A$2,"."&amp;P$135&amp;P$1&amp;"P"&amp;$A182)="N/A",0,RTD("tos.rtd",,$A$2,"."&amp;P$135&amp;P$1&amp;"P"&amp;$A182))</f>
        <v>0</v>
      </c>
      <c r="Q182" s="91">
        <f ca="1">IF(RTD("tos.rtd",,$A$2,"."&amp;Q$135&amp;Q$1&amp;"C"&amp;$A182)="N/A",0,RTD("tos.rtd",,$A$2,"."&amp;Q$135&amp;Q$1&amp;"C"&amp;$A182))-IF(RTD("tos.rtd",,$A$2,"."&amp;Q$135&amp;Q$1&amp;"P"&amp;$A182)="N/A",0,RTD("tos.rtd",,$A$2,"."&amp;Q$135&amp;Q$1&amp;"P"&amp;$A182))</f>
        <v>0</v>
      </c>
      <c r="R182" s="91">
        <f ca="1">IF(RTD("tos.rtd",,$A$2,"."&amp;R$135&amp;R$1&amp;"C"&amp;$A182)="N/A",0,RTD("tos.rtd",,$A$2,"."&amp;R$135&amp;R$1&amp;"C"&amp;$A182))-IF(RTD("tos.rtd",,$A$2,"."&amp;R$135&amp;R$1&amp;"P"&amp;$A182)="N/A",0,RTD("tos.rtd",,$A$2,"."&amp;R$135&amp;R$1&amp;"P"&amp;$A182))</f>
        <v>0</v>
      </c>
      <c r="S182" s="91">
        <f ca="1">IF(RTD("tos.rtd",,$A$2,"."&amp;S$135&amp;S$1&amp;"C"&amp;$A182)="N/A",0,RTD("tos.rtd",,$A$2,"."&amp;S$135&amp;S$1&amp;"C"&amp;$A182))-IF(RTD("tos.rtd",,$A$2,"."&amp;S$135&amp;S$1&amp;"P"&amp;$A182)="N/A",0,RTD("tos.rtd",,$A$2,"."&amp;S$135&amp;S$1&amp;"P"&amp;$A182))</f>
        <v>0</v>
      </c>
      <c r="T182" s="91">
        <f ca="1">IF(RTD("tos.rtd",,$A$2,"."&amp;T$135&amp;T$1&amp;"C"&amp;$A182)="N/A",0,RTD("tos.rtd",,$A$2,"."&amp;T$135&amp;T$1&amp;"C"&amp;$A182))-IF(RTD("tos.rtd",,$A$2,"."&amp;T$135&amp;T$1&amp;"P"&amp;$A182)="N/A",0,RTD("tos.rtd",,$A$2,"."&amp;T$135&amp;T$1&amp;"P"&amp;$A182))</f>
        <v>0</v>
      </c>
      <c r="U182" s="91">
        <f ca="1">IF(RTD("tos.rtd",,$A$2,"."&amp;U$135&amp;U$1&amp;"C"&amp;$A182)="N/A",0,RTD("tos.rtd",,$A$2,"."&amp;U$135&amp;U$1&amp;"C"&amp;$A182))-IF(RTD("tos.rtd",,$A$2,"."&amp;U$135&amp;U$1&amp;"P"&amp;$A182)="N/A",0,RTD("tos.rtd",,$A$2,"."&amp;U$135&amp;U$1&amp;"P"&amp;$A182))</f>
        <v>0</v>
      </c>
      <c r="V182" s="91">
        <f ca="1">IF(RTD("tos.rtd",,$A$2,"."&amp;V$135&amp;V$1&amp;"C"&amp;$A182)="N/A",0,RTD("tos.rtd",,$A$2,"."&amp;V$135&amp;V$1&amp;"C"&amp;$A182))-IF(RTD("tos.rtd",,$A$2,"."&amp;V$135&amp;V$1&amp;"P"&amp;$A182)="N/A",0,RTD("tos.rtd",,$A$2,"."&amp;V$135&amp;V$1&amp;"P"&amp;$A182))</f>
        <v>0</v>
      </c>
      <c r="W182" s="91">
        <f ca="1">IF(RTD("tos.rtd",,$A$2,"."&amp;W$135&amp;W$1&amp;"C"&amp;$A182)="N/A",0,RTD("tos.rtd",,$A$2,"."&amp;W$135&amp;W$1&amp;"C"&amp;$A182))-IF(RTD("tos.rtd",,$A$2,"."&amp;W$135&amp;W$1&amp;"P"&amp;$A182)="N/A",0,RTD("tos.rtd",,$A$2,"."&amp;W$135&amp;W$1&amp;"P"&amp;$A182))</f>
        <v>0</v>
      </c>
      <c r="X182" s="91">
        <f ca="1">IF(RTD("tos.rtd",,$A$2,"."&amp;X$135&amp;X$1&amp;"C"&amp;$A182)="N/A",0,RTD("tos.rtd",,$A$2,"."&amp;X$135&amp;X$1&amp;"C"&amp;$A182))-IF(RTD("tos.rtd",,$A$2,"."&amp;X$135&amp;X$1&amp;"P"&amp;$A182)="N/A",0,RTD("tos.rtd",,$A$2,"."&amp;X$135&amp;X$1&amp;"P"&amp;$A182))</f>
        <v>0</v>
      </c>
      <c r="Y182" s="98">
        <f t="shared" ca="1" si="13"/>
        <v>0</v>
      </c>
      <c r="Z182" s="91"/>
      <c r="AA182" s="91"/>
    </row>
    <row r="183" spans="1:27" x14ac:dyDescent="0.25">
      <c r="A183" s="93">
        <f>+Hoja1!A182</f>
        <v>19325</v>
      </c>
      <c r="B183" s="91">
        <f ca="1">IF(RTD("tos.rtd",,$A$2,"."&amp;B$135&amp;B$1&amp;"C"&amp;$A183)="N/A",0,RTD("tos.rtd",,$A$2,"."&amp;B$135&amp;B$1&amp;"C"&amp;$A183))-IF(RTD("tos.rtd",,$A$2,"."&amp;B$135&amp;B$1&amp;"P"&amp;$A183)="N/A",0,RTD("tos.rtd",,$A$2,"."&amp;B$135&amp;B$1&amp;"P"&amp;$A183))</f>
        <v>0</v>
      </c>
      <c r="C183" s="91">
        <f ca="1">IF(RTD("tos.rtd",,$A$2,"."&amp;C$135&amp;C$1&amp;"C"&amp;$A183)="N/A",0,RTD("tos.rtd",,$A$2,"."&amp;C$135&amp;C$1&amp;"C"&amp;$A183))-IF(RTD("tos.rtd",,$A$2,"."&amp;C$135&amp;C$1&amp;"P"&amp;$A183)="N/A",0,RTD("tos.rtd",,$A$2,"."&amp;C$135&amp;C$1&amp;"P"&amp;$A183))</f>
        <v>0</v>
      </c>
      <c r="D183" s="91">
        <f ca="1">IF(RTD("tos.rtd",,$A$2,"."&amp;D$135&amp;D$1&amp;"C"&amp;$A183)="N/A",0,RTD("tos.rtd",,$A$2,"."&amp;D$135&amp;D$1&amp;"C"&amp;$A183))-IF(RTD("tos.rtd",,$A$2,"."&amp;D$135&amp;D$1&amp;"P"&amp;$A183)="N/A",0,RTD("tos.rtd",,$A$2,"."&amp;D$135&amp;D$1&amp;"P"&amp;$A183))</f>
        <v>0</v>
      </c>
      <c r="E183" s="91">
        <f ca="1">IF(RTD("tos.rtd",,$A$2,"."&amp;E$135&amp;E$1&amp;"C"&amp;$A183)="N/A",0,RTD("tos.rtd",,$A$2,"."&amp;E$135&amp;E$1&amp;"C"&amp;$A183))-IF(RTD("tos.rtd",,$A$2,"."&amp;E$135&amp;E$1&amp;"P"&amp;$A183)="N/A",0,RTD("tos.rtd",,$A$2,"."&amp;E$135&amp;E$1&amp;"P"&amp;$A183))</f>
        <v>0</v>
      </c>
      <c r="F183" s="91">
        <f ca="1">IF(RTD("tos.rtd",,$A$2,"."&amp;F$135&amp;F$1&amp;"C"&amp;$A183)="N/A",0,RTD("tos.rtd",,$A$2,"."&amp;F$135&amp;F$1&amp;"C"&amp;$A183))-IF(RTD("tos.rtd",,$A$2,"."&amp;F$135&amp;F$1&amp;"P"&amp;$A183)="N/A",0,RTD("tos.rtd",,$A$2,"."&amp;F$135&amp;F$1&amp;"P"&amp;$A183))</f>
        <v>0</v>
      </c>
      <c r="G183" s="91">
        <f ca="1">IF(RTD("tos.rtd",,$A$2,"."&amp;G$135&amp;G$1&amp;"C"&amp;$A183)="N/A",0,RTD("tos.rtd",,$A$2,"."&amp;G$135&amp;G$1&amp;"C"&amp;$A183))-IF(RTD("tos.rtd",,$A$2,"."&amp;G$135&amp;G$1&amp;"P"&amp;$A183)="N/A",0,RTD("tos.rtd",,$A$2,"."&amp;G$135&amp;G$1&amp;"P"&amp;$A183))</f>
        <v>0</v>
      </c>
      <c r="H183" s="91">
        <f ca="1">IF(RTD("tos.rtd",,$A$2,"."&amp;H$135&amp;H$1&amp;"C"&amp;$A183)="N/A",0,RTD("tos.rtd",,$A$2,"."&amp;H$135&amp;H$1&amp;"C"&amp;$A183))-IF(RTD("tos.rtd",,$A$2,"."&amp;H$135&amp;H$1&amp;"P"&amp;$A183)="N/A",0,RTD("tos.rtd",,$A$2,"."&amp;H$135&amp;H$1&amp;"P"&amp;$A183))</f>
        <v>0</v>
      </c>
      <c r="I183" s="91">
        <f ca="1">IF(RTD("tos.rtd",,$A$2,"."&amp;I$135&amp;I$1&amp;"C"&amp;$A183)="N/A",0,RTD("tos.rtd",,$A$2,"."&amp;I$135&amp;I$1&amp;"C"&amp;$A183))-IF(RTD("tos.rtd",,$A$2,"."&amp;I$135&amp;I$1&amp;"P"&amp;$A183)="N/A",0,RTD("tos.rtd",,$A$2,"."&amp;I$135&amp;I$1&amp;"P"&amp;$A183))</f>
        <v>0</v>
      </c>
      <c r="J183" s="91">
        <f ca="1">IF(RTD("tos.rtd",,$A$2,"."&amp;J$135&amp;J$1&amp;"C"&amp;$A183)="N/A",0,RTD("tos.rtd",,$A$2,"."&amp;J$135&amp;J$1&amp;"C"&amp;$A183))-IF(RTD("tos.rtd",,$A$2,"."&amp;J$135&amp;J$1&amp;"P"&amp;$A183)="N/A",0,RTD("tos.rtd",,$A$2,"."&amp;J$135&amp;J$1&amp;"P"&amp;$A183))</f>
        <v>0</v>
      </c>
      <c r="K183" s="91">
        <f ca="1">IF(RTD("tos.rtd",,$A$2,"."&amp;K$135&amp;K$1&amp;"C"&amp;$A183)="N/A",0,RTD("tos.rtd",,$A$2,"."&amp;K$135&amp;K$1&amp;"C"&amp;$A183))-IF(RTD("tos.rtd",,$A$2,"."&amp;K$135&amp;K$1&amp;"P"&amp;$A183)="N/A",0,RTD("tos.rtd",,$A$2,"."&amp;K$135&amp;K$1&amp;"P"&amp;$A183))</f>
        <v>0</v>
      </c>
      <c r="L183" s="91">
        <f ca="1">IF(RTD("tos.rtd",,$A$2,"."&amp;L$135&amp;L$1&amp;"C"&amp;$A183)="N/A",0,RTD("tos.rtd",,$A$2,"."&amp;L$135&amp;L$1&amp;"C"&amp;$A183))-IF(RTD("tos.rtd",,$A$2,"."&amp;L$135&amp;L$1&amp;"P"&amp;$A183)="N/A",0,RTD("tos.rtd",,$A$2,"."&amp;L$135&amp;L$1&amp;"P"&amp;$A183))</f>
        <v>0</v>
      </c>
      <c r="M183" s="91">
        <f ca="1">IF(RTD("tos.rtd",,$A$2,"."&amp;M$135&amp;M$1&amp;"C"&amp;$A183)="N/A",0,RTD("tos.rtd",,$A$2,"."&amp;M$135&amp;M$1&amp;"C"&amp;$A183))-IF(RTD("tos.rtd",,$A$2,"."&amp;M$135&amp;M$1&amp;"P"&amp;$A183)="N/A",0,RTD("tos.rtd",,$A$2,"."&amp;M$135&amp;M$1&amp;"P"&amp;$A183))</f>
        <v>0</v>
      </c>
      <c r="N183" s="91">
        <f ca="1">IF(RTD("tos.rtd",,$A$2,"."&amp;N$135&amp;N$1&amp;"C"&amp;$A183)="N/A",0,RTD("tos.rtd",,$A$2,"."&amp;N$135&amp;N$1&amp;"C"&amp;$A183))-IF(RTD("tos.rtd",,$A$2,"."&amp;N$135&amp;N$1&amp;"P"&amp;$A183)="N/A",0,RTD("tos.rtd",,$A$2,"."&amp;N$135&amp;N$1&amp;"P"&amp;$A183))</f>
        <v>0</v>
      </c>
      <c r="O183" s="91">
        <f ca="1">IF(RTD("tos.rtd",,$A$2,"."&amp;O$135&amp;O$1&amp;"C"&amp;$A183)="N/A",0,RTD("tos.rtd",,$A$2,"."&amp;O$135&amp;O$1&amp;"C"&amp;$A183))-IF(RTD("tos.rtd",,$A$2,"."&amp;O$135&amp;O$1&amp;"P"&amp;$A183)="N/A",0,RTD("tos.rtd",,$A$2,"."&amp;O$135&amp;O$1&amp;"P"&amp;$A183))</f>
        <v>0</v>
      </c>
      <c r="P183" s="91">
        <f ca="1">IF(RTD("tos.rtd",,$A$2,"."&amp;P$135&amp;P$1&amp;"C"&amp;$A183)="N/A",0,RTD("tos.rtd",,$A$2,"."&amp;P$135&amp;P$1&amp;"C"&amp;$A183))-IF(RTD("tos.rtd",,$A$2,"."&amp;P$135&amp;P$1&amp;"P"&amp;$A183)="N/A",0,RTD("tos.rtd",,$A$2,"."&amp;P$135&amp;P$1&amp;"P"&amp;$A183))</f>
        <v>0</v>
      </c>
      <c r="Q183" s="91">
        <f ca="1">IF(RTD("tos.rtd",,$A$2,"."&amp;Q$135&amp;Q$1&amp;"C"&amp;$A183)="N/A",0,RTD("tos.rtd",,$A$2,"."&amp;Q$135&amp;Q$1&amp;"C"&amp;$A183))-IF(RTD("tos.rtd",,$A$2,"."&amp;Q$135&amp;Q$1&amp;"P"&amp;$A183)="N/A",0,RTD("tos.rtd",,$A$2,"."&amp;Q$135&amp;Q$1&amp;"P"&amp;$A183))</f>
        <v>0</v>
      </c>
      <c r="R183" s="91">
        <f ca="1">IF(RTD("tos.rtd",,$A$2,"."&amp;R$135&amp;R$1&amp;"C"&amp;$A183)="N/A",0,RTD("tos.rtd",,$A$2,"."&amp;R$135&amp;R$1&amp;"C"&amp;$A183))-IF(RTD("tos.rtd",,$A$2,"."&amp;R$135&amp;R$1&amp;"P"&amp;$A183)="N/A",0,RTD("tos.rtd",,$A$2,"."&amp;R$135&amp;R$1&amp;"P"&amp;$A183))</f>
        <v>0</v>
      </c>
      <c r="S183" s="91">
        <f ca="1">IF(RTD("tos.rtd",,$A$2,"."&amp;S$135&amp;S$1&amp;"C"&amp;$A183)="N/A",0,RTD("tos.rtd",,$A$2,"."&amp;S$135&amp;S$1&amp;"C"&amp;$A183))-IF(RTD("tos.rtd",,$A$2,"."&amp;S$135&amp;S$1&amp;"P"&amp;$A183)="N/A",0,RTD("tos.rtd",,$A$2,"."&amp;S$135&amp;S$1&amp;"P"&amp;$A183))</f>
        <v>0</v>
      </c>
      <c r="T183" s="91">
        <f ca="1">IF(RTD("tos.rtd",,$A$2,"."&amp;T$135&amp;T$1&amp;"C"&amp;$A183)="N/A",0,RTD("tos.rtd",,$A$2,"."&amp;T$135&amp;T$1&amp;"C"&amp;$A183))-IF(RTD("tos.rtd",,$A$2,"."&amp;T$135&amp;T$1&amp;"P"&amp;$A183)="N/A",0,RTD("tos.rtd",,$A$2,"."&amp;T$135&amp;T$1&amp;"P"&amp;$A183))</f>
        <v>0</v>
      </c>
      <c r="U183" s="91">
        <f ca="1">IF(RTD("tos.rtd",,$A$2,"."&amp;U$135&amp;U$1&amp;"C"&amp;$A183)="N/A",0,RTD("tos.rtd",,$A$2,"."&amp;U$135&amp;U$1&amp;"C"&amp;$A183))-IF(RTD("tos.rtd",,$A$2,"."&amp;U$135&amp;U$1&amp;"P"&amp;$A183)="N/A",0,RTD("tos.rtd",,$A$2,"."&amp;U$135&amp;U$1&amp;"P"&amp;$A183))</f>
        <v>0</v>
      </c>
      <c r="V183" s="91">
        <f ca="1">IF(RTD("tos.rtd",,$A$2,"."&amp;V$135&amp;V$1&amp;"C"&amp;$A183)="N/A",0,RTD("tos.rtd",,$A$2,"."&amp;V$135&amp;V$1&amp;"C"&amp;$A183))-IF(RTD("tos.rtd",,$A$2,"."&amp;V$135&amp;V$1&amp;"P"&amp;$A183)="N/A",0,RTD("tos.rtd",,$A$2,"."&amp;V$135&amp;V$1&amp;"P"&amp;$A183))</f>
        <v>0</v>
      </c>
      <c r="W183" s="91">
        <f ca="1">IF(RTD("tos.rtd",,$A$2,"."&amp;W$135&amp;W$1&amp;"C"&amp;$A183)="N/A",0,RTD("tos.rtd",,$A$2,"."&amp;W$135&amp;W$1&amp;"C"&amp;$A183))-IF(RTD("tos.rtd",,$A$2,"."&amp;W$135&amp;W$1&amp;"P"&amp;$A183)="N/A",0,RTD("tos.rtd",,$A$2,"."&amp;W$135&amp;W$1&amp;"P"&amp;$A183))</f>
        <v>0</v>
      </c>
      <c r="X183" s="91">
        <f ca="1">IF(RTD("tos.rtd",,$A$2,"."&amp;X$135&amp;X$1&amp;"C"&amp;$A183)="N/A",0,RTD("tos.rtd",,$A$2,"."&amp;X$135&amp;X$1&amp;"C"&amp;$A183))-IF(RTD("tos.rtd",,$A$2,"."&amp;X$135&amp;X$1&amp;"P"&amp;$A183)="N/A",0,RTD("tos.rtd",,$A$2,"."&amp;X$135&amp;X$1&amp;"P"&amp;$A183))</f>
        <v>0</v>
      </c>
      <c r="Y183" s="98">
        <f t="shared" ca="1" si="13"/>
        <v>0</v>
      </c>
      <c r="Z183" s="91"/>
      <c r="AA183" s="91"/>
    </row>
    <row r="184" spans="1:27" x14ac:dyDescent="0.25">
      <c r="A184" s="93">
        <f>+Hoja1!A183</f>
        <v>19300</v>
      </c>
      <c r="B184" s="91">
        <f ca="1">IF(RTD("tos.rtd",,$A$2,"."&amp;B$135&amp;B$1&amp;"C"&amp;$A184)="N/A",0,RTD("tos.rtd",,$A$2,"."&amp;B$135&amp;B$1&amp;"C"&amp;$A184))-IF(RTD("tos.rtd",,$A$2,"."&amp;B$135&amp;B$1&amp;"P"&amp;$A184)="N/A",0,RTD("tos.rtd",,$A$2,"."&amp;B$135&amp;B$1&amp;"P"&amp;$A184))</f>
        <v>0</v>
      </c>
      <c r="C184" s="91">
        <f ca="1">IF(RTD("tos.rtd",,$A$2,"."&amp;C$135&amp;C$1&amp;"C"&amp;$A184)="N/A",0,RTD("tos.rtd",,$A$2,"."&amp;C$135&amp;C$1&amp;"C"&amp;$A184))-IF(RTD("tos.rtd",,$A$2,"."&amp;C$135&amp;C$1&amp;"P"&amp;$A184)="N/A",0,RTD("tos.rtd",,$A$2,"."&amp;C$135&amp;C$1&amp;"P"&amp;$A184))</f>
        <v>0</v>
      </c>
      <c r="D184" s="91">
        <f ca="1">IF(RTD("tos.rtd",,$A$2,"."&amp;D$135&amp;D$1&amp;"C"&amp;$A184)="N/A",0,RTD("tos.rtd",,$A$2,"."&amp;D$135&amp;D$1&amp;"C"&amp;$A184))-IF(RTD("tos.rtd",,$A$2,"."&amp;D$135&amp;D$1&amp;"P"&amp;$A184)="N/A",0,RTD("tos.rtd",,$A$2,"."&amp;D$135&amp;D$1&amp;"P"&amp;$A184))</f>
        <v>0</v>
      </c>
      <c r="E184" s="91">
        <f ca="1">IF(RTD("tos.rtd",,$A$2,"."&amp;E$135&amp;E$1&amp;"C"&amp;$A184)="N/A",0,RTD("tos.rtd",,$A$2,"."&amp;E$135&amp;E$1&amp;"C"&amp;$A184))-IF(RTD("tos.rtd",,$A$2,"."&amp;E$135&amp;E$1&amp;"P"&amp;$A184)="N/A",0,RTD("tos.rtd",,$A$2,"."&amp;E$135&amp;E$1&amp;"P"&amp;$A184))</f>
        <v>0</v>
      </c>
      <c r="F184" s="91">
        <f ca="1">IF(RTD("tos.rtd",,$A$2,"."&amp;F$135&amp;F$1&amp;"C"&amp;$A184)="N/A",0,RTD("tos.rtd",,$A$2,"."&amp;F$135&amp;F$1&amp;"C"&amp;$A184))-IF(RTD("tos.rtd",,$A$2,"."&amp;F$135&amp;F$1&amp;"P"&amp;$A184)="N/A",0,RTD("tos.rtd",,$A$2,"."&amp;F$135&amp;F$1&amp;"P"&amp;$A184))</f>
        <v>0</v>
      </c>
      <c r="G184" s="91">
        <f ca="1">IF(RTD("tos.rtd",,$A$2,"."&amp;G$135&amp;G$1&amp;"C"&amp;$A184)="N/A",0,RTD("tos.rtd",,$A$2,"."&amp;G$135&amp;G$1&amp;"C"&amp;$A184))-IF(RTD("tos.rtd",,$A$2,"."&amp;G$135&amp;G$1&amp;"P"&amp;$A184)="N/A",0,RTD("tos.rtd",,$A$2,"."&amp;G$135&amp;G$1&amp;"P"&amp;$A184))</f>
        <v>0</v>
      </c>
      <c r="H184" s="91">
        <f ca="1">IF(RTD("tos.rtd",,$A$2,"."&amp;H$135&amp;H$1&amp;"C"&amp;$A184)="N/A",0,RTD("tos.rtd",,$A$2,"."&amp;H$135&amp;H$1&amp;"C"&amp;$A184))-IF(RTD("tos.rtd",,$A$2,"."&amp;H$135&amp;H$1&amp;"P"&amp;$A184)="N/A",0,RTD("tos.rtd",,$A$2,"."&amp;H$135&amp;H$1&amp;"P"&amp;$A184))</f>
        <v>0</v>
      </c>
      <c r="I184" s="91">
        <f ca="1">IF(RTD("tos.rtd",,$A$2,"."&amp;I$135&amp;I$1&amp;"C"&amp;$A184)="N/A",0,RTD("tos.rtd",,$A$2,"."&amp;I$135&amp;I$1&amp;"C"&amp;$A184))-IF(RTD("tos.rtd",,$A$2,"."&amp;I$135&amp;I$1&amp;"P"&amp;$A184)="N/A",0,RTD("tos.rtd",,$A$2,"."&amp;I$135&amp;I$1&amp;"P"&amp;$A184))</f>
        <v>0</v>
      </c>
      <c r="J184" s="91">
        <f ca="1">IF(RTD("tos.rtd",,$A$2,"."&amp;J$135&amp;J$1&amp;"C"&amp;$A184)="N/A",0,RTD("tos.rtd",,$A$2,"."&amp;J$135&amp;J$1&amp;"C"&amp;$A184))-IF(RTD("tos.rtd",,$A$2,"."&amp;J$135&amp;J$1&amp;"P"&amp;$A184)="N/A",0,RTD("tos.rtd",,$A$2,"."&amp;J$135&amp;J$1&amp;"P"&amp;$A184))</f>
        <v>0</v>
      </c>
      <c r="K184" s="91">
        <f ca="1">IF(RTD("tos.rtd",,$A$2,"."&amp;K$135&amp;K$1&amp;"C"&amp;$A184)="N/A",0,RTD("tos.rtd",,$A$2,"."&amp;K$135&amp;K$1&amp;"C"&amp;$A184))-IF(RTD("tos.rtd",,$A$2,"."&amp;K$135&amp;K$1&amp;"P"&amp;$A184)="N/A",0,RTD("tos.rtd",,$A$2,"."&amp;K$135&amp;K$1&amp;"P"&amp;$A184))</f>
        <v>-2</v>
      </c>
      <c r="L184" s="91">
        <f ca="1">IF(RTD("tos.rtd",,$A$2,"."&amp;L$135&amp;L$1&amp;"C"&amp;$A184)="N/A",0,RTD("tos.rtd",,$A$2,"."&amp;L$135&amp;L$1&amp;"C"&amp;$A184))-IF(RTD("tos.rtd",,$A$2,"."&amp;L$135&amp;L$1&amp;"P"&amp;$A184)="N/A",0,RTD("tos.rtd",,$A$2,"."&amp;L$135&amp;L$1&amp;"P"&amp;$A184))</f>
        <v>0</v>
      </c>
      <c r="M184" s="91">
        <f ca="1">IF(RTD("tos.rtd",,$A$2,"."&amp;M$135&amp;M$1&amp;"C"&amp;$A184)="N/A",0,RTD("tos.rtd",,$A$2,"."&amp;M$135&amp;M$1&amp;"C"&amp;$A184))-IF(RTD("tos.rtd",,$A$2,"."&amp;M$135&amp;M$1&amp;"P"&amp;$A184)="N/A",0,RTD("tos.rtd",,$A$2,"."&amp;M$135&amp;M$1&amp;"P"&amp;$A184))</f>
        <v>0</v>
      </c>
      <c r="N184" s="91">
        <f ca="1">IF(RTD("tos.rtd",,$A$2,"."&amp;N$135&amp;N$1&amp;"C"&amp;$A184)="N/A",0,RTD("tos.rtd",,$A$2,"."&amp;N$135&amp;N$1&amp;"C"&amp;$A184))-IF(RTD("tos.rtd",,$A$2,"."&amp;N$135&amp;N$1&amp;"P"&amp;$A184)="N/A",0,RTD("tos.rtd",,$A$2,"."&amp;N$135&amp;N$1&amp;"P"&amp;$A184))</f>
        <v>0</v>
      </c>
      <c r="O184" s="91">
        <f ca="1">IF(RTD("tos.rtd",,$A$2,"."&amp;O$135&amp;O$1&amp;"C"&amp;$A184)="N/A",0,RTD("tos.rtd",,$A$2,"."&amp;O$135&amp;O$1&amp;"C"&amp;$A184))-IF(RTD("tos.rtd",,$A$2,"."&amp;O$135&amp;O$1&amp;"P"&amp;$A184)="N/A",0,RTD("tos.rtd",,$A$2,"."&amp;O$135&amp;O$1&amp;"P"&amp;$A184))</f>
        <v>0</v>
      </c>
      <c r="P184" s="91">
        <f ca="1">IF(RTD("tos.rtd",,$A$2,"."&amp;P$135&amp;P$1&amp;"C"&amp;$A184)="N/A",0,RTD("tos.rtd",,$A$2,"."&amp;P$135&amp;P$1&amp;"C"&amp;$A184))-IF(RTD("tos.rtd",,$A$2,"."&amp;P$135&amp;P$1&amp;"P"&amp;$A184)="N/A",0,RTD("tos.rtd",,$A$2,"."&amp;P$135&amp;P$1&amp;"P"&amp;$A184))</f>
        <v>0</v>
      </c>
      <c r="Q184" s="91">
        <f ca="1">IF(RTD("tos.rtd",,$A$2,"."&amp;Q$135&amp;Q$1&amp;"C"&amp;$A184)="N/A",0,RTD("tos.rtd",,$A$2,"."&amp;Q$135&amp;Q$1&amp;"C"&amp;$A184))-IF(RTD("tos.rtd",,$A$2,"."&amp;Q$135&amp;Q$1&amp;"P"&amp;$A184)="N/A",0,RTD("tos.rtd",,$A$2,"."&amp;Q$135&amp;Q$1&amp;"P"&amp;$A184))</f>
        <v>0</v>
      </c>
      <c r="R184" s="91">
        <f ca="1">IF(RTD("tos.rtd",,$A$2,"."&amp;R$135&amp;R$1&amp;"C"&amp;$A184)="N/A",0,RTD("tos.rtd",,$A$2,"."&amp;R$135&amp;R$1&amp;"C"&amp;$A184))-IF(RTD("tos.rtd",,$A$2,"."&amp;R$135&amp;R$1&amp;"P"&amp;$A184)="N/A",0,RTD("tos.rtd",,$A$2,"."&amp;R$135&amp;R$1&amp;"P"&amp;$A184))</f>
        <v>0</v>
      </c>
      <c r="S184" s="91">
        <f ca="1">IF(RTD("tos.rtd",,$A$2,"."&amp;S$135&amp;S$1&amp;"C"&amp;$A184)="N/A",0,RTD("tos.rtd",,$A$2,"."&amp;S$135&amp;S$1&amp;"C"&amp;$A184))-IF(RTD("tos.rtd",,$A$2,"."&amp;S$135&amp;S$1&amp;"P"&amp;$A184)="N/A",0,RTD("tos.rtd",,$A$2,"."&amp;S$135&amp;S$1&amp;"P"&amp;$A184))</f>
        <v>0</v>
      </c>
      <c r="T184" s="91">
        <f ca="1">IF(RTD("tos.rtd",,$A$2,"."&amp;T$135&amp;T$1&amp;"C"&amp;$A184)="N/A",0,RTD("tos.rtd",,$A$2,"."&amp;T$135&amp;T$1&amp;"C"&amp;$A184))-IF(RTD("tos.rtd",,$A$2,"."&amp;T$135&amp;T$1&amp;"P"&amp;$A184)="N/A",0,RTD("tos.rtd",,$A$2,"."&amp;T$135&amp;T$1&amp;"P"&amp;$A184))</f>
        <v>0</v>
      </c>
      <c r="U184" s="91">
        <f ca="1">IF(RTD("tos.rtd",,$A$2,"."&amp;U$135&amp;U$1&amp;"C"&amp;$A184)="N/A",0,RTD("tos.rtd",,$A$2,"."&amp;U$135&amp;U$1&amp;"C"&amp;$A184))-IF(RTD("tos.rtd",,$A$2,"."&amp;U$135&amp;U$1&amp;"P"&amp;$A184)="N/A",0,RTD("tos.rtd",,$A$2,"."&amp;U$135&amp;U$1&amp;"P"&amp;$A184))</f>
        <v>0</v>
      </c>
      <c r="V184" s="91">
        <f ca="1">IF(RTD("tos.rtd",,$A$2,"."&amp;V$135&amp;V$1&amp;"C"&amp;$A184)="N/A",0,RTD("tos.rtd",,$A$2,"."&amp;V$135&amp;V$1&amp;"C"&amp;$A184))-IF(RTD("tos.rtd",,$A$2,"."&amp;V$135&amp;V$1&amp;"P"&amp;$A184)="N/A",0,RTD("tos.rtd",,$A$2,"."&amp;V$135&amp;V$1&amp;"P"&amp;$A184))</f>
        <v>0</v>
      </c>
      <c r="W184" s="91">
        <f ca="1">IF(RTD("tos.rtd",,$A$2,"."&amp;W$135&amp;W$1&amp;"C"&amp;$A184)="N/A",0,RTD("tos.rtd",,$A$2,"."&amp;W$135&amp;W$1&amp;"C"&amp;$A184))-IF(RTD("tos.rtd",,$A$2,"."&amp;W$135&amp;W$1&amp;"P"&amp;$A184)="N/A",0,RTD("tos.rtd",,$A$2,"."&amp;W$135&amp;W$1&amp;"P"&amp;$A184))</f>
        <v>0</v>
      </c>
      <c r="X184" s="91">
        <f ca="1">IF(RTD("tos.rtd",,$A$2,"."&amp;X$135&amp;X$1&amp;"C"&amp;$A184)="N/A",0,RTD("tos.rtd",,$A$2,"."&amp;X$135&amp;X$1&amp;"C"&amp;$A184))-IF(RTD("tos.rtd",,$A$2,"."&amp;X$135&amp;X$1&amp;"P"&amp;$A184)="N/A",0,RTD("tos.rtd",,$A$2,"."&amp;X$135&amp;X$1&amp;"P"&amp;$A184))</f>
        <v>0</v>
      </c>
      <c r="Y184" s="98">
        <f t="shared" ca="1" si="13"/>
        <v>-2</v>
      </c>
      <c r="Z184" s="91"/>
      <c r="AA184" s="91"/>
    </row>
    <row r="185" spans="1:27" x14ac:dyDescent="0.25">
      <c r="A185" s="93">
        <f>+Hoja1!A184</f>
        <v>19275</v>
      </c>
      <c r="B185" s="91">
        <f ca="1">IF(RTD("tos.rtd",,$A$2,"."&amp;B$135&amp;B$1&amp;"C"&amp;$A185)="N/A",0,RTD("tos.rtd",,$A$2,"."&amp;B$135&amp;B$1&amp;"C"&amp;$A185))-IF(RTD("tos.rtd",,$A$2,"."&amp;B$135&amp;B$1&amp;"P"&amp;$A185)="N/A",0,RTD("tos.rtd",,$A$2,"."&amp;B$135&amp;B$1&amp;"P"&amp;$A185))</f>
        <v>0</v>
      </c>
      <c r="C185" s="91">
        <f ca="1">IF(RTD("tos.rtd",,$A$2,"."&amp;C$135&amp;C$1&amp;"C"&amp;$A185)="N/A",0,RTD("tos.rtd",,$A$2,"."&amp;C$135&amp;C$1&amp;"C"&amp;$A185))-IF(RTD("tos.rtd",,$A$2,"."&amp;C$135&amp;C$1&amp;"P"&amp;$A185)="N/A",0,RTD("tos.rtd",,$A$2,"."&amp;C$135&amp;C$1&amp;"P"&amp;$A185))</f>
        <v>0</v>
      </c>
      <c r="D185" s="91">
        <f ca="1">IF(RTD("tos.rtd",,$A$2,"."&amp;D$135&amp;D$1&amp;"C"&amp;$A185)="N/A",0,RTD("tos.rtd",,$A$2,"."&amp;D$135&amp;D$1&amp;"C"&amp;$A185))-IF(RTD("tos.rtd",,$A$2,"."&amp;D$135&amp;D$1&amp;"P"&amp;$A185)="N/A",0,RTD("tos.rtd",,$A$2,"."&amp;D$135&amp;D$1&amp;"P"&amp;$A185))</f>
        <v>0</v>
      </c>
      <c r="E185" s="91">
        <f ca="1">IF(RTD("tos.rtd",,$A$2,"."&amp;E$135&amp;E$1&amp;"C"&amp;$A185)="N/A",0,RTD("tos.rtd",,$A$2,"."&amp;E$135&amp;E$1&amp;"C"&amp;$A185))-IF(RTD("tos.rtd",,$A$2,"."&amp;E$135&amp;E$1&amp;"P"&amp;$A185)="N/A",0,RTD("tos.rtd",,$A$2,"."&amp;E$135&amp;E$1&amp;"P"&amp;$A185))</f>
        <v>0</v>
      </c>
      <c r="F185" s="91">
        <f ca="1">IF(RTD("tos.rtd",,$A$2,"."&amp;F$135&amp;F$1&amp;"C"&amp;$A185)="N/A",0,RTD("tos.rtd",,$A$2,"."&amp;F$135&amp;F$1&amp;"C"&amp;$A185))-IF(RTD("tos.rtd",,$A$2,"."&amp;F$135&amp;F$1&amp;"P"&amp;$A185)="N/A",0,RTD("tos.rtd",,$A$2,"."&amp;F$135&amp;F$1&amp;"P"&amp;$A185))</f>
        <v>0</v>
      </c>
      <c r="G185" s="91">
        <f ca="1">IF(RTD("tos.rtd",,$A$2,"."&amp;G$135&amp;G$1&amp;"C"&amp;$A185)="N/A",0,RTD("tos.rtd",,$A$2,"."&amp;G$135&amp;G$1&amp;"C"&amp;$A185))-IF(RTD("tos.rtd",,$A$2,"."&amp;G$135&amp;G$1&amp;"P"&amp;$A185)="N/A",0,RTD("tos.rtd",,$A$2,"."&amp;G$135&amp;G$1&amp;"P"&amp;$A185))</f>
        <v>0</v>
      </c>
      <c r="H185" s="91">
        <f ca="1">IF(RTD("tos.rtd",,$A$2,"."&amp;H$135&amp;H$1&amp;"C"&amp;$A185)="N/A",0,RTD("tos.rtd",,$A$2,"."&amp;H$135&amp;H$1&amp;"C"&amp;$A185))-IF(RTD("tos.rtd",,$A$2,"."&amp;H$135&amp;H$1&amp;"P"&amp;$A185)="N/A",0,RTD("tos.rtd",,$A$2,"."&amp;H$135&amp;H$1&amp;"P"&amp;$A185))</f>
        <v>0</v>
      </c>
      <c r="I185" s="91">
        <f ca="1">IF(RTD("tos.rtd",,$A$2,"."&amp;I$135&amp;I$1&amp;"C"&amp;$A185)="N/A",0,RTD("tos.rtd",,$A$2,"."&amp;I$135&amp;I$1&amp;"C"&amp;$A185))-IF(RTD("tos.rtd",,$A$2,"."&amp;I$135&amp;I$1&amp;"P"&amp;$A185)="N/A",0,RTD("tos.rtd",,$A$2,"."&amp;I$135&amp;I$1&amp;"P"&amp;$A185))</f>
        <v>1</v>
      </c>
      <c r="J185" s="91">
        <f ca="1">IF(RTD("tos.rtd",,$A$2,"."&amp;J$135&amp;J$1&amp;"C"&amp;$A185)="N/A",0,RTD("tos.rtd",,$A$2,"."&amp;J$135&amp;J$1&amp;"C"&amp;$A185))-IF(RTD("tos.rtd",,$A$2,"."&amp;J$135&amp;J$1&amp;"P"&amp;$A185)="N/A",0,RTD("tos.rtd",,$A$2,"."&amp;J$135&amp;J$1&amp;"P"&amp;$A185))</f>
        <v>0</v>
      </c>
      <c r="K185" s="91">
        <f ca="1">IF(RTD("tos.rtd",,$A$2,"."&amp;K$135&amp;K$1&amp;"C"&amp;$A185)="N/A",0,RTD("tos.rtd",,$A$2,"."&amp;K$135&amp;K$1&amp;"C"&amp;$A185))-IF(RTD("tos.rtd",,$A$2,"."&amp;K$135&amp;K$1&amp;"P"&amp;$A185)="N/A",0,RTD("tos.rtd",,$A$2,"."&amp;K$135&amp;K$1&amp;"P"&amp;$A185))</f>
        <v>-1</v>
      </c>
      <c r="L185" s="91">
        <f ca="1">IF(RTD("tos.rtd",,$A$2,"."&amp;L$135&amp;L$1&amp;"C"&amp;$A185)="N/A",0,RTD("tos.rtd",,$A$2,"."&amp;L$135&amp;L$1&amp;"C"&amp;$A185))-IF(RTD("tos.rtd",,$A$2,"."&amp;L$135&amp;L$1&amp;"P"&amp;$A185)="N/A",0,RTD("tos.rtd",,$A$2,"."&amp;L$135&amp;L$1&amp;"P"&amp;$A185))</f>
        <v>0</v>
      </c>
      <c r="M185" s="91">
        <f ca="1">IF(RTD("tos.rtd",,$A$2,"."&amp;M$135&amp;M$1&amp;"C"&amp;$A185)="N/A",0,RTD("tos.rtd",,$A$2,"."&amp;M$135&amp;M$1&amp;"C"&amp;$A185))-IF(RTD("tos.rtd",,$A$2,"."&amp;M$135&amp;M$1&amp;"P"&amp;$A185)="N/A",0,RTD("tos.rtd",,$A$2,"."&amp;M$135&amp;M$1&amp;"P"&amp;$A185))</f>
        <v>0</v>
      </c>
      <c r="N185" s="91">
        <f ca="1">IF(RTD("tos.rtd",,$A$2,"."&amp;N$135&amp;N$1&amp;"C"&amp;$A185)="N/A",0,RTD("tos.rtd",,$A$2,"."&amp;N$135&amp;N$1&amp;"C"&amp;$A185))-IF(RTD("tos.rtd",,$A$2,"."&amp;N$135&amp;N$1&amp;"P"&amp;$A185)="N/A",0,RTD("tos.rtd",,$A$2,"."&amp;N$135&amp;N$1&amp;"P"&amp;$A185))</f>
        <v>0</v>
      </c>
      <c r="O185" s="91">
        <f ca="1">IF(RTD("tos.rtd",,$A$2,"."&amp;O$135&amp;O$1&amp;"C"&amp;$A185)="N/A",0,RTD("tos.rtd",,$A$2,"."&amp;O$135&amp;O$1&amp;"C"&amp;$A185))-IF(RTD("tos.rtd",,$A$2,"."&amp;O$135&amp;O$1&amp;"P"&amp;$A185)="N/A",0,RTD("tos.rtd",,$A$2,"."&amp;O$135&amp;O$1&amp;"P"&amp;$A185))</f>
        <v>0</v>
      </c>
      <c r="P185" s="91">
        <f ca="1">IF(RTD("tos.rtd",,$A$2,"."&amp;P$135&amp;P$1&amp;"C"&amp;$A185)="N/A",0,RTD("tos.rtd",,$A$2,"."&amp;P$135&amp;P$1&amp;"C"&amp;$A185))-IF(RTD("tos.rtd",,$A$2,"."&amp;P$135&amp;P$1&amp;"P"&amp;$A185)="N/A",0,RTD("tos.rtd",,$A$2,"."&amp;P$135&amp;P$1&amp;"P"&amp;$A185))</f>
        <v>0</v>
      </c>
      <c r="Q185" s="91">
        <f ca="1">IF(RTD("tos.rtd",,$A$2,"."&amp;Q$135&amp;Q$1&amp;"C"&amp;$A185)="N/A",0,RTD("tos.rtd",,$A$2,"."&amp;Q$135&amp;Q$1&amp;"C"&amp;$A185))-IF(RTD("tos.rtd",,$A$2,"."&amp;Q$135&amp;Q$1&amp;"P"&amp;$A185)="N/A",0,RTD("tos.rtd",,$A$2,"."&amp;Q$135&amp;Q$1&amp;"P"&amp;$A185))</f>
        <v>0</v>
      </c>
      <c r="R185" s="91">
        <f ca="1">IF(RTD("tos.rtd",,$A$2,"."&amp;R$135&amp;R$1&amp;"C"&amp;$A185)="N/A",0,RTD("tos.rtd",,$A$2,"."&amp;R$135&amp;R$1&amp;"C"&amp;$A185))-IF(RTD("tos.rtd",,$A$2,"."&amp;R$135&amp;R$1&amp;"P"&amp;$A185)="N/A",0,RTD("tos.rtd",,$A$2,"."&amp;R$135&amp;R$1&amp;"P"&amp;$A185))</f>
        <v>0</v>
      </c>
      <c r="S185" s="91">
        <f ca="1">IF(RTD("tos.rtd",,$A$2,"."&amp;S$135&amp;S$1&amp;"C"&amp;$A185)="N/A",0,RTD("tos.rtd",,$A$2,"."&amp;S$135&amp;S$1&amp;"C"&amp;$A185))-IF(RTD("tos.rtd",,$A$2,"."&amp;S$135&amp;S$1&amp;"P"&amp;$A185)="N/A",0,RTD("tos.rtd",,$A$2,"."&amp;S$135&amp;S$1&amp;"P"&amp;$A185))</f>
        <v>0</v>
      </c>
      <c r="T185" s="91">
        <f ca="1">IF(RTD("tos.rtd",,$A$2,"."&amp;T$135&amp;T$1&amp;"C"&amp;$A185)="N/A",0,RTD("tos.rtd",,$A$2,"."&amp;T$135&amp;T$1&amp;"C"&amp;$A185))-IF(RTD("tos.rtd",,$A$2,"."&amp;T$135&amp;T$1&amp;"P"&amp;$A185)="N/A",0,RTD("tos.rtd",,$A$2,"."&amp;T$135&amp;T$1&amp;"P"&amp;$A185))</f>
        <v>0</v>
      </c>
      <c r="U185" s="91">
        <f ca="1">IF(RTD("tos.rtd",,$A$2,"."&amp;U$135&amp;U$1&amp;"C"&amp;$A185)="N/A",0,RTD("tos.rtd",,$A$2,"."&amp;U$135&amp;U$1&amp;"C"&amp;$A185))-IF(RTD("tos.rtd",,$A$2,"."&amp;U$135&amp;U$1&amp;"P"&amp;$A185)="N/A",0,RTD("tos.rtd",,$A$2,"."&amp;U$135&amp;U$1&amp;"P"&amp;$A185))</f>
        <v>0</v>
      </c>
      <c r="V185" s="91">
        <f ca="1">IF(RTD("tos.rtd",,$A$2,"."&amp;V$135&amp;V$1&amp;"C"&amp;$A185)="N/A",0,RTD("tos.rtd",,$A$2,"."&amp;V$135&amp;V$1&amp;"C"&amp;$A185))-IF(RTD("tos.rtd",,$A$2,"."&amp;V$135&amp;V$1&amp;"P"&amp;$A185)="N/A",0,RTD("tos.rtd",,$A$2,"."&amp;V$135&amp;V$1&amp;"P"&amp;$A185))</f>
        <v>0</v>
      </c>
      <c r="W185" s="91">
        <f ca="1">IF(RTD("tos.rtd",,$A$2,"."&amp;W$135&amp;W$1&amp;"C"&amp;$A185)="N/A",0,RTD("tos.rtd",,$A$2,"."&amp;W$135&amp;W$1&amp;"C"&amp;$A185))-IF(RTD("tos.rtd",,$A$2,"."&amp;W$135&amp;W$1&amp;"P"&amp;$A185)="N/A",0,RTD("tos.rtd",,$A$2,"."&amp;W$135&amp;W$1&amp;"P"&amp;$A185))</f>
        <v>0</v>
      </c>
      <c r="X185" s="91">
        <f ca="1">IF(RTD("tos.rtd",,$A$2,"."&amp;X$135&amp;X$1&amp;"C"&amp;$A185)="N/A",0,RTD("tos.rtd",,$A$2,"."&amp;X$135&amp;X$1&amp;"C"&amp;$A185))-IF(RTD("tos.rtd",,$A$2,"."&amp;X$135&amp;X$1&amp;"P"&amp;$A185)="N/A",0,RTD("tos.rtd",,$A$2,"."&amp;X$135&amp;X$1&amp;"P"&amp;$A185))</f>
        <v>0</v>
      </c>
      <c r="Y185" s="98">
        <f t="shared" ca="1" si="13"/>
        <v>0</v>
      </c>
      <c r="Z185" s="91"/>
      <c r="AA185" s="91"/>
    </row>
    <row r="186" spans="1:27" x14ac:dyDescent="0.25">
      <c r="A186" s="93">
        <f>+Hoja1!A185</f>
        <v>19250</v>
      </c>
      <c r="B186" s="91">
        <f ca="1">IF(RTD("tos.rtd",,$A$2,"."&amp;B$135&amp;B$1&amp;"C"&amp;$A186)="N/A",0,RTD("tos.rtd",,$A$2,"."&amp;B$135&amp;B$1&amp;"C"&amp;$A186))-IF(RTD("tos.rtd",,$A$2,"."&amp;B$135&amp;B$1&amp;"P"&amp;$A186)="N/A",0,RTD("tos.rtd",,$A$2,"."&amp;B$135&amp;B$1&amp;"P"&amp;$A186))</f>
        <v>0</v>
      </c>
      <c r="C186" s="91">
        <f ca="1">IF(RTD("tos.rtd",,$A$2,"."&amp;C$135&amp;C$1&amp;"C"&amp;$A186)="N/A",0,RTD("tos.rtd",,$A$2,"."&amp;C$135&amp;C$1&amp;"C"&amp;$A186))-IF(RTD("tos.rtd",,$A$2,"."&amp;C$135&amp;C$1&amp;"P"&amp;$A186)="N/A",0,RTD("tos.rtd",,$A$2,"."&amp;C$135&amp;C$1&amp;"P"&amp;$A186))</f>
        <v>0</v>
      </c>
      <c r="D186" s="91">
        <f ca="1">IF(RTD("tos.rtd",,$A$2,"."&amp;D$135&amp;D$1&amp;"C"&amp;$A186)="N/A",0,RTD("tos.rtd",,$A$2,"."&amp;D$135&amp;D$1&amp;"C"&amp;$A186))-IF(RTD("tos.rtd",,$A$2,"."&amp;D$135&amp;D$1&amp;"P"&amp;$A186)="N/A",0,RTD("tos.rtd",,$A$2,"."&amp;D$135&amp;D$1&amp;"P"&amp;$A186))</f>
        <v>0</v>
      </c>
      <c r="E186" s="91">
        <f ca="1">IF(RTD("tos.rtd",,$A$2,"."&amp;E$135&amp;E$1&amp;"C"&amp;$A186)="N/A",0,RTD("tos.rtd",,$A$2,"."&amp;E$135&amp;E$1&amp;"C"&amp;$A186))-IF(RTD("tos.rtd",,$A$2,"."&amp;E$135&amp;E$1&amp;"P"&amp;$A186)="N/A",0,RTD("tos.rtd",,$A$2,"."&amp;E$135&amp;E$1&amp;"P"&amp;$A186))</f>
        <v>0</v>
      </c>
      <c r="F186" s="91">
        <f ca="1">IF(RTD("tos.rtd",,$A$2,"."&amp;F$135&amp;F$1&amp;"C"&amp;$A186)="N/A",0,RTD("tos.rtd",,$A$2,"."&amp;F$135&amp;F$1&amp;"C"&amp;$A186))-IF(RTD("tos.rtd",,$A$2,"."&amp;F$135&amp;F$1&amp;"P"&amp;$A186)="N/A",0,RTD("tos.rtd",,$A$2,"."&amp;F$135&amp;F$1&amp;"P"&amp;$A186))</f>
        <v>0</v>
      </c>
      <c r="G186" s="91">
        <f ca="1">IF(RTD("tos.rtd",,$A$2,"."&amp;G$135&amp;G$1&amp;"C"&amp;$A186)="N/A",0,RTD("tos.rtd",,$A$2,"."&amp;G$135&amp;G$1&amp;"C"&amp;$A186))-IF(RTD("tos.rtd",,$A$2,"."&amp;G$135&amp;G$1&amp;"P"&amp;$A186)="N/A",0,RTD("tos.rtd",,$A$2,"."&amp;G$135&amp;G$1&amp;"P"&amp;$A186))</f>
        <v>0</v>
      </c>
      <c r="H186" s="91">
        <f ca="1">IF(RTD("tos.rtd",,$A$2,"."&amp;H$135&amp;H$1&amp;"C"&amp;$A186)="N/A",0,RTD("tos.rtd",,$A$2,"."&amp;H$135&amp;H$1&amp;"C"&amp;$A186))-IF(RTD("tos.rtd",,$A$2,"."&amp;H$135&amp;H$1&amp;"P"&amp;$A186)="N/A",0,RTD("tos.rtd",,$A$2,"."&amp;H$135&amp;H$1&amp;"P"&amp;$A186))</f>
        <v>0</v>
      </c>
      <c r="I186" s="91">
        <f ca="1">IF(RTD("tos.rtd",,$A$2,"."&amp;I$135&amp;I$1&amp;"C"&amp;$A186)="N/A",0,RTD("tos.rtd",,$A$2,"."&amp;I$135&amp;I$1&amp;"C"&amp;$A186))-IF(RTD("tos.rtd",,$A$2,"."&amp;I$135&amp;I$1&amp;"P"&amp;$A186)="N/A",0,RTD("tos.rtd",,$A$2,"."&amp;I$135&amp;I$1&amp;"P"&amp;$A186))</f>
        <v>1</v>
      </c>
      <c r="J186" s="91">
        <f ca="1">IF(RTD("tos.rtd",,$A$2,"."&amp;J$135&amp;J$1&amp;"C"&amp;$A186)="N/A",0,RTD("tos.rtd",,$A$2,"."&amp;J$135&amp;J$1&amp;"C"&amp;$A186))-IF(RTD("tos.rtd",,$A$2,"."&amp;J$135&amp;J$1&amp;"P"&amp;$A186)="N/A",0,RTD("tos.rtd",,$A$2,"."&amp;J$135&amp;J$1&amp;"P"&amp;$A186))</f>
        <v>0</v>
      </c>
      <c r="K186" s="91">
        <f ca="1">IF(RTD("tos.rtd",,$A$2,"."&amp;K$135&amp;K$1&amp;"C"&amp;$A186)="N/A",0,RTD("tos.rtd",,$A$2,"."&amp;K$135&amp;K$1&amp;"C"&amp;$A186))-IF(RTD("tos.rtd",,$A$2,"."&amp;K$135&amp;K$1&amp;"P"&amp;$A186)="N/A",0,RTD("tos.rtd",,$A$2,"."&amp;K$135&amp;K$1&amp;"P"&amp;$A186))</f>
        <v>-7</v>
      </c>
      <c r="L186" s="91">
        <f ca="1">IF(RTD("tos.rtd",,$A$2,"."&amp;L$135&amp;L$1&amp;"C"&amp;$A186)="N/A",0,RTD("tos.rtd",,$A$2,"."&amp;L$135&amp;L$1&amp;"C"&amp;$A186))-IF(RTD("tos.rtd",,$A$2,"."&amp;L$135&amp;L$1&amp;"P"&amp;$A186)="N/A",0,RTD("tos.rtd",,$A$2,"."&amp;L$135&amp;L$1&amp;"P"&amp;$A186))</f>
        <v>0</v>
      </c>
      <c r="M186" s="91">
        <f ca="1">IF(RTD("tos.rtd",,$A$2,"."&amp;M$135&amp;M$1&amp;"C"&amp;$A186)="N/A",0,RTD("tos.rtd",,$A$2,"."&amp;M$135&amp;M$1&amp;"C"&amp;$A186))-IF(RTD("tos.rtd",,$A$2,"."&amp;M$135&amp;M$1&amp;"P"&amp;$A186)="N/A",0,RTD("tos.rtd",,$A$2,"."&amp;M$135&amp;M$1&amp;"P"&amp;$A186))</f>
        <v>0</v>
      </c>
      <c r="N186" s="91">
        <f ca="1">IF(RTD("tos.rtd",,$A$2,"."&amp;N$135&amp;N$1&amp;"C"&amp;$A186)="N/A",0,RTD("tos.rtd",,$A$2,"."&amp;N$135&amp;N$1&amp;"C"&amp;$A186))-IF(RTD("tos.rtd",,$A$2,"."&amp;N$135&amp;N$1&amp;"P"&amp;$A186)="N/A",0,RTD("tos.rtd",,$A$2,"."&amp;N$135&amp;N$1&amp;"P"&amp;$A186))</f>
        <v>0</v>
      </c>
      <c r="O186" s="91">
        <f ca="1">IF(RTD("tos.rtd",,$A$2,"."&amp;O$135&amp;O$1&amp;"C"&amp;$A186)="N/A",0,RTD("tos.rtd",,$A$2,"."&amp;O$135&amp;O$1&amp;"C"&amp;$A186))-IF(RTD("tos.rtd",,$A$2,"."&amp;O$135&amp;O$1&amp;"P"&amp;$A186)="N/A",0,RTD("tos.rtd",,$A$2,"."&amp;O$135&amp;O$1&amp;"P"&amp;$A186))</f>
        <v>0</v>
      </c>
      <c r="P186" s="91">
        <f ca="1">IF(RTD("tos.rtd",,$A$2,"."&amp;P$135&amp;P$1&amp;"C"&amp;$A186)="N/A",0,RTD("tos.rtd",,$A$2,"."&amp;P$135&amp;P$1&amp;"C"&amp;$A186))-IF(RTD("tos.rtd",,$A$2,"."&amp;P$135&amp;P$1&amp;"P"&amp;$A186)="N/A",0,RTD("tos.rtd",,$A$2,"."&amp;P$135&amp;P$1&amp;"P"&amp;$A186))</f>
        <v>0</v>
      </c>
      <c r="Q186" s="91">
        <f ca="1">IF(RTD("tos.rtd",,$A$2,"."&amp;Q$135&amp;Q$1&amp;"C"&amp;$A186)="N/A",0,RTD("tos.rtd",,$A$2,"."&amp;Q$135&amp;Q$1&amp;"C"&amp;$A186))-IF(RTD("tos.rtd",,$A$2,"."&amp;Q$135&amp;Q$1&amp;"P"&amp;$A186)="N/A",0,RTD("tos.rtd",,$A$2,"."&amp;Q$135&amp;Q$1&amp;"P"&amp;$A186))</f>
        <v>0</v>
      </c>
      <c r="R186" s="91">
        <f ca="1">IF(RTD("tos.rtd",,$A$2,"."&amp;R$135&amp;R$1&amp;"C"&amp;$A186)="N/A",0,RTD("tos.rtd",,$A$2,"."&amp;R$135&amp;R$1&amp;"C"&amp;$A186))-IF(RTD("tos.rtd",,$A$2,"."&amp;R$135&amp;R$1&amp;"P"&amp;$A186)="N/A",0,RTD("tos.rtd",,$A$2,"."&amp;R$135&amp;R$1&amp;"P"&amp;$A186))</f>
        <v>0</v>
      </c>
      <c r="S186" s="91">
        <f ca="1">IF(RTD("tos.rtd",,$A$2,"."&amp;S$135&amp;S$1&amp;"C"&amp;$A186)="N/A",0,RTD("tos.rtd",,$A$2,"."&amp;S$135&amp;S$1&amp;"C"&amp;$A186))-IF(RTD("tos.rtd",,$A$2,"."&amp;S$135&amp;S$1&amp;"P"&amp;$A186)="N/A",0,RTD("tos.rtd",,$A$2,"."&amp;S$135&amp;S$1&amp;"P"&amp;$A186))</f>
        <v>0</v>
      </c>
      <c r="T186" s="91">
        <f ca="1">IF(RTD("tos.rtd",,$A$2,"."&amp;T$135&amp;T$1&amp;"C"&amp;$A186)="N/A",0,RTD("tos.rtd",,$A$2,"."&amp;T$135&amp;T$1&amp;"C"&amp;$A186))-IF(RTD("tos.rtd",,$A$2,"."&amp;T$135&amp;T$1&amp;"P"&amp;$A186)="N/A",0,RTD("tos.rtd",,$A$2,"."&amp;T$135&amp;T$1&amp;"P"&amp;$A186))</f>
        <v>0</v>
      </c>
      <c r="U186" s="91">
        <f ca="1">IF(RTD("tos.rtd",,$A$2,"."&amp;U$135&amp;U$1&amp;"C"&amp;$A186)="N/A",0,RTD("tos.rtd",,$A$2,"."&amp;U$135&amp;U$1&amp;"C"&amp;$A186))-IF(RTD("tos.rtd",,$A$2,"."&amp;U$135&amp;U$1&amp;"P"&amp;$A186)="N/A",0,RTD("tos.rtd",,$A$2,"."&amp;U$135&amp;U$1&amp;"P"&amp;$A186))</f>
        <v>0</v>
      </c>
      <c r="V186" s="91">
        <f ca="1">IF(RTD("tos.rtd",,$A$2,"."&amp;V$135&amp;V$1&amp;"C"&amp;$A186)="N/A",0,RTD("tos.rtd",,$A$2,"."&amp;V$135&amp;V$1&amp;"C"&amp;$A186))-IF(RTD("tos.rtd",,$A$2,"."&amp;V$135&amp;V$1&amp;"P"&amp;$A186)="N/A",0,RTD("tos.rtd",,$A$2,"."&amp;V$135&amp;V$1&amp;"P"&amp;$A186))</f>
        <v>0</v>
      </c>
      <c r="W186" s="91">
        <f ca="1">IF(RTD("tos.rtd",,$A$2,"."&amp;W$135&amp;W$1&amp;"C"&amp;$A186)="N/A",0,RTD("tos.rtd",,$A$2,"."&amp;W$135&amp;W$1&amp;"C"&amp;$A186))-IF(RTD("tos.rtd",,$A$2,"."&amp;W$135&amp;W$1&amp;"P"&amp;$A186)="N/A",0,RTD("tos.rtd",,$A$2,"."&amp;W$135&amp;W$1&amp;"P"&amp;$A186))</f>
        <v>0</v>
      </c>
      <c r="X186" s="91">
        <f ca="1">IF(RTD("tos.rtd",,$A$2,"."&amp;X$135&amp;X$1&amp;"C"&amp;$A186)="N/A",0,RTD("tos.rtd",,$A$2,"."&amp;X$135&amp;X$1&amp;"C"&amp;$A186))-IF(RTD("tos.rtd",,$A$2,"."&amp;X$135&amp;X$1&amp;"P"&amp;$A186)="N/A",0,RTD("tos.rtd",,$A$2,"."&amp;X$135&amp;X$1&amp;"P"&amp;$A186))</f>
        <v>0</v>
      </c>
      <c r="Y186" s="98">
        <f t="shared" ca="1" si="13"/>
        <v>-6</v>
      </c>
      <c r="Z186" s="91"/>
      <c r="AA186" s="91"/>
    </row>
    <row r="187" spans="1:27" x14ac:dyDescent="0.25">
      <c r="A187" s="93">
        <f>+Hoja1!A186</f>
        <v>19225</v>
      </c>
      <c r="B187" s="91">
        <f ca="1">IF(RTD("tos.rtd",,$A$2,"."&amp;B$135&amp;B$1&amp;"C"&amp;$A187)="N/A",0,RTD("tos.rtd",,$A$2,"."&amp;B$135&amp;B$1&amp;"C"&amp;$A187))-IF(RTD("tos.rtd",,$A$2,"."&amp;B$135&amp;B$1&amp;"P"&amp;$A187)="N/A",0,RTD("tos.rtd",,$A$2,"."&amp;B$135&amp;B$1&amp;"P"&amp;$A187))</f>
        <v>0</v>
      </c>
      <c r="C187" s="91">
        <f ca="1">IF(RTD("tos.rtd",,$A$2,"."&amp;C$135&amp;C$1&amp;"C"&amp;$A187)="N/A",0,RTD("tos.rtd",,$A$2,"."&amp;C$135&amp;C$1&amp;"C"&amp;$A187))-IF(RTD("tos.rtd",,$A$2,"."&amp;C$135&amp;C$1&amp;"P"&amp;$A187)="N/A",0,RTD("tos.rtd",,$A$2,"."&amp;C$135&amp;C$1&amp;"P"&amp;$A187))</f>
        <v>0</v>
      </c>
      <c r="D187" s="91">
        <f ca="1">IF(RTD("tos.rtd",,$A$2,"."&amp;D$135&amp;D$1&amp;"C"&amp;$A187)="N/A",0,RTD("tos.rtd",,$A$2,"."&amp;D$135&amp;D$1&amp;"C"&amp;$A187))-IF(RTD("tos.rtd",,$A$2,"."&amp;D$135&amp;D$1&amp;"P"&amp;$A187)="N/A",0,RTD("tos.rtd",,$A$2,"."&amp;D$135&amp;D$1&amp;"P"&amp;$A187))</f>
        <v>0</v>
      </c>
      <c r="E187" s="91">
        <f ca="1">IF(RTD("tos.rtd",,$A$2,"."&amp;E$135&amp;E$1&amp;"C"&amp;$A187)="N/A",0,RTD("tos.rtd",,$A$2,"."&amp;E$135&amp;E$1&amp;"C"&amp;$A187))-IF(RTD("tos.rtd",,$A$2,"."&amp;E$135&amp;E$1&amp;"P"&amp;$A187)="N/A",0,RTD("tos.rtd",,$A$2,"."&amp;E$135&amp;E$1&amp;"P"&amp;$A187))</f>
        <v>0</v>
      </c>
      <c r="F187" s="91">
        <f ca="1">IF(RTD("tos.rtd",,$A$2,"."&amp;F$135&amp;F$1&amp;"C"&amp;$A187)="N/A",0,RTD("tos.rtd",,$A$2,"."&amp;F$135&amp;F$1&amp;"C"&amp;$A187))-IF(RTD("tos.rtd",,$A$2,"."&amp;F$135&amp;F$1&amp;"P"&amp;$A187)="N/A",0,RTD("tos.rtd",,$A$2,"."&amp;F$135&amp;F$1&amp;"P"&amp;$A187))</f>
        <v>0</v>
      </c>
      <c r="G187" s="91">
        <f ca="1">IF(RTD("tos.rtd",,$A$2,"."&amp;G$135&amp;G$1&amp;"C"&amp;$A187)="N/A",0,RTD("tos.rtd",,$A$2,"."&amp;G$135&amp;G$1&amp;"C"&amp;$A187))-IF(RTD("tos.rtd",,$A$2,"."&amp;G$135&amp;G$1&amp;"P"&amp;$A187)="N/A",0,RTD("tos.rtd",,$A$2,"."&amp;G$135&amp;G$1&amp;"P"&amp;$A187))</f>
        <v>0</v>
      </c>
      <c r="H187" s="91">
        <f ca="1">IF(RTD("tos.rtd",,$A$2,"."&amp;H$135&amp;H$1&amp;"C"&amp;$A187)="N/A",0,RTD("tos.rtd",,$A$2,"."&amp;H$135&amp;H$1&amp;"C"&amp;$A187))-IF(RTD("tos.rtd",,$A$2,"."&amp;H$135&amp;H$1&amp;"P"&amp;$A187)="N/A",0,RTD("tos.rtd",,$A$2,"."&amp;H$135&amp;H$1&amp;"P"&amp;$A187))</f>
        <v>0</v>
      </c>
      <c r="I187" s="91">
        <f ca="1">IF(RTD("tos.rtd",,$A$2,"."&amp;I$135&amp;I$1&amp;"C"&amp;$A187)="N/A",0,RTD("tos.rtd",,$A$2,"."&amp;I$135&amp;I$1&amp;"C"&amp;$A187))-IF(RTD("tos.rtd",,$A$2,"."&amp;I$135&amp;I$1&amp;"P"&amp;$A187)="N/A",0,RTD("tos.rtd",,$A$2,"."&amp;I$135&amp;I$1&amp;"P"&amp;$A187))</f>
        <v>0</v>
      </c>
      <c r="J187" s="91">
        <f ca="1">IF(RTD("tos.rtd",,$A$2,"."&amp;J$135&amp;J$1&amp;"C"&amp;$A187)="N/A",0,RTD("tos.rtd",,$A$2,"."&amp;J$135&amp;J$1&amp;"C"&amp;$A187))-IF(RTD("tos.rtd",,$A$2,"."&amp;J$135&amp;J$1&amp;"P"&amp;$A187)="N/A",0,RTD("tos.rtd",,$A$2,"."&amp;J$135&amp;J$1&amp;"P"&amp;$A187))</f>
        <v>0</v>
      </c>
      <c r="K187" s="91">
        <f ca="1">IF(RTD("tos.rtd",,$A$2,"."&amp;K$135&amp;K$1&amp;"C"&amp;$A187)="N/A",0,RTD("tos.rtd",,$A$2,"."&amp;K$135&amp;K$1&amp;"C"&amp;$A187))-IF(RTD("tos.rtd",,$A$2,"."&amp;K$135&amp;K$1&amp;"P"&amp;$A187)="N/A",0,RTD("tos.rtd",,$A$2,"."&amp;K$135&amp;K$1&amp;"P"&amp;$A187))</f>
        <v>-2</v>
      </c>
      <c r="L187" s="91">
        <f ca="1">IF(RTD("tos.rtd",,$A$2,"."&amp;L$135&amp;L$1&amp;"C"&amp;$A187)="N/A",0,RTD("tos.rtd",,$A$2,"."&amp;L$135&amp;L$1&amp;"C"&amp;$A187))-IF(RTD("tos.rtd",,$A$2,"."&amp;L$135&amp;L$1&amp;"P"&amp;$A187)="N/A",0,RTD("tos.rtd",,$A$2,"."&amp;L$135&amp;L$1&amp;"P"&amp;$A187))</f>
        <v>0</v>
      </c>
      <c r="M187" s="91">
        <f ca="1">IF(RTD("tos.rtd",,$A$2,"."&amp;M$135&amp;M$1&amp;"C"&amp;$A187)="N/A",0,RTD("tos.rtd",,$A$2,"."&amp;M$135&amp;M$1&amp;"C"&amp;$A187))-IF(RTD("tos.rtd",,$A$2,"."&amp;M$135&amp;M$1&amp;"P"&amp;$A187)="N/A",0,RTD("tos.rtd",,$A$2,"."&amp;M$135&amp;M$1&amp;"P"&amp;$A187))</f>
        <v>0</v>
      </c>
      <c r="N187" s="91">
        <f ca="1">IF(RTD("tos.rtd",,$A$2,"."&amp;N$135&amp;N$1&amp;"C"&amp;$A187)="N/A",0,RTD("tos.rtd",,$A$2,"."&amp;N$135&amp;N$1&amp;"C"&amp;$A187))-IF(RTD("tos.rtd",,$A$2,"."&amp;N$135&amp;N$1&amp;"P"&amp;$A187)="N/A",0,RTD("tos.rtd",,$A$2,"."&amp;N$135&amp;N$1&amp;"P"&amp;$A187))</f>
        <v>0</v>
      </c>
      <c r="O187" s="91">
        <f ca="1">IF(RTD("tos.rtd",,$A$2,"."&amp;O$135&amp;O$1&amp;"C"&amp;$A187)="N/A",0,RTD("tos.rtd",,$A$2,"."&amp;O$135&amp;O$1&amp;"C"&amp;$A187))-IF(RTD("tos.rtd",,$A$2,"."&amp;O$135&amp;O$1&amp;"P"&amp;$A187)="N/A",0,RTD("tos.rtd",,$A$2,"."&amp;O$135&amp;O$1&amp;"P"&amp;$A187))</f>
        <v>0</v>
      </c>
      <c r="P187" s="91">
        <f ca="1">IF(RTD("tos.rtd",,$A$2,"."&amp;P$135&amp;P$1&amp;"C"&amp;$A187)="N/A",0,RTD("tos.rtd",,$A$2,"."&amp;P$135&amp;P$1&amp;"C"&amp;$A187))-IF(RTD("tos.rtd",,$A$2,"."&amp;P$135&amp;P$1&amp;"P"&amp;$A187)="N/A",0,RTD("tos.rtd",,$A$2,"."&amp;P$135&amp;P$1&amp;"P"&amp;$A187))</f>
        <v>0</v>
      </c>
      <c r="Q187" s="91">
        <f ca="1">IF(RTD("tos.rtd",,$A$2,"."&amp;Q$135&amp;Q$1&amp;"C"&amp;$A187)="N/A",0,RTD("tos.rtd",,$A$2,"."&amp;Q$135&amp;Q$1&amp;"C"&amp;$A187))-IF(RTD("tos.rtd",,$A$2,"."&amp;Q$135&amp;Q$1&amp;"P"&amp;$A187)="N/A",0,RTD("tos.rtd",,$A$2,"."&amp;Q$135&amp;Q$1&amp;"P"&amp;$A187))</f>
        <v>0</v>
      </c>
      <c r="R187" s="91">
        <f ca="1">IF(RTD("tos.rtd",,$A$2,"."&amp;R$135&amp;R$1&amp;"C"&amp;$A187)="N/A",0,RTD("tos.rtd",,$A$2,"."&amp;R$135&amp;R$1&amp;"C"&amp;$A187))-IF(RTD("tos.rtd",,$A$2,"."&amp;R$135&amp;R$1&amp;"P"&amp;$A187)="N/A",0,RTD("tos.rtd",,$A$2,"."&amp;R$135&amp;R$1&amp;"P"&amp;$A187))</f>
        <v>0</v>
      </c>
      <c r="S187" s="91">
        <f ca="1">IF(RTD("tos.rtd",,$A$2,"."&amp;S$135&amp;S$1&amp;"C"&amp;$A187)="N/A",0,RTD("tos.rtd",,$A$2,"."&amp;S$135&amp;S$1&amp;"C"&amp;$A187))-IF(RTD("tos.rtd",,$A$2,"."&amp;S$135&amp;S$1&amp;"P"&amp;$A187)="N/A",0,RTD("tos.rtd",,$A$2,"."&amp;S$135&amp;S$1&amp;"P"&amp;$A187))</f>
        <v>0</v>
      </c>
      <c r="T187" s="91">
        <f ca="1">IF(RTD("tos.rtd",,$A$2,"."&amp;T$135&amp;T$1&amp;"C"&amp;$A187)="N/A",0,RTD("tos.rtd",,$A$2,"."&amp;T$135&amp;T$1&amp;"C"&amp;$A187))-IF(RTD("tos.rtd",,$A$2,"."&amp;T$135&amp;T$1&amp;"P"&amp;$A187)="N/A",0,RTD("tos.rtd",,$A$2,"."&amp;T$135&amp;T$1&amp;"P"&amp;$A187))</f>
        <v>0</v>
      </c>
      <c r="U187" s="91">
        <f ca="1">IF(RTD("tos.rtd",,$A$2,"."&amp;U$135&amp;U$1&amp;"C"&amp;$A187)="N/A",0,RTD("tos.rtd",,$A$2,"."&amp;U$135&amp;U$1&amp;"C"&amp;$A187))-IF(RTD("tos.rtd",,$A$2,"."&amp;U$135&amp;U$1&amp;"P"&amp;$A187)="N/A",0,RTD("tos.rtd",,$A$2,"."&amp;U$135&amp;U$1&amp;"P"&amp;$A187))</f>
        <v>0</v>
      </c>
      <c r="V187" s="91">
        <f ca="1">IF(RTD("tos.rtd",,$A$2,"."&amp;V$135&amp;V$1&amp;"C"&amp;$A187)="N/A",0,RTD("tos.rtd",,$A$2,"."&amp;V$135&amp;V$1&amp;"C"&amp;$A187))-IF(RTD("tos.rtd",,$A$2,"."&amp;V$135&amp;V$1&amp;"P"&amp;$A187)="N/A",0,RTD("tos.rtd",,$A$2,"."&amp;V$135&amp;V$1&amp;"P"&amp;$A187))</f>
        <v>0</v>
      </c>
      <c r="W187" s="91">
        <f ca="1">IF(RTD("tos.rtd",,$A$2,"."&amp;W$135&amp;W$1&amp;"C"&amp;$A187)="N/A",0,RTD("tos.rtd",,$A$2,"."&amp;W$135&amp;W$1&amp;"C"&amp;$A187))-IF(RTD("tos.rtd",,$A$2,"."&amp;W$135&amp;W$1&amp;"P"&amp;$A187)="N/A",0,RTD("tos.rtd",,$A$2,"."&amp;W$135&amp;W$1&amp;"P"&amp;$A187))</f>
        <v>0</v>
      </c>
      <c r="X187" s="91">
        <f ca="1">IF(RTD("tos.rtd",,$A$2,"."&amp;X$135&amp;X$1&amp;"C"&amp;$A187)="N/A",0,RTD("tos.rtd",,$A$2,"."&amp;X$135&amp;X$1&amp;"C"&amp;$A187))-IF(RTD("tos.rtd",,$A$2,"."&amp;X$135&amp;X$1&amp;"P"&amp;$A187)="N/A",0,RTD("tos.rtd",,$A$2,"."&amp;X$135&amp;X$1&amp;"P"&amp;$A187))</f>
        <v>0</v>
      </c>
      <c r="Y187" s="98">
        <f t="shared" ca="1" si="13"/>
        <v>-2</v>
      </c>
      <c r="Z187" s="91"/>
      <c r="AA187" s="91"/>
    </row>
    <row r="188" spans="1:27" x14ac:dyDescent="0.25">
      <c r="A188" s="93">
        <f>+Hoja1!A187</f>
        <v>19200</v>
      </c>
      <c r="B188" s="91">
        <f ca="1">IF(RTD("tos.rtd",,$A$2,"."&amp;B$135&amp;B$1&amp;"C"&amp;$A188)="N/A",0,RTD("tos.rtd",,$A$2,"."&amp;B$135&amp;B$1&amp;"C"&amp;$A188))-IF(RTD("tos.rtd",,$A$2,"."&amp;B$135&amp;B$1&amp;"P"&amp;$A188)="N/A",0,RTD("tos.rtd",,$A$2,"."&amp;B$135&amp;B$1&amp;"P"&amp;$A188))</f>
        <v>0</v>
      </c>
      <c r="C188" s="91">
        <f ca="1">IF(RTD("tos.rtd",,$A$2,"."&amp;C$135&amp;C$1&amp;"C"&amp;$A188)="N/A",0,RTD("tos.rtd",,$A$2,"."&amp;C$135&amp;C$1&amp;"C"&amp;$A188))-IF(RTD("tos.rtd",,$A$2,"."&amp;C$135&amp;C$1&amp;"P"&amp;$A188)="N/A",0,RTD("tos.rtd",,$A$2,"."&amp;C$135&amp;C$1&amp;"P"&amp;$A188))</f>
        <v>0</v>
      </c>
      <c r="D188" s="91">
        <f ca="1">IF(RTD("tos.rtd",,$A$2,"."&amp;D$135&amp;D$1&amp;"C"&amp;$A188)="N/A",0,RTD("tos.rtd",,$A$2,"."&amp;D$135&amp;D$1&amp;"C"&amp;$A188))-IF(RTD("tos.rtd",,$A$2,"."&amp;D$135&amp;D$1&amp;"P"&amp;$A188)="N/A",0,RTD("tos.rtd",,$A$2,"."&amp;D$135&amp;D$1&amp;"P"&amp;$A188))</f>
        <v>0</v>
      </c>
      <c r="E188" s="91">
        <f ca="1">IF(RTD("tos.rtd",,$A$2,"."&amp;E$135&amp;E$1&amp;"C"&amp;$A188)="N/A",0,RTD("tos.rtd",,$A$2,"."&amp;E$135&amp;E$1&amp;"C"&amp;$A188))-IF(RTD("tos.rtd",,$A$2,"."&amp;E$135&amp;E$1&amp;"P"&amp;$A188)="N/A",0,RTD("tos.rtd",,$A$2,"."&amp;E$135&amp;E$1&amp;"P"&amp;$A188))</f>
        <v>0</v>
      </c>
      <c r="F188" s="91">
        <f ca="1">IF(RTD("tos.rtd",,$A$2,"."&amp;F$135&amp;F$1&amp;"C"&amp;$A188)="N/A",0,RTD("tos.rtd",,$A$2,"."&amp;F$135&amp;F$1&amp;"C"&amp;$A188))-IF(RTD("tos.rtd",,$A$2,"."&amp;F$135&amp;F$1&amp;"P"&amp;$A188)="N/A",0,RTD("tos.rtd",,$A$2,"."&amp;F$135&amp;F$1&amp;"P"&amp;$A188))</f>
        <v>0</v>
      </c>
      <c r="G188" s="91">
        <f ca="1">IF(RTD("tos.rtd",,$A$2,"."&amp;G$135&amp;G$1&amp;"C"&amp;$A188)="N/A",0,RTD("tos.rtd",,$A$2,"."&amp;G$135&amp;G$1&amp;"C"&amp;$A188))-IF(RTD("tos.rtd",,$A$2,"."&amp;G$135&amp;G$1&amp;"P"&amp;$A188)="N/A",0,RTD("tos.rtd",,$A$2,"."&amp;G$135&amp;G$1&amp;"P"&amp;$A188))</f>
        <v>0</v>
      </c>
      <c r="H188" s="91">
        <f ca="1">IF(RTD("tos.rtd",,$A$2,"."&amp;H$135&amp;H$1&amp;"C"&amp;$A188)="N/A",0,RTD("tos.rtd",,$A$2,"."&amp;H$135&amp;H$1&amp;"C"&amp;$A188))-IF(RTD("tos.rtd",,$A$2,"."&amp;H$135&amp;H$1&amp;"P"&amp;$A188)="N/A",0,RTD("tos.rtd",,$A$2,"."&amp;H$135&amp;H$1&amp;"P"&amp;$A188))</f>
        <v>0</v>
      </c>
      <c r="I188" s="91">
        <f ca="1">IF(RTD("tos.rtd",,$A$2,"."&amp;I$135&amp;I$1&amp;"C"&amp;$A188)="N/A",0,RTD("tos.rtd",,$A$2,"."&amp;I$135&amp;I$1&amp;"C"&amp;$A188))-IF(RTD("tos.rtd",,$A$2,"."&amp;I$135&amp;I$1&amp;"P"&amp;$A188)="N/A",0,RTD("tos.rtd",,$A$2,"."&amp;I$135&amp;I$1&amp;"P"&amp;$A188))</f>
        <v>0</v>
      </c>
      <c r="J188" s="91">
        <f ca="1">IF(RTD("tos.rtd",,$A$2,"."&amp;J$135&amp;J$1&amp;"C"&amp;$A188)="N/A",0,RTD("tos.rtd",,$A$2,"."&amp;J$135&amp;J$1&amp;"C"&amp;$A188))-IF(RTD("tos.rtd",,$A$2,"."&amp;J$135&amp;J$1&amp;"P"&amp;$A188)="N/A",0,RTD("tos.rtd",,$A$2,"."&amp;J$135&amp;J$1&amp;"P"&amp;$A188))</f>
        <v>0</v>
      </c>
      <c r="K188" s="91">
        <f ca="1">IF(RTD("tos.rtd",,$A$2,"."&amp;K$135&amp;K$1&amp;"C"&amp;$A188)="N/A",0,RTD("tos.rtd",,$A$2,"."&amp;K$135&amp;K$1&amp;"C"&amp;$A188))-IF(RTD("tos.rtd",,$A$2,"."&amp;K$135&amp;K$1&amp;"P"&amp;$A188)="N/A",0,RTD("tos.rtd",,$A$2,"."&amp;K$135&amp;K$1&amp;"P"&amp;$A188))</f>
        <v>-1</v>
      </c>
      <c r="L188" s="91">
        <f ca="1">IF(RTD("tos.rtd",,$A$2,"."&amp;L$135&amp;L$1&amp;"C"&amp;$A188)="N/A",0,RTD("tos.rtd",,$A$2,"."&amp;L$135&amp;L$1&amp;"C"&amp;$A188))-IF(RTD("tos.rtd",,$A$2,"."&amp;L$135&amp;L$1&amp;"P"&amp;$A188)="N/A",0,RTD("tos.rtd",,$A$2,"."&amp;L$135&amp;L$1&amp;"P"&amp;$A188))</f>
        <v>0</v>
      </c>
      <c r="M188" s="91">
        <f ca="1">IF(RTD("tos.rtd",,$A$2,"."&amp;M$135&amp;M$1&amp;"C"&amp;$A188)="N/A",0,RTD("tos.rtd",,$A$2,"."&amp;M$135&amp;M$1&amp;"C"&amp;$A188))-IF(RTD("tos.rtd",,$A$2,"."&amp;M$135&amp;M$1&amp;"P"&amp;$A188)="N/A",0,RTD("tos.rtd",,$A$2,"."&amp;M$135&amp;M$1&amp;"P"&amp;$A188))</f>
        <v>-8</v>
      </c>
      <c r="N188" s="91">
        <f ca="1">IF(RTD("tos.rtd",,$A$2,"."&amp;N$135&amp;N$1&amp;"C"&amp;$A188)="N/A",0,RTD("tos.rtd",,$A$2,"."&amp;N$135&amp;N$1&amp;"C"&amp;$A188))-IF(RTD("tos.rtd",,$A$2,"."&amp;N$135&amp;N$1&amp;"P"&amp;$A188)="N/A",0,RTD("tos.rtd",,$A$2,"."&amp;N$135&amp;N$1&amp;"P"&amp;$A188))</f>
        <v>0</v>
      </c>
      <c r="O188" s="91">
        <f ca="1">IF(RTD("tos.rtd",,$A$2,"."&amp;O$135&amp;O$1&amp;"C"&amp;$A188)="N/A",0,RTD("tos.rtd",,$A$2,"."&amp;O$135&amp;O$1&amp;"C"&amp;$A188))-IF(RTD("tos.rtd",,$A$2,"."&amp;O$135&amp;O$1&amp;"P"&amp;$A188)="N/A",0,RTD("tos.rtd",,$A$2,"."&amp;O$135&amp;O$1&amp;"P"&amp;$A188))</f>
        <v>0</v>
      </c>
      <c r="P188" s="91">
        <f ca="1">IF(RTD("tos.rtd",,$A$2,"."&amp;P$135&amp;P$1&amp;"C"&amp;$A188)="N/A",0,RTD("tos.rtd",,$A$2,"."&amp;P$135&amp;P$1&amp;"C"&amp;$A188))-IF(RTD("tos.rtd",,$A$2,"."&amp;P$135&amp;P$1&amp;"P"&amp;$A188)="N/A",0,RTD("tos.rtd",,$A$2,"."&amp;P$135&amp;P$1&amp;"P"&amp;$A188))</f>
        <v>0</v>
      </c>
      <c r="Q188" s="91">
        <f ca="1">IF(RTD("tos.rtd",,$A$2,"."&amp;Q$135&amp;Q$1&amp;"C"&amp;$A188)="N/A",0,RTD("tos.rtd",,$A$2,"."&amp;Q$135&amp;Q$1&amp;"C"&amp;$A188))-IF(RTD("tos.rtd",,$A$2,"."&amp;Q$135&amp;Q$1&amp;"P"&amp;$A188)="N/A",0,RTD("tos.rtd",,$A$2,"."&amp;Q$135&amp;Q$1&amp;"P"&amp;$A188))</f>
        <v>0</v>
      </c>
      <c r="R188" s="91">
        <f ca="1">IF(RTD("tos.rtd",,$A$2,"."&amp;R$135&amp;R$1&amp;"C"&amp;$A188)="N/A",0,RTD("tos.rtd",,$A$2,"."&amp;R$135&amp;R$1&amp;"C"&amp;$A188))-IF(RTD("tos.rtd",,$A$2,"."&amp;R$135&amp;R$1&amp;"P"&amp;$A188)="N/A",0,RTD("tos.rtd",,$A$2,"."&amp;R$135&amp;R$1&amp;"P"&amp;$A188))</f>
        <v>0</v>
      </c>
      <c r="S188" s="91">
        <f ca="1">IF(RTD("tos.rtd",,$A$2,"."&amp;S$135&amp;S$1&amp;"C"&amp;$A188)="N/A",0,RTD("tos.rtd",,$A$2,"."&amp;S$135&amp;S$1&amp;"C"&amp;$A188))-IF(RTD("tos.rtd",,$A$2,"."&amp;S$135&amp;S$1&amp;"P"&amp;$A188)="N/A",0,RTD("tos.rtd",,$A$2,"."&amp;S$135&amp;S$1&amp;"P"&amp;$A188))</f>
        <v>0</v>
      </c>
      <c r="T188" s="91">
        <f ca="1">IF(RTD("tos.rtd",,$A$2,"."&amp;T$135&amp;T$1&amp;"C"&amp;$A188)="N/A",0,RTD("tos.rtd",,$A$2,"."&amp;T$135&amp;T$1&amp;"C"&amp;$A188))-IF(RTD("tos.rtd",,$A$2,"."&amp;T$135&amp;T$1&amp;"P"&amp;$A188)="N/A",0,RTD("tos.rtd",,$A$2,"."&amp;T$135&amp;T$1&amp;"P"&amp;$A188))</f>
        <v>0</v>
      </c>
      <c r="U188" s="91">
        <f ca="1">IF(RTD("tos.rtd",,$A$2,"."&amp;U$135&amp;U$1&amp;"C"&amp;$A188)="N/A",0,RTD("tos.rtd",,$A$2,"."&amp;U$135&amp;U$1&amp;"C"&amp;$A188))-IF(RTD("tos.rtd",,$A$2,"."&amp;U$135&amp;U$1&amp;"P"&amp;$A188)="N/A",0,RTD("tos.rtd",,$A$2,"."&amp;U$135&amp;U$1&amp;"P"&amp;$A188))</f>
        <v>0</v>
      </c>
      <c r="V188" s="91">
        <f ca="1">IF(RTD("tos.rtd",,$A$2,"."&amp;V$135&amp;V$1&amp;"C"&amp;$A188)="N/A",0,RTD("tos.rtd",,$A$2,"."&amp;V$135&amp;V$1&amp;"C"&amp;$A188))-IF(RTD("tos.rtd",,$A$2,"."&amp;V$135&amp;V$1&amp;"P"&amp;$A188)="N/A",0,RTD("tos.rtd",,$A$2,"."&amp;V$135&amp;V$1&amp;"P"&amp;$A188))</f>
        <v>0</v>
      </c>
      <c r="W188" s="91">
        <f ca="1">IF(RTD("tos.rtd",,$A$2,"."&amp;W$135&amp;W$1&amp;"C"&amp;$A188)="N/A",0,RTD("tos.rtd",,$A$2,"."&amp;W$135&amp;W$1&amp;"C"&amp;$A188))-IF(RTD("tos.rtd",,$A$2,"."&amp;W$135&amp;W$1&amp;"P"&amp;$A188)="N/A",0,RTD("tos.rtd",,$A$2,"."&amp;W$135&amp;W$1&amp;"P"&amp;$A188))</f>
        <v>0</v>
      </c>
      <c r="X188" s="91">
        <f ca="1">IF(RTD("tos.rtd",,$A$2,"."&amp;X$135&amp;X$1&amp;"C"&amp;$A188)="N/A",0,RTD("tos.rtd",,$A$2,"."&amp;X$135&amp;X$1&amp;"C"&amp;$A188))-IF(RTD("tos.rtd",,$A$2,"."&amp;X$135&amp;X$1&amp;"P"&amp;$A188)="N/A",0,RTD("tos.rtd",,$A$2,"."&amp;X$135&amp;X$1&amp;"P"&amp;$A188))</f>
        <v>0</v>
      </c>
      <c r="Y188" s="98">
        <f t="shared" ca="1" si="13"/>
        <v>-9</v>
      </c>
      <c r="Z188" s="91"/>
      <c r="AA188" s="91"/>
    </row>
    <row r="189" spans="1:27" x14ac:dyDescent="0.25">
      <c r="A189" s="93">
        <f>+Hoja1!A188</f>
        <v>19175</v>
      </c>
      <c r="B189" s="91">
        <f ca="1">IF(RTD("tos.rtd",,$A$2,"."&amp;B$135&amp;B$1&amp;"C"&amp;$A189)="N/A",0,RTD("tos.rtd",,$A$2,"."&amp;B$135&amp;B$1&amp;"C"&amp;$A189))-IF(RTD("tos.rtd",,$A$2,"."&amp;B$135&amp;B$1&amp;"P"&amp;$A189)="N/A",0,RTD("tos.rtd",,$A$2,"."&amp;B$135&amp;B$1&amp;"P"&amp;$A189))</f>
        <v>0</v>
      </c>
      <c r="C189" s="91">
        <f ca="1">IF(RTD("tos.rtd",,$A$2,"."&amp;C$135&amp;C$1&amp;"C"&amp;$A189)="N/A",0,RTD("tos.rtd",,$A$2,"."&amp;C$135&amp;C$1&amp;"C"&amp;$A189))-IF(RTD("tos.rtd",,$A$2,"."&amp;C$135&amp;C$1&amp;"P"&amp;$A189)="N/A",0,RTD("tos.rtd",,$A$2,"."&amp;C$135&amp;C$1&amp;"P"&amp;$A189))</f>
        <v>0</v>
      </c>
      <c r="D189" s="91">
        <f ca="1">IF(RTD("tos.rtd",,$A$2,"."&amp;D$135&amp;D$1&amp;"C"&amp;$A189)="N/A",0,RTD("tos.rtd",,$A$2,"."&amp;D$135&amp;D$1&amp;"C"&amp;$A189))-IF(RTD("tos.rtd",,$A$2,"."&amp;D$135&amp;D$1&amp;"P"&amp;$A189)="N/A",0,RTD("tos.rtd",,$A$2,"."&amp;D$135&amp;D$1&amp;"P"&amp;$A189))</f>
        <v>0</v>
      </c>
      <c r="E189" s="91">
        <f ca="1">IF(RTD("tos.rtd",,$A$2,"."&amp;E$135&amp;E$1&amp;"C"&amp;$A189)="N/A",0,RTD("tos.rtd",,$A$2,"."&amp;E$135&amp;E$1&amp;"C"&amp;$A189))-IF(RTD("tos.rtd",,$A$2,"."&amp;E$135&amp;E$1&amp;"P"&amp;$A189)="N/A",0,RTD("tos.rtd",,$A$2,"."&amp;E$135&amp;E$1&amp;"P"&amp;$A189))</f>
        <v>0</v>
      </c>
      <c r="F189" s="91">
        <f ca="1">IF(RTD("tos.rtd",,$A$2,"."&amp;F$135&amp;F$1&amp;"C"&amp;$A189)="N/A",0,RTD("tos.rtd",,$A$2,"."&amp;F$135&amp;F$1&amp;"C"&amp;$A189))-IF(RTD("tos.rtd",,$A$2,"."&amp;F$135&amp;F$1&amp;"P"&amp;$A189)="N/A",0,RTD("tos.rtd",,$A$2,"."&amp;F$135&amp;F$1&amp;"P"&amp;$A189))</f>
        <v>0</v>
      </c>
      <c r="G189" s="91">
        <f ca="1">IF(RTD("tos.rtd",,$A$2,"."&amp;G$135&amp;G$1&amp;"C"&amp;$A189)="N/A",0,RTD("tos.rtd",,$A$2,"."&amp;G$135&amp;G$1&amp;"C"&amp;$A189))-IF(RTD("tos.rtd",,$A$2,"."&amp;G$135&amp;G$1&amp;"P"&amp;$A189)="N/A",0,RTD("tos.rtd",,$A$2,"."&amp;G$135&amp;G$1&amp;"P"&amp;$A189))</f>
        <v>0</v>
      </c>
      <c r="H189" s="91">
        <f ca="1">IF(RTD("tos.rtd",,$A$2,"."&amp;H$135&amp;H$1&amp;"C"&amp;$A189)="N/A",0,RTD("tos.rtd",,$A$2,"."&amp;H$135&amp;H$1&amp;"C"&amp;$A189))-IF(RTD("tos.rtd",,$A$2,"."&amp;H$135&amp;H$1&amp;"P"&amp;$A189)="N/A",0,RTD("tos.rtd",,$A$2,"."&amp;H$135&amp;H$1&amp;"P"&amp;$A189))</f>
        <v>0</v>
      </c>
      <c r="I189" s="91">
        <f ca="1">IF(RTD("tos.rtd",,$A$2,"."&amp;I$135&amp;I$1&amp;"C"&amp;$A189)="N/A",0,RTD("tos.rtd",,$A$2,"."&amp;I$135&amp;I$1&amp;"C"&amp;$A189))-IF(RTD("tos.rtd",,$A$2,"."&amp;I$135&amp;I$1&amp;"P"&amp;$A189)="N/A",0,RTD("tos.rtd",,$A$2,"."&amp;I$135&amp;I$1&amp;"P"&amp;$A189))</f>
        <v>0</v>
      </c>
      <c r="J189" s="91">
        <f ca="1">IF(RTD("tos.rtd",,$A$2,"."&amp;J$135&amp;J$1&amp;"C"&amp;$A189)="N/A",0,RTD("tos.rtd",,$A$2,"."&amp;J$135&amp;J$1&amp;"C"&amp;$A189))-IF(RTD("tos.rtd",,$A$2,"."&amp;J$135&amp;J$1&amp;"P"&amp;$A189)="N/A",0,RTD("tos.rtd",,$A$2,"."&amp;J$135&amp;J$1&amp;"P"&amp;$A189))</f>
        <v>0</v>
      </c>
      <c r="K189" s="91">
        <f ca="1">IF(RTD("tos.rtd",,$A$2,"."&amp;K$135&amp;K$1&amp;"C"&amp;$A189)="N/A",0,RTD("tos.rtd",,$A$2,"."&amp;K$135&amp;K$1&amp;"C"&amp;$A189))-IF(RTD("tos.rtd",,$A$2,"."&amp;K$135&amp;K$1&amp;"P"&amp;$A189)="N/A",0,RTD("tos.rtd",,$A$2,"."&amp;K$135&amp;K$1&amp;"P"&amp;$A189))</f>
        <v>0</v>
      </c>
      <c r="L189" s="91">
        <f ca="1">IF(RTD("tos.rtd",,$A$2,"."&amp;L$135&amp;L$1&amp;"C"&amp;$A189)="N/A",0,RTD("tos.rtd",,$A$2,"."&amp;L$135&amp;L$1&amp;"C"&amp;$A189))-IF(RTD("tos.rtd",,$A$2,"."&amp;L$135&amp;L$1&amp;"P"&amp;$A189)="N/A",0,RTD("tos.rtd",,$A$2,"."&amp;L$135&amp;L$1&amp;"P"&amp;$A189))</f>
        <v>0</v>
      </c>
      <c r="M189" s="91">
        <f ca="1">IF(RTD("tos.rtd",,$A$2,"."&amp;M$135&amp;M$1&amp;"C"&amp;$A189)="N/A",0,RTD("tos.rtd",,$A$2,"."&amp;M$135&amp;M$1&amp;"C"&amp;$A189))-IF(RTD("tos.rtd",,$A$2,"."&amp;M$135&amp;M$1&amp;"P"&amp;$A189)="N/A",0,RTD("tos.rtd",,$A$2,"."&amp;M$135&amp;M$1&amp;"P"&amp;$A189))</f>
        <v>0</v>
      </c>
      <c r="N189" s="91">
        <f ca="1">IF(RTD("tos.rtd",,$A$2,"."&amp;N$135&amp;N$1&amp;"C"&amp;$A189)="N/A",0,RTD("tos.rtd",,$A$2,"."&amp;N$135&amp;N$1&amp;"C"&amp;$A189))-IF(RTD("tos.rtd",,$A$2,"."&amp;N$135&amp;N$1&amp;"P"&amp;$A189)="N/A",0,RTD("tos.rtd",,$A$2,"."&amp;N$135&amp;N$1&amp;"P"&amp;$A189))</f>
        <v>0</v>
      </c>
      <c r="O189" s="91">
        <f ca="1">IF(RTD("tos.rtd",,$A$2,"."&amp;O$135&amp;O$1&amp;"C"&amp;$A189)="N/A",0,RTD("tos.rtd",,$A$2,"."&amp;O$135&amp;O$1&amp;"C"&amp;$A189))-IF(RTD("tos.rtd",,$A$2,"."&amp;O$135&amp;O$1&amp;"P"&amp;$A189)="N/A",0,RTD("tos.rtd",,$A$2,"."&amp;O$135&amp;O$1&amp;"P"&amp;$A189))</f>
        <v>0</v>
      </c>
      <c r="P189" s="91">
        <f ca="1">IF(RTD("tos.rtd",,$A$2,"."&amp;P$135&amp;P$1&amp;"C"&amp;$A189)="N/A",0,RTD("tos.rtd",,$A$2,"."&amp;P$135&amp;P$1&amp;"C"&amp;$A189))-IF(RTD("tos.rtd",,$A$2,"."&amp;P$135&amp;P$1&amp;"P"&amp;$A189)="N/A",0,RTD("tos.rtd",,$A$2,"."&amp;P$135&amp;P$1&amp;"P"&amp;$A189))</f>
        <v>0</v>
      </c>
      <c r="Q189" s="91">
        <f ca="1">IF(RTD("tos.rtd",,$A$2,"."&amp;Q$135&amp;Q$1&amp;"C"&amp;$A189)="N/A",0,RTD("tos.rtd",,$A$2,"."&amp;Q$135&amp;Q$1&amp;"C"&amp;$A189))-IF(RTD("tos.rtd",,$A$2,"."&amp;Q$135&amp;Q$1&amp;"P"&amp;$A189)="N/A",0,RTD("tos.rtd",,$A$2,"."&amp;Q$135&amp;Q$1&amp;"P"&amp;$A189))</f>
        <v>0</v>
      </c>
      <c r="R189" s="91">
        <f ca="1">IF(RTD("tos.rtd",,$A$2,"."&amp;R$135&amp;R$1&amp;"C"&amp;$A189)="N/A",0,RTD("tos.rtd",,$A$2,"."&amp;R$135&amp;R$1&amp;"C"&amp;$A189))-IF(RTD("tos.rtd",,$A$2,"."&amp;R$135&amp;R$1&amp;"P"&amp;$A189)="N/A",0,RTD("tos.rtd",,$A$2,"."&amp;R$135&amp;R$1&amp;"P"&amp;$A189))</f>
        <v>0</v>
      </c>
      <c r="S189" s="91">
        <f ca="1">IF(RTD("tos.rtd",,$A$2,"."&amp;S$135&amp;S$1&amp;"C"&amp;$A189)="N/A",0,RTD("tos.rtd",,$A$2,"."&amp;S$135&amp;S$1&amp;"C"&amp;$A189))-IF(RTD("tos.rtd",,$A$2,"."&amp;S$135&amp;S$1&amp;"P"&amp;$A189)="N/A",0,RTD("tos.rtd",,$A$2,"."&amp;S$135&amp;S$1&amp;"P"&amp;$A189))</f>
        <v>0</v>
      </c>
      <c r="T189" s="91">
        <f ca="1">IF(RTD("tos.rtd",,$A$2,"."&amp;T$135&amp;T$1&amp;"C"&amp;$A189)="N/A",0,RTD("tos.rtd",,$A$2,"."&amp;T$135&amp;T$1&amp;"C"&amp;$A189))-IF(RTD("tos.rtd",,$A$2,"."&amp;T$135&amp;T$1&amp;"P"&amp;$A189)="N/A",0,RTD("tos.rtd",,$A$2,"."&amp;T$135&amp;T$1&amp;"P"&amp;$A189))</f>
        <v>0</v>
      </c>
      <c r="U189" s="91">
        <f ca="1">IF(RTD("tos.rtd",,$A$2,"."&amp;U$135&amp;U$1&amp;"C"&amp;$A189)="N/A",0,RTD("tos.rtd",,$A$2,"."&amp;U$135&amp;U$1&amp;"C"&amp;$A189))-IF(RTD("tos.rtd",,$A$2,"."&amp;U$135&amp;U$1&amp;"P"&amp;$A189)="N/A",0,RTD("tos.rtd",,$A$2,"."&amp;U$135&amp;U$1&amp;"P"&amp;$A189))</f>
        <v>0</v>
      </c>
      <c r="V189" s="91">
        <f ca="1">IF(RTD("tos.rtd",,$A$2,"."&amp;V$135&amp;V$1&amp;"C"&amp;$A189)="N/A",0,RTD("tos.rtd",,$A$2,"."&amp;V$135&amp;V$1&amp;"C"&amp;$A189))-IF(RTD("tos.rtd",,$A$2,"."&amp;V$135&amp;V$1&amp;"P"&amp;$A189)="N/A",0,RTD("tos.rtd",,$A$2,"."&amp;V$135&amp;V$1&amp;"P"&amp;$A189))</f>
        <v>0</v>
      </c>
      <c r="W189" s="91">
        <f ca="1">IF(RTD("tos.rtd",,$A$2,"."&amp;W$135&amp;W$1&amp;"C"&amp;$A189)="N/A",0,RTD("tos.rtd",,$A$2,"."&amp;W$135&amp;W$1&amp;"C"&amp;$A189))-IF(RTD("tos.rtd",,$A$2,"."&amp;W$135&amp;W$1&amp;"P"&amp;$A189)="N/A",0,RTD("tos.rtd",,$A$2,"."&amp;W$135&amp;W$1&amp;"P"&amp;$A189))</f>
        <v>0</v>
      </c>
      <c r="X189" s="91">
        <f ca="1">IF(RTD("tos.rtd",,$A$2,"."&amp;X$135&amp;X$1&amp;"C"&amp;$A189)="N/A",0,RTD("tos.rtd",,$A$2,"."&amp;X$135&amp;X$1&amp;"C"&amp;$A189))-IF(RTD("tos.rtd",,$A$2,"."&amp;X$135&amp;X$1&amp;"P"&amp;$A189)="N/A",0,RTD("tos.rtd",,$A$2,"."&amp;X$135&amp;X$1&amp;"P"&amp;$A189))</f>
        <v>0</v>
      </c>
      <c r="Y189" s="98">
        <f t="shared" ca="1" si="13"/>
        <v>0</v>
      </c>
      <c r="Z189" s="91"/>
      <c r="AA189" s="91"/>
    </row>
    <row r="190" spans="1:27" x14ac:dyDescent="0.25">
      <c r="A190" s="93">
        <f>+Hoja1!A189</f>
        <v>19150</v>
      </c>
      <c r="B190" s="91">
        <f ca="1">IF(RTD("tos.rtd",,$A$2,"."&amp;B$135&amp;B$1&amp;"C"&amp;$A190)="N/A",0,RTD("tos.rtd",,$A$2,"."&amp;B$135&amp;B$1&amp;"C"&amp;$A190))-IF(RTD("tos.rtd",,$A$2,"."&amp;B$135&amp;B$1&amp;"P"&amp;$A190)="N/A",0,RTD("tos.rtd",,$A$2,"."&amp;B$135&amp;B$1&amp;"P"&amp;$A190))</f>
        <v>0</v>
      </c>
      <c r="C190" s="91">
        <f ca="1">IF(RTD("tos.rtd",,$A$2,"."&amp;C$135&amp;C$1&amp;"C"&amp;$A190)="N/A",0,RTD("tos.rtd",,$A$2,"."&amp;C$135&amp;C$1&amp;"C"&amp;$A190))-IF(RTD("tos.rtd",,$A$2,"."&amp;C$135&amp;C$1&amp;"P"&amp;$A190)="N/A",0,RTD("tos.rtd",,$A$2,"."&amp;C$135&amp;C$1&amp;"P"&amp;$A190))</f>
        <v>0</v>
      </c>
      <c r="D190" s="91">
        <f ca="1">IF(RTD("tos.rtd",,$A$2,"."&amp;D$135&amp;D$1&amp;"C"&amp;$A190)="N/A",0,RTD("tos.rtd",,$A$2,"."&amp;D$135&amp;D$1&amp;"C"&amp;$A190))-IF(RTD("tos.rtd",,$A$2,"."&amp;D$135&amp;D$1&amp;"P"&amp;$A190)="N/A",0,RTD("tos.rtd",,$A$2,"."&amp;D$135&amp;D$1&amp;"P"&amp;$A190))</f>
        <v>0</v>
      </c>
      <c r="E190" s="91">
        <f ca="1">IF(RTD("tos.rtd",,$A$2,"."&amp;E$135&amp;E$1&amp;"C"&amp;$A190)="N/A",0,RTD("tos.rtd",,$A$2,"."&amp;E$135&amp;E$1&amp;"C"&amp;$A190))-IF(RTD("tos.rtd",,$A$2,"."&amp;E$135&amp;E$1&amp;"P"&amp;$A190)="N/A",0,RTD("tos.rtd",,$A$2,"."&amp;E$135&amp;E$1&amp;"P"&amp;$A190))</f>
        <v>0</v>
      </c>
      <c r="F190" s="91">
        <f ca="1">IF(RTD("tos.rtd",,$A$2,"."&amp;F$135&amp;F$1&amp;"C"&amp;$A190)="N/A",0,RTD("tos.rtd",,$A$2,"."&amp;F$135&amp;F$1&amp;"C"&amp;$A190))-IF(RTD("tos.rtd",,$A$2,"."&amp;F$135&amp;F$1&amp;"P"&amp;$A190)="N/A",0,RTD("tos.rtd",,$A$2,"."&amp;F$135&amp;F$1&amp;"P"&amp;$A190))</f>
        <v>0</v>
      </c>
      <c r="G190" s="91">
        <f ca="1">IF(RTD("tos.rtd",,$A$2,"."&amp;G$135&amp;G$1&amp;"C"&amp;$A190)="N/A",0,RTD("tos.rtd",,$A$2,"."&amp;G$135&amp;G$1&amp;"C"&amp;$A190))-IF(RTD("tos.rtd",,$A$2,"."&amp;G$135&amp;G$1&amp;"P"&amp;$A190)="N/A",0,RTD("tos.rtd",,$A$2,"."&amp;G$135&amp;G$1&amp;"P"&amp;$A190))</f>
        <v>0</v>
      </c>
      <c r="H190" s="91">
        <f ca="1">IF(RTD("tos.rtd",,$A$2,"."&amp;H$135&amp;H$1&amp;"C"&amp;$A190)="N/A",0,RTD("tos.rtd",,$A$2,"."&amp;H$135&amp;H$1&amp;"C"&amp;$A190))-IF(RTD("tos.rtd",,$A$2,"."&amp;H$135&amp;H$1&amp;"P"&amp;$A190)="N/A",0,RTD("tos.rtd",,$A$2,"."&amp;H$135&amp;H$1&amp;"P"&amp;$A190))</f>
        <v>0</v>
      </c>
      <c r="I190" s="91">
        <f ca="1">IF(RTD("tos.rtd",,$A$2,"."&amp;I$135&amp;I$1&amp;"C"&amp;$A190)="N/A",0,RTD("tos.rtd",,$A$2,"."&amp;I$135&amp;I$1&amp;"C"&amp;$A190))-IF(RTD("tos.rtd",,$A$2,"."&amp;I$135&amp;I$1&amp;"P"&amp;$A190)="N/A",0,RTD("tos.rtd",,$A$2,"."&amp;I$135&amp;I$1&amp;"P"&amp;$A190))</f>
        <v>-1</v>
      </c>
      <c r="J190" s="91">
        <f ca="1">IF(RTD("tos.rtd",,$A$2,"."&amp;J$135&amp;J$1&amp;"C"&amp;$A190)="N/A",0,RTD("tos.rtd",,$A$2,"."&amp;J$135&amp;J$1&amp;"C"&amp;$A190))-IF(RTD("tos.rtd",,$A$2,"."&amp;J$135&amp;J$1&amp;"P"&amp;$A190)="N/A",0,RTD("tos.rtd",,$A$2,"."&amp;J$135&amp;J$1&amp;"P"&amp;$A190))</f>
        <v>0</v>
      </c>
      <c r="K190" s="91">
        <f ca="1">IF(RTD("tos.rtd",,$A$2,"."&amp;K$135&amp;K$1&amp;"C"&amp;$A190)="N/A",0,RTD("tos.rtd",,$A$2,"."&amp;K$135&amp;K$1&amp;"C"&amp;$A190))-IF(RTD("tos.rtd",,$A$2,"."&amp;K$135&amp;K$1&amp;"P"&amp;$A190)="N/A",0,RTD("tos.rtd",,$A$2,"."&amp;K$135&amp;K$1&amp;"P"&amp;$A190))</f>
        <v>0</v>
      </c>
      <c r="L190" s="91">
        <f ca="1">IF(RTD("tos.rtd",,$A$2,"."&amp;L$135&amp;L$1&amp;"C"&amp;$A190)="N/A",0,RTD("tos.rtd",,$A$2,"."&amp;L$135&amp;L$1&amp;"C"&amp;$A190))-IF(RTD("tos.rtd",,$A$2,"."&amp;L$135&amp;L$1&amp;"P"&amp;$A190)="N/A",0,RTD("tos.rtd",,$A$2,"."&amp;L$135&amp;L$1&amp;"P"&amp;$A190))</f>
        <v>0</v>
      </c>
      <c r="M190" s="91">
        <f ca="1">IF(RTD("tos.rtd",,$A$2,"."&amp;M$135&amp;M$1&amp;"C"&amp;$A190)="N/A",0,RTD("tos.rtd",,$A$2,"."&amp;M$135&amp;M$1&amp;"C"&amp;$A190))-IF(RTD("tos.rtd",,$A$2,"."&amp;M$135&amp;M$1&amp;"P"&amp;$A190)="N/A",0,RTD("tos.rtd",,$A$2,"."&amp;M$135&amp;M$1&amp;"P"&amp;$A190))</f>
        <v>0</v>
      </c>
      <c r="N190" s="91">
        <f ca="1">IF(RTD("tos.rtd",,$A$2,"."&amp;N$135&amp;N$1&amp;"C"&amp;$A190)="N/A",0,RTD("tos.rtd",,$A$2,"."&amp;N$135&amp;N$1&amp;"C"&amp;$A190))-IF(RTD("tos.rtd",,$A$2,"."&amp;N$135&amp;N$1&amp;"P"&amp;$A190)="N/A",0,RTD("tos.rtd",,$A$2,"."&amp;N$135&amp;N$1&amp;"P"&amp;$A190))</f>
        <v>0</v>
      </c>
      <c r="O190" s="91">
        <f ca="1">IF(RTD("tos.rtd",,$A$2,"."&amp;O$135&amp;O$1&amp;"C"&amp;$A190)="N/A",0,RTD("tos.rtd",,$A$2,"."&amp;O$135&amp;O$1&amp;"C"&amp;$A190))-IF(RTD("tos.rtd",,$A$2,"."&amp;O$135&amp;O$1&amp;"P"&amp;$A190)="N/A",0,RTD("tos.rtd",,$A$2,"."&amp;O$135&amp;O$1&amp;"P"&amp;$A190))</f>
        <v>0</v>
      </c>
      <c r="P190" s="91">
        <f ca="1">IF(RTD("tos.rtd",,$A$2,"."&amp;P$135&amp;P$1&amp;"C"&amp;$A190)="N/A",0,RTD("tos.rtd",,$A$2,"."&amp;P$135&amp;P$1&amp;"C"&amp;$A190))-IF(RTD("tos.rtd",,$A$2,"."&amp;P$135&amp;P$1&amp;"P"&amp;$A190)="N/A",0,RTD("tos.rtd",,$A$2,"."&amp;P$135&amp;P$1&amp;"P"&amp;$A190))</f>
        <v>0</v>
      </c>
      <c r="Q190" s="91">
        <f ca="1">IF(RTD("tos.rtd",,$A$2,"."&amp;Q$135&amp;Q$1&amp;"C"&amp;$A190)="N/A",0,RTD("tos.rtd",,$A$2,"."&amp;Q$135&amp;Q$1&amp;"C"&amp;$A190))-IF(RTD("tos.rtd",,$A$2,"."&amp;Q$135&amp;Q$1&amp;"P"&amp;$A190)="N/A",0,RTD("tos.rtd",,$A$2,"."&amp;Q$135&amp;Q$1&amp;"P"&amp;$A190))</f>
        <v>0</v>
      </c>
      <c r="R190" s="91">
        <f ca="1">IF(RTD("tos.rtd",,$A$2,"."&amp;R$135&amp;R$1&amp;"C"&amp;$A190)="N/A",0,RTD("tos.rtd",,$A$2,"."&amp;R$135&amp;R$1&amp;"C"&amp;$A190))-IF(RTD("tos.rtd",,$A$2,"."&amp;R$135&amp;R$1&amp;"P"&amp;$A190)="N/A",0,RTD("tos.rtd",,$A$2,"."&amp;R$135&amp;R$1&amp;"P"&amp;$A190))</f>
        <v>0</v>
      </c>
      <c r="S190" s="91">
        <f ca="1">IF(RTD("tos.rtd",,$A$2,"."&amp;S$135&amp;S$1&amp;"C"&amp;$A190)="N/A",0,RTD("tos.rtd",,$A$2,"."&amp;S$135&amp;S$1&amp;"C"&amp;$A190))-IF(RTD("tos.rtd",,$A$2,"."&amp;S$135&amp;S$1&amp;"P"&amp;$A190)="N/A",0,RTD("tos.rtd",,$A$2,"."&amp;S$135&amp;S$1&amp;"P"&amp;$A190))</f>
        <v>0</v>
      </c>
      <c r="T190" s="91">
        <f ca="1">IF(RTD("tos.rtd",,$A$2,"."&amp;T$135&amp;T$1&amp;"C"&amp;$A190)="N/A",0,RTD("tos.rtd",,$A$2,"."&amp;T$135&amp;T$1&amp;"C"&amp;$A190))-IF(RTD("tos.rtd",,$A$2,"."&amp;T$135&amp;T$1&amp;"P"&amp;$A190)="N/A",0,RTD("tos.rtd",,$A$2,"."&amp;T$135&amp;T$1&amp;"P"&amp;$A190))</f>
        <v>0</v>
      </c>
      <c r="U190" s="91">
        <f ca="1">IF(RTD("tos.rtd",,$A$2,"."&amp;U$135&amp;U$1&amp;"C"&amp;$A190)="N/A",0,RTD("tos.rtd",,$A$2,"."&amp;U$135&amp;U$1&amp;"C"&amp;$A190))-IF(RTD("tos.rtd",,$A$2,"."&amp;U$135&amp;U$1&amp;"P"&amp;$A190)="N/A",0,RTD("tos.rtd",,$A$2,"."&amp;U$135&amp;U$1&amp;"P"&amp;$A190))</f>
        <v>0</v>
      </c>
      <c r="V190" s="91">
        <f ca="1">IF(RTD("tos.rtd",,$A$2,"."&amp;V$135&amp;V$1&amp;"C"&amp;$A190)="N/A",0,RTD("tos.rtd",,$A$2,"."&amp;V$135&amp;V$1&amp;"C"&amp;$A190))-IF(RTD("tos.rtd",,$A$2,"."&amp;V$135&amp;V$1&amp;"P"&amp;$A190)="N/A",0,RTD("tos.rtd",,$A$2,"."&amp;V$135&amp;V$1&amp;"P"&amp;$A190))</f>
        <v>0</v>
      </c>
      <c r="W190" s="91">
        <f ca="1">IF(RTD("tos.rtd",,$A$2,"."&amp;W$135&amp;W$1&amp;"C"&amp;$A190)="N/A",0,RTD("tos.rtd",,$A$2,"."&amp;W$135&amp;W$1&amp;"C"&amp;$A190))-IF(RTD("tos.rtd",,$A$2,"."&amp;W$135&amp;W$1&amp;"P"&amp;$A190)="N/A",0,RTD("tos.rtd",,$A$2,"."&amp;W$135&amp;W$1&amp;"P"&amp;$A190))</f>
        <v>0</v>
      </c>
      <c r="X190" s="91">
        <f ca="1">IF(RTD("tos.rtd",,$A$2,"."&amp;X$135&amp;X$1&amp;"C"&amp;$A190)="N/A",0,RTD("tos.rtd",,$A$2,"."&amp;X$135&amp;X$1&amp;"C"&amp;$A190))-IF(RTD("tos.rtd",,$A$2,"."&amp;X$135&amp;X$1&amp;"P"&amp;$A190)="N/A",0,RTD("tos.rtd",,$A$2,"."&amp;X$135&amp;X$1&amp;"P"&amp;$A190))</f>
        <v>0</v>
      </c>
      <c r="Y190" s="98">
        <f t="shared" ca="1" si="13"/>
        <v>-1</v>
      </c>
      <c r="Z190" s="91"/>
      <c r="AA190" s="91"/>
    </row>
  </sheetData>
  <conditionalFormatting sqref="Y5:Y39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{ACE85CF4-896F-49F0-881A-8C4A8DE47A60}</x14:id>
        </ext>
      </extLst>
    </cfRule>
  </conditionalFormatting>
  <conditionalFormatting sqref="Y46:Y80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{B161C68F-6B4A-407B-BA0A-1F28BFDB1E1E}</x14:id>
        </ext>
      </extLst>
    </cfRule>
  </conditionalFormatting>
  <conditionalFormatting sqref="Y86:Y131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{9700F8F5-0916-40F1-86D3-AE0B5AA2D92F}</x14:id>
        </ext>
      </extLst>
    </cfRule>
  </conditionalFormatting>
  <conditionalFormatting sqref="Y138:Y19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{659DE2BF-8AD3-4F5C-9B32-3879E9CB2192}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E85CF4-896F-49F0-881A-8C4A8DE47A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Y5:Y39</xm:sqref>
        </x14:conditionalFormatting>
        <x14:conditionalFormatting xmlns:xm="http://schemas.microsoft.com/office/excel/2006/main">
          <x14:cfRule type="dataBar" id="{B161C68F-6B4A-407B-BA0A-1F28BFDB1E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Y46:Y80</xm:sqref>
        </x14:conditionalFormatting>
        <x14:conditionalFormatting xmlns:xm="http://schemas.microsoft.com/office/excel/2006/main">
          <x14:cfRule type="dataBar" id="{9700F8F5-0916-40F1-86D3-AE0B5AA2D9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Y86:Y131</xm:sqref>
        </x14:conditionalFormatting>
        <x14:conditionalFormatting xmlns:xm="http://schemas.microsoft.com/office/excel/2006/main">
          <x14:cfRule type="dataBar" id="{659DE2BF-8AD3-4F5C-9B32-3879E9CB21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Y138:Y190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2024-08-10T16:05:50Z</dcterms:created>
  <dcterms:modified xsi:type="dcterms:W3CDTF">2025-05-08T02:51:43Z</dcterms:modified>
</cp:coreProperties>
</file>